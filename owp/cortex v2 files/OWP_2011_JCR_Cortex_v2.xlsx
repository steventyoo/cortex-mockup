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<sst xmlns="http://schemas.openxmlformats.org/spreadsheetml/2006/main" count="1520" uniqueCount="794">
  <si>
    <t xml:space="preserve">Job #2011 · Chinn Barrett Park Apartments</t>
  </si>
  <si>
    <t xml:space="preserve">Cortex JCR Summary  •  Chinn Construction, LLC  •  Seattle, WA (Capitol Hill)  •  117-unit 4-story multifamily apartments  •  Nov 2012 – Mar 2014 (~17 months)</t>
  </si>
  <si>
    <t xml:space="preserve">PROJECT OVERVIEW</t>
  </si>
  <si>
    <t xml:space="preserve">Project Job #</t>
  </si>
  <si>
    <t xml:space="preserve">2011</t>
  </si>
  <si>
    <t xml:space="preserve">Project Name:</t>
  </si>
  <si>
    <t xml:space="preserve">Chinn Barrett Park Apartments</t>
  </si>
  <si>
    <t xml:space="preserve">General Contractor</t>
  </si>
  <si>
    <t xml:space="preserve">Chinn Construction, LLC</t>
  </si>
  <si>
    <t xml:space="preserve">Location</t>
  </si>
  <si>
    <t xml:space="preserve">Seattle, WA (Capitol Hill)</t>
  </si>
  <si>
    <t xml:space="preserve">Project Duration</t>
  </si>
  <si>
    <t xml:space="preserve">Nov 2012 – Mar 2014 (~17 months)</t>
  </si>
  <si>
    <t xml:space="preserve">Total Unique Documents</t>
  </si>
  <si>
    <t xml:space="preserve">Barrett Park folder: Contract, Billing (aggregate + 13 SOVs), PO_s, Progress Payments, Change Orders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</si>
  <si>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</si>
  <si>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</si>
  <si>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</si>
  <si>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</si>
  <si>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$869,824</t>
  </si>
  <si>
    <t xml:space="preserve">$332,960</t>
  </si>
  <si>
    <t xml:space="preserve">$536,863</t>
  </si>
  <si>
    <t xml:space="preserve">6,944</t>
  </si>
  <si>
    <t xml:space="preserve">Original $813,050 + $56,774 COs</t>
  </si>
  <si>
    <t xml:space="preserve">38.3% margin</t>
  </si>
  <si>
    <t xml:space="preserve">61.7% of revenue</t>
  </si>
  <si>
    <t xml:space="preserve">31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</si>
  <si>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</si>
  <si>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</si>
  <si>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</si>
  <si>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</si>
  <si>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</si>
  <si>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</si>
  <si>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</si>
  <si>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</si>
  <si>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</si>
  <si>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</si>
  <si>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</si>
  <si>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</si>
  <si>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</si>
  <si>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</si>
  <si>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</si>
  <si>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</si>
  <si>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117</t>
  </si>
  <si>
    <t xml:space="preserve">Water Closets</t>
  </si>
  <si>
    <t xml:space="preserve">Kitchen Sinks</t>
  </si>
  <si>
    <t xml:space="preserve">119</t>
  </si>
  <si>
    <t xml:space="preserve">Total Fixtures</t>
  </si>
  <si>
    <t xml:space="preserve">841</t>
  </si>
  <si>
    <t xml:space="preserve">Lavatories</t>
  </si>
  <si>
    <t xml:space="preserve">Dishwashers</t>
  </si>
  <si>
    <t xml:space="preserve">3</t>
  </si>
  <si>
    <t xml:space="preserve">Fixtures / Unit</t>
  </si>
  <si>
    <t xml:space="preserve">7.18</t>
  </si>
  <si>
    <t xml:space="preserve">Tubs/Showers</t>
  </si>
  <si>
    <t xml:space="preserve">Auto Washers</t>
  </si>
  <si>
    <t xml:space="preserve">Stacks</t>
  </si>
  <si>
    <t xml:space="preserve">30</t>
  </si>
  <si>
    <t xml:space="preserve">Floors</t>
  </si>
  <si>
    <t xml:space="preserve">4</t>
  </si>
  <si>
    <t xml:space="preserve">Duration</t>
  </si>
  <si>
    <t xml:space="preserve">17 mo</t>
  </si>
  <si>
    <t xml:space="preserve">SOURCES</t>
  </si>
  <si>
    <t xml:space="preserve">Job #2011 — Chinn Barrett Park Apartments  •  GC: Chinn Construction, LLC  •  Seattle, WA (Capitol Hill)</t>
  </si>
  <si>
    <t xml:space="preserve">Canonical source: 2011 Job Detail Report.pdf (69 pages, OWP Sage Timberline export)</t>
  </si>
  <si>
    <t xml:space="preserve">Cost codes parsed: 29</t>
  </si>
  <si>
    <t xml:space="preserve">Unit count: 117 units confirmed</t>
  </si>
  <si>
    <t xml:space="preserve">Fixture count: 841 from permit SR1224327</t>
  </si>
  <si>
    <t xml:space="preserve">Billing: BARRETT AGGREGATE BILLING.xlsx (13 pay apps Nov 2012 – Mar 2014)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</si>
  <si>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</si>
  <si>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</si>
  <si>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</si>
  <si>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</si>
  <si>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</si>
  <si>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</si>
  <si>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</si>
  <si>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</si>
  <si>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</si>
  <si>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</si>
  <si>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</si>
  <si>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</si>
  <si>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</si>
  <si>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</si>
  <si>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</si>
  <si>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</si>
  <si>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</si>
  <si>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</si>
  <si>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</si>
  <si>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</si>
  <si>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</si>
  <si>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</si>
  <si>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</si>
  <si>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</si>
  <si>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</si>
  <si>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</si>
  <si>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</si>
  <si>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</si>
  <si>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</si>
  <si>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</si>
  <si>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</si>
  <si>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</si>
  <si>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</si>
  <si>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</si>
  <si>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</si>
  <si>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</si>
  <si>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</si>
  <si>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</si>
  <si>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</si>
  <si>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</si>
  <si>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</si>
  <si>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</si>
  <si>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</si>
  <si>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</si>
  <si>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</si>
  <si>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</si>
  <si>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</si>
  <si>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</si>
  <si>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</si>
  <si>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</si>
  <si>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244</t>
  </si>
  <si>
    <t xml:space="preserve">Fire Caulking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</si>
  <si>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</si>
  <si>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</si>
  <si>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</si>
  <si>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</si>
  <si>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</si>
  <si>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</si>
  <si>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</si>
  <si>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</si>
  <si>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</si>
  <si>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</si>
  <si>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</si>
  <si>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</si>
  <si>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</si>
  <si>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</si>
  <si>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</si>
  <si>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</si>
  <si>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</si>
  <si>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</si>
  <si>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</si>
  <si>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</si>
  <si>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</si>
  <si>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</si>
  <si>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</si>
  <si>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</si>
  <si>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</si>
  <si>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</si>
  <si>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11 material cost codes  •  $295,006 JDR material  •  14 AP vendors  •  $387,379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</si>
  <si>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</si>
  <si>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</si>
  <si>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</si>
  <si>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</si>
  <si>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</si>
  <si>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</si>
  <si>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</si>
  <si>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</si>
  <si>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</si>
  <si>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</si>
  <si>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Company, Inc.</t>
  </si>
  <si>
    <t xml:space="preserve">Franklin Engineering</t>
  </si>
  <si>
    <t xml:space="preserve">Keller Supply Company</t>
  </si>
  <si>
    <t xml:space="preserve">Fastenal Company</t>
  </si>
  <si>
    <t xml:space="preserve">Bank of America CC</t>
  </si>
  <si>
    <t xml:space="preserve">Mickelo Construction LLC</t>
  </si>
  <si>
    <t xml:space="preserve">Quality Concrete Products, Inc.</t>
  </si>
  <si>
    <t xml:space="preserve">Manor Hardware &amp; Construction Supply</t>
  </si>
  <si>
    <t xml:space="preserve">Core &amp; Main LP</t>
  </si>
  <si>
    <t xml:space="preserve">R.A. Brown Backflow Testing</t>
  </si>
  <si>
    <t xml:space="preserve">C.M. Hoskins Company</t>
  </si>
  <si>
    <t xml:space="preserve">DRSi</t>
  </si>
  <si>
    <t xml:space="preserve">Capital One Credit Card</t>
  </si>
  <si>
    <t xml:space="preserve">Vendor AP ties to JDR 'by Source: AP' line (387,378.94)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</si>
  <si>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</si>
  <si>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</si>
  <si>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</si>
  <si>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</si>
  <si>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</si>
  <si>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</si>
  <si>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Quintanilla, Esteban R</t>
  </si>
  <si>
    <t xml:space="preserve">Senior</t>
  </si>
  <si>
    <t xml:space="preserve">Castro Hernandez, Jose A</t>
  </si>
  <si>
    <t xml:space="preserve">Apprentice</t>
  </si>
  <si>
    <t xml:space="preserve">Monico Brambila, Jesus S</t>
  </si>
  <si>
    <t xml:space="preserve">Garcia, Jordan X</t>
  </si>
  <si>
    <t xml:space="preserve">Lima Romero, Melvin A</t>
  </si>
  <si>
    <t xml:space="preserve">Mid</t>
  </si>
  <si>
    <t xml:space="preserve">Castaneda Martinez, Gustavo</t>
  </si>
  <si>
    <t xml:space="preserve">Palma Vides, Hugo</t>
  </si>
  <si>
    <t xml:space="preserve">Anderson, Richard P</t>
  </si>
  <si>
    <t xml:space="preserve">Wilson, Garret A</t>
  </si>
  <si>
    <t xml:space="preserve">Gerard, Jeffrey S</t>
  </si>
  <si>
    <t xml:space="preserve">McCabe, Thomas C</t>
  </si>
  <si>
    <t xml:space="preserve">Ross, Kelli M</t>
  </si>
  <si>
    <t xml:space="preserve">Reed, Reuben H</t>
  </si>
  <si>
    <t xml:space="preserve">Sepulveda Gonzalez, Alfredo</t>
  </si>
  <si>
    <t xml:space="preserve">Holmes, Anthony R</t>
  </si>
  <si>
    <t xml:space="preserve">Kinssies, Jr, John E</t>
  </si>
  <si>
    <t xml:space="preserve">Meza Fuentes, Erick A</t>
  </si>
  <si>
    <t xml:space="preserve">Barnhart, Joseph N</t>
  </si>
  <si>
    <t xml:space="preserve">Hayton, Evan R</t>
  </si>
  <si>
    <t xml:space="preserve">Ramirez, Lorenzo A</t>
  </si>
  <si>
    <t xml:space="preserve">Gonzalez Hernandez, Josue</t>
  </si>
  <si>
    <t xml:space="preserve">Paco Leyva, Orlando</t>
  </si>
  <si>
    <t xml:space="preserve">Veley, Nathaniel S</t>
  </si>
  <si>
    <t xml:space="preserve">Hubbard, Dustin R</t>
  </si>
  <si>
    <t xml:space="preserve">Cortes Mendiola, Victor H</t>
  </si>
  <si>
    <t xml:space="preserve">Sanders, Allen O</t>
  </si>
  <si>
    <t xml:space="preserve">Arreola, Israel A</t>
  </si>
  <si>
    <t xml:space="preserve">Castro Hernandez, Carlos E</t>
  </si>
  <si>
    <t xml:space="preserve">Soto Cruz, Jovani</t>
  </si>
  <si>
    <t xml:space="preserve">Soto Serna, Cesar E</t>
  </si>
  <si>
    <t xml:space="preserve">Vaughan, Tyler J</t>
  </si>
  <si>
    <t xml:space="preserve">TOTAL (31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</si>
  <si>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</si>
  <si>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</si>
  <si>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</si>
  <si>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</si>
  <si>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</si>
  <si>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</si>
  <si>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</si>
  <si>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</si>
  <si>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</si>
  <si>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</si>
  <si>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</si>
  <si>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</si>
  <si>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</si>
  <si>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</si>
  <si>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</si>
  <si>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</si>
  <si>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</si>
  <si>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</si>
  <si>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</si>
  <si>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</si>
  <si>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</si>
  <si>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</si>
  <si>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</si>
  <si>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</si>
  <si>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</si>
  <si>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</si>
  <si>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</si>
  <si>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</si>
  <si>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</si>
  <si>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</si>
  <si>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</si>
  <si>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</si>
  <si>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</si>
  <si>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</si>
  <si>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</si>
  <si>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</si>
  <si>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</si>
  <si>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</si>
  <si>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</si>
  <si>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</si>
  <si>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</si>
  <si>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</si>
  <si>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</si>
  <si>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</si>
  <si>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</si>
  <si>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</si>
  <si>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</si>
  <si>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</si>
  <si>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</si>
  <si>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</si>
  <si>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</si>
  <si>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</si>
  <si>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</si>
  <si>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</si>
  <si>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</si>
  <si>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</si>
  <si>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</si>
  <si>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</si>
  <si>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0 unique POs  •  PO amounts not dollar-parsed from individual PDFs  •  JDR material $295,006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</si>
  <si>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</si>
  <si>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</si>
  <si>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</si>
  <si>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</si>
  <si>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</si>
  <si>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</si>
  <si>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B. COMMITMENTS BY VENDOR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</si>
  <si>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</si>
  <si>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</si>
  <si>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</si>
  <si>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</si>
  <si>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</si>
  <si>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</si>
  <si>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</si>
  <si>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13 pay applications  •  Nov 2012 – Mar 2014  •  $869,824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</si>
  <si>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</si>
  <si>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</si>
  <si>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</si>
  <si>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</si>
  <si>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</si>
  <si>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</si>
  <si>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</si>
  <si>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</si>
  <si>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</si>
  <si>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</si>
  <si>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</si>
  <si>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</si>
  <si>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</si>
  <si>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</si>
  <si>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2012-11-15</t>
  </si>
  <si>
    <t xml:space="preserve">2013-01-15</t>
  </si>
  <si>
    <t xml:space="preserve">2013-02-15</t>
  </si>
  <si>
    <t xml:space="preserve">2013-03-15</t>
  </si>
  <si>
    <t xml:space="preserve">2013-04-09</t>
  </si>
  <si>
    <t xml:space="preserve">2013-05-09</t>
  </si>
  <si>
    <t xml:space="preserve">2013-06-11</t>
  </si>
  <si>
    <t xml:space="preserve">2013-07-11</t>
  </si>
  <si>
    <t xml:space="preserve">2013-08-09</t>
  </si>
  <si>
    <t xml:space="preserve">2013-09-10</t>
  </si>
  <si>
    <t xml:space="preserve">2013-10-10</t>
  </si>
  <si>
    <t xml:space="preserve">2014-02-10</t>
  </si>
  <si>
    <t xml:space="preserve">2014-03-10</t>
  </si>
  <si>
    <t xml:space="preserve">2014-11-13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</si>
  <si>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</si>
  <si>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</si>
  <si>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</si>
  <si>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</si>
  <si>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</si>
  <si>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</si>
  <si>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#2011 Chinn Barrett Park Apartments</t>
  </si>
  <si>
    <t xml:space="preserve">Narrative observations distilled from the full JDR analysis</t>
  </si>
  <si>
    <t xml:space="preserve">MARGIN PROFILE</t>
  </si>
  <si>
    <t xml:space="preserve">Net profit of $332,960 on $869,824 revenue = 38.3% gross margin. Direct cost $536,863 absorbs 61.7% of revenue.</t>
  </si>
  <si>
    <t xml:space="preserve">VENDOR CONCENTRATION</t>
  </si>
  <si>
    <t xml:space="preserve">Ferguson Enterprises, Inc. alone = $302,211 (78% of all AP) across 56 invoices. Total 14 AP vendors, $387,379 total AP spend.</t>
  </si>
  <si>
    <t xml:space="preserve">CREW PROFILE</t>
  </si>
  <si>
    <t xml:space="preserve">31 workers for 6,944 hours = 224 avg hrs/worker. Top 3 workers logged 2,230 hrs combined (32% of all labor).</t>
  </si>
  <si>
    <t xml:space="preserve">ROUGHIN DOMINANCE</t>
  </si>
  <si>
    <t xml:space="preserve">Code 120 Roughin Labor = 3,984 hrs (57% of all labor) and $81,011 actual. Code 230 Finish Material = $207,101 — 39% of total direct cost.</t>
  </si>
  <si>
    <t xml:space="preserve">BUDGET DELIVERY</t>
  </si>
  <si>
    <t xml:space="preserve">Revised budget was $702,790; actual direct cost $536,863 → $165,927 variance (23.6% under revised budget).</t>
  </si>
  <si>
    <t xml:space="preserve">CONTRACT GROWTH</t>
  </si>
  <si>
    <t xml:space="preserve">Contract grew from $813,050 to $869,824 — net +$56,774 (7.0%). Retainage of $43,491 (5%) withheld until closeout.</t>
  </si>
  <si>
    <t xml:space="preserve">BURDEN RATIO</t>
  </si>
  <si>
    <t xml:space="preserve">Burden codes 995 + 998 = $72,765 on $142,883 labor base = 50.9%. In line with OWP's typical 48–50% labor burden.</t>
  </si>
  <si>
    <t xml:space="preserve">PROJECT SCALE</t>
  </si>
  <si>
    <t xml:space="preserve">117 units · 841 fixtures · 17 months. Revenue/unit $7,434, hours/unit 59.3, profit/unit $2,846.</t>
  </si>
  <si>
    <t xml:space="preserve">PRODUCTIVITY</t>
  </si>
  <si>
    <t xml:space="preserve">Blended labor rate $20.58/hr. Revenue/hour $125. Profit/hour $48. 408 hrs/month burn rate.</t>
  </si>
  <si>
    <t xml:space="preserve">FIXTURE DENSITY</t>
  </si>
  <si>
    <t xml:space="preserve">841 fixtures ÷ 117 units = 7.19 fixtures/unit. Material/fixture $351, labor/fixture $170.</t>
  </si>
  <si>
    <t xml:space="preserve">BIGGEST QUESTION</t>
  </si>
  <si>
    <t xml:space="preserve">How does this job's 38.3%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</si>
  <si>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</si>
  <si>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</si>
  <si>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</si>
  <si>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</si>
  <si>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</si>
  <si>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</si>
  <si>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</si>
  <si>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</si>
  <si>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</si>
  <si>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</si>
  <si>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</si>
  <si>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</si>
  <si>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</si>
  <si>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</si>
  <si>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</si>
  <si>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</si>
  <si>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</si>
  <si>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</si>
  <si>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117-unit 4-story multifamily apartments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</si>
  <si>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</si>
  <si>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</si>
  <si>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</si>
  <si>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</si>
  <si>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</si>
  <si>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</si>
  <si>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</si>
  <si>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</si>
  <si>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</si>
  <si>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</si>
  <si>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</si>
  <si>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</si>
  <si>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</si>
  <si>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</si>
  <si>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</si>
  <si>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</si>
  <si>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</si>
  <si>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</si>
  <si>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</si>
  <si>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</si>
  <si>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</si>
  <si>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</si>
  <si>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</si>
  <si>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</si>
  <si>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12 labor codes</t>
  </si>
  <si>
    <t xml:space="preserve">Material Cost</t>
  </si>
  <si>
    <t xml:space="preserve">material_cost</t>
  </si>
  <si>
    <t xml:space="preserve">Sum of 11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</si>
  <si>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</si>
  <si>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</si>
  <si>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</si>
  <si>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</si>
  <si>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</si>
  <si>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</si>
  <si>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</si>
  <si>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</si>
  <si>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</si>
  <si>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</si>
  <si>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</si>
  <si>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</si>
  <si>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</si>
  <si>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</si>
  <si>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</si>
  <si>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</si>
  <si>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</si>
  <si>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</si>
  <si>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</si>
  <si>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</si>
  <si>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</si>
  <si>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</si>
  <si>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</si>
  <si>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</si>
  <si>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</si>
  <si>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</si>
  <si>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</si>
  <si>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</si>
  <si>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</si>
  <si>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</si>
  <si>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</si>
  <si>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</si>
  <si>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</si>
  <si>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</si>
  <si>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</si>
  <si>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</si>
  <si>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</si>
  <si>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</si>
  <si>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</si>
  <si>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</si>
  <si>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</si>
  <si>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</si>
  <si>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</si>
  <si>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</si>
  <si>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</si>
  <si>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</si>
  <si>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</si>
  <si>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</si>
  <si>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</si>
  <si>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</si>
  <si>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</si>
  <si>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</si>
  <si>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</si>
  <si>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</si>
  <si>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</si>
  <si>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</si>
  <si>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</si>
  <si>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</si>
  <si>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</si>
  <si>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</si>
  <si>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</si>
  <si>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</si>
  <si>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</si>
  <si>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</si>
  <si>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</si>
  <si>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</si>
  <si>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</si>
  <si>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</si>
  <si>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</si>
  <si>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</si>
  <si>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</si>
  <si>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</si>
  <si>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</si>
  <si>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</si>
  <si>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</si>
  <si>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</si>
  <si>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(29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</si>
  <si>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</si>
  <si>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</si>
  <si>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</si>
  <si>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</si>
  <si>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</si>
  <si>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</si>
  <si>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</si>
  <si>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CO-001</t>
  </si>
  <si>
    <t xml:space="preserve">CO</t>
  </si>
  <si>
    <t xml:space="preserve">2013-04-11</t>
  </si>
  <si>
    <t xml:space="preserve">Furnish and install footing + sub-slab drains (field condition discovered during excavation)</t>
  </si>
  <si>
    <t xml:space="preserve">Field (OWP)</t>
  </si>
  <si>
    <t xml:space="preserve">Approved</t>
  </si>
  <si>
    <t xml:space="preserve">2011-Chinn, Barrett Park/Barrett billing/Chinn Barrett Park schedule of values 1</t>
  </si>
  <si>
    <t xml:space="preserve">CO-002</t>
  </si>
  <si>
    <t xml:space="preserve">Add trash chute wash down</t>
  </si>
  <si>
    <t xml:space="preserve">Architect</t>
  </si>
  <si>
    <t xml:space="preserve">2011-Chinn, Barrett Park/Barrett billing/Chinn Barrett Park schedule of values 5</t>
  </si>
  <si>
    <t xml:space="preserve">CO-003</t>
  </si>
  <si>
    <t xml:space="preserve">Change plumbing fixtures — ADA + standard alternatives</t>
  </si>
  <si>
    <t xml:space="preserve">SUB-P11-R1,SUB-P13-R1,SUB-PRV-R1</t>
  </si>
  <si>
    <t xml:space="preserve">Partial (billed $15,597 of $30,415)</t>
  </si>
  <si>
    <t xml:space="preserve">2011-Chinn, Barrett Park/Barrett billing/Chinn Barrett Park schedule of values 12</t>
  </si>
  <si>
    <t xml:space="preserve">ASI-002</t>
  </si>
  <si>
    <t xml:space="preserve">ASI</t>
  </si>
  <si>
    <t xml:space="preserve">Revised Unit A-2 layout</t>
  </si>
  <si>
    <t xml:space="preserve">Closed</t>
  </si>
  <si>
    <t xml:space="preserve">2011-Chinn, Barrett Park/Barrett RFI-ASI/Barrett ASI 02</t>
  </si>
  <si>
    <t xml:space="preserve">ASI-003</t>
  </si>
  <si>
    <t xml:space="preserve">2013-04-12</t>
  </si>
  <si>
    <t xml:space="preserve">Revised Unit A-1 layout</t>
  </si>
  <si>
    <t xml:space="preserve">2011-Chinn, Barrett Park/Barrett RFI-ASI/Barrett ASI 03</t>
  </si>
  <si>
    <t xml:space="preserve">ASI-004</t>
  </si>
  <si>
    <t xml:space="preserve">2013-04-16</t>
  </si>
  <si>
    <t xml:space="preserve">Live/Work Units ABC dimension clarification</t>
  </si>
  <si>
    <t xml:space="preserve">2011-Chinn, Barrett Park/Barrett RFI-ASI/Barrett ASI 04</t>
  </si>
  <si>
    <t xml:space="preserve">ASI-006</t>
  </si>
  <si>
    <t xml:space="preserve">2013-06-04</t>
  </si>
  <si>
    <t xml:space="preserve">Soffit above upper cabinet clarification</t>
  </si>
  <si>
    <t xml:space="preserve">2011-Chinn, Barrett Park/Barrett RFI-ASI/Barrett ASI 06</t>
  </si>
  <si>
    <t xml:space="preserve">ASI-008</t>
  </si>
  <si>
    <t xml:space="preserve">2013-09-23</t>
  </si>
  <si>
    <t xml:space="preserve">Unit A2 island counter revision</t>
  </si>
  <si>
    <t xml:space="preserve">2011-Chinn, Barrett Park/Barrett RFI-ASI/ASI 008</t>
  </si>
  <si>
    <t xml:space="preserve">RFI-033</t>
  </si>
  <si>
    <t xml:space="preserve">RFI</t>
  </si>
  <si>
    <t xml:space="preserve">Siding detail clarifications</t>
  </si>
  <si>
    <t xml:space="preserve">GC (SMS)</t>
  </si>
  <si>
    <t xml:space="preserve">2011-Chinn, Barrett Park/Barrett RFI-ASI/12-0806 Barrett Park RFI 033</t>
  </si>
  <si>
    <t xml:space="preserve">RFI-034</t>
  </si>
  <si>
    <t xml:space="preserve">2013-04-18</t>
  </si>
  <si>
    <t xml:space="preserve">RSIC clip in ceiling below roof</t>
  </si>
  <si>
    <t xml:space="preserve">2011-Chinn, Barrett Park/Barrett RFI-ASI/12-0806 Barret Park RFI 034</t>
  </si>
  <si>
    <t xml:space="preserve">RFI-037</t>
  </si>
  <si>
    <t xml:space="preserve">Wall elevation — copy storage + amenity rooms</t>
  </si>
  <si>
    <t xml:space="preserve">2011-Chinn, Barrett Park/Barrett RFI-ASI/RFI 037 - Response</t>
  </si>
  <si>
    <t xml:space="preserve">RFI-038</t>
  </si>
  <si>
    <t xml:space="preserve">Elevation of island kitchen (A-2)</t>
  </si>
  <si>
    <t xml:space="preserve">2011-Chinn, Barrett Park/Barrett RFI-ASI/RFI 038 Response</t>
  </si>
  <si>
    <t xml:space="preserve">RFI-039</t>
  </si>
  <si>
    <t xml:space="preserve">Lobby + mgmt office offset from Grid B</t>
  </si>
  <si>
    <t xml:space="preserve">2011-Chinn, Barrett Park/Barrett RFI-ASI/RFI 039</t>
  </si>
  <si>
    <t xml:space="preserve">RFI-040</t>
  </si>
  <si>
    <t xml:space="preserve">2013-05-03</t>
  </si>
  <si>
    <t xml:space="preserve">Wood stair details</t>
  </si>
  <si>
    <t xml:space="preserve">2011-Chinn, Barrett Park/Barrett RFI-ASI/12-0806 Barret Park RFI 040</t>
  </si>
  <si>
    <t xml:space="preserve">RFI-043</t>
  </si>
  <si>
    <t xml:space="preserve">2013-07-02</t>
  </si>
  <si>
    <t xml:space="preserve">Patio at Unit 104 too short</t>
  </si>
  <si>
    <t xml:space="preserve">Owner</t>
  </si>
  <si>
    <t xml:space="preserve">2011-Chinn, Barrett Park/Barrett RFI-ASI/12-0806 Barret Park RFI 043</t>
  </si>
  <si>
    <t xml:space="preserve">RFI-044</t>
  </si>
  <si>
    <t xml:space="preserve">2013-05-16</t>
  </si>
  <si>
    <t xml:space="preserve">Steel headers at exterior sliders (top floor)</t>
  </si>
  <si>
    <t xml:space="preserve">2011-Chinn, Barrett Park/Barrett RFI-ASI/RFI 044</t>
  </si>
  <si>
    <t xml:space="preserve">RFI-045</t>
  </si>
  <si>
    <t xml:space="preserve">2013-05-20</t>
  </si>
  <si>
    <t xml:space="preserve">Range vent at Unit B-1</t>
  </si>
  <si>
    <t xml:space="preserve">2011-Chinn, Barrett Park/Barrett RFI-ASI/RFI 045</t>
  </si>
  <si>
    <t xml:space="preserve">RFI-046</t>
  </si>
  <si>
    <t xml:space="preserve">2013-05-24</t>
  </si>
  <si>
    <t xml:space="preserve">Venting plan at Unit D-4</t>
  </si>
  <si>
    <t xml:space="preserve">2011-Chinn, Barrett Park/Barrett RFI-ASI/12-0806 Barret Park RFI 046</t>
  </si>
  <si>
    <t xml:space="preserve">RFI-048</t>
  </si>
  <si>
    <t xml:space="preserve">2013-05-21</t>
  </si>
  <si>
    <t xml:space="preserve">Confirming concrete walls at garage</t>
  </si>
  <si>
    <t xml:space="preserve">2011-Chinn, Barrett Park/Barrett RFI-ASI/Barrett Park - RFI 048</t>
  </si>
  <si>
    <t xml:space="preserve">RFI-055</t>
  </si>
  <si>
    <t xml:space="preserve">2013-06-14</t>
  </si>
  <si>
    <t xml:space="preserve">Coping detail at metal siding</t>
  </si>
  <si>
    <t xml:space="preserve">2011-Chinn, Barrett Park/Barrett RFI-ASI/12-0806 Barret Park RFI 055</t>
  </si>
  <si>
    <t xml:space="preserve">RFI-057</t>
  </si>
  <si>
    <t xml:space="preserve">ADA clearances at kitchens</t>
  </si>
  <si>
    <t xml:space="preserve">2011-Chinn, Barrett Park/Barrett RFI-ASI/12-0806 Barrett Park RFI 057</t>
  </si>
  <si>
    <t xml:space="preserve">RFI-058</t>
  </si>
  <si>
    <t xml:space="preserve">Energy factor for hot water tank</t>
  </si>
  <si>
    <t xml:space="preserve">2011-Chinn, Barrett Park/Barrett RFI-ASI/12-0806 Barret Park RFI 058</t>
  </si>
  <si>
    <t xml:space="preserve">RFI-059</t>
  </si>
  <si>
    <t xml:space="preserve">2013-06-18</t>
  </si>
  <si>
    <t xml:space="preserve">FEC location and types</t>
  </si>
  <si>
    <t xml:space="preserve">2011-Chinn, Barrett Park/Barrett RFI-ASI/RFI 059</t>
  </si>
  <si>
    <t xml:space="preserve">RFI-074</t>
  </si>
  <si>
    <t xml:space="preserve">2013-09-11</t>
  </si>
  <si>
    <t xml:space="preserve">Storefront S1/S2/S3 clarifications</t>
  </si>
  <si>
    <t xml:space="preserve">2011-Chinn, Barrett Park/Barrett RFI-ASI/RFI 074</t>
  </si>
  <si>
    <t xml:space="preserve">RFI-076</t>
  </si>
  <si>
    <t xml:space="preserve">Live/Work units accessibility compliance</t>
  </si>
  <si>
    <t xml:space="preserve">2011-Chinn, Barrett Park/Barrett RFI-ASI/RFI 076</t>
  </si>
  <si>
    <t xml:space="preserve">RFI-079</t>
  </si>
  <si>
    <t xml:space="preserve">2013-11-08</t>
  </si>
  <si>
    <t xml:space="preserve">Water heater at amenity kitchen</t>
  </si>
  <si>
    <t xml:space="preserve">2011-Chinn, Barrett Park/Barrett RFI-ASI/12-0806 Barret Park RFI 079</t>
  </si>
  <si>
    <t xml:space="preserve">SUB-P11-R1</t>
  </si>
  <si>
    <t xml:space="preserve">Submittal-resub</t>
  </si>
  <si>
    <t xml:space="preserve">2013</t>
  </si>
  <si>
    <t xml:space="preserve">P11 tankless heater — revised submittal</t>
  </si>
  <si>
    <t xml:space="preserve">Sub (OWP)</t>
  </si>
  <si>
    <t xml:space="preserve">2011-Chinn, Barrett Park/Submittals/MIKE_S FILES/</t>
  </si>
  <si>
    <t xml:space="preserve">SUB-P13-R1</t>
  </si>
  <si>
    <t xml:space="preserve">P13 amenity room water heater — revised submittal</t>
  </si>
  <si>
    <t xml:space="preserve">SUB-PRV-R1</t>
  </si>
  <si>
    <t xml:space="preserve">PRV-2 pressure regulating valve — revised submittal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</si>
  <si>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</si>
  <si>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</si>
  <si>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</si>
  <si>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</si>
  <si>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</si>
  <si>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</si>
  <si>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</si>
  <si>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</si>
  <si>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</si>
  <si>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</si>
  <si>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Design clarification</t>
  </si>
  <si>
    <t xml:space="preserve">Owner directive</t>
  </si>
  <si>
    <t xml:space="preserve">Owner/GC</t>
  </si>
  <si>
    <t xml:space="preserve">Field condition</t>
  </si>
  <si>
    <t xml:space="preserve">Furnish and install footing + sub-slab drains (field conditi</t>
  </si>
  <si>
    <t xml:space="preserve">Scope gap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</si>
  <si>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</si>
  <si>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</si>
  <si>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</si>
  <si>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</si>
  <si>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POSITIVE — recoverable</t>
  </si>
  <si>
    <t xml:space="preserve">NEUTRAL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</si>
  <si>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</si>
  <si>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</si>
  <si>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</si>
  <si>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</si>
  <si>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</si>
  <si>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</si>
  <si>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</si>
  <si>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</si>
  <si>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</si>
  <si>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</si>
  <si>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</si>
  <si>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</si>
  <si>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</si>
  <si>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</si>
  <si>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</si>
  <si>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</si>
  <si>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</si>
  <si>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</si>
  <si>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</si>
  <si>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</si>
  <si>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</si>
  <si>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</si>
  <si>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</si>
  <si>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</si>
  <si>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</si>
  <si>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</si>
  <si>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</si>
  <si>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</si>
  <si>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</si>
  <si>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</si>
  <si>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</si>
  <si>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</si>
  <si>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</si>
  <si>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</si>
  <si>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</si>
  <si>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</si>
  <si>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</si>
  <si>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</si>
  <si>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</si>
  <si>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</si>
  <si>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</si>
  <si>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</si>
  <si>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</si>
  <si>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</si>
  <si>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</si>
  <si>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</si>
  <si>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</si>
  <si>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</si>
  <si>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</si>
  <si>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</si>
  <si>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</si>
  <si>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</si>
  <si>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</si>
  <si>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+ 5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</si>
  <si>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</si>
  <si>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</si>
  <si>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</si>
  <si>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</si>
  <si>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</si>
  <si>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</si>
  <si>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</si>
  <si>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</si>
  <si>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</si>
  <si>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</si>
  <si>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</si>
  <si>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</si>
  <si>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</si>
  <si>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</si>
  <si>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</si>
  <si>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</si>
  <si>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</si>
  <si>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</si>
  <si>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</si>
  <si>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</si>
  <si>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</si>
  <si>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</si>
  <si>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</si>
  <si>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</si>
  <si>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</si>
  <si>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</si>
  <si>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</si>
  <si>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</si>
  <si>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</si>
  <si>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</si>
  <si>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</si>
  <si>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</si>
  <si>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</si>
  <si>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</si>
  <si>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</si>
  <si>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</si>
  <si>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</si>
  <si>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</si>
  <si>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</si>
  <si>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</si>
  <si>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</si>
  <si>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</si>
  <si>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</si>
  <si>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</si>
  <si>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</si>
  <si>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</si>
  <si>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</si>
  <si>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</si>
  <si>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</si>
  <si>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</si>
  <si>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</si>
  <si>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</si>
  <si>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</si>
  <si>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</si>
  <si>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</si>
  <si>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</si>
  <si>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</si>
  <si>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</si>
  <si>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</si>
  <si>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</si>
  <si>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</si>
  <si>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</si>
  <si>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</si>
  <si>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</si>
  <si>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</si>
  <si>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</si>
  <si>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</si>
  <si>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</si>
  <si>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</si>
  <si>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</si>
  <si>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</si>
  <si>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</si>
  <si>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</si>
  <si>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</si>
  <si>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</si>
  <si>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</si>
  <si>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</si>
  <si>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</si>
  <si>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(12 codes)</t>
  </si>
  <si>
    <t xml:space="preserve">Material subtotal (11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</si>
  <si>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</si>
  <si>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</si>
  <si>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</si>
  <si>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</si>
  <si>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</si>
  <si>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</si>
  <si>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</si>
  <si>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</si>
  <si>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</si>
  <si>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</si>
  <si>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</si>
  <si>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</si>
  <si>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</si>
  <si>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</si>
  <si>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</si>
  <si>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</si>
  <si>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</si>
  <si>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</si>
  <si>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</si>
  <si>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</si>
  <si>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</si>
  <si>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</si>
  <si>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</si>
  <si>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</si>
  <si>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</si>
  <si>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</si>
  <si>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</si>
  <si>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#2011 — Cortex v2 17-tab layout</t>
  </si>
  <si>
    <t xml:space="preserve">12 analytical tabs + Change Log + Root Cause Analysis + Predictive Signals + Metric Registry + Reconciliation</t>
  </si>
  <si>
    <t xml:space="preserve">Canonical source: 2011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</si>
  <si>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</si>
  <si>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</si>
  <si>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</si>
  <si>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</si>
  <si>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</si>
  <si>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#2011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</si>
  <si>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</si>
  <si>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</si>
  <si>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</si>
  <si>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</si>
  <si>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</si>
  <si>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</si>
  <si>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2011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</si>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</sst>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2F2F2"/>
        <bgColor rgb="FFF3F4F6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5E7EB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174655</v>
      </c>
      <c r="D20" s="11" t="n">
        <v>142882.75</v>
      </c>
      <c r="E20" s="11" t="n">
        <f aca="false">C20-D20</f>
        <v>31772.25</v>
      </c>
      <c r="F20" s="12" t="n">
        <f aca="false">IF(C20=0,0,D20/C20)</f>
        <v>0.818085654576164</v>
      </c>
      <c r="G20" s="12" t="n">
        <f aca="false">IF($D$24=0,0,D20/$D$24)</f>
        <v>0.266143560341089</v>
      </c>
    </row>
    <row r="21" customFormat="false" ht="15" hidden="false" customHeight="true" outlineLevel="0" collapsed="false">
      <c r="B21" s="5" t="s">
        <v>35</v>
      </c>
      <c r="C21" s="11" t="n">
        <v>393359</v>
      </c>
      <c r="D21" s="11" t="n">
        <v>295005.88</v>
      </c>
      <c r="E21" s="11" t="n">
        <f aca="false">C21-D21</f>
        <v>98353.12</v>
      </c>
      <c r="F21" s="12" t="n">
        <f aca="false">IF(C21=0,0,D21/C21)</f>
        <v>0.749966010692523</v>
      </c>
      <c r="G21" s="12" t="n">
        <f aca="false">IF($D$24=0,0,D21/$D$24)</f>
        <v>0.549498908893872</v>
      </c>
    </row>
    <row r="22" customFormat="false" ht="15" hidden="false" customHeight="true" outlineLevel="0" collapsed="false">
      <c r="B22" s="5" t="s">
        <v>36</v>
      </c>
      <c r="C22" s="11" t="n">
        <v>45725</v>
      </c>
      <c r="D22" s="11" t="n">
        <v>26210.1</v>
      </c>
      <c r="E22" s="11" t="n">
        <f aca="false">C22-D22</f>
        <v>19514.9</v>
      </c>
      <c r="F22" s="12" t="n">
        <f aca="false">IF(C22=0,0,D22/C22)</f>
        <v>0.573211591033352</v>
      </c>
      <c r="G22" s="12" t="n">
        <f aca="false">IF($D$24=0,0,D22/$D$24)</f>
        <v>0.0488207941889134</v>
      </c>
    </row>
    <row r="23" customFormat="false" ht="15" hidden="false" customHeight="true" outlineLevel="0" collapsed="false">
      <c r="B23" s="5" t="s">
        <v>37</v>
      </c>
      <c r="C23" s="11" t="n">
        <v>89051.11</v>
      </c>
      <c r="D23" s="11" t="n">
        <v>72764.72</v>
      </c>
      <c r="E23" s="11" t="n">
        <f aca="false">C23-D23</f>
        <v>16286.39</v>
      </c>
      <c r="F23" s="12" t="n">
        <f aca="false">IF(C23=0,0,D23/C23)</f>
        <v>0.817111881031017</v>
      </c>
      <c r="G23" s="12" t="n">
        <f aca="false">IF($D$24=0,0,D23/$D$24)</f>
        <v>0.135536736576126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702790.11</v>
      </c>
      <c r="D24" s="13" t="n">
        <f aca="false">SUM(D20:D23)</f>
        <v>536863.45</v>
      </c>
      <c r="E24" s="13" t="n">
        <f aca="false">C24-D24</f>
        <v>165926.66</v>
      </c>
      <c r="F24" s="14" t="n">
        <f aca="false">IF(C24=0,0,D24/C24)</f>
        <v>0.763902966705095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43</v>
      </c>
      <c r="F29" s="5" t="s">
        <v>45</v>
      </c>
      <c r="G29" s="6" t="s">
        <v>46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43</v>
      </c>
      <c r="F30" s="5" t="s">
        <v>50</v>
      </c>
      <c r="G30" s="6" t="s">
        <v>51</v>
      </c>
    </row>
    <row r="31" customFormat="false" ht="15" hidden="false" customHeight="true" outlineLevel="0" collapsed="false">
      <c r="B31" s="5" t="s">
        <v>52</v>
      </c>
      <c r="C31" s="6" t="s">
        <v>53</v>
      </c>
      <c r="D31" s="5" t="s">
        <v>54</v>
      </c>
      <c r="E31" s="6" t="s">
        <v>43</v>
      </c>
      <c r="F31" s="5" t="s">
        <v>55</v>
      </c>
      <c r="G31" s="6" t="s">
        <v>43</v>
      </c>
    </row>
    <row r="32" customFormat="false" ht="15" hidden="false" customHeight="true" outlineLevel="0" collapsed="false">
      <c r="B32" s="5" t="s">
        <v>56</v>
      </c>
      <c r="C32" s="6" t="s">
        <v>57</v>
      </c>
      <c r="D32" s="5" t="s">
        <v>58</v>
      </c>
      <c r="E32" s="6" t="s">
        <v>59</v>
      </c>
      <c r="F32" s="5" t="s">
        <v>60</v>
      </c>
      <c r="G32" s="6" t="s">
        <v>61</v>
      </c>
    </row>
    <row r="36" customFormat="false" ht="15" hidden="false" customHeight="true" outlineLevel="0" collapsed="false">
      <c r="B36" s="4" t="s">
        <v>62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63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64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65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66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68</v>
      </c>
      <c r="C42" s="3"/>
      <c r="D42" s="3"/>
      <c r="E42" s="3"/>
      <c r="F42" s="3"/>
      <c r="G42" s="3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69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70</v>
      </c>
      <c r="C4" s="10" t="s">
        <v>71</v>
      </c>
      <c r="D4" s="10" t="s">
        <v>72</v>
      </c>
      <c r="E4" s="10" t="s">
        <v>73</v>
      </c>
      <c r="F4" s="10" t="s">
        <v>30</v>
      </c>
      <c r="G4" s="10" t="s">
        <v>31</v>
      </c>
      <c r="H4" s="10" t="s">
        <v>74</v>
      </c>
    </row>
    <row r="5" customFormat="false" ht="15" hidden="false" customHeight="true" outlineLevel="0" collapsed="false">
      <c r="B5" s="4" t="s">
        <v>75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76</v>
      </c>
      <c r="C6" s="5" t="s">
        <v>77</v>
      </c>
      <c r="D6" s="11" t="n">
        <v>3250</v>
      </c>
      <c r="E6" s="11" t="n">
        <v>3250</v>
      </c>
      <c r="F6" s="11" t="n">
        <v>1008</v>
      </c>
      <c r="G6" s="11" t="n">
        <f aca="false">E6-F6</f>
        <v>2242</v>
      </c>
      <c r="H6" s="12" t="n">
        <f aca="false">IF(E6=0,0,F6/E6)</f>
        <v>0.310153846153846</v>
      </c>
    </row>
    <row r="7" customFormat="false" ht="15" hidden="false" customHeight="true" outlineLevel="0" collapsed="false">
      <c r="B7" s="5" t="s">
        <v>78</v>
      </c>
      <c r="C7" s="5" t="s">
        <v>79</v>
      </c>
      <c r="D7" s="11" t="n">
        <v>8190</v>
      </c>
      <c r="E7" s="11" t="n">
        <v>8190</v>
      </c>
      <c r="F7" s="11" t="n">
        <v>4164</v>
      </c>
      <c r="G7" s="11" t="n">
        <f aca="false">E7-F7</f>
        <v>4026</v>
      </c>
      <c r="H7" s="12" t="n">
        <f aca="false">IF(E7=0,0,F7/E7)</f>
        <v>0.508424908424908</v>
      </c>
    </row>
    <row r="8" customFormat="false" ht="15" hidden="false" customHeight="true" outlineLevel="0" collapsed="false">
      <c r="B8" s="5" t="s">
        <v>80</v>
      </c>
      <c r="C8" s="5" t="s">
        <v>81</v>
      </c>
      <c r="D8" s="11" t="n">
        <v>5850</v>
      </c>
      <c r="E8" s="11" t="n">
        <v>5850</v>
      </c>
      <c r="F8" s="11" t="n">
        <v>3513</v>
      </c>
      <c r="G8" s="11" t="n">
        <f aca="false">E8-F8</f>
        <v>2337</v>
      </c>
      <c r="H8" s="12" t="n">
        <f aca="false">IF(E8=0,0,F8/E8)</f>
        <v>0.600512820512821</v>
      </c>
    </row>
    <row r="9" customFormat="false" ht="15" hidden="false" customHeight="true" outlineLevel="0" collapsed="false">
      <c r="B9" s="5" t="s">
        <v>82</v>
      </c>
      <c r="C9" s="5" t="s">
        <v>83</v>
      </c>
      <c r="D9" s="11" t="n">
        <v>13150</v>
      </c>
      <c r="E9" s="11" t="n">
        <v>13150</v>
      </c>
      <c r="F9" s="11" t="n">
        <v>6703</v>
      </c>
      <c r="G9" s="11" t="n">
        <f aca="false">E9-F9</f>
        <v>6447</v>
      </c>
      <c r="H9" s="12" t="n">
        <f aca="false">IF(E9=0,0,F9/E9)</f>
        <v>0.509733840304183</v>
      </c>
    </row>
    <row r="10" customFormat="false" ht="15" hidden="false" customHeight="true" outlineLevel="0" collapsed="false">
      <c r="B10" s="5" t="s">
        <v>84</v>
      </c>
      <c r="C10" s="5" t="s">
        <v>85</v>
      </c>
      <c r="D10" s="11" t="n">
        <v>16200</v>
      </c>
      <c r="E10" s="11" t="n">
        <v>16200</v>
      </c>
      <c r="F10" s="11" t="n">
        <v>10199</v>
      </c>
      <c r="G10" s="11" t="n">
        <f aca="false">E10-F10</f>
        <v>6001</v>
      </c>
      <c r="H10" s="12" t="n">
        <f aca="false">IF(E10=0,0,F10/E10)</f>
        <v>0.629567901234568</v>
      </c>
    </row>
    <row r="11" customFormat="false" ht="15" hidden="false" customHeight="true" outlineLevel="0" collapsed="false">
      <c r="B11" s="5" t="s">
        <v>86</v>
      </c>
      <c r="C11" s="5" t="s">
        <v>87</v>
      </c>
      <c r="D11" s="11" t="n">
        <v>3640</v>
      </c>
      <c r="E11" s="11" t="n">
        <v>3640</v>
      </c>
      <c r="F11" s="11" t="n">
        <v>2062</v>
      </c>
      <c r="G11" s="11" t="n">
        <f aca="false">E11-F11</f>
        <v>1578</v>
      </c>
      <c r="H11" s="12" t="n">
        <f aca="false">IF(E11=0,0,F11/E11)</f>
        <v>0.566483516483517</v>
      </c>
    </row>
    <row r="12" customFormat="false" ht="15" hidden="false" customHeight="true" outlineLevel="0" collapsed="false">
      <c r="B12" s="5" t="s">
        <v>88</v>
      </c>
      <c r="C12" s="5" t="s">
        <v>89</v>
      </c>
      <c r="D12" s="11" t="n">
        <v>0</v>
      </c>
      <c r="E12" s="11" t="n">
        <v>5650</v>
      </c>
      <c r="F12" s="11" t="n">
        <v>2115</v>
      </c>
      <c r="G12" s="11" t="n">
        <f aca="false">E12-F12</f>
        <v>3535</v>
      </c>
      <c r="H12" s="12" t="n">
        <f aca="false">IF(E12=0,0,F12/E12)</f>
        <v>0.374336283185841</v>
      </c>
    </row>
    <row r="13" customFormat="false" ht="15" hidden="false" customHeight="true" outlineLevel="0" collapsed="false">
      <c r="B13" s="5" t="s">
        <v>90</v>
      </c>
      <c r="C13" s="5" t="s">
        <v>91</v>
      </c>
      <c r="D13" s="11" t="n">
        <v>82535</v>
      </c>
      <c r="E13" s="11" t="n">
        <v>82835</v>
      </c>
      <c r="F13" s="11" t="n">
        <v>81010.75</v>
      </c>
      <c r="G13" s="11" t="n">
        <f aca="false">E13-F13</f>
        <v>1824.25</v>
      </c>
      <c r="H13" s="12" t="n">
        <f aca="false">IF(E13=0,0,F13/E13)</f>
        <v>0.977977304279592</v>
      </c>
    </row>
    <row r="14" customFormat="false" ht="15" hidden="false" customHeight="true" outlineLevel="0" collapsed="false">
      <c r="B14" s="5" t="s">
        <v>92</v>
      </c>
      <c r="C14" s="5" t="s">
        <v>93</v>
      </c>
      <c r="D14" s="11" t="n">
        <v>24770</v>
      </c>
      <c r="E14" s="11" t="n">
        <v>24770</v>
      </c>
      <c r="F14" s="11" t="n">
        <v>21869</v>
      </c>
      <c r="G14" s="11" t="n">
        <f aca="false">E14-F14</f>
        <v>2901</v>
      </c>
      <c r="H14" s="12" t="n">
        <f aca="false">IF(E14=0,0,F14/E14)</f>
        <v>0.882882519176423</v>
      </c>
    </row>
    <row r="15" customFormat="false" ht="15" hidden="false" customHeight="true" outlineLevel="0" collapsed="false">
      <c r="B15" s="5" t="s">
        <v>94</v>
      </c>
      <c r="C15" s="5" t="s">
        <v>95</v>
      </c>
      <c r="D15" s="11" t="n">
        <v>0</v>
      </c>
      <c r="E15" s="11" t="n">
        <v>0</v>
      </c>
      <c r="F15" s="11" t="n">
        <v>208</v>
      </c>
      <c r="G15" s="11" t="n">
        <f aca="false">E15-F15</f>
        <v>-208</v>
      </c>
      <c r="H15" s="12" t="n">
        <f aca="false">IF(E15=0,0,F15/E15)</f>
        <v>0</v>
      </c>
    </row>
    <row r="16" customFormat="false" ht="15" hidden="false" customHeight="true" outlineLevel="0" collapsed="false">
      <c r="B16" s="5" t="s">
        <v>96</v>
      </c>
      <c r="C16" s="5" t="s">
        <v>97</v>
      </c>
      <c r="D16" s="11" t="n">
        <v>1760</v>
      </c>
      <c r="E16" s="11" t="n">
        <v>1760</v>
      </c>
      <c r="F16" s="11" t="n">
        <v>1007</v>
      </c>
      <c r="G16" s="11" t="n">
        <f aca="false">E16-F16</f>
        <v>753</v>
      </c>
      <c r="H16" s="12" t="n">
        <f aca="false">IF(E16=0,0,F16/E16)</f>
        <v>0.572159090909091</v>
      </c>
    </row>
    <row r="17" customFormat="false" ht="15" hidden="false" customHeight="true" outlineLevel="0" collapsed="false">
      <c r="B17" s="5" t="s">
        <v>98</v>
      </c>
      <c r="C17" s="5" t="s">
        <v>99</v>
      </c>
      <c r="D17" s="11" t="n">
        <v>9360</v>
      </c>
      <c r="E17" s="11" t="n">
        <v>9360</v>
      </c>
      <c r="F17" s="11" t="n">
        <v>9024</v>
      </c>
      <c r="G17" s="11" t="n">
        <f aca="false">E17-F17</f>
        <v>336</v>
      </c>
      <c r="H17" s="12" t="n">
        <f aca="false">IF(E17=0,0,F17/E17)</f>
        <v>0.964102564102564</v>
      </c>
    </row>
    <row r="18" customFormat="false" ht="15" hidden="false" customHeight="true" outlineLevel="0" collapsed="false">
      <c r="B18" s="4" t="s">
        <v>100</v>
      </c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B19" s="5" t="s">
        <v>101</v>
      </c>
      <c r="C19" s="5" t="s">
        <v>102</v>
      </c>
      <c r="D19" s="11" t="n">
        <v>4725</v>
      </c>
      <c r="E19" s="11" t="n">
        <v>4725</v>
      </c>
      <c r="F19" s="11" t="n">
        <v>1134.76</v>
      </c>
      <c r="G19" s="11" t="n">
        <f aca="false">E19-F19</f>
        <v>3590.24</v>
      </c>
      <c r="H19" s="12" t="n">
        <f aca="false">IF(E19=0,0,F19/E19)</f>
        <v>0.240160846560847</v>
      </c>
    </row>
    <row r="20" customFormat="false" ht="15" hidden="false" customHeight="true" outlineLevel="0" collapsed="false">
      <c r="B20" s="5" t="s">
        <v>103</v>
      </c>
      <c r="C20" s="5" t="s">
        <v>104</v>
      </c>
      <c r="D20" s="11" t="n">
        <v>10300</v>
      </c>
      <c r="E20" s="11" t="n">
        <v>10300</v>
      </c>
      <c r="F20" s="11" t="n">
        <v>5311</v>
      </c>
      <c r="G20" s="11" t="n">
        <f aca="false">E20-F20</f>
        <v>4989</v>
      </c>
      <c r="H20" s="12" t="n">
        <f aca="false">IF(E20=0,0,F20/E20)</f>
        <v>0.515631067961165</v>
      </c>
    </row>
    <row r="21" customFormat="false" ht="15" hidden="false" customHeight="true" outlineLevel="0" collapsed="false">
      <c r="B21" s="5" t="s">
        <v>105</v>
      </c>
      <c r="C21" s="5" t="s">
        <v>106</v>
      </c>
      <c r="D21" s="11" t="n">
        <v>14000</v>
      </c>
      <c r="E21" s="11" t="n">
        <v>14000</v>
      </c>
      <c r="F21" s="11" t="n">
        <v>6465.89</v>
      </c>
      <c r="G21" s="11" t="n">
        <f aca="false">E21-F21</f>
        <v>7534.11</v>
      </c>
      <c r="H21" s="12" t="n">
        <f aca="false">IF(E21=0,0,F21/E21)</f>
        <v>0.461849285714286</v>
      </c>
    </row>
    <row r="22" customFormat="false" ht="15" hidden="false" customHeight="true" outlineLevel="0" collapsed="false">
      <c r="B22" s="5" t="s">
        <v>107</v>
      </c>
      <c r="C22" s="5" t="s">
        <v>108</v>
      </c>
      <c r="D22" s="11" t="n">
        <v>5460</v>
      </c>
      <c r="E22" s="11" t="n">
        <v>5460</v>
      </c>
      <c r="F22" s="11" t="n">
        <v>5222.75</v>
      </c>
      <c r="G22" s="11" t="n">
        <f aca="false">E22-F22</f>
        <v>237.25</v>
      </c>
      <c r="H22" s="12" t="n">
        <f aca="false">IF(E22=0,0,F22/E22)</f>
        <v>0.956547619047619</v>
      </c>
    </row>
    <row r="23" customFormat="false" ht="15" hidden="false" customHeight="true" outlineLevel="0" collapsed="false">
      <c r="B23" s="5" t="s">
        <v>109</v>
      </c>
      <c r="C23" s="5" t="s">
        <v>110</v>
      </c>
      <c r="D23" s="11" t="n">
        <v>0</v>
      </c>
      <c r="E23" s="11" t="n">
        <v>6000</v>
      </c>
      <c r="F23" s="11" t="n">
        <v>3664.54</v>
      </c>
      <c r="G23" s="11" t="n">
        <f aca="false">E23-F23</f>
        <v>2335.46</v>
      </c>
      <c r="H23" s="12" t="n">
        <f aca="false">IF(E23=0,0,F23/E23)</f>
        <v>0.610756666666667</v>
      </c>
    </row>
    <row r="24" customFormat="false" ht="15" hidden="false" customHeight="true" outlineLevel="0" collapsed="false">
      <c r="B24" s="5" t="s">
        <v>111</v>
      </c>
      <c r="C24" s="5" t="s">
        <v>112</v>
      </c>
      <c r="D24" s="11" t="n">
        <v>82540</v>
      </c>
      <c r="E24" s="11" t="n">
        <v>82840</v>
      </c>
      <c r="F24" s="11" t="n">
        <v>48840.52</v>
      </c>
      <c r="G24" s="11" t="n">
        <f aca="false">E24-F24</f>
        <v>33999.48</v>
      </c>
      <c r="H24" s="12" t="n">
        <f aca="false">IF(E24=0,0,F24/E24)</f>
        <v>0.589576533075809</v>
      </c>
    </row>
    <row r="25" customFormat="false" ht="15" hidden="false" customHeight="true" outlineLevel="0" collapsed="false">
      <c r="B25" s="5" t="s">
        <v>113</v>
      </c>
      <c r="C25" s="5" t="s">
        <v>114</v>
      </c>
      <c r="D25" s="11" t="n">
        <v>231620</v>
      </c>
      <c r="E25" s="11" t="n">
        <v>259734</v>
      </c>
      <c r="F25" s="11" t="n">
        <v>207101.2</v>
      </c>
      <c r="G25" s="11" t="n">
        <f aca="false">E25-F25</f>
        <v>52632.8</v>
      </c>
      <c r="H25" s="12" t="n">
        <f aca="false">IF(E25=0,0,F25/E25)</f>
        <v>0.797358836347956</v>
      </c>
    </row>
    <row r="26" customFormat="false" ht="15" hidden="false" customHeight="true" outlineLevel="0" collapsed="false">
      <c r="B26" s="5" t="s">
        <v>115</v>
      </c>
      <c r="C26" s="5" t="s">
        <v>116</v>
      </c>
      <c r="D26" s="11" t="n">
        <v>7800</v>
      </c>
      <c r="E26" s="11" t="n">
        <v>7800</v>
      </c>
      <c r="F26" s="11" t="n">
        <v>15147.02</v>
      </c>
      <c r="G26" s="11" t="n">
        <f aca="false">E26-F26</f>
        <v>-7347.02</v>
      </c>
      <c r="H26" s="12" t="n">
        <f aca="false">IF(E26=0,0,F26/E26)</f>
        <v>1.94192564102564</v>
      </c>
    </row>
    <row r="27" customFormat="false" ht="15" hidden="false" customHeight="true" outlineLevel="0" collapsed="false">
      <c r="B27" s="5" t="s">
        <v>117</v>
      </c>
      <c r="C27" s="5" t="s">
        <v>118</v>
      </c>
      <c r="D27" s="11" t="n">
        <v>2500</v>
      </c>
      <c r="E27" s="11" t="n">
        <v>2500</v>
      </c>
      <c r="F27" s="11" t="n">
        <v>1233.58</v>
      </c>
      <c r="G27" s="11" t="n">
        <f aca="false">E27-F27</f>
        <v>1266.42</v>
      </c>
      <c r="H27" s="12" t="n">
        <f aca="false">IF(E27=0,0,F27/E27)</f>
        <v>0.493432</v>
      </c>
    </row>
    <row r="28" customFormat="false" ht="15" hidden="false" customHeight="true" outlineLevel="0" collapsed="false">
      <c r="B28" s="5" t="s">
        <v>119</v>
      </c>
      <c r="C28" s="5" t="s">
        <v>120</v>
      </c>
      <c r="D28" s="11" t="n">
        <v>0</v>
      </c>
      <c r="E28" s="11" t="n">
        <v>0</v>
      </c>
      <c r="F28" s="11" t="n">
        <v>0</v>
      </c>
      <c r="G28" s="11" t="n">
        <f aca="false">E28-F28</f>
        <v>0</v>
      </c>
      <c r="H28" s="12" t="n">
        <f aca="false">IF(E28=0,0,F28/E28)</f>
        <v>0</v>
      </c>
    </row>
    <row r="29" customFormat="false" ht="15" hidden="false" customHeight="true" outlineLevel="0" collapsed="false">
      <c r="B29" s="5" t="s">
        <v>121</v>
      </c>
      <c r="C29" s="5" t="s">
        <v>122</v>
      </c>
      <c r="D29" s="11" t="n">
        <v>0</v>
      </c>
      <c r="E29" s="11" t="n">
        <v>0</v>
      </c>
      <c r="F29" s="11" t="n">
        <v>884.62</v>
      </c>
      <c r="G29" s="11" t="n">
        <f aca="false">E29-F29</f>
        <v>-884.62</v>
      </c>
      <c r="H29" s="12" t="n">
        <f aca="false">IF(E29=0,0,F29/E29)</f>
        <v>0</v>
      </c>
    </row>
    <row r="30" customFormat="false" ht="15" hidden="false" customHeight="true" outlineLevel="0" collapsed="false">
      <c r="B30" s="4" t="s">
        <v>123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5" t="s">
        <v>124</v>
      </c>
      <c r="C31" s="5" t="s">
        <v>125</v>
      </c>
      <c r="D31" s="11" t="n">
        <v>10000</v>
      </c>
      <c r="E31" s="11" t="n">
        <v>13085</v>
      </c>
      <c r="F31" s="11" t="n">
        <v>6346.07</v>
      </c>
      <c r="G31" s="11" t="n">
        <f aca="false">E31-F31</f>
        <v>6738.93</v>
      </c>
      <c r="H31" s="12" t="n">
        <f aca="false">IF(E31=0,0,F31/E31)</f>
        <v>0.484988154375239</v>
      </c>
    </row>
    <row r="32" customFormat="false" ht="15" hidden="false" customHeight="true" outlineLevel="0" collapsed="false">
      <c r="B32" s="5" t="s">
        <v>126</v>
      </c>
      <c r="C32" s="5" t="s">
        <v>127</v>
      </c>
      <c r="D32" s="11" t="n">
        <v>25000</v>
      </c>
      <c r="E32" s="11" t="n">
        <v>25000</v>
      </c>
      <c r="F32" s="11" t="n">
        <v>12573.03</v>
      </c>
      <c r="G32" s="11" t="n">
        <f aca="false">E32-F32</f>
        <v>12426.97</v>
      </c>
      <c r="H32" s="12" t="n">
        <f aca="false">IF(E32=0,0,F32/E32)</f>
        <v>0.5029212</v>
      </c>
    </row>
    <row r="33" customFormat="false" ht="15" hidden="false" customHeight="true" outlineLevel="0" collapsed="false">
      <c r="B33" s="5" t="s">
        <v>128</v>
      </c>
      <c r="C33" s="5" t="s">
        <v>129</v>
      </c>
      <c r="D33" s="11" t="n">
        <v>7630</v>
      </c>
      <c r="E33" s="11" t="n">
        <v>7640</v>
      </c>
      <c r="F33" s="11" t="n">
        <v>7291</v>
      </c>
      <c r="G33" s="11" t="n">
        <f aca="false">E33-F33</f>
        <v>349</v>
      </c>
      <c r="H33" s="12" t="n">
        <f aca="false">IF(E33=0,0,F33/E33)</f>
        <v>0.954319371727749</v>
      </c>
    </row>
    <row r="34" customFormat="false" ht="15" hidden="false" customHeight="true" outlineLevel="0" collapsed="false">
      <c r="B34" s="4" t="s">
        <v>130</v>
      </c>
      <c r="C34" s="4"/>
      <c r="D34" s="4"/>
      <c r="E34" s="4"/>
      <c r="F34" s="4"/>
      <c r="G34" s="4"/>
      <c r="H34" s="4"/>
    </row>
    <row r="35" customFormat="false" ht="15" hidden="false" customHeight="true" outlineLevel="0" collapsed="false">
      <c r="B35" s="5" t="s">
        <v>131</v>
      </c>
      <c r="C35" s="5" t="s">
        <v>132</v>
      </c>
      <c r="D35" s="11" t="n">
        <v>73133.62</v>
      </c>
      <c r="E35" s="11" t="n">
        <v>75712.95</v>
      </c>
      <c r="F35" s="11" t="n">
        <v>61834.11</v>
      </c>
      <c r="G35" s="11" t="n">
        <f aca="false">E35-F35</f>
        <v>13878.84</v>
      </c>
      <c r="H35" s="12" t="n">
        <f aca="false">IF(E35=0,0,F35/E35)</f>
        <v>0.816691332196144</v>
      </c>
    </row>
    <row r="36" customFormat="false" ht="15" hidden="false" customHeight="true" outlineLevel="0" collapsed="false">
      <c r="B36" s="5" t="s">
        <v>133</v>
      </c>
      <c r="C36" s="5" t="s">
        <v>134</v>
      </c>
      <c r="D36" s="11" t="n">
        <v>12905.93</v>
      </c>
      <c r="E36" s="11" t="n">
        <v>13338.16</v>
      </c>
      <c r="F36" s="11" t="n">
        <v>10930.61</v>
      </c>
      <c r="G36" s="11" t="n">
        <f aca="false">E36-F36</f>
        <v>2407.55</v>
      </c>
      <c r="H36" s="12" t="n">
        <f aca="false">IF(E36=0,0,F36/E36)</f>
        <v>0.819499091328939</v>
      </c>
    </row>
    <row r="37" customFormat="false" ht="15" hidden="false" customHeight="true" outlineLevel="0" collapsed="false">
      <c r="B37" s="6" t="s">
        <v>38</v>
      </c>
      <c r="C37" s="6" t="s">
        <v>135</v>
      </c>
      <c r="D37" s="13" t="n">
        <v>656319.55</v>
      </c>
      <c r="E37" s="13" t="n">
        <v>702790.11</v>
      </c>
      <c r="F37" s="13" t="n">
        <v>536863.45</v>
      </c>
      <c r="G37" s="13" t="n">
        <f aca="false">E37-F37</f>
        <v>165926.66</v>
      </c>
      <c r="H37" s="14" t="n">
        <f aca="false">IF(E37=0,0,F37/E37)</f>
        <v>0.763902966705095</v>
      </c>
    </row>
    <row r="40" customFormat="false" ht="15" hidden="false" customHeight="true" outlineLevel="0" collapsed="false">
      <c r="B40" s="4" t="s">
        <v>62</v>
      </c>
      <c r="C40" s="4"/>
      <c r="D40" s="4"/>
      <c r="E40" s="4"/>
      <c r="F40" s="4"/>
      <c r="G40" s="4"/>
      <c r="H40" s="4"/>
    </row>
    <row r="41" customFormat="false" ht="15" hidden="false" customHeight="true" outlineLevel="0" collapsed="false">
      <c r="B41" s="3" t="s">
        <v>63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64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65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66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67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68</v>
      </c>
      <c r="C46" s="3"/>
      <c r="D46" s="3"/>
      <c r="E46" s="3"/>
      <c r="F46" s="3"/>
      <c r="G46" s="3"/>
      <c r="H46" s="3"/>
    </row>
  </sheetData>
  <mergeCells count="12">
    <mergeCell ref="B2:H2"/>
    <mergeCell ref="B5:H5"/>
    <mergeCell ref="B18:H18"/>
    <mergeCell ref="B30:H30"/>
    <mergeCell ref="B34:H34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137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138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139</v>
      </c>
    </row>
    <row r="6" customFormat="false" ht="15" hidden="false" customHeight="true" outlineLevel="0" collapsed="false">
      <c r="B6" s="5" t="s">
        <v>34</v>
      </c>
      <c r="C6" s="15" t="n">
        <v>12</v>
      </c>
      <c r="D6" s="11" t="n">
        <v>174655</v>
      </c>
      <c r="E6" s="11" t="n">
        <v>142882.75</v>
      </c>
      <c r="F6" s="11" t="n">
        <f aca="false">D6-E6</f>
        <v>31772.25</v>
      </c>
      <c r="G6" s="12" t="n">
        <f aca="false">IF(D6=0,0,E6/D6)</f>
        <v>0.818085654576164</v>
      </c>
      <c r="H6" s="12" t="n">
        <f aca="false">IF(536863.45=0,0,E6/536863.45)</f>
        <v>0.266143560341089</v>
      </c>
      <c r="I6" s="11" t="n">
        <f aca="false">IF(117=0,0,E6/117)</f>
        <v>1221.22008547009</v>
      </c>
    </row>
    <row r="7" customFormat="false" ht="15" hidden="false" customHeight="true" outlineLevel="0" collapsed="false">
      <c r="B7" s="5" t="s">
        <v>35</v>
      </c>
      <c r="C7" s="15" t="n">
        <v>11</v>
      </c>
      <c r="D7" s="11" t="n">
        <v>393359</v>
      </c>
      <c r="E7" s="11" t="n">
        <v>295005.88</v>
      </c>
      <c r="F7" s="11" t="n">
        <f aca="false">D7-E7</f>
        <v>98353.12</v>
      </c>
      <c r="G7" s="12" t="n">
        <f aca="false">IF(D7=0,0,E7/D7)</f>
        <v>0.749966010692523</v>
      </c>
      <c r="H7" s="12" t="n">
        <f aca="false">IF(536863.45=0,0,E7/536863.45)</f>
        <v>0.549498908893872</v>
      </c>
      <c r="I7" s="11" t="n">
        <f aca="false">IF(117=0,0,E7/117)</f>
        <v>2521.41777777778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45725</v>
      </c>
      <c r="E8" s="11" t="n">
        <v>26210.1</v>
      </c>
      <c r="F8" s="11" t="n">
        <f aca="false">D8-E8</f>
        <v>19514.9</v>
      </c>
      <c r="G8" s="12" t="n">
        <f aca="false">IF(D8=0,0,E8/D8)</f>
        <v>0.573211591033352</v>
      </c>
      <c r="H8" s="12" t="n">
        <f aca="false">IF(536863.45=0,0,E8/536863.45)</f>
        <v>0.0488207941889134</v>
      </c>
      <c r="I8" s="11" t="n">
        <f aca="false">IF(117=0,0,E8/117)</f>
        <v>224.017948717949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89051.11</v>
      </c>
      <c r="E9" s="11" t="n">
        <v>72764.72</v>
      </c>
      <c r="F9" s="11" t="n">
        <f aca="false">D9-E9</f>
        <v>16286.39</v>
      </c>
      <c r="G9" s="12" t="n">
        <f aca="false">IF(D9=0,0,E9/D9)</f>
        <v>0.817111881031017</v>
      </c>
      <c r="H9" s="12" t="n">
        <f aca="false">IF(536863.45=0,0,E9/536863.45)</f>
        <v>0.135536736576126</v>
      </c>
      <c r="I9" s="11" t="n">
        <f aca="false">IF(117=0,0,E9/117)</f>
        <v>621.920683760684</v>
      </c>
    </row>
    <row r="12" customFormat="false" ht="15" hidden="false" customHeight="true" outlineLevel="0" collapsed="false">
      <c r="B12" s="4" t="s">
        <v>140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70</v>
      </c>
      <c r="C13" s="10" t="s">
        <v>71</v>
      </c>
      <c r="D13" s="10" t="s">
        <v>73</v>
      </c>
      <c r="E13" s="10" t="s">
        <v>30</v>
      </c>
      <c r="F13" s="10" t="s">
        <v>141</v>
      </c>
      <c r="G13" s="10" t="s">
        <v>142</v>
      </c>
    </row>
    <row r="14" customFormat="false" ht="15" hidden="false" customHeight="true" outlineLevel="0" collapsed="false">
      <c r="B14" s="5" t="s">
        <v>115</v>
      </c>
      <c r="C14" s="5" t="s">
        <v>116</v>
      </c>
      <c r="D14" s="11" t="n">
        <v>7800</v>
      </c>
      <c r="E14" s="11" t="n">
        <v>15147.02</v>
      </c>
      <c r="F14" s="11" t="n">
        <f aca="false">E14-D14</f>
        <v>7347.02</v>
      </c>
      <c r="G14" s="12" t="n">
        <f aca="false">IF(D14=0,0,F14/D14)</f>
        <v>0.941925641025641</v>
      </c>
    </row>
    <row r="15" customFormat="false" ht="15" hidden="false" customHeight="true" outlineLevel="0" collapsed="false">
      <c r="B15" s="5" t="s">
        <v>121</v>
      </c>
      <c r="C15" s="5" t="s">
        <v>122</v>
      </c>
      <c r="D15" s="11" t="n">
        <v>0</v>
      </c>
      <c r="E15" s="11" t="n">
        <v>884.62</v>
      </c>
      <c r="F15" s="11" t="n">
        <f aca="false">E15-D15</f>
        <v>884.62</v>
      </c>
      <c r="G15" s="12" t="n">
        <f aca="false">IF(D15=0,0,F15/D15)</f>
        <v>0</v>
      </c>
    </row>
    <row r="16" customFormat="false" ht="15" hidden="false" customHeight="true" outlineLevel="0" collapsed="false">
      <c r="B16" s="5" t="s">
        <v>94</v>
      </c>
      <c r="C16" s="5" t="s">
        <v>95</v>
      </c>
      <c r="D16" s="11" t="n">
        <v>0</v>
      </c>
      <c r="E16" s="11" t="n">
        <v>208</v>
      </c>
      <c r="F16" s="11" t="n">
        <f aca="false">E16-D16</f>
        <v>208</v>
      </c>
      <c r="G16" s="12" t="n">
        <f aca="false">IF(D16=0,0,F16/D16)</f>
        <v>0</v>
      </c>
    </row>
    <row r="19" customFormat="false" ht="15" hidden="false" customHeight="true" outlineLevel="0" collapsed="false">
      <c r="B19" s="4" t="s">
        <v>143</v>
      </c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B20" s="10" t="s">
        <v>70</v>
      </c>
      <c r="C20" s="10" t="s">
        <v>71</v>
      </c>
      <c r="D20" s="10" t="s">
        <v>73</v>
      </c>
      <c r="E20" s="10" t="s">
        <v>30</v>
      </c>
      <c r="F20" s="10" t="s">
        <v>144</v>
      </c>
      <c r="G20" s="10" t="s">
        <v>145</v>
      </c>
    </row>
    <row r="21" customFormat="false" ht="15" hidden="false" customHeight="true" outlineLevel="0" collapsed="false">
      <c r="B21" s="5" t="s">
        <v>113</v>
      </c>
      <c r="C21" s="5" t="s">
        <v>114</v>
      </c>
      <c r="D21" s="11" t="n">
        <v>259734</v>
      </c>
      <c r="E21" s="11" t="n">
        <v>207101.2</v>
      </c>
      <c r="F21" s="11" t="n">
        <f aca="false">D21-E21</f>
        <v>52632.8</v>
      </c>
      <c r="G21" s="12" t="n">
        <f aca="false">IF(D21=0,0,F21/D21)</f>
        <v>0.202641163652044</v>
      </c>
    </row>
    <row r="22" customFormat="false" ht="15" hidden="false" customHeight="true" outlineLevel="0" collapsed="false">
      <c r="B22" s="5" t="s">
        <v>111</v>
      </c>
      <c r="C22" s="5" t="s">
        <v>112</v>
      </c>
      <c r="D22" s="11" t="n">
        <v>82840</v>
      </c>
      <c r="E22" s="11" t="n">
        <v>48840.52</v>
      </c>
      <c r="F22" s="11" t="n">
        <f aca="false">D22-E22</f>
        <v>33999.48</v>
      </c>
      <c r="G22" s="12" t="n">
        <f aca="false">IF(D22=0,0,F22/D22)</f>
        <v>0.410423466924191</v>
      </c>
    </row>
    <row r="23" customFormat="false" ht="15" hidden="false" customHeight="true" outlineLevel="0" collapsed="false">
      <c r="B23" s="5" t="s">
        <v>131</v>
      </c>
      <c r="C23" s="5" t="s">
        <v>132</v>
      </c>
      <c r="D23" s="11" t="n">
        <v>75712.95</v>
      </c>
      <c r="E23" s="11" t="n">
        <v>61834.11</v>
      </c>
      <c r="F23" s="11" t="n">
        <f aca="false">D23-E23</f>
        <v>13878.84</v>
      </c>
      <c r="G23" s="12" t="n">
        <f aca="false">IF(D23=0,0,F23/D23)</f>
        <v>0.183308667803857</v>
      </c>
    </row>
    <row r="24" customFormat="false" ht="15" hidden="false" customHeight="true" outlineLevel="0" collapsed="false">
      <c r="B24" s="5" t="s">
        <v>126</v>
      </c>
      <c r="C24" s="5" t="s">
        <v>127</v>
      </c>
      <c r="D24" s="11" t="n">
        <v>25000</v>
      </c>
      <c r="E24" s="11" t="n">
        <v>12573.03</v>
      </c>
      <c r="F24" s="11" t="n">
        <f aca="false">D24-E24</f>
        <v>12426.97</v>
      </c>
      <c r="G24" s="12" t="n">
        <f aca="false">IF(D24=0,0,F24/D24)</f>
        <v>0.4970788</v>
      </c>
    </row>
    <row r="25" customFormat="false" ht="15" hidden="false" customHeight="true" outlineLevel="0" collapsed="false">
      <c r="B25" s="5" t="s">
        <v>105</v>
      </c>
      <c r="C25" s="5" t="s">
        <v>106</v>
      </c>
      <c r="D25" s="11" t="n">
        <v>14000</v>
      </c>
      <c r="E25" s="11" t="n">
        <v>6465.89</v>
      </c>
      <c r="F25" s="11" t="n">
        <f aca="false">D25-E25</f>
        <v>7534.11</v>
      </c>
      <c r="G25" s="12" t="n">
        <f aca="false">IF(D25=0,0,F25/D25)</f>
        <v>0.538150714285714</v>
      </c>
    </row>
    <row r="26" customFormat="false" ht="15" hidden="false" customHeight="true" outlineLevel="0" collapsed="false">
      <c r="B26" s="5" t="s">
        <v>124</v>
      </c>
      <c r="C26" s="5" t="s">
        <v>125</v>
      </c>
      <c r="D26" s="11" t="n">
        <v>13085</v>
      </c>
      <c r="E26" s="11" t="n">
        <v>6346.07</v>
      </c>
      <c r="F26" s="11" t="n">
        <f aca="false">D26-E26</f>
        <v>6738.93</v>
      </c>
      <c r="G26" s="12" t="n">
        <f aca="false">IF(D26=0,0,F26/D26)</f>
        <v>0.515011845624761</v>
      </c>
    </row>
    <row r="27" customFormat="false" ht="15" hidden="false" customHeight="true" outlineLevel="0" collapsed="false">
      <c r="B27" s="5" t="s">
        <v>82</v>
      </c>
      <c r="C27" s="5" t="s">
        <v>83</v>
      </c>
      <c r="D27" s="11" t="n">
        <v>13150</v>
      </c>
      <c r="E27" s="11" t="n">
        <v>6703</v>
      </c>
      <c r="F27" s="11" t="n">
        <f aca="false">D27-E27</f>
        <v>6447</v>
      </c>
      <c r="G27" s="12" t="n">
        <f aca="false">IF(D27=0,0,F27/D27)</f>
        <v>0.490266159695818</v>
      </c>
    </row>
    <row r="28" customFormat="false" ht="15" hidden="false" customHeight="true" outlineLevel="0" collapsed="false">
      <c r="B28" s="5" t="s">
        <v>84</v>
      </c>
      <c r="C28" s="5" t="s">
        <v>85</v>
      </c>
      <c r="D28" s="11" t="n">
        <v>16200</v>
      </c>
      <c r="E28" s="11" t="n">
        <v>10199</v>
      </c>
      <c r="F28" s="11" t="n">
        <f aca="false">D28-E28</f>
        <v>6001</v>
      </c>
      <c r="G28" s="12" t="n">
        <f aca="false">IF(D28=0,0,F28/D28)</f>
        <v>0.370432098765432</v>
      </c>
    </row>
    <row r="29" customFormat="false" ht="15" hidden="false" customHeight="true" outlineLevel="0" collapsed="false">
      <c r="B29" s="5" t="s">
        <v>103</v>
      </c>
      <c r="C29" s="5" t="s">
        <v>104</v>
      </c>
      <c r="D29" s="11" t="n">
        <v>10300</v>
      </c>
      <c r="E29" s="11" t="n">
        <v>5311</v>
      </c>
      <c r="F29" s="11" t="n">
        <f aca="false">D29-E29</f>
        <v>4989</v>
      </c>
      <c r="G29" s="12" t="n">
        <f aca="false">IF(D29=0,0,F29/D29)</f>
        <v>0.484368932038835</v>
      </c>
    </row>
    <row r="30" customFormat="false" ht="15" hidden="false" customHeight="true" outlineLevel="0" collapsed="false">
      <c r="B30" s="5" t="s">
        <v>78</v>
      </c>
      <c r="C30" s="5" t="s">
        <v>79</v>
      </c>
      <c r="D30" s="11" t="n">
        <v>8190</v>
      </c>
      <c r="E30" s="11" t="n">
        <v>4164</v>
      </c>
      <c r="F30" s="11" t="n">
        <f aca="false">D30-E30</f>
        <v>4026</v>
      </c>
      <c r="G30" s="12" t="n">
        <f aca="false">IF(D30=0,0,F30/D30)</f>
        <v>0.491575091575092</v>
      </c>
    </row>
    <row r="33" customFormat="false" ht="15" hidden="false" customHeight="true" outlineLevel="0" collapsed="false">
      <c r="B33" s="4" t="s">
        <v>62</v>
      </c>
      <c r="C33" s="4"/>
      <c r="D33" s="4"/>
      <c r="E33" s="4"/>
      <c r="F33" s="4"/>
      <c r="G33" s="4"/>
      <c r="H33" s="4"/>
      <c r="I33" s="4"/>
    </row>
    <row r="34" customFormat="false" ht="15" hidden="false" customHeight="true" outlineLevel="0" collapsed="false">
      <c r="B34" s="3" t="s">
        <v>63</v>
      </c>
      <c r="C34" s="3"/>
      <c r="D34" s="3"/>
      <c r="E34" s="3"/>
      <c r="F34" s="3"/>
      <c r="G34" s="3"/>
      <c r="H34" s="3"/>
      <c r="I34" s="3"/>
    </row>
    <row r="35" customFormat="false" ht="15" hidden="false" customHeight="true" outlineLevel="0" collapsed="false">
      <c r="B35" s="3" t="s">
        <v>64</v>
      </c>
      <c r="C35" s="3"/>
      <c r="D35" s="3"/>
      <c r="E35" s="3"/>
      <c r="F35" s="3"/>
      <c r="G35" s="3"/>
      <c r="H35" s="3"/>
      <c r="I35" s="3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  <c r="H36" s="3"/>
      <c r="I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  <c r="H39" s="3"/>
      <c r="I39" s="3"/>
    </row>
  </sheetData>
  <mergeCells count="11">
    <mergeCell ref="B2:I2"/>
    <mergeCell ref="B4:I4"/>
    <mergeCell ref="B12:I12"/>
    <mergeCell ref="B19:I19"/>
    <mergeCell ref="B33:I33"/>
    <mergeCell ref="B34:I34"/>
    <mergeCell ref="B35:I35"/>
    <mergeCell ref="B36:I36"/>
    <mergeCell ref="B37:I37"/>
    <mergeCell ref="B38:I38"/>
    <mergeCell ref="B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146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147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148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70</v>
      </c>
      <c r="C6" s="10" t="s">
        <v>71</v>
      </c>
      <c r="D6" s="10" t="s">
        <v>73</v>
      </c>
      <c r="E6" s="10" t="s">
        <v>30</v>
      </c>
      <c r="F6" s="10" t="s">
        <v>31</v>
      </c>
      <c r="G6" s="10" t="s">
        <v>74</v>
      </c>
      <c r="H6" s="10" t="s">
        <v>149</v>
      </c>
      <c r="I6" s="10" t="s">
        <v>139</v>
      </c>
    </row>
    <row r="7" customFormat="false" ht="15" hidden="false" customHeight="true" outlineLevel="0" collapsed="false">
      <c r="B7" s="5" t="s">
        <v>101</v>
      </c>
      <c r="C7" s="5" t="s">
        <v>102</v>
      </c>
      <c r="D7" s="11" t="n">
        <v>4725</v>
      </c>
      <c r="E7" s="11" t="n">
        <v>1134.76</v>
      </c>
      <c r="F7" s="11" t="n">
        <f aca="false">D7-E7</f>
        <v>3590.24</v>
      </c>
      <c r="G7" s="12" t="n">
        <f aca="false">IF(D7=0,0,E7/D7)</f>
        <v>0.240160846560847</v>
      </c>
      <c r="H7" s="12" t="n">
        <f aca="false">IF(295005.88=0,0,E7/295005.88)</f>
        <v>0.0038465673972329</v>
      </c>
      <c r="I7" s="11" t="n">
        <f aca="false">IF(117=0,0,E7/117)</f>
        <v>9.69880341880342</v>
      </c>
    </row>
    <row r="8" customFormat="false" ht="15" hidden="false" customHeight="true" outlineLevel="0" collapsed="false">
      <c r="B8" s="5" t="s">
        <v>103</v>
      </c>
      <c r="C8" s="5" t="s">
        <v>104</v>
      </c>
      <c r="D8" s="11" t="n">
        <v>10300</v>
      </c>
      <c r="E8" s="11" t="n">
        <v>5311</v>
      </c>
      <c r="F8" s="11" t="n">
        <f aca="false">D8-E8</f>
        <v>4989</v>
      </c>
      <c r="G8" s="12" t="n">
        <f aca="false">IF(D8=0,0,E8/D8)</f>
        <v>0.515631067961165</v>
      </c>
      <c r="H8" s="12" t="n">
        <f aca="false">IF(295005.88=0,0,E8/295005.88)</f>
        <v>0.0180030309904331</v>
      </c>
      <c r="I8" s="11" t="n">
        <f aca="false">IF(117=0,0,E8/117)</f>
        <v>45.3931623931624</v>
      </c>
    </row>
    <row r="9" customFormat="false" ht="15" hidden="false" customHeight="true" outlineLevel="0" collapsed="false">
      <c r="B9" s="5" t="s">
        <v>105</v>
      </c>
      <c r="C9" s="5" t="s">
        <v>106</v>
      </c>
      <c r="D9" s="11" t="n">
        <v>14000</v>
      </c>
      <c r="E9" s="11" t="n">
        <v>6465.89</v>
      </c>
      <c r="F9" s="11" t="n">
        <f aca="false">D9-E9</f>
        <v>7534.11</v>
      </c>
      <c r="G9" s="12" t="n">
        <f aca="false">IF(D9=0,0,E9/D9)</f>
        <v>0.461849285714286</v>
      </c>
      <c r="H9" s="12" t="n">
        <f aca="false">IF(295005.88=0,0,E9/295005.88)</f>
        <v>0.0219178343157092</v>
      </c>
      <c r="I9" s="11" t="n">
        <f aca="false">IF(117=0,0,E9/117)</f>
        <v>55.2640170940171</v>
      </c>
    </row>
    <row r="10" customFormat="false" ht="15" hidden="false" customHeight="true" outlineLevel="0" collapsed="false">
      <c r="B10" s="5" t="s">
        <v>107</v>
      </c>
      <c r="C10" s="5" t="s">
        <v>108</v>
      </c>
      <c r="D10" s="11" t="n">
        <v>5460</v>
      </c>
      <c r="E10" s="11" t="n">
        <v>5222.75</v>
      </c>
      <c r="F10" s="11" t="n">
        <f aca="false">D10-E10</f>
        <v>237.25</v>
      </c>
      <c r="G10" s="12" t="n">
        <f aca="false">IF(D10=0,0,E10/D10)</f>
        <v>0.956547619047619</v>
      </c>
      <c r="H10" s="12" t="n">
        <f aca="false">IF(295005.88=0,0,E10/295005.88)</f>
        <v>0.0177038844107107</v>
      </c>
      <c r="I10" s="11" t="n">
        <f aca="false">IF(117=0,0,E10/117)</f>
        <v>44.6388888888889</v>
      </c>
    </row>
    <row r="11" customFormat="false" ht="15" hidden="false" customHeight="true" outlineLevel="0" collapsed="false">
      <c r="B11" s="5" t="s">
        <v>109</v>
      </c>
      <c r="C11" s="5" t="s">
        <v>110</v>
      </c>
      <c r="D11" s="11" t="n">
        <v>6000</v>
      </c>
      <c r="E11" s="11" t="n">
        <v>3664.54</v>
      </c>
      <c r="F11" s="11" t="n">
        <f aca="false">D11-E11</f>
        <v>2335.46</v>
      </c>
      <c r="G11" s="12" t="n">
        <f aca="false">IF(D11=0,0,E11/D11)</f>
        <v>0.610756666666667</v>
      </c>
      <c r="H11" s="12" t="n">
        <f aca="false">IF(295005.88=0,0,E11/295005.88)</f>
        <v>0.0124219218952517</v>
      </c>
      <c r="I11" s="11" t="n">
        <f aca="false">IF(117=0,0,E11/117)</f>
        <v>31.3208547008547</v>
      </c>
    </row>
    <row r="12" customFormat="false" ht="15" hidden="false" customHeight="true" outlineLevel="0" collapsed="false">
      <c r="B12" s="5" t="s">
        <v>111</v>
      </c>
      <c r="C12" s="5" t="s">
        <v>112</v>
      </c>
      <c r="D12" s="11" t="n">
        <v>82840</v>
      </c>
      <c r="E12" s="11" t="n">
        <v>48840.52</v>
      </c>
      <c r="F12" s="11" t="n">
        <f aca="false">D12-E12</f>
        <v>33999.48</v>
      </c>
      <c r="G12" s="12" t="n">
        <f aca="false">IF(D12=0,0,E12/D12)</f>
        <v>0.589576533075809</v>
      </c>
      <c r="H12" s="12" t="n">
        <f aca="false">IF(295005.88=0,0,E12/295005.88)</f>
        <v>0.165557784814323</v>
      </c>
      <c r="I12" s="11" t="n">
        <f aca="false">IF(117=0,0,E12/117)</f>
        <v>417.440341880342</v>
      </c>
    </row>
    <row r="13" customFormat="false" ht="15" hidden="false" customHeight="true" outlineLevel="0" collapsed="false">
      <c r="B13" s="5" t="s">
        <v>113</v>
      </c>
      <c r="C13" s="5" t="s">
        <v>114</v>
      </c>
      <c r="D13" s="11" t="n">
        <v>259734</v>
      </c>
      <c r="E13" s="11" t="n">
        <v>207101.2</v>
      </c>
      <c r="F13" s="11" t="n">
        <f aca="false">D13-E13</f>
        <v>52632.8</v>
      </c>
      <c r="G13" s="12" t="n">
        <f aca="false">IF(D13=0,0,E13/D13)</f>
        <v>0.797358836347956</v>
      </c>
      <c r="H13" s="12" t="n">
        <f aca="false">IF(295005.88=0,0,E13/295005.88)</f>
        <v>0.702023973217076</v>
      </c>
      <c r="I13" s="11" t="n">
        <f aca="false">IF(117=0,0,E13/117)</f>
        <v>1770.09572649573</v>
      </c>
    </row>
    <row r="14" customFormat="false" ht="15" hidden="false" customHeight="true" outlineLevel="0" collapsed="false">
      <c r="B14" s="5" t="s">
        <v>115</v>
      </c>
      <c r="C14" s="5" t="s">
        <v>116</v>
      </c>
      <c r="D14" s="11" t="n">
        <v>7800</v>
      </c>
      <c r="E14" s="11" t="n">
        <v>15147.02</v>
      </c>
      <c r="F14" s="11" t="n">
        <f aca="false">D14-E14</f>
        <v>-7347.02</v>
      </c>
      <c r="G14" s="12" t="n">
        <f aca="false">IF(D14=0,0,E14/D14)</f>
        <v>1.94192564102564</v>
      </c>
      <c r="H14" s="12" t="n">
        <f aca="false">IF(295005.88=0,0,E14/295005.88)</f>
        <v>0.0513448070933366</v>
      </c>
      <c r="I14" s="11" t="n">
        <f aca="false">IF(117=0,0,E14/117)</f>
        <v>129.461709401709</v>
      </c>
    </row>
    <row r="15" customFormat="false" ht="15" hidden="false" customHeight="true" outlineLevel="0" collapsed="false">
      <c r="B15" s="5" t="s">
        <v>117</v>
      </c>
      <c r="C15" s="5" t="s">
        <v>118</v>
      </c>
      <c r="D15" s="11" t="n">
        <v>2500</v>
      </c>
      <c r="E15" s="11" t="n">
        <v>1233.58</v>
      </c>
      <c r="F15" s="11" t="n">
        <f aca="false">D15-E15</f>
        <v>1266.42</v>
      </c>
      <c r="G15" s="12" t="n">
        <f aca="false">IF(D15=0,0,E15/D15)</f>
        <v>0.493432</v>
      </c>
      <c r="H15" s="12" t="n">
        <f aca="false">IF(295005.88=0,0,E15/295005.88)</f>
        <v>0.00418154377126314</v>
      </c>
      <c r="I15" s="11" t="n">
        <f aca="false">IF(117=0,0,E15/117)</f>
        <v>10.5434188034188</v>
      </c>
    </row>
    <row r="16" customFormat="false" ht="15" hidden="false" customHeight="true" outlineLevel="0" collapsed="false">
      <c r="B16" s="5" t="s">
        <v>119</v>
      </c>
      <c r="C16" s="5" t="s">
        <v>120</v>
      </c>
      <c r="D16" s="11" t="n">
        <v>0</v>
      </c>
      <c r="E16" s="11" t="n">
        <v>0</v>
      </c>
      <c r="F16" s="11" t="n">
        <f aca="false">D16-E16</f>
        <v>0</v>
      </c>
      <c r="G16" s="12" t="n">
        <f aca="false">IF(D16=0,0,E16/D16)</f>
        <v>0</v>
      </c>
      <c r="H16" s="12" t="n">
        <f aca="false">IF(295005.88=0,0,E16/295005.88)</f>
        <v>0</v>
      </c>
      <c r="I16" s="11" t="n">
        <f aca="false">IF(117=0,0,E16/117)</f>
        <v>0</v>
      </c>
    </row>
    <row r="17" customFormat="false" ht="15" hidden="false" customHeight="true" outlineLevel="0" collapsed="false">
      <c r="B17" s="5" t="s">
        <v>121</v>
      </c>
      <c r="C17" s="5" t="s">
        <v>122</v>
      </c>
      <c r="D17" s="11" t="n">
        <v>0</v>
      </c>
      <c r="E17" s="11" t="n">
        <v>884.62</v>
      </c>
      <c r="F17" s="11" t="n">
        <f aca="false">D17-E17</f>
        <v>-884.62</v>
      </c>
      <c r="G17" s="12" t="n">
        <f aca="false">IF(D17=0,0,E17/D17)</f>
        <v>0</v>
      </c>
      <c r="H17" s="12" t="n">
        <f aca="false">IF(295005.88=0,0,E17/295005.88)</f>
        <v>0.00299865209466333</v>
      </c>
      <c r="I17" s="11" t="n">
        <f aca="false">IF(117=0,0,E17/117)</f>
        <v>7.5608547008547</v>
      </c>
    </row>
    <row r="18" customFormat="false" ht="15" hidden="false" customHeight="true" outlineLevel="0" collapsed="false">
      <c r="B18" s="6" t="s">
        <v>38</v>
      </c>
      <c r="C18" s="6" t="s">
        <v>150</v>
      </c>
      <c r="D18" s="13" t="n">
        <f aca="false">SUM(D7:D17)</f>
        <v>393359</v>
      </c>
      <c r="E18" s="13" t="n">
        <f aca="false">SUM(E7:E17)</f>
        <v>295005.88</v>
      </c>
      <c r="F18" s="13" t="n">
        <f aca="false">D18-E18</f>
        <v>98353.12</v>
      </c>
      <c r="G18" s="14" t="n">
        <f aca="false">IF(D18=0,0,E18/D18)</f>
        <v>0.749966010692523</v>
      </c>
      <c r="H18" s="14" t="n">
        <v>1</v>
      </c>
      <c r="I18" s="13" t="n">
        <f aca="false">IF(117=0,0,E18/117)</f>
        <v>2521.41777777778</v>
      </c>
    </row>
    <row r="21" customFormat="false" ht="15" hidden="false" customHeight="true" outlineLevel="0" collapsed="false">
      <c r="B21" s="4" t="s">
        <v>151</v>
      </c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10" t="s">
        <v>152</v>
      </c>
      <c r="C22" s="10" t="s">
        <v>153</v>
      </c>
      <c r="D22" s="10" t="s">
        <v>154</v>
      </c>
      <c r="E22" s="10" t="s">
        <v>155</v>
      </c>
      <c r="F22" s="10"/>
      <c r="G22" s="10"/>
      <c r="H22" s="10"/>
      <c r="I22" s="10" t="s">
        <v>156</v>
      </c>
    </row>
    <row r="23" customFormat="false" ht="15" hidden="false" customHeight="true" outlineLevel="0" collapsed="false">
      <c r="B23" s="5" t="s">
        <v>157</v>
      </c>
      <c r="C23" s="15" t="n">
        <v>56</v>
      </c>
      <c r="D23" s="11" t="n">
        <v>302211.38</v>
      </c>
      <c r="E23" s="12" t="n">
        <f aca="false">IF(387378.94=0,0,D23/387378.94)</f>
        <v>0.780144062555388</v>
      </c>
      <c r="I23" s="11" t="n">
        <f aca="false">IF(C23=0,0,D23/C23)</f>
        <v>5396.63178571429</v>
      </c>
    </row>
    <row r="24" customFormat="false" ht="15" hidden="false" customHeight="true" outlineLevel="0" collapsed="false">
      <c r="B24" s="5" t="s">
        <v>158</v>
      </c>
      <c r="C24" s="15" t="n">
        <v>30</v>
      </c>
      <c r="D24" s="11" t="n">
        <v>35755.01</v>
      </c>
      <c r="E24" s="12" t="n">
        <f aca="false">IF(387378.94=0,0,D24/387378.94)</f>
        <v>0.0922998292059966</v>
      </c>
      <c r="I24" s="11" t="n">
        <f aca="false">IF(C24=0,0,D24/C24)</f>
        <v>1191.83366666667</v>
      </c>
    </row>
    <row r="25" customFormat="false" ht="15" hidden="false" customHeight="true" outlineLevel="0" collapsed="false">
      <c r="B25" s="5" t="s">
        <v>159</v>
      </c>
      <c r="C25" s="15" t="n">
        <v>5</v>
      </c>
      <c r="D25" s="11" t="n">
        <v>12487</v>
      </c>
      <c r="E25" s="12" t="n">
        <f aca="false">IF(387378.94=0,0,D25/387378.94)</f>
        <v>0.0322345866298256</v>
      </c>
      <c r="I25" s="11" t="n">
        <f aca="false">IF(C25=0,0,D25/C25)</f>
        <v>2497.4</v>
      </c>
    </row>
    <row r="26" customFormat="false" ht="15" hidden="false" customHeight="true" outlineLevel="0" collapsed="false">
      <c r="B26" s="5" t="s">
        <v>160</v>
      </c>
      <c r="C26" s="15" t="n">
        <v>13</v>
      </c>
      <c r="D26" s="11" t="n">
        <v>10651.28</v>
      </c>
      <c r="E26" s="12" t="n">
        <f aca="false">IF(387378.94=0,0,D26/387378.94)</f>
        <v>0.0274957642250764</v>
      </c>
      <c r="I26" s="11" t="n">
        <f aca="false">IF(C26=0,0,D26/C26)</f>
        <v>819.329230769231</v>
      </c>
    </row>
    <row r="27" customFormat="false" ht="15" hidden="false" customHeight="true" outlineLevel="0" collapsed="false">
      <c r="B27" s="5" t="s">
        <v>161</v>
      </c>
      <c r="C27" s="15" t="n">
        <v>4</v>
      </c>
      <c r="D27" s="11" t="n">
        <v>8107.96</v>
      </c>
      <c r="E27" s="12" t="n">
        <f aca="false">IF(387378.94=0,0,D27/387378.94)</f>
        <v>0.0209303066397982</v>
      </c>
      <c r="I27" s="11" t="n">
        <f aca="false">IF(C27=0,0,D27/C27)</f>
        <v>2026.99</v>
      </c>
    </row>
    <row r="28" customFormat="false" ht="15" hidden="false" customHeight="true" outlineLevel="0" collapsed="false">
      <c r="B28" s="5" t="s">
        <v>162</v>
      </c>
      <c r="C28" s="15" t="n">
        <v>3</v>
      </c>
      <c r="D28" s="11" t="n">
        <v>7291</v>
      </c>
      <c r="E28" s="12" t="n">
        <f aca="false">IF(387378.94=0,0,D28/387378.94)</f>
        <v>0.0188213639079089</v>
      </c>
      <c r="I28" s="11" t="n">
        <f aca="false">IF(C28=0,0,D28/C28)</f>
        <v>2430.33333333333</v>
      </c>
    </row>
    <row r="29" customFormat="false" ht="15" hidden="false" customHeight="true" outlineLevel="0" collapsed="false">
      <c r="B29" s="5" t="s">
        <v>163</v>
      </c>
      <c r="C29" s="15" t="n">
        <v>2</v>
      </c>
      <c r="D29" s="11" t="n">
        <v>6217.07</v>
      </c>
      <c r="E29" s="12" t="n">
        <f aca="false">IF(387378.94=0,0,D29/387378.94)</f>
        <v>0.0160490655480652</v>
      </c>
      <c r="I29" s="11" t="n">
        <f aca="false">IF(C29=0,0,D29/C29)</f>
        <v>3108.535</v>
      </c>
    </row>
    <row r="30" customFormat="false" ht="15" hidden="false" customHeight="true" outlineLevel="0" collapsed="false">
      <c r="B30" s="5" t="s">
        <v>164</v>
      </c>
      <c r="C30" s="15" t="n">
        <v>2</v>
      </c>
      <c r="D30" s="11" t="n">
        <v>2598</v>
      </c>
      <c r="E30" s="12" t="n">
        <f aca="false">IF(387378.94=0,0,D30/387378.94)</f>
        <v>0.00670661136095834</v>
      </c>
      <c r="I30" s="11" t="n">
        <f aca="false">IF(C30=0,0,D30/C30)</f>
        <v>1299</v>
      </c>
    </row>
    <row r="31" customFormat="false" ht="15" hidden="false" customHeight="true" outlineLevel="0" collapsed="false">
      <c r="B31" s="5" t="s">
        <v>165</v>
      </c>
      <c r="C31" s="15" t="n">
        <v>2</v>
      </c>
      <c r="D31" s="11" t="n">
        <v>870</v>
      </c>
      <c r="E31" s="12" t="n">
        <f aca="false">IF(387378.94=0,0,D31/387378.94)</f>
        <v>0.00224586292687981</v>
      </c>
      <c r="I31" s="11" t="n">
        <f aca="false">IF(C31=0,0,D31/C31)</f>
        <v>435</v>
      </c>
    </row>
    <row r="32" customFormat="false" ht="15" hidden="false" customHeight="true" outlineLevel="0" collapsed="false">
      <c r="B32" s="5" t="s">
        <v>166</v>
      </c>
      <c r="C32" s="15" t="n">
        <v>1</v>
      </c>
      <c r="D32" s="11" t="n">
        <v>810</v>
      </c>
      <c r="E32" s="12" t="n">
        <f aca="false">IF(387378.94=0,0,D32/387378.94)</f>
        <v>0.00209097582847431</v>
      </c>
      <c r="I32" s="11" t="n">
        <f aca="false">IF(C32=0,0,D32/C32)</f>
        <v>810</v>
      </c>
    </row>
    <row r="33" customFormat="false" ht="15" hidden="false" customHeight="true" outlineLevel="0" collapsed="false">
      <c r="B33" s="5" t="s">
        <v>167</v>
      </c>
      <c r="C33" s="15" t="n">
        <v>1</v>
      </c>
      <c r="D33" s="11" t="n">
        <v>129</v>
      </c>
      <c r="E33" s="12" t="n">
        <f aca="false">IF(387378.94=0,0,D33/387378.94)</f>
        <v>0.000333007261571835</v>
      </c>
      <c r="I33" s="11" t="n">
        <f aca="false">IF(C33=0,0,D33/C33)</f>
        <v>129</v>
      </c>
    </row>
    <row r="34" customFormat="false" ht="15" hidden="false" customHeight="true" outlineLevel="0" collapsed="false">
      <c r="B34" s="5" t="s">
        <v>168</v>
      </c>
      <c r="C34" s="15" t="n">
        <v>1</v>
      </c>
      <c r="D34" s="11" t="n">
        <v>102</v>
      </c>
      <c r="E34" s="12" t="n">
        <f aca="false">IF(387378.94=0,0,D34/387378.94)</f>
        <v>0.000263308067289358</v>
      </c>
      <c r="I34" s="11" t="n">
        <f aca="false">IF(C34=0,0,D34/C34)</f>
        <v>102</v>
      </c>
    </row>
    <row r="35" customFormat="false" ht="15" hidden="false" customHeight="true" outlineLevel="0" collapsed="false">
      <c r="B35" s="5" t="s">
        <v>169</v>
      </c>
      <c r="C35" s="15" t="n">
        <v>1</v>
      </c>
      <c r="D35" s="11" t="n">
        <v>86.03</v>
      </c>
      <c r="E35" s="12" t="n">
        <f aca="false">IF(387378.94=0,0,D35/387378.94)</f>
        <v>0.000222082284597092</v>
      </c>
      <c r="I35" s="11" t="n">
        <f aca="false">IF(C35=0,0,D35/C35)</f>
        <v>86.03</v>
      </c>
    </row>
    <row r="36" customFormat="false" ht="15" hidden="false" customHeight="true" outlineLevel="0" collapsed="false">
      <c r="B36" s="5" t="s">
        <v>170</v>
      </c>
      <c r="C36" s="15" t="n">
        <v>2</v>
      </c>
      <c r="D36" s="11" t="n">
        <v>63.21</v>
      </c>
      <c r="E36" s="12" t="n">
        <f aca="false">IF(387378.94=0,0,D36/387378.94)</f>
        <v>0.000163173558170199</v>
      </c>
      <c r="I36" s="11" t="n">
        <f aca="false">IF(C36=0,0,D36/C36)</f>
        <v>31.605</v>
      </c>
    </row>
    <row r="37" customFormat="false" ht="15" hidden="false" customHeight="true" outlineLevel="0" collapsed="false">
      <c r="B37" s="6" t="s">
        <v>38</v>
      </c>
      <c r="C37" s="16" t="n">
        <f aca="false">SUM(C23:C36)</f>
        <v>123</v>
      </c>
      <c r="D37" s="13" t="n">
        <f aca="false">SUM(D23:D36)</f>
        <v>387378.94</v>
      </c>
      <c r="E37" s="14" t="n">
        <v>1</v>
      </c>
    </row>
    <row r="40" customFormat="false" ht="15" hidden="false" customHeight="true" outlineLevel="0" collapsed="false">
      <c r="B40" s="4" t="s">
        <v>62</v>
      </c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B41" s="3" t="s">
        <v>63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64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65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66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67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68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171</v>
      </c>
      <c r="C47" s="3"/>
      <c r="D47" s="3"/>
      <c r="E47" s="3"/>
      <c r="F47" s="3"/>
      <c r="G47" s="3"/>
      <c r="H47" s="3"/>
      <c r="I47" s="3"/>
    </row>
  </sheetData>
  <mergeCells count="12">
    <mergeCell ref="B2:I2"/>
    <mergeCell ref="B3:I3"/>
    <mergeCell ref="B5:I5"/>
    <mergeCell ref="B21:I21"/>
    <mergeCell ref="B40:I40"/>
    <mergeCell ref="B41:I41"/>
    <mergeCell ref="B42:I42"/>
    <mergeCell ref="B43:I43"/>
    <mergeCell ref="B44:I44"/>
    <mergeCell ref="B45:I45"/>
    <mergeCell ref="B46:I46"/>
    <mergeCell ref="B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172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173</v>
      </c>
      <c r="C4" s="10" t="s">
        <v>174</v>
      </c>
      <c r="D4" s="10" t="s">
        <v>175</v>
      </c>
      <c r="E4" s="10" t="s">
        <v>176</v>
      </c>
      <c r="F4" s="10" t="s">
        <v>177</v>
      </c>
    </row>
    <row r="5" customFormat="false" ht="15" hidden="false" customHeight="true" outlineLevel="0" collapsed="false">
      <c r="B5" s="5" t="s">
        <v>178</v>
      </c>
      <c r="C5" s="17" t="n">
        <v>804.5</v>
      </c>
      <c r="D5" s="11" t="n">
        <v>24669</v>
      </c>
      <c r="E5" s="18" t="n">
        <f aca="false">IF(C5=0,0,D5/C5)</f>
        <v>30.663766314481</v>
      </c>
      <c r="F5" s="5" t="s">
        <v>179</v>
      </c>
    </row>
    <row r="6" customFormat="false" ht="15" hidden="false" customHeight="true" outlineLevel="0" collapsed="false">
      <c r="B6" s="5" t="s">
        <v>180</v>
      </c>
      <c r="C6" s="17" t="n">
        <v>785.5</v>
      </c>
      <c r="D6" s="11" t="n">
        <v>11541</v>
      </c>
      <c r="E6" s="18" t="n">
        <f aca="false">IF(C6=0,0,D6/C6)</f>
        <v>14.6925525143221</v>
      </c>
      <c r="F6" s="5" t="s">
        <v>181</v>
      </c>
    </row>
    <row r="7" customFormat="false" ht="15" hidden="false" customHeight="true" outlineLevel="0" collapsed="false">
      <c r="B7" s="5" t="s">
        <v>182</v>
      </c>
      <c r="C7" s="17" t="n">
        <v>640</v>
      </c>
      <c r="D7" s="11" t="n">
        <v>7792</v>
      </c>
      <c r="E7" s="18" t="n">
        <f aca="false">IF(C7=0,0,D7/C7)</f>
        <v>12.175</v>
      </c>
      <c r="F7" s="5" t="s">
        <v>181</v>
      </c>
    </row>
    <row r="8" customFormat="false" ht="15" hidden="false" customHeight="true" outlineLevel="0" collapsed="false">
      <c r="B8" s="5" t="s">
        <v>183</v>
      </c>
      <c r="C8" s="17" t="n">
        <v>607</v>
      </c>
      <c r="D8" s="11" t="n">
        <v>7748</v>
      </c>
      <c r="E8" s="18" t="n">
        <f aca="false">IF(C8=0,0,D8/C8)</f>
        <v>12.7644151565074</v>
      </c>
      <c r="F8" s="5" t="s">
        <v>181</v>
      </c>
    </row>
    <row r="9" customFormat="false" ht="15" hidden="false" customHeight="true" outlineLevel="0" collapsed="false">
      <c r="B9" s="5" t="s">
        <v>184</v>
      </c>
      <c r="C9" s="17" t="n">
        <v>523.5</v>
      </c>
      <c r="D9" s="11" t="n">
        <v>9941.5</v>
      </c>
      <c r="E9" s="18" t="n">
        <f aca="false">IF(C9=0,0,D9/C9)</f>
        <v>18.9904489016237</v>
      </c>
      <c r="F9" s="5" t="s">
        <v>185</v>
      </c>
    </row>
    <row r="10" customFormat="false" ht="15" hidden="false" customHeight="true" outlineLevel="0" collapsed="false">
      <c r="B10" s="5" t="s">
        <v>186</v>
      </c>
      <c r="C10" s="17" t="n">
        <v>449</v>
      </c>
      <c r="D10" s="11" t="n">
        <v>11691</v>
      </c>
      <c r="E10" s="18" t="n">
        <f aca="false">IF(C10=0,0,D10/C10)</f>
        <v>26.0378619153675</v>
      </c>
      <c r="F10" s="5" t="s">
        <v>185</v>
      </c>
    </row>
    <row r="11" customFormat="false" ht="15" hidden="false" customHeight="true" outlineLevel="0" collapsed="false">
      <c r="B11" s="5" t="s">
        <v>187</v>
      </c>
      <c r="C11" s="17" t="n">
        <v>384</v>
      </c>
      <c r="D11" s="11" t="n">
        <v>9984</v>
      </c>
      <c r="E11" s="18" t="n">
        <f aca="false">IF(C11=0,0,D11/C11)</f>
        <v>26</v>
      </c>
      <c r="F11" s="5" t="s">
        <v>185</v>
      </c>
    </row>
    <row r="12" customFormat="false" ht="15" hidden="false" customHeight="true" outlineLevel="0" collapsed="false">
      <c r="B12" s="5" t="s">
        <v>188</v>
      </c>
      <c r="C12" s="17" t="n">
        <v>341</v>
      </c>
      <c r="D12" s="11" t="n">
        <v>8866</v>
      </c>
      <c r="E12" s="18" t="n">
        <f aca="false">IF(C12=0,0,D12/C12)</f>
        <v>26</v>
      </c>
      <c r="F12" s="5" t="s">
        <v>185</v>
      </c>
    </row>
    <row r="13" customFormat="false" ht="15" hidden="false" customHeight="true" outlineLevel="0" collapsed="false">
      <c r="B13" s="5" t="s">
        <v>189</v>
      </c>
      <c r="C13" s="17" t="n">
        <v>320</v>
      </c>
      <c r="D13" s="11" t="n">
        <v>4296</v>
      </c>
      <c r="E13" s="18" t="n">
        <f aca="false">IF(C13=0,0,D13/C13)</f>
        <v>13.425</v>
      </c>
      <c r="F13" s="5" t="s">
        <v>181</v>
      </c>
    </row>
    <row r="14" customFormat="false" ht="15" hidden="false" customHeight="true" outlineLevel="0" collapsed="false">
      <c r="B14" s="5" t="s">
        <v>190</v>
      </c>
      <c r="C14" s="17" t="n">
        <v>254</v>
      </c>
      <c r="D14" s="11" t="n">
        <v>8779</v>
      </c>
      <c r="E14" s="18" t="n">
        <f aca="false">IF(C14=0,0,D14/C14)</f>
        <v>34.5629921259843</v>
      </c>
      <c r="F14" s="5" t="s">
        <v>179</v>
      </c>
    </row>
    <row r="15" customFormat="false" ht="15" hidden="false" customHeight="true" outlineLevel="0" collapsed="false">
      <c r="B15" s="5" t="s">
        <v>191</v>
      </c>
      <c r="C15" s="17" t="n">
        <v>196</v>
      </c>
      <c r="D15" s="11" t="n">
        <v>3504</v>
      </c>
      <c r="E15" s="18" t="n">
        <f aca="false">IF(C15=0,0,D15/C15)</f>
        <v>17.8775510204082</v>
      </c>
      <c r="F15" s="5" t="s">
        <v>181</v>
      </c>
    </row>
    <row r="16" customFormat="false" ht="15" hidden="false" customHeight="true" outlineLevel="0" collapsed="false">
      <c r="B16" s="5" t="s">
        <v>192</v>
      </c>
      <c r="C16" s="17" t="n">
        <v>189</v>
      </c>
      <c r="D16" s="11" t="n">
        <v>5292</v>
      </c>
      <c r="E16" s="18" t="n">
        <f aca="false">IF(C16=0,0,D16/C16)</f>
        <v>28</v>
      </c>
      <c r="F16" s="5" t="s">
        <v>185</v>
      </c>
    </row>
    <row r="17" customFormat="false" ht="15" hidden="false" customHeight="true" outlineLevel="0" collapsed="false">
      <c r="B17" s="5" t="s">
        <v>193</v>
      </c>
      <c r="C17" s="17" t="n">
        <v>157</v>
      </c>
      <c r="D17" s="11" t="n">
        <v>4082</v>
      </c>
      <c r="E17" s="18" t="n">
        <f aca="false">IF(C17=0,0,D17/C17)</f>
        <v>26</v>
      </c>
      <c r="F17" s="5" t="s">
        <v>185</v>
      </c>
    </row>
    <row r="18" customFormat="false" ht="15" hidden="false" customHeight="true" outlineLevel="0" collapsed="false">
      <c r="B18" s="5" t="s">
        <v>194</v>
      </c>
      <c r="C18" s="17" t="n">
        <v>157</v>
      </c>
      <c r="D18" s="11" t="n">
        <v>3547</v>
      </c>
      <c r="E18" s="18" t="n">
        <f aca="false">IF(C18=0,0,D18/C18)</f>
        <v>22.5923566878981</v>
      </c>
      <c r="F18" s="5" t="s">
        <v>185</v>
      </c>
    </row>
    <row r="19" customFormat="false" ht="15" hidden="false" customHeight="true" outlineLevel="0" collapsed="false">
      <c r="B19" s="5" t="s">
        <v>195</v>
      </c>
      <c r="C19" s="17" t="n">
        <v>136</v>
      </c>
      <c r="D19" s="11" t="n">
        <v>1616</v>
      </c>
      <c r="E19" s="18" t="n">
        <f aca="false">IF(C19=0,0,D19/C19)</f>
        <v>11.8823529411765</v>
      </c>
      <c r="F19" s="5" t="s">
        <v>181</v>
      </c>
    </row>
    <row r="20" customFormat="false" ht="15" hidden="false" customHeight="true" outlineLevel="0" collapsed="false">
      <c r="B20" s="5" t="s">
        <v>196</v>
      </c>
      <c r="C20" s="17" t="n">
        <v>128</v>
      </c>
      <c r="D20" s="11" t="n">
        <v>1696</v>
      </c>
      <c r="E20" s="18" t="n">
        <f aca="false">IF(C20=0,0,D20/C20)</f>
        <v>13.25</v>
      </c>
      <c r="F20" s="5" t="s">
        <v>181</v>
      </c>
    </row>
    <row r="21" customFormat="false" ht="15" hidden="false" customHeight="true" outlineLevel="0" collapsed="false">
      <c r="B21" s="5" t="s">
        <v>197</v>
      </c>
      <c r="C21" s="17" t="n">
        <v>126</v>
      </c>
      <c r="D21" s="11" t="n">
        <v>2402</v>
      </c>
      <c r="E21" s="18" t="n">
        <f aca="false">IF(C21=0,0,D21/C21)</f>
        <v>19.0634920634921</v>
      </c>
      <c r="F21" s="5" t="s">
        <v>185</v>
      </c>
    </row>
    <row r="22" customFormat="false" ht="15" hidden="false" customHeight="true" outlineLevel="0" collapsed="false">
      <c r="B22" s="5" t="s">
        <v>198</v>
      </c>
      <c r="C22" s="17" t="n">
        <v>122</v>
      </c>
      <c r="D22" s="11" t="n">
        <v>3782</v>
      </c>
      <c r="E22" s="18" t="n">
        <f aca="false">IF(C22=0,0,D22/C22)</f>
        <v>31</v>
      </c>
      <c r="F22" s="5" t="s">
        <v>179</v>
      </c>
    </row>
    <row r="23" customFormat="false" ht="15" hidden="false" customHeight="true" outlineLevel="0" collapsed="false">
      <c r="B23" s="5" t="s">
        <v>199</v>
      </c>
      <c r="C23" s="17" t="n">
        <v>118</v>
      </c>
      <c r="D23" s="11" t="n">
        <v>1652</v>
      </c>
      <c r="E23" s="18" t="n">
        <f aca="false">IF(C23=0,0,D23/C23)</f>
        <v>14</v>
      </c>
      <c r="F23" s="5" t="s">
        <v>181</v>
      </c>
    </row>
    <row r="24" customFormat="false" ht="15" hidden="false" customHeight="true" outlineLevel="0" collapsed="false">
      <c r="B24" s="5" t="s">
        <v>200</v>
      </c>
      <c r="C24" s="17" t="n">
        <v>108</v>
      </c>
      <c r="D24" s="11" t="n">
        <v>1728</v>
      </c>
      <c r="E24" s="18" t="n">
        <f aca="false">IF(C24=0,0,D24/C24)</f>
        <v>16</v>
      </c>
      <c r="F24" s="5" t="s">
        <v>181</v>
      </c>
    </row>
    <row r="25" customFormat="false" ht="15" hidden="false" customHeight="true" outlineLevel="0" collapsed="false">
      <c r="B25" s="5" t="s">
        <v>201</v>
      </c>
      <c r="C25" s="17" t="n">
        <v>80</v>
      </c>
      <c r="D25" s="11" t="n">
        <v>960</v>
      </c>
      <c r="E25" s="18" t="n">
        <f aca="false">IF(C25=0,0,D25/C25)</f>
        <v>12</v>
      </c>
      <c r="F25" s="5" t="s">
        <v>181</v>
      </c>
    </row>
    <row r="26" customFormat="false" ht="15" hidden="false" customHeight="true" outlineLevel="0" collapsed="false">
      <c r="B26" s="5" t="s">
        <v>202</v>
      </c>
      <c r="C26" s="17" t="n">
        <v>37</v>
      </c>
      <c r="D26" s="11" t="n">
        <v>444</v>
      </c>
      <c r="E26" s="18" t="n">
        <f aca="false">IF(C26=0,0,D26/C26)</f>
        <v>12</v>
      </c>
      <c r="F26" s="5" t="s">
        <v>181</v>
      </c>
    </row>
    <row r="27" customFormat="false" ht="15" hidden="false" customHeight="true" outlineLevel="0" collapsed="false">
      <c r="B27" s="5" t="s">
        <v>203</v>
      </c>
      <c r="C27" s="17" t="n">
        <v>34</v>
      </c>
      <c r="D27" s="11" t="n">
        <v>850</v>
      </c>
      <c r="E27" s="18" t="n">
        <f aca="false">IF(C27=0,0,D27/C27)</f>
        <v>25</v>
      </c>
      <c r="F27" s="5" t="s">
        <v>185</v>
      </c>
    </row>
    <row r="28" customFormat="false" ht="15" hidden="false" customHeight="true" outlineLevel="0" collapsed="false">
      <c r="B28" s="5" t="s">
        <v>204</v>
      </c>
      <c r="C28" s="17" t="n">
        <v>33.5</v>
      </c>
      <c r="D28" s="11" t="n">
        <v>402</v>
      </c>
      <c r="E28" s="18" t="n">
        <f aca="false">IF(C28=0,0,D28/C28)</f>
        <v>12</v>
      </c>
      <c r="F28" s="5" t="s">
        <v>181</v>
      </c>
    </row>
    <row r="29" customFormat="false" ht="15" hidden="false" customHeight="true" outlineLevel="0" collapsed="false">
      <c r="B29" s="5" t="s">
        <v>205</v>
      </c>
      <c r="C29" s="17" t="n">
        <v>24</v>
      </c>
      <c r="D29" s="11" t="n">
        <v>552</v>
      </c>
      <c r="E29" s="18" t="n">
        <f aca="false">IF(C29=0,0,D29/C29)</f>
        <v>23</v>
      </c>
      <c r="F29" s="5" t="s">
        <v>185</v>
      </c>
    </row>
    <row r="30" customFormat="false" ht="15" hidden="false" customHeight="true" outlineLevel="0" collapsed="false">
      <c r="B30" s="5" t="s">
        <v>206</v>
      </c>
      <c r="C30" s="17" t="n">
        <v>9</v>
      </c>
      <c r="D30" s="11" t="n">
        <v>261</v>
      </c>
      <c r="E30" s="18" t="n">
        <f aca="false">IF(C30=0,0,D30/C30)</f>
        <v>29</v>
      </c>
      <c r="F30" s="5" t="s">
        <v>185</v>
      </c>
    </row>
    <row r="31" customFormat="false" ht="15" hidden="false" customHeight="true" outlineLevel="0" collapsed="false">
      <c r="B31" s="5" t="s">
        <v>207</v>
      </c>
      <c r="C31" s="17" t="n">
        <v>8</v>
      </c>
      <c r="D31" s="11" t="n">
        <v>96</v>
      </c>
      <c r="E31" s="18" t="n">
        <f aca="false">IF(C31=0,0,D31/C31)</f>
        <v>12</v>
      </c>
      <c r="F31" s="5" t="s">
        <v>181</v>
      </c>
    </row>
    <row r="32" customFormat="false" ht="15" hidden="false" customHeight="true" outlineLevel="0" collapsed="false">
      <c r="B32" s="5" t="s">
        <v>208</v>
      </c>
      <c r="C32" s="17" t="n">
        <v>8</v>
      </c>
      <c r="D32" s="11" t="n">
        <v>184</v>
      </c>
      <c r="E32" s="18" t="n">
        <f aca="false">IF(C32=0,0,D32/C32)</f>
        <v>23</v>
      </c>
      <c r="F32" s="5" t="s">
        <v>185</v>
      </c>
    </row>
    <row r="33" customFormat="false" ht="15" hidden="false" customHeight="true" outlineLevel="0" collapsed="false">
      <c r="B33" s="5" t="s">
        <v>209</v>
      </c>
      <c r="C33" s="17" t="n">
        <v>8</v>
      </c>
      <c r="D33" s="11" t="n">
        <v>128</v>
      </c>
      <c r="E33" s="18" t="n">
        <f aca="false">IF(C33=0,0,D33/C33)</f>
        <v>16</v>
      </c>
      <c r="F33" s="5" t="s">
        <v>181</v>
      </c>
    </row>
    <row r="34" customFormat="false" ht="15" hidden="false" customHeight="true" outlineLevel="0" collapsed="false">
      <c r="B34" s="5" t="s">
        <v>210</v>
      </c>
      <c r="C34" s="17" t="n">
        <v>8</v>
      </c>
      <c r="D34" s="11" t="n">
        <v>104</v>
      </c>
      <c r="E34" s="18" t="n">
        <f aca="false">IF(C34=0,0,D34/C34)</f>
        <v>13</v>
      </c>
      <c r="F34" s="5" t="s">
        <v>181</v>
      </c>
    </row>
    <row r="35" customFormat="false" ht="15" hidden="false" customHeight="true" outlineLevel="0" collapsed="false">
      <c r="B35" s="5" t="s">
        <v>211</v>
      </c>
      <c r="C35" s="17" t="n">
        <v>8</v>
      </c>
      <c r="D35" s="11" t="n">
        <v>104</v>
      </c>
      <c r="E35" s="18" t="n">
        <f aca="false">IF(C35=0,0,D35/C35)</f>
        <v>13</v>
      </c>
      <c r="F35" s="5" t="s">
        <v>181</v>
      </c>
    </row>
    <row r="36" customFormat="false" ht="15" hidden="false" customHeight="true" outlineLevel="0" collapsed="false">
      <c r="B36" s="6" t="s">
        <v>212</v>
      </c>
      <c r="C36" s="19" t="n">
        <f aca="false">SUM(C5:C35)</f>
        <v>6803</v>
      </c>
      <c r="D36" s="13" t="n">
        <f aca="false">SUM(D5:D35)</f>
        <v>138693.5</v>
      </c>
      <c r="E36" s="20" t="n">
        <f aca="false">IF(C36=0,0,D36/C36)</f>
        <v>20.3871086285462</v>
      </c>
    </row>
    <row r="39" customFormat="false" ht="15" hidden="false" customHeight="true" outlineLevel="0" collapsed="false">
      <c r="B39" s="4" t="s">
        <v>62</v>
      </c>
      <c r="C39" s="4"/>
      <c r="D39" s="4"/>
      <c r="E39" s="4"/>
      <c r="F39" s="4"/>
    </row>
    <row r="40" customFormat="false" ht="15" hidden="false" customHeight="true" outlineLevel="0" collapsed="false">
      <c r="B40" s="3" t="s">
        <v>63</v>
      </c>
      <c r="C40" s="3"/>
      <c r="D40" s="3"/>
      <c r="E40" s="3"/>
      <c r="F40" s="3"/>
    </row>
    <row r="41" customFormat="false" ht="15" hidden="false" customHeight="true" outlineLevel="0" collapsed="false">
      <c r="B41" s="3" t="s">
        <v>64</v>
      </c>
      <c r="C41" s="3"/>
      <c r="D41" s="3"/>
      <c r="E41" s="3"/>
      <c r="F41" s="3"/>
    </row>
    <row r="42" customFormat="false" ht="15" hidden="false" customHeight="true" outlineLevel="0" collapsed="false">
      <c r="B42" s="3" t="s">
        <v>65</v>
      </c>
      <c r="C42" s="3"/>
      <c r="D42" s="3"/>
      <c r="E42" s="3"/>
      <c r="F42" s="3"/>
    </row>
    <row r="43" customFormat="false" ht="15" hidden="false" customHeight="true" outlineLevel="0" collapsed="false">
      <c r="B43" s="3" t="s">
        <v>66</v>
      </c>
      <c r="C43" s="3"/>
      <c r="D43" s="3"/>
      <c r="E43" s="3"/>
      <c r="F43" s="3"/>
    </row>
    <row r="44" customFormat="false" ht="15" hidden="false" customHeight="true" outlineLevel="0" collapsed="false">
      <c r="B44" s="3" t="s">
        <v>67</v>
      </c>
      <c r="C44" s="3"/>
      <c r="D44" s="3"/>
      <c r="E44" s="3"/>
      <c r="F44" s="3"/>
    </row>
    <row r="45" customFormat="false" ht="15" hidden="false" customHeight="true" outlineLevel="0" collapsed="false">
      <c r="B45" s="3" t="s">
        <v>68</v>
      </c>
      <c r="C45" s="3"/>
      <c r="D45" s="3"/>
      <c r="E45" s="3"/>
      <c r="F45" s="3"/>
    </row>
    <row r="46" customFormat="false" ht="15" hidden="false" customHeight="true" outlineLevel="0" collapsed="false">
      <c r="B46" s="3" t="s">
        <v>213</v>
      </c>
      <c r="C46" s="3"/>
      <c r="D46" s="3"/>
      <c r="E46" s="3"/>
      <c r="F46" s="3"/>
    </row>
  </sheetData>
  <mergeCells count="9">
    <mergeCell ref="B2:F2"/>
    <mergeCell ref="B39:F39"/>
    <mergeCell ref="B40:F40"/>
    <mergeCell ref="B41:F41"/>
    <mergeCell ref="B42:F42"/>
    <mergeCell ref="B43:F43"/>
    <mergeCell ref="B44:F44"/>
    <mergeCell ref="B45:F45"/>
    <mergeCell ref="B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214</v>
      </c>
      <c r="C2" s="2"/>
      <c r="D2" s="2"/>
      <c r="E2" s="2"/>
      <c r="F2" s="2"/>
    </row>
    <row r="4" customFormat="false" ht="15" hidden="false" customHeight="true" outlineLevel="0" collapsed="false">
      <c r="B4" s="4" t="s">
        <v>215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177</v>
      </c>
      <c r="C5" s="10" t="s">
        <v>216</v>
      </c>
      <c r="D5" s="10" t="s">
        <v>174</v>
      </c>
      <c r="E5" s="10" t="s">
        <v>175</v>
      </c>
      <c r="F5" s="10" t="s">
        <v>217</v>
      </c>
    </row>
    <row r="6" customFormat="false" ht="15" hidden="false" customHeight="true" outlineLevel="0" collapsed="false">
      <c r="B6" s="5" t="s">
        <v>179</v>
      </c>
      <c r="C6" s="15" t="n">
        <v>3</v>
      </c>
      <c r="D6" s="17" t="n">
        <v>1180.5</v>
      </c>
      <c r="E6" s="11" t="n">
        <v>37230</v>
      </c>
      <c r="F6" s="12" t="n">
        <f aca="false">IF(6803=0,0,D6/6803)</f>
        <v>0.173526385418198</v>
      </c>
    </row>
    <row r="7" customFormat="false" ht="15" hidden="false" customHeight="true" outlineLevel="0" collapsed="false">
      <c r="B7" s="5" t="s">
        <v>185</v>
      </c>
      <c r="C7" s="15" t="n">
        <v>12</v>
      </c>
      <c r="D7" s="17" t="n">
        <v>2401.5</v>
      </c>
      <c r="E7" s="11" t="n">
        <v>57652.5</v>
      </c>
      <c r="F7" s="12" t="n">
        <f aca="false">IF(6803=0,0,D7/6803)</f>
        <v>0.353006026752903</v>
      </c>
    </row>
    <row r="8" customFormat="false" ht="15" hidden="false" customHeight="true" outlineLevel="0" collapsed="false">
      <c r="B8" s="5" t="s">
        <v>181</v>
      </c>
      <c r="C8" s="15" t="n">
        <v>16</v>
      </c>
      <c r="D8" s="17" t="n">
        <v>3221</v>
      </c>
      <c r="E8" s="11" t="n">
        <v>43811</v>
      </c>
      <c r="F8" s="12" t="n">
        <f aca="false">IF(6803=0,0,D8/6803)</f>
        <v>0.473467587828899</v>
      </c>
    </row>
    <row r="11" customFormat="false" ht="15" hidden="false" customHeight="true" outlineLevel="0" collapsed="false">
      <c r="B11" s="4" t="s">
        <v>218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219</v>
      </c>
      <c r="C12" s="21" t="n">
        <v>20.3871086285462</v>
      </c>
      <c r="F12" s="22" t="s">
        <v>220</v>
      </c>
    </row>
    <row r="13" customFormat="false" ht="15" hidden="false" customHeight="true" outlineLevel="0" collapsed="false">
      <c r="B13" s="5" t="s">
        <v>221</v>
      </c>
      <c r="C13" s="21" t="n">
        <v>31.6988784359841</v>
      </c>
      <c r="F13" s="22" t="s">
        <v>222</v>
      </c>
    </row>
    <row r="14" customFormat="false" ht="15" hidden="false" customHeight="true" outlineLevel="0" collapsed="false">
      <c r="B14" s="5" t="s">
        <v>223</v>
      </c>
      <c r="C14" s="21" t="n">
        <v>1.55484914577828</v>
      </c>
      <c r="F14" s="22" t="s">
        <v>224</v>
      </c>
    </row>
    <row r="15" customFormat="false" ht="15" hidden="false" customHeight="true" outlineLevel="0" collapsed="false">
      <c r="B15" s="5" t="s">
        <v>225</v>
      </c>
      <c r="C15" s="21" t="n">
        <v>11.8823529411765</v>
      </c>
      <c r="F15" s="22" t="s">
        <v>226</v>
      </c>
    </row>
    <row r="16" customFormat="false" ht="15" hidden="false" customHeight="true" outlineLevel="0" collapsed="false">
      <c r="B16" s="5" t="s">
        <v>227</v>
      </c>
      <c r="C16" s="21" t="n">
        <v>34.5629921259843</v>
      </c>
      <c r="F16" s="22" t="s">
        <v>228</v>
      </c>
    </row>
    <row r="17" customFormat="false" ht="15" hidden="false" customHeight="true" outlineLevel="0" collapsed="false">
      <c r="B17" s="5" t="s">
        <v>229</v>
      </c>
      <c r="C17" s="21" t="n">
        <v>219.451612903226</v>
      </c>
      <c r="F17" s="22" t="s">
        <v>230</v>
      </c>
    </row>
    <row r="20" customFormat="false" ht="15" hidden="false" customHeight="true" outlineLevel="0" collapsed="false">
      <c r="B20" s="4" t="s">
        <v>62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63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64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65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66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67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68</v>
      </c>
      <c r="C26" s="3"/>
      <c r="D26" s="3"/>
      <c r="E26" s="3"/>
      <c r="F26" s="3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231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232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233</v>
      </c>
      <c r="C5" s="10" t="s">
        <v>234</v>
      </c>
      <c r="D5" s="10" t="s">
        <v>174</v>
      </c>
      <c r="E5" s="10" t="s">
        <v>235</v>
      </c>
      <c r="F5" s="10" t="s">
        <v>236</v>
      </c>
    </row>
    <row r="6" customFormat="false" ht="15" hidden="false" customHeight="true" outlineLevel="0" collapsed="false">
      <c r="B6" s="5" t="s">
        <v>237</v>
      </c>
      <c r="C6" s="5" t="s">
        <v>76</v>
      </c>
      <c r="D6" s="17" t="n">
        <v>56</v>
      </c>
      <c r="E6" s="12" t="n">
        <f aca="false">IF(6943.5=0,0,D6/6943.5)</f>
        <v>0.00806509685317203</v>
      </c>
      <c r="F6" s="23" t="n">
        <f aca="false">IF(117=0,0,D6/117)</f>
        <v>0.478632478632479</v>
      </c>
    </row>
    <row r="7" customFormat="false" ht="15" hidden="false" customHeight="true" outlineLevel="0" collapsed="false">
      <c r="B7" s="5" t="s">
        <v>79</v>
      </c>
      <c r="C7" s="5" t="s">
        <v>78</v>
      </c>
      <c r="D7" s="17" t="n">
        <v>117</v>
      </c>
      <c r="E7" s="12" t="n">
        <f aca="false">IF(6943.5=0,0,D7/6943.5)</f>
        <v>0.016850291639663</v>
      </c>
      <c r="F7" s="23" t="n">
        <f aca="false">IF(117=0,0,D7/117)</f>
        <v>1</v>
      </c>
    </row>
    <row r="8" customFormat="false" ht="15" hidden="false" customHeight="true" outlineLevel="0" collapsed="false">
      <c r="B8" s="5" t="s">
        <v>238</v>
      </c>
      <c r="C8" s="5" t="s">
        <v>80</v>
      </c>
      <c r="D8" s="17" t="n">
        <v>104</v>
      </c>
      <c r="E8" s="12" t="n">
        <f aca="false">IF(6943.5=0,0,D8/6943.5)</f>
        <v>0.0149780370130338</v>
      </c>
      <c r="F8" s="23" t="n">
        <f aca="false">IF(117=0,0,D8/117)</f>
        <v>0.888888888888889</v>
      </c>
    </row>
    <row r="9" customFormat="false" ht="15" hidden="false" customHeight="true" outlineLevel="0" collapsed="false">
      <c r="B9" s="5" t="s">
        <v>239</v>
      </c>
      <c r="C9" s="5" t="s">
        <v>82</v>
      </c>
      <c r="D9" s="17" t="n">
        <v>298.5</v>
      </c>
      <c r="E9" s="12" t="n">
        <f aca="false">IF(6943.5=0,0,D9/6943.5)</f>
        <v>0.0429898466191402</v>
      </c>
      <c r="F9" s="23" t="n">
        <f aca="false">IF(117=0,0,D9/117)</f>
        <v>2.55128205128205</v>
      </c>
    </row>
    <row r="10" customFormat="false" ht="15" hidden="false" customHeight="true" outlineLevel="0" collapsed="false">
      <c r="B10" s="5" t="s">
        <v>240</v>
      </c>
      <c r="C10" s="5" t="s">
        <v>84</v>
      </c>
      <c r="D10" s="17" t="n">
        <v>553</v>
      </c>
      <c r="E10" s="12" t="n">
        <f aca="false">IF(6943.5=0,0,D10/6943.5)</f>
        <v>0.0796428314250738</v>
      </c>
      <c r="F10" s="23" t="n">
        <f aca="false">IF(117=0,0,D10/117)</f>
        <v>4.72649572649573</v>
      </c>
    </row>
    <row r="11" customFormat="false" ht="15" hidden="false" customHeight="true" outlineLevel="0" collapsed="false">
      <c r="B11" s="5" t="s">
        <v>241</v>
      </c>
      <c r="C11" s="5" t="s">
        <v>86</v>
      </c>
      <c r="D11" s="17" t="n">
        <v>96</v>
      </c>
      <c r="E11" s="12" t="n">
        <f aca="false">IF(6943.5=0,0,D11/6943.5)</f>
        <v>0.0138258803197235</v>
      </c>
      <c r="F11" s="23" t="n">
        <f aca="false">IF(117=0,0,D11/117)</f>
        <v>0.820512820512821</v>
      </c>
    </row>
    <row r="12" customFormat="false" ht="15" hidden="false" customHeight="true" outlineLevel="0" collapsed="false">
      <c r="B12" s="5" t="s">
        <v>242</v>
      </c>
      <c r="C12" s="5" t="s">
        <v>88</v>
      </c>
      <c r="D12" s="17" t="n">
        <v>96.5</v>
      </c>
      <c r="E12" s="12" t="n">
        <f aca="false">IF(6943.5=0,0,D12/6943.5)</f>
        <v>0.0138978901130554</v>
      </c>
      <c r="F12" s="23" t="n">
        <f aca="false">IF(117=0,0,D12/117)</f>
        <v>0.824786324786325</v>
      </c>
    </row>
    <row r="13" customFormat="false" ht="15" hidden="false" customHeight="true" outlineLevel="0" collapsed="false">
      <c r="B13" s="5" t="s">
        <v>243</v>
      </c>
      <c r="C13" s="5" t="s">
        <v>90</v>
      </c>
      <c r="D13" s="17" t="n">
        <v>3984</v>
      </c>
      <c r="E13" s="12" t="n">
        <f aca="false">IF(6943.5=0,0,D13/6943.5)</f>
        <v>0.573774033268525</v>
      </c>
      <c r="F13" s="23" t="n">
        <f aca="false">IF(117=0,0,D13/117)</f>
        <v>34.0512820512821</v>
      </c>
    </row>
    <row r="14" customFormat="false" ht="15" hidden="false" customHeight="true" outlineLevel="0" collapsed="false">
      <c r="B14" s="5" t="s">
        <v>244</v>
      </c>
      <c r="C14" s="5" t="s">
        <v>92</v>
      </c>
      <c r="D14" s="17" t="n">
        <v>1173</v>
      </c>
      <c r="E14" s="12" t="n">
        <f aca="false">IF(6943.5=0,0,D14/6943.5)</f>
        <v>0.168934975156621</v>
      </c>
      <c r="F14" s="23" t="n">
        <f aca="false">IF(117=0,0,D14/117)</f>
        <v>10.025641025641</v>
      </c>
    </row>
    <row r="15" customFormat="false" ht="15" hidden="false" customHeight="true" outlineLevel="0" collapsed="false">
      <c r="B15" s="5" t="s">
        <v>245</v>
      </c>
      <c r="C15" s="5" t="s">
        <v>94</v>
      </c>
      <c r="D15" s="17" t="n">
        <v>16</v>
      </c>
      <c r="E15" s="12" t="n">
        <f aca="false">IF(6943.5=0,0,D15/6943.5)</f>
        <v>0.00230431338662058</v>
      </c>
      <c r="F15" s="23" t="n">
        <f aca="false">IF(117=0,0,D15/117)</f>
        <v>0.136752136752137</v>
      </c>
    </row>
    <row r="16" customFormat="false" ht="15" hidden="false" customHeight="true" outlineLevel="0" collapsed="false">
      <c r="B16" s="5" t="s">
        <v>246</v>
      </c>
      <c r="C16" s="5" t="s">
        <v>96</v>
      </c>
      <c r="D16" s="17" t="n">
        <v>44</v>
      </c>
      <c r="E16" s="12" t="n">
        <f aca="false">IF(6943.5=0,0,D16/6943.5)</f>
        <v>0.0063368618132066</v>
      </c>
      <c r="F16" s="23" t="n">
        <f aca="false">IF(117=0,0,D16/117)</f>
        <v>0.376068376068376</v>
      </c>
    </row>
    <row r="17" customFormat="false" ht="15" hidden="false" customHeight="true" outlineLevel="0" collapsed="false">
      <c r="B17" s="5" t="s">
        <v>247</v>
      </c>
      <c r="C17" s="5" t="s">
        <v>98</v>
      </c>
      <c r="D17" s="17" t="n">
        <v>405.5</v>
      </c>
      <c r="E17" s="12" t="n">
        <f aca="false">IF(6943.5=0,0,D17/6943.5)</f>
        <v>0.0583999423921653</v>
      </c>
      <c r="F17" s="23" t="n">
        <f aca="false">IF(117=0,0,D17/117)</f>
        <v>3.46581196581197</v>
      </c>
    </row>
    <row r="18" customFormat="false" ht="15" hidden="false" customHeight="true" outlineLevel="0" collapsed="false">
      <c r="B18" s="6" t="s">
        <v>38</v>
      </c>
      <c r="D18" s="19" t="n">
        <f aca="false">SUM(D6:D17)</f>
        <v>6943.5</v>
      </c>
      <c r="E18" s="14" t="n">
        <v>1</v>
      </c>
      <c r="F18" s="21" t="n">
        <f aca="false">IF(117=0,0,D18/117)</f>
        <v>59.3461538461539</v>
      </c>
    </row>
    <row r="21" customFormat="false" ht="15" hidden="false" customHeight="true" outlineLevel="0" collapsed="false">
      <c r="B21" s="4" t="s">
        <v>248</v>
      </c>
      <c r="C21" s="4"/>
      <c r="D21" s="4"/>
      <c r="E21" s="4"/>
      <c r="F21" s="4"/>
      <c r="G21" s="4"/>
    </row>
    <row r="22" customFormat="false" ht="15" hidden="false" customHeight="true" outlineLevel="0" collapsed="false">
      <c r="B22" s="10" t="s">
        <v>40</v>
      </c>
      <c r="C22" s="10" t="s">
        <v>41</v>
      </c>
      <c r="D22" s="10" t="s">
        <v>249</v>
      </c>
      <c r="E22" s="10"/>
      <c r="F22" s="10" t="s">
        <v>250</v>
      </c>
    </row>
    <row r="23" customFormat="false" ht="15" hidden="false" customHeight="true" outlineLevel="0" collapsed="false">
      <c r="B23" s="5" t="s">
        <v>236</v>
      </c>
      <c r="C23" s="24" t="n">
        <v>59.3461538461539</v>
      </c>
      <c r="D23" s="5" t="s">
        <v>251</v>
      </c>
      <c r="F23" s="22" t="s">
        <v>252</v>
      </c>
    </row>
    <row r="24" customFormat="false" ht="15" hidden="false" customHeight="true" outlineLevel="0" collapsed="false">
      <c r="B24" s="5" t="s">
        <v>253</v>
      </c>
      <c r="C24" s="24" t="n">
        <v>8.25624256837099</v>
      </c>
      <c r="D24" s="5" t="s">
        <v>251</v>
      </c>
      <c r="F24" s="22" t="s">
        <v>254</v>
      </c>
    </row>
    <row r="25" customFormat="false" ht="15" hidden="false" customHeight="true" outlineLevel="0" collapsed="false">
      <c r="B25" s="5" t="s">
        <v>255</v>
      </c>
      <c r="C25" s="24" t="n">
        <v>125.271620940448</v>
      </c>
      <c r="D25" s="5" t="s">
        <v>256</v>
      </c>
      <c r="F25" s="22" t="s">
        <v>257</v>
      </c>
    </row>
    <row r="26" customFormat="false" ht="15" hidden="false" customHeight="true" outlineLevel="0" collapsed="false">
      <c r="B26" s="5" t="s">
        <v>258</v>
      </c>
      <c r="C26" s="24" t="n">
        <v>47.9527687765536</v>
      </c>
      <c r="D26" s="5" t="s">
        <v>256</v>
      </c>
      <c r="F26" s="22" t="s">
        <v>259</v>
      </c>
    </row>
    <row r="27" customFormat="false" ht="15" hidden="false" customHeight="true" outlineLevel="0" collapsed="false">
      <c r="B27" s="5" t="s">
        <v>260</v>
      </c>
      <c r="C27" s="24" t="n">
        <v>6.88235294117647</v>
      </c>
      <c r="D27" s="5" t="s">
        <v>261</v>
      </c>
      <c r="F27" s="22" t="s">
        <v>262</v>
      </c>
    </row>
    <row r="28" customFormat="false" ht="15" hidden="false" customHeight="true" outlineLevel="0" collapsed="false">
      <c r="B28" s="5" t="s">
        <v>263</v>
      </c>
      <c r="C28" s="24" t="n">
        <v>49.4705882352941</v>
      </c>
      <c r="D28" s="5" t="s">
        <v>264</v>
      </c>
      <c r="F28" s="22" t="s">
        <v>265</v>
      </c>
    </row>
    <row r="29" customFormat="false" ht="15" hidden="false" customHeight="true" outlineLevel="0" collapsed="false">
      <c r="B29" s="5" t="s">
        <v>266</v>
      </c>
      <c r="C29" s="24" t="n">
        <v>408.441176470588</v>
      </c>
      <c r="D29" s="5" t="s">
        <v>251</v>
      </c>
      <c r="F29" s="22" t="s">
        <v>267</v>
      </c>
    </row>
    <row r="30" customFormat="false" ht="15" hidden="false" customHeight="true" outlineLevel="0" collapsed="false">
      <c r="B30" s="5" t="s">
        <v>268</v>
      </c>
      <c r="C30" s="24" t="n">
        <v>51166.0882352941</v>
      </c>
      <c r="D30" s="5" t="s">
        <v>256</v>
      </c>
      <c r="F30" s="22" t="s">
        <v>269</v>
      </c>
    </row>
    <row r="33" customFormat="false" ht="15" hidden="false" customHeight="true" outlineLevel="0" collapsed="false">
      <c r="B33" s="4" t="s">
        <v>62</v>
      </c>
      <c r="C33" s="4"/>
      <c r="D33" s="4"/>
      <c r="E33" s="4"/>
      <c r="F33" s="4"/>
      <c r="G33" s="4"/>
    </row>
    <row r="34" customFormat="false" ht="15" hidden="false" customHeight="true" outlineLevel="0" collapsed="false">
      <c r="B34" s="3" t="s">
        <v>63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64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</row>
  </sheetData>
  <mergeCells count="10">
    <mergeCell ref="B2:G2"/>
    <mergeCell ref="B4:G4"/>
    <mergeCell ref="B21:G21"/>
    <mergeCell ref="B33:G33"/>
    <mergeCell ref="B34:G34"/>
    <mergeCell ref="B35:G35"/>
    <mergeCell ref="B36:G36"/>
    <mergeCell ref="B37:G37"/>
    <mergeCell ref="B38:G38"/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270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271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272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273</v>
      </c>
      <c r="C6" s="10" t="s">
        <v>274</v>
      </c>
      <c r="D6" s="10" t="s">
        <v>275</v>
      </c>
      <c r="E6" s="10" t="s">
        <v>276</v>
      </c>
      <c r="F6" s="10" t="s">
        <v>277</v>
      </c>
    </row>
    <row r="7" customFormat="false" ht="15" hidden="false" customHeight="true" outlineLevel="0" collapsed="false">
      <c r="B7" s="6" t="s">
        <v>38</v>
      </c>
      <c r="D7" s="16" t="e">
        <f aca="false">SUM(D7:D6)</f>
        <v>#VALUE!</v>
      </c>
      <c r="E7" s="14" t="n">
        <v>1</v>
      </c>
      <c r="F7" s="13" t="n">
        <v>295005.88</v>
      </c>
    </row>
    <row r="10" customFormat="false" ht="15" hidden="false" customHeight="true" outlineLevel="0" collapsed="false">
      <c r="B10" s="4" t="s">
        <v>278</v>
      </c>
      <c r="C10" s="4"/>
      <c r="D10" s="4"/>
      <c r="E10" s="4"/>
      <c r="F10" s="4"/>
      <c r="G10" s="4"/>
    </row>
    <row r="11" customFormat="false" ht="15" hidden="false" customHeight="true" outlineLevel="0" collapsed="false">
      <c r="B11" s="10" t="s">
        <v>152</v>
      </c>
      <c r="C11" s="10" t="s">
        <v>275</v>
      </c>
      <c r="D11" s="10" t="s">
        <v>276</v>
      </c>
    </row>
    <row r="14" customFormat="false" ht="15" hidden="false" customHeight="true" outlineLevel="0" collapsed="false">
      <c r="B14" s="4" t="s">
        <v>279</v>
      </c>
      <c r="C14" s="4"/>
      <c r="D14" s="4"/>
      <c r="E14" s="4"/>
      <c r="F14" s="4"/>
      <c r="G14" s="4"/>
    </row>
    <row r="15" customFormat="false" ht="15" hidden="false" customHeight="true" outlineLevel="0" collapsed="false">
      <c r="B15" s="5" t="s">
        <v>280</v>
      </c>
      <c r="E15" s="11" t="n">
        <v>295005.88</v>
      </c>
    </row>
    <row r="16" customFormat="false" ht="15" hidden="false" customHeight="true" outlineLevel="0" collapsed="false">
      <c r="B16" s="5" t="s">
        <v>281</v>
      </c>
      <c r="E16" s="15" t="n">
        <v>0</v>
      </c>
    </row>
    <row r="17" customFormat="false" ht="15" hidden="false" customHeight="true" outlineLevel="0" collapsed="false">
      <c r="B17" s="22" t="s">
        <v>282</v>
      </c>
    </row>
    <row r="20" customFormat="false" ht="15" hidden="false" customHeight="true" outlineLevel="0" collapsed="false">
      <c r="B20" s="4" t="s">
        <v>62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3" t="s">
        <v>63</v>
      </c>
      <c r="C21" s="3"/>
      <c r="D21" s="3"/>
      <c r="E21" s="3"/>
      <c r="F21" s="3"/>
      <c r="G21" s="3"/>
    </row>
    <row r="22" customFormat="false" ht="15" hidden="false" customHeight="true" outlineLevel="0" collapsed="false">
      <c r="B22" s="3" t="s">
        <v>64</v>
      </c>
      <c r="C22" s="3"/>
      <c r="D22" s="3"/>
      <c r="E22" s="3"/>
      <c r="F22" s="3"/>
      <c r="G22" s="3"/>
    </row>
    <row r="23" customFormat="false" ht="15" hidden="false" customHeight="true" outlineLevel="0" collapsed="false">
      <c r="B23" s="3" t="s">
        <v>65</v>
      </c>
      <c r="C23" s="3"/>
      <c r="D23" s="3"/>
      <c r="E23" s="3"/>
      <c r="F23" s="3"/>
      <c r="G23" s="3"/>
    </row>
    <row r="24" customFormat="false" ht="15" hidden="false" customHeight="true" outlineLevel="0" collapsed="false">
      <c r="B24" s="3" t="s">
        <v>66</v>
      </c>
      <c r="C24" s="3"/>
      <c r="D24" s="3"/>
      <c r="E24" s="3"/>
      <c r="F24" s="3"/>
      <c r="G24" s="3"/>
    </row>
    <row r="25" customFormat="false" ht="15" hidden="false" customHeight="true" outlineLevel="0" collapsed="false">
      <c r="B25" s="3" t="s">
        <v>67</v>
      </c>
      <c r="C25" s="3"/>
      <c r="D25" s="3"/>
      <c r="E25" s="3"/>
      <c r="F25" s="3"/>
      <c r="G25" s="3"/>
    </row>
    <row r="26" customFormat="false" ht="15" hidden="false" customHeight="true" outlineLevel="0" collapsed="false">
      <c r="B26" s="3" t="s">
        <v>68</v>
      </c>
      <c r="C26" s="3"/>
      <c r="D26" s="3"/>
      <c r="E26" s="3"/>
      <c r="F26" s="3"/>
      <c r="G26" s="3"/>
    </row>
    <row r="27" customFormat="false" ht="15" hidden="false" customHeight="true" outlineLevel="0" collapsed="false">
      <c r="B27" s="3" t="s">
        <v>283</v>
      </c>
      <c r="C27" s="3"/>
      <c r="D27" s="3"/>
      <c r="E27" s="3"/>
      <c r="F27" s="3"/>
      <c r="G27" s="3"/>
    </row>
    <row r="28" customFormat="false" ht="15" hidden="false" customHeight="true" outlineLevel="0" collapsed="false">
      <c r="B28" s="3" t="s">
        <v>284</v>
      </c>
      <c r="C28" s="3"/>
      <c r="D28" s="3"/>
      <c r="E28" s="3"/>
      <c r="F28" s="3"/>
      <c r="G28" s="3"/>
    </row>
  </sheetData>
  <mergeCells count="14">
    <mergeCell ref="B2:G2"/>
    <mergeCell ref="B3:G3"/>
    <mergeCell ref="B5:G5"/>
    <mergeCell ref="B10:G10"/>
    <mergeCell ref="B14:G14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285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286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287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288</v>
      </c>
      <c r="G6" s="11" t="n">
        <v>813050</v>
      </c>
    </row>
    <row r="7" customFormat="false" ht="15" hidden="false" customHeight="true" outlineLevel="0" collapsed="false">
      <c r="B7" s="5" t="s">
        <v>289</v>
      </c>
      <c r="G7" s="11" t="n">
        <v>56774</v>
      </c>
    </row>
    <row r="8" customFormat="false" ht="15" hidden="false" customHeight="true" outlineLevel="0" collapsed="false">
      <c r="B8" s="5" t="s">
        <v>290</v>
      </c>
      <c r="G8" s="11" t="n">
        <v>869824</v>
      </c>
    </row>
    <row r="9" customFormat="false" ht="15" hidden="false" customHeight="true" outlineLevel="0" collapsed="false">
      <c r="B9" s="5" t="s">
        <v>291</v>
      </c>
      <c r="G9" s="11" t="n">
        <v>43491</v>
      </c>
    </row>
    <row r="10" customFormat="false" ht="15" hidden="false" customHeight="true" outlineLevel="0" collapsed="false">
      <c r="B10" s="5" t="s">
        <v>292</v>
      </c>
      <c r="G10" s="11" t="n">
        <v>826333</v>
      </c>
    </row>
    <row r="12" customFormat="false" ht="15" hidden="false" customHeight="true" outlineLevel="0" collapsed="false">
      <c r="B12" s="4" t="s">
        <v>293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294</v>
      </c>
      <c r="C13" s="10" t="s">
        <v>295</v>
      </c>
      <c r="D13" s="10" t="s">
        <v>296</v>
      </c>
      <c r="E13" s="10" t="s">
        <v>297</v>
      </c>
      <c r="F13" s="10" t="s">
        <v>298</v>
      </c>
      <c r="G13" s="10" t="s">
        <v>299</v>
      </c>
      <c r="H13" s="10" t="s">
        <v>300</v>
      </c>
    </row>
    <row r="14" customFormat="false" ht="15" hidden="false" customHeight="true" outlineLevel="0" collapsed="false">
      <c r="B14" s="5" t="n">
        <v>1</v>
      </c>
      <c r="C14" s="5" t="s">
        <v>301</v>
      </c>
      <c r="D14" s="11" t="n">
        <v>9500</v>
      </c>
      <c r="E14" s="11" t="n">
        <v>475</v>
      </c>
      <c r="F14" s="11" t="n">
        <f aca="false">D14-E14</f>
        <v>9025</v>
      </c>
      <c r="G14" s="11" t="n">
        <v>9025</v>
      </c>
      <c r="H14" s="12" t="n">
        <f aca="false">IF(869823.5=0,0,G14/869823.5)</f>
        <v>0.0103756681671626</v>
      </c>
    </row>
    <row r="15" customFormat="false" ht="15" hidden="false" customHeight="true" outlineLevel="0" collapsed="false">
      <c r="B15" s="5" t="n">
        <v>2</v>
      </c>
      <c r="C15" s="5" t="s">
        <v>302</v>
      </c>
      <c r="D15" s="11" t="n">
        <v>32700</v>
      </c>
      <c r="E15" s="11" t="n">
        <v>1635</v>
      </c>
      <c r="F15" s="11" t="n">
        <f aca="false">D15-E15</f>
        <v>31065</v>
      </c>
      <c r="G15" s="11" t="n">
        <v>40090</v>
      </c>
      <c r="H15" s="12" t="n">
        <f aca="false">IF(869823.5=0,0,G15/869823.5)</f>
        <v>0.046089810174133</v>
      </c>
    </row>
    <row r="16" customFormat="false" ht="15" hidden="false" customHeight="true" outlineLevel="0" collapsed="false">
      <c r="B16" s="5" t="n">
        <v>3</v>
      </c>
      <c r="C16" s="5" t="s">
        <v>303</v>
      </c>
      <c r="D16" s="11" t="n">
        <v>33000</v>
      </c>
      <c r="E16" s="11" t="n">
        <v>1650</v>
      </c>
      <c r="F16" s="11" t="n">
        <f aca="false">D16-E16</f>
        <v>31350</v>
      </c>
      <c r="G16" s="11" t="n">
        <v>71440</v>
      </c>
      <c r="H16" s="12" t="n">
        <f aca="false">IF(869823.5=0,0,G16/869823.5)</f>
        <v>0.0821316048600665</v>
      </c>
    </row>
    <row r="17" customFormat="false" ht="15" hidden="false" customHeight="true" outlineLevel="0" collapsed="false">
      <c r="B17" s="5" t="n">
        <v>4</v>
      </c>
      <c r="C17" s="5" t="s">
        <v>304</v>
      </c>
      <c r="D17" s="11" t="n">
        <v>38800</v>
      </c>
      <c r="E17" s="11" t="n">
        <v>1940</v>
      </c>
      <c r="F17" s="11" t="n">
        <f aca="false">D17-E17</f>
        <v>36860</v>
      </c>
      <c r="G17" s="11" t="n">
        <v>108300</v>
      </c>
      <c r="H17" s="12" t="n">
        <f aca="false">IF(869823.5=0,0,G17/869823.5)</f>
        <v>0.124508018005952</v>
      </c>
    </row>
    <row r="18" customFormat="false" ht="15" hidden="false" customHeight="true" outlineLevel="0" collapsed="false">
      <c r="B18" s="5" t="n">
        <v>5</v>
      </c>
      <c r="C18" s="5" t="s">
        <v>305</v>
      </c>
      <c r="D18" s="11" t="n">
        <v>18700</v>
      </c>
      <c r="E18" s="11" t="n">
        <v>935</v>
      </c>
      <c r="F18" s="11" t="n">
        <f aca="false">D18-E18</f>
        <v>17765</v>
      </c>
      <c r="G18" s="11" t="n">
        <v>126065</v>
      </c>
      <c r="H18" s="12" t="n">
        <f aca="false">IF(869823.5=0,0,G18/869823.5)</f>
        <v>0.144931701661314</v>
      </c>
    </row>
    <row r="19" customFormat="false" ht="15" hidden="false" customHeight="true" outlineLevel="0" collapsed="false">
      <c r="B19" s="5" t="n">
        <v>6</v>
      </c>
      <c r="C19" s="5" t="s">
        <v>306</v>
      </c>
      <c r="D19" s="11" t="n">
        <v>63000</v>
      </c>
      <c r="E19" s="11" t="n">
        <v>3150</v>
      </c>
      <c r="F19" s="11" t="n">
        <f aca="false">D19-E19</f>
        <v>59850</v>
      </c>
      <c r="G19" s="11" t="n">
        <v>185915</v>
      </c>
      <c r="H19" s="12" t="n">
        <f aca="false">IF(869823.5=0,0,G19/869823.5)</f>
        <v>0.213738764243551</v>
      </c>
    </row>
    <row r="20" customFormat="false" ht="15" hidden="false" customHeight="true" outlineLevel="0" collapsed="false">
      <c r="B20" s="5" t="n">
        <v>7</v>
      </c>
      <c r="C20" s="5" t="s">
        <v>307</v>
      </c>
      <c r="D20" s="11" t="n">
        <v>235300</v>
      </c>
      <c r="E20" s="11" t="n">
        <v>11765</v>
      </c>
      <c r="F20" s="11" t="n">
        <f aca="false">D20-E20</f>
        <v>223535</v>
      </c>
      <c r="G20" s="11" t="n">
        <v>409450</v>
      </c>
      <c r="H20" s="12" t="n">
        <f aca="false">IF(869823.5=0,0,G20/869823.5)</f>
        <v>0.470727682110221</v>
      </c>
    </row>
    <row r="21" customFormat="false" ht="15" hidden="false" customHeight="true" outlineLevel="0" collapsed="false">
      <c r="B21" s="5" t="n">
        <v>8</v>
      </c>
      <c r="C21" s="5" t="s">
        <v>308</v>
      </c>
      <c r="D21" s="11" t="n">
        <v>183000</v>
      </c>
      <c r="E21" s="11" t="n">
        <v>9150</v>
      </c>
      <c r="F21" s="11" t="n">
        <f aca="false">D21-E21</f>
        <v>173850</v>
      </c>
      <c r="G21" s="11" t="n">
        <v>583300</v>
      </c>
      <c r="H21" s="12" t="n">
        <f aca="false">IF(869823.5=0,0,G21/869823.5)</f>
        <v>0.67059581627767</v>
      </c>
    </row>
    <row r="22" customFormat="false" ht="15" hidden="false" customHeight="true" outlineLevel="0" collapsed="false">
      <c r="B22" s="5" t="n">
        <v>9</v>
      </c>
      <c r="C22" s="5" t="s">
        <v>309</v>
      </c>
      <c r="D22" s="11" t="n">
        <v>41009</v>
      </c>
      <c r="E22" s="11" t="n">
        <v>2050.45</v>
      </c>
      <c r="F22" s="11" t="n">
        <f aca="false">D22-E22</f>
        <v>38958.55</v>
      </c>
      <c r="G22" s="11" t="n">
        <v>622258.55</v>
      </c>
      <c r="H22" s="12" t="n">
        <f aca="false">IF(869823.5=0,0,G22/869823.5)</f>
        <v>0.71538484531632</v>
      </c>
    </row>
    <row r="23" customFormat="false" ht="15" hidden="false" customHeight="true" outlineLevel="0" collapsed="false">
      <c r="B23" s="5" t="n">
        <v>10</v>
      </c>
      <c r="C23" s="5" t="s">
        <v>310</v>
      </c>
      <c r="D23" s="11" t="n">
        <v>5400</v>
      </c>
      <c r="E23" s="11" t="n">
        <v>270</v>
      </c>
      <c r="F23" s="11" t="n">
        <f aca="false">D23-E23</f>
        <v>5130</v>
      </c>
      <c r="G23" s="11" t="n">
        <v>627388.55</v>
      </c>
      <c r="H23" s="12" t="n">
        <f aca="false">IF(869823.5=0,0,G23/869823.5)</f>
        <v>0.721282593537655</v>
      </c>
    </row>
    <row r="24" customFormat="false" ht="15" hidden="false" customHeight="true" outlineLevel="0" collapsed="false">
      <c r="B24" s="5" t="n">
        <v>11</v>
      </c>
      <c r="C24" s="5" t="s">
        <v>311</v>
      </c>
      <c r="D24" s="11" t="n">
        <v>5100</v>
      </c>
      <c r="E24" s="11" t="n">
        <v>255</v>
      </c>
      <c r="F24" s="11" t="n">
        <f aca="false">D24-E24</f>
        <v>4845</v>
      </c>
      <c r="G24" s="11" t="n">
        <v>632233.55</v>
      </c>
      <c r="H24" s="12" t="n">
        <f aca="false">IF(869823.5=0,0,G24/869823.5)</f>
        <v>0.726852689080026</v>
      </c>
    </row>
    <row r="25" customFormat="false" ht="15" hidden="false" customHeight="true" outlineLevel="0" collapsed="false">
      <c r="B25" s="5" t="n">
        <v>12</v>
      </c>
      <c r="C25" s="5" t="s">
        <v>312</v>
      </c>
      <c r="D25" s="11" t="n">
        <v>103997</v>
      </c>
      <c r="E25" s="11" t="n">
        <v>5199.85</v>
      </c>
      <c r="F25" s="11" t="n">
        <f aca="false">D25-E25</f>
        <v>98797.15</v>
      </c>
      <c r="G25" s="11" t="n">
        <v>731030.7</v>
      </c>
      <c r="H25" s="12" t="n">
        <f aca="false">IF(869823.5=0,0,G25/869823.5)</f>
        <v>0.840435674593754</v>
      </c>
    </row>
    <row r="26" customFormat="false" ht="15" hidden="false" customHeight="true" outlineLevel="0" collapsed="false">
      <c r="B26" s="5" t="n">
        <v>13</v>
      </c>
      <c r="C26" s="5" t="s">
        <v>313</v>
      </c>
      <c r="D26" s="11" t="n">
        <v>100317.5</v>
      </c>
      <c r="E26" s="11" t="n">
        <v>5015.875</v>
      </c>
      <c r="F26" s="11" t="n">
        <f aca="false">D26-E26</f>
        <v>95301.625</v>
      </c>
      <c r="G26" s="11" t="n">
        <v>826332.32</v>
      </c>
      <c r="H26" s="12" t="n">
        <f aca="false">IF(869823.5=0,0,G26/869823.5)</f>
        <v>0.949999994251707</v>
      </c>
    </row>
    <row r="27" customFormat="false" ht="15" hidden="false" customHeight="true" outlineLevel="0" collapsed="false">
      <c r="B27" s="5" t="n">
        <v>14</v>
      </c>
      <c r="C27" s="5" t="s">
        <v>314</v>
      </c>
      <c r="D27" s="11" t="n">
        <v>43491.18</v>
      </c>
      <c r="E27" s="11" t="n">
        <v>0</v>
      </c>
      <c r="F27" s="11" t="n">
        <f aca="false">D27-E27</f>
        <v>43491.18</v>
      </c>
      <c r="G27" s="11" t="n">
        <v>869823.5</v>
      </c>
      <c r="H27" s="12" t="n">
        <f aca="false">IF(869823.5=0,0,G27/869823.5)</f>
        <v>1</v>
      </c>
    </row>
    <row r="29" customFormat="false" ht="15" hidden="false" customHeight="true" outlineLevel="0" collapsed="false">
      <c r="B29" s="4" t="s">
        <v>315</v>
      </c>
      <c r="C29" s="4"/>
      <c r="D29" s="4"/>
      <c r="E29" s="4"/>
      <c r="F29" s="4"/>
      <c r="G29" s="4"/>
      <c r="H29" s="4"/>
    </row>
    <row r="30" customFormat="false" ht="15" hidden="false" customHeight="true" outlineLevel="0" collapsed="false">
      <c r="B30" s="10" t="s">
        <v>40</v>
      </c>
      <c r="C30" s="10" t="s">
        <v>316</v>
      </c>
      <c r="D30" s="10" t="s">
        <v>317</v>
      </c>
      <c r="E30" s="10" t="s">
        <v>318</v>
      </c>
      <c r="F30" s="10" t="s">
        <v>319</v>
      </c>
    </row>
    <row r="31" customFormat="false" ht="15" hidden="false" customHeight="true" outlineLevel="0" collapsed="false">
      <c r="B31" s="5" t="s">
        <v>290</v>
      </c>
      <c r="C31" s="11" t="n">
        <v>869824</v>
      </c>
      <c r="D31" s="11" t="n">
        <v>869824</v>
      </c>
      <c r="E31" s="11" t="n">
        <f aca="false">C31-D31</f>
        <v>0</v>
      </c>
      <c r="F31" s="6" t="str">
        <f aca="false">IF(ABS(E31)&lt;=1,"TIES",IF(ABS(E31)&lt;=ABS(D31)*0.05,"WITHIN","OFF"))</f>
        <v>TIES</v>
      </c>
    </row>
    <row r="32" customFormat="false" ht="15" hidden="false" customHeight="true" outlineLevel="0" collapsed="false">
      <c r="B32" s="5" t="s">
        <v>320</v>
      </c>
      <c r="C32" s="11" t="n">
        <v>43491</v>
      </c>
      <c r="D32" s="11" t="n">
        <v>43491</v>
      </c>
      <c r="E32" s="11" t="n">
        <f aca="false">C32-D32</f>
        <v>0</v>
      </c>
      <c r="F32" s="6" t="str">
        <f aca="false">IF(ABS(E32)&lt;=1,"TIES",IF(ABS(E32)&lt;=ABS(D32)*0.05,"WITHIN","OFF"))</f>
        <v>TIES</v>
      </c>
    </row>
    <row r="33" customFormat="false" ht="15" hidden="false" customHeight="true" outlineLevel="0" collapsed="false">
      <c r="B33" s="5" t="s">
        <v>135</v>
      </c>
      <c r="C33" s="11" t="n">
        <v>536863.45</v>
      </c>
      <c r="D33" s="11" t="n">
        <v>536863.45</v>
      </c>
      <c r="E33" s="11" t="n">
        <f aca="false">C33-D33</f>
        <v>0</v>
      </c>
      <c r="F33" s="6" t="str">
        <f aca="false">IF(ABS(E33)&lt;=1,"TIES",IF(ABS(E33)&lt;=ABS(D33)*0.05,"WITHIN","OFF"))</f>
        <v>TIES</v>
      </c>
    </row>
    <row r="37" customFormat="false" ht="15" hidden="false" customHeight="true" outlineLevel="0" collapsed="false">
      <c r="B37" s="4" t="s">
        <v>62</v>
      </c>
      <c r="C37" s="4"/>
      <c r="D37" s="4"/>
      <c r="E37" s="4"/>
      <c r="F37" s="4"/>
      <c r="G37" s="4"/>
      <c r="H37" s="4"/>
    </row>
    <row r="38" customFormat="false" ht="15" hidden="false" customHeight="true" outlineLevel="0" collapsed="false">
      <c r="B38" s="3" t="s">
        <v>63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</row>
  </sheetData>
  <mergeCells count="12">
    <mergeCell ref="B2:H2"/>
    <mergeCell ref="B3:H3"/>
    <mergeCell ref="B5:H5"/>
    <mergeCell ref="B12:H12"/>
    <mergeCell ref="B29:H29"/>
    <mergeCell ref="B37:H37"/>
    <mergeCell ref="B38:H38"/>
    <mergeCell ref="B39:H39"/>
    <mergeCell ref="B40:H40"/>
    <mergeCell ref="B41:H41"/>
    <mergeCell ref="B42:H42"/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321</v>
      </c>
      <c r="C2" s="2"/>
    </row>
    <row r="3" customFormat="false" ht="15" hidden="false" customHeight="true" outlineLevel="0" collapsed="false">
      <c r="B3" s="3" t="s">
        <v>322</v>
      </c>
      <c r="C3" s="3"/>
    </row>
    <row r="5" customFormat="false" ht="31.5" hidden="false" customHeight="true" outlineLevel="0" collapsed="false">
      <c r="B5" s="6" t="s">
        <v>323</v>
      </c>
      <c r="C5" s="25" t="s">
        <v>324</v>
      </c>
    </row>
    <row r="6" customFormat="false" ht="31.5" hidden="false" customHeight="true" outlineLevel="0" collapsed="false">
      <c r="B6" s="6" t="s">
        <v>325</v>
      </c>
      <c r="C6" s="25" t="s">
        <v>326</v>
      </c>
    </row>
    <row r="7" customFormat="false" ht="31.5" hidden="false" customHeight="true" outlineLevel="0" collapsed="false">
      <c r="B7" s="6" t="s">
        <v>327</v>
      </c>
      <c r="C7" s="25" t="s">
        <v>328</v>
      </c>
    </row>
    <row r="8" customFormat="false" ht="31.5" hidden="false" customHeight="true" outlineLevel="0" collapsed="false">
      <c r="B8" s="6" t="s">
        <v>329</v>
      </c>
      <c r="C8" s="25" t="s">
        <v>330</v>
      </c>
    </row>
    <row r="9" customFormat="false" ht="31.5" hidden="false" customHeight="true" outlineLevel="0" collapsed="false">
      <c r="B9" s="6" t="s">
        <v>331</v>
      </c>
      <c r="C9" s="25" t="s">
        <v>332</v>
      </c>
    </row>
    <row r="10" customFormat="false" ht="31.5" hidden="false" customHeight="true" outlineLevel="0" collapsed="false">
      <c r="B10" s="6" t="s">
        <v>333</v>
      </c>
      <c r="C10" s="25" t="s">
        <v>334</v>
      </c>
    </row>
    <row r="11" customFormat="false" ht="31.5" hidden="false" customHeight="true" outlineLevel="0" collapsed="false">
      <c r="B11" s="6" t="s">
        <v>335</v>
      </c>
      <c r="C11" s="25" t="s">
        <v>336</v>
      </c>
    </row>
    <row r="12" customFormat="false" ht="31.5" hidden="false" customHeight="true" outlineLevel="0" collapsed="false">
      <c r="B12" s="6" t="s">
        <v>337</v>
      </c>
      <c r="C12" s="25" t="s">
        <v>338</v>
      </c>
    </row>
    <row r="13" customFormat="false" ht="31.5" hidden="false" customHeight="true" outlineLevel="0" collapsed="false">
      <c r="B13" s="6" t="s">
        <v>339</v>
      </c>
      <c r="C13" s="25" t="s">
        <v>340</v>
      </c>
    </row>
    <row r="14" customFormat="false" ht="31.5" hidden="false" customHeight="true" outlineLevel="0" collapsed="false">
      <c r="B14" s="6" t="s">
        <v>341</v>
      </c>
      <c r="C14" s="25" t="s">
        <v>342</v>
      </c>
    </row>
    <row r="16" customFormat="false" ht="15" hidden="false" customHeight="true" outlineLevel="0" collapsed="false">
      <c r="B16" s="4" t="s">
        <v>343</v>
      </c>
      <c r="C16" s="4"/>
    </row>
    <row r="17" customFormat="false" ht="49.5" hidden="false" customHeight="true" outlineLevel="0" collapsed="false">
      <c r="B17" s="26" t="s">
        <v>344</v>
      </c>
      <c r="C17" s="26"/>
    </row>
    <row r="20" customFormat="false" ht="15" hidden="false" customHeight="true" outlineLevel="0" collapsed="false">
      <c r="B20" s="4" t="s">
        <v>62</v>
      </c>
      <c r="C20" s="4"/>
    </row>
    <row r="21" customFormat="false" ht="15" hidden="false" customHeight="true" outlineLevel="0" collapsed="false">
      <c r="B21" s="3" t="s">
        <v>63</v>
      </c>
      <c r="C21" s="3"/>
    </row>
    <row r="22" customFormat="false" ht="15" hidden="false" customHeight="true" outlineLevel="0" collapsed="false">
      <c r="B22" s="3" t="s">
        <v>64</v>
      </c>
      <c r="C22" s="3"/>
    </row>
    <row r="23" customFormat="false" ht="15" hidden="false" customHeight="true" outlineLevel="0" collapsed="false">
      <c r="B23" s="3" t="s">
        <v>65</v>
      </c>
      <c r="C23" s="3"/>
    </row>
    <row r="24" customFormat="false" ht="15" hidden="false" customHeight="true" outlineLevel="0" collapsed="false">
      <c r="B24" s="3" t="s">
        <v>66</v>
      </c>
      <c r="C24" s="3"/>
    </row>
    <row r="25" customFormat="false" ht="15" hidden="false" customHeight="true" outlineLevel="0" collapsed="false">
      <c r="B25" s="3" t="s">
        <v>67</v>
      </c>
      <c r="C25" s="3"/>
    </row>
    <row r="26" customFormat="false" ht="15" hidden="false" customHeight="true" outlineLevel="0" collapsed="false">
      <c r="B26" s="3" t="s">
        <v>68</v>
      </c>
      <c r="C26" s="3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345</v>
      </c>
      <c r="C2" s="2"/>
      <c r="D2" s="2"/>
      <c r="E2" s="2"/>
      <c r="F2" s="2"/>
    </row>
    <row r="3" customFormat="false" ht="15" hidden="false" customHeight="true" outlineLevel="0" collapsed="false">
      <c r="B3" s="3" t="s">
        <v>346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347</v>
      </c>
      <c r="C5" s="10" t="s">
        <v>348</v>
      </c>
      <c r="D5" s="10" t="s">
        <v>41</v>
      </c>
      <c r="E5" s="10" t="s">
        <v>28</v>
      </c>
      <c r="F5" s="10" t="s">
        <v>250</v>
      </c>
      <c r="G5" s="27" t="s">
        <v>349</v>
      </c>
      <c r="H5" s="27" t="s">
        <v>350</v>
      </c>
    </row>
    <row r="6" customFormat="false" ht="15" hidden="false" customHeight="true" outlineLevel="0" collapsed="false">
      <c r="B6" s="5" t="s">
        <v>351</v>
      </c>
      <c r="C6" s="28" t="s">
        <v>352</v>
      </c>
      <c r="D6" s="6" t="s">
        <v>4</v>
      </c>
      <c r="E6" s="5" t="s">
        <v>353</v>
      </c>
      <c r="F6" s="22" t="s">
        <v>354</v>
      </c>
      <c r="G6" s="29" t="s">
        <v>355</v>
      </c>
      <c r="H6" s="30" t="s">
        <v>356</v>
      </c>
    </row>
    <row r="7" customFormat="false" ht="15" hidden="false" customHeight="true" outlineLevel="0" collapsed="false">
      <c r="B7" s="5" t="s">
        <v>357</v>
      </c>
      <c r="C7" s="28" t="s">
        <v>358</v>
      </c>
      <c r="D7" s="6" t="s">
        <v>6</v>
      </c>
      <c r="E7" s="5" t="s">
        <v>353</v>
      </c>
      <c r="G7" s="29" t="s">
        <v>355</v>
      </c>
      <c r="H7" s="30" t="s">
        <v>356</v>
      </c>
    </row>
    <row r="8" customFormat="false" ht="15" hidden="false" customHeight="true" outlineLevel="0" collapsed="false">
      <c r="B8" s="5" t="s">
        <v>7</v>
      </c>
      <c r="C8" s="28" t="s">
        <v>359</v>
      </c>
      <c r="D8" s="6" t="s">
        <v>8</v>
      </c>
      <c r="E8" s="5" t="s">
        <v>353</v>
      </c>
      <c r="G8" s="29" t="s">
        <v>355</v>
      </c>
      <c r="H8" s="30" t="s">
        <v>356</v>
      </c>
    </row>
    <row r="9" customFormat="false" ht="15" hidden="false" customHeight="true" outlineLevel="0" collapsed="false">
      <c r="B9" s="5" t="s">
        <v>9</v>
      </c>
      <c r="C9" s="28" t="s">
        <v>360</v>
      </c>
      <c r="D9" s="6" t="s">
        <v>10</v>
      </c>
      <c r="E9" s="5" t="s">
        <v>353</v>
      </c>
      <c r="G9" s="29" t="s">
        <v>355</v>
      </c>
      <c r="H9" s="30" t="s">
        <v>356</v>
      </c>
    </row>
    <row r="10" customFormat="false" ht="15" hidden="false" customHeight="true" outlineLevel="0" collapsed="false">
      <c r="B10" s="5" t="s">
        <v>361</v>
      </c>
      <c r="C10" s="28" t="s">
        <v>362</v>
      </c>
      <c r="D10" s="6" t="s">
        <v>363</v>
      </c>
      <c r="E10" s="5" t="s">
        <v>353</v>
      </c>
      <c r="G10" s="29" t="s">
        <v>355</v>
      </c>
      <c r="H10" s="30" t="s">
        <v>356</v>
      </c>
    </row>
    <row r="11" customFormat="false" ht="15" hidden="false" customHeight="true" outlineLevel="0" collapsed="false">
      <c r="B11" s="5" t="s">
        <v>364</v>
      </c>
      <c r="C11" s="28" t="s">
        <v>365</v>
      </c>
      <c r="D11" s="6" t="n">
        <v>17</v>
      </c>
      <c r="E11" s="5" t="s">
        <v>353</v>
      </c>
      <c r="F11" s="22" t="s">
        <v>12</v>
      </c>
      <c r="G11" s="29" t="s">
        <v>355</v>
      </c>
      <c r="H11" s="30" t="s">
        <v>356</v>
      </c>
    </row>
    <row r="12" customFormat="false" ht="15" hidden="false" customHeight="true" outlineLevel="0" collapsed="false">
      <c r="B12" s="5" t="s">
        <v>366</v>
      </c>
      <c r="C12" s="28" t="s">
        <v>367</v>
      </c>
      <c r="D12" s="13" t="n">
        <v>117</v>
      </c>
      <c r="E12" s="5" t="s">
        <v>353</v>
      </c>
      <c r="G12" s="29" t="s">
        <v>355</v>
      </c>
      <c r="H12" s="30" t="s">
        <v>356</v>
      </c>
    </row>
    <row r="13" customFormat="false" ht="15" hidden="false" customHeight="true" outlineLevel="0" collapsed="false">
      <c r="B13" s="5" t="s">
        <v>47</v>
      </c>
      <c r="C13" s="28" t="s">
        <v>368</v>
      </c>
      <c r="D13" s="13" t="n">
        <v>841</v>
      </c>
      <c r="E13" s="5" t="s">
        <v>353</v>
      </c>
      <c r="G13" s="29" t="s">
        <v>355</v>
      </c>
      <c r="H13" s="30" t="s">
        <v>356</v>
      </c>
    </row>
    <row r="14" customFormat="false" ht="15" hidden="false" customHeight="true" outlineLevel="0" collapsed="false">
      <c r="B14" s="5" t="s">
        <v>369</v>
      </c>
      <c r="C14" s="28" t="s">
        <v>370</v>
      </c>
      <c r="D14" s="21" t="n">
        <v>7.18803418803419</v>
      </c>
      <c r="E14" s="5" t="s">
        <v>353</v>
      </c>
      <c r="G14" s="29" t="s">
        <v>355</v>
      </c>
      <c r="H14" s="30" t="s">
        <v>356</v>
      </c>
    </row>
    <row r="15" customFormat="false" ht="15" hidden="false" customHeight="true" outlineLevel="0" collapsed="false">
      <c r="B15" s="5" t="s">
        <v>371</v>
      </c>
      <c r="C15" s="28" t="s">
        <v>372</v>
      </c>
      <c r="D15" s="13" t="n">
        <v>813050</v>
      </c>
      <c r="E15" s="5" t="s">
        <v>373</v>
      </c>
      <c r="G15" s="29" t="s">
        <v>355</v>
      </c>
      <c r="H15" s="30" t="s">
        <v>356</v>
      </c>
    </row>
    <row r="16" customFormat="false" ht="15" hidden="false" customHeight="true" outlineLevel="0" collapsed="false">
      <c r="B16" s="5" t="s">
        <v>374</v>
      </c>
      <c r="C16" s="28" t="s">
        <v>375</v>
      </c>
      <c r="D16" s="13" t="n">
        <v>869823.5</v>
      </c>
      <c r="E16" s="5" t="s">
        <v>373</v>
      </c>
      <c r="F16" s="22" t="s">
        <v>376</v>
      </c>
      <c r="G16" s="29" t="s">
        <v>355</v>
      </c>
      <c r="H16" s="30" t="s">
        <v>356</v>
      </c>
    </row>
    <row r="17" customFormat="false" ht="15" hidden="false" customHeight="true" outlineLevel="0" collapsed="false">
      <c r="B17" s="5" t="s">
        <v>377</v>
      </c>
      <c r="C17" s="28" t="s">
        <v>378</v>
      </c>
      <c r="D17" s="13" t="n">
        <v>56773.5</v>
      </c>
      <c r="E17" s="5" t="s">
        <v>373</v>
      </c>
      <c r="G17" s="29" t="s">
        <v>355</v>
      </c>
      <c r="H17" s="30" t="s">
        <v>356</v>
      </c>
    </row>
    <row r="18" customFormat="false" ht="15" hidden="false" customHeight="true" outlineLevel="0" collapsed="false">
      <c r="B18" s="5" t="s">
        <v>379</v>
      </c>
      <c r="C18" s="28" t="s">
        <v>380</v>
      </c>
      <c r="D18" s="13" t="n">
        <v>869823.5</v>
      </c>
      <c r="E18" s="5" t="s">
        <v>373</v>
      </c>
      <c r="G18" s="29" t="s">
        <v>355</v>
      </c>
      <c r="H18" s="30" t="s">
        <v>356</v>
      </c>
    </row>
    <row r="19" customFormat="false" ht="15" hidden="false" customHeight="true" outlineLevel="0" collapsed="false">
      <c r="B19" s="5" t="s">
        <v>381</v>
      </c>
      <c r="C19" s="28" t="s">
        <v>382</v>
      </c>
      <c r="D19" s="13" t="n">
        <v>332960.05</v>
      </c>
      <c r="E19" s="5" t="s">
        <v>373</v>
      </c>
      <c r="G19" s="29" t="s">
        <v>355</v>
      </c>
      <c r="H19" s="30" t="s">
        <v>356</v>
      </c>
    </row>
    <row r="20" customFormat="false" ht="15" hidden="false" customHeight="true" outlineLevel="0" collapsed="false">
      <c r="B20" s="5" t="s">
        <v>383</v>
      </c>
      <c r="C20" s="28" t="s">
        <v>384</v>
      </c>
      <c r="D20" s="21" t="n">
        <v>0.382790359193561</v>
      </c>
      <c r="E20" s="5" t="s">
        <v>373</v>
      </c>
      <c r="G20" s="29" t="s">
        <v>355</v>
      </c>
      <c r="H20" s="30" t="s">
        <v>356</v>
      </c>
    </row>
    <row r="21" customFormat="false" ht="15" hidden="false" customHeight="true" outlineLevel="0" collapsed="false">
      <c r="B21" s="5" t="s">
        <v>135</v>
      </c>
      <c r="C21" s="28" t="s">
        <v>385</v>
      </c>
      <c r="D21" s="13" t="n">
        <v>536863.45</v>
      </c>
      <c r="E21" s="5" t="s">
        <v>373</v>
      </c>
      <c r="G21" s="29" t="s">
        <v>355</v>
      </c>
      <c r="H21" s="30" t="s">
        <v>356</v>
      </c>
    </row>
    <row r="22" customFormat="false" ht="15" hidden="false" customHeight="true" outlineLevel="0" collapsed="false">
      <c r="B22" s="5" t="s">
        <v>386</v>
      </c>
      <c r="C22" s="28" t="s">
        <v>387</v>
      </c>
      <c r="D22" s="13" t="n">
        <v>142882.75</v>
      </c>
      <c r="E22" s="5" t="s">
        <v>34</v>
      </c>
      <c r="F22" s="22" t="s">
        <v>388</v>
      </c>
      <c r="G22" s="29" t="s">
        <v>355</v>
      </c>
      <c r="H22" s="30" t="s">
        <v>356</v>
      </c>
    </row>
    <row r="23" customFormat="false" ht="15" hidden="false" customHeight="true" outlineLevel="0" collapsed="false">
      <c r="B23" s="5" t="s">
        <v>389</v>
      </c>
      <c r="C23" s="28" t="s">
        <v>390</v>
      </c>
      <c r="D23" s="13" t="n">
        <v>295005.88</v>
      </c>
      <c r="E23" s="5" t="s">
        <v>35</v>
      </c>
      <c r="F23" s="22" t="s">
        <v>391</v>
      </c>
      <c r="G23" s="29" t="s">
        <v>355</v>
      </c>
      <c r="H23" s="30" t="s">
        <v>356</v>
      </c>
    </row>
    <row r="24" customFormat="false" ht="15" hidden="false" customHeight="true" outlineLevel="0" collapsed="false">
      <c r="B24" s="5" t="s">
        <v>392</v>
      </c>
      <c r="C24" s="28" t="s">
        <v>393</v>
      </c>
      <c r="D24" s="13" t="n">
        <v>26210.1</v>
      </c>
      <c r="E24" s="5" t="s">
        <v>373</v>
      </c>
      <c r="F24" s="22" t="s">
        <v>394</v>
      </c>
      <c r="G24" s="29" t="s">
        <v>355</v>
      </c>
      <c r="H24" s="30" t="s">
        <v>356</v>
      </c>
    </row>
    <row r="25" customFormat="false" ht="15" hidden="false" customHeight="true" outlineLevel="0" collapsed="false">
      <c r="B25" s="5" t="s">
        <v>395</v>
      </c>
      <c r="C25" s="28" t="s">
        <v>396</v>
      </c>
      <c r="D25" s="13" t="n">
        <v>72764.72</v>
      </c>
      <c r="E25" s="5" t="s">
        <v>373</v>
      </c>
      <c r="F25" s="22" t="s">
        <v>397</v>
      </c>
      <c r="G25" s="29" t="s">
        <v>355</v>
      </c>
      <c r="H25" s="30" t="s">
        <v>356</v>
      </c>
    </row>
    <row r="26" customFormat="false" ht="15" hidden="false" customHeight="true" outlineLevel="0" collapsed="false">
      <c r="B26" s="5" t="s">
        <v>320</v>
      </c>
      <c r="C26" s="28" t="s">
        <v>398</v>
      </c>
      <c r="D26" s="13" t="n">
        <v>43491</v>
      </c>
      <c r="E26" s="5" t="s">
        <v>373</v>
      </c>
      <c r="F26" s="22" t="s">
        <v>399</v>
      </c>
      <c r="G26" s="29" t="s">
        <v>355</v>
      </c>
      <c r="H26" s="30" t="s">
        <v>356</v>
      </c>
    </row>
    <row r="27" customFormat="false" ht="15" hidden="false" customHeight="true" outlineLevel="0" collapsed="false">
      <c r="B27" s="5" t="s">
        <v>400</v>
      </c>
      <c r="C27" s="28" t="s">
        <v>401</v>
      </c>
      <c r="D27" s="13" t="n">
        <v>7434.38888888889</v>
      </c>
      <c r="E27" s="5" t="s">
        <v>373</v>
      </c>
      <c r="G27" s="29" t="s">
        <v>355</v>
      </c>
      <c r="H27" s="30" t="s">
        <v>356</v>
      </c>
    </row>
    <row r="28" customFormat="false" ht="15" hidden="false" customHeight="true" outlineLevel="0" collapsed="false">
      <c r="B28" s="5" t="s">
        <v>402</v>
      </c>
      <c r="C28" s="28" t="s">
        <v>403</v>
      </c>
      <c r="D28" s="13" t="n">
        <v>2845.81239316239</v>
      </c>
      <c r="E28" s="5" t="s">
        <v>373</v>
      </c>
      <c r="G28" s="29" t="s">
        <v>355</v>
      </c>
      <c r="H28" s="30" t="s">
        <v>356</v>
      </c>
    </row>
    <row r="29" customFormat="false" ht="15" hidden="false" customHeight="true" outlineLevel="0" collapsed="false">
      <c r="B29" s="5" t="s">
        <v>404</v>
      </c>
      <c r="C29" s="28" t="s">
        <v>405</v>
      </c>
      <c r="D29" s="13" t="n">
        <v>4588.5764957265</v>
      </c>
      <c r="E29" s="5" t="s">
        <v>373</v>
      </c>
      <c r="G29" s="29" t="s">
        <v>355</v>
      </c>
      <c r="H29" s="30" t="s">
        <v>356</v>
      </c>
    </row>
    <row r="30" customFormat="false" ht="15" hidden="false" customHeight="true" outlineLevel="0" collapsed="false">
      <c r="B30" s="5" t="s">
        <v>406</v>
      </c>
      <c r="C30" s="28" t="s">
        <v>407</v>
      </c>
      <c r="D30" s="13" t="n">
        <v>1221.22008547009</v>
      </c>
      <c r="E30" s="5" t="s">
        <v>34</v>
      </c>
      <c r="G30" s="29" t="s">
        <v>355</v>
      </c>
      <c r="H30" s="30" t="s">
        <v>356</v>
      </c>
    </row>
    <row r="31" customFormat="false" ht="15" hidden="false" customHeight="true" outlineLevel="0" collapsed="false">
      <c r="B31" s="5" t="s">
        <v>408</v>
      </c>
      <c r="C31" s="28" t="s">
        <v>409</v>
      </c>
      <c r="D31" s="13" t="n">
        <v>2521.41777777778</v>
      </c>
      <c r="E31" s="5" t="s">
        <v>35</v>
      </c>
      <c r="G31" s="29" t="s">
        <v>355</v>
      </c>
      <c r="H31" s="30" t="s">
        <v>356</v>
      </c>
    </row>
    <row r="32" customFormat="false" ht="15" hidden="false" customHeight="true" outlineLevel="0" collapsed="false">
      <c r="B32" s="5" t="s">
        <v>410</v>
      </c>
      <c r="C32" s="28" t="s">
        <v>411</v>
      </c>
      <c r="D32" s="13" t="n">
        <v>1034.27288941736</v>
      </c>
      <c r="E32" s="5" t="s">
        <v>373</v>
      </c>
      <c r="G32" s="29" t="s">
        <v>355</v>
      </c>
      <c r="H32" s="30" t="s">
        <v>356</v>
      </c>
    </row>
    <row r="33" customFormat="false" ht="15" hidden="false" customHeight="true" outlineLevel="0" collapsed="false">
      <c r="B33" s="5" t="s">
        <v>412</v>
      </c>
      <c r="C33" s="28" t="s">
        <v>413</v>
      </c>
      <c r="D33" s="13" t="n">
        <v>395.909690844233</v>
      </c>
      <c r="E33" s="5" t="s">
        <v>373</v>
      </c>
      <c r="G33" s="29" t="s">
        <v>355</v>
      </c>
      <c r="H33" s="30" t="s">
        <v>356</v>
      </c>
    </row>
    <row r="34" customFormat="false" ht="15" hidden="false" customHeight="true" outlineLevel="0" collapsed="false">
      <c r="B34" s="5" t="s">
        <v>414</v>
      </c>
      <c r="C34" s="28" t="s">
        <v>415</v>
      </c>
      <c r="D34" s="13" t="n">
        <v>638.363198573127</v>
      </c>
      <c r="E34" s="5" t="s">
        <v>373</v>
      </c>
      <c r="G34" s="29" t="s">
        <v>355</v>
      </c>
      <c r="H34" s="30" t="s">
        <v>356</v>
      </c>
    </row>
    <row r="35" customFormat="false" ht="15" hidden="false" customHeight="true" outlineLevel="0" collapsed="false">
      <c r="B35" s="5" t="s">
        <v>416</v>
      </c>
      <c r="C35" s="28" t="s">
        <v>417</v>
      </c>
      <c r="D35" s="13" t="n">
        <v>169.896254458977</v>
      </c>
      <c r="E35" s="5" t="s">
        <v>34</v>
      </c>
      <c r="G35" s="29" t="s">
        <v>355</v>
      </c>
      <c r="H35" s="30" t="s">
        <v>356</v>
      </c>
    </row>
    <row r="36" customFormat="false" ht="15" hidden="false" customHeight="true" outlineLevel="0" collapsed="false">
      <c r="B36" s="5" t="s">
        <v>418</v>
      </c>
      <c r="C36" s="28" t="s">
        <v>419</v>
      </c>
      <c r="D36" s="13" t="n">
        <v>350.779881093936</v>
      </c>
      <c r="E36" s="5" t="s">
        <v>35</v>
      </c>
      <c r="G36" s="29" t="s">
        <v>355</v>
      </c>
      <c r="H36" s="30" t="s">
        <v>356</v>
      </c>
    </row>
    <row r="37" customFormat="false" ht="15" hidden="false" customHeight="true" outlineLevel="0" collapsed="false">
      <c r="B37" s="5" t="s">
        <v>420</v>
      </c>
      <c r="C37" s="28" t="s">
        <v>421</v>
      </c>
      <c r="D37" s="13" t="n">
        <v>6943.5</v>
      </c>
      <c r="E37" s="5" t="s">
        <v>34</v>
      </c>
      <c r="F37" s="22" t="s">
        <v>422</v>
      </c>
      <c r="G37" s="29" t="s">
        <v>355</v>
      </c>
      <c r="H37" s="30" t="s">
        <v>356</v>
      </c>
    </row>
    <row r="38" customFormat="false" ht="15" hidden="false" customHeight="true" outlineLevel="0" collapsed="false">
      <c r="B38" s="5" t="s">
        <v>423</v>
      </c>
      <c r="C38" s="28" t="s">
        <v>424</v>
      </c>
      <c r="D38" s="6" t="n">
        <v>31</v>
      </c>
      <c r="E38" s="5" t="s">
        <v>34</v>
      </c>
      <c r="F38" s="22" t="s">
        <v>425</v>
      </c>
      <c r="G38" s="29" t="s">
        <v>355</v>
      </c>
      <c r="H38" s="30" t="s">
        <v>356</v>
      </c>
    </row>
    <row r="39" customFormat="false" ht="15" hidden="false" customHeight="true" outlineLevel="0" collapsed="false">
      <c r="B39" s="5" t="s">
        <v>219</v>
      </c>
      <c r="C39" s="28" t="s">
        <v>426</v>
      </c>
      <c r="D39" s="14" t="n">
        <v>19.9745805429538</v>
      </c>
      <c r="E39" s="5" t="s">
        <v>34</v>
      </c>
      <c r="F39" s="22" t="s">
        <v>427</v>
      </c>
      <c r="G39" s="29" t="s">
        <v>355</v>
      </c>
      <c r="H39" s="30" t="s">
        <v>356</v>
      </c>
    </row>
    <row r="40" customFormat="false" ht="15" hidden="false" customHeight="true" outlineLevel="0" collapsed="false">
      <c r="B40" s="5" t="s">
        <v>221</v>
      </c>
      <c r="C40" s="28" t="s">
        <v>428</v>
      </c>
      <c r="D40" s="14" t="n">
        <v>31.0574594944913</v>
      </c>
      <c r="E40" s="5" t="s">
        <v>34</v>
      </c>
      <c r="F40" s="22" t="s">
        <v>429</v>
      </c>
      <c r="G40" s="29" t="s">
        <v>355</v>
      </c>
      <c r="H40" s="30" t="s">
        <v>356</v>
      </c>
    </row>
    <row r="41" customFormat="false" ht="15" hidden="false" customHeight="true" outlineLevel="0" collapsed="false">
      <c r="B41" s="5" t="s">
        <v>223</v>
      </c>
      <c r="C41" s="28" t="s">
        <v>430</v>
      </c>
      <c r="D41" s="21" t="n">
        <v>1.55484914577828</v>
      </c>
      <c r="E41" s="5" t="s">
        <v>34</v>
      </c>
      <c r="G41" s="29" t="s">
        <v>355</v>
      </c>
      <c r="H41" s="30" t="s">
        <v>356</v>
      </c>
    </row>
    <row r="42" customFormat="false" ht="15" hidden="false" customHeight="true" outlineLevel="0" collapsed="false">
      <c r="B42" s="5" t="s">
        <v>431</v>
      </c>
      <c r="C42" s="28" t="s">
        <v>432</v>
      </c>
      <c r="D42" s="14" t="n">
        <v>59.3461538461539</v>
      </c>
      <c r="E42" s="5" t="s">
        <v>34</v>
      </c>
      <c r="F42" s="22" t="s">
        <v>433</v>
      </c>
      <c r="G42" s="29" t="s">
        <v>355</v>
      </c>
      <c r="H42" s="30" t="s">
        <v>356</v>
      </c>
    </row>
    <row r="43" customFormat="false" ht="15" hidden="false" customHeight="true" outlineLevel="0" collapsed="false">
      <c r="B43" s="5" t="s">
        <v>434</v>
      </c>
      <c r="C43" s="28" t="s">
        <v>435</v>
      </c>
      <c r="D43" s="21" t="n">
        <v>8.25624256837099</v>
      </c>
      <c r="E43" s="5" t="s">
        <v>34</v>
      </c>
      <c r="F43" s="22" t="s">
        <v>433</v>
      </c>
      <c r="G43" s="29" t="s">
        <v>355</v>
      </c>
      <c r="H43" s="30" t="s">
        <v>356</v>
      </c>
    </row>
    <row r="44" customFormat="false" ht="15" hidden="false" customHeight="true" outlineLevel="0" collapsed="false">
      <c r="B44" s="5" t="s">
        <v>436</v>
      </c>
      <c r="C44" s="28" t="s">
        <v>437</v>
      </c>
      <c r="D44" s="13" t="n">
        <v>125.271620940448</v>
      </c>
      <c r="E44" s="5" t="s">
        <v>438</v>
      </c>
      <c r="G44" s="29" t="s">
        <v>355</v>
      </c>
      <c r="H44" s="30" t="s">
        <v>356</v>
      </c>
    </row>
    <row r="45" customFormat="false" ht="15" hidden="false" customHeight="true" outlineLevel="0" collapsed="false">
      <c r="B45" s="5" t="s">
        <v>439</v>
      </c>
      <c r="C45" s="28" t="s">
        <v>440</v>
      </c>
      <c r="D45" s="14" t="n">
        <v>47.9527687765536</v>
      </c>
      <c r="E45" s="5" t="s">
        <v>438</v>
      </c>
      <c r="G45" s="29" t="s">
        <v>355</v>
      </c>
      <c r="H45" s="30" t="s">
        <v>356</v>
      </c>
    </row>
    <row r="46" customFormat="false" ht="15" hidden="false" customHeight="true" outlineLevel="0" collapsed="false">
      <c r="B46" s="5" t="s">
        <v>441</v>
      </c>
      <c r="C46" s="28" t="s">
        <v>442</v>
      </c>
      <c r="D46" s="21" t="n">
        <v>0.16426637128107</v>
      </c>
      <c r="E46" s="5" t="s">
        <v>443</v>
      </c>
      <c r="G46" s="29" t="s">
        <v>355</v>
      </c>
      <c r="H46" s="30" t="s">
        <v>356</v>
      </c>
    </row>
    <row r="47" customFormat="false" ht="15" hidden="false" customHeight="true" outlineLevel="0" collapsed="false">
      <c r="B47" s="5" t="s">
        <v>444</v>
      </c>
      <c r="C47" s="28" t="s">
        <v>445</v>
      </c>
      <c r="D47" s="21" t="n">
        <v>0.339156024181917</v>
      </c>
      <c r="E47" s="5" t="s">
        <v>443</v>
      </c>
      <c r="G47" s="29" t="s">
        <v>355</v>
      </c>
      <c r="H47" s="30" t="s">
        <v>356</v>
      </c>
    </row>
    <row r="48" customFormat="false" ht="15" hidden="false" customHeight="true" outlineLevel="0" collapsed="false">
      <c r="B48" s="5" t="s">
        <v>446</v>
      </c>
      <c r="C48" s="28" t="s">
        <v>447</v>
      </c>
      <c r="D48" s="13" t="n">
        <v>51166.0882352941</v>
      </c>
      <c r="E48" s="5" t="s">
        <v>438</v>
      </c>
      <c r="G48" s="29" t="s">
        <v>355</v>
      </c>
      <c r="H48" s="30" t="s">
        <v>356</v>
      </c>
    </row>
    <row r="49" customFormat="false" ht="15" hidden="false" customHeight="true" outlineLevel="0" collapsed="false">
      <c r="B49" s="5" t="s">
        <v>448</v>
      </c>
      <c r="C49" s="28" t="s">
        <v>449</v>
      </c>
      <c r="D49" s="13" t="n">
        <v>408.441176470588</v>
      </c>
      <c r="E49" s="5" t="s">
        <v>438</v>
      </c>
      <c r="G49" s="29" t="s">
        <v>355</v>
      </c>
      <c r="H49" s="30" t="s">
        <v>356</v>
      </c>
    </row>
    <row r="50" customFormat="false" ht="15" hidden="false" customHeight="true" outlineLevel="0" collapsed="false">
      <c r="B50" s="5" t="s">
        <v>450</v>
      </c>
      <c r="C50" s="28" t="s">
        <v>451</v>
      </c>
      <c r="D50" s="21" t="n">
        <v>6.88235294117647</v>
      </c>
      <c r="E50" s="5" t="s">
        <v>438</v>
      </c>
      <c r="G50" s="29" t="s">
        <v>355</v>
      </c>
      <c r="H50" s="30" t="s">
        <v>356</v>
      </c>
    </row>
    <row r="51" customFormat="false" ht="15" hidden="false" customHeight="true" outlineLevel="0" collapsed="false">
      <c r="B51" s="5" t="s">
        <v>452</v>
      </c>
      <c r="C51" s="28" t="s">
        <v>453</v>
      </c>
      <c r="D51" s="6" t="n">
        <v>14</v>
      </c>
      <c r="E51" s="5" t="s">
        <v>35</v>
      </c>
      <c r="F51" s="22" t="s">
        <v>454</v>
      </c>
      <c r="G51" s="29" t="s">
        <v>355</v>
      </c>
      <c r="H51" s="30" t="s">
        <v>356</v>
      </c>
    </row>
    <row r="52" customFormat="false" ht="15" hidden="false" customHeight="true" outlineLevel="0" collapsed="false">
      <c r="B52" s="5" t="s">
        <v>455</v>
      </c>
      <c r="C52" s="28" t="s">
        <v>456</v>
      </c>
      <c r="D52" s="13" t="n">
        <v>302211.38</v>
      </c>
      <c r="E52" s="5" t="s">
        <v>35</v>
      </c>
      <c r="F52" s="22" t="s">
        <v>157</v>
      </c>
      <c r="G52" s="29" t="s">
        <v>355</v>
      </c>
      <c r="H52" s="30" t="s">
        <v>356</v>
      </c>
    </row>
    <row r="53" customFormat="false" ht="15" hidden="false" customHeight="true" outlineLevel="0" collapsed="false">
      <c r="B53" s="5" t="s">
        <v>457</v>
      </c>
      <c r="C53" s="28" t="s">
        <v>458</v>
      </c>
      <c r="D53" s="21" t="n">
        <v>0.780144062555388</v>
      </c>
      <c r="E53" s="5" t="s">
        <v>35</v>
      </c>
      <c r="G53" s="29" t="s">
        <v>355</v>
      </c>
      <c r="H53" s="30" t="s">
        <v>356</v>
      </c>
    </row>
    <row r="54" customFormat="false" ht="15" hidden="false" customHeight="true" outlineLevel="0" collapsed="false">
      <c r="B54" s="5" t="s">
        <v>459</v>
      </c>
      <c r="C54" s="28" t="s">
        <v>460</v>
      </c>
      <c r="D54" s="6" t="n">
        <v>0</v>
      </c>
      <c r="E54" s="5" t="s">
        <v>35</v>
      </c>
      <c r="F54" s="22" t="s">
        <v>461</v>
      </c>
      <c r="G54" s="29" t="s">
        <v>355</v>
      </c>
      <c r="H54" s="30" t="s">
        <v>356</v>
      </c>
    </row>
    <row r="55" customFormat="false" ht="15" hidden="false" customHeight="true" outlineLevel="0" collapsed="false">
      <c r="B55" s="5" t="s">
        <v>462</v>
      </c>
      <c r="C55" s="28" t="s">
        <v>463</v>
      </c>
      <c r="D55" s="21" t="n">
        <v>0.0698278088678433</v>
      </c>
      <c r="E55" s="5" t="s">
        <v>373</v>
      </c>
      <c r="G55" s="29" t="s">
        <v>355</v>
      </c>
      <c r="H55" s="30" t="s">
        <v>356</v>
      </c>
    </row>
    <row r="56" customFormat="false" ht="15" hidden="false" customHeight="true" outlineLevel="0" collapsed="false">
      <c r="B56" s="5" t="s">
        <v>464</v>
      </c>
      <c r="C56" s="28" t="s">
        <v>465</v>
      </c>
      <c r="D56" s="13" t="n">
        <v>125.271620940448</v>
      </c>
      <c r="E56" s="5" t="s">
        <v>438</v>
      </c>
      <c r="G56" s="29" t="s">
        <v>355</v>
      </c>
      <c r="H56" s="30" t="s">
        <v>356</v>
      </c>
    </row>
    <row r="60" customFormat="false" ht="15" hidden="false" customHeight="true" outlineLevel="0" collapsed="false">
      <c r="B60" s="4" t="s">
        <v>62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63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64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65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66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67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68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466</v>
      </c>
      <c r="C67" s="3"/>
      <c r="D67" s="3"/>
      <c r="E67" s="3"/>
      <c r="F67" s="3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467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468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469</v>
      </c>
      <c r="C5" s="27" t="s">
        <v>470</v>
      </c>
      <c r="D5" s="27" t="s">
        <v>295</v>
      </c>
      <c r="E5" s="27" t="s">
        <v>471</v>
      </c>
      <c r="F5" s="27" t="s">
        <v>472</v>
      </c>
      <c r="G5" s="27" t="s">
        <v>473</v>
      </c>
      <c r="H5" s="27" t="s">
        <v>474</v>
      </c>
      <c r="I5" s="27" t="s">
        <v>475</v>
      </c>
      <c r="J5" s="27" t="s">
        <v>319</v>
      </c>
      <c r="K5" s="27" t="s">
        <v>350</v>
      </c>
    </row>
    <row r="6" customFormat="false" ht="23.85" hidden="false" customHeight="false" outlineLevel="0" collapsed="false">
      <c r="B6" s="33" t="s">
        <v>476</v>
      </c>
      <c r="C6" s="33" t="s">
        <v>477</v>
      </c>
      <c r="D6" s="33" t="s">
        <v>478</v>
      </c>
      <c r="E6" s="30" t="s">
        <v>479</v>
      </c>
      <c r="F6" s="33" t="s">
        <v>480</v>
      </c>
      <c r="G6" s="33"/>
      <c r="H6" s="34" t="n">
        <v>25400</v>
      </c>
      <c r="I6" s="33" t="n">
        <v>0</v>
      </c>
      <c r="J6" s="33" t="s">
        <v>481</v>
      </c>
      <c r="K6" s="35" t="s">
        <v>482</v>
      </c>
    </row>
    <row r="7" customFormat="false" ht="15" hidden="false" customHeight="false" outlineLevel="0" collapsed="false">
      <c r="B7" s="33" t="s">
        <v>483</v>
      </c>
      <c r="C7" s="33" t="s">
        <v>477</v>
      </c>
      <c r="D7" s="33" t="s">
        <v>306</v>
      </c>
      <c r="E7" s="30" t="s">
        <v>484</v>
      </c>
      <c r="F7" s="33" t="s">
        <v>485</v>
      </c>
      <c r="G7" s="33"/>
      <c r="H7" s="34" t="n">
        <v>959</v>
      </c>
      <c r="I7" s="33" t="n">
        <v>0</v>
      </c>
      <c r="J7" s="33" t="s">
        <v>481</v>
      </c>
      <c r="K7" s="35" t="s">
        <v>486</v>
      </c>
    </row>
    <row r="8" customFormat="false" ht="35.05" hidden="false" customHeight="false" outlineLevel="0" collapsed="false">
      <c r="B8" s="33" t="s">
        <v>487</v>
      </c>
      <c r="C8" s="33" t="s">
        <v>477</v>
      </c>
      <c r="D8" s="33" t="s">
        <v>312</v>
      </c>
      <c r="E8" s="30" t="s">
        <v>488</v>
      </c>
      <c r="F8" s="33" t="s">
        <v>485</v>
      </c>
      <c r="G8" s="33" t="s">
        <v>489</v>
      </c>
      <c r="H8" s="34" t="n">
        <v>30415</v>
      </c>
      <c r="I8" s="33" t="n">
        <v>0</v>
      </c>
      <c r="J8" s="33" t="s">
        <v>490</v>
      </c>
      <c r="K8" s="35" t="s">
        <v>491</v>
      </c>
    </row>
    <row r="9" customFormat="false" ht="15" hidden="false" customHeight="false" outlineLevel="0" collapsed="false">
      <c r="B9" s="33" t="s">
        <v>492</v>
      </c>
      <c r="C9" s="33" t="s">
        <v>493</v>
      </c>
      <c r="D9" s="33" t="s">
        <v>478</v>
      </c>
      <c r="E9" s="30" t="s">
        <v>494</v>
      </c>
      <c r="F9" s="33" t="s">
        <v>485</v>
      </c>
      <c r="G9" s="33"/>
      <c r="H9" s="36" t="n">
        <v>0</v>
      </c>
      <c r="I9" s="33" t="n">
        <v>0</v>
      </c>
      <c r="J9" s="33" t="s">
        <v>495</v>
      </c>
      <c r="K9" s="35" t="s">
        <v>496</v>
      </c>
    </row>
    <row r="10" customFormat="false" ht="15" hidden="false" customHeight="false" outlineLevel="0" collapsed="false">
      <c r="B10" s="33" t="s">
        <v>497</v>
      </c>
      <c r="C10" s="33" t="s">
        <v>493</v>
      </c>
      <c r="D10" s="33" t="s">
        <v>498</v>
      </c>
      <c r="E10" s="30" t="s">
        <v>499</v>
      </c>
      <c r="F10" s="33" t="s">
        <v>485</v>
      </c>
      <c r="G10" s="33"/>
      <c r="H10" s="36" t="n">
        <v>0</v>
      </c>
      <c r="I10" s="33" t="n">
        <v>0</v>
      </c>
      <c r="J10" s="33" t="s">
        <v>495</v>
      </c>
      <c r="K10" s="35" t="s">
        <v>500</v>
      </c>
    </row>
    <row r="11" customFormat="false" ht="15" hidden="false" customHeight="false" outlineLevel="0" collapsed="false">
      <c r="B11" s="33" t="s">
        <v>501</v>
      </c>
      <c r="C11" s="33" t="s">
        <v>493</v>
      </c>
      <c r="D11" s="33" t="s">
        <v>502</v>
      </c>
      <c r="E11" s="30" t="s">
        <v>503</v>
      </c>
      <c r="F11" s="33" t="s">
        <v>485</v>
      </c>
      <c r="G11" s="33"/>
      <c r="H11" s="36" t="n">
        <v>0</v>
      </c>
      <c r="I11" s="33" t="n">
        <v>0</v>
      </c>
      <c r="J11" s="33" t="s">
        <v>495</v>
      </c>
      <c r="K11" s="35" t="s">
        <v>504</v>
      </c>
    </row>
    <row r="12" customFormat="false" ht="15" hidden="false" customHeight="false" outlineLevel="0" collapsed="false">
      <c r="B12" s="33" t="s">
        <v>505</v>
      </c>
      <c r="C12" s="33" t="s">
        <v>493</v>
      </c>
      <c r="D12" s="33" t="s">
        <v>506</v>
      </c>
      <c r="E12" s="30" t="s">
        <v>507</v>
      </c>
      <c r="F12" s="33" t="s">
        <v>485</v>
      </c>
      <c r="G12" s="33"/>
      <c r="H12" s="36" t="n">
        <v>0</v>
      </c>
      <c r="I12" s="33" t="n">
        <v>0</v>
      </c>
      <c r="J12" s="33" t="s">
        <v>495</v>
      </c>
      <c r="K12" s="35" t="s">
        <v>508</v>
      </c>
    </row>
    <row r="13" customFormat="false" ht="15" hidden="false" customHeight="false" outlineLevel="0" collapsed="false">
      <c r="B13" s="33" t="s">
        <v>509</v>
      </c>
      <c r="C13" s="33" t="s">
        <v>493</v>
      </c>
      <c r="D13" s="33" t="s">
        <v>510</v>
      </c>
      <c r="E13" s="30" t="s">
        <v>511</v>
      </c>
      <c r="F13" s="33" t="s">
        <v>485</v>
      </c>
      <c r="G13" s="33"/>
      <c r="H13" s="36" t="n">
        <v>0</v>
      </c>
      <c r="I13" s="33" t="n">
        <v>0</v>
      </c>
      <c r="J13" s="33" t="s">
        <v>495</v>
      </c>
      <c r="K13" s="35" t="s">
        <v>512</v>
      </c>
    </row>
    <row r="14" customFormat="false" ht="15" hidden="false" customHeight="false" outlineLevel="0" collapsed="false">
      <c r="B14" s="33" t="s">
        <v>513</v>
      </c>
      <c r="C14" s="33" t="s">
        <v>514</v>
      </c>
      <c r="D14" s="33" t="s">
        <v>478</v>
      </c>
      <c r="E14" s="30" t="s">
        <v>515</v>
      </c>
      <c r="F14" s="33" t="s">
        <v>516</v>
      </c>
      <c r="G14" s="33"/>
      <c r="H14" s="36" t="n">
        <v>0</v>
      </c>
      <c r="I14" s="33" t="n">
        <v>0</v>
      </c>
      <c r="J14" s="33" t="s">
        <v>495</v>
      </c>
      <c r="K14" s="35" t="s">
        <v>517</v>
      </c>
    </row>
    <row r="15" customFormat="false" ht="15" hidden="false" customHeight="false" outlineLevel="0" collapsed="false">
      <c r="B15" s="33" t="s">
        <v>518</v>
      </c>
      <c r="C15" s="33" t="s">
        <v>514</v>
      </c>
      <c r="D15" s="33" t="s">
        <v>519</v>
      </c>
      <c r="E15" s="30" t="s">
        <v>520</v>
      </c>
      <c r="F15" s="33" t="s">
        <v>516</v>
      </c>
      <c r="G15" s="33"/>
      <c r="H15" s="36" t="n">
        <v>0</v>
      </c>
      <c r="I15" s="33" t="n">
        <v>0</v>
      </c>
      <c r="J15" s="33" t="s">
        <v>495</v>
      </c>
      <c r="K15" s="35" t="s">
        <v>521</v>
      </c>
    </row>
    <row r="16" customFormat="false" ht="15" hidden="false" customHeight="false" outlineLevel="0" collapsed="false">
      <c r="B16" s="33" t="s">
        <v>522</v>
      </c>
      <c r="C16" s="33" t="s">
        <v>514</v>
      </c>
      <c r="D16" s="33" t="s">
        <v>502</v>
      </c>
      <c r="E16" s="30" t="s">
        <v>523</v>
      </c>
      <c r="F16" s="33" t="s">
        <v>516</v>
      </c>
      <c r="G16" s="33"/>
      <c r="H16" s="36" t="n">
        <v>0</v>
      </c>
      <c r="I16" s="33" t="n">
        <v>0</v>
      </c>
      <c r="J16" s="33" t="s">
        <v>495</v>
      </c>
      <c r="K16" s="35" t="s">
        <v>524</v>
      </c>
    </row>
    <row r="17" customFormat="false" ht="15" hidden="false" customHeight="false" outlineLevel="0" collapsed="false">
      <c r="B17" s="33" t="s">
        <v>525</v>
      </c>
      <c r="C17" s="33" t="s">
        <v>514</v>
      </c>
      <c r="D17" s="33" t="s">
        <v>498</v>
      </c>
      <c r="E17" s="30" t="s">
        <v>526</v>
      </c>
      <c r="F17" s="33" t="s">
        <v>516</v>
      </c>
      <c r="G17" s="33"/>
      <c r="H17" s="36" t="n">
        <v>0</v>
      </c>
      <c r="I17" s="33" t="n">
        <v>0</v>
      </c>
      <c r="J17" s="33" t="s">
        <v>495</v>
      </c>
      <c r="K17" s="35" t="s">
        <v>527</v>
      </c>
    </row>
    <row r="18" customFormat="false" ht="15" hidden="false" customHeight="false" outlineLevel="0" collapsed="false">
      <c r="B18" s="33" t="s">
        <v>528</v>
      </c>
      <c r="C18" s="33" t="s">
        <v>514</v>
      </c>
      <c r="D18" s="33" t="s">
        <v>502</v>
      </c>
      <c r="E18" s="30" t="s">
        <v>529</v>
      </c>
      <c r="F18" s="33" t="s">
        <v>516</v>
      </c>
      <c r="G18" s="33"/>
      <c r="H18" s="36" t="n">
        <v>0</v>
      </c>
      <c r="I18" s="33" t="n">
        <v>0</v>
      </c>
      <c r="J18" s="33" t="s">
        <v>495</v>
      </c>
      <c r="K18" s="35" t="s">
        <v>530</v>
      </c>
    </row>
    <row r="19" customFormat="false" ht="15" hidden="false" customHeight="false" outlineLevel="0" collapsed="false">
      <c r="B19" s="33" t="s">
        <v>531</v>
      </c>
      <c r="C19" s="33" t="s">
        <v>514</v>
      </c>
      <c r="D19" s="33" t="s">
        <v>532</v>
      </c>
      <c r="E19" s="30" t="s">
        <v>533</v>
      </c>
      <c r="F19" s="33" t="s">
        <v>516</v>
      </c>
      <c r="G19" s="33"/>
      <c r="H19" s="36" t="n">
        <v>0</v>
      </c>
      <c r="I19" s="33" t="n">
        <v>0</v>
      </c>
      <c r="J19" s="33" t="s">
        <v>495</v>
      </c>
      <c r="K19" s="35" t="s">
        <v>534</v>
      </c>
    </row>
    <row r="20" customFormat="false" ht="15" hidden="false" customHeight="false" outlineLevel="0" collapsed="false">
      <c r="B20" s="33" t="s">
        <v>535</v>
      </c>
      <c r="C20" s="33" t="s">
        <v>514</v>
      </c>
      <c r="D20" s="33" t="s">
        <v>536</v>
      </c>
      <c r="E20" s="30" t="s">
        <v>537</v>
      </c>
      <c r="F20" s="33" t="s">
        <v>538</v>
      </c>
      <c r="G20" s="33"/>
      <c r="H20" s="36" t="n">
        <v>0</v>
      </c>
      <c r="I20" s="33" t="n">
        <v>0</v>
      </c>
      <c r="J20" s="33" t="s">
        <v>495</v>
      </c>
      <c r="K20" s="35" t="s">
        <v>539</v>
      </c>
    </row>
    <row r="21" customFormat="false" ht="15" hidden="false" customHeight="false" outlineLevel="0" collapsed="false">
      <c r="B21" s="33" t="s">
        <v>540</v>
      </c>
      <c r="C21" s="33" t="s">
        <v>514</v>
      </c>
      <c r="D21" s="33" t="s">
        <v>541</v>
      </c>
      <c r="E21" s="30" t="s">
        <v>542</v>
      </c>
      <c r="F21" s="33" t="s">
        <v>516</v>
      </c>
      <c r="G21" s="33"/>
      <c r="H21" s="36" t="n">
        <v>0</v>
      </c>
      <c r="I21" s="33" t="n">
        <v>0</v>
      </c>
      <c r="J21" s="33" t="s">
        <v>495</v>
      </c>
      <c r="K21" s="35" t="s">
        <v>543</v>
      </c>
    </row>
    <row r="22" customFormat="false" ht="15" hidden="false" customHeight="false" outlineLevel="0" collapsed="false">
      <c r="B22" s="33" t="s">
        <v>544</v>
      </c>
      <c r="C22" s="33" t="s">
        <v>514</v>
      </c>
      <c r="D22" s="33" t="s">
        <v>545</v>
      </c>
      <c r="E22" s="30" t="s">
        <v>546</v>
      </c>
      <c r="F22" s="33" t="s">
        <v>516</v>
      </c>
      <c r="G22" s="33"/>
      <c r="H22" s="36" t="n">
        <v>0</v>
      </c>
      <c r="I22" s="33" t="n">
        <v>0</v>
      </c>
      <c r="J22" s="33" t="s">
        <v>495</v>
      </c>
      <c r="K22" s="35" t="s">
        <v>547</v>
      </c>
    </row>
    <row r="23" customFormat="false" ht="15" hidden="false" customHeight="false" outlineLevel="0" collapsed="false">
      <c r="B23" s="33" t="s">
        <v>548</v>
      </c>
      <c r="C23" s="33" t="s">
        <v>514</v>
      </c>
      <c r="D23" s="33" t="s">
        <v>549</v>
      </c>
      <c r="E23" s="30" t="s">
        <v>550</v>
      </c>
      <c r="F23" s="33" t="s">
        <v>516</v>
      </c>
      <c r="G23" s="33"/>
      <c r="H23" s="36" t="n">
        <v>0</v>
      </c>
      <c r="I23" s="33" t="n">
        <v>0</v>
      </c>
      <c r="J23" s="33" t="s">
        <v>495</v>
      </c>
      <c r="K23" s="35" t="s">
        <v>551</v>
      </c>
    </row>
    <row r="24" customFormat="false" ht="15" hidden="false" customHeight="false" outlineLevel="0" collapsed="false">
      <c r="B24" s="33" t="s">
        <v>552</v>
      </c>
      <c r="C24" s="33" t="s">
        <v>514</v>
      </c>
      <c r="D24" s="33" t="s">
        <v>553</v>
      </c>
      <c r="E24" s="30" t="s">
        <v>554</v>
      </c>
      <c r="F24" s="33" t="s">
        <v>516</v>
      </c>
      <c r="G24" s="33"/>
      <c r="H24" s="36" t="n">
        <v>0</v>
      </c>
      <c r="I24" s="33" t="n">
        <v>0</v>
      </c>
      <c r="J24" s="33" t="s">
        <v>495</v>
      </c>
      <c r="K24" s="35" t="s">
        <v>555</v>
      </c>
    </row>
    <row r="25" customFormat="false" ht="15" hidden="false" customHeight="false" outlineLevel="0" collapsed="false">
      <c r="B25" s="33" t="s">
        <v>556</v>
      </c>
      <c r="C25" s="33" t="s">
        <v>514</v>
      </c>
      <c r="D25" s="33" t="s">
        <v>557</v>
      </c>
      <c r="E25" s="30" t="s">
        <v>558</v>
      </c>
      <c r="F25" s="33" t="s">
        <v>516</v>
      </c>
      <c r="G25" s="33"/>
      <c r="H25" s="36" t="n">
        <v>0</v>
      </c>
      <c r="I25" s="33" t="n">
        <v>0</v>
      </c>
      <c r="J25" s="33" t="s">
        <v>495</v>
      </c>
      <c r="K25" s="35" t="s">
        <v>559</v>
      </c>
    </row>
    <row r="26" customFormat="false" ht="15" hidden="false" customHeight="false" outlineLevel="0" collapsed="false">
      <c r="B26" s="33" t="s">
        <v>560</v>
      </c>
      <c r="C26" s="33" t="s">
        <v>514</v>
      </c>
      <c r="D26" s="33" t="s">
        <v>557</v>
      </c>
      <c r="E26" s="30" t="s">
        <v>561</v>
      </c>
      <c r="F26" s="33" t="s">
        <v>516</v>
      </c>
      <c r="G26" s="33" t="s">
        <v>487</v>
      </c>
      <c r="H26" s="36" t="n">
        <v>0</v>
      </c>
      <c r="I26" s="33" t="n">
        <v>0</v>
      </c>
      <c r="J26" s="33" t="s">
        <v>495</v>
      </c>
      <c r="K26" s="35" t="s">
        <v>562</v>
      </c>
    </row>
    <row r="27" customFormat="false" ht="15" hidden="false" customHeight="false" outlineLevel="0" collapsed="false">
      <c r="B27" s="33" t="s">
        <v>563</v>
      </c>
      <c r="C27" s="33" t="s">
        <v>514</v>
      </c>
      <c r="D27" s="33" t="s">
        <v>557</v>
      </c>
      <c r="E27" s="30" t="s">
        <v>564</v>
      </c>
      <c r="F27" s="33" t="s">
        <v>516</v>
      </c>
      <c r="G27" s="33"/>
      <c r="H27" s="36" t="n">
        <v>0</v>
      </c>
      <c r="I27" s="33" t="n">
        <v>0</v>
      </c>
      <c r="J27" s="33" t="s">
        <v>495</v>
      </c>
      <c r="K27" s="35" t="s">
        <v>565</v>
      </c>
    </row>
    <row r="28" customFormat="false" ht="15" hidden="false" customHeight="false" outlineLevel="0" collapsed="false">
      <c r="B28" s="33" t="s">
        <v>566</v>
      </c>
      <c r="C28" s="33" t="s">
        <v>514</v>
      </c>
      <c r="D28" s="33" t="s">
        <v>567</v>
      </c>
      <c r="E28" s="30" t="s">
        <v>568</v>
      </c>
      <c r="F28" s="33" t="s">
        <v>516</v>
      </c>
      <c r="G28" s="33"/>
      <c r="H28" s="36" t="n">
        <v>0</v>
      </c>
      <c r="I28" s="33" t="n">
        <v>0</v>
      </c>
      <c r="J28" s="33" t="s">
        <v>495</v>
      </c>
      <c r="K28" s="35" t="s">
        <v>569</v>
      </c>
    </row>
    <row r="29" customFormat="false" ht="15" hidden="false" customHeight="false" outlineLevel="0" collapsed="false">
      <c r="B29" s="33" t="s">
        <v>570</v>
      </c>
      <c r="C29" s="33" t="s">
        <v>514</v>
      </c>
      <c r="D29" s="33" t="s">
        <v>571</v>
      </c>
      <c r="E29" s="30" t="s">
        <v>572</v>
      </c>
      <c r="F29" s="33" t="s">
        <v>516</v>
      </c>
      <c r="G29" s="33"/>
      <c r="H29" s="36" t="n">
        <v>0</v>
      </c>
      <c r="I29" s="33" t="n">
        <v>0</v>
      </c>
      <c r="J29" s="33" t="s">
        <v>495</v>
      </c>
      <c r="K29" s="35" t="s">
        <v>573</v>
      </c>
    </row>
    <row r="30" customFormat="false" ht="15" hidden="false" customHeight="false" outlineLevel="0" collapsed="false">
      <c r="B30" s="33" t="s">
        <v>574</v>
      </c>
      <c r="C30" s="33" t="s">
        <v>514</v>
      </c>
      <c r="D30" s="33" t="s">
        <v>571</v>
      </c>
      <c r="E30" s="30" t="s">
        <v>575</v>
      </c>
      <c r="F30" s="33" t="s">
        <v>516</v>
      </c>
      <c r="G30" s="33"/>
      <c r="H30" s="36" t="n">
        <v>0</v>
      </c>
      <c r="I30" s="33" t="n">
        <v>0</v>
      </c>
      <c r="J30" s="33" t="s">
        <v>495</v>
      </c>
      <c r="K30" s="35" t="s">
        <v>576</v>
      </c>
    </row>
    <row r="31" customFormat="false" ht="15" hidden="false" customHeight="false" outlineLevel="0" collapsed="false">
      <c r="B31" s="33" t="s">
        <v>577</v>
      </c>
      <c r="C31" s="33" t="s">
        <v>514</v>
      </c>
      <c r="D31" s="33" t="s">
        <v>578</v>
      </c>
      <c r="E31" s="30" t="s">
        <v>579</v>
      </c>
      <c r="F31" s="33" t="s">
        <v>516</v>
      </c>
      <c r="G31" s="33"/>
      <c r="H31" s="36" t="n">
        <v>0</v>
      </c>
      <c r="I31" s="33" t="n">
        <v>0</v>
      </c>
      <c r="J31" s="33" t="s">
        <v>495</v>
      </c>
      <c r="K31" s="35" t="s">
        <v>580</v>
      </c>
    </row>
    <row r="32" customFormat="false" ht="23.85" hidden="false" customHeight="false" outlineLevel="0" collapsed="false">
      <c r="B32" s="33" t="s">
        <v>581</v>
      </c>
      <c r="C32" s="33" t="s">
        <v>582</v>
      </c>
      <c r="D32" s="33" t="s">
        <v>583</v>
      </c>
      <c r="E32" s="30" t="s">
        <v>584</v>
      </c>
      <c r="F32" s="33" t="s">
        <v>585</v>
      </c>
      <c r="G32" s="33" t="s">
        <v>487</v>
      </c>
      <c r="H32" s="36" t="n">
        <v>0</v>
      </c>
      <c r="I32" s="33" t="n">
        <v>0</v>
      </c>
      <c r="J32" s="33" t="s">
        <v>481</v>
      </c>
      <c r="K32" s="35" t="s">
        <v>586</v>
      </c>
    </row>
    <row r="33" customFormat="false" ht="23.85" hidden="false" customHeight="false" outlineLevel="0" collapsed="false">
      <c r="B33" s="33" t="s">
        <v>587</v>
      </c>
      <c r="C33" s="33" t="s">
        <v>582</v>
      </c>
      <c r="D33" s="33" t="s">
        <v>583</v>
      </c>
      <c r="E33" s="30" t="s">
        <v>588</v>
      </c>
      <c r="F33" s="33" t="s">
        <v>585</v>
      </c>
      <c r="G33" s="33" t="s">
        <v>487</v>
      </c>
      <c r="H33" s="36" t="n">
        <v>0</v>
      </c>
      <c r="I33" s="33" t="n">
        <v>0</v>
      </c>
      <c r="J33" s="33" t="s">
        <v>481</v>
      </c>
      <c r="K33" s="35" t="s">
        <v>586</v>
      </c>
    </row>
    <row r="34" customFormat="false" ht="23.85" hidden="false" customHeight="false" outlineLevel="0" collapsed="false">
      <c r="B34" s="33" t="s">
        <v>589</v>
      </c>
      <c r="C34" s="33" t="s">
        <v>582</v>
      </c>
      <c r="D34" s="33" t="s">
        <v>583</v>
      </c>
      <c r="E34" s="30" t="s">
        <v>590</v>
      </c>
      <c r="F34" s="33" t="s">
        <v>585</v>
      </c>
      <c r="G34" s="33" t="s">
        <v>487</v>
      </c>
      <c r="H34" s="36" t="n">
        <v>0</v>
      </c>
      <c r="I34" s="33" t="n">
        <v>0</v>
      </c>
      <c r="J34" s="33" t="s">
        <v>481</v>
      </c>
      <c r="K34" s="35" t="s">
        <v>586</v>
      </c>
    </row>
    <row r="36" customFormat="false" ht="15" hidden="false" customHeight="false" outlineLevel="0" collapsed="false">
      <c r="B36" s="37" t="s">
        <v>38</v>
      </c>
      <c r="H36" s="38" t="n">
        <f aca="false">SUM(H6:H34)</f>
        <v>56774</v>
      </c>
      <c r="I36" s="37" t="n">
        <f aca="false">SUM(I6:I34)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591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592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593</v>
      </c>
    </row>
    <row r="6" customFormat="false" ht="15" hidden="false" customHeight="false" outlineLevel="0" collapsed="false">
      <c r="B6" s="27" t="s">
        <v>594</v>
      </c>
      <c r="C6" s="27" t="s">
        <v>595</v>
      </c>
      <c r="D6" s="27" t="s">
        <v>596</v>
      </c>
      <c r="E6" s="27" t="s">
        <v>597</v>
      </c>
      <c r="F6" s="27" t="s">
        <v>598</v>
      </c>
      <c r="G6" s="27" t="s">
        <v>250</v>
      </c>
    </row>
    <row r="7" customFormat="false" ht="15" hidden="false" customHeight="false" outlineLevel="0" collapsed="false">
      <c r="B7" s="30" t="s">
        <v>599</v>
      </c>
      <c r="C7" s="33" t="n">
        <v>4</v>
      </c>
      <c r="D7" s="36" t="n">
        <v>30415</v>
      </c>
      <c r="E7" s="40" t="n">
        <f aca="false">C7/29</f>
        <v>0.137931034482759</v>
      </c>
      <c r="F7" s="30" t="s">
        <v>600</v>
      </c>
      <c r="G7" s="30" t="s">
        <v>488</v>
      </c>
    </row>
    <row r="8" customFormat="false" ht="15" hidden="false" customHeight="false" outlineLevel="0" collapsed="false">
      <c r="B8" s="30" t="s">
        <v>601</v>
      </c>
      <c r="C8" s="33" t="n">
        <v>22</v>
      </c>
      <c r="D8" s="36" t="n">
        <v>959</v>
      </c>
      <c r="E8" s="40" t="n">
        <f aca="false">C8/29</f>
        <v>0.758620689655172</v>
      </c>
      <c r="F8" s="30" t="s">
        <v>600</v>
      </c>
      <c r="G8" s="30" t="s">
        <v>484</v>
      </c>
    </row>
    <row r="9" customFormat="false" ht="15" hidden="false" customHeight="false" outlineLevel="0" collapsed="false">
      <c r="B9" s="30" t="s">
        <v>602</v>
      </c>
      <c r="C9" s="33" t="n">
        <v>1</v>
      </c>
      <c r="D9" s="36" t="n">
        <v>0</v>
      </c>
      <c r="E9" s="40" t="n">
        <f aca="false">C9/29</f>
        <v>0.0344827586206897</v>
      </c>
      <c r="F9" s="30" t="s">
        <v>603</v>
      </c>
      <c r="G9" s="30" t="s">
        <v>537</v>
      </c>
    </row>
    <row r="10" customFormat="false" ht="15" hidden="false" customHeight="false" outlineLevel="0" collapsed="false">
      <c r="B10" s="30" t="s">
        <v>604</v>
      </c>
      <c r="C10" s="33" t="n">
        <v>1</v>
      </c>
      <c r="D10" s="36" t="n">
        <v>25400</v>
      </c>
      <c r="E10" s="40" t="n">
        <f aca="false">C10/29</f>
        <v>0.0344827586206897</v>
      </c>
      <c r="F10" s="30" t="s">
        <v>585</v>
      </c>
      <c r="G10" s="30" t="s">
        <v>605</v>
      </c>
    </row>
    <row r="11" customFormat="false" ht="15" hidden="false" customHeight="false" outlineLevel="0" collapsed="false">
      <c r="B11" s="30" t="s">
        <v>606</v>
      </c>
      <c r="C11" s="33" t="n">
        <v>1</v>
      </c>
      <c r="D11" s="36" t="n">
        <v>0</v>
      </c>
      <c r="E11" s="40" t="n">
        <f aca="false">C11/29</f>
        <v>0.0344827586206897</v>
      </c>
      <c r="F11" s="30" t="s">
        <v>600</v>
      </c>
      <c r="G11" s="30" t="s">
        <v>561</v>
      </c>
    </row>
    <row r="12" customFormat="false" ht="15" hidden="false" customHeight="false" outlineLevel="0" collapsed="false">
      <c r="B12" s="37" t="s">
        <v>38</v>
      </c>
      <c r="C12" s="37" t="n">
        <f aca="false">SUM(C7:C11)</f>
        <v>29</v>
      </c>
      <c r="D12" s="38" t="n">
        <f aca="false">SUM(D7:D11)</f>
        <v>56774</v>
      </c>
    </row>
    <row r="15" customFormat="false" ht="15" hidden="false" customHeight="false" outlineLevel="0" collapsed="false">
      <c r="B15" s="39" t="s">
        <v>607</v>
      </c>
    </row>
    <row r="16" customFormat="false" ht="15" hidden="false" customHeight="false" outlineLevel="0" collapsed="false">
      <c r="B16" s="27" t="s">
        <v>608</v>
      </c>
      <c r="C16" s="27" t="s">
        <v>595</v>
      </c>
      <c r="D16" s="27" t="s">
        <v>609</v>
      </c>
      <c r="E16" s="27" t="s">
        <v>610</v>
      </c>
    </row>
    <row r="17" customFormat="false" ht="23.85" hidden="false" customHeight="false" outlineLevel="0" collapsed="false">
      <c r="B17" s="30" t="s">
        <v>600</v>
      </c>
      <c r="C17" s="33" t="n">
        <v>27</v>
      </c>
      <c r="D17" s="36" t="n">
        <v>31374</v>
      </c>
      <c r="E17" s="30" t="s">
        <v>611</v>
      </c>
    </row>
    <row r="18" customFormat="false" ht="23.85" hidden="false" customHeight="false" outlineLevel="0" collapsed="false">
      <c r="B18" s="30" t="s">
        <v>585</v>
      </c>
      <c r="C18" s="33" t="n">
        <v>1</v>
      </c>
      <c r="D18" s="36" t="n">
        <v>25400</v>
      </c>
      <c r="E18" s="30" t="s">
        <v>611</v>
      </c>
    </row>
    <row r="19" customFormat="false" ht="15" hidden="false" customHeight="false" outlineLevel="0" collapsed="false">
      <c r="B19" s="30" t="s">
        <v>603</v>
      </c>
      <c r="C19" s="33" t="n">
        <v>1</v>
      </c>
      <c r="D19" s="36" t="n">
        <v>0</v>
      </c>
      <c r="E19" s="30" t="s">
        <v>612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613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614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615</v>
      </c>
    </row>
    <row r="6" customFormat="false" ht="15" hidden="false" customHeight="false" outlineLevel="0" collapsed="false">
      <c r="B6" s="27" t="s">
        <v>616</v>
      </c>
      <c r="C6" s="27" t="s">
        <v>617</v>
      </c>
      <c r="D6" s="27" t="s">
        <v>618</v>
      </c>
      <c r="E6" s="27" t="s">
        <v>319</v>
      </c>
      <c r="F6" s="27" t="s">
        <v>619</v>
      </c>
    </row>
    <row r="7" customFormat="false" ht="15" hidden="false" customHeight="false" outlineLevel="0" collapsed="false">
      <c r="B7" s="30" t="s">
        <v>620</v>
      </c>
      <c r="C7" s="41" t="n">
        <v>19</v>
      </c>
      <c r="D7" s="33" t="s">
        <v>621</v>
      </c>
      <c r="E7" s="30" t="s">
        <v>622</v>
      </c>
      <c r="F7" s="30" t="s">
        <v>623</v>
      </c>
    </row>
    <row r="8" customFormat="false" ht="15" hidden="false" customHeight="false" outlineLevel="0" collapsed="false">
      <c r="B8" s="30" t="s">
        <v>624</v>
      </c>
      <c r="C8" s="33" t="s">
        <v>625</v>
      </c>
      <c r="D8" s="33" t="s">
        <v>626</v>
      </c>
      <c r="E8" s="30" t="s">
        <v>622</v>
      </c>
      <c r="F8" s="30" t="s">
        <v>627</v>
      </c>
    </row>
    <row r="9" customFormat="false" ht="15" hidden="false" customHeight="false" outlineLevel="0" collapsed="false">
      <c r="B9" s="30" t="s">
        <v>628</v>
      </c>
      <c r="C9" s="33" t="s">
        <v>629</v>
      </c>
      <c r="D9" s="33" t="s">
        <v>630</v>
      </c>
      <c r="E9" s="30" t="s">
        <v>631</v>
      </c>
      <c r="F9" s="30" t="s">
        <v>632</v>
      </c>
    </row>
    <row r="10" customFormat="false" ht="15" hidden="false" customHeight="false" outlineLevel="0" collapsed="false">
      <c r="B10" s="30" t="s">
        <v>633</v>
      </c>
      <c r="C10" s="41" t="n">
        <v>5</v>
      </c>
      <c r="D10" s="33" t="s">
        <v>634</v>
      </c>
      <c r="E10" s="42" t="s">
        <v>635</v>
      </c>
      <c r="F10" s="30" t="s">
        <v>636</v>
      </c>
    </row>
    <row r="11" customFormat="false" ht="15" hidden="false" customHeight="false" outlineLevel="0" collapsed="false">
      <c r="B11" s="30" t="s">
        <v>637</v>
      </c>
      <c r="C11" s="41" t="n">
        <v>0</v>
      </c>
      <c r="D11" s="33" t="s">
        <v>638</v>
      </c>
      <c r="E11" s="42" t="s">
        <v>635</v>
      </c>
      <c r="F11" s="30" t="s">
        <v>639</v>
      </c>
    </row>
    <row r="12" customFormat="false" ht="15" hidden="false" customHeight="false" outlineLevel="0" collapsed="false">
      <c r="B12" s="30" t="s">
        <v>640</v>
      </c>
      <c r="C12" s="41" t="n">
        <v>3</v>
      </c>
      <c r="D12" s="33" t="s">
        <v>638</v>
      </c>
      <c r="E12" s="42" t="s">
        <v>635</v>
      </c>
      <c r="F12" s="30" t="s">
        <v>641</v>
      </c>
    </row>
    <row r="13" customFormat="false" ht="15" hidden="false" customHeight="false" outlineLevel="0" collapsed="false">
      <c r="B13" s="30" t="s">
        <v>642</v>
      </c>
      <c r="C13" s="41" t="n">
        <v>0</v>
      </c>
      <c r="D13" s="33" t="s">
        <v>643</v>
      </c>
      <c r="E13" s="42" t="s">
        <v>635</v>
      </c>
      <c r="F13" s="30" t="s">
        <v>644</v>
      </c>
    </row>
    <row r="14" customFormat="false" ht="15" hidden="false" customHeight="false" outlineLevel="0" collapsed="false">
      <c r="B14" s="30" t="s">
        <v>645</v>
      </c>
      <c r="C14" s="41" t="n">
        <v>7</v>
      </c>
      <c r="D14" s="33" t="s">
        <v>646</v>
      </c>
      <c r="E14" s="42" t="s">
        <v>635</v>
      </c>
      <c r="F14" s="30" t="s">
        <v>647</v>
      </c>
    </row>
    <row r="15" customFormat="false" ht="15" hidden="false" customHeight="false" outlineLevel="0" collapsed="false">
      <c r="B15" s="30" t="s">
        <v>648</v>
      </c>
      <c r="C15" s="41" t="n">
        <v>56774</v>
      </c>
      <c r="D15" s="33" t="s">
        <v>649</v>
      </c>
      <c r="E15" s="42" t="s">
        <v>650</v>
      </c>
      <c r="F15" s="30" t="s">
        <v>651</v>
      </c>
    </row>
    <row r="18" customFormat="false" ht="15" hidden="false" customHeight="false" outlineLevel="0" collapsed="false">
      <c r="B18" s="39" t="s">
        <v>652</v>
      </c>
    </row>
    <row r="19" customFormat="false" ht="15" hidden="false" customHeight="false" outlineLevel="0" collapsed="false">
      <c r="B19" s="27" t="s">
        <v>653</v>
      </c>
      <c r="C19" s="27" t="s">
        <v>654</v>
      </c>
      <c r="D19" s="27" t="s">
        <v>349</v>
      </c>
      <c r="E19" s="27" t="s">
        <v>655</v>
      </c>
      <c r="F19" s="27" t="s">
        <v>656</v>
      </c>
    </row>
    <row r="20" customFormat="false" ht="15" hidden="false" customHeight="false" outlineLevel="0" collapsed="false">
      <c r="B20" s="30" t="s">
        <v>657</v>
      </c>
      <c r="C20" s="43" t="n">
        <f aca="false">'Benchmark KPIs'!D55</f>
        <v>0.0698278088678433</v>
      </c>
      <c r="D20" s="33" t="s">
        <v>30</v>
      </c>
      <c r="E20" s="30" t="s">
        <v>658</v>
      </c>
      <c r="F20" s="30" t="s">
        <v>659</v>
      </c>
    </row>
    <row r="21" customFormat="false" ht="15" hidden="false" customHeight="false" outlineLevel="0" collapsed="false">
      <c r="B21" s="30" t="s">
        <v>660</v>
      </c>
      <c r="C21" s="44" t="n">
        <f aca="false">'Benchmark KPIs'!D21</f>
        <v>536863.45</v>
      </c>
      <c r="D21" s="33" t="s">
        <v>30</v>
      </c>
      <c r="E21" s="30" t="s">
        <v>658</v>
      </c>
      <c r="F21" s="30" t="s">
        <v>661</v>
      </c>
    </row>
    <row r="22" customFormat="false" ht="15" hidden="false" customHeight="false" outlineLevel="0" collapsed="false">
      <c r="B22" s="30" t="s">
        <v>662</v>
      </c>
      <c r="C22" s="43" t="n">
        <f aca="false">'Benchmark KPIs'!D20</f>
        <v>0.382790359193561</v>
      </c>
      <c r="D22" s="33" t="s">
        <v>30</v>
      </c>
      <c r="E22" s="30" t="s">
        <v>658</v>
      </c>
      <c r="F22" s="30" t="s">
        <v>663</v>
      </c>
    </row>
    <row r="23" customFormat="false" ht="15" hidden="false" customHeight="false" outlineLevel="0" collapsed="false">
      <c r="B23" s="30" t="s">
        <v>664</v>
      </c>
      <c r="C23" s="33" t="n">
        <v>20</v>
      </c>
      <c r="D23" s="33" t="s">
        <v>665</v>
      </c>
      <c r="E23" s="30" t="s">
        <v>666</v>
      </c>
      <c r="F23" s="30" t="s">
        <v>667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668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669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670</v>
      </c>
      <c r="C5" s="27" t="s">
        <v>671</v>
      </c>
      <c r="D5" s="27" t="s">
        <v>672</v>
      </c>
      <c r="E5" s="27" t="s">
        <v>41</v>
      </c>
      <c r="F5" s="27" t="s">
        <v>673</v>
      </c>
      <c r="G5" s="27" t="s">
        <v>674</v>
      </c>
      <c r="H5" s="27" t="s">
        <v>349</v>
      </c>
      <c r="I5" s="27" t="s">
        <v>675</v>
      </c>
      <c r="J5" s="27" t="s">
        <v>676</v>
      </c>
    </row>
    <row r="6" customFormat="false" ht="15" hidden="false" customHeight="false" outlineLevel="0" collapsed="false">
      <c r="B6" s="33" t="n">
        <v>1</v>
      </c>
      <c r="C6" s="30" t="s">
        <v>352</v>
      </c>
      <c r="D6" s="30" t="s">
        <v>351</v>
      </c>
      <c r="E6" s="33" t="str">
        <f aca="false">'Benchmark KPIs'!D6</f>
        <v>2011</v>
      </c>
      <c r="F6" s="33" t="s">
        <v>677</v>
      </c>
      <c r="G6" s="30" t="s">
        <v>345</v>
      </c>
      <c r="H6" s="29" t="s">
        <v>355</v>
      </c>
      <c r="I6" s="30" t="s">
        <v>678</v>
      </c>
      <c r="J6" s="30" t="s">
        <v>679</v>
      </c>
    </row>
    <row r="7" customFormat="false" ht="23.85" hidden="false" customHeight="false" outlineLevel="0" collapsed="false">
      <c r="B7" s="33" t="n">
        <v>2</v>
      </c>
      <c r="C7" s="30" t="s">
        <v>358</v>
      </c>
      <c r="D7" s="30" t="s">
        <v>357</v>
      </c>
      <c r="E7" s="33" t="str">
        <f aca="false">'Benchmark KPIs'!D7</f>
        <v>Chinn Barrett Park Apartments</v>
      </c>
      <c r="F7" s="33" t="s">
        <v>680</v>
      </c>
      <c r="G7" s="30" t="s">
        <v>345</v>
      </c>
      <c r="H7" s="29" t="s">
        <v>355</v>
      </c>
      <c r="I7" s="30" t="s">
        <v>681</v>
      </c>
      <c r="J7" s="30" t="s">
        <v>679</v>
      </c>
    </row>
    <row r="8" customFormat="false" ht="23.85" hidden="false" customHeight="false" outlineLevel="0" collapsed="false">
      <c r="B8" s="33" t="n">
        <v>3</v>
      </c>
      <c r="C8" s="30" t="s">
        <v>359</v>
      </c>
      <c r="D8" s="30" t="s">
        <v>7</v>
      </c>
      <c r="E8" s="33" t="str">
        <f aca="false">'Benchmark KPIs'!D8</f>
        <v>Chinn Construction, LLC</v>
      </c>
      <c r="F8" s="33" t="s">
        <v>680</v>
      </c>
      <c r="G8" s="30" t="s">
        <v>345</v>
      </c>
      <c r="H8" s="29" t="s">
        <v>355</v>
      </c>
      <c r="I8" s="30" t="s">
        <v>681</v>
      </c>
      <c r="J8" s="30" t="s">
        <v>679</v>
      </c>
    </row>
    <row r="9" customFormat="false" ht="23.85" hidden="false" customHeight="false" outlineLevel="0" collapsed="false">
      <c r="B9" s="33" t="n">
        <v>4</v>
      </c>
      <c r="C9" s="30" t="s">
        <v>360</v>
      </c>
      <c r="D9" s="30" t="s">
        <v>9</v>
      </c>
      <c r="E9" s="33" t="str">
        <f aca="false">'Benchmark KPIs'!D9</f>
        <v>Seattle, WA (Capitol Hill)</v>
      </c>
      <c r="F9" s="33" t="s">
        <v>680</v>
      </c>
      <c r="G9" s="30" t="s">
        <v>345</v>
      </c>
      <c r="H9" s="29" t="s">
        <v>355</v>
      </c>
      <c r="I9" s="30" t="s">
        <v>682</v>
      </c>
      <c r="J9" s="30" t="s">
        <v>679</v>
      </c>
    </row>
    <row r="10" customFormat="false" ht="35.05" hidden="false" customHeight="false" outlineLevel="0" collapsed="false">
      <c r="B10" s="33" t="n">
        <v>5</v>
      </c>
      <c r="C10" s="30" t="s">
        <v>362</v>
      </c>
      <c r="D10" s="30" t="s">
        <v>361</v>
      </c>
      <c r="E10" s="33" t="str">
        <f aca="false">'Benchmark KPIs'!D10</f>
        <v>117-unit 4-story multifamily apartments</v>
      </c>
      <c r="F10" s="33" t="s">
        <v>680</v>
      </c>
      <c r="G10" s="30" t="s">
        <v>345</v>
      </c>
      <c r="H10" s="29" t="s">
        <v>355</v>
      </c>
      <c r="I10" s="30" t="s">
        <v>683</v>
      </c>
      <c r="J10" s="30" t="s">
        <v>679</v>
      </c>
    </row>
    <row r="11" customFormat="false" ht="15" hidden="false" customHeight="false" outlineLevel="0" collapsed="false">
      <c r="B11" s="33" t="n">
        <v>6</v>
      </c>
      <c r="C11" s="30" t="s">
        <v>365</v>
      </c>
      <c r="D11" s="30" t="s">
        <v>364</v>
      </c>
      <c r="E11" s="33" t="n">
        <f aca="false">'Benchmark KPIs'!D11</f>
        <v>17</v>
      </c>
      <c r="F11" s="33" t="s">
        <v>684</v>
      </c>
      <c r="G11" s="30" t="s">
        <v>345</v>
      </c>
      <c r="H11" s="29" t="s">
        <v>355</v>
      </c>
      <c r="I11" s="30" t="s">
        <v>685</v>
      </c>
      <c r="J11" s="30" t="s">
        <v>679</v>
      </c>
    </row>
    <row r="12" customFormat="false" ht="15" hidden="false" customHeight="false" outlineLevel="0" collapsed="false">
      <c r="B12" s="33" t="n">
        <v>7</v>
      </c>
      <c r="C12" s="30" t="s">
        <v>367</v>
      </c>
      <c r="D12" s="30" t="s">
        <v>366</v>
      </c>
      <c r="E12" s="44" t="n">
        <f aca="false">'Benchmark KPIs'!D12</f>
        <v>117</v>
      </c>
      <c r="F12" s="33" t="s">
        <v>261</v>
      </c>
      <c r="G12" s="30" t="s">
        <v>345</v>
      </c>
      <c r="H12" s="29" t="s">
        <v>355</v>
      </c>
      <c r="I12" s="30" t="s">
        <v>686</v>
      </c>
      <c r="J12" s="30" t="s">
        <v>679</v>
      </c>
    </row>
    <row r="13" customFormat="false" ht="15" hidden="false" customHeight="false" outlineLevel="0" collapsed="false">
      <c r="B13" s="33" t="n">
        <v>8</v>
      </c>
      <c r="C13" s="30" t="s">
        <v>368</v>
      </c>
      <c r="D13" s="30" t="s">
        <v>47</v>
      </c>
      <c r="E13" s="44" t="n">
        <f aca="false">'Benchmark KPIs'!D13</f>
        <v>841</v>
      </c>
      <c r="F13" s="33" t="s">
        <v>687</v>
      </c>
      <c r="G13" s="30" t="s">
        <v>345</v>
      </c>
      <c r="H13" s="29" t="s">
        <v>355</v>
      </c>
      <c r="I13" s="30" t="s">
        <v>688</v>
      </c>
      <c r="J13" s="30" t="s">
        <v>679</v>
      </c>
    </row>
    <row r="14" customFormat="false" ht="15" hidden="false" customHeight="false" outlineLevel="0" collapsed="false">
      <c r="B14" s="33" t="n">
        <v>9</v>
      </c>
      <c r="C14" s="30" t="s">
        <v>372</v>
      </c>
      <c r="D14" s="30" t="s">
        <v>689</v>
      </c>
      <c r="E14" s="44" t="n">
        <f aca="false">'Benchmark KPIs'!D15</f>
        <v>813050</v>
      </c>
      <c r="F14" s="33" t="s">
        <v>690</v>
      </c>
      <c r="G14" s="30" t="s">
        <v>345</v>
      </c>
      <c r="H14" s="29" t="s">
        <v>355</v>
      </c>
      <c r="I14" s="30" t="s">
        <v>691</v>
      </c>
      <c r="J14" s="30" t="s">
        <v>679</v>
      </c>
    </row>
    <row r="15" customFormat="false" ht="15" hidden="false" customHeight="false" outlineLevel="0" collapsed="false">
      <c r="B15" s="33" t="n">
        <v>10</v>
      </c>
      <c r="C15" s="30" t="s">
        <v>375</v>
      </c>
      <c r="D15" s="30" t="s">
        <v>692</v>
      </c>
      <c r="E15" s="44" t="n">
        <f aca="false">'Benchmark KPIs'!D16</f>
        <v>869823.5</v>
      </c>
      <c r="F15" s="33" t="s">
        <v>690</v>
      </c>
      <c r="G15" s="30" t="s">
        <v>345</v>
      </c>
      <c r="H15" s="29" t="s">
        <v>355</v>
      </c>
      <c r="I15" s="30" t="s">
        <v>693</v>
      </c>
      <c r="J15" s="30" t="s">
        <v>679</v>
      </c>
    </row>
    <row r="16" customFormat="false" ht="15" hidden="false" customHeight="false" outlineLevel="0" collapsed="false">
      <c r="B16" s="33" t="n">
        <v>11</v>
      </c>
      <c r="C16" s="30" t="s">
        <v>378</v>
      </c>
      <c r="D16" s="30" t="s">
        <v>377</v>
      </c>
      <c r="E16" s="44" t="n">
        <f aca="false">'Benchmark KPIs'!D17</f>
        <v>56773.5</v>
      </c>
      <c r="F16" s="33" t="s">
        <v>690</v>
      </c>
      <c r="G16" s="30" t="s">
        <v>345</v>
      </c>
      <c r="H16" s="29" t="s">
        <v>355</v>
      </c>
      <c r="I16" s="30" t="s">
        <v>694</v>
      </c>
      <c r="J16" s="30" t="s">
        <v>679</v>
      </c>
    </row>
    <row r="17" customFormat="false" ht="15" hidden="false" customHeight="false" outlineLevel="0" collapsed="false">
      <c r="B17" s="33" t="n">
        <v>12</v>
      </c>
      <c r="C17" s="30" t="s">
        <v>380</v>
      </c>
      <c r="D17" s="30" t="s">
        <v>379</v>
      </c>
      <c r="E17" s="44" t="n">
        <f aca="false">'Benchmark KPIs'!D18</f>
        <v>869823.5</v>
      </c>
      <c r="F17" s="33" t="s">
        <v>690</v>
      </c>
      <c r="G17" s="30" t="s">
        <v>345</v>
      </c>
      <c r="H17" s="29" t="s">
        <v>355</v>
      </c>
      <c r="I17" s="30" t="s">
        <v>695</v>
      </c>
      <c r="J17" s="30" t="s">
        <v>679</v>
      </c>
    </row>
    <row r="18" customFormat="false" ht="15" hidden="false" customHeight="false" outlineLevel="0" collapsed="false">
      <c r="B18" s="33" t="n">
        <v>13</v>
      </c>
      <c r="C18" s="30" t="s">
        <v>382</v>
      </c>
      <c r="D18" s="30" t="s">
        <v>381</v>
      </c>
      <c r="E18" s="44" t="n">
        <f aca="false">'Benchmark KPIs'!D19</f>
        <v>332960.05</v>
      </c>
      <c r="F18" s="33" t="s">
        <v>690</v>
      </c>
      <c r="G18" s="30" t="s">
        <v>345</v>
      </c>
      <c r="H18" s="29" t="s">
        <v>355</v>
      </c>
      <c r="I18" s="30" t="s">
        <v>696</v>
      </c>
      <c r="J18" s="30" t="s">
        <v>679</v>
      </c>
    </row>
    <row r="19" customFormat="false" ht="15" hidden="false" customHeight="false" outlineLevel="0" collapsed="false">
      <c r="B19" s="33" t="n">
        <v>14</v>
      </c>
      <c r="C19" s="30" t="s">
        <v>384</v>
      </c>
      <c r="D19" s="30" t="s">
        <v>697</v>
      </c>
      <c r="E19" s="43" t="n">
        <f aca="false">'Benchmark KPIs'!D20</f>
        <v>0.382790359193561</v>
      </c>
      <c r="F19" s="33" t="s">
        <v>698</v>
      </c>
      <c r="G19" s="30" t="s">
        <v>345</v>
      </c>
      <c r="H19" s="29" t="s">
        <v>355</v>
      </c>
      <c r="I19" s="30" t="s">
        <v>699</v>
      </c>
      <c r="J19" s="30" t="s">
        <v>679</v>
      </c>
    </row>
    <row r="20" customFormat="false" ht="15" hidden="false" customHeight="false" outlineLevel="0" collapsed="false">
      <c r="B20" s="33" t="n">
        <v>15</v>
      </c>
      <c r="C20" s="30" t="s">
        <v>385</v>
      </c>
      <c r="D20" s="30" t="s">
        <v>135</v>
      </c>
      <c r="E20" s="44" t="n">
        <f aca="false">'Benchmark KPIs'!D21</f>
        <v>536863.45</v>
      </c>
      <c r="F20" s="33" t="s">
        <v>690</v>
      </c>
      <c r="G20" s="30" t="s">
        <v>345</v>
      </c>
      <c r="H20" s="29" t="s">
        <v>355</v>
      </c>
      <c r="I20" s="30" t="s">
        <v>700</v>
      </c>
      <c r="J20" s="30" t="s">
        <v>679</v>
      </c>
    </row>
    <row r="21" customFormat="false" ht="15" hidden="false" customHeight="false" outlineLevel="0" collapsed="false">
      <c r="B21" s="33" t="n">
        <v>16</v>
      </c>
      <c r="C21" s="30" t="s">
        <v>387</v>
      </c>
      <c r="D21" s="30" t="s">
        <v>386</v>
      </c>
      <c r="E21" s="44" t="n">
        <f aca="false">'Benchmark KPIs'!D22</f>
        <v>142882.75</v>
      </c>
      <c r="F21" s="33" t="s">
        <v>690</v>
      </c>
      <c r="G21" s="30" t="s">
        <v>345</v>
      </c>
      <c r="H21" s="29" t="s">
        <v>355</v>
      </c>
      <c r="I21" s="30" t="s">
        <v>701</v>
      </c>
      <c r="J21" s="30" t="s">
        <v>679</v>
      </c>
    </row>
    <row r="22" customFormat="false" ht="15" hidden="false" customHeight="false" outlineLevel="0" collapsed="false">
      <c r="B22" s="33" t="n">
        <v>17</v>
      </c>
      <c r="C22" s="30" t="s">
        <v>390</v>
      </c>
      <c r="D22" s="30" t="s">
        <v>389</v>
      </c>
      <c r="E22" s="44" t="n">
        <f aca="false">'Benchmark KPIs'!D23</f>
        <v>295005.88</v>
      </c>
      <c r="F22" s="33" t="s">
        <v>690</v>
      </c>
      <c r="G22" s="30" t="s">
        <v>345</v>
      </c>
      <c r="H22" s="29" t="s">
        <v>355</v>
      </c>
      <c r="I22" s="30" t="s">
        <v>702</v>
      </c>
      <c r="J22" s="30" t="s">
        <v>679</v>
      </c>
    </row>
    <row r="23" customFormat="false" ht="15" hidden="false" customHeight="false" outlineLevel="0" collapsed="false">
      <c r="B23" s="33" t="n">
        <v>18</v>
      </c>
      <c r="C23" s="30" t="s">
        <v>393</v>
      </c>
      <c r="D23" s="30" t="s">
        <v>392</v>
      </c>
      <c r="E23" s="44" t="n">
        <f aca="false">'Benchmark KPIs'!D24</f>
        <v>26210.1</v>
      </c>
      <c r="F23" s="33" t="s">
        <v>690</v>
      </c>
      <c r="G23" s="30" t="s">
        <v>345</v>
      </c>
      <c r="H23" s="29" t="s">
        <v>355</v>
      </c>
      <c r="I23" s="30" t="s">
        <v>703</v>
      </c>
      <c r="J23" s="30" t="s">
        <v>679</v>
      </c>
    </row>
    <row r="24" customFormat="false" ht="15" hidden="false" customHeight="false" outlineLevel="0" collapsed="false">
      <c r="B24" s="33" t="n">
        <v>19</v>
      </c>
      <c r="C24" s="30" t="s">
        <v>396</v>
      </c>
      <c r="D24" s="30" t="s">
        <v>395</v>
      </c>
      <c r="E24" s="44" t="n">
        <f aca="false">'Benchmark KPIs'!D25</f>
        <v>72764.72</v>
      </c>
      <c r="F24" s="33" t="s">
        <v>690</v>
      </c>
      <c r="G24" s="30" t="s">
        <v>345</v>
      </c>
      <c r="H24" s="29" t="s">
        <v>355</v>
      </c>
      <c r="I24" s="30" t="s">
        <v>704</v>
      </c>
      <c r="J24" s="30" t="s">
        <v>679</v>
      </c>
    </row>
    <row r="25" customFormat="false" ht="15" hidden="false" customHeight="false" outlineLevel="0" collapsed="false">
      <c r="B25" s="33" t="n">
        <v>20</v>
      </c>
      <c r="C25" s="30" t="s">
        <v>398</v>
      </c>
      <c r="D25" s="30" t="s">
        <v>320</v>
      </c>
      <c r="E25" s="44" t="n">
        <f aca="false">'Benchmark KPIs'!D26</f>
        <v>43491</v>
      </c>
      <c r="F25" s="33" t="s">
        <v>690</v>
      </c>
      <c r="G25" s="30" t="s">
        <v>345</v>
      </c>
      <c r="H25" s="29" t="s">
        <v>355</v>
      </c>
      <c r="I25" s="30" t="s">
        <v>705</v>
      </c>
      <c r="J25" s="30" t="s">
        <v>679</v>
      </c>
    </row>
    <row r="26" customFormat="false" ht="15" hidden="false" customHeight="false" outlineLevel="0" collapsed="false">
      <c r="B26" s="33" t="n">
        <v>21</v>
      </c>
      <c r="C26" s="30" t="s">
        <v>421</v>
      </c>
      <c r="D26" s="30" t="s">
        <v>420</v>
      </c>
      <c r="E26" s="44" t="n">
        <f aca="false">'Benchmark KPIs'!D37</f>
        <v>6943.5</v>
      </c>
      <c r="F26" s="33" t="s">
        <v>706</v>
      </c>
      <c r="G26" s="30" t="s">
        <v>345</v>
      </c>
      <c r="H26" s="29" t="s">
        <v>355</v>
      </c>
      <c r="I26" s="30" t="s">
        <v>707</v>
      </c>
      <c r="J26" s="30" t="s">
        <v>679</v>
      </c>
    </row>
    <row r="27" customFormat="false" ht="15" hidden="false" customHeight="false" outlineLevel="0" collapsed="false">
      <c r="B27" s="33" t="n">
        <v>22</v>
      </c>
      <c r="C27" s="30" t="s">
        <v>424</v>
      </c>
      <c r="D27" s="30" t="s">
        <v>423</v>
      </c>
      <c r="E27" s="33" t="n">
        <f aca="false">'Benchmark KPIs'!D38</f>
        <v>31</v>
      </c>
      <c r="F27" s="33" t="s">
        <v>687</v>
      </c>
      <c r="G27" s="30" t="s">
        <v>345</v>
      </c>
      <c r="H27" s="29" t="s">
        <v>355</v>
      </c>
      <c r="I27" s="30" t="s">
        <v>708</v>
      </c>
      <c r="J27" s="30" t="s">
        <v>679</v>
      </c>
    </row>
    <row r="28" customFormat="false" ht="15" hidden="false" customHeight="false" outlineLevel="0" collapsed="false">
      <c r="B28" s="33" t="n">
        <v>23</v>
      </c>
      <c r="C28" s="30" t="s">
        <v>426</v>
      </c>
      <c r="D28" s="30" t="s">
        <v>219</v>
      </c>
      <c r="E28" s="45" t="n">
        <f aca="false">'Benchmark KPIs'!D39</f>
        <v>19.9745805429538</v>
      </c>
      <c r="F28" s="33" t="s">
        <v>709</v>
      </c>
      <c r="G28" s="30" t="s">
        <v>345</v>
      </c>
      <c r="H28" s="29" t="s">
        <v>355</v>
      </c>
      <c r="I28" s="30" t="s">
        <v>710</v>
      </c>
      <c r="J28" s="30" t="s">
        <v>679</v>
      </c>
    </row>
    <row r="29" customFormat="false" ht="15" hidden="false" customHeight="false" outlineLevel="0" collapsed="false">
      <c r="B29" s="33" t="n">
        <v>24</v>
      </c>
      <c r="C29" s="30" t="s">
        <v>453</v>
      </c>
      <c r="D29" s="30" t="s">
        <v>452</v>
      </c>
      <c r="E29" s="33" t="n">
        <f aca="false">'Benchmark KPIs'!D51</f>
        <v>14</v>
      </c>
      <c r="F29" s="33" t="s">
        <v>687</v>
      </c>
      <c r="G29" s="30" t="s">
        <v>345</v>
      </c>
      <c r="H29" s="29" t="s">
        <v>355</v>
      </c>
      <c r="I29" s="30" t="s">
        <v>711</v>
      </c>
      <c r="J29" s="30" t="s">
        <v>679</v>
      </c>
    </row>
    <row r="30" customFormat="false" ht="15" hidden="false" customHeight="false" outlineLevel="0" collapsed="false">
      <c r="B30" s="33" t="n">
        <v>25</v>
      </c>
      <c r="C30" s="30" t="s">
        <v>460</v>
      </c>
      <c r="D30" s="30" t="s">
        <v>459</v>
      </c>
      <c r="E30" s="33" t="n">
        <f aca="false">'Benchmark KPIs'!D54</f>
        <v>0</v>
      </c>
      <c r="F30" s="33" t="s">
        <v>687</v>
      </c>
      <c r="G30" s="30" t="s">
        <v>345</v>
      </c>
      <c r="H30" s="29" t="s">
        <v>355</v>
      </c>
      <c r="I30" s="30" t="s">
        <v>712</v>
      </c>
      <c r="J30" s="30" t="s">
        <v>679</v>
      </c>
    </row>
    <row r="31" customFormat="false" ht="15" hidden="false" customHeight="false" outlineLevel="0" collapsed="false">
      <c r="B31" s="33" t="n">
        <v>26</v>
      </c>
      <c r="C31" s="30" t="s">
        <v>463</v>
      </c>
      <c r="D31" s="30" t="s">
        <v>713</v>
      </c>
      <c r="E31" s="43" t="n">
        <f aca="false">'Benchmark KPIs'!D55</f>
        <v>0.0698278088678433</v>
      </c>
      <c r="F31" s="33" t="s">
        <v>698</v>
      </c>
      <c r="G31" s="30" t="s">
        <v>345</v>
      </c>
      <c r="H31" s="29" t="s">
        <v>355</v>
      </c>
      <c r="I31" s="30" t="s">
        <v>699</v>
      </c>
      <c r="J31" s="30" t="s">
        <v>679</v>
      </c>
    </row>
    <row r="32" customFormat="false" ht="15" hidden="false" customHeight="false" outlineLevel="0" collapsed="false">
      <c r="B32" s="33" t="n">
        <v>27</v>
      </c>
      <c r="C32" s="30" t="s">
        <v>714</v>
      </c>
      <c r="D32" s="30" t="s">
        <v>715</v>
      </c>
      <c r="E32" s="33" t="n">
        <v>19</v>
      </c>
      <c r="F32" s="33" t="s">
        <v>687</v>
      </c>
      <c r="G32" s="30" t="s">
        <v>716</v>
      </c>
      <c r="H32" s="29" t="s">
        <v>355</v>
      </c>
      <c r="I32" s="30" t="s">
        <v>717</v>
      </c>
      <c r="J32" s="30" t="s">
        <v>718</v>
      </c>
    </row>
    <row r="33" customFormat="false" ht="15" hidden="false" customHeight="false" outlineLevel="0" collapsed="false">
      <c r="B33" s="33" t="n">
        <v>28</v>
      </c>
      <c r="C33" s="30" t="s">
        <v>719</v>
      </c>
      <c r="D33" s="30" t="s">
        <v>720</v>
      </c>
      <c r="E33" s="33" t="n">
        <v>5</v>
      </c>
      <c r="F33" s="33" t="s">
        <v>687</v>
      </c>
      <c r="G33" s="30" t="s">
        <v>721</v>
      </c>
      <c r="H33" s="29" t="s">
        <v>355</v>
      </c>
      <c r="I33" s="30" t="s">
        <v>722</v>
      </c>
      <c r="J33" s="30" t="s">
        <v>723</v>
      </c>
    </row>
    <row r="34" customFormat="false" ht="15" hidden="false" customHeight="false" outlineLevel="0" collapsed="false">
      <c r="B34" s="33" t="n">
        <v>29</v>
      </c>
      <c r="C34" s="30" t="s">
        <v>724</v>
      </c>
      <c r="D34" s="30" t="s">
        <v>640</v>
      </c>
      <c r="E34" s="33" t="n">
        <v>3</v>
      </c>
      <c r="F34" s="33" t="s">
        <v>687</v>
      </c>
      <c r="G34" s="30" t="s">
        <v>721</v>
      </c>
      <c r="H34" s="29" t="s">
        <v>355</v>
      </c>
      <c r="I34" s="30" t="s">
        <v>725</v>
      </c>
      <c r="J34" s="30" t="s">
        <v>723</v>
      </c>
    </row>
    <row r="35" customFormat="false" ht="15" hidden="false" customHeight="false" outlineLevel="0" collapsed="false">
      <c r="B35" s="33" t="n">
        <v>30</v>
      </c>
      <c r="C35" s="30" t="s">
        <v>726</v>
      </c>
      <c r="D35" s="30" t="s">
        <v>637</v>
      </c>
      <c r="E35" s="33" t="n">
        <v>0</v>
      </c>
      <c r="F35" s="33" t="s">
        <v>687</v>
      </c>
      <c r="G35" s="30" t="s">
        <v>721</v>
      </c>
      <c r="H35" s="29" t="s">
        <v>355</v>
      </c>
      <c r="I35" s="30" t="s">
        <v>727</v>
      </c>
      <c r="J35" s="30" t="s">
        <v>723</v>
      </c>
    </row>
    <row r="36" customFormat="false" ht="15" hidden="false" customHeight="false" outlineLevel="0" collapsed="false">
      <c r="B36" s="33" t="n">
        <v>31</v>
      </c>
      <c r="C36" s="30" t="s">
        <v>728</v>
      </c>
      <c r="D36" s="30" t="s">
        <v>642</v>
      </c>
      <c r="E36" s="33" t="n">
        <v>0</v>
      </c>
      <c r="F36" s="33" t="s">
        <v>687</v>
      </c>
      <c r="G36" s="30" t="s">
        <v>721</v>
      </c>
      <c r="H36" s="29" t="s">
        <v>355</v>
      </c>
      <c r="I36" s="30" t="s">
        <v>729</v>
      </c>
      <c r="J36" s="30" t="s">
        <v>723</v>
      </c>
    </row>
    <row r="37" customFormat="false" ht="15" hidden="false" customHeight="false" outlineLevel="0" collapsed="false">
      <c r="B37" s="33" t="n">
        <v>32</v>
      </c>
      <c r="C37" s="30" t="s">
        <v>730</v>
      </c>
      <c r="D37" s="30" t="s">
        <v>731</v>
      </c>
      <c r="E37" s="33" t="n">
        <v>7</v>
      </c>
      <c r="F37" s="33" t="s">
        <v>687</v>
      </c>
      <c r="G37" s="30" t="s">
        <v>716</v>
      </c>
      <c r="H37" s="29" t="s">
        <v>355</v>
      </c>
      <c r="I37" s="30" t="s">
        <v>732</v>
      </c>
      <c r="J37" s="30" t="s">
        <v>718</v>
      </c>
    </row>
    <row r="38" customFormat="false" ht="15" hidden="false" customHeight="false" outlineLevel="0" collapsed="false">
      <c r="B38" s="33" t="n">
        <v>33</v>
      </c>
      <c r="C38" s="30" t="s">
        <v>733</v>
      </c>
      <c r="D38" s="30" t="s">
        <v>734</v>
      </c>
      <c r="E38" s="33" t="n">
        <v>29</v>
      </c>
      <c r="F38" s="33" t="s">
        <v>687</v>
      </c>
      <c r="G38" s="30" t="s">
        <v>721</v>
      </c>
      <c r="H38" s="29" t="s">
        <v>355</v>
      </c>
      <c r="I38" s="30" t="s">
        <v>735</v>
      </c>
      <c r="J38" s="30" t="s">
        <v>723</v>
      </c>
    </row>
    <row r="39" customFormat="false" ht="15" hidden="false" customHeight="false" outlineLevel="0" collapsed="false">
      <c r="B39" s="33" t="n">
        <v>34</v>
      </c>
      <c r="C39" s="30" t="s">
        <v>736</v>
      </c>
      <c r="D39" s="30" t="s">
        <v>737</v>
      </c>
      <c r="E39" s="36" t="n">
        <f aca="false">'Change Log'!H36</f>
        <v>56774</v>
      </c>
      <c r="F39" s="33" t="s">
        <v>690</v>
      </c>
      <c r="G39" s="30" t="s">
        <v>721</v>
      </c>
      <c r="H39" s="29" t="s">
        <v>355</v>
      </c>
      <c r="I39" s="30" t="s">
        <v>738</v>
      </c>
      <c r="J39" s="30" t="s">
        <v>723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739</v>
      </c>
      <c r="C2" s="2"/>
      <c r="D2" s="2"/>
      <c r="E2" s="2"/>
      <c r="F2" s="2"/>
    </row>
    <row r="3" customFormat="false" ht="15" hidden="false" customHeight="false" outlineLevel="0" collapsed="false">
      <c r="B3" s="46" t="s">
        <v>740</v>
      </c>
    </row>
    <row r="4" customFormat="false" ht="15" hidden="false" customHeight="true" outlineLevel="0" collapsed="false">
      <c r="B4" s="10" t="s">
        <v>741</v>
      </c>
      <c r="C4" s="10" t="s">
        <v>742</v>
      </c>
      <c r="D4" s="10" t="s">
        <v>743</v>
      </c>
      <c r="E4" s="10" t="s">
        <v>318</v>
      </c>
      <c r="F4" s="10" t="s">
        <v>319</v>
      </c>
    </row>
    <row r="5" customFormat="false" ht="15" hidden="false" customHeight="true" outlineLevel="0" collapsed="false">
      <c r="B5" s="4" t="s">
        <v>744</v>
      </c>
      <c r="C5" s="4"/>
      <c r="D5" s="4"/>
      <c r="E5" s="4"/>
      <c r="F5" s="4"/>
    </row>
    <row r="6" customFormat="false" ht="15" hidden="false" customHeight="true" outlineLevel="0" collapsed="false">
      <c r="B6" s="5" t="s">
        <v>745</v>
      </c>
      <c r="C6" s="11" t="n">
        <v>142882.75</v>
      </c>
      <c r="D6" s="11" t="n">
        <v>142882.75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746</v>
      </c>
      <c r="C7" s="11" t="n">
        <v>295005.88</v>
      </c>
      <c r="D7" s="11" t="n">
        <v>295005.88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747</v>
      </c>
      <c r="C8" s="11" t="n">
        <v>26210.1</v>
      </c>
      <c r="D8" s="11" t="n">
        <v>26210.1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748</v>
      </c>
      <c r="C9" s="11" t="n">
        <v>72764.72</v>
      </c>
      <c r="D9" s="11" t="n">
        <v>72764.72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749</v>
      </c>
      <c r="C10" s="11" t="n">
        <v>536863.45</v>
      </c>
      <c r="D10" s="11" t="n">
        <v>536863.45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750</v>
      </c>
      <c r="C11" s="11" t="n">
        <v>869823.5</v>
      </c>
      <c r="D11" s="11" t="n">
        <v>869823.5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751</v>
      </c>
      <c r="C12" s="11" t="n">
        <v>332960.05</v>
      </c>
      <c r="D12" s="11" t="n">
        <v>332960.05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752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753</v>
      </c>
      <c r="C15" s="47" t="n">
        <v>6943.5</v>
      </c>
      <c r="D15" s="47" t="n">
        <v>6943.5</v>
      </c>
      <c r="E15" s="47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754</v>
      </c>
      <c r="C16" s="47" t="n">
        <v>6803</v>
      </c>
      <c r="D16" s="47" t="n">
        <v>6943.5</v>
      </c>
      <c r="E16" s="47" t="n">
        <f aca="false">C16-D16</f>
        <v>-140.5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755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290</v>
      </c>
      <c r="C19" s="11" t="n">
        <v>869824</v>
      </c>
      <c r="D19" s="11" t="n">
        <v>869824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320</v>
      </c>
      <c r="C20" s="11" t="n">
        <v>43491</v>
      </c>
      <c r="D20" s="11" t="n">
        <v>43491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135</v>
      </c>
      <c r="C21" s="11" t="n">
        <v>536863.45</v>
      </c>
      <c r="D21" s="11" t="n">
        <v>536863.45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756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757</v>
      </c>
      <c r="C24" s="11" t="n">
        <v>387378.94</v>
      </c>
      <c r="D24" s="11" t="n">
        <v>387379</v>
      </c>
      <c r="E24" s="11" t="n">
        <f aca="false">C24-D24</f>
        <v>-0.0599999999976717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62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63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64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65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66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67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68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758</v>
      </c>
      <c r="C35" s="3"/>
      <c r="D35" s="3"/>
      <c r="E35" s="3"/>
      <c r="F35" s="3"/>
    </row>
    <row r="48" customFormat="false" ht="15" hidden="false" customHeight="false" outlineLevel="0" collapsed="false">
      <c r="B48" s="48" t="s">
        <v>759</v>
      </c>
      <c r="C48" s="49"/>
      <c r="D48" s="49"/>
      <c r="E48" s="49"/>
      <c r="F48" s="49"/>
      <c r="G48" s="49"/>
      <c r="H48" s="50"/>
      <c r="I48" s="50"/>
    </row>
    <row r="49" customFormat="false" ht="15" hidden="false" customHeight="false" outlineLevel="0" collapsed="false">
      <c r="B49" s="51" t="s">
        <v>760</v>
      </c>
      <c r="C49" s="51" t="n">
        <v>29</v>
      </c>
      <c r="D49" s="51" t="n">
        <f aca="false">'Root Cause Analysis'!C12</f>
        <v>29</v>
      </c>
      <c r="E49" s="51" t="n">
        <f aca="false">C49-D49</f>
        <v>0</v>
      </c>
      <c r="F49" s="51" t="str">
        <f aca="false">IF(ABS(E49)&lt;=1,"TIES",IF(ABS(E49)&lt;=ABS(D49)*0.05,"WITHIN","OFF"))</f>
        <v>TIES</v>
      </c>
      <c r="G49" s="51" t="s">
        <v>761</v>
      </c>
      <c r="H49" s="50"/>
      <c r="I49" s="50"/>
    </row>
    <row r="50" customFormat="false" ht="15" hidden="false" customHeight="false" outlineLevel="0" collapsed="false">
      <c r="B50" s="51" t="s">
        <v>648</v>
      </c>
      <c r="C50" s="52" t="n">
        <f aca="false">'Change Log'!H36</f>
        <v>56774</v>
      </c>
      <c r="D50" s="52" t="n">
        <f aca="false">'Root Cause Analysis'!D12</f>
        <v>56774</v>
      </c>
      <c r="E50" s="51" t="n">
        <f aca="false">C50-D50</f>
        <v>0</v>
      </c>
      <c r="F50" s="51" t="str">
        <f aca="false">IF(ABS(E50)&lt;=1,"TIES",IF(ABS(E50)&lt;=ABS(D50)*0.05,"WITHIN","OFF"))</f>
        <v>TIES</v>
      </c>
      <c r="G50" s="51" t="s">
        <v>761</v>
      </c>
      <c r="H50" s="50"/>
      <c r="I50" s="50"/>
    </row>
    <row r="51" customFormat="false" ht="15" hidden="false" customHeight="false" outlineLevel="0" collapsed="false">
      <c r="B51" s="50"/>
      <c r="C51" s="50"/>
      <c r="D51" s="50"/>
      <c r="E51" s="50"/>
      <c r="F51" s="50"/>
      <c r="G51" s="50"/>
      <c r="H51" s="50"/>
      <c r="I51" s="50"/>
    </row>
    <row r="52" customFormat="false" ht="15" hidden="false" customHeight="false" outlineLevel="0" collapsed="false">
      <c r="B52" s="48" t="s">
        <v>762</v>
      </c>
      <c r="C52" s="49"/>
      <c r="D52" s="49"/>
      <c r="E52" s="49"/>
      <c r="F52" s="49"/>
      <c r="G52" s="49"/>
      <c r="H52" s="50"/>
      <c r="I52" s="50"/>
    </row>
    <row r="53" customFormat="false" ht="15" hidden="false" customHeight="false" outlineLevel="0" collapsed="false">
      <c r="B53" s="51" t="s">
        <v>763</v>
      </c>
      <c r="C53" s="51" t="n">
        <v>0</v>
      </c>
      <c r="D53" s="51" t="n">
        <f aca="false">COUNTIF('Change Log'!C6:C35,"Backcharge")</f>
        <v>0</v>
      </c>
      <c r="E53" s="51" t="n">
        <f aca="false">C53-D53</f>
        <v>0</v>
      </c>
      <c r="F53" s="51" t="str">
        <f aca="false">IF(ABS(E53)&lt;=1,"TIES",IF(ABS(E53)&lt;=ABS(D53)*0.05,"WITHIN","OFF"))</f>
        <v>TIES</v>
      </c>
      <c r="G53" s="51" t="s">
        <v>764</v>
      </c>
      <c r="H53" s="50"/>
      <c r="I53" s="50"/>
    </row>
    <row r="54" customFormat="false" ht="15" hidden="false" customHeight="false" outlineLevel="0" collapsed="false">
      <c r="B54" s="50"/>
      <c r="C54" s="50"/>
      <c r="D54" s="50"/>
      <c r="E54" s="50"/>
      <c r="F54" s="50"/>
      <c r="G54" s="50"/>
      <c r="H54" s="50"/>
      <c r="I54" s="50"/>
    </row>
    <row r="55" customFormat="false" ht="15" hidden="false" customHeight="false" outlineLevel="0" collapsed="false">
      <c r="B55" s="48" t="s">
        <v>765</v>
      </c>
      <c r="C55" s="49"/>
      <c r="D55" s="49"/>
      <c r="E55" s="49"/>
      <c r="F55" s="49"/>
      <c r="G55" s="49"/>
      <c r="H55" s="50"/>
      <c r="I55" s="50"/>
    </row>
    <row r="56" customFormat="false" ht="15" hidden="false" customHeight="false" outlineLevel="0" collapsed="false">
      <c r="B56" s="51" t="s">
        <v>766</v>
      </c>
      <c r="C56" s="53" t="n">
        <f aca="false">'Metric Registry'!E17</f>
        <v>869823.5</v>
      </c>
      <c r="D56" s="53" t="n">
        <f aca="false">'Benchmark KPIs'!D18</f>
        <v>869823.5</v>
      </c>
      <c r="E56" s="51" t="n">
        <f aca="false">C56-D56</f>
        <v>0</v>
      </c>
      <c r="F56" s="51" t="str">
        <f aca="false">IF(ABS(E56)&lt;=1,"TIES",IF(ABS(E56)&lt;=ABS(D56)*0.05,"WITHIN","OFF"))</f>
        <v>TIES</v>
      </c>
      <c r="G56" s="51" t="s">
        <v>767</v>
      </c>
      <c r="H56" s="50"/>
      <c r="I56" s="50"/>
    </row>
    <row r="57" customFormat="false" ht="15" hidden="false" customHeight="false" outlineLevel="0" collapsed="false">
      <c r="B57" s="51" t="s">
        <v>768</v>
      </c>
      <c r="C57" s="53" t="n">
        <f aca="false">'Metric Registry'!E12</f>
        <v>117</v>
      </c>
      <c r="D57" s="53" t="n">
        <f aca="false">'Benchmark KPIs'!D12</f>
        <v>117</v>
      </c>
      <c r="E57" s="51" t="n">
        <f aca="false">C57-D57</f>
        <v>0</v>
      </c>
      <c r="F57" s="51" t="str">
        <f aca="false">IF(ABS(E57)&lt;=1,"TIES",IF(ABS(E57)&lt;=ABS(D57)*0.05,"WITHIN","OFF"))</f>
        <v>TIES</v>
      </c>
      <c r="G57" s="51" t="s">
        <v>767</v>
      </c>
      <c r="H57" s="50"/>
      <c r="I57" s="50"/>
    </row>
    <row r="58" customFormat="false" ht="15" hidden="false" customHeight="false" outlineLevel="0" collapsed="false">
      <c r="B58" s="51" t="s">
        <v>769</v>
      </c>
      <c r="C58" s="53" t="n">
        <f aca="false">'Metric Registry'!E13</f>
        <v>841</v>
      </c>
      <c r="D58" s="53" t="n">
        <f aca="false">'Benchmark KPIs'!D13</f>
        <v>841</v>
      </c>
      <c r="E58" s="51" t="n">
        <f aca="false">C58-D58</f>
        <v>0</v>
      </c>
      <c r="F58" s="51" t="str">
        <f aca="false">IF(ABS(E58)&lt;=1,"TIES",IF(ABS(E58)&lt;=ABS(D58)*0.05,"WITHIN","OFF"))</f>
        <v>TIES</v>
      </c>
      <c r="G58" s="51" t="s">
        <v>767</v>
      </c>
      <c r="H58" s="50"/>
      <c r="I58" s="50"/>
    </row>
    <row r="59" customFormat="false" ht="15" hidden="false" customHeight="false" outlineLevel="0" collapsed="false">
      <c r="B59" s="51" t="s">
        <v>770</v>
      </c>
      <c r="C59" s="54" t="n">
        <f aca="false">'Metric Registry'!E19</f>
        <v>0.382790359193561</v>
      </c>
      <c r="D59" s="53" t="n">
        <f aca="false">'Benchmark KPIs'!D21</f>
        <v>536863.45</v>
      </c>
      <c r="E59" s="51" t="n">
        <f aca="false">C59-D59</f>
        <v>-536863.067209641</v>
      </c>
      <c r="F59" s="51" t="str">
        <f aca="false">IF(ABS(E59)&lt;=1,"TIES",IF(ABS(E59)&lt;=ABS(D59)*0.05,"WITHIN","OFF"))</f>
        <v>OFF</v>
      </c>
      <c r="G59" s="51" t="s">
        <v>767</v>
      </c>
      <c r="H59" s="50"/>
      <c r="I59" s="50"/>
    </row>
    <row r="60" customFormat="false" ht="15" hidden="false" customHeight="false" outlineLevel="0" collapsed="false">
      <c r="B60" s="51" t="s">
        <v>771</v>
      </c>
      <c r="C60" s="51" t="n">
        <f aca="false">'Metric Registry'!E30</f>
        <v>0</v>
      </c>
      <c r="D60" s="51" t="n">
        <f aca="false">'Benchmark KPIs'!D54</f>
        <v>0</v>
      </c>
      <c r="E60" s="51" t="n">
        <f aca="false">C60-D60</f>
        <v>0</v>
      </c>
      <c r="F60" s="51" t="str">
        <f aca="false">IF(ABS(E60)&lt;=1,"TIES",IF(ABS(E60)&lt;=ABS(D60)*0.05,"WITHIN","OFF"))</f>
        <v>TIES</v>
      </c>
      <c r="G60" s="51" t="s">
        <v>767</v>
      </c>
      <c r="H60" s="50"/>
      <c r="I60" s="50"/>
    </row>
    <row r="61" customFormat="false" ht="15" hidden="false" customHeight="false" outlineLevel="0" collapsed="false">
      <c r="B61" s="50"/>
      <c r="C61" s="50"/>
      <c r="D61" s="50"/>
      <c r="E61" s="50"/>
      <c r="F61" s="50"/>
      <c r="G61" s="50"/>
      <c r="H61" s="50"/>
      <c r="I61" s="50"/>
    </row>
    <row r="62" customFormat="false" ht="15" hidden="false" customHeight="false" outlineLevel="0" collapsed="false">
      <c r="B62" s="48" t="s">
        <v>772</v>
      </c>
      <c r="C62" s="49"/>
      <c r="D62" s="49"/>
      <c r="E62" s="49"/>
      <c r="F62" s="49"/>
      <c r="G62" s="49"/>
      <c r="H62" s="50"/>
      <c r="I62" s="50"/>
    </row>
    <row r="63" customFormat="false" ht="15" hidden="false" customHeight="false" outlineLevel="0" collapsed="false">
      <c r="B63" s="51" t="s">
        <v>733</v>
      </c>
      <c r="C63" s="51" t="n">
        <f aca="false">'Metric Registry'!E36</f>
        <v>0</v>
      </c>
      <c r="D63" s="51" t="n">
        <v>29</v>
      </c>
      <c r="E63" s="51" t="n">
        <f aca="false">C63-D63</f>
        <v>-29</v>
      </c>
      <c r="F63" s="51" t="str">
        <f aca="false">IF(ABS(E63)&lt;=1,"TIES",IF(ABS(E63)&lt;=ABS(D63)*0.05,"WITHIN","OFF"))</f>
        <v>OFF</v>
      </c>
      <c r="G63" s="51" t="s">
        <v>773</v>
      </c>
      <c r="H63" s="50"/>
      <c r="I63" s="50"/>
    </row>
    <row r="64" customFormat="false" ht="15" hidden="false" customHeight="false" outlineLevel="0" collapsed="false">
      <c r="B64" s="50"/>
      <c r="C64" s="50"/>
      <c r="D64" s="50"/>
      <c r="E64" s="50"/>
      <c r="F64" s="50"/>
      <c r="G64" s="50"/>
      <c r="H64" s="50"/>
      <c r="I64" s="50"/>
    </row>
    <row r="65" customFormat="false" ht="15" hidden="false" customHeight="false" outlineLevel="0" collapsed="false">
      <c r="B65" s="50"/>
      <c r="C65" s="50"/>
      <c r="D65" s="50"/>
      <c r="E65" s="50"/>
      <c r="F65" s="50"/>
      <c r="G65" s="50"/>
      <c r="H65" s="50"/>
      <c r="I65" s="50"/>
    </row>
    <row r="66" customFormat="false" ht="15" hidden="false" customHeight="false" outlineLevel="0" collapsed="false">
      <c r="B66" s="55" t="s">
        <v>62</v>
      </c>
      <c r="C66" s="56"/>
      <c r="D66" s="56"/>
      <c r="E66" s="56"/>
      <c r="F66" s="56"/>
      <c r="G66" s="56"/>
      <c r="H66" s="50"/>
      <c r="I66" s="50"/>
    </row>
    <row r="67" customFormat="false" ht="15" hidden="false" customHeight="false" outlineLevel="0" collapsed="false">
      <c r="B67" s="57" t="s">
        <v>774</v>
      </c>
      <c r="C67" s="50"/>
      <c r="D67" s="50"/>
      <c r="E67" s="50"/>
      <c r="F67" s="50"/>
      <c r="G67" s="50"/>
      <c r="H67" s="50"/>
      <c r="I67" s="50"/>
    </row>
    <row r="68" customFormat="false" ht="15" hidden="false" customHeight="false" outlineLevel="0" collapsed="false">
      <c r="B68" s="57" t="s">
        <v>775</v>
      </c>
      <c r="C68" s="50"/>
      <c r="D68" s="50"/>
      <c r="E68" s="50"/>
      <c r="F68" s="50"/>
      <c r="G68" s="50"/>
      <c r="H68" s="50"/>
      <c r="I68" s="50"/>
    </row>
    <row r="69" customFormat="false" ht="15" hidden="false" customHeight="false" outlineLevel="0" collapsed="false">
      <c r="B69" s="57" t="s">
        <v>776</v>
      </c>
      <c r="C69" s="50"/>
      <c r="D69" s="50"/>
      <c r="E69" s="50"/>
      <c r="F69" s="50"/>
      <c r="G69" s="50"/>
      <c r="H69" s="50"/>
      <c r="I69" s="50"/>
    </row>
    <row r="70" customFormat="false" ht="15" hidden="false" customHeight="false" outlineLevel="0" collapsed="false">
      <c r="B70" s="58" t="s">
        <v>777</v>
      </c>
    </row>
    <row r="71" customFormat="false" ht="15" hidden="false" customHeight="false" outlineLevel="0" collapsed="false">
      <c r="B71" s="58" t="s">
        <v>778</v>
      </c>
    </row>
    <row r="72" customFormat="false" ht="15" hidden="false" customHeight="false" outlineLevel="0" collapsed="false">
      <c r="B72" s="58" t="s">
        <v>779</v>
      </c>
    </row>
    <row r="73" customFormat="false" ht="15" hidden="false" customHeight="false" outlineLevel="0" collapsed="false">
      <c r="B73" s="58" t="s">
        <v>780</v>
      </c>
    </row>
    <row r="74" customFormat="false" ht="15" hidden="false" customHeight="false" outlineLevel="0" collapsed="false">
      <c r="B74" s="58" t="s">
        <v>781</v>
      </c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59" t="s">
        <v>782</v>
      </c>
      <c r="B1" s="59"/>
      <c r="C1" s="59"/>
      <c r="D1" s="59"/>
      <c r="E1" s="59"/>
      <c r="F1" s="59"/>
      <c r="G1" s="59"/>
    </row>
    <row r="3" customFormat="false" ht="15" hidden="false" customHeight="true" outlineLevel="0" collapsed="false">
      <c r="A3" s="60" t="s">
        <v>783</v>
      </c>
      <c r="B3" s="61" t="n">
        <v>14</v>
      </c>
      <c r="D3" s="60" t="s">
        <v>784</v>
      </c>
      <c r="E3" s="61" t="s">
        <v>157</v>
      </c>
    </row>
    <row r="4" customFormat="false" ht="15" hidden="false" customHeight="true" outlineLevel="0" collapsed="false">
      <c r="A4" s="60" t="s">
        <v>785</v>
      </c>
      <c r="B4" s="61" t="n">
        <v>123</v>
      </c>
      <c r="D4" s="60" t="s">
        <v>786</v>
      </c>
      <c r="E4" s="62" t="n">
        <f aca="false">350453.39/387378.94</f>
        <v>0.90467847839121</v>
      </c>
    </row>
    <row r="5" customFormat="false" ht="15" hidden="false" customHeight="true" outlineLevel="0" collapsed="false">
      <c r="A5" s="60" t="s">
        <v>787</v>
      </c>
      <c r="B5" s="63" t="n">
        <v>387378.94</v>
      </c>
      <c r="D5" s="60" t="s">
        <v>788</v>
      </c>
      <c r="E5" s="64" t="s">
        <v>789</v>
      </c>
    </row>
    <row r="6" customFormat="false" ht="15" hidden="false" customHeight="true" outlineLevel="0" collapsed="false">
      <c r="A6" s="60" t="s">
        <v>790</v>
      </c>
      <c r="B6" s="65" t="n">
        <f aca="false">B5/B4</f>
        <v>3149.42227642276</v>
      </c>
    </row>
    <row r="8" customFormat="false" ht="19.5" hidden="false" customHeight="true" outlineLevel="0" collapsed="false">
      <c r="A8" s="66" t="s">
        <v>791</v>
      </c>
      <c r="B8" s="66" t="s">
        <v>152</v>
      </c>
      <c r="C8" s="66" t="s">
        <v>792</v>
      </c>
      <c r="D8" s="66" t="s">
        <v>785</v>
      </c>
      <c r="E8" s="66" t="s">
        <v>154</v>
      </c>
      <c r="F8" s="66" t="s">
        <v>155</v>
      </c>
      <c r="G8" s="66" t="s">
        <v>793</v>
      </c>
    </row>
    <row r="9" customFormat="false" ht="15" hidden="false" customHeight="true" outlineLevel="0" collapsed="false">
      <c r="A9" s="67" t="n">
        <v>1</v>
      </c>
      <c r="B9" s="68" t="s">
        <v>157</v>
      </c>
      <c r="C9" s="67"/>
      <c r="D9" s="67" t="n">
        <v>56</v>
      </c>
      <c r="E9" s="69" t="n">
        <v>302211.38</v>
      </c>
      <c r="F9" s="70" t="n">
        <f aca="false">E9/E$23</f>
        <v>0.780144062555388</v>
      </c>
      <c r="G9" s="71" t="n">
        <f aca="false">E9/D9</f>
        <v>5396.63178571429</v>
      </c>
    </row>
    <row r="10" customFormat="false" ht="15" hidden="false" customHeight="true" outlineLevel="0" collapsed="false">
      <c r="A10" s="67" t="n">
        <v>2</v>
      </c>
      <c r="B10" s="68" t="s">
        <v>158</v>
      </c>
      <c r="C10" s="67"/>
      <c r="D10" s="67" t="n">
        <v>30</v>
      </c>
      <c r="E10" s="69" t="n">
        <v>35755.01</v>
      </c>
      <c r="F10" s="70" t="n">
        <f aca="false">E10/E$23</f>
        <v>0.0922998292059966</v>
      </c>
      <c r="G10" s="71" t="n">
        <f aca="false">E10/D10</f>
        <v>1191.83366666667</v>
      </c>
    </row>
    <row r="11" customFormat="false" ht="15" hidden="false" customHeight="true" outlineLevel="0" collapsed="false">
      <c r="A11" s="67" t="n">
        <v>3</v>
      </c>
      <c r="B11" s="68" t="s">
        <v>159</v>
      </c>
      <c r="C11" s="67"/>
      <c r="D11" s="67" t="n">
        <v>5</v>
      </c>
      <c r="E11" s="69" t="n">
        <v>12487</v>
      </c>
      <c r="F11" s="70" t="n">
        <f aca="false">E11/E$23</f>
        <v>0.0322345866298256</v>
      </c>
      <c r="G11" s="71" t="n">
        <f aca="false">E11/D11</f>
        <v>2497.4</v>
      </c>
    </row>
    <row r="12" customFormat="false" ht="15" hidden="false" customHeight="true" outlineLevel="0" collapsed="false">
      <c r="A12" s="72" t="n">
        <v>4</v>
      </c>
      <c r="B12" s="73" t="s">
        <v>160</v>
      </c>
      <c r="C12" s="72"/>
      <c r="D12" s="72" t="n">
        <v>13</v>
      </c>
      <c r="E12" s="74" t="n">
        <v>10651.28</v>
      </c>
      <c r="F12" s="75" t="n">
        <f aca="false">E12/E$23</f>
        <v>0.0274957642250764</v>
      </c>
      <c r="G12" s="76" t="n">
        <f aca="false">E12/D12</f>
        <v>819.329230769231</v>
      </c>
    </row>
    <row r="13" customFormat="false" ht="15" hidden="false" customHeight="true" outlineLevel="0" collapsed="false">
      <c r="A13" s="77" t="n">
        <v>5</v>
      </c>
      <c r="B13" s="78" t="s">
        <v>161</v>
      </c>
      <c r="C13" s="77"/>
      <c r="D13" s="77" t="n">
        <v>4</v>
      </c>
      <c r="E13" s="79" t="n">
        <v>8107.96</v>
      </c>
      <c r="F13" s="80" t="n">
        <f aca="false">E13/E$23</f>
        <v>0.0209303066397982</v>
      </c>
      <c r="G13" s="81" t="n">
        <f aca="false">E13/D13</f>
        <v>2026.99</v>
      </c>
    </row>
    <row r="14" customFormat="false" ht="15" hidden="false" customHeight="true" outlineLevel="0" collapsed="false">
      <c r="A14" s="72" t="n">
        <v>6</v>
      </c>
      <c r="B14" s="73" t="s">
        <v>162</v>
      </c>
      <c r="C14" s="72"/>
      <c r="D14" s="72" t="n">
        <v>3</v>
      </c>
      <c r="E14" s="74" t="n">
        <v>7291</v>
      </c>
      <c r="F14" s="75" t="n">
        <f aca="false">E14/E$23</f>
        <v>0.0188213639079089</v>
      </c>
      <c r="G14" s="76" t="n">
        <f aca="false">E14/D14</f>
        <v>2430.33333333333</v>
      </c>
    </row>
    <row r="15" customFormat="false" ht="15" hidden="false" customHeight="true" outlineLevel="0" collapsed="false">
      <c r="A15" s="77" t="n">
        <v>7</v>
      </c>
      <c r="B15" s="78" t="s">
        <v>163</v>
      </c>
      <c r="C15" s="77"/>
      <c r="D15" s="77" t="n">
        <v>2</v>
      </c>
      <c r="E15" s="79" t="n">
        <v>6217.07</v>
      </c>
      <c r="F15" s="80" t="n">
        <f aca="false">E15/E$23</f>
        <v>0.0160490655480652</v>
      </c>
      <c r="G15" s="81" t="n">
        <f aca="false">E15/D15</f>
        <v>3108.535</v>
      </c>
    </row>
    <row r="16" customFormat="false" ht="15" hidden="false" customHeight="true" outlineLevel="0" collapsed="false">
      <c r="A16" s="72" t="n">
        <v>8</v>
      </c>
      <c r="B16" s="73" t="s">
        <v>164</v>
      </c>
      <c r="C16" s="72"/>
      <c r="D16" s="72" t="n">
        <v>2</v>
      </c>
      <c r="E16" s="74" t="n">
        <v>2598</v>
      </c>
      <c r="F16" s="75" t="n">
        <f aca="false">E16/E$23</f>
        <v>0.00670661136095834</v>
      </c>
      <c r="G16" s="76" t="n">
        <f aca="false">E16/D16</f>
        <v>1299</v>
      </c>
    </row>
    <row r="17" customFormat="false" ht="15" hidden="false" customHeight="true" outlineLevel="0" collapsed="false">
      <c r="A17" s="77" t="n">
        <v>9</v>
      </c>
      <c r="B17" s="78" t="s">
        <v>165</v>
      </c>
      <c r="C17" s="77"/>
      <c r="D17" s="77" t="n">
        <v>2</v>
      </c>
      <c r="E17" s="79" t="n">
        <v>870</v>
      </c>
      <c r="F17" s="80" t="n">
        <f aca="false">E17/E$23</f>
        <v>0.00224586292687981</v>
      </c>
      <c r="G17" s="81" t="n">
        <f aca="false">E17/D17</f>
        <v>435</v>
      </c>
    </row>
    <row r="18" customFormat="false" ht="15" hidden="false" customHeight="true" outlineLevel="0" collapsed="false">
      <c r="A18" s="72" t="n">
        <v>10</v>
      </c>
      <c r="B18" s="73" t="s">
        <v>166</v>
      </c>
      <c r="C18" s="72"/>
      <c r="D18" s="72" t="n">
        <v>1</v>
      </c>
      <c r="E18" s="74" t="n">
        <v>810</v>
      </c>
      <c r="F18" s="75" t="n">
        <f aca="false">E18/E$23</f>
        <v>0.00209097582847431</v>
      </c>
      <c r="G18" s="76" t="n">
        <f aca="false">E18/D18</f>
        <v>810</v>
      </c>
    </row>
    <row r="19" customFormat="false" ht="15" hidden="false" customHeight="true" outlineLevel="0" collapsed="false">
      <c r="A19" s="77" t="n">
        <v>11</v>
      </c>
      <c r="B19" s="78" t="s">
        <v>167</v>
      </c>
      <c r="C19" s="77"/>
      <c r="D19" s="77" t="n">
        <v>1</v>
      </c>
      <c r="E19" s="79" t="n">
        <v>129</v>
      </c>
      <c r="F19" s="80" t="n">
        <f aca="false">E19/E$23</f>
        <v>0.000333007261571835</v>
      </c>
      <c r="G19" s="81" t="n">
        <f aca="false">E19/D19</f>
        <v>129</v>
      </c>
    </row>
    <row r="20" customFormat="false" ht="15" hidden="false" customHeight="true" outlineLevel="0" collapsed="false">
      <c r="A20" s="72" t="n">
        <v>12</v>
      </c>
      <c r="B20" s="73" t="s">
        <v>168</v>
      </c>
      <c r="C20" s="72"/>
      <c r="D20" s="72" t="n">
        <v>1</v>
      </c>
      <c r="E20" s="74" t="n">
        <v>102</v>
      </c>
      <c r="F20" s="75" t="n">
        <f aca="false">E20/E$23</f>
        <v>0.000263308067289358</v>
      </c>
      <c r="G20" s="76" t="n">
        <f aca="false">E20/D20</f>
        <v>102</v>
      </c>
    </row>
    <row r="21" customFormat="false" ht="15" hidden="false" customHeight="true" outlineLevel="0" collapsed="false">
      <c r="A21" s="77" t="n">
        <v>13</v>
      </c>
      <c r="B21" s="78" t="s">
        <v>169</v>
      </c>
      <c r="C21" s="77"/>
      <c r="D21" s="77" t="n">
        <v>1</v>
      </c>
      <c r="E21" s="79" t="n">
        <v>86.03</v>
      </c>
      <c r="F21" s="80" t="n">
        <f aca="false">E21/E$23</f>
        <v>0.000222082284597092</v>
      </c>
      <c r="G21" s="81" t="n">
        <f aca="false">E21/D21</f>
        <v>86.03</v>
      </c>
    </row>
    <row r="22" customFormat="false" ht="15" hidden="false" customHeight="true" outlineLevel="0" collapsed="false">
      <c r="A22" s="72" t="n">
        <v>14</v>
      </c>
      <c r="B22" s="73" t="s">
        <v>170</v>
      </c>
      <c r="C22" s="72"/>
      <c r="D22" s="72" t="n">
        <v>2</v>
      </c>
      <c r="E22" s="74" t="n">
        <v>63.21</v>
      </c>
      <c r="F22" s="75" t="n">
        <f aca="false">E22/E$23</f>
        <v>0.000163173558170199</v>
      </c>
      <c r="G22" s="76" t="n">
        <f aca="false">E22/D22</f>
        <v>31.605</v>
      </c>
    </row>
    <row r="23" customFormat="false" ht="15" hidden="false" customHeight="true" outlineLevel="0" collapsed="false">
      <c r="A23" s="82"/>
      <c r="B23" s="83" t="s">
        <v>38</v>
      </c>
      <c r="C23" s="82"/>
      <c r="D23" s="84" t="n">
        <f aca="false">SUM(D9:D22)</f>
        <v>123</v>
      </c>
      <c r="E23" s="85" t="n">
        <f aca="false">SUM(E9:E22)</f>
        <v>387378.94</v>
      </c>
      <c r="F23" s="86" t="n">
        <f aca="false">SUM(F9:F22)</f>
        <v>1</v>
      </c>
      <c r="G23" s="85" t="n">
        <f aca="false">E23/D23</f>
        <v>3149.42227642276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2026-04-10T14:34:29Z</dcterms:created>
  <dc:creator>openpyxl</dc:creator>
  <dc:description/>
  <dc:language>en-US</dc:language>
  <cp:lastModifiedBy/>
  <dcterms:modified xsi:type="dcterms:W3CDTF">2026-04-13T20:51:08Z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