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<sst xmlns="http://schemas.openxmlformats.org/spreadsheetml/2006/main" count="1585" uniqueCount="923">
  <si>
    <t xml:space="preserve">Job #2026 · Synergy 525 Boren — Fox and Finch Apartments</t>
  </si>
  <si>
    <t xml:space="preserve">Cortex JCR Cortex v2  •  Synergy Construction, Inc. (customer code 2026SC)  •  525 Boren Ave, Seattle (per invoice descriptions)  •  106-pg JDR is sole financial source</t>
  </si>
  <si>
    <t xml:space="preserve">PROJECT OVERVIEW</t>
  </si>
  <si>
    <t xml:space="preserve">Project Job #</t>
  </si>
  <si>
    <t xml:space="preserve">2026</t>
  </si>
  <si>
    <t xml:space="preserve">2026 Job Detail Report.pdf (Sage Timberline export, printed 04/03/2026 1:51PM, 106 pages) header</t>
  </si>
  <si>
    <t xml:space="preserve">Project Name (Sage)</t>
  </si>
  <si>
    <t xml:space="preserve">Synergy 525 Boren</t>
  </si>
  <si>
    <t xml:space="preserve">Project Description</t>
  </si>
  <si>
    <t xml:space="preserve">Fox and Finch Apartments — 525 Boren Midrise Apartment / Mixed Use, 525 Boren Avenue North, Seattle WA 98109</t>
  </si>
  <si>
    <t xml:space="preserve">Contract/525 Boren Contract.pdf header</t>
  </si>
  <si>
    <t xml:space="preserve">General Contractor</t>
  </si>
  <si>
    <t xml:space="preserve">Synergy Construction, Inc. (14040 NE 181st St, Woodinville WA 98072)</t>
  </si>
  <si>
    <t xml:space="preserve">Contract/525 Boren Contract.pdf</t>
  </si>
  <si>
    <t xml:space="preserve">Customer Code (Sage)</t>
  </si>
  <si>
    <t xml:space="preserve">2026SC</t>
  </si>
  <si>
    <t xml:space="preserve">2026 Job Detail Report.pdf (Sage Timberline export, printed 04/03/2026 1:51PM, 106 pages)</t>
  </si>
  <si>
    <t xml:space="preserve">Jobsite Location</t>
  </si>
  <si>
    <t xml:space="preserve">525 Boren Ave N, Seattle, WA 98109 · Parcel 1983200345</t>
  </si>
  <si>
    <t xml:space="preserve">Permits/Boren Gas permit.pdf</t>
  </si>
  <si>
    <t xml:space="preserve">Synergy Project Reference</t>
  </si>
  <si>
    <t xml:space="preserve">Synergy project #750 · Subcontract #007 · cost code 15400</t>
  </si>
  <si>
    <t xml:space="preserve">Unit Count</t>
  </si>
  <si>
    <t xml:space="preserve">60 residential units (inferred from 60 TOTO C744E bowls + 60 ST743E tanks)</t>
  </si>
  <si>
    <t xml:space="preserve">Vendor Quotes/BOREN - Vender Quote Spreadsheet.xlsx</t>
  </si>
  <si>
    <t xml:space="preserve">Fixture Inventory</t>
  </si>
  <si>
    <t xml:space="preserve">669 fixture-line units across 20 SKUs — 60 toilets (56 TOTO C744E + 4 C744EL ADA) · 60 china lavs (TOTO LT231) · 60 Grohe lav faucets · 51 kitchen faucets · 59 shower valve trims · 17 tub spouts · 59 Aquatic tub/shower units (32×1483EN + 17×2603SMTE + 10×1423C) · 3 Moen ADA hand-shower kits · 1 Mustee dog wash + 1 Kohler grid drain. Submittals on file: 12 fixture PDFs + 8 tub/shower PDFs.</t>
  </si>
  <si>
    <t xml:space="preserve">Vendor Quotes/BOREN - Vender Quote Spreadsheet.xlsx · Submittals/FIXTURE SUBMITTALS/ · Submittals/TUB &amp; SHOWER SUBMITTALS/</t>
  </si>
  <si>
    <t xml:space="preserve">Building Profile</t>
  </si>
  <si>
    <t xml:space="preserve">7-story midrise apartment (L1-L7 + rooftop mech room + basement) per SOV — mixed-use with L1 retail + dog wash + leasing office</t>
  </si>
  <si>
    <t xml:space="preserve">Billing/525 Boren SOV template with contract value.xlsx</t>
  </si>
  <si>
    <t xml:space="preserve">Contract / PO Document</t>
  </si>
  <si>
    <t xml:space="preserve">Subcontract #007 — Lump Sum $825,370.00 (AGC of Washington 2006 Ed.) + 8% retainage clause</t>
  </si>
  <si>
    <t xml:space="preserve">Contract Type</t>
  </si>
  <si>
    <t xml:space="preserve">Lump Sum subcontract per AGC Washington 2006 GC template</t>
  </si>
  <si>
    <t xml:space="preserve">Plans / Specifications</t>
  </si>
  <si>
    <t xml:space="preserve">Full plumbing construction set (525-Plumbing Construction Set PR.pdf) + 11 MEP DWGs (basement, L1-L7, Roof) in Brett 525 Boren/; MEP Superplots 2016-02/02/03</t>
  </si>
  <si>
    <t xml:space="preserve">Folder scan — Brett 525 Boren/</t>
  </si>
  <si>
    <t xml:space="preserve">Change Orders (on file)</t>
  </si>
  <si>
    <t xml:space="preserve">2 CORs (COR#01 Temp Gas $357 executed as CO, COR#02 Unclog Toilet $293 warranty-era); 1 Budget Transfer (CO#02); SOV shows +$4,940 adjustment between draws #1-#2</t>
  </si>
  <si>
    <t xml:space="preserve">Change Orders/COR_s · Change Orders/CO_s · Billing/*.xlsx</t>
  </si>
  <si>
    <t xml:space="preserve">ASI / RFI</t>
  </si>
  <si>
    <t xml:space="preserve">2 change-events: ASI-12 MEP Peer Review Response + PR-02 Media Room Redesign</t>
  </si>
  <si>
    <t xml:space="preserve">ASI-RFI/</t>
  </si>
  <si>
    <t xml:space="preserve">Submittals</t>
  </si>
  <si>
    <t xml:space="preserve">44 submittals across 7 categories (Equipment-7, Fixtures-12, Material-5, Responses-1, Sleeving Plans-1, Tub/Shower-8, Underground/Garage-10)</t>
  </si>
  <si>
    <t xml:space="preserve">Submittals/ subfolder scan</t>
  </si>
  <si>
    <t xml:space="preserve">Permits</t>
  </si>
  <si>
    <t xml:space="preserve">5 permits (Plumbing, Gas, Gas Temp Heat, Backflow, Renewed Plumbing+Gas+Backflow). Gas permit SR1397520 to 525 Boren LLC.</t>
  </si>
  <si>
    <t xml:space="preserve">Permits/</t>
  </si>
  <si>
    <t xml:space="preserve">Insurance / Closeout</t>
  </si>
  <si>
    <t xml:space="preserve">Certificate of Insurance 2016-17 on file; O&amp;M manual + Warranty package; 5 vendor lien waivers (Consolidated/Ferguson/Keller/Rosen + template); Full &amp; Final Lien Claim Waiver</t>
  </si>
  <si>
    <t xml:space="preserve">Insurance/ · O&amp;M_s/ · Vendor Lien Waivers/ · Billing/</t>
  </si>
  <si>
    <t xml:space="preserve">Billing</t>
  </si>
  <si>
    <t xml:space="preserve">15 pay applications (App #1 2016-03-20 → App #15 2017-07-20), Contract Total $830,667.00 @ App #15. 16.5-mo billing window.</t>
  </si>
  <si>
    <t xml:space="preserve">Billing/525 Boren SOV draw #*.xlsx</t>
  </si>
  <si>
    <t xml:space="preserve">Invoices (subfolder)</t>
  </si>
  <si>
    <t xml:space="preserve">36 AP invoice PDFs filed by cost code (212-Canout:5, 230-Trim:9, 241-Water Main:13, 243-Cond-Drain:2, 601-Eng:3, 607-Other:4)</t>
  </si>
  <si>
    <t xml:space="preserve">Invoices/</t>
  </si>
  <si>
    <t xml:space="preserve">Vendor Quotes (bid file)</t>
  </si>
  <si>
    <t xml:space="preserve">Bidding spreadsheet w/ 5 suppliers (CONS/KELLER/FEI/ROSEN + alternate); 7 quote docs on file</t>
  </si>
  <si>
    <t xml:space="preserve">Vendor Quotes/</t>
  </si>
  <si>
    <t xml:space="preserve">Work Period</t>
  </si>
  <si>
    <t xml:space="preserve">03/09/2016 – 07/24/2017 (~16.5 months, per payroll/AR dates)</t>
  </si>
  <si>
    <t xml:space="preserve">Warranty Incident</t>
  </si>
  <si>
    <t xml:space="preserve">Retail Sewer Problem — 30 photos+videos dated 12/06/2018 (~17 months post-closeout). COR#02 Unclog Toilet $293 issued 10/27/2017.</t>
  </si>
  <si>
    <t xml:space="preserve">Retail Sewer Problem/ · Change Orders/COR_s/</t>
  </si>
  <si>
    <t xml:space="preserve">Total Unique Documents Reviewed</t>
  </si>
  <si>
    <t xml:space="preserve">130+</t>
  </si>
  <si>
    <t xml:space="preserve">Full folder scan of owp-2026/2026-Synergy, 525 Boren -Fox and Finch Apts 4/ including Contract, COs/CORs, Billing, Submittals, Invoices, Permits, ASI-RFI, Plans, Vendor Lien Waivers, Vendor Quotes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</si>
  <si>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</si>
  <si>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</si>
  <si>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</si>
  <si>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</si>
  <si>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$825,370.00 + $4,940.00 SOV adj + $357.00 CO#1</t>
  </si>
  <si>
    <t xml:space="preserve">34.0% margin</t>
  </si>
  <si>
    <t xml:space="preserve">66.0% of revenue</t>
  </si>
  <si>
    <t xml:space="preserve">25 workers</t>
  </si>
  <si>
    <t xml:space="preserve">SCOPE OF WORK (inferred from cost codes)</t>
  </si>
  <si>
    <t xml:space="preserve">Complete plumbing rough-in + finish for Fox and Finch Apartments at 525 Boren Ave N, Seattle (60 residential units · 7 floors + basement + rooftop mech room · mixed-use L1 retail/leasing/dog-wash).</t>
  </si>
  <si>
    <t xml:space="preserve">SOV-billed phases: pre-con/design ($62k), permits, basement UG + duplex sewage pump, basement water room (PRVs/backflow), domestic/irrigation/retail water mains, gas piping, ProSet canout per level, roughin per level (L1-L7), fiberglass tub stock+install per level, rooftop mech room (water heaters + expansion/circ/mixing), trim package.</t>
  </si>
  <si>
    <t xml:space="preserve">Cost codes: 100-150 labor (Supervision, Takeoff, UG, Garage, Canout, Rough-in, Finish, Gas, Water Main/Insul, Mech Room); 210-244 material (incl 243 Condensation Drains); 600 Sub / 601 Eng / 603 Permits / 607 Other.</t>
  </si>
  <si>
    <t xml:space="preserve">Contract signed per AGC Washington 2006 Ed. — Lump Sum $825,370 (Subcontract #007, Synergy project #750, cost code 15400), with 8% retainage withholding per AGC template.</t>
  </si>
  <si>
    <t xml:space="preserve">Full plumbing construction set on file (525-Plumbing Construction Set PR.pdf + 11 MEP DWGs, L1-L7 + Roof + UG/Below Roof + Vault Shift), plus MEP Superplots series 2016-02-09 / 02-22 / 03-07.</t>
  </si>
  <si>
    <t xml:space="preserve">SOURCES</t>
  </si>
  <si>
    <t xml:space="preserve">Canonical source: 2026 Job Detail Report.pdf (Sage Timberline export, printed 04/03/2026 1:51PM, 106 pages)</t>
  </si>
  <si>
    <t xml:space="preserve">Job totals (JDR footer): Revenue $830,667.00 / Expenses $547,967.06 / Net $282,699.94 / Retainage $41,533.35</t>
  </si>
  <si>
    <t xml:space="preserve">Source breakdown (JDR footer): GL $30,577.13 · AP $197,171.05 · PR $320,218.88 · AR $830,667.00</t>
  </si>
  <si>
    <t xml:space="preserve">Secondary folder items: Plans/525 Boren MEP/ELEC (electrical only); Franklin 525 Boren/In to FE/1 Revit Model Sharing/ (backup)</t>
  </si>
  <si>
    <t xml:space="preserve">NO contract/PO, submittal, RFI, CO, ASI, billing, insurance, or closeout document folders exist in project.</t>
  </si>
  <si>
    <t xml:space="preserve">Budget vs Actual</t>
  </si>
  <si>
    <t xml:space="preserve">All 28 cost codes from JDR. Contract adjusted $825,370 → $830,667 (implied COs +$5,297.00).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</si>
  <si>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</si>
  <si>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</si>
  <si>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</si>
  <si>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</si>
  <si>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</si>
  <si>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</si>
  <si>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</si>
  <si>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</si>
  <si>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</si>
  <si>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</si>
  <si>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</si>
  <si>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</si>
  <si>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</si>
  <si>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</si>
  <si>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</si>
  <si>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</si>
  <si>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</si>
  <si>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</si>
  <si>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</si>
  <si>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</si>
  <si>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</si>
  <si>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</si>
  <si>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</si>
  <si>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</si>
  <si>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</si>
  <si>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</si>
  <si>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</si>
  <si>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</si>
  <si>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</si>
  <si>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</si>
  <si>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</si>
  <si>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</si>
  <si>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</si>
  <si>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</si>
  <si>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</si>
  <si>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</si>
  <si>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</si>
  <si>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</si>
  <si>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</si>
  <si>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</si>
  <si>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</si>
  <si>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</si>
  <si>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</si>
  <si>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</si>
  <si>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</si>
  <si>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</si>
  <si>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</si>
  <si>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</si>
  <si>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</si>
  <si>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244</t>
  </si>
  <si>
    <t xml:space="preserve">Fire Caulking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</si>
  <si>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</si>
  <si>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</si>
  <si>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</si>
  <si>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</si>
  <si>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</si>
  <si>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</si>
  <si>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</si>
  <si>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</si>
  <si>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</si>
  <si>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</si>
  <si>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</si>
  <si>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</si>
  <si>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</si>
  <si>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</si>
  <si>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</si>
  <si>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</si>
  <si>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</si>
  <si>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</si>
  <si>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</si>
  <si>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</si>
  <si>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</si>
  <si>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</si>
  <si>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</si>
  <si>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100,101,110,111,112,120,130,140,141,142,150</t>
  </si>
  <si>
    <t xml:space="preserve">Material</t>
  </si>
  <si>
    <t xml:space="preserve">210,211,212,220,230,240,241,242,243,244</t>
  </si>
  <si>
    <t xml:space="preserve">Subcontractor + Engineering + Permits + Other</t>
  </si>
  <si>
    <t xml:space="preserve">600,601,603,607</t>
  </si>
  <si>
    <t xml:space="preserve">TOTAL DIRECT COST</t>
  </si>
  <si>
    <t xml:space="preserve">Material Purchases — AP Vendors</t>
  </si>
  <si>
    <t xml:space="preserve">Material + subcontractor spend by vendor (AP records from JDR)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</si>
  <si>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</si>
  <si>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</si>
  <si>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</si>
  <si>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</si>
  <si>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</si>
  <si>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2026RS</t>
  </si>
  <si>
    <t xml:space="preserve">Rosen Supply Company, Inc. $Boren</t>
  </si>
  <si>
    <t xml:space="preserve">Plumbing / Supplies</t>
  </si>
  <si>
    <t xml:space="preserve">2026CS</t>
  </si>
  <si>
    <t xml:space="preserve">Consolidated Supply Co $Boren</t>
  </si>
  <si>
    <t xml:space="preserve">2026FE</t>
  </si>
  <si>
    <t xml:space="preserve">Ferguson Enterprises, Inc. $525 Boren</t>
  </si>
  <si>
    <t xml:space="preserve">2026KS</t>
  </si>
  <si>
    <t xml:space="preserve">Keller Supply Company $Boren</t>
  </si>
  <si>
    <t xml:space="preserve">1625FE</t>
  </si>
  <si>
    <t xml:space="preserve">Franklin Engineering</t>
  </si>
  <si>
    <t xml:space="preserve">Engineering (601)</t>
  </si>
  <si>
    <t xml:space="preserve">1234BA</t>
  </si>
  <si>
    <t xml:space="preserve">Bank of America CC</t>
  </si>
  <si>
    <t xml:space="preserve">Credit Card (mixed)</t>
  </si>
  <si>
    <t xml:space="preserve">1401LU</t>
  </si>
  <si>
    <t xml:space="preserve">Lotus United, LLC</t>
  </si>
  <si>
    <t xml:space="preserve">Other (inferred 607)</t>
  </si>
  <si>
    <t xml:space="preserve">1234CO</t>
  </si>
  <si>
    <t xml:space="preserve">Capital One Credit Card</t>
  </si>
  <si>
    <t xml:space="preserve">3612MS</t>
  </si>
  <si>
    <t xml:space="preserve">Mechanical Sales, Inc.</t>
  </si>
  <si>
    <t xml:space="preserve">1611AS</t>
  </si>
  <si>
    <t xml:space="preserve">Beacon Building Products $Atlas</t>
  </si>
  <si>
    <t xml:space="preserve">2132MH</t>
  </si>
  <si>
    <t xml:space="preserve">Manor Hardware &amp; Construction Supply</t>
  </si>
  <si>
    <t xml:space="preserve">1175FE</t>
  </si>
  <si>
    <t xml:space="preserve">Ferguson Enterprises, Inc. #3007</t>
  </si>
  <si>
    <t xml:space="preserve">1421RA</t>
  </si>
  <si>
    <t xml:space="preserve">R.A. Brown Backflow Testing</t>
  </si>
  <si>
    <t xml:space="preserve">Testing subcontractor</t>
  </si>
  <si>
    <t xml:space="preserve">1130CS</t>
  </si>
  <si>
    <t xml:space="preserve">Consolidated Supply Co.</t>
  </si>
  <si>
    <t xml:space="preserve">NOTE: AP total per JDR footer = $197,171.05. Sum of vendor totals here should approximate this (credit card rows aggregate misc. small expenses).</t>
  </si>
  <si>
    <t xml:space="preserve">Crew &amp; Labor — Worker Roster</t>
  </si>
  <si>
    <t xml:space="preserve">All 25 unique payroll workers from JDR. Individual-line detail omitted (thousands of entries); roll-up by worker.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</si>
  <si>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</si>
  <si>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</si>
  <si>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</si>
  <si>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</si>
  <si>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</si>
  <si>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</si>
  <si>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CA74</t>
  </si>
  <si>
    <t xml:space="preserve">Castaneda Martinez, Gustavo</t>
  </si>
  <si>
    <t xml:space="preserve">CA73</t>
  </si>
  <si>
    <t xml:space="preserve">Castaneda Juarez, Gustavo</t>
  </si>
  <si>
    <t xml:space="preserve">CA72</t>
  </si>
  <si>
    <t xml:space="preserve">Castaneda Juarez, Edgar D</t>
  </si>
  <si>
    <t xml:space="preserve">CA71</t>
  </si>
  <si>
    <t xml:space="preserve">Castaneda Juarez, Cesar O</t>
  </si>
  <si>
    <t xml:space="preserve">AM03</t>
  </si>
  <si>
    <t xml:space="preserve">Amaya Gonzalez, Edilberto A</t>
  </si>
  <si>
    <t xml:space="preserve">RO12</t>
  </si>
  <si>
    <t xml:space="preserve">Rodriguez Rodriguez, Aminadab N</t>
  </si>
  <si>
    <t xml:space="preserve">AS10</t>
  </si>
  <si>
    <t xml:space="preserve">Ascencio, Jose L</t>
  </si>
  <si>
    <t xml:space="preserve">RE18</t>
  </si>
  <si>
    <t xml:space="preserve">Reed, Reuben H</t>
  </si>
  <si>
    <t xml:space="preserve">EL33</t>
  </si>
  <si>
    <t xml:space="preserve">Eliassen, Cory H</t>
  </si>
  <si>
    <t xml:space="preserve">HU06</t>
  </si>
  <si>
    <t xml:space="preserve">Hubbard, Robert W</t>
  </si>
  <si>
    <t xml:space="preserve">MA71</t>
  </si>
  <si>
    <t xml:space="preserve">Martinez Reyes, Juan C</t>
  </si>
  <si>
    <t xml:space="preserve">SA51</t>
  </si>
  <si>
    <t xml:space="preserve">Sanchez, Derli</t>
  </si>
  <si>
    <t xml:space="preserve">SA54</t>
  </si>
  <si>
    <t xml:space="preserve">Sanders, Allen O</t>
  </si>
  <si>
    <t xml:space="preserve">AY19</t>
  </si>
  <si>
    <t xml:space="preserve">Ayers, Jordan L</t>
  </si>
  <si>
    <t xml:space="preserve">GO51</t>
  </si>
  <si>
    <t xml:space="preserve">Gomez Reyes, Edith N</t>
  </si>
  <si>
    <t xml:space="preserve">GE69</t>
  </si>
  <si>
    <t xml:space="preserve">Gerard, Jeffrey S</t>
  </si>
  <si>
    <t xml:space="preserve">LO87</t>
  </si>
  <si>
    <t xml:space="preserve">Lovo, German G</t>
  </si>
  <si>
    <t xml:space="preserve">GA70</t>
  </si>
  <si>
    <t xml:space="preserve">Garcia, Jordan X</t>
  </si>
  <si>
    <t xml:space="preserve">DO56</t>
  </si>
  <si>
    <t xml:space="preserve">Donelson, Richard T</t>
  </si>
  <si>
    <t xml:space="preserve">PA47</t>
  </si>
  <si>
    <t xml:space="preserve">Palma Vides, Jorge A</t>
  </si>
  <si>
    <t xml:space="preserve">HU04</t>
  </si>
  <si>
    <t xml:space="preserve">Hubbard, Dustin R</t>
  </si>
  <si>
    <t xml:space="preserve">MC09</t>
  </si>
  <si>
    <t xml:space="preserve">McCabe, Thomas C</t>
  </si>
  <si>
    <t xml:space="preserve">JO31</t>
  </si>
  <si>
    <t xml:space="preserve">Johnson, Samuel A</t>
  </si>
  <si>
    <t xml:space="preserve">WA35</t>
  </si>
  <si>
    <t xml:space="preserve">Waites, Thaddeus Z</t>
  </si>
  <si>
    <t xml:space="preserve">HE70</t>
  </si>
  <si>
    <t xml:space="preserve">Hernandez Gonzalez, Osbaldo</t>
  </si>
  <si>
    <t xml:space="preserve">Crew Analytics</t>
  </si>
  <si>
    <t xml:space="preserve">Team-level labor productivity, concentration, and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</si>
  <si>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</si>
  <si>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</si>
  <si>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</si>
  <si>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</si>
  <si>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</si>
  <si>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</si>
  <si>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</si>
  <si>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codes 100-150</t>
  </si>
  <si>
    <t xml:space="preserve">Total Gross Pay</t>
  </si>
  <si>
    <t xml:space="preserve">Blended Gross Wage ($/hr)</t>
  </si>
  <si>
    <t xml:space="preserve">Labor$ / Hrs (pre-burden)</t>
  </si>
  <si>
    <t xml:space="preserve">Derived</t>
  </si>
  <si>
    <t xml:space="preserve">Top Worker Hours Share</t>
  </si>
  <si>
    <t xml:space="preserve">CA74 Castaneda Martinez, Gustavo (1798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</si>
  <si>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</si>
  <si>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</si>
  <si>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</si>
  <si>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</si>
  <si>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</si>
  <si>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</si>
  <si>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many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</si>
  <si>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</si>
  <si>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</si>
  <si>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</si>
  <si>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labor and financial ratios</t>
  </si>
  <si>
    <t xml:space="preserve">Basis</t>
  </si>
  <si>
    <t xml:space="preserve">Source / Note</t>
  </si>
  <si>
    <t xml:space="preserve">Revenue per Labor Hour</t>
  </si>
  <si>
    <t xml:space="preserve">Formula</t>
  </si>
  <si>
    <t xml:space="preserve">Rev / Total Hrs</t>
  </si>
  <si>
    <t xml:space="preserve">Profit per Labor Hour</t>
  </si>
  <si>
    <t xml:space="preserve">Net Profit / Hrs</t>
  </si>
  <si>
    <t xml:space="preserve">Labor Cost per Hour (blended)</t>
  </si>
  <si>
    <t xml:space="preserve">Pre-burden</t>
  </si>
  <si>
    <t xml:space="preserve">Fully-Loaded Labor Rate ($/hr)</t>
  </si>
  <si>
    <t xml:space="preserve">Incl burden + taxes</t>
  </si>
  <si>
    <t xml:space="preserve">Burden Multiplier</t>
  </si>
  <si>
    <t xml:space="preserve">Fully-loaded / blended</t>
  </si>
  <si>
    <t xml:space="preserve">Rough-in Hours (code 120)</t>
  </si>
  <si>
    <t xml:space="preserve">JDR</t>
  </si>
  <si>
    <t xml:space="preserve">Code 120 Roughin Labor: 4901 hrs</t>
  </si>
  <si>
    <t xml:space="preserve">Garage Hours (code 111)</t>
  </si>
  <si>
    <t xml:space="preserve">Code 111 Garage Labor: 870 hrs</t>
  </si>
  <si>
    <t xml:space="preserve">Rough-in % of Total Hours</t>
  </si>
  <si>
    <t xml:space="preserve">Code 120 share</t>
  </si>
  <si>
    <t xml:space="preserve">Gross Margin</t>
  </si>
  <si>
    <t xml:space="preserve">Net / Revenue</t>
  </si>
  <si>
    <t xml:space="preserve">Labor % of Revenue</t>
  </si>
  <si>
    <t xml:space="preserve">Material % of Revenue</t>
  </si>
  <si>
    <t xml:space="preserve">Direct Cost Ratio</t>
  </si>
  <si>
    <t xml:space="preserve">All expenses / Rev</t>
  </si>
  <si>
    <t xml:space="preserve">PO Commitments</t>
  </si>
  <si>
    <t xml:space="preserve">Inbound contract value (GC → OWP). Outbound AP vendor commitments on Material tab.</t>
  </si>
  <si>
    <t xml:space="preserve">PO #</t>
  </si>
  <si>
    <t xml:space="preserve">Date</t>
  </si>
  <si>
    <t xml:space="preserve">Issuer</t>
  </si>
  <si>
    <t xml:space="preserve">Type</t>
  </si>
  <si>
    <t xml:space="preserve">Status</t>
  </si>
  <si>
    <t xml:space="preserve">Amount</t>
  </si>
  <si>
    <t xml:space="preserve">NOT FOUND</t>
  </si>
  <si>
    <t xml:space="preserve">2016-03 (implied, first PR 03/09/16)</t>
  </si>
  <si>
    <t xml:space="preserve">Synergy Construction, Inc.</t>
  </si>
  <si>
    <t xml:space="preserve">Closed (100% billed)</t>
  </si>
  <si>
    <t xml:space="preserve">Fox and Finch Apts plumbing (underground, rough-in, finish, gas, water main, mech room)</t>
  </si>
  <si>
    <t xml:space="preserve">2026 Job Detail Report.pdf (Sage Timberline export, printed 04/03/2026 1:51PM, 106 pages) (cost-code budget + AR invoices). No PO document in folder.</t>
  </si>
  <si>
    <t xml:space="preserve">NOTE: Contract $825,370.00 (code 999 Org) + $4,940 SOV adj (App#1→#2) + $357 CO#1 Temp Gas (App#15) = $830,667.00 final. Ties exactly to JDR revenue and to SOV draw #15 Contract Total.</t>
  </si>
  <si>
    <t xml:space="preserve">Billing &amp; Schedule of Values</t>
  </si>
  <si>
    <t xml:space="preserve">21 unique JDR invoices + 15 Pay-App SOV XLSX drafts on file (Mar-2016 → Jul-2017). Retainage $41,533.35 = 5.0% of revenue.</t>
  </si>
  <si>
    <t xml:space="preserve">PAY APPLICATION SOV PROGRESSION (Billing/525 Boren SOV draw #*.xlsx)</t>
  </si>
  <si>
    <t xml:space="preserve">App #</t>
  </si>
  <si>
    <t xml:space="preserve">Contract Total</t>
  </si>
  <si>
    <t xml:space="preserve">This Period</t>
  </si>
  <si>
    <t xml:space="preserve">Stored</t>
  </si>
  <si>
    <t xml:space="preserve">Cumulative</t>
  </si>
  <si>
    <t xml:space="preserve">% Complete</t>
  </si>
  <si>
    <t xml:space="preserve">2016-03-20</t>
  </si>
  <si>
    <t xml:space="preserve">525 Boren SOV draw #1.xlsx</t>
  </si>
  <si>
    <t xml:space="preserve">2016-05-20</t>
  </si>
  <si>
    <t xml:space="preserve">525 Boren SOV draw #2 5-20-16.xlsx</t>
  </si>
  <si>
    <t xml:space="preserve">2016-07-20</t>
  </si>
  <si>
    <t xml:space="preserve">525 Boren SOV draw #3 7-20-16.xlsx</t>
  </si>
  <si>
    <t xml:space="preserve">2016-08-19</t>
  </si>
  <si>
    <t xml:space="preserve">525 Boren SOV draw #4 8-19-16.xlsx</t>
  </si>
  <si>
    <t xml:space="preserve">2016-09-19</t>
  </si>
  <si>
    <t xml:space="preserve">525 Boren SOV draw #5 9-19-16.xlsx</t>
  </si>
  <si>
    <t xml:space="preserve">2016-10-20</t>
  </si>
  <si>
    <t xml:space="preserve">525 Boren SOV draw #6  10-20-16.xlsx</t>
  </si>
  <si>
    <t xml:space="preserve">2016-11-15</t>
  </si>
  <si>
    <t xml:space="preserve">525 Boren SOV draw #7  11-15-16.xlsx</t>
  </si>
  <si>
    <t xml:space="preserve">2016-12-15</t>
  </si>
  <si>
    <t xml:space="preserve">525 Boren SOV draw #8  12-15-16.xlsx</t>
  </si>
  <si>
    <t xml:space="preserve">2017-01-20</t>
  </si>
  <si>
    <t xml:space="preserve">525 Boren SOV draw #9  1-20-17.xlsx</t>
  </si>
  <si>
    <t xml:space="preserve">2017-02-20</t>
  </si>
  <si>
    <t xml:space="preserve">525 Boren SOV draw #10  2-20-17.xlsx</t>
  </si>
  <si>
    <t xml:space="preserve">2017-03-20</t>
  </si>
  <si>
    <t xml:space="preserve">525 Boren SOV draw #11  3-20-17.xlsx</t>
  </si>
  <si>
    <t xml:space="preserve">2017-04-20</t>
  </si>
  <si>
    <t xml:space="preserve">525 Boren SOV draw #12  4-20-17.xlsx</t>
  </si>
  <si>
    <t xml:space="preserve">2017-05-19</t>
  </si>
  <si>
    <t xml:space="preserve">525 Boren SOV draw #13  5-19-17.xlsx</t>
  </si>
  <si>
    <t xml:space="preserve">2017-06-20</t>
  </si>
  <si>
    <t xml:space="preserve">525 Boren SOV draw #14  6-20-17.xlsx</t>
  </si>
  <si>
    <t xml:space="preserve">2017-07-20</t>
  </si>
  <si>
    <t xml:space="preserve">525 Boren SOV draw #15  7-20-17.xlsx (CO#1 Temp Gas +$357)</t>
  </si>
  <si>
    <t xml:space="preserve">TOTAL BILLED (PAY APPS)</t>
  </si>
  <si>
    <t xml:space="preserve">PAY APPS RECONCILIATION: Sum of 'This Period' = $830,667 (ties exactly to Contract Total @ App#15 and JDR revenue). Billing cadence 16.5 mo: slow start Mar-May 2016 (~$100K/2 mo underground+design) → roughin ramp Aug-Nov 2016 (52% of value in 4 months) → trim/punchlist Dec 2016-Jun 2017.</t>
  </si>
  <si>
    <t xml:space="preserve">JDR AR INVOICES (Sage AR ledger)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</si>
  <si>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</si>
  <si>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</si>
  <si>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</si>
  <si>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</si>
  <si>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036700</t>
  </si>
  <si>
    <t xml:space="preserve">03/21/16</t>
  </si>
  <si>
    <t xml:space="preserve">036701</t>
  </si>
  <si>
    <t xml:space="preserve">036702</t>
  </si>
  <si>
    <t xml:space="preserve">036725</t>
  </si>
  <si>
    <t xml:space="preserve">05/20/16</t>
  </si>
  <si>
    <t xml:space="preserve">036757</t>
  </si>
  <si>
    <t xml:space="preserve">07/20/16</t>
  </si>
  <si>
    <t xml:space="preserve">036770</t>
  </si>
  <si>
    <t xml:space="preserve">08/19/16</t>
  </si>
  <si>
    <t xml:space="preserve">036783</t>
  </si>
  <si>
    <t xml:space="preserve">09/19/16</t>
  </si>
  <si>
    <t xml:space="preserve">036794</t>
  </si>
  <si>
    <t xml:space="preserve">10/20/16</t>
  </si>
  <si>
    <t xml:space="preserve">036800</t>
  </si>
  <si>
    <t xml:space="preserve">11/15/16</t>
  </si>
  <si>
    <t xml:space="preserve">036807</t>
  </si>
  <si>
    <t xml:space="preserve">12/15/16</t>
  </si>
  <si>
    <t xml:space="preserve">036822</t>
  </si>
  <si>
    <t xml:space="preserve">01/20/17</t>
  </si>
  <si>
    <t xml:space="preserve">036836</t>
  </si>
  <si>
    <t xml:space="preserve">02/20/17</t>
  </si>
  <si>
    <t xml:space="preserve">036850</t>
  </si>
  <si>
    <t xml:space="preserve">03/17/17</t>
  </si>
  <si>
    <t xml:space="preserve">036861</t>
  </si>
  <si>
    <t xml:space="preserve">04/20/17</t>
  </si>
  <si>
    <t xml:space="preserve">036863</t>
  </si>
  <si>
    <t xml:space="preserve">036864</t>
  </si>
  <si>
    <t xml:space="preserve">036881</t>
  </si>
  <si>
    <t xml:space="preserve">05/19/17</t>
  </si>
  <si>
    <t xml:space="preserve">036886</t>
  </si>
  <si>
    <t xml:space="preserve">036887</t>
  </si>
  <si>
    <t xml:space="preserve">036902</t>
  </si>
  <si>
    <t xml:space="preserve">06/19/17</t>
  </si>
  <si>
    <t xml:space="preserve">036923</t>
  </si>
  <si>
    <t xml:space="preserve">07/24/17</t>
  </si>
  <si>
    <t xml:space="preserve">TOTAL (net of reversals)</t>
  </si>
  <si>
    <t xml:space="preserve">NOTE: JDR AR includes reversal+reissue pairs (Sage practice). Net cumulative billed = $830,667.00 revenue + $41,533.35 retainage, matches Pay App #15 Contract Total. Retainage NOT released as of JDR 04/03/2026. Full &amp; Final Lien Claim Waiver on file (Billing folder).</t>
  </si>
  <si>
    <t xml:space="preserve">Insights &amp; Observations</t>
  </si>
  <si>
    <t xml:space="preserve">Narrative findings from JDR analysis</t>
  </si>
  <si>
    <t xml:space="preserve">#</t>
  </si>
  <si>
    <t xml:space="preserve">Insight</t>
  </si>
  <si>
    <t xml:space="preserve">Detail</t>
  </si>
  <si>
    <t xml:space="preserve">Confidence</t>
  </si>
  <si>
    <t xml:space="preserve">HEALTHY MARGIN</t>
  </si>
  <si>
    <t xml:space="preserve">Net profit $282,699.94 on $830,667.00 revenue = 34.0% gross margin. Within healthy range for multifamily plumbing.</t>
  </si>
  <si>
    <t xml:space="preserve">Verified</t>
  </si>
  <si>
    <t xml:space="preserve">LABOR-HEAVY EXECUTION</t>
  </si>
  <si>
    <t xml:space="preserve">Total labor cost $210,715.50 (25.4% of rev) across 8,541.5 hrs and 25 workers. Rough-in (code 120) alone = 4901 hrs = 57% of labor.</t>
  </si>
  <si>
    <t xml:space="preserve">BURDEN-HEAVY</t>
  </si>
  <si>
    <t xml:space="preserve">Payroll Burden $93,383.48 + Taxes $16,119.90 = $109,503.38 = 52.0% of gross labor. Burden multiplier = 1.52x.</t>
  </si>
  <si>
    <t xml:space="preserve">TOP-WORKER CONCENTRATION</t>
  </si>
  <si>
    <t xml:space="preserve">Castaneda Martinez, Gustavo (ID CA74) alone logged 1798 hours = 21.1% of project labor. Top 5 workers = 72.6%.</t>
  </si>
  <si>
    <t xml:space="preserve">VENDOR CONCENTRATION</t>
  </si>
  <si>
    <t xml:space="preserve">Top vendor Rosen Supply Company, Inc. $Boren ($49,659.22). Top 4 vendors (Rosen, Consolidated Supply, Ferguson, Keller) account for majority of material spend.</t>
  </si>
  <si>
    <t xml:space="preserve">CONTRACT GROWTH MODEST</t>
  </si>
  <si>
    <t xml:space="preserve">Original contract $825,370.00 → Final $830,667.00 = +$5,297.00 (0.64%). Break-down: +$4,940 SOV adj (App#1→#2 May-2016) + $357 CO#1 Temp Gas (App#15 Jul-2017). Tight CO discipline.</t>
  </si>
  <si>
    <t xml:space="preserve">2026 Job Detail Report.pdf (Sage Timberline export, printed 04/03/2026 1:51PM, 106 pages) + Billing SOVs</t>
  </si>
  <si>
    <t xml:space="preserve">CERTAIN COST CODES OVER BUDGET</t>
  </si>
  <si>
    <t xml:space="preserve">Garage Labor (111) ran 67% over budget ($22,565 vs $13,550). Canout Labor (112) ran 116% over. Mech Room Labor (142) ran 53% over. Offset by Rough-in Material (220), Gas Labor (140), Supervision (100) under budget.</t>
  </si>
  <si>
    <t xml:space="preserve">RETAINAGE OUTSTANDING</t>
  </si>
  <si>
    <t xml:space="preserve">Retainage $41,533.35 still shown outstanding on JDR dated 04/03/2026, despite last work posting 07/24/2017. Likely closeout release pending or reconciliation needed.</t>
  </si>
  <si>
    <t xml:space="preserve">DOCUMENT COMPLETENESS</t>
  </si>
  <si>
    <t xml:space="preserve">Project folder (Apts 4/) is substantially complete: Contract (AGC LS Subcontract #007), 2 CORs + 1 executed CO, 15 Pay App SOV XLSX, 44 submittals across 7 categories, 2 ASI/PR docs, 5 permits, 5 vendor lien waivers, full plumbing plan set + 11 DWGs + MEP Superplots, O&amp;M + Warranty package, Certificate of Insurance, Full &amp; Final Lien Claim Waiver. 130+ documents total.</t>
  </si>
  <si>
    <t xml:space="preserve">High</t>
  </si>
  <si>
    <t xml:space="preserve">Folder scan of owp-2026/2026-Synergy, 525 Boren -Fox and Finch Apts 4/</t>
  </si>
  <si>
    <t xml:space="preserve">WARRANTY EVENT</t>
  </si>
  <si>
    <t xml:space="preserve">Retail Sewer Problem documented with 30 photos+videos on 12/06/2018 (~17 months post-closeout). Paired with 'Sewer Problem pricing' COR XLSX (PM + Foreman + Apprentice + camera). No CO resulted — likely absorbed as backcharge or warranty obligation. COR#02 Unclog Toilet $293 (Oct-2017) may be related.</t>
  </si>
  <si>
    <t xml:space="preserve">Retail Sewer Problem/ (30 JPG/MP4 files) + Change Orders/COR_s/Sewer Problem pricing.xlsx</t>
  </si>
  <si>
    <t xml:space="preserve">CONTRACT STRUCTURE</t>
  </si>
  <si>
    <t xml:space="preserve">Subcontract #007 (Synergy project #750, cost code 15400) under AGC of Washington 2006 Ed. template. Lump Sum $825,370.00 with 8% retainage withholding clause. Standard Synergy flow-down provisions.</t>
  </si>
  <si>
    <t xml:space="preserve">AR REVERSAL PATTERN</t>
  </si>
  <si>
    <t xml:space="preserve">21 unique invoice numbers contain multiple reversal+reissue pairs (e.g. 036863/036864, 036886/036887). Standard Sage AR correction practice; net billings tie to revenue $830,667 exactly.</t>
  </si>
  <si>
    <t xml:space="preserve">LONG-DURATION JOB</t>
  </si>
  <si>
    <t xml:space="preserve">Work span 03/09/2016 – 07/24/2017 = ~16.5 months. Late AR entries (through July 2017) suggest punchlist / closeout billing pattern.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</si>
  <si>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</si>
  <si>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</si>
  <si>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</si>
  <si>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</si>
  <si>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</si>
  <si>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</si>
  <si>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</si>
  <si>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</si>
  <si>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</si>
  <si>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</si>
  <si>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</si>
  <si>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Sage short name</t>
  </si>
  <si>
    <t xml:space="preserve">project_desc</t>
  </si>
  <si>
    <t xml:space="preserve">Fox and Finch Apts @ 525 Boren</t>
  </si>
  <si>
    <t xml:space="preserve">From AR lines</t>
  </si>
  <si>
    <t xml:space="preserve">general_contractor</t>
  </si>
  <si>
    <t xml:space="preserve">Customer 2026SC</t>
  </si>
  <si>
    <t xml:space="preserve">Location</t>
  </si>
  <si>
    <t xml:space="preserve">location</t>
  </si>
  <si>
    <t xml:space="preserve">525 Boren Ave, Seattle, WA</t>
  </si>
  <si>
    <t xml:space="preserve">From AR description (no plans)</t>
  </si>
  <si>
    <t xml:space="preserve">Medium</t>
  </si>
  <si>
    <t xml:space="preserve">Project Type</t>
  </si>
  <si>
    <t xml:space="preserve">project_type</t>
  </si>
  <si>
    <t xml:space="preserve">Multifamily New Construction — Plumbing</t>
  </si>
  <si>
    <t xml:space="preserve">Inferred from cost codes</t>
  </si>
  <si>
    <t xml:space="preserve">Inferred</t>
  </si>
  <si>
    <t xml:space="preserve">Work Start Date</t>
  </si>
  <si>
    <t xml:space="preserve">start_date</t>
  </si>
  <si>
    <t xml:space="preserve">2016-03-09</t>
  </si>
  <si>
    <t xml:space="preserve">First payroll date</t>
  </si>
  <si>
    <t xml:space="preserve">Work End Date</t>
  </si>
  <si>
    <t xml:space="preserve">end_date</t>
  </si>
  <si>
    <t xml:space="preserve">2017-07-24</t>
  </si>
  <si>
    <t xml:space="preserve">Last AR posting</t>
  </si>
  <si>
    <t xml:space="preserve">Duration (months)</t>
  </si>
  <si>
    <t xml:space="preserve">duration_months</t>
  </si>
  <si>
    <t xml:space="preserve">Payroll + AR span</t>
  </si>
  <si>
    <t xml:space="preserve">unit_count</t>
  </si>
  <si>
    <t xml:space="preserve">No plans/permit available</t>
  </si>
  <si>
    <t xml:space="preserve">Low</t>
  </si>
  <si>
    <t xml:space="preserve">Folder scan</t>
  </si>
  <si>
    <t xml:space="preserve">Fixture Count</t>
  </si>
  <si>
    <t xml:space="preserve">fixture_count</t>
  </si>
  <si>
    <t xml:space="preserve">No fixture schedule available</t>
  </si>
  <si>
    <t xml:space="preserve">Contract Original</t>
  </si>
  <si>
    <t xml:space="preserve">contract_original</t>
  </si>
  <si>
    <t xml:space="preserve">Financial</t>
  </si>
  <si>
    <t xml:space="preserve">Code 999 Org Budget</t>
  </si>
  <si>
    <t xml:space="preserve">Contract Final</t>
  </si>
  <si>
    <t xml:space="preserve">contract_final</t>
  </si>
  <si>
    <t xml:space="preserve">Code 999 Rev Budget = AR total</t>
  </si>
  <si>
    <t xml:space="preserve">Change Orders ($)</t>
  </si>
  <si>
    <t xml:space="preserve">change_orders</t>
  </si>
  <si>
    <t xml:space="preserve">Implied from budget revision</t>
  </si>
  <si>
    <t xml:space="preserve">Change Order % of Contract</t>
  </si>
  <si>
    <t xml:space="preserve">co_pct</t>
  </si>
  <si>
    <t xml:space="preserve">Revenue</t>
  </si>
  <si>
    <t xml:space="preserve">revenue</t>
  </si>
  <si>
    <t xml:space="preserve">AR total (net of reversals)</t>
  </si>
  <si>
    <t xml:space="preserve">Direct Cost</t>
  </si>
  <si>
    <t xml:space="preserve">direct_cost</t>
  </si>
  <si>
    <t xml:space="preserve">JDR Job Totals Expenses</t>
  </si>
  <si>
    <t xml:space="preserve">Net Profit</t>
  </si>
  <si>
    <t xml:space="preserve">net_profit</t>
  </si>
  <si>
    <t xml:space="preserve">Rev - Expenses</t>
  </si>
  <si>
    <t xml:space="preserve">gross_margin</t>
  </si>
  <si>
    <t xml:space="preserve">Retainage Outstanding</t>
  </si>
  <si>
    <t xml:space="preserve">retainage</t>
  </si>
  <si>
    <t xml:space="preserve">Still open per JDR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</si>
  <si>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</si>
  <si>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</si>
  <si>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</si>
  <si>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</si>
  <si>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100-150</t>
  </si>
  <si>
    <t xml:space="preserve">Material Cost</t>
  </si>
  <si>
    <t xml:space="preserve">material_cost</t>
  </si>
  <si>
    <t xml:space="preserve">Codes 210-244</t>
  </si>
  <si>
    <t xml:space="preserve">Subcontractor+OH Cost</t>
  </si>
  <si>
    <t xml:space="preserve">overhead_cost</t>
  </si>
  <si>
    <t xml:space="preserve">Codes 600,601,603,607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</si>
  <si>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</si>
  <si>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</si>
  <si>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</si>
  <si>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</si>
  <si>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</si>
  <si>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</si>
  <si>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</si>
  <si>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cost codes</t>
  </si>
  <si>
    <t xml:space="preserve">total_workers</t>
  </si>
  <si>
    <t xml:space="preserve">blended_gross_wage</t>
  </si>
  <si>
    <t xml:space="preserve">Fully-Loaded Wage ($/hr)</t>
  </si>
  <si>
    <t xml:space="preserve">fully_loaded_wage</t>
  </si>
  <si>
    <t xml:space="preserve">Incl burden + tax</t>
  </si>
  <si>
    <t xml:space="preserve">burden_multiplier</t>
  </si>
  <si>
    <t xml:space="preserve">Fully-loaded/blended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</si>
  <si>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</si>
  <si>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</si>
  <si>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</si>
  <si>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</si>
  <si>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</si>
  <si>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</si>
  <si>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</si>
  <si>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</si>
  <si>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</si>
  <si>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</si>
  <si>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</si>
  <si>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labor_pct_revenue</t>
  </si>
  <si>
    <t xml:space="preserve">Cost Mix</t>
  </si>
  <si>
    <t xml:space="preserve">material_pct_revenue</t>
  </si>
  <si>
    <t xml:space="preserve">Total Vendors (AP)</t>
  </si>
  <si>
    <t xml:space="preserve">total_vendors</t>
  </si>
  <si>
    <t xml:space="preserve">Unique vendor IDs</t>
  </si>
  <si>
    <t xml:space="preserve">Total Invoices (AR)</t>
  </si>
  <si>
    <t xml:space="preserve">total_invoices</t>
  </si>
  <si>
    <t xml:space="preserve">Unique invoice numbers</t>
  </si>
  <si>
    <t xml:space="preserve">AP Spend (JDR footer)</t>
  </si>
  <si>
    <t xml:space="preserve">ap_total</t>
  </si>
  <si>
    <t xml:space="preserve">JDR footer</t>
  </si>
  <si>
    <t xml:space="preserve">PR Spend (JDR footer)</t>
  </si>
  <si>
    <t xml:space="preserve">pr_total</t>
  </si>
  <si>
    <t xml:space="preserve">JDR footer (labor + burden + tax)</t>
  </si>
  <si>
    <t xml:space="preserve">GL Spend (JDR footer)</t>
  </si>
  <si>
    <t xml:space="preserve">gl_total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</si>
  <si>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</si>
  <si>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</si>
  <si>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</si>
  <si>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</si>
  <si>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</si>
  <si>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Change events reconstructed from Contract, CO/COR folder, Billing SOVs, ASI-RFI, and JDR. 2 CORs + 1 SOV adjustment + 2 ASI/PR events.</t>
  </si>
  <si>
    <t xml:space="preserve">Event ID</t>
  </si>
  <si>
    <t xml:space="preserve">Subject</t>
  </si>
  <si>
    <t xml:space="preserve">Originator</t>
  </si>
  <si>
    <t xml:space="preserve">Linked</t>
  </si>
  <si>
    <t xml:space="preserve">Cost Impact ($)</t>
  </si>
  <si>
    <t xml:space="preserve">CONTRACT-ORIG</t>
  </si>
  <si>
    <t xml:space="preserve">Contract (AGC LS)</t>
  </si>
  <si>
    <t xml:space="preserve">~2016-03 (effective 03/09/2016 per first PR)</t>
  </si>
  <si>
    <t xml:space="preserve">Original prime subcontract #007 for Fox and Finch plumbing — $825,370.00 Lump Sum (AGC of Washington 2006 Ed., Synergy proj #750)</t>
  </si>
  <si>
    <t xml:space="preserve">GC (Synergy Construction, Inc.)</t>
  </si>
  <si>
    <t xml:space="preserve">Executed</t>
  </si>
  <si>
    <t xml:space="preserve">SOV-ADJ</t>
  </si>
  <si>
    <t xml:space="preserve">SOV adjustment</t>
  </si>
  <si>
    <t xml:space="preserve">Between 2016-03-20 (App#1) and 2016-05-20 (App#2)</t>
  </si>
  <si>
    <t xml:space="preserve">Contract total rolled from $825,370.00 → $830,310.00 (+$4,940.00) — no formal CO doc in folder, surfaces first in Billing draw #2 SOV</t>
  </si>
  <si>
    <t xml:space="preserve">Synergy / OWP</t>
  </si>
  <si>
    <t xml:space="preserve">Billed</t>
  </si>
  <si>
    <t xml:space="preserve">Billing/525 Boren SOV draw #2 5-20-16.xlsx</t>
  </si>
  <si>
    <t xml:space="preserve">ASI-12-MEP</t>
  </si>
  <si>
    <t xml:space="preserve">ASI</t>
  </si>
  <si>
    <t xml:space="preserve">2016 (pre-rough-in)</t>
  </si>
  <si>
    <t xml:space="preserve">ASI-12 MEP Peer Review Response — design-reviewer response to MEP drawings</t>
  </si>
  <si>
    <t xml:space="preserve">Designer / MEP</t>
  </si>
  <si>
    <t xml:space="preserve">Informational</t>
  </si>
  <si>
    <t xml:space="preserve">ASI-RFI/ASI 12 MEP Peer Review Response.pdf</t>
  </si>
  <si>
    <t xml:space="preserve">PR-02-MEDIA</t>
  </si>
  <si>
    <t xml:space="preserve">Proposal Request</t>
  </si>
  <si>
    <t xml:space="preserve">2016</t>
  </si>
  <si>
    <t xml:space="preserve">PR-02 Media Room Redesign — designer-issued proposal request (no CO resulted; absorbed into base)</t>
  </si>
  <si>
    <t xml:space="preserve">Designer (Synergy)</t>
  </si>
  <si>
    <t xml:space="preserve">Informational (no CO)</t>
  </si>
  <si>
    <t xml:space="preserve">ASI-RFI/PR 02 Media Room Redesign.pdf</t>
  </si>
  <si>
    <t xml:space="preserve">COR-01</t>
  </si>
  <si>
    <t xml:space="preserve">COR → CO</t>
  </si>
  <si>
    <t xml:space="preserve">2016-12-06 (COR) · 2017-04-24 (Permit SR1397520)</t>
  </si>
  <si>
    <t xml:space="preserve">COR #01 Temp Gas Permit — total $357 to pull temp gas permit + inspection (1 permit $140 + 2 hrs labor $170 + tax). Executed as CO#2 Temporary Gas Meter (signed). Tied to Budget Transfer CO #02 XLSX ($357 sale price at code 603 Permits).</t>
  </si>
  <si>
    <t xml:space="preserve">CO-2-TEMP-GAS</t>
  </si>
  <si>
    <t xml:space="preserve">Change Orders/COR_s/525 Boren - COR #01 Temp Gas Permit.pdf · Change Orders/COR_s/Temp Gas Permit.xlsx · Change Orders/BUDGET TRANSFERS/525 Boren - Budget Transfer - CO #02.xlsx</t>
  </si>
  <si>
    <t xml:space="preserve">CO (executed)</t>
  </si>
  <si>
    <t xml:space="preserve">2017-04-24</t>
  </si>
  <si>
    <t xml:space="preserve">CO#2 Temporary Gas Meter — $357 signed PDF + scanned copy on file. Appears in Billing draw #15 SOV as +$357 to contract total = $830,667.</t>
  </si>
  <si>
    <t xml:space="preserve">Signed / Billed</t>
  </si>
  <si>
    <t xml:space="preserve">Change Orders/CO_s/CO 2 Temporary Gas Meter Signed.pdf · Billing/525 Boren SOV draw #15  7-20-17.xlsx</t>
  </si>
  <si>
    <t xml:space="preserve">COR-02</t>
  </si>
  <si>
    <t xml:space="preserve">COR</t>
  </si>
  <si>
    <t xml:space="preserve">2017-10-27</t>
  </si>
  <si>
    <t xml:space="preserve">COR #02 Unclog Construction Debris from Toilet — $293 to unclog 2x2 wood debris lodged in toilet. Post-closeout / warranty-era; no corresponding CO signed (likely absorbed as backcharge or OH).</t>
  </si>
  <si>
    <t xml:space="preserve">Sub (OWP, Richard Donelson)</t>
  </si>
  <si>
    <t xml:space="preserve">Submitted (no CO on file)</t>
  </si>
  <si>
    <t xml:space="preserve">Change Orders/COR_s/525 Boren - COR #02 Unclog Construction Debris from Toilet.pdf</t>
  </si>
  <si>
    <t xml:space="preserve">COR-SHOWER-OPT</t>
  </si>
  <si>
    <t xml:space="preserve">COR (priced, not issued)</t>
  </si>
  <si>
    <t xml:space="preserve">2016-06-03</t>
  </si>
  <si>
    <t xml:space="preserve">Shower option pricing — 32 tub swap (1483EN → 1363BFSD w/ removable threshold). Priced $1,936 labor + $5,666 material. No CO issued; absorbed or cancelled.</t>
  </si>
  <si>
    <t xml:space="preserve">Sub (OWP)</t>
  </si>
  <si>
    <t xml:space="preserve">Priced only</t>
  </si>
  <si>
    <t xml:space="preserve">Change Orders/COR_s/Shower option.xlsx</t>
  </si>
  <si>
    <t xml:space="preserve">COR-SEWER-PX</t>
  </si>
  <si>
    <t xml:space="preserve">COR pricing (warranty)</t>
  </si>
  <si>
    <t xml:space="preserve">2017-04-24 (per XLSX date) · 2018-12-06 (photo event)</t>
  </si>
  <si>
    <t xml:space="preserve">Sewer Problem pricing — PM + Foreman + Apprentice + camera equipment to investigate sewer blockage. Likely related to 2018-12-06 Retail Sewer Problem warranty incident (30 photos/videos). No CO resulted (likely backcharge-offset / warranty absorb).</t>
  </si>
  <si>
    <t xml:space="preserve">RETAIL-SEWER-INCIDENT</t>
  </si>
  <si>
    <t xml:space="preserve">Pricing only</t>
  </si>
  <si>
    <t xml:space="preserve">Change Orders/COR_s/Sewer Problem pricing.xlsx</t>
  </si>
  <si>
    <t xml:space="preserve">BUDGET-REV-230</t>
  </si>
  <si>
    <t xml:space="preserve">Budget revision</t>
  </si>
  <si>
    <t xml:space="preserve">Finish Material (code 230) revised $78,595 → $82,765 (+$4,170)</t>
  </si>
  <si>
    <t xml:space="preserve">Internal OWP</t>
  </si>
  <si>
    <t xml:space="preserve">Applied</t>
  </si>
  <si>
    <t xml:space="preserve">BUDGET-REV-603</t>
  </si>
  <si>
    <t xml:space="preserve">Permits &amp; Licenses (code 603) revised $5,420 → $5,560 (+$140) — includes Temp Gas CO#1 $140</t>
  </si>
  <si>
    <t xml:space="preserve">Internal / CO#1</t>
  </si>
  <si>
    <t xml:space="preserve">2026 Job Detail Report.pdf (Sage Timberline export, printed 04/03/2026 1:51PM, 106 pages) + Budget Transfer CO#02 XLSX</t>
  </si>
  <si>
    <t xml:space="preserve">BUDGET-REV-995</t>
  </si>
  <si>
    <t xml:space="preserve">Burden rate adjustment</t>
  </si>
  <si>
    <t xml:space="preserve">Payroll Burden (code 995) revised $83,136.63 → $83,200.08</t>
  </si>
  <si>
    <t xml:space="preserve">OWP internal</t>
  </si>
  <si>
    <t xml:space="preserve">BUDGET-REV-998</t>
  </si>
  <si>
    <t xml:space="preserve">Tax rate adjustment</t>
  </si>
  <si>
    <t xml:space="preserve">Payroll Taxes (code 998) revised $14,671.17 → $14,681.96</t>
  </si>
  <si>
    <t xml:space="preserve">CONTRACT-FINAL</t>
  </si>
  <si>
    <t xml:space="preserve">Contract revision (cumulative)</t>
  </si>
  <si>
    <t xml:space="preserve">2017-07-20 (App #15)</t>
  </si>
  <si>
    <t xml:space="preserve">Final contract value $830,667.00 = $825,370 orig + $4,940 SOV adj + $357 CO#1 = +$5,297.00 (+0.64%). Reconciles to JDR revenue.</t>
  </si>
  <si>
    <t xml:space="preserve">Billing/525 Boren SOV draw #15  7-20-17.xlsx + 2026 Job Detail Report.pdf (Sage Timberline export, printed 04/03/2026 1:51PM, 106 pages)</t>
  </si>
  <si>
    <t xml:space="preserve">AR-PATTERN-REVERSALS</t>
  </si>
  <si>
    <t xml:space="preserve">AR reversal+reissue</t>
  </si>
  <si>
    <t xml:space="preserve">2017-04-20 (036863/036864), 2017-05-19 (036886/036887)</t>
  </si>
  <si>
    <t xml:space="preserve">Standard Sage AR corrections — not change events per se, but worth flagging</t>
  </si>
  <si>
    <t xml:space="preserve">Corrected</t>
  </si>
  <si>
    <t xml:space="preserve">FIRST-INVOICE</t>
  </si>
  <si>
    <t xml:space="preserve">Invoice</t>
  </si>
  <si>
    <t xml:space="preserve">036700 date: 03/21/16</t>
  </si>
  <si>
    <t xml:space="preserve">First billing invoice #036700 (Pay App #1, 2016-03-20 in SOV)</t>
  </si>
  <si>
    <t xml:space="preserve">Paid (per zero net due)</t>
  </si>
  <si>
    <t xml:space="preserve">2026 Job Detail Report.pdf (Sage Timberline export, printed 04/03/2026 1:51PM, 106 pages) + Billing/draw#1</t>
  </si>
  <si>
    <t xml:space="preserve">LAST-INVOICE</t>
  </si>
  <si>
    <t xml:space="preserve">036923 date: 07/24/17</t>
  </si>
  <si>
    <t xml:space="preserve">Last billing invoice #036923 $-357.00 (closeout, SOV Pay App #15 2017-07-20)</t>
  </si>
  <si>
    <t xml:space="preserve">Paid</t>
  </si>
  <si>
    <t xml:space="preserve">2026 Job Detail Report.pdf (Sage Timberline export, printed 04/03/2026 1:51PM, 106 pages) + Billing/draw#15</t>
  </si>
  <si>
    <t xml:space="preserve">Warranty incident</t>
  </si>
  <si>
    <t xml:space="preserve">2018-12-06</t>
  </si>
  <si>
    <t xml:space="preserve">Retail Sewer Problem — 30 photos+videos documenting retail-level sewer blockage. ~17 months post-closeout. Subject of Sewer Problem pricing XLSX.</t>
  </si>
  <si>
    <t xml:space="preserve">Sub (OWP, forensic)</t>
  </si>
  <si>
    <t xml:space="preserve">Documented (no claim on file)</t>
  </si>
  <si>
    <t xml:space="preserve">Retail Sewer Problem/ (30 JPG/MP4 files dated 20181206)</t>
  </si>
  <si>
    <t xml:space="preserve">RETAINAGE-OPEN</t>
  </si>
  <si>
    <t xml:space="preserve">Retainage</t>
  </si>
  <si>
    <t xml:space="preserve">As of 04/03/2026</t>
  </si>
  <si>
    <t xml:space="preserve">Retainage $41,533.35 outstanding 8+ years after last billing (2017-07-20). Full &amp; Final Lien Claim Waiver on file (undated). Release documentation NOT FOUND in folder.</t>
  </si>
  <si>
    <t xml:space="preserve">Outstanding</t>
  </si>
  <si>
    <t xml:space="preserve">2026 Job Detail Report.pdf (Sage Timberline export, printed 04/03/2026 1:51PM, 106 pages) · Billing/525 Boren Full &amp; Final Lien Claim waiver.pdf</t>
  </si>
  <si>
    <t xml:space="preserve">TOTAL COST IMPACT (net)</t>
  </si>
  <si>
    <t xml:space="preserve">Root Cause Analysis</t>
  </si>
  <si>
    <t xml:space="preserve">Cost-code variance drivers. Primary signal: labor over-runs on Garage, Canout, Mech Room offset by Material under-runs.</t>
  </si>
  <si>
    <t xml:space="preserve">COST-CODE VARIANCE CATEGORIES</t>
  </si>
  <si>
    <t xml:space="preserve">Codes Affected</t>
  </si>
  <si>
    <t xml:space="preserve">Net $ Variance</t>
  </si>
  <si>
    <t xml:space="preserve">Root Cause (inferred)</t>
  </si>
  <si>
    <t xml:space="preserve">Labor over-runs (productivity)</t>
  </si>
  <si>
    <t xml:space="preserve">111 Garage, 112 Canout, 142 Mech Room</t>
  </si>
  <si>
    <t xml:space="preserve">Field productivity below estimate</t>
  </si>
  <si>
    <t xml:space="preserve">Sum of labor over-runs = $18,965</t>
  </si>
  <si>
    <t xml:space="preserve">Labor under-runs</t>
  </si>
  <si>
    <t xml:space="preserve">100 Sup, 101 Takeoff, 110 UG, 130 Finish, 140 Gas</t>
  </si>
  <si>
    <t xml:space="preserve">Savings / scope reduction / efficiency</t>
  </si>
  <si>
    <t xml:space="preserve">Offsetting savings</t>
  </si>
  <si>
    <t xml:space="preserve">Rough-in overrun (scope)</t>
  </si>
  <si>
    <t xml:space="preserve">120 Roughin Labor</t>
  </si>
  <si>
    <t xml:space="preserve">Possibly scope increase with budget revision</t>
  </si>
  <si>
    <t xml:space="preserve">$14,618 over</t>
  </si>
  <si>
    <t xml:space="preserve">Material under-runs</t>
  </si>
  <si>
    <t xml:space="preserve">220 Rough Mat, 230 Finish Mat, 241 Water Main Mat, 242 Mech Room Mat</t>
  </si>
  <si>
    <t xml:space="preserve">Favorable procurement / takeoff savings</t>
  </si>
  <si>
    <t xml:space="preserve">Material came in well under</t>
  </si>
  <si>
    <t xml:space="preserve">Burden / Tax accrual</t>
  </si>
  <si>
    <t xml:space="preserve">995, 998</t>
  </si>
  <si>
    <t xml:space="preserve">Higher-than-estimated burden rates</t>
  </si>
  <si>
    <t xml:space="preserve">OWP internal rate volatility</t>
  </si>
  <si>
    <t xml:space="preserve">Support-code savings</t>
  </si>
  <si>
    <t xml:space="preserve">601 Eng, 603 Permit, 607 Other</t>
  </si>
  <si>
    <t xml:space="preserve">Under-utilization of support budget</t>
  </si>
  <si>
    <t xml:space="preserve">Savings</t>
  </si>
  <si>
    <t xml:space="preserve">TOTAL NET VARIANCE (Rev Budget vs Actual)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</si>
  <si>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</si>
  <si>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</si>
  <si>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</si>
  <si>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</si>
  <si>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Sub (OWP) — labor productivity</t>
  </si>
  <si>
    <t xml:space="preserve">Over-runs on Garage/Canout/Mech Room</t>
  </si>
  <si>
    <t xml:space="preserve">Sub (OWP) — procurement savings</t>
  </si>
  <si>
    <t xml:space="preserve">Favorable material cost</t>
  </si>
  <si>
    <t xml:space="preserve">Designer / GC (scope)</t>
  </si>
  <si>
    <t xml:space="preserve">Rough-in scope growth (budget also revised)</t>
  </si>
  <si>
    <t xml:space="preserve">Burden rate — OWP internal</t>
  </si>
  <si>
    <t xml:space="preserve">Accrual volatility</t>
  </si>
  <si>
    <t xml:space="preserve">Support codes — OWP</t>
  </si>
  <si>
    <t xml:space="preserve">Predictive Signals</t>
  </si>
  <si>
    <t xml:space="preserve">Leading indicators reconstructed from JDR only (no RFI/CO logs to draw from)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</si>
  <si>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</si>
  <si>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</si>
  <si>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</si>
  <si>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</si>
  <si>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</si>
  <si>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RFI Count</t>
  </si>
  <si>
    <t xml:space="preserve">&lt;50</t>
  </si>
  <si>
    <t xml:space="preserve">UNKNOWN</t>
  </si>
  <si>
    <t xml:space="preserve">No RFI folder exists</t>
  </si>
  <si>
    <t xml:space="preserve">Submittal Count</t>
  </si>
  <si>
    <t xml:space="preserve">varies</t>
  </si>
  <si>
    <t xml:space="preserve">No Submittal folder exists</t>
  </si>
  <si>
    <t xml:space="preserve">ASI / OCD Count</t>
  </si>
  <si>
    <t xml:space="preserve">&lt;5</t>
  </si>
  <si>
    <t xml:space="preserve">No ASI folder exists</t>
  </si>
  <si>
    <t xml:space="preserve">Change Order Document Count</t>
  </si>
  <si>
    <t xml:space="preserve">&lt;3</t>
  </si>
  <si>
    <t xml:space="preserve">NEUTRAL</t>
  </si>
  <si>
    <t xml:space="preserve">0 docs — but budget revision implies changes happened</t>
  </si>
  <si>
    <t xml:space="preserve">Contract Growth %</t>
  </si>
  <si>
    <t xml:space="preserve">0.64%</t>
  </si>
  <si>
    <t xml:space="preserve">&lt;3%</t>
  </si>
  <si>
    <t xml:space="preserve">HEALTHY</t>
  </si>
  <si>
    <t xml:space="preserve">Very low contract growth</t>
  </si>
  <si>
    <t xml:space="preserve">Labor Hrs vs Budget</t>
  </si>
  <si>
    <t xml:space="preserve">INFO</t>
  </si>
  <si>
    <t xml:space="preserve">8,542 hrs</t>
  </si>
  <si>
    <t xml:space="preserve">Labor Cost % of Revenue</t>
  </si>
  <si>
    <t xml:space="preserve">&lt;35%</t>
  </si>
  <si>
    <t xml:space="preserve">25.4% — labor-heavy</t>
  </si>
  <si>
    <t xml:space="preserve">Retainage Release Pending</t>
  </si>
  <si>
    <t xml:space="preserve">YES</t>
  </si>
  <si>
    <t xml:space="preserve">Released within 90 days post-closeout</t>
  </si>
  <si>
    <t xml:space="preserve">ELEVATED</t>
  </si>
  <si>
    <t xml:space="preserve">$41,533 open 9+ years after work end</t>
  </si>
  <si>
    <t xml:space="preserve">Worker Concentration (top 1)</t>
  </si>
  <si>
    <t xml:space="preserve">&lt;25%</t>
  </si>
  <si>
    <t xml:space="preserve">21.1% from single worker</t>
  </si>
  <si>
    <t xml:space="preserve">Rough-in Labor Share</t>
  </si>
  <si>
    <t xml:space="preserve">40-60%</t>
  </si>
  <si>
    <t xml:space="preserve">57% of labor on rough-in</t>
  </si>
  <si>
    <t xml:space="preserve">Document Completeness</t>
  </si>
  <si>
    <t xml:space="preserve">LOW</t>
  </si>
  <si>
    <t xml:space="preserve">Full CO/RFI/Submittal trail</t>
  </si>
  <si>
    <t xml:space="preserve">RISK</t>
  </si>
  <si>
    <t xml:space="preserve">Only JDR + electrical plans + Revit backup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</si>
  <si>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</si>
  <si>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</si>
  <si>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</si>
  <si>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</si>
  <si>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</si>
  <si>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</si>
  <si>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 financially</t>
  </si>
  <si>
    <t xml:space="preserve">Retainage collection probability</t>
  </si>
  <si>
    <t xml:space="preserve">MEDIUM (stale)</t>
  </si>
  <si>
    <t xml:space="preserve">Qualitative</t>
  </si>
  <si>
    <t xml:space="preserve">9+ years outstanding</t>
  </si>
  <si>
    <t xml:space="preserve">May require AR write-off or dispute</t>
  </si>
  <si>
    <t xml:space="preserve">Composite risk score (0-100)</t>
  </si>
  <si>
    <t xml:space="preserve">Low-Medium</t>
  </si>
  <si>
    <t xml:space="preserve">Doc-gap + stale retainage + labor concentration</t>
  </si>
  <si>
    <t xml:space="preserve">Financials healthy; file hygiene poor</t>
  </si>
  <si>
    <t xml:space="preserve">Would re-bid margin target</t>
  </si>
  <si>
    <t xml:space="preserve">≥34%</t>
  </si>
  <si>
    <t xml:space="preserve">Derived from actuals</t>
  </si>
  <si>
    <t xml:space="preserve">Historical close</t>
  </si>
  <si>
    <t xml:space="preserve">Assumes similar scope; tighten labor estimating for garage/canout/mech room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</si>
  <si>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</si>
  <si>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</si>
  <si>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</si>
  <si>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</si>
  <si>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</si>
  <si>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</si>
  <si>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</si>
  <si>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</si>
  <si>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</si>
  <si>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GC</t>
  </si>
  <si>
    <t xml:space="preserve">customer_code</t>
  </si>
  <si>
    <t xml:space="preserve">Customer Code</t>
  </si>
  <si>
    <t xml:space="preserve">Overview</t>
  </si>
  <si>
    <t xml:space="preserve">525 Boren Ave, Seattle</t>
  </si>
  <si>
    <t xml:space="preserve">Multifamily Plumbing (New Construction)</t>
  </si>
  <si>
    <t xml:space="preserve">Work Start</t>
  </si>
  <si>
    <t xml:space="preserve">date</t>
  </si>
  <si>
    <t xml:space="preserve">Work End</t>
  </si>
  <si>
    <t xml:space="preserve">months</t>
  </si>
  <si>
    <t xml:space="preserve">units</t>
  </si>
  <si>
    <t xml:space="preserve">No plans</t>
  </si>
  <si>
    <t xml:space="preserve">count</t>
  </si>
  <si>
    <t xml:space="preserve">USD</t>
  </si>
  <si>
    <t xml:space="preserve">Change Orders $</t>
  </si>
  <si>
    <t xml:space="preserve">CO % of Contract</t>
  </si>
  <si>
    <t xml:space="preserve">%</t>
  </si>
  <si>
    <t xml:space="preserve">Subcon+OH Cost</t>
  </si>
  <si>
    <t xml:space="preserve">hours</t>
  </si>
  <si>
    <t xml:space="preserve">Blended Gross Wage</t>
  </si>
  <si>
    <t xml:space="preserve">USD/hr</t>
  </si>
  <si>
    <t xml:space="preserve">Fully-Loaded Wage</t>
  </si>
  <si>
    <t xml:space="preserve">x</t>
  </si>
  <si>
    <t xml:space="preserve">Vendors</t>
  </si>
  <si>
    <t xml:space="preserve">Billing &amp; SOV</t>
  </si>
  <si>
    <t xml:space="preserve">rfi_count</t>
  </si>
  <si>
    <t xml:space="preserve">No RFI folder</t>
  </si>
  <si>
    <t xml:space="preserve">submittal_count</t>
  </si>
  <si>
    <t xml:space="preserve">No submittal folder</t>
  </si>
  <si>
    <t xml:space="preserve">co_doc_count</t>
  </si>
  <si>
    <t xml:space="preserve">CO Document Count</t>
  </si>
  <si>
    <t xml:space="preserve">Change Log</t>
  </si>
  <si>
    <t xml:space="preserve">No CO folder</t>
  </si>
  <si>
    <t xml:space="preserve">top_worker_hours_share</t>
  </si>
  <si>
    <t xml:space="preserve">top5_worker_hours_share</t>
  </si>
  <si>
    <t xml:space="preserve">Top 5 Worker Hours Share</t>
  </si>
  <si>
    <t xml:space="preserve">cost_code_count</t>
  </si>
  <si>
    <t xml:space="preserve">Cost Codes Active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</si>
  <si>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</si>
  <si>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</si>
  <si>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</si>
  <si>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</si>
  <si>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</si>
  <si>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</si>
  <si>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</si>
  <si>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(JDR) = Contract Final</t>
  </si>
  <si>
    <t xml:space="preserve">1↔8</t>
  </si>
  <si>
    <t xml:space="preserve">Expenses = Labor+Material+OH+Burden+Tax</t>
  </si>
  <si>
    <t xml:space="preserve">1↔3</t>
  </si>
  <si>
    <t xml:space="preserve">Net Profit = Revenue - Expenses</t>
  </si>
  <si>
    <t xml:space="preserve">1↔Derived</t>
  </si>
  <si>
    <t xml:space="preserve">JDR Source: AP+PR+GL = Expenses</t>
  </si>
  <si>
    <t xml:space="preserve">1↔Derived (footer)</t>
  </si>
  <si>
    <t xml:space="preserve">Budget vs Actual (code 999) = Revenue</t>
  </si>
  <si>
    <t xml:space="preserve">2↔1</t>
  </si>
  <si>
    <t xml:space="preserve">Total Labor Hours = Worker hours sum</t>
  </si>
  <si>
    <t xml:space="preserve">5↔2</t>
  </si>
  <si>
    <t xml:space="preserve">Labor Cost = Worker gross sum</t>
  </si>
  <si>
    <t xml:space="preserve">5↔3</t>
  </si>
  <si>
    <t xml:space="preserve">Vendor total ≈ AP footer</t>
  </si>
  <si>
    <t xml:space="preserve">12↔1 (approximate)</t>
  </si>
  <si>
    <t xml:space="preserve">Invoice count = 21</t>
  </si>
  <si>
    <t xml:space="preserve">9↔11</t>
  </si>
  <si>
    <t xml:space="preserve">Contract Final - Orig = CO implied</t>
  </si>
  <si>
    <t xml:space="preserve">11↔Derived</t>
  </si>
  <si>
    <t xml:space="preserve">CO breakdown: SOV-adj + CO#1 Temp Gas = CO total</t>
  </si>
  <si>
    <t xml:space="preserve">13↔11</t>
  </si>
  <si>
    <t xml:space="preserve">Pay Apps (sum of 'This Period') = Revenue</t>
  </si>
  <si>
    <t xml:space="preserve">9↔1 (Billing SOV)</t>
  </si>
  <si>
    <t xml:space="preserve">Pay App #15 Contract Total = JDR Revenue</t>
  </si>
  <si>
    <t xml:space="preserve">9↔1 (SOV draw #15)</t>
  </si>
  <si>
    <t xml:space="preserve">Retainage outstanding</t>
  </si>
  <si>
    <t xml:space="preserve">9↔JDR footer</t>
  </si>
  <si>
    <t xml:space="preserve">Worker count = 25</t>
  </si>
  <si>
    <t xml:space="preserve">5↔11</t>
  </si>
  <si>
    <t xml:space="preserve">Cost code count = 28</t>
  </si>
  <si>
    <t xml:space="preserve">2↔16</t>
  </si>
  <si>
    <t xml:space="preserve">Unit count (TOTO bowls) = 60</t>
  </si>
  <si>
    <t xml:space="preserve">1↔Vendor Quote XLSX</t>
  </si>
  <si>
    <t xml:space="preserve">Pay App count (SOV files) = 15</t>
  </si>
  <si>
    <t xml:space="preserve">9↔Billing folder</t>
  </si>
  <si>
    <t xml:space="preserve">Fixture inventory (Vendor Quote XLSX) = 669</t>
  </si>
  <si>
    <t xml:space="preserve">Job #2026 — Cortex v2 17-tab (REBUILD 2026-04-14 after expanded folder ingestion — 130+ documents now on file in Apts 4/)</t>
  </si>
  <si>
    <t xml:space="preserve">JDR Job Totals footer: Revenue $830,667.00 / Expenses $547,967.06 / Net $282,699.94 / Retainage $41,533.35</t>
  </si>
  <si>
    <t xml:space="preserve">JDR Source breakdown: GL $30,577.13 · AP $197,171.05 · PR $320,218.88 · AR $830,667.00</t>
  </si>
  <si>
    <t xml:space="preserve">Contract: Contract/525 Boren Contract.pdf — AGC Washington 2006 Ed. Lump Sum $825,370.00 (Subcontract #007, Synergy project #750, cost code 15400)</t>
  </si>
  <si>
    <t xml:space="preserve">Billing: 15 Pay App SOV XLSX drafts (2016-03-20 → 2017-07-20) + Full &amp; Final Lien Claim Waiver. Pay App #15 Contract Total $830,667 ties to JDR revenue.</t>
  </si>
  <si>
    <t xml:space="preserve">Change Orders: 2 CORs priced (COR#01 Temp Gas $357 executed as CO#2, COR#02 Unclog Toilet $293 warranty); 1 Budget Transfer XLSX (CO#02); 2 additional priced COR XLSX (Shower option, Sewer Problem pricing — neither issued)</t>
  </si>
  <si>
    <t xml:space="preserve">ASI-RFI: ASI-12 MEP Peer Review Response + PR-02 Media Room Redesign (informational, no cost impact)</t>
  </si>
  <si>
    <t xml:space="preserve">Submittals: 44 submittals across 7 categories (Equipment-7, Fixtures-12, Material-5, Responses-1, Sleeving Plans-1, Tub/Shower-8, Underground/Garage-10)</t>
  </si>
  <si>
    <t xml:space="preserve">Permits: 5 PDFs (Plumbing, Gas, Gas Temp Heat, Backflow, Renewed). Gas permit SR1397520 in 525 Boren LLC name</t>
  </si>
  <si>
    <t xml:space="preserve">Plans: 525-Plumbing Construction Set PR.pdf + 11 DWGs (L1-L7 + Roof + UG/Vault Shift) + MEP Superplots (2016-02-09/02-22/03-07)</t>
  </si>
  <si>
    <t xml:space="preserve">Vendor: 7 quote PDFs + master Vender Quote Spreadsheet (5 suppliers) + 5 vendor lien waivers (Consolidated/Ferguson/Keller/Rosen + template) + 1 Keller Notice-to-Owner (2016-08-11)</t>
  </si>
  <si>
    <t xml:space="preserve">Warranty: Retail Sewer Problem 30 photos/videos 12/06/2018 (~17 mo post-closeout) — paired with 'Sewer Problem pricing' COR XLSX (no CO issued)</t>
  </si>
  <si>
    <t xml:space="preserve">Closeout: O&amp;M manual + Warranty package + Certificate of Insurance 2016-17</t>
  </si>
  <si>
    <t xml:space="preserve">Unresolved: (a) $41,533 retainage outstanding 8+ yrs; (b) COR#02 Unclog Toilet $293 submitted but no signed CO; (c) Sewer Problem warranty — pricing done, resolution undocumented; (d) +$4,940 SOV adj (App#1→#2) lacks formal CO paper — inferred reline</t>
  </si>
  <si>
    <t xml:space="preserve">TIES = within $1  ·  WITHIN = within 5%  ·  OFF = investigate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</si>
</sst>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.00"/>
    <numFmt numFmtId="167" formatCode="\$#,##0.00;[RED]&quot;-$&quot;#,##0.00"/>
    <numFmt numFmtId="168" formatCode="0.0%"/>
    <numFmt numFmtId="169" formatCode="#,##0"/>
    <numFmt numFmtId="170" formatCode="0.00\x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5090"/>
        <bgColor rgb="FF1F3864"/>
      </patternFill>
    </fill>
    <fill>
      <patternFill patternType="solid">
        <fgColor rgb="FFFFC7CE"/>
        <bgColor rgb="FFFFE6E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E6E6"/>
      </patternFill>
    </fill>
    <fill>
      <patternFill patternType="solid">
        <fgColor rgb="FFFF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10" min="8" style="0" width="1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6" t="s">
        <v>5</v>
      </c>
      <c r="G6" s="6"/>
      <c r="H6" s="6"/>
      <c r="I6" s="6"/>
      <c r="J6" s="6"/>
    </row>
    <row r="7" customFormat="false" ht="15" hidden="false" customHeight="true" outlineLevel="0" collapsed="false">
      <c r="B7" s="4" t="s">
        <v>6</v>
      </c>
      <c r="C7" s="5" t="s">
        <v>7</v>
      </c>
      <c r="D7" s="5"/>
      <c r="E7" s="5"/>
      <c r="F7" s="6" t="s">
        <v>5</v>
      </c>
      <c r="G7" s="6"/>
      <c r="H7" s="6"/>
      <c r="I7" s="6"/>
      <c r="J7" s="6"/>
    </row>
    <row r="8" customFormat="false" ht="23.85" hidden="false" customHeight="true" outlineLevel="0" collapsed="false">
      <c r="B8" s="4" t="s">
        <v>8</v>
      </c>
      <c r="C8" s="5" t="s">
        <v>9</v>
      </c>
      <c r="D8" s="5"/>
      <c r="E8" s="5"/>
      <c r="F8" s="6" t="s">
        <v>10</v>
      </c>
      <c r="G8" s="6"/>
      <c r="H8" s="6"/>
      <c r="I8" s="6"/>
      <c r="J8" s="6"/>
    </row>
    <row r="9" customFormat="false" ht="23.85" hidden="false" customHeight="true" outlineLevel="0" collapsed="false">
      <c r="B9" s="4" t="s">
        <v>11</v>
      </c>
      <c r="C9" s="5" t="s">
        <v>12</v>
      </c>
      <c r="D9" s="5"/>
      <c r="E9" s="5"/>
      <c r="F9" s="6" t="s">
        <v>13</v>
      </c>
      <c r="G9" s="6"/>
      <c r="H9" s="6"/>
      <c r="I9" s="6"/>
      <c r="J9" s="6"/>
    </row>
    <row r="10" customFormat="false" ht="15" hidden="false" customHeight="true" outlineLevel="0" collapsed="false">
      <c r="B10" s="4" t="s">
        <v>14</v>
      </c>
      <c r="C10" s="5" t="s">
        <v>15</v>
      </c>
      <c r="D10" s="5"/>
      <c r="E10" s="5"/>
      <c r="F10" s="6" t="s">
        <v>16</v>
      </c>
      <c r="G10" s="6"/>
      <c r="H10" s="6"/>
      <c r="I10" s="6"/>
      <c r="J10" s="6"/>
    </row>
    <row r="11" customFormat="false" ht="15" hidden="false" customHeight="true" outlineLevel="0" collapsed="false">
      <c r="B11" s="4" t="s">
        <v>17</v>
      </c>
      <c r="C11" s="5" t="s">
        <v>18</v>
      </c>
      <c r="D11" s="5"/>
      <c r="E11" s="5"/>
      <c r="F11" s="6" t="s">
        <v>19</v>
      </c>
      <c r="G11" s="6"/>
      <c r="H11" s="6"/>
      <c r="I11" s="6"/>
      <c r="J11" s="6"/>
    </row>
    <row r="12" customFormat="false" ht="15" hidden="false" customHeight="true" outlineLevel="0" collapsed="false">
      <c r="B12" s="4" t="s">
        <v>20</v>
      </c>
      <c r="C12" s="5" t="s">
        <v>21</v>
      </c>
      <c r="D12" s="5"/>
      <c r="E12" s="5"/>
      <c r="F12" s="6" t="s">
        <v>13</v>
      </c>
      <c r="G12" s="6"/>
      <c r="H12" s="6"/>
      <c r="I12" s="6"/>
      <c r="J12" s="6"/>
    </row>
    <row r="13" customFormat="false" ht="23.85" hidden="false" customHeight="true" outlineLevel="0" collapsed="false">
      <c r="B13" s="4" t="s">
        <v>22</v>
      </c>
      <c r="C13" s="5" t="s">
        <v>23</v>
      </c>
      <c r="D13" s="5"/>
      <c r="E13" s="5"/>
      <c r="F13" s="6" t="s">
        <v>24</v>
      </c>
      <c r="G13" s="6"/>
      <c r="H13" s="6"/>
      <c r="I13" s="6"/>
      <c r="J13" s="6"/>
    </row>
    <row r="14" customFormat="false" ht="79.85" hidden="false" customHeight="true" outlineLevel="0" collapsed="false">
      <c r="B14" s="4" t="s">
        <v>25</v>
      </c>
      <c r="C14" s="5" t="s">
        <v>26</v>
      </c>
      <c r="D14" s="5"/>
      <c r="E14" s="5"/>
      <c r="F14" s="6" t="s">
        <v>27</v>
      </c>
      <c r="G14" s="6"/>
      <c r="H14" s="6"/>
      <c r="I14" s="6"/>
      <c r="J14" s="6"/>
    </row>
    <row r="15" customFormat="false" ht="35.05" hidden="false" customHeight="true" outlineLevel="0" collapsed="false">
      <c r="B15" s="4" t="s">
        <v>28</v>
      </c>
      <c r="C15" s="5" t="s">
        <v>29</v>
      </c>
      <c r="D15" s="5"/>
      <c r="E15" s="5"/>
      <c r="F15" s="6" t="s">
        <v>30</v>
      </c>
      <c r="G15" s="6"/>
      <c r="H15" s="6"/>
      <c r="I15" s="6"/>
      <c r="J15" s="6"/>
    </row>
    <row r="16" customFormat="false" ht="23.85" hidden="false" customHeight="true" outlineLevel="0" collapsed="false">
      <c r="B16" s="4" t="s">
        <v>31</v>
      </c>
      <c r="C16" s="5" t="s">
        <v>32</v>
      </c>
      <c r="D16" s="5"/>
      <c r="E16" s="5"/>
      <c r="F16" s="6" t="s">
        <v>13</v>
      </c>
      <c r="G16" s="6"/>
      <c r="H16" s="6"/>
      <c r="I16" s="6"/>
      <c r="J16" s="6"/>
    </row>
    <row r="17" customFormat="false" ht="15" hidden="false" customHeight="true" outlineLevel="0" collapsed="false">
      <c r="B17" s="4" t="s">
        <v>33</v>
      </c>
      <c r="C17" s="5" t="s">
        <v>34</v>
      </c>
      <c r="D17" s="5"/>
      <c r="E17" s="5"/>
      <c r="F17" s="6" t="s">
        <v>13</v>
      </c>
      <c r="G17" s="6"/>
      <c r="H17" s="6"/>
      <c r="I17" s="6"/>
      <c r="J17" s="6"/>
    </row>
    <row r="18" customFormat="false" ht="35.05" hidden="false" customHeight="true" outlineLevel="0" collapsed="false">
      <c r="B18" s="4" t="s">
        <v>35</v>
      </c>
      <c r="C18" s="5" t="s">
        <v>36</v>
      </c>
      <c r="D18" s="5"/>
      <c r="E18" s="5"/>
      <c r="F18" s="6" t="s">
        <v>37</v>
      </c>
      <c r="G18" s="6"/>
      <c r="H18" s="6"/>
      <c r="I18" s="6"/>
      <c r="J18" s="6"/>
    </row>
    <row r="19" customFormat="false" ht="35.05" hidden="false" customHeight="true" outlineLevel="0" collapsed="false">
      <c r="B19" s="4" t="s">
        <v>38</v>
      </c>
      <c r="C19" s="5" t="s">
        <v>39</v>
      </c>
      <c r="D19" s="5"/>
      <c r="E19" s="5"/>
      <c r="F19" s="6" t="s">
        <v>40</v>
      </c>
      <c r="G19" s="6"/>
      <c r="H19" s="6"/>
      <c r="I19" s="6"/>
      <c r="J19" s="6"/>
    </row>
    <row r="20" customFormat="false" ht="23.85" hidden="false" customHeight="true" outlineLevel="0" collapsed="false">
      <c r="B20" s="4" t="s">
        <v>41</v>
      </c>
      <c r="C20" s="5" t="s">
        <v>42</v>
      </c>
      <c r="D20" s="5"/>
      <c r="E20" s="5"/>
      <c r="F20" s="6" t="s">
        <v>43</v>
      </c>
      <c r="G20" s="6"/>
      <c r="H20" s="6"/>
      <c r="I20" s="6"/>
      <c r="J20" s="6"/>
    </row>
    <row r="21" customFormat="false" ht="35.05" hidden="false" customHeight="true" outlineLevel="0" collapsed="false">
      <c r="B21" s="4" t="s">
        <v>44</v>
      </c>
      <c r="C21" s="5" t="s">
        <v>45</v>
      </c>
      <c r="D21" s="5"/>
      <c r="E21" s="5"/>
      <c r="F21" s="6" t="s">
        <v>46</v>
      </c>
      <c r="G21" s="6"/>
      <c r="H21" s="6"/>
      <c r="I21" s="6"/>
      <c r="J21" s="6"/>
    </row>
    <row r="22" customFormat="false" ht="35.05" hidden="false" customHeight="true" outlineLevel="0" collapsed="false">
      <c r="B22" s="4" t="s">
        <v>47</v>
      </c>
      <c r="C22" s="5" t="s">
        <v>48</v>
      </c>
      <c r="D22" s="5"/>
      <c r="E22" s="5"/>
      <c r="F22" s="6" t="s">
        <v>49</v>
      </c>
      <c r="G22" s="6"/>
      <c r="H22" s="6"/>
      <c r="I22" s="6"/>
      <c r="J22" s="6"/>
    </row>
    <row r="23" customFormat="false" ht="46.25" hidden="false" customHeight="true" outlineLevel="0" collapsed="false">
      <c r="B23" s="4" t="s">
        <v>50</v>
      </c>
      <c r="C23" s="5" t="s">
        <v>51</v>
      </c>
      <c r="D23" s="5"/>
      <c r="E23" s="5"/>
      <c r="F23" s="6" t="s">
        <v>52</v>
      </c>
      <c r="G23" s="6"/>
      <c r="H23" s="6"/>
      <c r="I23" s="6"/>
      <c r="J23" s="6"/>
    </row>
    <row r="24" customFormat="false" ht="23.85" hidden="false" customHeight="true" outlineLevel="0" collapsed="false">
      <c r="B24" s="4" t="s">
        <v>53</v>
      </c>
      <c r="C24" s="5" t="s">
        <v>54</v>
      </c>
      <c r="D24" s="5"/>
      <c r="E24" s="5"/>
      <c r="F24" s="6" t="s">
        <v>55</v>
      </c>
      <c r="G24" s="6"/>
      <c r="H24" s="6"/>
      <c r="I24" s="6"/>
      <c r="J24" s="6"/>
    </row>
    <row r="25" customFormat="false" ht="23.85" hidden="false" customHeight="true" outlineLevel="0" collapsed="false">
      <c r="B25" s="4" t="s">
        <v>56</v>
      </c>
      <c r="C25" s="5" t="s">
        <v>57</v>
      </c>
      <c r="D25" s="5"/>
      <c r="E25" s="5"/>
      <c r="F25" s="6" t="s">
        <v>58</v>
      </c>
      <c r="G25" s="6"/>
      <c r="H25" s="6"/>
      <c r="I25" s="6"/>
      <c r="J25" s="6"/>
    </row>
    <row r="26" customFormat="false" ht="23.85" hidden="false" customHeight="true" outlineLevel="0" collapsed="false">
      <c r="B26" s="4" t="s">
        <v>59</v>
      </c>
      <c r="C26" s="5" t="s">
        <v>60</v>
      </c>
      <c r="D26" s="5"/>
      <c r="E26" s="5"/>
      <c r="F26" s="6" t="s">
        <v>61</v>
      </c>
      <c r="G26" s="6"/>
      <c r="H26" s="6"/>
      <c r="I26" s="6"/>
      <c r="J26" s="6"/>
    </row>
    <row r="27" customFormat="false" ht="15" hidden="false" customHeight="true" outlineLevel="0" collapsed="false">
      <c r="B27" s="4" t="s">
        <v>62</v>
      </c>
      <c r="C27" s="5" t="s">
        <v>63</v>
      </c>
      <c r="D27" s="5"/>
      <c r="E27" s="5"/>
      <c r="F27" s="6" t="s">
        <v>16</v>
      </c>
      <c r="G27" s="6"/>
      <c r="H27" s="6"/>
      <c r="I27" s="6"/>
      <c r="J27" s="6"/>
    </row>
    <row r="28" customFormat="false" ht="35.05" hidden="false" customHeight="true" outlineLevel="0" collapsed="false">
      <c r="B28" s="4" t="s">
        <v>64</v>
      </c>
      <c r="C28" s="5" t="s">
        <v>65</v>
      </c>
      <c r="D28" s="5"/>
      <c r="E28" s="5"/>
      <c r="F28" s="6" t="s">
        <v>66</v>
      </c>
      <c r="G28" s="6"/>
      <c r="H28" s="6"/>
      <c r="I28" s="6"/>
      <c r="J28" s="6"/>
    </row>
    <row r="29" customFormat="false" ht="23.85" hidden="false" customHeight="true" outlineLevel="0" collapsed="false">
      <c r="B29" s="4" t="s">
        <v>67</v>
      </c>
      <c r="C29" s="5" t="s">
        <v>68</v>
      </c>
      <c r="D29" s="5"/>
      <c r="E29" s="5"/>
      <c r="F29" s="6" t="s">
        <v>69</v>
      </c>
      <c r="G29" s="6"/>
      <c r="H29" s="6"/>
      <c r="I29" s="6"/>
      <c r="J29" s="6"/>
    </row>
    <row r="31" customFormat="false" ht="15" hidden="false" customHeight="false" outlineLevel="0" collapsed="false">
      <c r="B31" s="3" t="s">
        <v>70</v>
      </c>
      <c r="D31" s="3" t="s">
        <v>71</v>
      </c>
      <c r="F31" s="3" t="s">
        <v>72</v>
      </c>
      <c r="H31" s="3" t="s">
        <v>73</v>
      </c>
    </row>
    <row r="32" customFormat="false" ht="15" hidden="false" customHeight="false" outlineLevel="0" collapsed="false">
      <c r="B32" s="7" t="n">
        <v>830667</v>
      </c>
      <c r="D32" s="7" t="n">
        <v>282699.94</v>
      </c>
      <c r="F32" s="7" t="n">
        <v>547967.06</v>
      </c>
      <c r="H32" s="8" t="n">
        <v>8541.5</v>
      </c>
    </row>
    <row r="33" customFormat="false" ht="15" hidden="false" customHeight="false" outlineLevel="0" collapsed="false">
      <c r="B33" s="9" t="s">
        <v>74</v>
      </c>
      <c r="D33" s="9" t="s">
        <v>75</v>
      </c>
      <c r="F33" s="9" t="s">
        <v>76</v>
      </c>
      <c r="H33" s="9" t="s">
        <v>77</v>
      </c>
    </row>
    <row r="36" customFormat="false" ht="15" hidden="false" customHeight="false" outlineLevel="0" collapsed="false">
      <c r="B36" s="3" t="s">
        <v>78</v>
      </c>
    </row>
    <row r="37" customFormat="false" ht="23.85" hidden="false" customHeight="true" outlineLevel="0" collapsed="false">
      <c r="B37" s="5" t="s">
        <v>79</v>
      </c>
      <c r="C37" s="5"/>
      <c r="D37" s="5"/>
      <c r="E37" s="5"/>
      <c r="F37" s="5"/>
      <c r="G37" s="5"/>
      <c r="H37" s="5"/>
      <c r="I37" s="5"/>
      <c r="J37" s="5"/>
    </row>
    <row r="38" customFormat="false" ht="23.85" hidden="false" customHeight="true" outlineLevel="0" collapsed="false">
      <c r="B38" s="5" t="s">
        <v>80</v>
      </c>
      <c r="C38" s="5"/>
      <c r="D38" s="5"/>
      <c r="E38" s="5"/>
      <c r="F38" s="5"/>
      <c r="G38" s="5"/>
      <c r="H38" s="5"/>
      <c r="I38" s="5"/>
      <c r="J38" s="5"/>
    </row>
    <row r="39" customFormat="false" ht="23.85" hidden="false" customHeight="true" outlineLevel="0" collapsed="false">
      <c r="B39" s="5" t="s">
        <v>81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true" outlineLevel="0" collapsed="false">
      <c r="B40" s="5" t="s">
        <v>82</v>
      </c>
      <c r="C40" s="5"/>
      <c r="D40" s="5"/>
      <c r="E40" s="5"/>
      <c r="F40" s="5"/>
      <c r="G40" s="5"/>
      <c r="H40" s="5"/>
      <c r="I40" s="5"/>
      <c r="J40" s="5"/>
    </row>
    <row r="41" customFormat="false" ht="23.85" hidden="false" customHeight="true" outlineLevel="0" collapsed="false">
      <c r="B41" s="5" t="s">
        <v>83</v>
      </c>
      <c r="C41" s="5"/>
      <c r="D41" s="5"/>
      <c r="E41" s="5"/>
      <c r="F41" s="5"/>
      <c r="G41" s="5"/>
      <c r="H41" s="5"/>
      <c r="I41" s="5"/>
      <c r="J41" s="5"/>
    </row>
    <row r="44" customFormat="false" ht="15" hidden="false" customHeight="false" outlineLevel="0" collapsed="false">
      <c r="B44" s="10" t="s">
        <v>84</v>
      </c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true" outlineLevel="0" collapsed="false">
      <c r="B45" s="6" t="s">
        <v>85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true" outlineLevel="0" collapsed="false">
      <c r="B46" s="6" t="s">
        <v>86</v>
      </c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true" outlineLevel="0" collapsed="false">
      <c r="B47" s="6" t="s">
        <v>87</v>
      </c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true" outlineLevel="0" collapsed="false">
      <c r="B48" s="6" t="s">
        <v>88</v>
      </c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true" outlineLevel="0" collapsed="false">
      <c r="B49" s="6" t="s">
        <v>89</v>
      </c>
      <c r="C49" s="6"/>
      <c r="D49" s="6"/>
      <c r="E49" s="6"/>
      <c r="F49" s="6"/>
      <c r="G49" s="6"/>
      <c r="H49" s="6"/>
      <c r="I49" s="6"/>
      <c r="J49" s="6"/>
    </row>
  </sheetData>
  <mergeCells count="60">
    <mergeCell ref="B2:J2"/>
    <mergeCell ref="B3:J3"/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C23:E23"/>
    <mergeCell ref="F23:J23"/>
    <mergeCell ref="C24:E24"/>
    <mergeCell ref="F24:J24"/>
    <mergeCell ref="C25:E25"/>
    <mergeCell ref="F25:J25"/>
    <mergeCell ref="C26:E26"/>
    <mergeCell ref="F26:J26"/>
    <mergeCell ref="C27:E27"/>
    <mergeCell ref="F27:J27"/>
    <mergeCell ref="C28:E28"/>
    <mergeCell ref="F28:J28"/>
    <mergeCell ref="C29:E29"/>
    <mergeCell ref="F29:J29"/>
    <mergeCell ref="B37:J37"/>
    <mergeCell ref="B38:J38"/>
    <mergeCell ref="B39:J39"/>
    <mergeCell ref="B40:J40"/>
    <mergeCell ref="B41:J41"/>
    <mergeCell ref="B45:J45"/>
    <mergeCell ref="B46:J46"/>
    <mergeCell ref="B47:J47"/>
    <mergeCell ref="B48:J48"/>
    <mergeCell ref="B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7" min="4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40"/>
  </cols>
  <sheetData>
    <row r="2" customFormat="false" ht="27.75" hidden="false" customHeight="true" outlineLevel="0" collapsed="false">
      <c r="B2" s="1" t="s">
        <v>90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91</v>
      </c>
      <c r="C3" s="2"/>
      <c r="D3" s="2"/>
      <c r="E3" s="2"/>
      <c r="F3" s="2"/>
      <c r="G3" s="2"/>
      <c r="H3" s="2"/>
      <c r="I3" s="2"/>
      <c r="J3" s="2"/>
    </row>
    <row r="5" customFormat="false" ht="23.85" hidden="false" customHeight="false" outlineLevel="0" collapsed="false">
      <c r="B5" s="11" t="s">
        <v>92</v>
      </c>
      <c r="C5" s="11" t="s">
        <v>93</v>
      </c>
      <c r="D5" s="11" t="s">
        <v>94</v>
      </c>
      <c r="E5" s="11" t="s">
        <v>95</v>
      </c>
      <c r="F5" s="11" t="s">
        <v>96</v>
      </c>
      <c r="G5" s="11" t="s">
        <v>97</v>
      </c>
      <c r="H5" s="11" t="s">
        <v>98</v>
      </c>
      <c r="I5" s="11" t="s">
        <v>99</v>
      </c>
      <c r="J5" s="11" t="s">
        <v>100</v>
      </c>
    </row>
    <row r="6" customFormat="false" ht="19.4" hidden="false" customHeight="false" outlineLevel="0" collapsed="false">
      <c r="B6" s="12" t="s">
        <v>101</v>
      </c>
      <c r="C6" s="5" t="s">
        <v>102</v>
      </c>
      <c r="D6" s="13" t="n">
        <v>7840</v>
      </c>
      <c r="E6" s="13" t="n">
        <v>7840</v>
      </c>
      <c r="F6" s="13" t="n">
        <v>2078.5</v>
      </c>
      <c r="G6" s="13" t="n">
        <f aca="false">F6-E6</f>
        <v>-5761.5</v>
      </c>
      <c r="H6" s="14" t="n">
        <f aca="false">IF(E6=0,"",F6/E6)</f>
        <v>0.265114795918367</v>
      </c>
      <c r="I6" s="15" t="n">
        <v>45.5</v>
      </c>
      <c r="J6" s="6" t="s">
        <v>16</v>
      </c>
    </row>
    <row r="7" customFormat="false" ht="19.4" hidden="false" customHeight="false" outlineLevel="0" collapsed="false">
      <c r="B7" s="12" t="s">
        <v>103</v>
      </c>
      <c r="C7" s="5" t="s">
        <v>104</v>
      </c>
      <c r="D7" s="13" t="n">
        <v>7840</v>
      </c>
      <c r="E7" s="13" t="n">
        <v>7840</v>
      </c>
      <c r="F7" s="13" t="n">
        <v>5998</v>
      </c>
      <c r="G7" s="13" t="n">
        <f aca="false">F7-E7</f>
        <v>-1842</v>
      </c>
      <c r="H7" s="14" t="n">
        <f aca="false">IF(E7=0,"",F7/E7)</f>
        <v>0.765051020408163</v>
      </c>
      <c r="I7" s="15" t="n">
        <v>130</v>
      </c>
      <c r="J7" s="6" t="s">
        <v>16</v>
      </c>
    </row>
    <row r="8" customFormat="false" ht="19.4" hidden="false" customHeight="false" outlineLevel="0" collapsed="false">
      <c r="B8" s="12" t="s">
        <v>105</v>
      </c>
      <c r="C8" s="5" t="s">
        <v>106</v>
      </c>
      <c r="D8" s="13" t="n">
        <v>5450</v>
      </c>
      <c r="E8" s="13" t="n">
        <v>5450</v>
      </c>
      <c r="F8" s="13" t="n">
        <v>2899.5</v>
      </c>
      <c r="G8" s="13" t="n">
        <f aca="false">F8-E8</f>
        <v>-2550.5</v>
      </c>
      <c r="H8" s="14" t="n">
        <f aca="false">IF(E8=0,"",F8/E8)</f>
        <v>0.532018348623853</v>
      </c>
      <c r="I8" s="15" t="n">
        <v>104</v>
      </c>
      <c r="J8" s="6" t="s">
        <v>16</v>
      </c>
    </row>
    <row r="9" customFormat="false" ht="19.4" hidden="false" customHeight="false" outlineLevel="0" collapsed="false">
      <c r="B9" s="12" t="s">
        <v>107</v>
      </c>
      <c r="C9" s="5" t="s">
        <v>108</v>
      </c>
      <c r="D9" s="13" t="n">
        <v>13550</v>
      </c>
      <c r="E9" s="13" t="n">
        <v>13550</v>
      </c>
      <c r="F9" s="13" t="n">
        <v>22565</v>
      </c>
      <c r="G9" s="13" t="n">
        <f aca="false">F9-E9</f>
        <v>9015</v>
      </c>
      <c r="H9" s="14" t="n">
        <f aca="false">IF(E9=0,"",F9/E9)</f>
        <v>1.66531365313653</v>
      </c>
      <c r="I9" s="15" t="n">
        <v>870</v>
      </c>
      <c r="J9" s="6" t="s">
        <v>16</v>
      </c>
    </row>
    <row r="10" customFormat="false" ht="19.4" hidden="false" customHeight="false" outlineLevel="0" collapsed="false">
      <c r="B10" s="12" t="s">
        <v>109</v>
      </c>
      <c r="C10" s="5" t="s">
        <v>110</v>
      </c>
      <c r="D10" s="13" t="n">
        <v>4375</v>
      </c>
      <c r="E10" s="13" t="n">
        <v>4375</v>
      </c>
      <c r="F10" s="13" t="n">
        <v>9448.5</v>
      </c>
      <c r="G10" s="13" t="n">
        <f aca="false">F10-E10</f>
        <v>5073.5</v>
      </c>
      <c r="H10" s="14" t="n">
        <f aca="false">IF(E10=0,"",F10/E10)</f>
        <v>2.15965714285714</v>
      </c>
      <c r="I10" s="15" t="n">
        <v>327</v>
      </c>
      <c r="J10" s="6" t="s">
        <v>16</v>
      </c>
    </row>
    <row r="11" customFormat="false" ht="19.4" hidden="false" customHeight="false" outlineLevel="0" collapsed="false">
      <c r="B11" s="12" t="s">
        <v>111</v>
      </c>
      <c r="C11" s="5" t="s">
        <v>112</v>
      </c>
      <c r="D11" s="13" t="n">
        <v>101805</v>
      </c>
      <c r="E11" s="13" t="n">
        <v>101946</v>
      </c>
      <c r="F11" s="13" t="n">
        <v>116564.5</v>
      </c>
      <c r="G11" s="13" t="n">
        <f aca="false">F11-E11</f>
        <v>14618.5</v>
      </c>
      <c r="H11" s="14" t="n">
        <f aca="false">IF(E11=0,"",F11/E11)</f>
        <v>1.14339454220862</v>
      </c>
      <c r="I11" s="15" t="n">
        <v>4901</v>
      </c>
      <c r="J11" s="6" t="s">
        <v>16</v>
      </c>
    </row>
    <row r="12" customFormat="false" ht="19.4" hidden="false" customHeight="false" outlineLevel="0" collapsed="false">
      <c r="B12" s="12" t="s">
        <v>113</v>
      </c>
      <c r="C12" s="5" t="s">
        <v>114</v>
      </c>
      <c r="D12" s="13" t="n">
        <v>16920</v>
      </c>
      <c r="E12" s="13" t="n">
        <v>16920</v>
      </c>
      <c r="F12" s="13" t="n">
        <v>12520</v>
      </c>
      <c r="G12" s="13" t="n">
        <f aca="false">F12-E12</f>
        <v>-4400</v>
      </c>
      <c r="H12" s="14" t="n">
        <f aca="false">IF(E12=0,"",F12/E12)</f>
        <v>0.739952718676123</v>
      </c>
      <c r="I12" s="15" t="n">
        <v>625.5</v>
      </c>
      <c r="J12" s="6" t="s">
        <v>16</v>
      </c>
    </row>
    <row r="13" customFormat="false" ht="19.4" hidden="false" customHeight="false" outlineLevel="0" collapsed="false">
      <c r="B13" s="12" t="s">
        <v>115</v>
      </c>
      <c r="C13" s="5" t="s">
        <v>116</v>
      </c>
      <c r="D13" s="13" t="n">
        <v>6000</v>
      </c>
      <c r="E13" s="13" t="n">
        <v>6000</v>
      </c>
      <c r="F13" s="13" t="n">
        <v>3916</v>
      </c>
      <c r="G13" s="13" t="n">
        <f aca="false">F13-E13</f>
        <v>-2084</v>
      </c>
      <c r="H13" s="14" t="n">
        <f aca="false">IF(E13=0,"",F13/E13)</f>
        <v>0.652666666666667</v>
      </c>
      <c r="I13" s="15" t="n">
        <v>133.5</v>
      </c>
      <c r="J13" s="6" t="s">
        <v>16</v>
      </c>
    </row>
    <row r="14" customFormat="false" ht="19.4" hidden="false" customHeight="false" outlineLevel="0" collapsed="false">
      <c r="B14" s="12" t="s">
        <v>117</v>
      </c>
      <c r="C14" s="5" t="s">
        <v>118</v>
      </c>
      <c r="D14" s="13" t="n">
        <v>18820</v>
      </c>
      <c r="E14" s="13" t="n">
        <v>18820</v>
      </c>
      <c r="F14" s="13" t="n">
        <v>20543</v>
      </c>
      <c r="G14" s="13" t="n">
        <f aca="false">F14-E14</f>
        <v>1723</v>
      </c>
      <c r="H14" s="14" t="n">
        <f aca="false">IF(E14=0,"",F14/E14)</f>
        <v>1.09155154091392</v>
      </c>
      <c r="I14" s="15" t="n">
        <v>967</v>
      </c>
      <c r="J14" s="6" t="s">
        <v>16</v>
      </c>
    </row>
    <row r="15" customFormat="false" ht="19.4" hidden="false" customHeight="false" outlineLevel="0" collapsed="false">
      <c r="B15" s="12" t="s">
        <v>119</v>
      </c>
      <c r="C15" s="5" t="s">
        <v>120</v>
      </c>
      <c r="D15" s="13" t="n">
        <v>9180</v>
      </c>
      <c r="E15" s="13" t="n">
        <v>9180</v>
      </c>
      <c r="F15" s="13" t="n">
        <v>14056.5</v>
      </c>
      <c r="G15" s="13" t="n">
        <f aca="false">F15-E15</f>
        <v>4876.5</v>
      </c>
      <c r="H15" s="14" t="n">
        <f aca="false">IF(E15=0,"",F15/E15)</f>
        <v>1.5312091503268</v>
      </c>
      <c r="I15" s="15" t="n">
        <v>435</v>
      </c>
      <c r="J15" s="6" t="s">
        <v>16</v>
      </c>
    </row>
    <row r="16" customFormat="false" ht="19.4" hidden="false" customHeight="false" outlineLevel="0" collapsed="false">
      <c r="B16" s="12" t="s">
        <v>121</v>
      </c>
      <c r="C16" s="5" t="s">
        <v>122</v>
      </c>
      <c r="D16" s="13" t="n">
        <v>0</v>
      </c>
      <c r="E16" s="13" t="n">
        <v>0</v>
      </c>
      <c r="F16" s="13" t="n">
        <v>126</v>
      </c>
      <c r="G16" s="13" t="n">
        <f aca="false">F16-E16</f>
        <v>126</v>
      </c>
      <c r="H16" s="14" t="str">
        <f aca="false">IF(E16=0,"",F16/E16)</f>
        <v/>
      </c>
      <c r="I16" s="15" t="n">
        <v>3</v>
      </c>
      <c r="J16" s="6" t="s">
        <v>16</v>
      </c>
    </row>
    <row r="17" customFormat="false" ht="19.4" hidden="false" customHeight="false" outlineLevel="0" collapsed="false">
      <c r="B17" s="12" t="s">
        <v>123</v>
      </c>
      <c r="C17" s="5" t="s">
        <v>124</v>
      </c>
      <c r="D17" s="13" t="n">
        <v>11900</v>
      </c>
      <c r="E17" s="13" t="n">
        <v>11900</v>
      </c>
      <c r="F17" s="13" t="n">
        <v>6574.76</v>
      </c>
      <c r="G17" s="13" t="n">
        <f aca="false">F17-E17</f>
        <v>-5325.24</v>
      </c>
      <c r="H17" s="14" t="n">
        <f aca="false">IF(E17=0,"",F17/E17)</f>
        <v>0.552500840336134</v>
      </c>
      <c r="I17" s="15"/>
      <c r="J17" s="6" t="s">
        <v>16</v>
      </c>
    </row>
    <row r="18" customFormat="false" ht="19.4" hidden="false" customHeight="false" outlineLevel="0" collapsed="false">
      <c r="B18" s="12" t="s">
        <v>125</v>
      </c>
      <c r="C18" s="5" t="s">
        <v>126</v>
      </c>
      <c r="D18" s="13" t="n">
        <v>16750</v>
      </c>
      <c r="E18" s="13" t="n">
        <v>16750</v>
      </c>
      <c r="F18" s="13" t="n">
        <v>16318.46</v>
      </c>
      <c r="G18" s="13" t="n">
        <f aca="false">F18-E18</f>
        <v>-431.540000000001</v>
      </c>
      <c r="H18" s="14" t="n">
        <f aca="false">IF(E18=0,"",F18/E18)</f>
        <v>0.974236417910448</v>
      </c>
      <c r="I18" s="15"/>
      <c r="J18" s="6" t="s">
        <v>16</v>
      </c>
    </row>
    <row r="19" customFormat="false" ht="19.4" hidden="false" customHeight="false" outlineLevel="0" collapsed="false">
      <c r="B19" s="12" t="s">
        <v>127</v>
      </c>
      <c r="C19" s="5" t="s">
        <v>128</v>
      </c>
      <c r="D19" s="13" t="n">
        <v>4375</v>
      </c>
      <c r="E19" s="13" t="n">
        <v>4375</v>
      </c>
      <c r="F19" s="13" t="n">
        <v>5237.21</v>
      </c>
      <c r="G19" s="13" t="n">
        <f aca="false">F19-E19</f>
        <v>862.21</v>
      </c>
      <c r="H19" s="14" t="n">
        <f aca="false">IF(E19=0,"",F19/E19)</f>
        <v>1.19707657142857</v>
      </c>
      <c r="I19" s="15"/>
      <c r="J19" s="6" t="s">
        <v>16</v>
      </c>
    </row>
    <row r="20" customFormat="false" ht="19.4" hidden="false" customHeight="false" outlineLevel="0" collapsed="false">
      <c r="B20" s="12" t="s">
        <v>129</v>
      </c>
      <c r="C20" s="5" t="s">
        <v>130</v>
      </c>
      <c r="D20" s="13" t="n">
        <v>60210</v>
      </c>
      <c r="E20" s="13" t="n">
        <v>60210</v>
      </c>
      <c r="F20" s="13" t="n">
        <v>42655.4</v>
      </c>
      <c r="G20" s="13" t="n">
        <f aca="false">F20-E20</f>
        <v>-17554.6</v>
      </c>
      <c r="H20" s="14" t="n">
        <f aca="false">IF(E20=0,"",F20/E20)</f>
        <v>0.708443780102973</v>
      </c>
      <c r="I20" s="15"/>
      <c r="J20" s="6" t="s">
        <v>16</v>
      </c>
    </row>
    <row r="21" customFormat="false" ht="19.4" hidden="false" customHeight="false" outlineLevel="0" collapsed="false">
      <c r="B21" s="12" t="s">
        <v>131</v>
      </c>
      <c r="C21" s="5" t="s">
        <v>132</v>
      </c>
      <c r="D21" s="13" t="n">
        <v>78595</v>
      </c>
      <c r="E21" s="13" t="n">
        <v>82765</v>
      </c>
      <c r="F21" s="13" t="n">
        <v>68397.28</v>
      </c>
      <c r="G21" s="13" t="n">
        <f aca="false">F21-E21</f>
        <v>-14367.72</v>
      </c>
      <c r="H21" s="14" t="n">
        <f aca="false">IF(E21=0,"",F21/E21)</f>
        <v>0.826403431402163</v>
      </c>
      <c r="I21" s="15"/>
      <c r="J21" s="6" t="s">
        <v>16</v>
      </c>
    </row>
    <row r="22" customFormat="false" ht="19.4" hidden="false" customHeight="false" outlineLevel="0" collapsed="false">
      <c r="B22" s="12" t="s">
        <v>133</v>
      </c>
      <c r="C22" s="5" t="s">
        <v>134</v>
      </c>
      <c r="D22" s="13" t="n">
        <v>3600</v>
      </c>
      <c r="E22" s="13" t="n">
        <v>3600</v>
      </c>
      <c r="F22" s="13" t="n">
        <v>625.77</v>
      </c>
      <c r="G22" s="13" t="n">
        <f aca="false">F22-E22</f>
        <v>-2974.23</v>
      </c>
      <c r="H22" s="14" t="n">
        <f aca="false">IF(E22=0,"",F22/E22)</f>
        <v>0.173825</v>
      </c>
      <c r="I22" s="15"/>
      <c r="J22" s="6" t="s">
        <v>16</v>
      </c>
    </row>
    <row r="23" customFormat="false" ht="19.4" hidden="false" customHeight="false" outlineLevel="0" collapsed="false">
      <c r="B23" s="12" t="s">
        <v>135</v>
      </c>
      <c r="C23" s="5" t="s">
        <v>136</v>
      </c>
      <c r="D23" s="13" t="n">
        <v>32420</v>
      </c>
      <c r="E23" s="13" t="n">
        <v>32420</v>
      </c>
      <c r="F23" s="13" t="n">
        <v>21103.03</v>
      </c>
      <c r="G23" s="13" t="n">
        <f aca="false">F23-E23</f>
        <v>-11316.97</v>
      </c>
      <c r="H23" s="14" t="n">
        <f aca="false">IF(E23=0,"",F23/E23)</f>
        <v>0.650926280074028</v>
      </c>
      <c r="I23" s="15"/>
      <c r="J23" s="6" t="s">
        <v>16</v>
      </c>
    </row>
    <row r="24" customFormat="false" ht="19.4" hidden="false" customHeight="false" outlineLevel="0" collapsed="false">
      <c r="B24" s="12" t="s">
        <v>137</v>
      </c>
      <c r="C24" s="5" t="s">
        <v>138</v>
      </c>
      <c r="D24" s="13" t="n">
        <v>53250</v>
      </c>
      <c r="E24" s="13" t="n">
        <v>53250</v>
      </c>
      <c r="F24" s="13" t="n">
        <v>33752.74</v>
      </c>
      <c r="G24" s="13" t="n">
        <f aca="false">F24-E24</f>
        <v>-19497.26</v>
      </c>
      <c r="H24" s="14" t="n">
        <f aca="false">IF(E24=0,"",F24/E24)</f>
        <v>0.633854272300469</v>
      </c>
      <c r="I24" s="15"/>
      <c r="J24" s="6" t="s">
        <v>16</v>
      </c>
    </row>
    <row r="25" customFormat="false" ht="19.4" hidden="false" customHeight="false" outlineLevel="0" collapsed="false">
      <c r="B25" s="12" t="s">
        <v>139</v>
      </c>
      <c r="C25" s="5" t="s">
        <v>140</v>
      </c>
      <c r="D25" s="13" t="n">
        <v>0</v>
      </c>
      <c r="E25" s="13" t="n">
        <v>0</v>
      </c>
      <c r="F25" s="13" t="n">
        <v>27.08</v>
      </c>
      <c r="G25" s="13" t="n">
        <f aca="false">F25-E25</f>
        <v>27.08</v>
      </c>
      <c r="H25" s="14" t="str">
        <f aca="false">IF(E25=0,"",F25/E25)</f>
        <v/>
      </c>
      <c r="I25" s="15"/>
      <c r="J25" s="6" t="s">
        <v>16</v>
      </c>
    </row>
    <row r="26" customFormat="false" ht="19.4" hidden="false" customHeight="false" outlineLevel="0" collapsed="false">
      <c r="B26" s="12" t="s">
        <v>141</v>
      </c>
      <c r="C26" s="5" t="s">
        <v>142</v>
      </c>
      <c r="D26" s="13" t="n">
        <v>0</v>
      </c>
      <c r="E26" s="13" t="n">
        <v>0</v>
      </c>
      <c r="F26" s="13" t="n">
        <v>178.63</v>
      </c>
      <c r="G26" s="13" t="n">
        <f aca="false">F26-E26</f>
        <v>178.63</v>
      </c>
      <c r="H26" s="14" t="str">
        <f aca="false">IF(E26=0,"",F26/E26)</f>
        <v/>
      </c>
      <c r="I26" s="15"/>
      <c r="J26" s="6" t="s">
        <v>16</v>
      </c>
    </row>
    <row r="27" customFormat="false" ht="19.4" hidden="false" customHeight="false" outlineLevel="0" collapsed="false">
      <c r="B27" s="12" t="s">
        <v>143</v>
      </c>
      <c r="C27" s="5" t="s">
        <v>144</v>
      </c>
      <c r="D27" s="13" t="n">
        <v>500</v>
      </c>
      <c r="E27" s="13" t="n">
        <v>500</v>
      </c>
      <c r="F27" s="13" t="n">
        <v>186</v>
      </c>
      <c r="G27" s="13" t="n">
        <f aca="false">F27-E27</f>
        <v>-314</v>
      </c>
      <c r="H27" s="14" t="n">
        <f aca="false">IF(E27=0,"",F27/E27)</f>
        <v>0.372</v>
      </c>
      <c r="I27" s="15"/>
      <c r="J27" s="6" t="s">
        <v>16</v>
      </c>
    </row>
    <row r="28" customFormat="false" ht="19.4" hidden="false" customHeight="false" outlineLevel="0" collapsed="false">
      <c r="B28" s="12" t="s">
        <v>145</v>
      </c>
      <c r="C28" s="5" t="s">
        <v>146</v>
      </c>
      <c r="D28" s="13" t="n">
        <v>35000</v>
      </c>
      <c r="E28" s="13" t="n">
        <v>35000</v>
      </c>
      <c r="F28" s="13" t="n">
        <v>17344</v>
      </c>
      <c r="G28" s="13" t="n">
        <f aca="false">F28-E28</f>
        <v>-17656</v>
      </c>
      <c r="H28" s="14" t="n">
        <f aca="false">IF(E28=0,"",F28/E28)</f>
        <v>0.495542857142857</v>
      </c>
      <c r="I28" s="15"/>
      <c r="J28" s="6" t="s">
        <v>16</v>
      </c>
    </row>
    <row r="29" customFormat="false" ht="19.4" hidden="false" customHeight="false" outlineLevel="0" collapsed="false">
      <c r="B29" s="12" t="s">
        <v>147</v>
      </c>
      <c r="C29" s="5" t="s">
        <v>148</v>
      </c>
      <c r="D29" s="13" t="n">
        <v>5420</v>
      </c>
      <c r="E29" s="13" t="n">
        <v>5560</v>
      </c>
      <c r="F29" s="13" t="n">
        <v>3352</v>
      </c>
      <c r="G29" s="13" t="n">
        <f aca="false">F29-E29</f>
        <v>-2208</v>
      </c>
      <c r="H29" s="14" t="n">
        <f aca="false">IF(E29=0,"",F29/E29)</f>
        <v>0.602877697841727</v>
      </c>
      <c r="I29" s="15"/>
      <c r="J29" s="6" t="s">
        <v>16</v>
      </c>
    </row>
    <row r="30" customFormat="false" ht="19.4" hidden="false" customHeight="false" outlineLevel="0" collapsed="false">
      <c r="B30" s="12" t="s">
        <v>149</v>
      </c>
      <c r="C30" s="5" t="s">
        <v>150</v>
      </c>
      <c r="D30" s="13" t="n">
        <v>15000</v>
      </c>
      <c r="E30" s="13" t="n">
        <v>15000</v>
      </c>
      <c r="F30" s="13" t="n">
        <v>11995.82</v>
      </c>
      <c r="G30" s="13" t="n">
        <f aca="false">F30-E30</f>
        <v>-3004.18</v>
      </c>
      <c r="H30" s="14" t="n">
        <f aca="false">IF(E30=0,"",F30/E30)</f>
        <v>0.799721333333333</v>
      </c>
      <c r="I30" s="15"/>
      <c r="J30" s="6" t="s">
        <v>16</v>
      </c>
    </row>
    <row r="31" customFormat="false" ht="19.4" hidden="false" customHeight="false" outlineLevel="0" collapsed="false">
      <c r="B31" s="12" t="s">
        <v>151</v>
      </c>
      <c r="C31" s="5" t="s">
        <v>152</v>
      </c>
      <c r="D31" s="13" t="n">
        <v>83136.63</v>
      </c>
      <c r="E31" s="13" t="n">
        <v>83200.08</v>
      </c>
      <c r="F31" s="13" t="n">
        <v>93383.48</v>
      </c>
      <c r="G31" s="13" t="n">
        <f aca="false">F31-E31</f>
        <v>10183.4</v>
      </c>
      <c r="H31" s="14" t="n">
        <f aca="false">IF(E31=0,"",F31/E31)</f>
        <v>1.12239651692643</v>
      </c>
      <c r="I31" s="15"/>
      <c r="J31" s="6" t="s">
        <v>16</v>
      </c>
    </row>
    <row r="32" customFormat="false" ht="19.4" hidden="false" customHeight="false" outlineLevel="0" collapsed="false">
      <c r="B32" s="12" t="s">
        <v>153</v>
      </c>
      <c r="C32" s="5" t="s">
        <v>154</v>
      </c>
      <c r="D32" s="13" t="n">
        <v>14671.17</v>
      </c>
      <c r="E32" s="13" t="n">
        <v>14681.96</v>
      </c>
      <c r="F32" s="13" t="n">
        <v>16119.9</v>
      </c>
      <c r="G32" s="13" t="n">
        <f aca="false">F32-E32</f>
        <v>1437.94</v>
      </c>
      <c r="H32" s="14" t="n">
        <f aca="false">IF(E32=0,"",F32/E32)</f>
        <v>1.09793923972004</v>
      </c>
      <c r="I32" s="15"/>
      <c r="J32" s="6" t="s">
        <v>16</v>
      </c>
    </row>
    <row r="33" customFormat="false" ht="19.4" hidden="false" customHeight="false" outlineLevel="0" collapsed="false">
      <c r="B33" s="12" t="s">
        <v>155</v>
      </c>
      <c r="C33" s="5" t="s">
        <v>156</v>
      </c>
      <c r="D33" s="13" t="n">
        <v>-825370</v>
      </c>
      <c r="E33" s="13" t="n">
        <v>-830667</v>
      </c>
      <c r="F33" s="13" t="n">
        <v>-830667</v>
      </c>
      <c r="G33" s="13" t="n">
        <f aca="false">F33-E33</f>
        <v>0</v>
      </c>
      <c r="H33" s="14" t="n">
        <f aca="false">IF(E33=0,"",F33/E33)</f>
        <v>1</v>
      </c>
      <c r="I33" s="15"/>
      <c r="J33" s="6" t="s">
        <v>16</v>
      </c>
    </row>
    <row r="34" customFormat="false" ht="15" hidden="false" customHeight="false" outlineLevel="0" collapsed="false">
      <c r="B34" s="16" t="s">
        <v>157</v>
      </c>
      <c r="D34" s="17" t="n">
        <f aca="false">SUM(D6:D33)</f>
        <v>-218762.2</v>
      </c>
      <c r="E34" s="17" t="n">
        <f aca="false">SUM(E6:E33)</f>
        <v>-219533.96</v>
      </c>
      <c r="F34" s="17" t="n">
        <f aca="false">SUM(F6:F33)</f>
        <v>-282699.94</v>
      </c>
      <c r="G34" s="17" t="n">
        <f aca="false">F34-E34</f>
        <v>-63165.98</v>
      </c>
      <c r="I34" s="8" t="n">
        <f aca="false">SUM(I6:I33)</f>
        <v>8541.5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6" min="4" style="0" width="18"/>
    <col collapsed="false" customWidth="true" hidden="false" outlineLevel="0" max="7" min="7" style="0" width="40"/>
  </cols>
  <sheetData>
    <row r="2" customFormat="false" ht="27.75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159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160</v>
      </c>
      <c r="C5" s="11" t="s">
        <v>161</v>
      </c>
      <c r="D5" s="11" t="s">
        <v>162</v>
      </c>
      <c r="E5" s="11" t="s">
        <v>163</v>
      </c>
      <c r="F5" s="11" t="s">
        <v>164</v>
      </c>
      <c r="G5" s="11" t="s">
        <v>100</v>
      </c>
    </row>
    <row r="6" customFormat="false" ht="19.4" hidden="false" customHeight="false" outlineLevel="0" collapsed="false">
      <c r="B6" s="4" t="s">
        <v>165</v>
      </c>
      <c r="C6" s="12" t="s">
        <v>166</v>
      </c>
      <c r="D6" s="18" t="n">
        <v>210715.5</v>
      </c>
      <c r="E6" s="14" t="n">
        <f aca="false">D6/$D$11</f>
        <v>0.38454045029641</v>
      </c>
      <c r="F6" s="14" t="n">
        <f aca="false">D6/830667</f>
        <v>0.253670243310496</v>
      </c>
      <c r="G6" s="6" t="s">
        <v>16</v>
      </c>
    </row>
    <row r="7" customFormat="false" ht="19.4" hidden="false" customHeight="false" outlineLevel="0" collapsed="false">
      <c r="B7" s="4" t="s">
        <v>167</v>
      </c>
      <c r="C7" s="12" t="s">
        <v>168</v>
      </c>
      <c r="D7" s="18" t="n">
        <v>194870.36</v>
      </c>
      <c r="E7" s="14" t="n">
        <f aca="false">D7/$D$11</f>
        <v>0.355624223105674</v>
      </c>
      <c r="F7" s="14" t="n">
        <f aca="false">D7/830667</f>
        <v>0.234595042297335</v>
      </c>
      <c r="G7" s="6" t="s">
        <v>16</v>
      </c>
    </row>
    <row r="8" customFormat="false" ht="19.4" hidden="false" customHeight="false" outlineLevel="0" collapsed="false">
      <c r="B8" s="4" t="s">
        <v>169</v>
      </c>
      <c r="C8" s="12" t="s">
        <v>170</v>
      </c>
      <c r="D8" s="18" t="n">
        <v>32877.82</v>
      </c>
      <c r="E8" s="14" t="n">
        <f aca="false">D8/$D$11</f>
        <v>0.0599996284448193</v>
      </c>
      <c r="F8" s="14" t="n">
        <f aca="false">D8/830667</f>
        <v>0.0395800242455762</v>
      </c>
      <c r="G8" s="6" t="s">
        <v>16</v>
      </c>
    </row>
    <row r="9" customFormat="false" ht="19.4" hidden="false" customHeight="false" outlineLevel="0" collapsed="false">
      <c r="B9" s="4" t="s">
        <v>152</v>
      </c>
      <c r="C9" s="12" t="s">
        <v>151</v>
      </c>
      <c r="D9" s="18" t="n">
        <v>93383.48</v>
      </c>
      <c r="E9" s="14" t="n">
        <f aca="false">D9/$D$11</f>
        <v>0.170418053961127</v>
      </c>
      <c r="F9" s="14" t="n">
        <f aca="false">D9/830667</f>
        <v>0.112419874630869</v>
      </c>
      <c r="G9" s="6" t="s">
        <v>16</v>
      </c>
    </row>
    <row r="10" customFormat="false" ht="19.4" hidden="false" customHeight="false" outlineLevel="0" collapsed="false">
      <c r="B10" s="4" t="s">
        <v>154</v>
      </c>
      <c r="C10" s="12" t="s">
        <v>153</v>
      </c>
      <c r="D10" s="18" t="n">
        <v>16119.9</v>
      </c>
      <c r="E10" s="14" t="n">
        <f aca="false">D10/$D$11</f>
        <v>0.0294176441919702</v>
      </c>
      <c r="F10" s="14" t="n">
        <f aca="false">D10/830667</f>
        <v>0.0194059713459184</v>
      </c>
      <c r="G10" s="6" t="s">
        <v>16</v>
      </c>
    </row>
    <row r="11" customFormat="false" ht="15" hidden="false" customHeight="false" outlineLevel="0" collapsed="false">
      <c r="B11" s="16" t="s">
        <v>171</v>
      </c>
      <c r="D11" s="19" t="n">
        <f aca="false">SUM(D6:D10)</f>
        <v>547967.06</v>
      </c>
      <c r="E11" s="20" t="n">
        <v>1</v>
      </c>
      <c r="F11" s="20" t="n">
        <f aca="false">D11/830667</f>
        <v>0.659671155830194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0"/>
  </cols>
  <sheetData>
    <row r="2" customFormat="false" ht="27.75" hidden="false" customHeight="true" outlineLevel="0" collapsed="false">
      <c r="B2" s="1" t="s">
        <v>172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173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174</v>
      </c>
      <c r="C5" s="11" t="s">
        <v>175</v>
      </c>
      <c r="D5" s="11" t="s">
        <v>176</v>
      </c>
      <c r="E5" s="11" t="s">
        <v>177</v>
      </c>
      <c r="F5" s="11" t="s">
        <v>178</v>
      </c>
      <c r="G5" s="11" t="s">
        <v>100</v>
      </c>
    </row>
    <row r="6" customFormat="false" ht="19.4" hidden="false" customHeight="false" outlineLevel="0" collapsed="false">
      <c r="B6" s="12" t="s">
        <v>179</v>
      </c>
      <c r="C6" s="5" t="s">
        <v>180</v>
      </c>
      <c r="D6" s="13" t="n">
        <v>49659.22</v>
      </c>
      <c r="E6" s="12" t="n">
        <v>41</v>
      </c>
      <c r="F6" s="12" t="s">
        <v>181</v>
      </c>
      <c r="G6" s="6" t="s">
        <v>16</v>
      </c>
    </row>
    <row r="7" customFormat="false" ht="19.4" hidden="false" customHeight="false" outlineLevel="0" collapsed="false">
      <c r="B7" s="12" t="s">
        <v>182</v>
      </c>
      <c r="C7" s="5" t="s">
        <v>183</v>
      </c>
      <c r="D7" s="13" t="n">
        <v>49441.46</v>
      </c>
      <c r="E7" s="12" t="n">
        <v>48</v>
      </c>
      <c r="F7" s="12" t="s">
        <v>181</v>
      </c>
      <c r="G7" s="6" t="s">
        <v>16</v>
      </c>
    </row>
    <row r="8" customFormat="false" ht="19.4" hidden="false" customHeight="false" outlineLevel="0" collapsed="false">
      <c r="B8" s="12" t="s">
        <v>184</v>
      </c>
      <c r="C8" s="5" t="s">
        <v>185</v>
      </c>
      <c r="D8" s="13" t="n">
        <v>28251.03</v>
      </c>
      <c r="E8" s="12" t="n">
        <v>12</v>
      </c>
      <c r="F8" s="12" t="s">
        <v>181</v>
      </c>
      <c r="G8" s="6" t="s">
        <v>16</v>
      </c>
    </row>
    <row r="9" customFormat="false" ht="19.4" hidden="false" customHeight="false" outlineLevel="0" collapsed="false">
      <c r="B9" s="12" t="s">
        <v>186</v>
      </c>
      <c r="C9" s="5" t="s">
        <v>187</v>
      </c>
      <c r="D9" s="13" t="n">
        <v>23867.69</v>
      </c>
      <c r="E9" s="12" t="n">
        <v>20</v>
      </c>
      <c r="F9" s="12" t="s">
        <v>181</v>
      </c>
      <c r="G9" s="6" t="s">
        <v>16</v>
      </c>
    </row>
    <row r="10" customFormat="false" ht="19.4" hidden="false" customHeight="false" outlineLevel="0" collapsed="false">
      <c r="B10" s="12" t="s">
        <v>188</v>
      </c>
      <c r="C10" s="5" t="s">
        <v>189</v>
      </c>
      <c r="D10" s="13" t="n">
        <v>17344</v>
      </c>
      <c r="E10" s="12" t="n">
        <v>9</v>
      </c>
      <c r="F10" s="12" t="s">
        <v>190</v>
      </c>
      <c r="G10" s="6" t="s">
        <v>16</v>
      </c>
    </row>
    <row r="11" customFormat="false" ht="19.4" hidden="false" customHeight="false" outlineLevel="0" collapsed="false">
      <c r="B11" s="12" t="s">
        <v>191</v>
      </c>
      <c r="C11" s="5" t="s">
        <v>192</v>
      </c>
      <c r="D11" s="13" t="n">
        <v>11361.41</v>
      </c>
      <c r="E11" s="12" t="n">
        <v>18</v>
      </c>
      <c r="F11" s="12" t="s">
        <v>193</v>
      </c>
      <c r="G11" s="6" t="s">
        <v>16</v>
      </c>
    </row>
    <row r="12" customFormat="false" ht="19.4" hidden="false" customHeight="false" outlineLevel="0" collapsed="false">
      <c r="B12" s="12" t="s">
        <v>194</v>
      </c>
      <c r="C12" s="5" t="s">
        <v>195</v>
      </c>
      <c r="D12" s="13" t="n">
        <v>8215</v>
      </c>
      <c r="E12" s="12" t="n">
        <v>1</v>
      </c>
      <c r="F12" s="12" t="s">
        <v>196</v>
      </c>
      <c r="G12" s="6" t="s">
        <v>16</v>
      </c>
    </row>
    <row r="13" customFormat="false" ht="19.4" hidden="false" customHeight="false" outlineLevel="0" collapsed="false">
      <c r="B13" s="12" t="s">
        <v>197</v>
      </c>
      <c r="C13" s="5" t="s">
        <v>198</v>
      </c>
      <c r="D13" s="13" t="n">
        <v>5734.1</v>
      </c>
      <c r="E13" s="12" t="n">
        <v>32</v>
      </c>
      <c r="F13" s="12" t="s">
        <v>193</v>
      </c>
      <c r="G13" s="6" t="s">
        <v>16</v>
      </c>
    </row>
    <row r="14" customFormat="false" ht="19.4" hidden="false" customHeight="false" outlineLevel="0" collapsed="false">
      <c r="B14" s="12" t="s">
        <v>199</v>
      </c>
      <c r="C14" s="5" t="s">
        <v>200</v>
      </c>
      <c r="D14" s="13" t="n">
        <v>2098.04</v>
      </c>
      <c r="E14" s="12" t="n">
        <v>2</v>
      </c>
      <c r="F14" s="12" t="s">
        <v>181</v>
      </c>
      <c r="G14" s="6" t="s">
        <v>16</v>
      </c>
    </row>
    <row r="15" customFormat="false" ht="19.4" hidden="false" customHeight="false" outlineLevel="0" collapsed="false">
      <c r="B15" s="12" t="s">
        <v>201</v>
      </c>
      <c r="C15" s="5" t="s">
        <v>202</v>
      </c>
      <c r="D15" s="13" t="n">
        <v>733.88</v>
      </c>
      <c r="E15" s="12" t="n">
        <v>4</v>
      </c>
      <c r="F15" s="12" t="s">
        <v>181</v>
      </c>
      <c r="G15" s="6" t="s">
        <v>16</v>
      </c>
    </row>
    <row r="16" customFormat="false" ht="19.4" hidden="false" customHeight="false" outlineLevel="0" collapsed="false">
      <c r="B16" s="12" t="s">
        <v>203</v>
      </c>
      <c r="C16" s="5" t="s">
        <v>204</v>
      </c>
      <c r="D16" s="13" t="n">
        <v>305.76</v>
      </c>
      <c r="E16" s="12" t="n">
        <v>1</v>
      </c>
      <c r="F16" s="12" t="s">
        <v>181</v>
      </c>
      <c r="G16" s="6" t="s">
        <v>16</v>
      </c>
    </row>
    <row r="17" customFormat="false" ht="19.4" hidden="false" customHeight="false" outlineLevel="0" collapsed="false">
      <c r="B17" s="12" t="s">
        <v>205</v>
      </c>
      <c r="C17" s="5" t="s">
        <v>206</v>
      </c>
      <c r="D17" s="13" t="n">
        <v>296.86</v>
      </c>
      <c r="E17" s="12" t="n">
        <v>2</v>
      </c>
      <c r="F17" s="12" t="s">
        <v>181</v>
      </c>
      <c r="G17" s="6" t="s">
        <v>16</v>
      </c>
    </row>
    <row r="18" customFormat="false" ht="19.4" hidden="false" customHeight="false" outlineLevel="0" collapsed="false">
      <c r="B18" s="12" t="s">
        <v>207</v>
      </c>
      <c r="C18" s="5" t="s">
        <v>208</v>
      </c>
      <c r="D18" s="13" t="n">
        <v>186</v>
      </c>
      <c r="E18" s="12" t="n">
        <v>1</v>
      </c>
      <c r="F18" s="12" t="s">
        <v>209</v>
      </c>
      <c r="G18" s="6" t="s">
        <v>16</v>
      </c>
    </row>
    <row r="19" customFormat="false" ht="19.4" hidden="false" customHeight="false" outlineLevel="0" collapsed="false">
      <c r="B19" s="12" t="s">
        <v>210</v>
      </c>
      <c r="C19" s="5" t="s">
        <v>211</v>
      </c>
      <c r="D19" s="13" t="n">
        <v>-323.4</v>
      </c>
      <c r="E19" s="12" t="n">
        <v>1</v>
      </c>
      <c r="F19" s="12" t="s">
        <v>181</v>
      </c>
      <c r="G19" s="6" t="s">
        <v>16</v>
      </c>
    </row>
    <row r="20" customFormat="false" ht="15" hidden="false" customHeight="false" outlineLevel="0" collapsed="false">
      <c r="B20" s="16" t="s">
        <v>157</v>
      </c>
      <c r="D20" s="19" t="n">
        <f aca="false">SUM(D6:D19)</f>
        <v>197171.05</v>
      </c>
      <c r="E20" s="21" t="n">
        <f aca="false">SUM(E6:E19)</f>
        <v>192</v>
      </c>
    </row>
    <row r="22" customFormat="false" ht="15" hidden="false" customHeight="true" outlineLevel="0" collapsed="false">
      <c r="B22" s="22" t="s">
        <v>212</v>
      </c>
      <c r="C22" s="22"/>
      <c r="D22" s="22"/>
      <c r="E22" s="22"/>
      <c r="F22" s="22"/>
      <c r="G22" s="22"/>
    </row>
  </sheetData>
  <mergeCells count="3">
    <mergeCell ref="B2:J2"/>
    <mergeCell ref="B3:J3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0"/>
  </cols>
  <sheetData>
    <row r="2" customFormat="false" ht="27.75" hidden="false" customHeight="true" outlineLevel="0" collapsed="false">
      <c r="B2" s="1" t="s">
        <v>213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214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215</v>
      </c>
      <c r="C5" s="11" t="s">
        <v>216</v>
      </c>
      <c r="D5" s="11" t="s">
        <v>217</v>
      </c>
      <c r="E5" s="11" t="s">
        <v>218</v>
      </c>
      <c r="F5" s="11" t="s">
        <v>219</v>
      </c>
      <c r="G5" s="11" t="s">
        <v>220</v>
      </c>
      <c r="H5" s="11" t="s">
        <v>100</v>
      </c>
    </row>
    <row r="6" customFormat="false" ht="19.4" hidden="false" customHeight="false" outlineLevel="0" collapsed="false">
      <c r="B6" s="12" t="s">
        <v>221</v>
      </c>
      <c r="C6" s="5" t="s">
        <v>222</v>
      </c>
      <c r="D6" s="15" t="n">
        <v>1798</v>
      </c>
      <c r="E6" s="18" t="n">
        <v>65368</v>
      </c>
      <c r="F6" s="18" t="n">
        <f aca="false">IF(D6=0,0,E6/D6)</f>
        <v>36.3559510567297</v>
      </c>
      <c r="G6" s="12" t="n">
        <v>61</v>
      </c>
      <c r="H6" s="6" t="s">
        <v>16</v>
      </c>
    </row>
    <row r="7" customFormat="false" ht="19.4" hidden="false" customHeight="false" outlineLevel="0" collapsed="false">
      <c r="B7" s="12" t="s">
        <v>223</v>
      </c>
      <c r="C7" s="5" t="s">
        <v>224</v>
      </c>
      <c r="D7" s="15" t="n">
        <v>1290</v>
      </c>
      <c r="E7" s="18" t="n">
        <v>26856</v>
      </c>
      <c r="F7" s="18" t="n">
        <f aca="false">IF(D7=0,0,E7/D7)</f>
        <v>20.8186046511628</v>
      </c>
      <c r="G7" s="12" t="n">
        <v>38</v>
      </c>
      <c r="H7" s="6" t="s">
        <v>16</v>
      </c>
    </row>
    <row r="8" customFormat="false" ht="19.4" hidden="false" customHeight="false" outlineLevel="0" collapsed="false">
      <c r="B8" s="12" t="s">
        <v>225</v>
      </c>
      <c r="C8" s="5" t="s">
        <v>226</v>
      </c>
      <c r="D8" s="15" t="n">
        <v>1235</v>
      </c>
      <c r="E8" s="18" t="n">
        <v>26475</v>
      </c>
      <c r="F8" s="18" t="n">
        <f aca="false">IF(D8=0,0,E8/D8)</f>
        <v>21.4372469635628</v>
      </c>
      <c r="G8" s="12" t="n">
        <v>37</v>
      </c>
      <c r="H8" s="6" t="s">
        <v>16</v>
      </c>
    </row>
    <row r="9" customFormat="false" ht="19.4" hidden="false" customHeight="false" outlineLevel="0" collapsed="false">
      <c r="B9" s="12" t="s">
        <v>227</v>
      </c>
      <c r="C9" s="5" t="s">
        <v>228</v>
      </c>
      <c r="D9" s="15" t="n">
        <v>960</v>
      </c>
      <c r="E9" s="18" t="n">
        <v>12566</v>
      </c>
      <c r="F9" s="18" t="n">
        <f aca="false">IF(D9=0,0,E9/D9)</f>
        <v>13.0895833333333</v>
      </c>
      <c r="G9" s="12" t="n">
        <v>32</v>
      </c>
      <c r="H9" s="6" t="s">
        <v>16</v>
      </c>
    </row>
    <row r="10" customFormat="false" ht="19.4" hidden="false" customHeight="false" outlineLevel="0" collapsed="false">
      <c r="B10" s="12" t="s">
        <v>229</v>
      </c>
      <c r="C10" s="5" t="s">
        <v>230</v>
      </c>
      <c r="D10" s="15" t="n">
        <v>919</v>
      </c>
      <c r="E10" s="18" t="n">
        <v>18191</v>
      </c>
      <c r="F10" s="18" t="n">
        <f aca="false">IF(D10=0,0,E10/D10)</f>
        <v>19.7943416757345</v>
      </c>
      <c r="G10" s="12" t="n">
        <v>25</v>
      </c>
      <c r="H10" s="6" t="s">
        <v>16</v>
      </c>
    </row>
    <row r="11" customFormat="false" ht="19.4" hidden="false" customHeight="false" outlineLevel="0" collapsed="false">
      <c r="B11" s="12" t="s">
        <v>231</v>
      </c>
      <c r="C11" s="5" t="s">
        <v>232</v>
      </c>
      <c r="D11" s="15" t="n">
        <v>289</v>
      </c>
      <c r="E11" s="18" t="n">
        <v>5491</v>
      </c>
      <c r="F11" s="18" t="n">
        <f aca="false">IF(D11=0,0,E11/D11)</f>
        <v>19</v>
      </c>
      <c r="G11" s="12" t="n">
        <v>8</v>
      </c>
      <c r="H11" s="6" t="s">
        <v>16</v>
      </c>
    </row>
    <row r="12" customFormat="false" ht="19.4" hidden="false" customHeight="false" outlineLevel="0" collapsed="false">
      <c r="B12" s="12" t="s">
        <v>233</v>
      </c>
      <c r="C12" s="5" t="s">
        <v>234</v>
      </c>
      <c r="D12" s="15" t="n">
        <v>277</v>
      </c>
      <c r="E12" s="18" t="n">
        <v>5263</v>
      </c>
      <c r="F12" s="18" t="n">
        <f aca="false">IF(D12=0,0,E12/D12)</f>
        <v>19</v>
      </c>
      <c r="G12" s="12" t="n">
        <v>9</v>
      </c>
      <c r="H12" s="6" t="s">
        <v>16</v>
      </c>
    </row>
    <row r="13" customFormat="false" ht="19.4" hidden="false" customHeight="false" outlineLevel="0" collapsed="false">
      <c r="B13" s="12" t="s">
        <v>235</v>
      </c>
      <c r="C13" s="5" t="s">
        <v>236</v>
      </c>
      <c r="D13" s="15" t="n">
        <v>247</v>
      </c>
      <c r="E13" s="18" t="n">
        <v>8661</v>
      </c>
      <c r="F13" s="18" t="n">
        <f aca="false">IF(D13=0,0,E13/D13)</f>
        <v>35.0647773279352</v>
      </c>
      <c r="G13" s="12" t="n">
        <v>8</v>
      </c>
      <c r="H13" s="6" t="s">
        <v>16</v>
      </c>
    </row>
    <row r="14" customFormat="false" ht="19.4" hidden="false" customHeight="false" outlineLevel="0" collapsed="false">
      <c r="B14" s="12" t="s">
        <v>237</v>
      </c>
      <c r="C14" s="5" t="s">
        <v>238</v>
      </c>
      <c r="D14" s="15" t="n">
        <v>232</v>
      </c>
      <c r="E14" s="18" t="n">
        <v>4104</v>
      </c>
      <c r="F14" s="18" t="n">
        <f aca="false">IF(D14=0,0,E14/D14)</f>
        <v>17.6896551724138</v>
      </c>
      <c r="G14" s="12" t="n">
        <v>10</v>
      </c>
      <c r="H14" s="6" t="s">
        <v>16</v>
      </c>
    </row>
    <row r="15" customFormat="false" ht="19.4" hidden="false" customHeight="false" outlineLevel="0" collapsed="false">
      <c r="B15" s="12" t="s">
        <v>239</v>
      </c>
      <c r="C15" s="5" t="s">
        <v>240</v>
      </c>
      <c r="D15" s="15" t="n">
        <v>215</v>
      </c>
      <c r="E15" s="18" t="n">
        <v>8912.5</v>
      </c>
      <c r="F15" s="18" t="n">
        <f aca="false">IF(D15=0,0,E15/D15)</f>
        <v>41.453488372093</v>
      </c>
      <c r="G15" s="12" t="n">
        <v>44</v>
      </c>
      <c r="H15" s="6" t="s">
        <v>16</v>
      </c>
    </row>
    <row r="16" customFormat="false" ht="19.4" hidden="false" customHeight="false" outlineLevel="0" collapsed="false">
      <c r="B16" s="12" t="s">
        <v>241</v>
      </c>
      <c r="C16" s="5" t="s">
        <v>242</v>
      </c>
      <c r="D16" s="15" t="n">
        <v>152</v>
      </c>
      <c r="E16" s="18" t="n">
        <v>2584</v>
      </c>
      <c r="F16" s="18" t="n">
        <f aca="false">IF(D16=0,0,E16/D16)</f>
        <v>17</v>
      </c>
      <c r="G16" s="12" t="n">
        <v>6</v>
      </c>
      <c r="H16" s="6" t="s">
        <v>16</v>
      </c>
    </row>
    <row r="17" customFormat="false" ht="19.4" hidden="false" customHeight="false" outlineLevel="0" collapsed="false">
      <c r="B17" s="12" t="s">
        <v>243</v>
      </c>
      <c r="C17" s="5" t="s">
        <v>244</v>
      </c>
      <c r="D17" s="15" t="n">
        <v>144</v>
      </c>
      <c r="E17" s="18" t="n">
        <v>2160</v>
      </c>
      <c r="F17" s="18" t="n">
        <f aca="false">IF(D17=0,0,E17/D17)</f>
        <v>15</v>
      </c>
      <c r="G17" s="12" t="n">
        <v>6</v>
      </c>
      <c r="H17" s="6" t="s">
        <v>16</v>
      </c>
    </row>
    <row r="18" customFormat="false" ht="19.4" hidden="false" customHeight="false" outlineLevel="0" collapsed="false">
      <c r="B18" s="12" t="s">
        <v>245</v>
      </c>
      <c r="C18" s="5" t="s">
        <v>246</v>
      </c>
      <c r="D18" s="15" t="n">
        <v>143</v>
      </c>
      <c r="E18" s="18" t="n">
        <v>5605.5</v>
      </c>
      <c r="F18" s="18" t="n">
        <f aca="false">IF(D18=0,0,E18/D18)</f>
        <v>39.1993006993007</v>
      </c>
      <c r="G18" s="12" t="n">
        <v>21</v>
      </c>
      <c r="H18" s="6" t="s">
        <v>16</v>
      </c>
    </row>
    <row r="19" customFormat="false" ht="19.4" hidden="false" customHeight="false" outlineLevel="0" collapsed="false">
      <c r="B19" s="12" t="s">
        <v>247</v>
      </c>
      <c r="C19" s="5" t="s">
        <v>248</v>
      </c>
      <c r="D19" s="15" t="n">
        <v>133</v>
      </c>
      <c r="E19" s="18" t="n">
        <v>2394</v>
      </c>
      <c r="F19" s="18" t="n">
        <f aca="false">IF(D19=0,0,E19/D19)</f>
        <v>18</v>
      </c>
      <c r="G19" s="12" t="n">
        <v>5</v>
      </c>
      <c r="H19" s="6" t="s">
        <v>16</v>
      </c>
    </row>
    <row r="20" customFormat="false" ht="19.4" hidden="false" customHeight="false" outlineLevel="0" collapsed="false">
      <c r="B20" s="12" t="s">
        <v>249</v>
      </c>
      <c r="C20" s="5" t="s">
        <v>250</v>
      </c>
      <c r="D20" s="15" t="n">
        <v>123</v>
      </c>
      <c r="E20" s="18" t="n">
        <v>1845</v>
      </c>
      <c r="F20" s="18" t="n">
        <f aca="false">IF(D20=0,0,E20/D20)</f>
        <v>15</v>
      </c>
      <c r="G20" s="12" t="n">
        <v>4</v>
      </c>
      <c r="H20" s="6" t="s">
        <v>16</v>
      </c>
    </row>
    <row r="21" customFormat="false" ht="19.4" hidden="false" customHeight="false" outlineLevel="0" collapsed="false">
      <c r="B21" s="12" t="s">
        <v>251</v>
      </c>
      <c r="C21" s="5" t="s">
        <v>252</v>
      </c>
      <c r="D21" s="15" t="n">
        <v>105.5</v>
      </c>
      <c r="E21" s="18" t="n">
        <v>4755.5</v>
      </c>
      <c r="F21" s="18" t="n">
        <f aca="false">IF(D21=0,0,E21/D21)</f>
        <v>45.0758293838863</v>
      </c>
      <c r="G21" s="12" t="n">
        <v>34</v>
      </c>
      <c r="H21" s="6" t="s">
        <v>16</v>
      </c>
    </row>
    <row r="22" customFormat="false" ht="19.4" hidden="false" customHeight="false" outlineLevel="0" collapsed="false">
      <c r="B22" s="12" t="s">
        <v>253</v>
      </c>
      <c r="C22" s="5" t="s">
        <v>254</v>
      </c>
      <c r="D22" s="15" t="n">
        <v>75</v>
      </c>
      <c r="E22" s="18" t="n">
        <v>1350</v>
      </c>
      <c r="F22" s="18" t="n">
        <f aca="false">IF(D22=0,0,E22/D22)</f>
        <v>18</v>
      </c>
      <c r="G22" s="12" t="n">
        <v>3</v>
      </c>
      <c r="H22" s="6" t="s">
        <v>16</v>
      </c>
    </row>
    <row r="23" customFormat="false" ht="19.4" hidden="false" customHeight="false" outlineLevel="0" collapsed="false">
      <c r="B23" s="12" t="s">
        <v>255</v>
      </c>
      <c r="C23" s="5" t="s">
        <v>256</v>
      </c>
      <c r="D23" s="15" t="n">
        <v>75</v>
      </c>
      <c r="E23" s="18" t="n">
        <v>2025</v>
      </c>
      <c r="F23" s="18" t="n">
        <f aca="false">IF(D23=0,0,E23/D23)</f>
        <v>27</v>
      </c>
      <c r="G23" s="12" t="n">
        <v>3</v>
      </c>
      <c r="H23" s="6" t="s">
        <v>16</v>
      </c>
    </row>
    <row r="24" customFormat="false" ht="19.4" hidden="false" customHeight="false" outlineLevel="0" collapsed="false">
      <c r="B24" s="12" t="s">
        <v>257</v>
      </c>
      <c r="C24" s="5" t="s">
        <v>258</v>
      </c>
      <c r="D24" s="15" t="n">
        <v>70</v>
      </c>
      <c r="E24" s="18" t="n">
        <v>3321</v>
      </c>
      <c r="F24" s="18" t="n">
        <f aca="false">IF(D24=0,0,E24/D24)</f>
        <v>47.4428571428571</v>
      </c>
      <c r="G24" s="12" t="n">
        <v>39</v>
      </c>
      <c r="H24" s="6" t="s">
        <v>16</v>
      </c>
    </row>
    <row r="25" customFormat="false" ht="19.4" hidden="false" customHeight="false" outlineLevel="0" collapsed="false">
      <c r="B25" s="12" t="s">
        <v>259</v>
      </c>
      <c r="C25" s="5" t="s">
        <v>260</v>
      </c>
      <c r="D25" s="15" t="n">
        <v>67</v>
      </c>
      <c r="E25" s="18" t="n">
        <v>1206</v>
      </c>
      <c r="F25" s="18" t="n">
        <f aca="false">IF(D25=0,0,E25/D25)</f>
        <v>18</v>
      </c>
      <c r="G25" s="12" t="n">
        <v>2</v>
      </c>
      <c r="H25" s="6" t="s">
        <v>16</v>
      </c>
    </row>
    <row r="26" customFormat="false" ht="19.4" hidden="false" customHeight="false" outlineLevel="0" collapsed="false">
      <c r="B26" s="12" t="s">
        <v>261</v>
      </c>
      <c r="C26" s="5" t="s">
        <v>262</v>
      </c>
      <c r="D26" s="15" t="n">
        <v>24</v>
      </c>
      <c r="E26" s="18" t="n">
        <v>441</v>
      </c>
      <c r="F26" s="18" t="n">
        <f aca="false">IF(D26=0,0,E26/D26)</f>
        <v>18.375</v>
      </c>
      <c r="G26" s="12" t="n">
        <v>6</v>
      </c>
      <c r="H26" s="6" t="s">
        <v>16</v>
      </c>
    </row>
    <row r="27" customFormat="false" ht="19.4" hidden="false" customHeight="false" outlineLevel="0" collapsed="false">
      <c r="B27" s="12" t="s">
        <v>263</v>
      </c>
      <c r="C27" s="5" t="s">
        <v>264</v>
      </c>
      <c r="D27" s="15" t="n">
        <v>23</v>
      </c>
      <c r="E27" s="18" t="n">
        <v>598</v>
      </c>
      <c r="F27" s="18" t="n">
        <f aca="false">IF(D27=0,0,E27/D27)</f>
        <v>26</v>
      </c>
      <c r="G27" s="12" t="n">
        <v>2</v>
      </c>
      <c r="H27" s="6" t="s">
        <v>16</v>
      </c>
    </row>
    <row r="28" customFormat="false" ht="19.4" hidden="false" customHeight="false" outlineLevel="0" collapsed="false">
      <c r="B28" s="12" t="s">
        <v>265</v>
      </c>
      <c r="C28" s="5" t="s">
        <v>266</v>
      </c>
      <c r="D28" s="15" t="n">
        <v>16</v>
      </c>
      <c r="E28" s="18" t="n">
        <v>256</v>
      </c>
      <c r="F28" s="18" t="n">
        <f aca="false">IF(D28=0,0,E28/D28)</f>
        <v>16</v>
      </c>
      <c r="G28" s="12" t="n">
        <v>1</v>
      </c>
      <c r="H28" s="6" t="s">
        <v>16</v>
      </c>
    </row>
    <row r="29" customFormat="false" ht="19.4" hidden="false" customHeight="false" outlineLevel="0" collapsed="false">
      <c r="B29" s="12" t="s">
        <v>267</v>
      </c>
      <c r="C29" s="5" t="s">
        <v>268</v>
      </c>
      <c r="D29" s="15" t="n">
        <v>7</v>
      </c>
      <c r="E29" s="18" t="n">
        <v>259</v>
      </c>
      <c r="F29" s="18" t="n">
        <f aca="false">IF(D29=0,0,E29/D29)</f>
        <v>37</v>
      </c>
      <c r="G29" s="12" t="n">
        <v>1</v>
      </c>
      <c r="H29" s="6" t="s">
        <v>16</v>
      </c>
    </row>
    <row r="30" customFormat="false" ht="19.4" hidden="false" customHeight="false" outlineLevel="0" collapsed="false">
      <c r="B30" s="12" t="s">
        <v>269</v>
      </c>
      <c r="C30" s="5" t="s">
        <v>270</v>
      </c>
      <c r="D30" s="15" t="n">
        <v>2</v>
      </c>
      <c r="E30" s="18" t="n">
        <v>28</v>
      </c>
      <c r="F30" s="18" t="n">
        <f aca="false">IF(D30=0,0,E30/D30)</f>
        <v>14</v>
      </c>
      <c r="G30" s="12" t="n">
        <v>1</v>
      </c>
      <c r="H30" s="6" t="s">
        <v>16</v>
      </c>
    </row>
    <row r="31" customFormat="false" ht="15" hidden="false" customHeight="false" outlineLevel="0" collapsed="false">
      <c r="B31" s="16" t="s">
        <v>157</v>
      </c>
      <c r="D31" s="8" t="n">
        <f aca="false">SUM(D6:D30)</f>
        <v>8621.5</v>
      </c>
      <c r="E31" s="7" t="n">
        <f aca="false">SUM(E6:E30)</f>
        <v>210715.5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0"/>
  </cols>
  <sheetData>
    <row r="2" customFormat="false" ht="27.75" hidden="false" customHeight="true" outlineLevel="0" collapsed="false">
      <c r="B2" s="1" t="s">
        <v>271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272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273</v>
      </c>
    </row>
    <row r="6" customFormat="false" ht="15" hidden="false" customHeight="false" outlineLevel="0" collapsed="false">
      <c r="B6" s="11" t="s">
        <v>274</v>
      </c>
      <c r="C6" s="11" t="s">
        <v>275</v>
      </c>
      <c r="D6" s="11" t="s">
        <v>276</v>
      </c>
      <c r="E6" s="11" t="s">
        <v>100</v>
      </c>
    </row>
    <row r="7" customFormat="false" ht="19.4" hidden="false" customHeight="false" outlineLevel="0" collapsed="false">
      <c r="B7" s="5" t="s">
        <v>277</v>
      </c>
      <c r="C7" s="23" t="n">
        <v>25</v>
      </c>
      <c r="D7" s="5" t="s">
        <v>278</v>
      </c>
      <c r="E7" s="6" t="s">
        <v>16</v>
      </c>
    </row>
    <row r="8" customFormat="false" ht="19.4" hidden="false" customHeight="false" outlineLevel="0" collapsed="false">
      <c r="B8" s="5" t="s">
        <v>279</v>
      </c>
      <c r="C8" s="15" t="n">
        <v>8541.5</v>
      </c>
      <c r="D8" s="5" t="s">
        <v>280</v>
      </c>
      <c r="E8" s="6" t="s">
        <v>16</v>
      </c>
    </row>
    <row r="9" customFormat="false" ht="19.4" hidden="false" customHeight="false" outlineLevel="0" collapsed="false">
      <c r="B9" s="5" t="s">
        <v>281</v>
      </c>
      <c r="C9" s="15" t="n">
        <v>210715.5</v>
      </c>
      <c r="D9" s="5" t="s">
        <v>280</v>
      </c>
      <c r="E9" s="6" t="s">
        <v>16</v>
      </c>
    </row>
    <row r="10" customFormat="false" ht="15" hidden="false" customHeight="false" outlineLevel="0" collapsed="false">
      <c r="B10" s="5" t="s">
        <v>282</v>
      </c>
      <c r="C10" s="18" t="n">
        <v>24.6696130656208</v>
      </c>
      <c r="D10" s="5" t="s">
        <v>283</v>
      </c>
      <c r="E10" s="6" t="s">
        <v>284</v>
      </c>
    </row>
    <row r="11" customFormat="false" ht="15" hidden="false" customHeight="false" outlineLevel="0" collapsed="false">
      <c r="B11" s="5" t="s">
        <v>285</v>
      </c>
      <c r="C11" s="14" t="n">
        <v>0.210501668325236</v>
      </c>
      <c r="D11" s="5" t="s">
        <v>286</v>
      </c>
      <c r="E11" s="6" t="s">
        <v>284</v>
      </c>
    </row>
    <row r="12" customFormat="false" ht="15" hidden="false" customHeight="false" outlineLevel="0" collapsed="false">
      <c r="B12" s="5" t="s">
        <v>287</v>
      </c>
      <c r="C12" s="14" t="n">
        <v>0.726101972721419</v>
      </c>
      <c r="D12" s="5" t="s">
        <v>288</v>
      </c>
      <c r="E12" s="6" t="s">
        <v>284</v>
      </c>
    </row>
    <row r="13" customFormat="false" ht="15" hidden="false" customHeight="false" outlineLevel="0" collapsed="false">
      <c r="B13" s="5" t="s">
        <v>289</v>
      </c>
      <c r="C13" s="18" t="n">
        <v>47.4428571428571</v>
      </c>
      <c r="D13" s="5" t="s">
        <v>290</v>
      </c>
      <c r="E13" s="6" t="s">
        <v>284</v>
      </c>
    </row>
    <row r="14" customFormat="false" ht="15" hidden="false" customHeight="false" outlineLevel="0" collapsed="false">
      <c r="B14" s="5" t="s">
        <v>291</v>
      </c>
      <c r="C14" s="18" t="n">
        <v>13.0895833333333</v>
      </c>
      <c r="D14" s="5" t="s">
        <v>290</v>
      </c>
      <c r="E14" s="6" t="s">
        <v>284</v>
      </c>
    </row>
    <row r="15" customFormat="false" ht="15" hidden="false" customHeight="false" outlineLevel="0" collapsed="false">
      <c r="B15" s="5" t="s">
        <v>292</v>
      </c>
      <c r="C15" s="15" t="n">
        <v>341.66</v>
      </c>
      <c r="D15" s="5" t="s">
        <v>293</v>
      </c>
      <c r="E15" s="6" t="s">
        <v>284</v>
      </c>
    </row>
    <row r="16" customFormat="false" ht="15" hidden="false" customHeight="false" outlineLevel="0" collapsed="false">
      <c r="B16" s="5" t="s">
        <v>294</v>
      </c>
      <c r="C16" s="15" t="n">
        <v>16.24</v>
      </c>
      <c r="D16" s="5" t="s">
        <v>295</v>
      </c>
      <c r="E16" s="6" t="s">
        <v>284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4"/>
  </cols>
  <sheetData>
    <row r="2" customFormat="false" ht="27.75" hidden="false" customHeight="true" outlineLevel="0" collapsed="false">
      <c r="B2" s="1" t="s">
        <v>296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297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274</v>
      </c>
      <c r="C5" s="11" t="s">
        <v>275</v>
      </c>
      <c r="D5" s="11" t="s">
        <v>298</v>
      </c>
      <c r="E5" s="11" t="s">
        <v>299</v>
      </c>
    </row>
    <row r="6" customFormat="false" ht="15" hidden="false" customHeight="false" outlineLevel="0" collapsed="false">
      <c r="B6" s="5" t="s">
        <v>300</v>
      </c>
      <c r="C6" s="18" t="n">
        <f aca="false">830667/8541.5</f>
        <v>97.2507170871627</v>
      </c>
      <c r="D6" s="12" t="s">
        <v>301</v>
      </c>
      <c r="E6" s="6" t="s">
        <v>302</v>
      </c>
    </row>
    <row r="7" customFormat="false" ht="15" hidden="false" customHeight="false" outlineLevel="0" collapsed="false">
      <c r="B7" s="5" t="s">
        <v>303</v>
      </c>
      <c r="C7" s="18" t="n">
        <f aca="false">282699.94/8541.5</f>
        <v>33.0972241409588</v>
      </c>
      <c r="D7" s="12" t="s">
        <v>301</v>
      </c>
      <c r="E7" s="6" t="s">
        <v>304</v>
      </c>
    </row>
    <row r="8" customFormat="false" ht="15" hidden="false" customHeight="false" outlineLevel="0" collapsed="false">
      <c r="B8" s="5" t="s">
        <v>305</v>
      </c>
      <c r="C8" s="18" t="n">
        <f aca="false">210715.5/8541.5</f>
        <v>24.6696130656208</v>
      </c>
      <c r="D8" s="12" t="s">
        <v>301</v>
      </c>
      <c r="E8" s="6" t="s">
        <v>306</v>
      </c>
    </row>
    <row r="9" customFormat="false" ht="15" hidden="false" customHeight="false" outlineLevel="0" collapsed="false">
      <c r="B9" s="5" t="s">
        <v>307</v>
      </c>
      <c r="C9" s="18" t="n">
        <f aca="false">(210715.5+93383.48+16119.9)/8541.5</f>
        <v>37.4897711174852</v>
      </c>
      <c r="D9" s="12" t="s">
        <v>301</v>
      </c>
      <c r="E9" s="6" t="s">
        <v>308</v>
      </c>
    </row>
    <row r="10" customFormat="false" ht="15" hidden="false" customHeight="false" outlineLevel="0" collapsed="false">
      <c r="B10" s="5" t="s">
        <v>309</v>
      </c>
      <c r="C10" s="24" t="n">
        <f aca="false">(210715.5+93383.48+16119.9)/210715.5</f>
        <v>1.51967406289523</v>
      </c>
      <c r="D10" s="12" t="s">
        <v>301</v>
      </c>
      <c r="E10" s="6" t="s">
        <v>310</v>
      </c>
    </row>
    <row r="11" customFormat="false" ht="15" hidden="false" customHeight="false" outlineLevel="0" collapsed="false">
      <c r="B11" s="5" t="s">
        <v>311</v>
      </c>
      <c r="C11" s="15" t="n">
        <v>4901</v>
      </c>
      <c r="D11" s="12" t="s">
        <v>312</v>
      </c>
      <c r="E11" s="6" t="s">
        <v>313</v>
      </c>
    </row>
    <row r="12" customFormat="false" ht="15" hidden="false" customHeight="false" outlineLevel="0" collapsed="false">
      <c r="B12" s="5" t="s">
        <v>314</v>
      </c>
      <c r="C12" s="15" t="n">
        <v>870</v>
      </c>
      <c r="D12" s="12" t="s">
        <v>312</v>
      </c>
      <c r="E12" s="6" t="s">
        <v>315</v>
      </c>
    </row>
    <row r="13" customFormat="false" ht="15" hidden="false" customHeight="false" outlineLevel="0" collapsed="false">
      <c r="B13" s="5" t="s">
        <v>316</v>
      </c>
      <c r="C13" s="14" t="n">
        <f aca="false">4901/8541.5</f>
        <v>0.573786805596207</v>
      </c>
      <c r="D13" s="12" t="s">
        <v>301</v>
      </c>
      <c r="E13" s="6" t="s">
        <v>317</v>
      </c>
    </row>
    <row r="14" customFormat="false" ht="15" hidden="false" customHeight="false" outlineLevel="0" collapsed="false">
      <c r="B14" s="5" t="s">
        <v>318</v>
      </c>
      <c r="C14" s="14" t="n">
        <f aca="false">282699.94/830667</f>
        <v>0.340328844169806</v>
      </c>
      <c r="D14" s="12" t="s">
        <v>301</v>
      </c>
      <c r="E14" s="6" t="s">
        <v>319</v>
      </c>
    </row>
    <row r="15" customFormat="false" ht="15" hidden="false" customHeight="false" outlineLevel="0" collapsed="false">
      <c r="B15" s="5" t="s">
        <v>320</v>
      </c>
      <c r="C15" s="14" t="n">
        <f aca="false">210715.5/830667</f>
        <v>0.253670243310496</v>
      </c>
      <c r="D15" s="12" t="s">
        <v>301</v>
      </c>
      <c r="E15" s="6"/>
    </row>
    <row r="16" customFormat="false" ht="15" hidden="false" customHeight="false" outlineLevel="0" collapsed="false">
      <c r="B16" s="5" t="s">
        <v>321</v>
      </c>
      <c r="C16" s="14" t="n">
        <f aca="false">194870.36/830667</f>
        <v>0.234595042297335</v>
      </c>
      <c r="D16" s="12" t="s">
        <v>301</v>
      </c>
      <c r="E16" s="6"/>
    </row>
    <row r="17" customFormat="false" ht="15" hidden="false" customHeight="false" outlineLevel="0" collapsed="false">
      <c r="B17" s="5" t="s">
        <v>322</v>
      </c>
      <c r="C17" s="14" t="n">
        <f aca="false">547967.06/830667</f>
        <v>0.659671155830194</v>
      </c>
      <c r="D17" s="12" t="s">
        <v>301</v>
      </c>
      <c r="E17" s="6" t="s">
        <v>323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42"/>
  </cols>
  <sheetData>
    <row r="2" customFormat="false" ht="27.75" hidden="false" customHeight="true" outlineLevel="0" collapsed="false">
      <c r="B2" s="1" t="s">
        <v>324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325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326</v>
      </c>
      <c r="C5" s="11" t="s">
        <v>327</v>
      </c>
      <c r="D5" s="11" t="s">
        <v>328</v>
      </c>
      <c r="E5" s="11" t="s">
        <v>329</v>
      </c>
      <c r="F5" s="11" t="s">
        <v>330</v>
      </c>
      <c r="G5" s="11" t="s">
        <v>93</v>
      </c>
      <c r="H5" s="11" t="s">
        <v>331</v>
      </c>
      <c r="I5" s="11" t="s">
        <v>100</v>
      </c>
    </row>
    <row r="6" customFormat="false" ht="28.35" hidden="false" customHeight="false" outlineLevel="0" collapsed="false">
      <c r="B6" s="25" t="s">
        <v>332</v>
      </c>
      <c r="C6" s="5" t="s">
        <v>333</v>
      </c>
      <c r="D6" s="5" t="s">
        <v>334</v>
      </c>
      <c r="E6" s="25" t="s">
        <v>332</v>
      </c>
      <c r="F6" s="26" t="s">
        <v>335</v>
      </c>
      <c r="G6" s="5" t="s">
        <v>336</v>
      </c>
      <c r="H6" s="18" t="n">
        <v>830667</v>
      </c>
      <c r="I6" s="6" t="s">
        <v>337</v>
      </c>
    </row>
    <row r="7" customFormat="false" ht="15" hidden="false" customHeight="false" outlineLevel="0" collapsed="false">
      <c r="B7" s="16" t="s">
        <v>157</v>
      </c>
      <c r="H7" s="19" t="n">
        <f aca="false">SUM(H6)</f>
        <v>830667</v>
      </c>
    </row>
    <row r="9" customFormat="false" ht="15" hidden="false" customHeight="true" outlineLevel="0" collapsed="false">
      <c r="B9" s="22" t="s">
        <v>338</v>
      </c>
      <c r="C9" s="22"/>
      <c r="D9" s="22"/>
      <c r="E9" s="22"/>
      <c r="F9" s="22"/>
      <c r="G9" s="22"/>
      <c r="H9" s="22"/>
      <c r="I9" s="22"/>
    </row>
  </sheetData>
  <mergeCells count="3">
    <mergeCell ref="B2:J2"/>
    <mergeCell ref="B3:J3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2"/>
    <col collapsed="false" customWidth="true" hidden="false" outlineLevel="0" max="9" min="9" style="0" width="52"/>
  </cols>
  <sheetData>
    <row r="2" customFormat="false" ht="27.75" hidden="false" customHeight="true" outlineLevel="0" collapsed="false">
      <c r="B2" s="1" t="s">
        <v>339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340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341</v>
      </c>
    </row>
    <row r="6" customFormat="false" ht="15" hidden="false" customHeight="false" outlineLevel="0" collapsed="false">
      <c r="B6" s="11" t="s">
        <v>342</v>
      </c>
      <c r="C6" s="11" t="s">
        <v>327</v>
      </c>
      <c r="D6" s="11" t="s">
        <v>343</v>
      </c>
      <c r="E6" s="11" t="s">
        <v>344</v>
      </c>
      <c r="F6" s="11" t="s">
        <v>345</v>
      </c>
      <c r="G6" s="11" t="s">
        <v>346</v>
      </c>
      <c r="H6" s="11" t="s">
        <v>347</v>
      </c>
      <c r="I6" s="11" t="s">
        <v>100</v>
      </c>
    </row>
    <row r="7" customFormat="false" ht="15" hidden="false" customHeight="false" outlineLevel="0" collapsed="false">
      <c r="B7" s="12" t="n">
        <v>1</v>
      </c>
      <c r="C7" s="12" t="s">
        <v>348</v>
      </c>
      <c r="D7" s="18" t="n">
        <v>825370</v>
      </c>
      <c r="E7" s="18" t="n">
        <v>49600</v>
      </c>
      <c r="F7" s="18" t="n">
        <v>0</v>
      </c>
      <c r="G7" s="18" t="n">
        <v>49600</v>
      </c>
      <c r="H7" s="14" t="n">
        <v>0.0597</v>
      </c>
      <c r="I7" s="6" t="s">
        <v>349</v>
      </c>
    </row>
    <row r="8" customFormat="false" ht="15" hidden="false" customHeight="false" outlineLevel="0" collapsed="false">
      <c r="B8" s="12" t="n">
        <v>2</v>
      </c>
      <c r="C8" s="12" t="s">
        <v>350</v>
      </c>
      <c r="D8" s="18" t="n">
        <v>830310</v>
      </c>
      <c r="E8" s="18" t="n">
        <v>48300</v>
      </c>
      <c r="F8" s="18" t="n">
        <v>0</v>
      </c>
      <c r="G8" s="18" t="n">
        <v>97900</v>
      </c>
      <c r="H8" s="14" t="n">
        <v>0.1179</v>
      </c>
      <c r="I8" s="6" t="s">
        <v>351</v>
      </c>
    </row>
    <row r="9" customFormat="false" ht="15" hidden="false" customHeight="false" outlineLevel="0" collapsed="false">
      <c r="B9" s="12" t="n">
        <v>3</v>
      </c>
      <c r="C9" s="12" t="s">
        <v>352</v>
      </c>
      <c r="D9" s="18" t="n">
        <v>830310</v>
      </c>
      <c r="E9" s="18" t="n">
        <v>4200</v>
      </c>
      <c r="F9" s="18" t="n">
        <v>0</v>
      </c>
      <c r="G9" s="18" t="n">
        <v>102100</v>
      </c>
      <c r="H9" s="14" t="n">
        <v>0.123</v>
      </c>
      <c r="I9" s="6" t="s">
        <v>353</v>
      </c>
    </row>
    <row r="10" customFormat="false" ht="15" hidden="false" customHeight="false" outlineLevel="0" collapsed="false">
      <c r="B10" s="12" t="n">
        <v>4</v>
      </c>
      <c r="C10" s="12" t="s">
        <v>354</v>
      </c>
      <c r="D10" s="18" t="n">
        <v>830310</v>
      </c>
      <c r="E10" s="18" t="n">
        <v>17300</v>
      </c>
      <c r="F10" s="18" t="n">
        <v>0</v>
      </c>
      <c r="G10" s="18" t="n">
        <v>119400</v>
      </c>
      <c r="H10" s="14" t="n">
        <v>0.1438</v>
      </c>
      <c r="I10" s="6" t="s">
        <v>355</v>
      </c>
    </row>
    <row r="11" customFormat="false" ht="15" hidden="false" customHeight="false" outlineLevel="0" collapsed="false">
      <c r="B11" s="12" t="n">
        <v>5</v>
      </c>
      <c r="C11" s="12" t="s">
        <v>356</v>
      </c>
      <c r="D11" s="18" t="n">
        <v>830310</v>
      </c>
      <c r="E11" s="18" t="n">
        <v>103300</v>
      </c>
      <c r="F11" s="18" t="n">
        <v>0</v>
      </c>
      <c r="G11" s="18" t="n">
        <v>222700</v>
      </c>
      <c r="H11" s="14" t="n">
        <v>0.2682</v>
      </c>
      <c r="I11" s="6" t="s">
        <v>357</v>
      </c>
    </row>
    <row r="12" customFormat="false" ht="15" hidden="false" customHeight="false" outlineLevel="0" collapsed="false">
      <c r="B12" s="12" t="n">
        <v>6</v>
      </c>
      <c r="C12" s="12" t="s">
        <v>358</v>
      </c>
      <c r="D12" s="18" t="n">
        <v>830310</v>
      </c>
      <c r="E12" s="18" t="n">
        <v>167600</v>
      </c>
      <c r="F12" s="18" t="n">
        <v>0</v>
      </c>
      <c r="G12" s="18" t="n">
        <v>390300</v>
      </c>
      <c r="H12" s="14" t="n">
        <v>0.4701</v>
      </c>
      <c r="I12" s="6" t="s">
        <v>359</v>
      </c>
    </row>
    <row r="13" customFormat="false" ht="15" hidden="false" customHeight="false" outlineLevel="0" collapsed="false">
      <c r="B13" s="12" t="n">
        <v>7</v>
      </c>
      <c r="C13" s="12" t="s">
        <v>360</v>
      </c>
      <c r="D13" s="18" t="n">
        <v>830310</v>
      </c>
      <c r="E13" s="18" t="n">
        <v>137100</v>
      </c>
      <c r="F13" s="18" t="n">
        <v>0</v>
      </c>
      <c r="G13" s="18" t="n">
        <v>527400</v>
      </c>
      <c r="H13" s="14" t="n">
        <v>0.6352</v>
      </c>
      <c r="I13" s="6" t="s">
        <v>361</v>
      </c>
    </row>
    <row r="14" customFormat="false" ht="15" hidden="false" customHeight="false" outlineLevel="0" collapsed="false">
      <c r="B14" s="12" t="n">
        <v>8</v>
      </c>
      <c r="C14" s="12" t="s">
        <v>362</v>
      </c>
      <c r="D14" s="18" t="n">
        <v>830310</v>
      </c>
      <c r="E14" s="18" t="n">
        <v>144725</v>
      </c>
      <c r="F14" s="18" t="n">
        <v>0</v>
      </c>
      <c r="G14" s="18" t="n">
        <v>672125</v>
      </c>
      <c r="H14" s="14" t="n">
        <v>0.8095</v>
      </c>
      <c r="I14" s="6" t="s">
        <v>363</v>
      </c>
    </row>
    <row r="15" customFormat="false" ht="15" hidden="false" customHeight="false" outlineLevel="0" collapsed="false">
      <c r="B15" s="12" t="n">
        <v>9</v>
      </c>
      <c r="C15" s="12" t="s">
        <v>364</v>
      </c>
      <c r="D15" s="18" t="n">
        <v>830310</v>
      </c>
      <c r="E15" s="18" t="n">
        <v>56205</v>
      </c>
      <c r="F15" s="18" t="n">
        <v>0</v>
      </c>
      <c r="G15" s="18" t="n">
        <v>728330</v>
      </c>
      <c r="H15" s="14" t="n">
        <v>0.8772</v>
      </c>
      <c r="I15" s="6" t="s">
        <v>365</v>
      </c>
    </row>
    <row r="16" customFormat="false" ht="15" hidden="false" customHeight="false" outlineLevel="0" collapsed="false">
      <c r="B16" s="12" t="n">
        <v>10</v>
      </c>
      <c r="C16" s="12" t="s">
        <v>366</v>
      </c>
      <c r="D16" s="18" t="n">
        <v>830310</v>
      </c>
      <c r="E16" s="18" t="n">
        <v>4540</v>
      </c>
      <c r="F16" s="18" t="n">
        <v>0</v>
      </c>
      <c r="G16" s="18" t="n">
        <v>732870</v>
      </c>
      <c r="H16" s="14" t="n">
        <v>0.8827</v>
      </c>
      <c r="I16" s="6" t="s">
        <v>367</v>
      </c>
    </row>
    <row r="17" customFormat="false" ht="15" hidden="false" customHeight="false" outlineLevel="0" collapsed="false">
      <c r="B17" s="12" t="n">
        <v>11</v>
      </c>
      <c r="C17" s="12" t="s">
        <v>368</v>
      </c>
      <c r="D17" s="18" t="n">
        <v>830310</v>
      </c>
      <c r="E17" s="18" t="n">
        <v>16900</v>
      </c>
      <c r="F17" s="18" t="n">
        <v>0</v>
      </c>
      <c r="G17" s="18" t="n">
        <v>749770</v>
      </c>
      <c r="H17" s="14" t="n">
        <v>0.903</v>
      </c>
      <c r="I17" s="6" t="s">
        <v>369</v>
      </c>
    </row>
    <row r="18" customFormat="false" ht="15" hidden="false" customHeight="false" outlineLevel="0" collapsed="false">
      <c r="B18" s="12" t="n">
        <v>12</v>
      </c>
      <c r="C18" s="12" t="s">
        <v>370</v>
      </c>
      <c r="D18" s="18" t="n">
        <v>830310</v>
      </c>
      <c r="E18" s="18" t="n">
        <v>23440</v>
      </c>
      <c r="F18" s="18" t="n">
        <v>0</v>
      </c>
      <c r="G18" s="18" t="n">
        <v>773210</v>
      </c>
      <c r="H18" s="14" t="n">
        <v>0.9312</v>
      </c>
      <c r="I18" s="6" t="s">
        <v>371</v>
      </c>
    </row>
    <row r="19" customFormat="false" ht="15" hidden="false" customHeight="false" outlineLevel="0" collapsed="false">
      <c r="B19" s="12" t="n">
        <v>13</v>
      </c>
      <c r="C19" s="12" t="s">
        <v>372</v>
      </c>
      <c r="D19" s="18" t="n">
        <v>830310</v>
      </c>
      <c r="E19" s="18" t="n">
        <v>13125</v>
      </c>
      <c r="F19" s="18" t="n">
        <v>0</v>
      </c>
      <c r="G19" s="18" t="n">
        <v>786335</v>
      </c>
      <c r="H19" s="14" t="n">
        <v>0.947</v>
      </c>
      <c r="I19" s="6" t="s">
        <v>373</v>
      </c>
    </row>
    <row r="20" customFormat="false" ht="15" hidden="false" customHeight="false" outlineLevel="0" collapsed="false">
      <c r="B20" s="12" t="n">
        <v>14</v>
      </c>
      <c r="C20" s="12" t="s">
        <v>374</v>
      </c>
      <c r="D20" s="18" t="n">
        <v>830310</v>
      </c>
      <c r="E20" s="18" t="n">
        <v>43975</v>
      </c>
      <c r="F20" s="18" t="n">
        <v>0</v>
      </c>
      <c r="G20" s="18" t="n">
        <v>830310</v>
      </c>
      <c r="H20" s="14" t="n">
        <v>1</v>
      </c>
      <c r="I20" s="6" t="s">
        <v>375</v>
      </c>
    </row>
    <row r="21" customFormat="false" ht="15" hidden="false" customHeight="false" outlineLevel="0" collapsed="false">
      <c r="B21" s="12" t="n">
        <v>15</v>
      </c>
      <c r="C21" s="12" t="s">
        <v>376</v>
      </c>
      <c r="D21" s="18" t="n">
        <v>830667</v>
      </c>
      <c r="E21" s="18" t="n">
        <v>357</v>
      </c>
      <c r="F21" s="18" t="n">
        <v>0</v>
      </c>
      <c r="G21" s="18" t="n">
        <v>830667</v>
      </c>
      <c r="H21" s="14" t="n">
        <v>1</v>
      </c>
      <c r="I21" s="6" t="s">
        <v>377</v>
      </c>
    </row>
    <row r="22" customFormat="false" ht="15" hidden="false" customHeight="false" outlineLevel="0" collapsed="false">
      <c r="B22" s="16" t="s">
        <v>378</v>
      </c>
      <c r="E22" s="19" t="n">
        <f aca="false">SUM(E7:E21)</f>
        <v>830667</v>
      </c>
    </row>
    <row r="24" customFormat="false" ht="23.85" hidden="false" customHeight="true" outlineLevel="0" collapsed="false">
      <c r="B24" s="22" t="s">
        <v>379</v>
      </c>
      <c r="C24" s="22"/>
      <c r="D24" s="22"/>
      <c r="E24" s="22"/>
      <c r="F24" s="22"/>
      <c r="G24" s="22"/>
      <c r="H24" s="22"/>
      <c r="I24" s="22"/>
    </row>
    <row r="26" customFormat="false" ht="15" hidden="false" customHeight="false" outlineLevel="0" collapsed="false">
      <c r="B26" s="3" t="s">
        <v>380</v>
      </c>
    </row>
    <row r="27" customFormat="false" ht="23.85" hidden="false" customHeight="false" outlineLevel="0" collapsed="false">
      <c r="B27" s="11" t="s">
        <v>381</v>
      </c>
      <c r="C27" s="11" t="s">
        <v>327</v>
      </c>
      <c r="D27" s="11" t="s">
        <v>382</v>
      </c>
      <c r="E27" s="11" t="s">
        <v>383</v>
      </c>
      <c r="F27" s="11" t="s">
        <v>384</v>
      </c>
      <c r="G27" s="11" t="s">
        <v>100</v>
      </c>
    </row>
    <row r="28" customFormat="false" ht="55.2" hidden="false" customHeight="false" outlineLevel="0" collapsed="false">
      <c r="B28" s="12" t="s">
        <v>385</v>
      </c>
      <c r="C28" s="12" t="s">
        <v>386</v>
      </c>
      <c r="D28" s="13" t="n">
        <v>-62000</v>
      </c>
      <c r="E28" s="13" t="n">
        <v>-3100</v>
      </c>
      <c r="F28" s="12" t="n">
        <v>1</v>
      </c>
      <c r="G28" s="6" t="s">
        <v>16</v>
      </c>
    </row>
    <row r="29" customFormat="false" ht="55.2" hidden="false" customHeight="false" outlineLevel="0" collapsed="false">
      <c r="B29" s="12" t="s">
        <v>387</v>
      </c>
      <c r="C29" s="12" t="s">
        <v>386</v>
      </c>
      <c r="D29" s="13" t="n">
        <v>62000</v>
      </c>
      <c r="E29" s="13" t="n">
        <v>3100</v>
      </c>
      <c r="F29" s="12" t="n">
        <v>1</v>
      </c>
      <c r="G29" s="6" t="s">
        <v>16</v>
      </c>
    </row>
    <row r="30" customFormat="false" ht="55.2" hidden="false" customHeight="false" outlineLevel="0" collapsed="false">
      <c r="B30" s="12" t="s">
        <v>388</v>
      </c>
      <c r="C30" s="12" t="s">
        <v>386</v>
      </c>
      <c r="D30" s="13" t="n">
        <v>-49600</v>
      </c>
      <c r="E30" s="13" t="n">
        <v>-2480</v>
      </c>
      <c r="F30" s="12" t="n">
        <v>1</v>
      </c>
      <c r="G30" s="6" t="s">
        <v>16</v>
      </c>
    </row>
    <row r="31" customFormat="false" ht="55.2" hidden="false" customHeight="false" outlineLevel="0" collapsed="false">
      <c r="B31" s="12" t="s">
        <v>389</v>
      </c>
      <c r="C31" s="12" t="s">
        <v>390</v>
      </c>
      <c r="D31" s="13" t="n">
        <v>-48300</v>
      </c>
      <c r="E31" s="13" t="n">
        <v>-2415</v>
      </c>
      <c r="F31" s="12" t="n">
        <v>3</v>
      </c>
      <c r="G31" s="6" t="s">
        <v>16</v>
      </c>
    </row>
    <row r="32" customFormat="false" ht="55.2" hidden="false" customHeight="false" outlineLevel="0" collapsed="false">
      <c r="B32" s="12" t="s">
        <v>391</v>
      </c>
      <c r="C32" s="12" t="s">
        <v>392</v>
      </c>
      <c r="D32" s="13" t="n">
        <v>-4200</v>
      </c>
      <c r="E32" s="13" t="n">
        <v>-210</v>
      </c>
      <c r="F32" s="12" t="n">
        <v>1</v>
      </c>
      <c r="G32" s="6" t="s">
        <v>16</v>
      </c>
    </row>
    <row r="33" customFormat="false" ht="55.2" hidden="false" customHeight="false" outlineLevel="0" collapsed="false">
      <c r="B33" s="12" t="s">
        <v>393</v>
      </c>
      <c r="C33" s="12" t="s">
        <v>394</v>
      </c>
      <c r="D33" s="13" t="n">
        <v>-17300</v>
      </c>
      <c r="E33" s="13" t="n">
        <v>-865</v>
      </c>
      <c r="F33" s="12" t="n">
        <v>2</v>
      </c>
      <c r="G33" s="6" t="s">
        <v>16</v>
      </c>
    </row>
    <row r="34" customFormat="false" ht="55.2" hidden="false" customHeight="false" outlineLevel="0" collapsed="false">
      <c r="B34" s="12" t="s">
        <v>395</v>
      </c>
      <c r="C34" s="12" t="s">
        <v>396</v>
      </c>
      <c r="D34" s="13" t="n">
        <v>-103300</v>
      </c>
      <c r="E34" s="13" t="n">
        <v>-5165</v>
      </c>
      <c r="F34" s="12" t="n">
        <v>4</v>
      </c>
      <c r="G34" s="6" t="s">
        <v>16</v>
      </c>
    </row>
    <row r="35" customFormat="false" ht="55.2" hidden="false" customHeight="false" outlineLevel="0" collapsed="false">
      <c r="B35" s="12" t="s">
        <v>397</v>
      </c>
      <c r="C35" s="12" t="s">
        <v>398</v>
      </c>
      <c r="D35" s="13" t="n">
        <v>-167600</v>
      </c>
      <c r="E35" s="13" t="n">
        <v>-8380</v>
      </c>
      <c r="F35" s="12" t="n">
        <v>7</v>
      </c>
      <c r="G35" s="6" t="s">
        <v>16</v>
      </c>
    </row>
    <row r="36" customFormat="false" ht="55.2" hidden="false" customHeight="false" outlineLevel="0" collapsed="false">
      <c r="B36" s="12" t="s">
        <v>399</v>
      </c>
      <c r="C36" s="12" t="s">
        <v>400</v>
      </c>
      <c r="D36" s="13" t="n">
        <v>-137100</v>
      </c>
      <c r="E36" s="13" t="n">
        <v>-6855</v>
      </c>
      <c r="F36" s="12" t="n">
        <v>9</v>
      </c>
      <c r="G36" s="6" t="s">
        <v>16</v>
      </c>
    </row>
    <row r="37" customFormat="false" ht="55.2" hidden="false" customHeight="false" outlineLevel="0" collapsed="false">
      <c r="B37" s="12" t="s">
        <v>401</v>
      </c>
      <c r="C37" s="12" t="s">
        <v>402</v>
      </c>
      <c r="D37" s="13" t="n">
        <v>-144725</v>
      </c>
      <c r="E37" s="13" t="n">
        <v>-7236.25</v>
      </c>
      <c r="F37" s="12" t="n">
        <v>7</v>
      </c>
      <c r="G37" s="6" t="s">
        <v>16</v>
      </c>
    </row>
    <row r="38" customFormat="false" ht="55.2" hidden="false" customHeight="false" outlineLevel="0" collapsed="false">
      <c r="B38" s="12" t="s">
        <v>403</v>
      </c>
      <c r="C38" s="12" t="s">
        <v>404</v>
      </c>
      <c r="D38" s="13" t="n">
        <v>-56205</v>
      </c>
      <c r="E38" s="13" t="n">
        <v>-2810.25</v>
      </c>
      <c r="F38" s="12" t="n">
        <v>7</v>
      </c>
      <c r="G38" s="6" t="s">
        <v>16</v>
      </c>
    </row>
    <row r="39" customFormat="false" ht="55.2" hidden="false" customHeight="false" outlineLevel="0" collapsed="false">
      <c r="B39" s="12" t="s">
        <v>405</v>
      </c>
      <c r="C39" s="12" t="s">
        <v>406</v>
      </c>
      <c r="D39" s="13" t="n">
        <v>-4540</v>
      </c>
      <c r="E39" s="13" t="n">
        <v>-227</v>
      </c>
      <c r="F39" s="12" t="n">
        <v>2</v>
      </c>
      <c r="G39" s="6" t="s">
        <v>16</v>
      </c>
    </row>
    <row r="40" customFormat="false" ht="55.2" hidden="false" customHeight="false" outlineLevel="0" collapsed="false">
      <c r="B40" s="12" t="s">
        <v>407</v>
      </c>
      <c r="C40" s="12" t="s">
        <v>408</v>
      </c>
      <c r="D40" s="13" t="n">
        <v>-16900</v>
      </c>
      <c r="E40" s="13" t="n">
        <v>-845</v>
      </c>
      <c r="F40" s="12" t="n">
        <v>3</v>
      </c>
      <c r="G40" s="6" t="s">
        <v>16</v>
      </c>
    </row>
    <row r="41" customFormat="false" ht="55.2" hidden="false" customHeight="false" outlineLevel="0" collapsed="false">
      <c r="B41" s="12" t="s">
        <v>409</v>
      </c>
      <c r="C41" s="12" t="s">
        <v>410</v>
      </c>
      <c r="D41" s="13" t="n">
        <v>-18500</v>
      </c>
      <c r="E41" s="13" t="n">
        <v>-925</v>
      </c>
      <c r="F41" s="12" t="n">
        <v>2</v>
      </c>
      <c r="G41" s="6" t="s">
        <v>16</v>
      </c>
    </row>
    <row r="42" customFormat="false" ht="55.2" hidden="false" customHeight="false" outlineLevel="0" collapsed="false">
      <c r="B42" s="12" t="s">
        <v>411</v>
      </c>
      <c r="C42" s="12" t="s">
        <v>410</v>
      </c>
      <c r="D42" s="13" t="n">
        <v>18500</v>
      </c>
      <c r="E42" s="13" t="n">
        <v>925</v>
      </c>
      <c r="F42" s="12" t="n">
        <v>2</v>
      </c>
      <c r="G42" s="6" t="s">
        <v>16</v>
      </c>
    </row>
    <row r="43" customFormat="false" ht="55.2" hidden="false" customHeight="false" outlineLevel="0" collapsed="false">
      <c r="B43" s="12" t="s">
        <v>412</v>
      </c>
      <c r="C43" s="12" t="s">
        <v>410</v>
      </c>
      <c r="D43" s="13" t="n">
        <v>-23440</v>
      </c>
      <c r="E43" s="13" t="n">
        <v>-1172</v>
      </c>
      <c r="F43" s="12" t="n">
        <v>3</v>
      </c>
      <c r="G43" s="6" t="s">
        <v>16</v>
      </c>
    </row>
    <row r="44" customFormat="false" ht="55.2" hidden="false" customHeight="false" outlineLevel="0" collapsed="false">
      <c r="B44" s="12" t="s">
        <v>413</v>
      </c>
      <c r="C44" s="12" t="s">
        <v>414</v>
      </c>
      <c r="D44" s="13" t="n">
        <v>-18065</v>
      </c>
      <c r="E44" s="13" t="n">
        <v>-903.25</v>
      </c>
      <c r="F44" s="12" t="n">
        <v>3</v>
      </c>
      <c r="G44" s="6" t="s">
        <v>16</v>
      </c>
    </row>
    <row r="45" customFormat="false" ht="55.2" hidden="false" customHeight="false" outlineLevel="0" collapsed="false">
      <c r="B45" s="12" t="s">
        <v>415</v>
      </c>
      <c r="C45" s="12" t="s">
        <v>414</v>
      </c>
      <c r="D45" s="13" t="n">
        <v>18065</v>
      </c>
      <c r="E45" s="13" t="n">
        <v>903.25</v>
      </c>
      <c r="F45" s="12" t="n">
        <v>3</v>
      </c>
      <c r="G45" s="6" t="s">
        <v>16</v>
      </c>
    </row>
    <row r="46" customFormat="false" ht="55.2" hidden="false" customHeight="false" outlineLevel="0" collapsed="false">
      <c r="B46" s="12" t="s">
        <v>416</v>
      </c>
      <c r="C46" s="12" t="s">
        <v>414</v>
      </c>
      <c r="D46" s="13" t="n">
        <v>-13125</v>
      </c>
      <c r="E46" s="13" t="n">
        <v>-656.25</v>
      </c>
      <c r="F46" s="12" t="n">
        <v>2</v>
      </c>
      <c r="G46" s="6" t="s">
        <v>16</v>
      </c>
    </row>
    <row r="47" customFormat="false" ht="55.2" hidden="false" customHeight="false" outlineLevel="0" collapsed="false">
      <c r="B47" s="12" t="s">
        <v>417</v>
      </c>
      <c r="C47" s="12" t="s">
        <v>418</v>
      </c>
      <c r="D47" s="13" t="n">
        <v>-43975</v>
      </c>
      <c r="E47" s="13" t="n">
        <v>-2198.75</v>
      </c>
      <c r="F47" s="12" t="n">
        <v>6</v>
      </c>
      <c r="G47" s="6" t="s">
        <v>16</v>
      </c>
    </row>
    <row r="48" customFormat="false" ht="55.2" hidden="false" customHeight="false" outlineLevel="0" collapsed="false">
      <c r="B48" s="12" t="s">
        <v>419</v>
      </c>
      <c r="C48" s="12" t="s">
        <v>420</v>
      </c>
      <c r="D48" s="13" t="n">
        <v>-357</v>
      </c>
      <c r="E48" s="13" t="n">
        <v>-17.85</v>
      </c>
      <c r="F48" s="12" t="n">
        <v>1</v>
      </c>
      <c r="G48" s="6" t="s">
        <v>16</v>
      </c>
    </row>
    <row r="49" customFormat="false" ht="15" hidden="false" customHeight="false" outlineLevel="0" collapsed="false">
      <c r="B49" s="16" t="s">
        <v>421</v>
      </c>
      <c r="D49" s="27" t="n">
        <f aca="false">SUM(D28:D48)</f>
        <v>-830667</v>
      </c>
      <c r="E49" s="27" t="n">
        <f aca="false">SUM(E28:E48)</f>
        <v>-41533.35</v>
      </c>
    </row>
    <row r="51" customFormat="false" ht="23.85" hidden="false" customHeight="true" outlineLevel="0" collapsed="false">
      <c r="B51" s="22" t="s">
        <v>422</v>
      </c>
      <c r="C51" s="22"/>
      <c r="D51" s="22"/>
      <c r="E51" s="22"/>
      <c r="F51" s="22"/>
      <c r="G51" s="22"/>
      <c r="H51" s="22"/>
      <c r="I51" s="22"/>
    </row>
  </sheetData>
  <mergeCells count="4">
    <mergeCell ref="B2:J2"/>
    <mergeCell ref="B3:J3"/>
    <mergeCell ref="B24:I24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2"/>
    <col collapsed="false" customWidth="true" hidden="false" outlineLevel="0" max="4" min="4" style="0" width="78"/>
    <col collapsed="false" customWidth="true" hidden="false" outlineLevel="0" max="5" min="5" style="0" width="12"/>
    <col collapsed="false" customWidth="true" hidden="false" outlineLevel="0" max="6" min="6" style="0" width="40"/>
  </cols>
  <sheetData>
    <row r="2" customFormat="false" ht="27.75" hidden="false" customHeight="true" outlineLevel="0" collapsed="false">
      <c r="B2" s="1" t="s">
        <v>423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424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425</v>
      </c>
      <c r="C5" s="11" t="s">
        <v>426</v>
      </c>
      <c r="D5" s="11" t="s">
        <v>427</v>
      </c>
      <c r="E5" s="11" t="s">
        <v>428</v>
      </c>
      <c r="F5" s="11" t="s">
        <v>100</v>
      </c>
    </row>
    <row r="6" customFormat="false" ht="57.75" hidden="false" customHeight="true" outlineLevel="0" collapsed="false">
      <c r="B6" s="12" t="n">
        <v>1</v>
      </c>
      <c r="C6" s="4" t="s">
        <v>429</v>
      </c>
      <c r="D6" s="5" t="s">
        <v>430</v>
      </c>
      <c r="E6" s="26" t="s">
        <v>431</v>
      </c>
      <c r="F6" s="6" t="s">
        <v>16</v>
      </c>
    </row>
    <row r="7" customFormat="false" ht="57.75" hidden="false" customHeight="true" outlineLevel="0" collapsed="false">
      <c r="B7" s="12" t="n">
        <v>2</v>
      </c>
      <c r="C7" s="4" t="s">
        <v>432</v>
      </c>
      <c r="D7" s="5" t="s">
        <v>433</v>
      </c>
      <c r="E7" s="26" t="s">
        <v>431</v>
      </c>
      <c r="F7" s="6" t="s">
        <v>16</v>
      </c>
    </row>
    <row r="8" customFormat="false" ht="57.75" hidden="false" customHeight="true" outlineLevel="0" collapsed="false">
      <c r="B8" s="12" t="n">
        <v>3</v>
      </c>
      <c r="C8" s="4" t="s">
        <v>434</v>
      </c>
      <c r="D8" s="5" t="s">
        <v>435</v>
      </c>
      <c r="E8" s="26" t="s">
        <v>431</v>
      </c>
      <c r="F8" s="6" t="s">
        <v>16</v>
      </c>
    </row>
    <row r="9" customFormat="false" ht="57.75" hidden="false" customHeight="true" outlineLevel="0" collapsed="false">
      <c r="B9" s="12" t="n">
        <v>4</v>
      </c>
      <c r="C9" s="4" t="s">
        <v>436</v>
      </c>
      <c r="D9" s="5" t="s">
        <v>437</v>
      </c>
      <c r="E9" s="26" t="s">
        <v>431</v>
      </c>
      <c r="F9" s="6" t="s">
        <v>16</v>
      </c>
    </row>
    <row r="10" customFormat="false" ht="57.75" hidden="false" customHeight="true" outlineLevel="0" collapsed="false">
      <c r="B10" s="12" t="n">
        <v>5</v>
      </c>
      <c r="C10" s="4" t="s">
        <v>438</v>
      </c>
      <c r="D10" s="5" t="s">
        <v>439</v>
      </c>
      <c r="E10" s="26" t="s">
        <v>431</v>
      </c>
      <c r="F10" s="6" t="s">
        <v>16</v>
      </c>
    </row>
    <row r="11" customFormat="false" ht="57.75" hidden="false" customHeight="true" outlineLevel="0" collapsed="false">
      <c r="B11" s="12" t="n">
        <v>6</v>
      </c>
      <c r="C11" s="4" t="s">
        <v>440</v>
      </c>
      <c r="D11" s="5" t="s">
        <v>441</v>
      </c>
      <c r="E11" s="26" t="s">
        <v>431</v>
      </c>
      <c r="F11" s="6" t="s">
        <v>442</v>
      </c>
    </row>
    <row r="12" customFormat="false" ht="57.75" hidden="false" customHeight="true" outlineLevel="0" collapsed="false">
      <c r="B12" s="12" t="n">
        <v>7</v>
      </c>
      <c r="C12" s="4" t="s">
        <v>443</v>
      </c>
      <c r="D12" s="5" t="s">
        <v>444</v>
      </c>
      <c r="E12" s="26" t="s">
        <v>431</v>
      </c>
      <c r="F12" s="6" t="s">
        <v>16</v>
      </c>
    </row>
    <row r="13" customFormat="false" ht="57.75" hidden="false" customHeight="true" outlineLevel="0" collapsed="false">
      <c r="B13" s="12" t="n">
        <v>8</v>
      </c>
      <c r="C13" s="4" t="s">
        <v>445</v>
      </c>
      <c r="D13" s="5" t="s">
        <v>446</v>
      </c>
      <c r="E13" s="26" t="s">
        <v>431</v>
      </c>
      <c r="F13" s="6" t="s">
        <v>16</v>
      </c>
    </row>
    <row r="14" customFormat="false" ht="57.75" hidden="false" customHeight="true" outlineLevel="0" collapsed="false">
      <c r="B14" s="12" t="n">
        <v>9</v>
      </c>
      <c r="C14" s="4" t="s">
        <v>447</v>
      </c>
      <c r="D14" s="5" t="s">
        <v>448</v>
      </c>
      <c r="E14" s="28" t="s">
        <v>449</v>
      </c>
      <c r="F14" s="6" t="s">
        <v>450</v>
      </c>
    </row>
    <row r="15" customFormat="false" ht="57.75" hidden="false" customHeight="true" outlineLevel="0" collapsed="false">
      <c r="B15" s="12" t="n">
        <v>10</v>
      </c>
      <c r="C15" s="4" t="s">
        <v>451</v>
      </c>
      <c r="D15" s="5" t="s">
        <v>452</v>
      </c>
      <c r="E15" s="26" t="s">
        <v>431</v>
      </c>
      <c r="F15" s="6" t="s">
        <v>453</v>
      </c>
    </row>
    <row r="16" customFormat="false" ht="57.75" hidden="false" customHeight="true" outlineLevel="0" collapsed="false">
      <c r="B16" s="12" t="n">
        <v>11</v>
      </c>
      <c r="C16" s="4" t="s">
        <v>454</v>
      </c>
      <c r="D16" s="5" t="s">
        <v>455</v>
      </c>
      <c r="E16" s="26" t="s">
        <v>431</v>
      </c>
      <c r="F16" s="6" t="s">
        <v>13</v>
      </c>
    </row>
    <row r="17" customFormat="false" ht="57.75" hidden="false" customHeight="true" outlineLevel="0" collapsed="false">
      <c r="B17" s="12" t="n">
        <v>12</v>
      </c>
      <c r="C17" s="4" t="s">
        <v>456</v>
      </c>
      <c r="D17" s="5" t="s">
        <v>457</v>
      </c>
      <c r="E17" s="26" t="s">
        <v>431</v>
      </c>
      <c r="F17" s="6" t="s">
        <v>16</v>
      </c>
    </row>
    <row r="18" customFormat="false" ht="57.75" hidden="false" customHeight="true" outlineLevel="0" collapsed="false">
      <c r="B18" s="12" t="n">
        <v>13</v>
      </c>
      <c r="C18" s="4" t="s">
        <v>458</v>
      </c>
      <c r="D18" s="5" t="s">
        <v>459</v>
      </c>
      <c r="E18" s="26" t="s">
        <v>431</v>
      </c>
      <c r="F18" s="6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38"/>
  </cols>
  <sheetData>
    <row r="2" customFormat="false" ht="27.75" hidden="false" customHeight="true" outlineLevel="0" collapsed="false">
      <c r="B2" s="1" t="s">
        <v>460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461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462</v>
      </c>
      <c r="C5" s="11" t="s">
        <v>463</v>
      </c>
      <c r="D5" s="11" t="s">
        <v>275</v>
      </c>
      <c r="E5" s="11" t="s">
        <v>160</v>
      </c>
      <c r="F5" s="11" t="s">
        <v>276</v>
      </c>
      <c r="G5" s="11" t="s">
        <v>428</v>
      </c>
      <c r="H5" s="11" t="s">
        <v>464</v>
      </c>
    </row>
    <row r="6" customFormat="false" ht="35.05" hidden="false" customHeight="false" outlineLevel="0" collapsed="false">
      <c r="B6" s="5" t="s">
        <v>465</v>
      </c>
      <c r="C6" s="5" t="s">
        <v>466</v>
      </c>
      <c r="D6" s="12" t="s">
        <v>4</v>
      </c>
      <c r="E6" s="12" t="s">
        <v>467</v>
      </c>
      <c r="F6" s="5" t="s">
        <v>468</v>
      </c>
      <c r="G6" s="26" t="s">
        <v>431</v>
      </c>
      <c r="H6" s="5" t="s">
        <v>16</v>
      </c>
    </row>
    <row r="7" customFormat="false" ht="35.05" hidden="false" customHeight="false" outlineLevel="0" collapsed="false">
      <c r="B7" s="5" t="s">
        <v>469</v>
      </c>
      <c r="C7" s="5" t="s">
        <v>470</v>
      </c>
      <c r="D7" s="12" t="s">
        <v>7</v>
      </c>
      <c r="E7" s="12" t="s">
        <v>467</v>
      </c>
      <c r="F7" s="5" t="s">
        <v>471</v>
      </c>
      <c r="G7" s="26" t="s">
        <v>431</v>
      </c>
      <c r="H7" s="5" t="s">
        <v>16</v>
      </c>
    </row>
    <row r="8" customFormat="false" ht="35.05" hidden="false" customHeight="false" outlineLevel="0" collapsed="false">
      <c r="B8" s="5" t="s">
        <v>8</v>
      </c>
      <c r="C8" s="5" t="s">
        <v>472</v>
      </c>
      <c r="D8" s="12" t="s">
        <v>473</v>
      </c>
      <c r="E8" s="12" t="s">
        <v>467</v>
      </c>
      <c r="F8" s="5" t="s">
        <v>474</v>
      </c>
      <c r="G8" s="26" t="s">
        <v>431</v>
      </c>
      <c r="H8" s="5" t="s">
        <v>16</v>
      </c>
    </row>
    <row r="9" customFormat="false" ht="35.05" hidden="false" customHeight="false" outlineLevel="0" collapsed="false">
      <c r="B9" s="5" t="s">
        <v>11</v>
      </c>
      <c r="C9" s="5" t="s">
        <v>475</v>
      </c>
      <c r="D9" s="12" t="s">
        <v>334</v>
      </c>
      <c r="E9" s="12" t="s">
        <v>467</v>
      </c>
      <c r="F9" s="5" t="s">
        <v>476</v>
      </c>
      <c r="G9" s="26" t="s">
        <v>431</v>
      </c>
      <c r="H9" s="5" t="s">
        <v>16</v>
      </c>
    </row>
    <row r="10" customFormat="false" ht="35.05" hidden="false" customHeight="false" outlineLevel="0" collapsed="false">
      <c r="B10" s="5" t="s">
        <v>477</v>
      </c>
      <c r="C10" s="5" t="s">
        <v>478</v>
      </c>
      <c r="D10" s="12" t="s">
        <v>479</v>
      </c>
      <c r="E10" s="12" t="s">
        <v>467</v>
      </c>
      <c r="F10" s="5" t="s">
        <v>480</v>
      </c>
      <c r="G10" s="28" t="s">
        <v>481</v>
      </c>
      <c r="H10" s="5" t="s">
        <v>16</v>
      </c>
    </row>
    <row r="11" customFormat="false" ht="23.85" hidden="false" customHeight="false" outlineLevel="0" collapsed="false">
      <c r="B11" s="5" t="s">
        <v>482</v>
      </c>
      <c r="C11" s="5" t="s">
        <v>483</v>
      </c>
      <c r="D11" s="12" t="s">
        <v>484</v>
      </c>
      <c r="E11" s="12" t="s">
        <v>467</v>
      </c>
      <c r="F11" s="5" t="s">
        <v>485</v>
      </c>
      <c r="G11" s="28" t="s">
        <v>481</v>
      </c>
      <c r="H11" s="5" t="s">
        <v>486</v>
      </c>
    </row>
    <row r="12" customFormat="false" ht="35.05" hidden="false" customHeight="false" outlineLevel="0" collapsed="false">
      <c r="B12" s="5" t="s">
        <v>487</v>
      </c>
      <c r="C12" s="5" t="s">
        <v>488</v>
      </c>
      <c r="D12" s="12" t="s">
        <v>489</v>
      </c>
      <c r="E12" s="12" t="s">
        <v>467</v>
      </c>
      <c r="F12" s="5" t="s">
        <v>490</v>
      </c>
      <c r="G12" s="26" t="s">
        <v>431</v>
      </c>
      <c r="H12" s="5" t="s">
        <v>16</v>
      </c>
    </row>
    <row r="13" customFormat="false" ht="35.05" hidden="false" customHeight="false" outlineLevel="0" collapsed="false">
      <c r="B13" s="5" t="s">
        <v>491</v>
      </c>
      <c r="C13" s="5" t="s">
        <v>492</v>
      </c>
      <c r="D13" s="12" t="s">
        <v>493</v>
      </c>
      <c r="E13" s="12" t="s">
        <v>467</v>
      </c>
      <c r="F13" s="5" t="s">
        <v>494</v>
      </c>
      <c r="G13" s="26" t="s">
        <v>431</v>
      </c>
      <c r="H13" s="5" t="s">
        <v>16</v>
      </c>
    </row>
    <row r="14" customFormat="false" ht="15" hidden="false" customHeight="false" outlineLevel="0" collapsed="false">
      <c r="B14" s="5" t="s">
        <v>495</v>
      </c>
      <c r="C14" s="5" t="s">
        <v>496</v>
      </c>
      <c r="D14" s="29" t="n">
        <v>16.5</v>
      </c>
      <c r="E14" s="12" t="s">
        <v>467</v>
      </c>
      <c r="F14" s="5" t="s">
        <v>497</v>
      </c>
      <c r="G14" s="26" t="s">
        <v>431</v>
      </c>
      <c r="H14" s="5" t="s">
        <v>284</v>
      </c>
    </row>
    <row r="15" customFormat="false" ht="15" hidden="false" customHeight="false" outlineLevel="0" collapsed="false">
      <c r="B15" s="5" t="s">
        <v>22</v>
      </c>
      <c r="C15" s="5" t="s">
        <v>498</v>
      </c>
      <c r="D15" s="25" t="s">
        <v>332</v>
      </c>
      <c r="E15" s="12" t="s">
        <v>467</v>
      </c>
      <c r="F15" s="5" t="s">
        <v>499</v>
      </c>
      <c r="G15" s="30" t="s">
        <v>500</v>
      </c>
      <c r="H15" s="5" t="s">
        <v>501</v>
      </c>
    </row>
    <row r="16" customFormat="false" ht="15" hidden="false" customHeight="false" outlineLevel="0" collapsed="false">
      <c r="B16" s="5" t="s">
        <v>502</v>
      </c>
      <c r="C16" s="5" t="s">
        <v>503</v>
      </c>
      <c r="D16" s="25" t="s">
        <v>332</v>
      </c>
      <c r="E16" s="12" t="s">
        <v>467</v>
      </c>
      <c r="F16" s="5" t="s">
        <v>504</v>
      </c>
      <c r="G16" s="30" t="s">
        <v>500</v>
      </c>
      <c r="H16" s="5" t="s">
        <v>501</v>
      </c>
    </row>
    <row r="17" customFormat="false" ht="35.05" hidden="false" customHeight="false" outlineLevel="0" collapsed="false">
      <c r="B17" s="5" t="s">
        <v>505</v>
      </c>
      <c r="C17" s="5" t="s">
        <v>506</v>
      </c>
      <c r="D17" s="31" t="n">
        <v>825370</v>
      </c>
      <c r="E17" s="12" t="s">
        <v>507</v>
      </c>
      <c r="F17" s="5" t="s">
        <v>508</v>
      </c>
      <c r="G17" s="26" t="s">
        <v>431</v>
      </c>
      <c r="H17" s="5" t="s">
        <v>16</v>
      </c>
    </row>
    <row r="18" customFormat="false" ht="35.05" hidden="false" customHeight="false" outlineLevel="0" collapsed="false">
      <c r="B18" s="5" t="s">
        <v>509</v>
      </c>
      <c r="C18" s="5" t="s">
        <v>510</v>
      </c>
      <c r="D18" s="31" t="n">
        <v>830667</v>
      </c>
      <c r="E18" s="12" t="s">
        <v>507</v>
      </c>
      <c r="F18" s="5" t="s">
        <v>511</v>
      </c>
      <c r="G18" s="26" t="s">
        <v>431</v>
      </c>
      <c r="H18" s="5" t="s">
        <v>16</v>
      </c>
    </row>
    <row r="19" customFormat="false" ht="15" hidden="false" customHeight="false" outlineLevel="0" collapsed="false">
      <c r="B19" s="5" t="s">
        <v>512</v>
      </c>
      <c r="C19" s="5" t="s">
        <v>513</v>
      </c>
      <c r="D19" s="31" t="n">
        <v>5297</v>
      </c>
      <c r="E19" s="12" t="s">
        <v>507</v>
      </c>
      <c r="F19" s="5" t="s">
        <v>514</v>
      </c>
      <c r="G19" s="28" t="s">
        <v>481</v>
      </c>
      <c r="H19" s="5" t="s">
        <v>284</v>
      </c>
    </row>
    <row r="20" customFormat="false" ht="15" hidden="false" customHeight="false" outlineLevel="0" collapsed="false">
      <c r="B20" s="5" t="s">
        <v>515</v>
      </c>
      <c r="C20" s="5" t="s">
        <v>516</v>
      </c>
      <c r="D20" s="32" t="n">
        <v>0.00641772780692296</v>
      </c>
      <c r="E20" s="12" t="s">
        <v>507</v>
      </c>
      <c r="F20" s="5"/>
      <c r="G20" s="28" t="s">
        <v>481</v>
      </c>
      <c r="H20" s="5" t="s">
        <v>284</v>
      </c>
    </row>
    <row r="21" customFormat="false" ht="35.05" hidden="false" customHeight="false" outlineLevel="0" collapsed="false">
      <c r="B21" s="5" t="s">
        <v>517</v>
      </c>
      <c r="C21" s="5" t="s">
        <v>518</v>
      </c>
      <c r="D21" s="31" t="n">
        <v>830667</v>
      </c>
      <c r="E21" s="12" t="s">
        <v>507</v>
      </c>
      <c r="F21" s="5" t="s">
        <v>519</v>
      </c>
      <c r="G21" s="26" t="s">
        <v>431</v>
      </c>
      <c r="H21" s="5" t="s">
        <v>16</v>
      </c>
    </row>
    <row r="22" customFormat="false" ht="35.05" hidden="false" customHeight="false" outlineLevel="0" collapsed="false">
      <c r="B22" s="5" t="s">
        <v>520</v>
      </c>
      <c r="C22" s="5" t="s">
        <v>521</v>
      </c>
      <c r="D22" s="31" t="n">
        <v>547967.06</v>
      </c>
      <c r="E22" s="12" t="s">
        <v>507</v>
      </c>
      <c r="F22" s="5" t="s">
        <v>522</v>
      </c>
      <c r="G22" s="26" t="s">
        <v>431</v>
      </c>
      <c r="H22" s="5" t="s">
        <v>16</v>
      </c>
    </row>
    <row r="23" customFormat="false" ht="35.05" hidden="false" customHeight="false" outlineLevel="0" collapsed="false">
      <c r="B23" s="5" t="s">
        <v>523</v>
      </c>
      <c r="C23" s="5" t="s">
        <v>524</v>
      </c>
      <c r="D23" s="31" t="n">
        <v>282699.94</v>
      </c>
      <c r="E23" s="12" t="s">
        <v>507</v>
      </c>
      <c r="F23" s="5" t="s">
        <v>525</v>
      </c>
      <c r="G23" s="26" t="s">
        <v>431</v>
      </c>
      <c r="H23" s="5" t="s">
        <v>16</v>
      </c>
    </row>
    <row r="24" customFormat="false" ht="15" hidden="false" customHeight="false" outlineLevel="0" collapsed="false">
      <c r="B24" s="5" t="s">
        <v>318</v>
      </c>
      <c r="C24" s="5" t="s">
        <v>526</v>
      </c>
      <c r="D24" s="32" t="n">
        <v>0.340328844169806</v>
      </c>
      <c r="E24" s="12" t="s">
        <v>507</v>
      </c>
      <c r="F24" s="5"/>
      <c r="G24" s="26" t="s">
        <v>431</v>
      </c>
      <c r="H24" s="5" t="s">
        <v>284</v>
      </c>
    </row>
    <row r="25" customFormat="false" ht="35.05" hidden="false" customHeight="false" outlineLevel="0" collapsed="false">
      <c r="B25" s="5" t="s">
        <v>527</v>
      </c>
      <c r="C25" s="5" t="s">
        <v>528</v>
      </c>
      <c r="D25" s="31" t="n">
        <v>41533.35</v>
      </c>
      <c r="E25" s="12" t="s">
        <v>507</v>
      </c>
      <c r="F25" s="5" t="s">
        <v>529</v>
      </c>
      <c r="G25" s="26" t="s">
        <v>431</v>
      </c>
      <c r="H25" s="5" t="s">
        <v>16</v>
      </c>
    </row>
    <row r="26" customFormat="false" ht="15" hidden="false" customHeight="false" outlineLevel="0" collapsed="false">
      <c r="B26" s="5" t="s">
        <v>530</v>
      </c>
      <c r="C26" s="5" t="s">
        <v>531</v>
      </c>
      <c r="D26" s="32" t="n">
        <v>0.05</v>
      </c>
      <c r="E26" s="12" t="s">
        <v>507</v>
      </c>
      <c r="F26" s="5"/>
      <c r="G26" s="26" t="s">
        <v>431</v>
      </c>
      <c r="H26" s="5" t="s">
        <v>284</v>
      </c>
    </row>
    <row r="27" customFormat="false" ht="35.05" hidden="false" customHeight="false" outlineLevel="0" collapsed="false">
      <c r="B27" s="5" t="s">
        <v>532</v>
      </c>
      <c r="C27" s="5" t="s">
        <v>533</v>
      </c>
      <c r="D27" s="31" t="n">
        <v>210715.5</v>
      </c>
      <c r="E27" s="12" t="s">
        <v>165</v>
      </c>
      <c r="F27" s="5" t="s">
        <v>534</v>
      </c>
      <c r="G27" s="26" t="s">
        <v>431</v>
      </c>
      <c r="H27" s="5" t="s">
        <v>16</v>
      </c>
    </row>
    <row r="28" customFormat="false" ht="35.05" hidden="false" customHeight="false" outlineLevel="0" collapsed="false">
      <c r="B28" s="5" t="s">
        <v>535</v>
      </c>
      <c r="C28" s="5" t="s">
        <v>536</v>
      </c>
      <c r="D28" s="31" t="n">
        <v>194870.36</v>
      </c>
      <c r="E28" s="12" t="s">
        <v>167</v>
      </c>
      <c r="F28" s="5" t="s">
        <v>537</v>
      </c>
      <c r="G28" s="26" t="s">
        <v>431</v>
      </c>
      <c r="H28" s="5" t="s">
        <v>16</v>
      </c>
    </row>
    <row r="29" customFormat="false" ht="35.05" hidden="false" customHeight="false" outlineLevel="0" collapsed="false">
      <c r="B29" s="5" t="s">
        <v>538</v>
      </c>
      <c r="C29" s="5" t="s">
        <v>539</v>
      </c>
      <c r="D29" s="31" t="n">
        <v>32877.82</v>
      </c>
      <c r="E29" s="12" t="s">
        <v>507</v>
      </c>
      <c r="F29" s="5" t="s">
        <v>540</v>
      </c>
      <c r="G29" s="26" t="s">
        <v>431</v>
      </c>
      <c r="H29" s="5" t="s">
        <v>16</v>
      </c>
    </row>
    <row r="30" customFormat="false" ht="35.05" hidden="false" customHeight="false" outlineLevel="0" collapsed="false">
      <c r="B30" s="5" t="s">
        <v>541</v>
      </c>
      <c r="C30" s="5" t="s">
        <v>542</v>
      </c>
      <c r="D30" s="31" t="n">
        <v>93383.48</v>
      </c>
      <c r="E30" s="12" t="s">
        <v>165</v>
      </c>
      <c r="F30" s="5" t="s">
        <v>543</v>
      </c>
      <c r="G30" s="26" t="s">
        <v>431</v>
      </c>
      <c r="H30" s="5" t="s">
        <v>16</v>
      </c>
    </row>
    <row r="31" customFormat="false" ht="35.05" hidden="false" customHeight="false" outlineLevel="0" collapsed="false">
      <c r="B31" s="5" t="s">
        <v>544</v>
      </c>
      <c r="C31" s="5" t="s">
        <v>545</v>
      </c>
      <c r="D31" s="31" t="n">
        <v>16119.9</v>
      </c>
      <c r="E31" s="12" t="s">
        <v>165</v>
      </c>
      <c r="F31" s="5" t="s">
        <v>546</v>
      </c>
      <c r="G31" s="26" t="s">
        <v>431</v>
      </c>
      <c r="H31" s="5" t="s">
        <v>16</v>
      </c>
    </row>
    <row r="32" customFormat="false" ht="35.05" hidden="false" customHeight="false" outlineLevel="0" collapsed="false">
      <c r="B32" s="5" t="s">
        <v>279</v>
      </c>
      <c r="C32" s="5" t="s">
        <v>547</v>
      </c>
      <c r="D32" s="29" t="n">
        <v>8541.5</v>
      </c>
      <c r="E32" s="12" t="s">
        <v>165</v>
      </c>
      <c r="F32" s="5" t="s">
        <v>548</v>
      </c>
      <c r="G32" s="26" t="s">
        <v>431</v>
      </c>
      <c r="H32" s="5" t="s">
        <v>16</v>
      </c>
    </row>
    <row r="33" customFormat="false" ht="35.05" hidden="false" customHeight="false" outlineLevel="0" collapsed="false">
      <c r="B33" s="5" t="s">
        <v>277</v>
      </c>
      <c r="C33" s="5" t="s">
        <v>549</v>
      </c>
      <c r="D33" s="12" t="n">
        <v>25</v>
      </c>
      <c r="E33" s="12" t="s">
        <v>165</v>
      </c>
      <c r="F33" s="5" t="s">
        <v>278</v>
      </c>
      <c r="G33" s="26" t="s">
        <v>431</v>
      </c>
      <c r="H33" s="5" t="s">
        <v>16</v>
      </c>
    </row>
    <row r="34" customFormat="false" ht="15" hidden="false" customHeight="false" outlineLevel="0" collapsed="false">
      <c r="B34" s="5" t="s">
        <v>282</v>
      </c>
      <c r="C34" s="5" t="s">
        <v>550</v>
      </c>
      <c r="D34" s="31" t="n">
        <v>24.6696130656208</v>
      </c>
      <c r="E34" s="12" t="s">
        <v>165</v>
      </c>
      <c r="F34" s="5" t="s">
        <v>306</v>
      </c>
      <c r="G34" s="26" t="s">
        <v>431</v>
      </c>
      <c r="H34" s="5" t="s">
        <v>284</v>
      </c>
    </row>
    <row r="35" customFormat="false" ht="15" hidden="false" customHeight="false" outlineLevel="0" collapsed="false">
      <c r="B35" s="5" t="s">
        <v>551</v>
      </c>
      <c r="C35" s="5" t="s">
        <v>552</v>
      </c>
      <c r="D35" s="31" t="n">
        <v>37.4897711174852</v>
      </c>
      <c r="E35" s="12" t="s">
        <v>165</v>
      </c>
      <c r="F35" s="5" t="s">
        <v>553</v>
      </c>
      <c r="G35" s="26" t="s">
        <v>431</v>
      </c>
      <c r="H35" s="5" t="s">
        <v>284</v>
      </c>
    </row>
    <row r="36" customFormat="false" ht="15" hidden="false" customHeight="false" outlineLevel="0" collapsed="false">
      <c r="B36" s="5" t="s">
        <v>309</v>
      </c>
      <c r="C36" s="5" t="s">
        <v>554</v>
      </c>
      <c r="D36" s="33" t="n">
        <v>1.51967406289523</v>
      </c>
      <c r="E36" s="12" t="s">
        <v>165</v>
      </c>
      <c r="F36" s="5" t="s">
        <v>555</v>
      </c>
      <c r="G36" s="26" t="s">
        <v>431</v>
      </c>
      <c r="H36" s="5" t="s">
        <v>284</v>
      </c>
    </row>
    <row r="37" customFormat="false" ht="35.05" hidden="false" customHeight="false" outlineLevel="0" collapsed="false">
      <c r="B37" s="5" t="s">
        <v>556</v>
      </c>
      <c r="C37" s="5" t="s">
        <v>557</v>
      </c>
      <c r="D37" s="29" t="n">
        <v>4901</v>
      </c>
      <c r="E37" s="12" t="s">
        <v>165</v>
      </c>
      <c r="F37" s="5" t="s">
        <v>558</v>
      </c>
      <c r="G37" s="26" t="s">
        <v>431</v>
      </c>
      <c r="H37" s="5" t="s">
        <v>16</v>
      </c>
    </row>
    <row r="38" customFormat="false" ht="35.05" hidden="false" customHeight="false" outlineLevel="0" collapsed="false">
      <c r="B38" s="5" t="s">
        <v>559</v>
      </c>
      <c r="C38" s="5" t="s">
        <v>560</v>
      </c>
      <c r="D38" s="29" t="n">
        <v>625.5</v>
      </c>
      <c r="E38" s="12" t="s">
        <v>165</v>
      </c>
      <c r="F38" s="5" t="s">
        <v>561</v>
      </c>
      <c r="G38" s="26" t="s">
        <v>431</v>
      </c>
      <c r="H38" s="5" t="s">
        <v>16</v>
      </c>
    </row>
    <row r="39" customFormat="false" ht="15" hidden="false" customHeight="false" outlineLevel="0" collapsed="false">
      <c r="B39" s="5" t="s">
        <v>562</v>
      </c>
      <c r="C39" s="5" t="s">
        <v>563</v>
      </c>
      <c r="D39" s="29" t="n">
        <v>97.2507170871627</v>
      </c>
      <c r="E39" s="12" t="s">
        <v>564</v>
      </c>
      <c r="F39" s="5"/>
      <c r="G39" s="26" t="s">
        <v>431</v>
      </c>
      <c r="H39" s="5" t="s">
        <v>284</v>
      </c>
    </row>
    <row r="40" customFormat="false" ht="15" hidden="false" customHeight="false" outlineLevel="0" collapsed="false">
      <c r="B40" s="5" t="s">
        <v>565</v>
      </c>
      <c r="C40" s="5" t="s">
        <v>566</v>
      </c>
      <c r="D40" s="29" t="n">
        <v>33.0972241409588</v>
      </c>
      <c r="E40" s="12" t="s">
        <v>564</v>
      </c>
      <c r="F40" s="5"/>
      <c r="G40" s="26" t="s">
        <v>431</v>
      </c>
      <c r="H40" s="5" t="s">
        <v>284</v>
      </c>
    </row>
    <row r="41" customFormat="false" ht="15" hidden="false" customHeight="false" outlineLevel="0" collapsed="false">
      <c r="B41" s="5" t="s">
        <v>320</v>
      </c>
      <c r="C41" s="5" t="s">
        <v>567</v>
      </c>
      <c r="D41" s="32" t="n">
        <v>0.253670243310496</v>
      </c>
      <c r="E41" s="12" t="s">
        <v>568</v>
      </c>
      <c r="F41" s="5"/>
      <c r="G41" s="26" t="s">
        <v>431</v>
      </c>
      <c r="H41" s="5" t="s">
        <v>284</v>
      </c>
    </row>
    <row r="42" customFormat="false" ht="15" hidden="false" customHeight="false" outlineLevel="0" collapsed="false">
      <c r="B42" s="5" t="s">
        <v>321</v>
      </c>
      <c r="C42" s="5" t="s">
        <v>569</v>
      </c>
      <c r="D42" s="32" t="n">
        <v>0.234595042297335</v>
      </c>
      <c r="E42" s="12" t="s">
        <v>568</v>
      </c>
      <c r="F42" s="5"/>
      <c r="G42" s="26" t="s">
        <v>431</v>
      </c>
      <c r="H42" s="5" t="s">
        <v>284</v>
      </c>
    </row>
    <row r="43" customFormat="false" ht="35.05" hidden="false" customHeight="false" outlineLevel="0" collapsed="false">
      <c r="B43" s="5" t="s">
        <v>570</v>
      </c>
      <c r="C43" s="5" t="s">
        <v>571</v>
      </c>
      <c r="D43" s="12" t="n">
        <v>14</v>
      </c>
      <c r="E43" s="12" t="s">
        <v>167</v>
      </c>
      <c r="F43" s="5" t="s">
        <v>572</v>
      </c>
      <c r="G43" s="26" t="s">
        <v>431</v>
      </c>
      <c r="H43" s="5" t="s">
        <v>16</v>
      </c>
    </row>
    <row r="44" customFormat="false" ht="35.05" hidden="false" customHeight="false" outlineLevel="0" collapsed="false">
      <c r="B44" s="5" t="s">
        <v>573</v>
      </c>
      <c r="C44" s="5" t="s">
        <v>574</v>
      </c>
      <c r="D44" s="12" t="n">
        <v>21</v>
      </c>
      <c r="E44" s="12" t="s">
        <v>53</v>
      </c>
      <c r="F44" s="5" t="s">
        <v>575</v>
      </c>
      <c r="G44" s="26" t="s">
        <v>431</v>
      </c>
      <c r="H44" s="5" t="s">
        <v>16</v>
      </c>
    </row>
    <row r="45" customFormat="false" ht="35.05" hidden="false" customHeight="false" outlineLevel="0" collapsed="false">
      <c r="B45" s="5" t="s">
        <v>576</v>
      </c>
      <c r="C45" s="5" t="s">
        <v>577</v>
      </c>
      <c r="D45" s="31" t="n">
        <v>197171.05</v>
      </c>
      <c r="E45" s="12" t="s">
        <v>167</v>
      </c>
      <c r="F45" s="5" t="s">
        <v>578</v>
      </c>
      <c r="G45" s="26" t="s">
        <v>431</v>
      </c>
      <c r="H45" s="5" t="s">
        <v>16</v>
      </c>
    </row>
    <row r="46" customFormat="false" ht="35.05" hidden="false" customHeight="false" outlineLevel="0" collapsed="false">
      <c r="B46" s="5" t="s">
        <v>579</v>
      </c>
      <c r="C46" s="5" t="s">
        <v>580</v>
      </c>
      <c r="D46" s="31" t="n">
        <v>320218.88</v>
      </c>
      <c r="E46" s="12" t="s">
        <v>165</v>
      </c>
      <c r="F46" s="5" t="s">
        <v>581</v>
      </c>
      <c r="G46" s="26" t="s">
        <v>431</v>
      </c>
      <c r="H46" s="5" t="s">
        <v>16</v>
      </c>
    </row>
    <row r="47" customFormat="false" ht="35.05" hidden="false" customHeight="false" outlineLevel="0" collapsed="false">
      <c r="B47" s="5" t="s">
        <v>582</v>
      </c>
      <c r="C47" s="5" t="s">
        <v>583</v>
      </c>
      <c r="D47" s="31" t="n">
        <v>30577.13</v>
      </c>
      <c r="E47" s="12" t="s">
        <v>507</v>
      </c>
      <c r="F47" s="5" t="s">
        <v>578</v>
      </c>
      <c r="G47" s="26" t="s">
        <v>431</v>
      </c>
      <c r="H47" s="5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40"/>
  </cols>
  <sheetData>
    <row r="2" customFormat="false" ht="27.75" hidden="false" customHeight="true" outlineLevel="0" collapsed="false">
      <c r="B2" s="1" t="s">
        <v>584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585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586</v>
      </c>
      <c r="C5" s="11" t="s">
        <v>174</v>
      </c>
      <c r="D5" s="11" t="s">
        <v>175</v>
      </c>
      <c r="E5" s="11" t="s">
        <v>176</v>
      </c>
      <c r="F5" s="11" t="s">
        <v>177</v>
      </c>
      <c r="G5" s="11" t="s">
        <v>587</v>
      </c>
      <c r="H5" s="11" t="s">
        <v>100</v>
      </c>
    </row>
    <row r="6" customFormat="false" ht="19.4" hidden="false" customHeight="false" outlineLevel="0" collapsed="false">
      <c r="B6" s="12" t="n">
        <v>1</v>
      </c>
      <c r="C6" s="12" t="s">
        <v>179</v>
      </c>
      <c r="D6" s="5" t="s">
        <v>180</v>
      </c>
      <c r="E6" s="13" t="n">
        <v>49659.22</v>
      </c>
      <c r="F6" s="12" t="n">
        <v>41</v>
      </c>
      <c r="G6" s="14" t="n">
        <f aca="false">E6/197171.05</f>
        <v>0.251858576601382</v>
      </c>
      <c r="H6" s="6" t="s">
        <v>16</v>
      </c>
    </row>
    <row r="7" customFormat="false" ht="19.4" hidden="false" customHeight="false" outlineLevel="0" collapsed="false">
      <c r="B7" s="12" t="n">
        <v>2</v>
      </c>
      <c r="C7" s="12" t="s">
        <v>182</v>
      </c>
      <c r="D7" s="5" t="s">
        <v>183</v>
      </c>
      <c r="E7" s="13" t="n">
        <v>49441.46</v>
      </c>
      <c r="F7" s="12" t="n">
        <v>48</v>
      </c>
      <c r="G7" s="14" t="n">
        <f aca="false">E7/197171.05</f>
        <v>0.250754154831554</v>
      </c>
      <c r="H7" s="6" t="s">
        <v>16</v>
      </c>
    </row>
    <row r="8" customFormat="false" ht="19.4" hidden="false" customHeight="false" outlineLevel="0" collapsed="false">
      <c r="B8" s="12" t="n">
        <v>3</v>
      </c>
      <c r="C8" s="12" t="s">
        <v>184</v>
      </c>
      <c r="D8" s="5" t="s">
        <v>185</v>
      </c>
      <c r="E8" s="13" t="n">
        <v>28251.03</v>
      </c>
      <c r="F8" s="12" t="n">
        <v>12</v>
      </c>
      <c r="G8" s="14" t="n">
        <f aca="false">E8/197171.05</f>
        <v>0.143281835746171</v>
      </c>
      <c r="H8" s="6" t="s">
        <v>16</v>
      </c>
    </row>
    <row r="9" customFormat="false" ht="19.4" hidden="false" customHeight="false" outlineLevel="0" collapsed="false">
      <c r="B9" s="12" t="n">
        <v>4</v>
      </c>
      <c r="C9" s="12" t="s">
        <v>186</v>
      </c>
      <c r="D9" s="5" t="s">
        <v>187</v>
      </c>
      <c r="E9" s="13" t="n">
        <v>23867.69</v>
      </c>
      <c r="F9" s="12" t="n">
        <v>20</v>
      </c>
      <c r="G9" s="14" t="n">
        <f aca="false">E9/197171.05</f>
        <v>0.121050681628971</v>
      </c>
      <c r="H9" s="6" t="s">
        <v>16</v>
      </c>
    </row>
    <row r="10" customFormat="false" ht="19.4" hidden="false" customHeight="false" outlineLevel="0" collapsed="false">
      <c r="B10" s="12" t="n">
        <v>5</v>
      </c>
      <c r="C10" s="12" t="s">
        <v>188</v>
      </c>
      <c r="D10" s="5" t="s">
        <v>189</v>
      </c>
      <c r="E10" s="13" t="n">
        <v>17344</v>
      </c>
      <c r="F10" s="12" t="n">
        <v>9</v>
      </c>
      <c r="G10" s="14" t="n">
        <f aca="false">E10/197171.05</f>
        <v>0.0879642320715947</v>
      </c>
      <c r="H10" s="6" t="s">
        <v>16</v>
      </c>
    </row>
    <row r="11" customFormat="false" ht="19.4" hidden="false" customHeight="false" outlineLevel="0" collapsed="false">
      <c r="B11" s="12" t="n">
        <v>6</v>
      </c>
      <c r="C11" s="12" t="s">
        <v>191</v>
      </c>
      <c r="D11" s="5" t="s">
        <v>192</v>
      </c>
      <c r="E11" s="13" t="n">
        <v>11361.41</v>
      </c>
      <c r="F11" s="12" t="n">
        <v>18</v>
      </c>
      <c r="G11" s="14" t="n">
        <f aca="false">E11/197171.05</f>
        <v>0.0576221002018298</v>
      </c>
      <c r="H11" s="6" t="s">
        <v>16</v>
      </c>
    </row>
    <row r="12" customFormat="false" ht="19.4" hidden="false" customHeight="false" outlineLevel="0" collapsed="false">
      <c r="B12" s="12" t="n">
        <v>7</v>
      </c>
      <c r="C12" s="12" t="s">
        <v>194</v>
      </c>
      <c r="D12" s="5" t="s">
        <v>195</v>
      </c>
      <c r="E12" s="13" t="n">
        <v>8215</v>
      </c>
      <c r="F12" s="12" t="n">
        <v>1</v>
      </c>
      <c r="G12" s="14" t="n">
        <f aca="false">E12/197171.05</f>
        <v>0.0416643315537448</v>
      </c>
      <c r="H12" s="6" t="s">
        <v>16</v>
      </c>
    </row>
    <row r="13" customFormat="false" ht="19.4" hidden="false" customHeight="false" outlineLevel="0" collapsed="false">
      <c r="B13" s="12" t="n">
        <v>8</v>
      </c>
      <c r="C13" s="12" t="s">
        <v>197</v>
      </c>
      <c r="D13" s="5" t="s">
        <v>198</v>
      </c>
      <c r="E13" s="13" t="n">
        <v>5734.1</v>
      </c>
      <c r="F13" s="12" t="n">
        <v>32</v>
      </c>
      <c r="G13" s="14" t="n">
        <f aca="false">E13/197171.05</f>
        <v>0.0290818555766681</v>
      </c>
      <c r="H13" s="6" t="s">
        <v>16</v>
      </c>
    </row>
    <row r="14" customFormat="false" ht="19.4" hidden="false" customHeight="false" outlineLevel="0" collapsed="false">
      <c r="B14" s="12" t="n">
        <v>9</v>
      </c>
      <c r="C14" s="12" t="s">
        <v>199</v>
      </c>
      <c r="D14" s="5" t="s">
        <v>200</v>
      </c>
      <c r="E14" s="13" t="n">
        <v>2098.04</v>
      </c>
      <c r="F14" s="12" t="n">
        <v>2</v>
      </c>
      <c r="G14" s="14" t="n">
        <f aca="false">E14/197171.05</f>
        <v>0.0106407101853949</v>
      </c>
      <c r="H14" s="6" t="s">
        <v>16</v>
      </c>
    </row>
    <row r="15" customFormat="false" ht="19.4" hidden="false" customHeight="false" outlineLevel="0" collapsed="false">
      <c r="B15" s="12" t="n">
        <v>10</v>
      </c>
      <c r="C15" s="12" t="s">
        <v>201</v>
      </c>
      <c r="D15" s="5" t="s">
        <v>202</v>
      </c>
      <c r="E15" s="13" t="n">
        <v>733.88</v>
      </c>
      <c r="F15" s="12" t="n">
        <v>4</v>
      </c>
      <c r="G15" s="14" t="n">
        <f aca="false">E15/197171.05</f>
        <v>0.00372204743039102</v>
      </c>
      <c r="H15" s="6" t="s">
        <v>16</v>
      </c>
    </row>
    <row r="16" customFormat="false" ht="19.4" hidden="false" customHeight="false" outlineLevel="0" collapsed="false">
      <c r="B16" s="12" t="n">
        <v>11</v>
      </c>
      <c r="C16" s="12" t="s">
        <v>203</v>
      </c>
      <c r="D16" s="5" t="s">
        <v>204</v>
      </c>
      <c r="E16" s="13" t="n">
        <v>305.76</v>
      </c>
      <c r="F16" s="12" t="n">
        <v>1</v>
      </c>
      <c r="G16" s="14" t="n">
        <f aca="false">E16/197171.05</f>
        <v>0.0015507347554319</v>
      </c>
      <c r="H16" s="6" t="s">
        <v>16</v>
      </c>
    </row>
    <row r="17" customFormat="false" ht="19.4" hidden="false" customHeight="false" outlineLevel="0" collapsed="false">
      <c r="B17" s="12" t="n">
        <v>12</v>
      </c>
      <c r="C17" s="12" t="s">
        <v>205</v>
      </c>
      <c r="D17" s="5" t="s">
        <v>206</v>
      </c>
      <c r="E17" s="13" t="n">
        <v>296.86</v>
      </c>
      <c r="F17" s="12" t="n">
        <v>2</v>
      </c>
      <c r="G17" s="14" t="n">
        <f aca="false">E17/197171.05</f>
        <v>0.00150559628302431</v>
      </c>
      <c r="H17" s="6" t="s">
        <v>16</v>
      </c>
    </row>
    <row r="18" customFormat="false" ht="19.4" hidden="false" customHeight="false" outlineLevel="0" collapsed="false">
      <c r="B18" s="12" t="n">
        <v>13</v>
      </c>
      <c r="C18" s="12" t="s">
        <v>207</v>
      </c>
      <c r="D18" s="5" t="s">
        <v>208</v>
      </c>
      <c r="E18" s="13" t="n">
        <v>186</v>
      </c>
      <c r="F18" s="12" t="n">
        <v>1</v>
      </c>
      <c r="G18" s="14" t="n">
        <f aca="false">E18/197171.05</f>
        <v>0.000943343355933845</v>
      </c>
      <c r="H18" s="6" t="s">
        <v>16</v>
      </c>
    </row>
    <row r="19" customFormat="false" ht="19.4" hidden="false" customHeight="false" outlineLevel="0" collapsed="false">
      <c r="B19" s="12" t="n">
        <v>14</v>
      </c>
      <c r="C19" s="12" t="s">
        <v>210</v>
      </c>
      <c r="D19" s="5" t="s">
        <v>211</v>
      </c>
      <c r="E19" s="13" t="n">
        <v>-323.4</v>
      </c>
      <c r="F19" s="12" t="n">
        <v>1</v>
      </c>
      <c r="G19" s="14" t="n">
        <f aca="false">E19/197171.05</f>
        <v>-0.00164020022209143</v>
      </c>
      <c r="H19" s="6" t="s">
        <v>16</v>
      </c>
    </row>
    <row r="20" customFormat="false" ht="15" hidden="false" customHeight="false" outlineLevel="0" collapsed="false">
      <c r="B20" s="16" t="s">
        <v>157</v>
      </c>
      <c r="E20" s="7" t="n">
        <f aca="false">SUM(E6:E19)</f>
        <v>197171.05</v>
      </c>
      <c r="F20" s="21" t="n">
        <f aca="false">SUM(F6:F19)</f>
        <v>192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40"/>
  </cols>
  <sheetData>
    <row r="2" customFormat="false" ht="27.75" hidden="false" customHeight="true" outlineLevel="0" collapsed="false">
      <c r="B2" s="1" t="s">
        <v>588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589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590</v>
      </c>
      <c r="C5" s="11" t="s">
        <v>329</v>
      </c>
      <c r="D5" s="11" t="s">
        <v>327</v>
      </c>
      <c r="E5" s="11" t="s">
        <v>591</v>
      </c>
      <c r="F5" s="11" t="s">
        <v>592</v>
      </c>
      <c r="G5" s="11" t="s">
        <v>593</v>
      </c>
      <c r="H5" s="11" t="s">
        <v>594</v>
      </c>
      <c r="I5" s="11" t="s">
        <v>330</v>
      </c>
      <c r="J5" s="11" t="s">
        <v>100</v>
      </c>
    </row>
    <row r="6" customFormat="false" ht="35.05" hidden="false" customHeight="false" outlineLevel="0" collapsed="false">
      <c r="B6" s="12" t="s">
        <v>595</v>
      </c>
      <c r="C6" s="12" t="s">
        <v>596</v>
      </c>
      <c r="D6" s="12" t="s">
        <v>597</v>
      </c>
      <c r="E6" s="5" t="s">
        <v>598</v>
      </c>
      <c r="F6" s="5" t="s">
        <v>599</v>
      </c>
      <c r="G6" s="12"/>
      <c r="H6" s="13" t="n">
        <v>825370</v>
      </c>
      <c r="I6" s="12" t="s">
        <v>600</v>
      </c>
      <c r="J6" s="6" t="s">
        <v>13</v>
      </c>
    </row>
    <row r="7" customFormat="false" ht="35.05" hidden="false" customHeight="false" outlineLevel="0" collapsed="false">
      <c r="B7" s="12" t="s">
        <v>601</v>
      </c>
      <c r="C7" s="12" t="s">
        <v>602</v>
      </c>
      <c r="D7" s="12" t="s">
        <v>603</v>
      </c>
      <c r="E7" s="5" t="s">
        <v>604</v>
      </c>
      <c r="F7" s="5" t="s">
        <v>605</v>
      </c>
      <c r="G7" s="12" t="s">
        <v>595</v>
      </c>
      <c r="H7" s="13" t="n">
        <v>4940</v>
      </c>
      <c r="I7" s="12" t="s">
        <v>606</v>
      </c>
      <c r="J7" s="6" t="s">
        <v>607</v>
      </c>
    </row>
    <row r="8" customFormat="false" ht="23.85" hidden="false" customHeight="false" outlineLevel="0" collapsed="false">
      <c r="B8" s="12" t="s">
        <v>608</v>
      </c>
      <c r="C8" s="12" t="s">
        <v>609</v>
      </c>
      <c r="D8" s="12" t="s">
        <v>610</v>
      </c>
      <c r="E8" s="5" t="s">
        <v>611</v>
      </c>
      <c r="F8" s="5" t="s">
        <v>612</v>
      </c>
      <c r="G8" s="12"/>
      <c r="H8" s="13" t="n">
        <v>0</v>
      </c>
      <c r="I8" s="12" t="s">
        <v>613</v>
      </c>
      <c r="J8" s="6" t="s">
        <v>614</v>
      </c>
    </row>
    <row r="9" customFormat="false" ht="23.85" hidden="false" customHeight="false" outlineLevel="0" collapsed="false">
      <c r="B9" s="12" t="s">
        <v>615</v>
      </c>
      <c r="C9" s="12" t="s">
        <v>616</v>
      </c>
      <c r="D9" s="12" t="s">
        <v>617</v>
      </c>
      <c r="E9" s="5" t="s">
        <v>618</v>
      </c>
      <c r="F9" s="5" t="s">
        <v>619</v>
      </c>
      <c r="G9" s="12"/>
      <c r="H9" s="13" t="n">
        <v>0</v>
      </c>
      <c r="I9" s="12" t="s">
        <v>620</v>
      </c>
      <c r="J9" s="6" t="s">
        <v>621</v>
      </c>
    </row>
    <row r="10" customFormat="false" ht="46.25" hidden="false" customHeight="false" outlineLevel="0" collapsed="false">
      <c r="B10" s="12" t="s">
        <v>622</v>
      </c>
      <c r="C10" s="12" t="s">
        <v>623</v>
      </c>
      <c r="D10" s="12" t="s">
        <v>624</v>
      </c>
      <c r="E10" s="5" t="s">
        <v>625</v>
      </c>
      <c r="F10" s="5" t="s">
        <v>599</v>
      </c>
      <c r="G10" s="12" t="s">
        <v>626</v>
      </c>
      <c r="H10" s="13" t="n">
        <v>357</v>
      </c>
      <c r="I10" s="12" t="s">
        <v>600</v>
      </c>
      <c r="J10" s="6" t="s">
        <v>627</v>
      </c>
    </row>
    <row r="11" customFormat="false" ht="35.05" hidden="false" customHeight="false" outlineLevel="0" collapsed="false">
      <c r="B11" s="12" t="s">
        <v>626</v>
      </c>
      <c r="C11" s="12" t="s">
        <v>628</v>
      </c>
      <c r="D11" s="12" t="s">
        <v>629</v>
      </c>
      <c r="E11" s="5" t="s">
        <v>630</v>
      </c>
      <c r="F11" s="5" t="s">
        <v>599</v>
      </c>
      <c r="G11" s="12" t="s">
        <v>622</v>
      </c>
      <c r="H11" s="13" t="n">
        <v>357</v>
      </c>
      <c r="I11" s="12" t="s">
        <v>631</v>
      </c>
      <c r="J11" s="6" t="s">
        <v>632</v>
      </c>
    </row>
    <row r="12" customFormat="false" ht="35.05" hidden="false" customHeight="false" outlineLevel="0" collapsed="false">
      <c r="B12" s="12" t="s">
        <v>633</v>
      </c>
      <c r="C12" s="12" t="s">
        <v>634</v>
      </c>
      <c r="D12" s="12" t="s">
        <v>635</v>
      </c>
      <c r="E12" s="5" t="s">
        <v>636</v>
      </c>
      <c r="F12" s="5" t="s">
        <v>637</v>
      </c>
      <c r="G12" s="12"/>
      <c r="H12" s="13" t="n">
        <v>293</v>
      </c>
      <c r="I12" s="12" t="s">
        <v>638</v>
      </c>
      <c r="J12" s="6" t="s">
        <v>639</v>
      </c>
    </row>
    <row r="13" customFormat="false" ht="35.05" hidden="false" customHeight="false" outlineLevel="0" collapsed="false">
      <c r="B13" s="12" t="s">
        <v>640</v>
      </c>
      <c r="C13" s="12" t="s">
        <v>641</v>
      </c>
      <c r="D13" s="12" t="s">
        <v>642</v>
      </c>
      <c r="E13" s="5" t="s">
        <v>643</v>
      </c>
      <c r="F13" s="5" t="s">
        <v>644</v>
      </c>
      <c r="G13" s="12"/>
      <c r="H13" s="13" t="n">
        <v>0</v>
      </c>
      <c r="I13" s="12" t="s">
        <v>645</v>
      </c>
      <c r="J13" s="6" t="s">
        <v>646</v>
      </c>
    </row>
    <row r="14" customFormat="false" ht="46.25" hidden="false" customHeight="false" outlineLevel="0" collapsed="false">
      <c r="B14" s="12" t="s">
        <v>647</v>
      </c>
      <c r="C14" s="12" t="s">
        <v>648</v>
      </c>
      <c r="D14" s="12" t="s">
        <v>649</v>
      </c>
      <c r="E14" s="5" t="s">
        <v>650</v>
      </c>
      <c r="F14" s="5" t="s">
        <v>644</v>
      </c>
      <c r="G14" s="12" t="s">
        <v>651</v>
      </c>
      <c r="H14" s="13" t="n">
        <v>0</v>
      </c>
      <c r="I14" s="12" t="s">
        <v>652</v>
      </c>
      <c r="J14" s="6" t="s">
        <v>653</v>
      </c>
    </row>
    <row r="15" customFormat="false" ht="19.4" hidden="false" customHeight="false" outlineLevel="0" collapsed="false">
      <c r="B15" s="12" t="s">
        <v>654</v>
      </c>
      <c r="C15" s="12" t="s">
        <v>655</v>
      </c>
      <c r="D15" s="25" t="s">
        <v>332</v>
      </c>
      <c r="E15" s="5" t="s">
        <v>656</v>
      </c>
      <c r="F15" s="5" t="s">
        <v>657</v>
      </c>
      <c r="G15" s="12"/>
      <c r="H15" s="13" t="n">
        <v>4170</v>
      </c>
      <c r="I15" s="12" t="s">
        <v>658</v>
      </c>
      <c r="J15" s="6" t="s">
        <v>16</v>
      </c>
    </row>
    <row r="16" customFormat="false" ht="28.35" hidden="false" customHeight="false" outlineLevel="0" collapsed="false">
      <c r="B16" s="12" t="s">
        <v>659</v>
      </c>
      <c r="C16" s="12" t="s">
        <v>655</v>
      </c>
      <c r="D16" s="25" t="s">
        <v>332</v>
      </c>
      <c r="E16" s="5" t="s">
        <v>660</v>
      </c>
      <c r="F16" s="5" t="s">
        <v>661</v>
      </c>
      <c r="G16" s="12" t="s">
        <v>622</v>
      </c>
      <c r="H16" s="13" t="n">
        <v>140</v>
      </c>
      <c r="I16" s="12" t="s">
        <v>658</v>
      </c>
      <c r="J16" s="6" t="s">
        <v>662</v>
      </c>
    </row>
    <row r="17" customFormat="false" ht="19.4" hidden="false" customHeight="false" outlineLevel="0" collapsed="false">
      <c r="B17" s="12" t="s">
        <v>663</v>
      </c>
      <c r="C17" s="12" t="s">
        <v>664</v>
      </c>
      <c r="D17" s="25" t="s">
        <v>332</v>
      </c>
      <c r="E17" s="5" t="s">
        <v>665</v>
      </c>
      <c r="F17" s="5" t="s">
        <v>666</v>
      </c>
      <c r="G17" s="12"/>
      <c r="H17" s="13" t="n">
        <v>63.4499999999971</v>
      </c>
      <c r="I17" s="12" t="s">
        <v>658</v>
      </c>
      <c r="J17" s="6" t="s">
        <v>16</v>
      </c>
    </row>
    <row r="18" customFormat="false" ht="19.4" hidden="false" customHeight="false" outlineLevel="0" collapsed="false">
      <c r="B18" s="12" t="s">
        <v>667</v>
      </c>
      <c r="C18" s="12" t="s">
        <v>668</v>
      </c>
      <c r="D18" s="25" t="s">
        <v>332</v>
      </c>
      <c r="E18" s="5" t="s">
        <v>669</v>
      </c>
      <c r="F18" s="5" t="s">
        <v>666</v>
      </c>
      <c r="G18" s="12"/>
      <c r="H18" s="13" t="n">
        <v>10.7899999999991</v>
      </c>
      <c r="I18" s="12" t="s">
        <v>658</v>
      </c>
      <c r="J18" s="6" t="s">
        <v>16</v>
      </c>
    </row>
    <row r="19" customFormat="false" ht="28.35" hidden="false" customHeight="false" outlineLevel="0" collapsed="false">
      <c r="B19" s="12" t="s">
        <v>670</v>
      </c>
      <c r="C19" s="12" t="s">
        <v>671</v>
      </c>
      <c r="D19" s="12" t="s">
        <v>672</v>
      </c>
      <c r="E19" s="5" t="s">
        <v>673</v>
      </c>
      <c r="F19" s="5" t="s">
        <v>599</v>
      </c>
      <c r="G19" s="12" t="s">
        <v>595</v>
      </c>
      <c r="H19" s="13" t="n">
        <v>5297</v>
      </c>
      <c r="I19" s="12" t="s">
        <v>600</v>
      </c>
      <c r="J19" s="6" t="s">
        <v>674</v>
      </c>
    </row>
    <row r="20" customFormat="false" ht="35.05" hidden="false" customHeight="false" outlineLevel="0" collapsed="false">
      <c r="B20" s="12" t="s">
        <v>675</v>
      </c>
      <c r="C20" s="12" t="s">
        <v>676</v>
      </c>
      <c r="D20" s="12" t="s">
        <v>677</v>
      </c>
      <c r="E20" s="5" t="s">
        <v>678</v>
      </c>
      <c r="F20" s="5" t="s">
        <v>644</v>
      </c>
      <c r="G20" s="12"/>
      <c r="H20" s="13" t="n">
        <v>0</v>
      </c>
      <c r="I20" s="12" t="s">
        <v>679</v>
      </c>
      <c r="J20" s="6" t="s">
        <v>16</v>
      </c>
    </row>
    <row r="21" customFormat="false" ht="19.4" hidden="false" customHeight="false" outlineLevel="0" collapsed="false">
      <c r="B21" s="12" t="s">
        <v>680</v>
      </c>
      <c r="C21" s="12" t="s">
        <v>681</v>
      </c>
      <c r="D21" s="12" t="s">
        <v>682</v>
      </c>
      <c r="E21" s="5" t="s">
        <v>683</v>
      </c>
      <c r="F21" s="5" t="s">
        <v>644</v>
      </c>
      <c r="G21" s="12"/>
      <c r="H21" s="13" t="n">
        <v>0</v>
      </c>
      <c r="I21" s="12" t="s">
        <v>684</v>
      </c>
      <c r="J21" s="6" t="s">
        <v>685</v>
      </c>
    </row>
    <row r="22" customFormat="false" ht="23.85" hidden="false" customHeight="false" outlineLevel="0" collapsed="false">
      <c r="B22" s="12" t="s">
        <v>686</v>
      </c>
      <c r="C22" s="12" t="s">
        <v>681</v>
      </c>
      <c r="D22" s="12" t="s">
        <v>687</v>
      </c>
      <c r="E22" s="5" t="s">
        <v>688</v>
      </c>
      <c r="F22" s="5" t="s">
        <v>644</v>
      </c>
      <c r="G22" s="12"/>
      <c r="H22" s="13" t="n">
        <v>-357</v>
      </c>
      <c r="I22" s="12" t="s">
        <v>689</v>
      </c>
      <c r="J22" s="6" t="s">
        <v>690</v>
      </c>
    </row>
    <row r="23" customFormat="false" ht="35.05" hidden="false" customHeight="false" outlineLevel="0" collapsed="false">
      <c r="B23" s="12" t="s">
        <v>651</v>
      </c>
      <c r="C23" s="12" t="s">
        <v>691</v>
      </c>
      <c r="D23" s="12" t="s">
        <v>692</v>
      </c>
      <c r="E23" s="5" t="s">
        <v>693</v>
      </c>
      <c r="F23" s="5" t="s">
        <v>694</v>
      </c>
      <c r="G23" s="12" t="s">
        <v>647</v>
      </c>
      <c r="H23" s="13" t="n">
        <v>0</v>
      </c>
      <c r="I23" s="12" t="s">
        <v>695</v>
      </c>
      <c r="J23" s="6" t="s">
        <v>696</v>
      </c>
    </row>
    <row r="24" customFormat="false" ht="35.05" hidden="false" customHeight="false" outlineLevel="0" collapsed="false">
      <c r="B24" s="12" t="s">
        <v>697</v>
      </c>
      <c r="C24" s="12" t="s">
        <v>698</v>
      </c>
      <c r="D24" s="12" t="s">
        <v>699</v>
      </c>
      <c r="E24" s="5" t="s">
        <v>700</v>
      </c>
      <c r="F24" s="5" t="s">
        <v>599</v>
      </c>
      <c r="G24" s="12"/>
      <c r="H24" s="13" t="n">
        <v>0</v>
      </c>
      <c r="I24" s="12" t="s">
        <v>701</v>
      </c>
      <c r="J24" s="6" t="s">
        <v>702</v>
      </c>
    </row>
    <row r="26" customFormat="false" ht="15" hidden="false" customHeight="false" outlineLevel="0" collapsed="false">
      <c r="B26" s="16" t="s">
        <v>703</v>
      </c>
      <c r="H26" s="19" t="n">
        <f aca="false">SUM(H6:H24)-H6</f>
        <v>15271.24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44"/>
  </cols>
  <sheetData>
    <row r="2" customFormat="false" ht="27.75" hidden="false" customHeight="true" outlineLevel="0" collapsed="false">
      <c r="B2" s="1" t="s">
        <v>704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705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706</v>
      </c>
    </row>
    <row r="6" customFormat="false" ht="15" hidden="false" customHeight="false" outlineLevel="0" collapsed="false">
      <c r="B6" s="11" t="s">
        <v>160</v>
      </c>
      <c r="C6" s="11" t="s">
        <v>707</v>
      </c>
      <c r="D6" s="11" t="s">
        <v>708</v>
      </c>
      <c r="E6" s="11" t="s">
        <v>709</v>
      </c>
      <c r="F6" s="11" t="s">
        <v>276</v>
      </c>
    </row>
    <row r="7" customFormat="false" ht="15" hidden="false" customHeight="false" outlineLevel="0" collapsed="false">
      <c r="B7" s="5" t="s">
        <v>710</v>
      </c>
      <c r="C7" s="5" t="s">
        <v>711</v>
      </c>
      <c r="D7" s="13" t="n">
        <v>18965</v>
      </c>
      <c r="E7" s="5" t="s">
        <v>712</v>
      </c>
      <c r="F7" s="6" t="s">
        <v>713</v>
      </c>
    </row>
    <row r="8" customFormat="false" ht="23.85" hidden="false" customHeight="false" outlineLevel="0" collapsed="false">
      <c r="B8" s="5" t="s">
        <v>714</v>
      </c>
      <c r="C8" s="5" t="s">
        <v>715</v>
      </c>
      <c r="D8" s="13" t="n">
        <v>-16638</v>
      </c>
      <c r="E8" s="5" t="s">
        <v>716</v>
      </c>
      <c r="F8" s="6" t="s">
        <v>717</v>
      </c>
    </row>
    <row r="9" customFormat="false" ht="15" hidden="false" customHeight="false" outlineLevel="0" collapsed="false">
      <c r="B9" s="5" t="s">
        <v>718</v>
      </c>
      <c r="C9" s="5" t="s">
        <v>719</v>
      </c>
      <c r="D9" s="13" t="n">
        <v>14618.5</v>
      </c>
      <c r="E9" s="5" t="s">
        <v>720</v>
      </c>
      <c r="F9" s="6" t="s">
        <v>721</v>
      </c>
    </row>
    <row r="10" customFormat="false" ht="23.85" hidden="false" customHeight="false" outlineLevel="0" collapsed="false">
      <c r="B10" s="5" t="s">
        <v>722</v>
      </c>
      <c r="C10" s="5" t="s">
        <v>723</v>
      </c>
      <c r="D10" s="13" t="n">
        <v>-62736.55</v>
      </c>
      <c r="E10" s="5" t="s">
        <v>724</v>
      </c>
      <c r="F10" s="6" t="s">
        <v>725</v>
      </c>
    </row>
    <row r="11" customFormat="false" ht="15" hidden="false" customHeight="false" outlineLevel="0" collapsed="false">
      <c r="B11" s="5" t="s">
        <v>726</v>
      </c>
      <c r="C11" s="5" t="s">
        <v>727</v>
      </c>
      <c r="D11" s="13" t="n">
        <v>11621.34</v>
      </c>
      <c r="E11" s="5" t="s">
        <v>728</v>
      </c>
      <c r="F11" s="6" t="s">
        <v>729</v>
      </c>
    </row>
    <row r="12" customFormat="false" ht="15" hidden="false" customHeight="false" outlineLevel="0" collapsed="false">
      <c r="B12" s="5" t="s">
        <v>730</v>
      </c>
      <c r="C12" s="5" t="s">
        <v>731</v>
      </c>
      <c r="D12" s="13" t="n">
        <v>-22868.18</v>
      </c>
      <c r="E12" s="5" t="s">
        <v>732</v>
      </c>
      <c r="F12" s="6" t="s">
        <v>733</v>
      </c>
    </row>
    <row r="13" customFormat="false" ht="15" hidden="false" customHeight="false" outlineLevel="0" collapsed="false">
      <c r="B13" s="16" t="s">
        <v>734</v>
      </c>
      <c r="D13" s="17" t="n">
        <f aca="false">SUM(D7:D12)</f>
        <v>-57037.89</v>
      </c>
    </row>
    <row r="16" customFormat="false" ht="15" hidden="false" customHeight="false" outlineLevel="0" collapsed="false">
      <c r="B16" s="3" t="s">
        <v>735</v>
      </c>
    </row>
    <row r="17" customFormat="false" ht="15" hidden="false" customHeight="false" outlineLevel="0" collapsed="false">
      <c r="B17" s="11" t="s">
        <v>736</v>
      </c>
      <c r="C17" s="11" t="s">
        <v>737</v>
      </c>
      <c r="D17" s="11" t="s">
        <v>738</v>
      </c>
      <c r="E17" s="11" t="s">
        <v>276</v>
      </c>
    </row>
    <row r="18" customFormat="false" ht="15" hidden="false" customHeight="false" outlineLevel="0" collapsed="false">
      <c r="B18" s="5" t="s">
        <v>739</v>
      </c>
      <c r="C18" s="12" t="n">
        <v>3</v>
      </c>
      <c r="D18" s="13" t="n">
        <v>18965</v>
      </c>
      <c r="E18" s="5" t="s">
        <v>740</v>
      </c>
    </row>
    <row r="19" customFormat="false" ht="15" hidden="false" customHeight="false" outlineLevel="0" collapsed="false">
      <c r="B19" s="5" t="s">
        <v>741</v>
      </c>
      <c r="C19" s="12" t="n">
        <v>4</v>
      </c>
      <c r="D19" s="13" t="n">
        <v>-62736.55</v>
      </c>
      <c r="E19" s="5" t="s">
        <v>742</v>
      </c>
    </row>
    <row r="20" customFormat="false" ht="15" hidden="false" customHeight="false" outlineLevel="0" collapsed="false">
      <c r="B20" s="5" t="s">
        <v>743</v>
      </c>
      <c r="C20" s="12" t="n">
        <v>1</v>
      </c>
      <c r="D20" s="13" t="n">
        <v>14618.5</v>
      </c>
      <c r="E20" s="5" t="s">
        <v>744</v>
      </c>
    </row>
    <row r="21" customFormat="false" ht="15" hidden="false" customHeight="false" outlineLevel="0" collapsed="false">
      <c r="B21" s="5" t="s">
        <v>745</v>
      </c>
      <c r="C21" s="12" t="n">
        <v>2</v>
      </c>
      <c r="D21" s="13" t="n">
        <v>11621.34</v>
      </c>
      <c r="E21" s="5" t="s">
        <v>746</v>
      </c>
    </row>
    <row r="22" customFormat="false" ht="15" hidden="false" customHeight="false" outlineLevel="0" collapsed="false">
      <c r="B22" s="5" t="s">
        <v>747</v>
      </c>
      <c r="C22" s="12" t="n">
        <v>3</v>
      </c>
      <c r="D22" s="13" t="n">
        <v>-22868.18</v>
      </c>
      <c r="E22" s="5" t="s">
        <v>733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58"/>
  </cols>
  <sheetData>
    <row r="2" customFormat="false" ht="27.75" hidden="false" customHeight="true" outlineLevel="0" collapsed="false">
      <c r="B2" s="1" t="s">
        <v>748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749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750</v>
      </c>
    </row>
    <row r="6" customFormat="false" ht="15" hidden="false" customHeight="false" outlineLevel="0" collapsed="false">
      <c r="B6" s="11" t="s">
        <v>751</v>
      </c>
      <c r="C6" s="11" t="s">
        <v>752</v>
      </c>
      <c r="D6" s="11" t="s">
        <v>753</v>
      </c>
      <c r="E6" s="11" t="s">
        <v>330</v>
      </c>
      <c r="F6" s="11" t="s">
        <v>754</v>
      </c>
    </row>
    <row r="7" customFormat="false" ht="15" hidden="false" customHeight="false" outlineLevel="0" collapsed="false">
      <c r="B7" s="5" t="s">
        <v>755</v>
      </c>
      <c r="C7" s="25" t="s">
        <v>332</v>
      </c>
      <c r="D7" s="12" t="s">
        <v>756</v>
      </c>
      <c r="E7" s="34" t="s">
        <v>757</v>
      </c>
      <c r="F7" s="5" t="s">
        <v>758</v>
      </c>
    </row>
    <row r="8" customFormat="false" ht="15" hidden="false" customHeight="false" outlineLevel="0" collapsed="false">
      <c r="B8" s="5" t="s">
        <v>759</v>
      </c>
      <c r="C8" s="25" t="s">
        <v>332</v>
      </c>
      <c r="D8" s="12" t="s">
        <v>760</v>
      </c>
      <c r="E8" s="34" t="s">
        <v>757</v>
      </c>
      <c r="F8" s="5" t="s">
        <v>761</v>
      </c>
    </row>
    <row r="9" customFormat="false" ht="15" hidden="false" customHeight="false" outlineLevel="0" collapsed="false">
      <c r="B9" s="5" t="s">
        <v>762</v>
      </c>
      <c r="C9" s="25" t="s">
        <v>332</v>
      </c>
      <c r="D9" s="12" t="s">
        <v>763</v>
      </c>
      <c r="E9" s="34" t="s">
        <v>757</v>
      </c>
      <c r="F9" s="5" t="s">
        <v>764</v>
      </c>
    </row>
    <row r="10" customFormat="false" ht="15" hidden="false" customHeight="false" outlineLevel="0" collapsed="false">
      <c r="B10" s="5" t="s">
        <v>765</v>
      </c>
      <c r="C10" s="12" t="n">
        <v>0</v>
      </c>
      <c r="D10" s="12" t="s">
        <v>766</v>
      </c>
      <c r="E10" s="35" t="s">
        <v>767</v>
      </c>
      <c r="F10" s="5" t="s">
        <v>768</v>
      </c>
    </row>
    <row r="11" customFormat="false" ht="15" hidden="false" customHeight="false" outlineLevel="0" collapsed="false">
      <c r="B11" s="5" t="s">
        <v>769</v>
      </c>
      <c r="C11" s="12" t="s">
        <v>770</v>
      </c>
      <c r="D11" s="12" t="s">
        <v>771</v>
      </c>
      <c r="E11" s="26" t="s">
        <v>772</v>
      </c>
      <c r="F11" s="5" t="s">
        <v>773</v>
      </c>
    </row>
    <row r="12" customFormat="false" ht="15" hidden="false" customHeight="false" outlineLevel="0" collapsed="false">
      <c r="B12" s="5" t="s">
        <v>774</v>
      </c>
      <c r="C12" s="12" t="n">
        <f aca="false">8541.5</f>
        <v>8541.5</v>
      </c>
      <c r="D12" s="12" t="s">
        <v>760</v>
      </c>
      <c r="E12" s="35" t="s">
        <v>775</v>
      </c>
      <c r="F12" s="5" t="s">
        <v>776</v>
      </c>
    </row>
    <row r="13" customFormat="false" ht="15" hidden="false" customHeight="false" outlineLevel="0" collapsed="false">
      <c r="B13" s="5" t="s">
        <v>777</v>
      </c>
      <c r="C13" s="36" t="n">
        <v>0.253670243310496</v>
      </c>
      <c r="D13" s="12" t="s">
        <v>778</v>
      </c>
      <c r="E13" s="26" t="s">
        <v>772</v>
      </c>
      <c r="F13" s="5" t="s">
        <v>779</v>
      </c>
    </row>
    <row r="14" customFormat="false" ht="23.85" hidden="false" customHeight="false" outlineLevel="0" collapsed="false">
      <c r="B14" s="5" t="s">
        <v>780</v>
      </c>
      <c r="C14" s="12" t="s">
        <v>781</v>
      </c>
      <c r="D14" s="12" t="s">
        <v>782</v>
      </c>
      <c r="E14" s="28" t="s">
        <v>783</v>
      </c>
      <c r="F14" s="5" t="s">
        <v>784</v>
      </c>
    </row>
    <row r="15" customFormat="false" ht="15" hidden="false" customHeight="false" outlineLevel="0" collapsed="false">
      <c r="B15" s="5" t="s">
        <v>785</v>
      </c>
      <c r="C15" s="36" t="n">
        <v>0.210501668325236</v>
      </c>
      <c r="D15" s="12" t="s">
        <v>786</v>
      </c>
      <c r="E15" s="28" t="s">
        <v>783</v>
      </c>
      <c r="F15" s="5" t="s">
        <v>787</v>
      </c>
    </row>
    <row r="16" customFormat="false" ht="15" hidden="false" customHeight="false" outlineLevel="0" collapsed="false">
      <c r="B16" s="5" t="s">
        <v>788</v>
      </c>
      <c r="C16" s="36" t="n">
        <v>0.573786805596207</v>
      </c>
      <c r="D16" s="12" t="s">
        <v>789</v>
      </c>
      <c r="E16" s="26" t="s">
        <v>772</v>
      </c>
      <c r="F16" s="5" t="s">
        <v>790</v>
      </c>
    </row>
    <row r="17" customFormat="false" ht="23.85" hidden="false" customHeight="false" outlineLevel="0" collapsed="false">
      <c r="B17" s="5" t="s">
        <v>791</v>
      </c>
      <c r="C17" s="12" t="s">
        <v>792</v>
      </c>
      <c r="D17" s="12" t="s">
        <v>793</v>
      </c>
      <c r="E17" s="30" t="s">
        <v>794</v>
      </c>
      <c r="F17" s="5" t="s">
        <v>795</v>
      </c>
    </row>
    <row r="20" customFormat="false" ht="15" hidden="false" customHeight="false" outlineLevel="0" collapsed="false">
      <c r="B20" s="3" t="s">
        <v>796</v>
      </c>
    </row>
    <row r="21" customFormat="false" ht="15" hidden="false" customHeight="false" outlineLevel="0" collapsed="false">
      <c r="B21" s="11" t="s">
        <v>797</v>
      </c>
      <c r="C21" s="11" t="s">
        <v>798</v>
      </c>
      <c r="D21" s="11" t="s">
        <v>428</v>
      </c>
      <c r="E21" s="11" t="s">
        <v>799</v>
      </c>
      <c r="F21" s="11" t="s">
        <v>800</v>
      </c>
    </row>
    <row r="22" customFormat="false" ht="15" hidden="false" customHeight="false" outlineLevel="0" collapsed="false">
      <c r="B22" s="5" t="s">
        <v>801</v>
      </c>
      <c r="C22" s="36" t="n">
        <v>0.340328844169806</v>
      </c>
      <c r="D22" s="12" t="s">
        <v>96</v>
      </c>
      <c r="E22" s="12" t="s">
        <v>802</v>
      </c>
      <c r="F22" s="5" t="s">
        <v>319</v>
      </c>
    </row>
    <row r="23" customFormat="false" ht="15" hidden="false" customHeight="false" outlineLevel="0" collapsed="false">
      <c r="B23" s="5" t="s">
        <v>803</v>
      </c>
      <c r="C23" s="12" t="s">
        <v>804</v>
      </c>
      <c r="D23" s="12" t="s">
        <v>805</v>
      </c>
      <c r="E23" s="12" t="s">
        <v>806</v>
      </c>
      <c r="F23" s="5" t="s">
        <v>807</v>
      </c>
    </row>
    <row r="24" customFormat="false" ht="35.05" hidden="false" customHeight="false" outlineLevel="0" collapsed="false">
      <c r="B24" s="5" t="s">
        <v>808</v>
      </c>
      <c r="C24" s="12" t="n">
        <v>45</v>
      </c>
      <c r="D24" s="12" t="s">
        <v>809</v>
      </c>
      <c r="E24" s="12" t="s">
        <v>810</v>
      </c>
      <c r="F24" s="5" t="s">
        <v>811</v>
      </c>
    </row>
    <row r="25" customFormat="false" ht="23.85" hidden="false" customHeight="false" outlineLevel="0" collapsed="false">
      <c r="B25" s="5" t="s">
        <v>812</v>
      </c>
      <c r="C25" s="12" t="s">
        <v>813</v>
      </c>
      <c r="D25" s="12" t="s">
        <v>814</v>
      </c>
      <c r="E25" s="12" t="s">
        <v>815</v>
      </c>
      <c r="F25" s="5" t="s">
        <v>816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8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</cols>
  <sheetData>
    <row r="2" customFormat="false" ht="27.75" hidden="false" customHeight="true" outlineLevel="0" collapsed="false">
      <c r="B2" s="1" t="s">
        <v>817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818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425</v>
      </c>
      <c r="C5" s="11" t="s">
        <v>819</v>
      </c>
      <c r="D5" s="11" t="s">
        <v>820</v>
      </c>
      <c r="E5" s="11" t="s">
        <v>275</v>
      </c>
      <c r="F5" s="11" t="s">
        <v>821</v>
      </c>
      <c r="G5" s="11" t="s">
        <v>822</v>
      </c>
      <c r="H5" s="11" t="s">
        <v>428</v>
      </c>
      <c r="I5" s="11" t="s">
        <v>823</v>
      </c>
    </row>
    <row r="6" customFormat="false" ht="35.05" hidden="false" customHeight="false" outlineLevel="0" collapsed="false">
      <c r="B6" s="12" t="n">
        <v>1</v>
      </c>
      <c r="C6" s="5" t="s">
        <v>466</v>
      </c>
      <c r="D6" s="5" t="s">
        <v>465</v>
      </c>
      <c r="E6" s="12" t="s">
        <v>4</v>
      </c>
      <c r="F6" s="12" t="s">
        <v>824</v>
      </c>
      <c r="G6" s="12" t="s">
        <v>460</v>
      </c>
      <c r="H6" s="26" t="s">
        <v>431</v>
      </c>
      <c r="I6" s="5" t="s">
        <v>16</v>
      </c>
    </row>
    <row r="7" customFormat="false" ht="35.05" hidden="false" customHeight="false" outlineLevel="0" collapsed="false">
      <c r="B7" s="12" t="n">
        <v>2</v>
      </c>
      <c r="C7" s="5" t="s">
        <v>470</v>
      </c>
      <c r="D7" s="5" t="s">
        <v>469</v>
      </c>
      <c r="E7" s="12" t="s">
        <v>7</v>
      </c>
      <c r="F7" s="12" t="s">
        <v>825</v>
      </c>
      <c r="G7" s="12" t="s">
        <v>460</v>
      </c>
      <c r="H7" s="26" t="s">
        <v>431</v>
      </c>
      <c r="I7" s="5" t="s">
        <v>16</v>
      </c>
    </row>
    <row r="8" customFormat="false" ht="35.05" hidden="false" customHeight="false" outlineLevel="0" collapsed="false">
      <c r="B8" s="12" t="n">
        <v>3</v>
      </c>
      <c r="C8" s="5" t="s">
        <v>472</v>
      </c>
      <c r="D8" s="5" t="s">
        <v>8</v>
      </c>
      <c r="E8" s="12" t="s">
        <v>473</v>
      </c>
      <c r="F8" s="12" t="s">
        <v>825</v>
      </c>
      <c r="G8" s="12" t="s">
        <v>460</v>
      </c>
      <c r="H8" s="26" t="s">
        <v>431</v>
      </c>
      <c r="I8" s="5" t="s">
        <v>16</v>
      </c>
    </row>
    <row r="9" customFormat="false" ht="35.05" hidden="false" customHeight="false" outlineLevel="0" collapsed="false">
      <c r="B9" s="12" t="n">
        <v>4</v>
      </c>
      <c r="C9" s="5" t="s">
        <v>475</v>
      </c>
      <c r="D9" s="5" t="s">
        <v>826</v>
      </c>
      <c r="E9" s="12" t="s">
        <v>334</v>
      </c>
      <c r="F9" s="12" t="s">
        <v>825</v>
      </c>
      <c r="G9" s="12" t="s">
        <v>460</v>
      </c>
      <c r="H9" s="26" t="s">
        <v>431</v>
      </c>
      <c r="I9" s="5" t="s">
        <v>16</v>
      </c>
    </row>
    <row r="10" customFormat="false" ht="35.05" hidden="false" customHeight="false" outlineLevel="0" collapsed="false">
      <c r="B10" s="12" t="n">
        <v>5</v>
      </c>
      <c r="C10" s="5" t="s">
        <v>827</v>
      </c>
      <c r="D10" s="5" t="s">
        <v>828</v>
      </c>
      <c r="E10" s="12" t="s">
        <v>15</v>
      </c>
      <c r="F10" s="12" t="s">
        <v>824</v>
      </c>
      <c r="G10" s="12" t="s">
        <v>829</v>
      </c>
      <c r="H10" s="26" t="s">
        <v>431</v>
      </c>
      <c r="I10" s="5" t="s">
        <v>16</v>
      </c>
    </row>
    <row r="11" customFormat="false" ht="35.05" hidden="false" customHeight="false" outlineLevel="0" collapsed="false">
      <c r="B11" s="12" t="n">
        <v>6</v>
      </c>
      <c r="C11" s="5" t="s">
        <v>478</v>
      </c>
      <c r="D11" s="5" t="s">
        <v>477</v>
      </c>
      <c r="E11" s="12" t="s">
        <v>830</v>
      </c>
      <c r="F11" s="12" t="s">
        <v>825</v>
      </c>
      <c r="G11" s="12" t="s">
        <v>460</v>
      </c>
      <c r="H11" s="28" t="s">
        <v>481</v>
      </c>
      <c r="I11" s="5" t="s">
        <v>16</v>
      </c>
    </row>
    <row r="12" customFormat="false" ht="23.85" hidden="false" customHeight="false" outlineLevel="0" collapsed="false">
      <c r="B12" s="12" t="n">
        <v>7</v>
      </c>
      <c r="C12" s="5" t="s">
        <v>483</v>
      </c>
      <c r="D12" s="5" t="s">
        <v>482</v>
      </c>
      <c r="E12" s="12" t="s">
        <v>831</v>
      </c>
      <c r="F12" s="12" t="s">
        <v>825</v>
      </c>
      <c r="G12" s="12" t="s">
        <v>460</v>
      </c>
      <c r="H12" s="28" t="s">
        <v>481</v>
      </c>
      <c r="I12" s="5" t="s">
        <v>486</v>
      </c>
    </row>
    <row r="13" customFormat="false" ht="35.05" hidden="false" customHeight="false" outlineLevel="0" collapsed="false">
      <c r="B13" s="12" t="n">
        <v>8</v>
      </c>
      <c r="C13" s="5" t="s">
        <v>488</v>
      </c>
      <c r="D13" s="5" t="s">
        <v>832</v>
      </c>
      <c r="E13" s="12" t="s">
        <v>489</v>
      </c>
      <c r="F13" s="12" t="s">
        <v>833</v>
      </c>
      <c r="G13" s="12" t="s">
        <v>460</v>
      </c>
      <c r="H13" s="26" t="s">
        <v>431</v>
      </c>
      <c r="I13" s="5" t="s">
        <v>16</v>
      </c>
    </row>
    <row r="14" customFormat="false" ht="35.05" hidden="false" customHeight="false" outlineLevel="0" collapsed="false">
      <c r="B14" s="12" t="n">
        <v>9</v>
      </c>
      <c r="C14" s="5" t="s">
        <v>492</v>
      </c>
      <c r="D14" s="5" t="s">
        <v>834</v>
      </c>
      <c r="E14" s="12" t="s">
        <v>493</v>
      </c>
      <c r="F14" s="12" t="s">
        <v>833</v>
      </c>
      <c r="G14" s="12" t="s">
        <v>460</v>
      </c>
      <c r="H14" s="26" t="s">
        <v>431</v>
      </c>
      <c r="I14" s="5" t="s">
        <v>16</v>
      </c>
    </row>
    <row r="15" customFormat="false" ht="15" hidden="false" customHeight="false" outlineLevel="0" collapsed="false">
      <c r="B15" s="12" t="n">
        <v>10</v>
      </c>
      <c r="C15" s="5" t="s">
        <v>496</v>
      </c>
      <c r="D15" s="5" t="s">
        <v>495</v>
      </c>
      <c r="E15" s="29" t="n">
        <v>16.5</v>
      </c>
      <c r="F15" s="12" t="s">
        <v>835</v>
      </c>
      <c r="G15" s="12" t="s">
        <v>460</v>
      </c>
      <c r="H15" s="26" t="s">
        <v>431</v>
      </c>
      <c r="I15" s="5" t="s">
        <v>284</v>
      </c>
    </row>
    <row r="16" customFormat="false" ht="15" hidden="false" customHeight="false" outlineLevel="0" collapsed="false">
      <c r="B16" s="12" t="n">
        <v>11</v>
      </c>
      <c r="C16" s="5" t="s">
        <v>498</v>
      </c>
      <c r="D16" s="5" t="s">
        <v>22</v>
      </c>
      <c r="E16" s="25" t="s">
        <v>332</v>
      </c>
      <c r="F16" s="12" t="s">
        <v>836</v>
      </c>
      <c r="G16" s="12" t="s">
        <v>460</v>
      </c>
      <c r="H16" s="30" t="s">
        <v>500</v>
      </c>
      <c r="I16" s="5" t="s">
        <v>837</v>
      </c>
    </row>
    <row r="17" customFormat="false" ht="15" hidden="false" customHeight="false" outlineLevel="0" collapsed="false">
      <c r="B17" s="12" t="n">
        <v>12</v>
      </c>
      <c r="C17" s="5" t="s">
        <v>503</v>
      </c>
      <c r="D17" s="5" t="s">
        <v>502</v>
      </c>
      <c r="E17" s="25" t="s">
        <v>332</v>
      </c>
      <c r="F17" s="12" t="s">
        <v>838</v>
      </c>
      <c r="G17" s="12" t="s">
        <v>460</v>
      </c>
      <c r="H17" s="30" t="s">
        <v>500</v>
      </c>
      <c r="I17" s="5" t="s">
        <v>837</v>
      </c>
    </row>
    <row r="18" customFormat="false" ht="35.05" hidden="false" customHeight="false" outlineLevel="0" collapsed="false">
      <c r="B18" s="12" t="n">
        <v>13</v>
      </c>
      <c r="C18" s="5" t="s">
        <v>506</v>
      </c>
      <c r="D18" s="5" t="s">
        <v>505</v>
      </c>
      <c r="E18" s="31" t="n">
        <v>825370</v>
      </c>
      <c r="F18" s="12" t="s">
        <v>839</v>
      </c>
      <c r="G18" s="12" t="s">
        <v>460</v>
      </c>
      <c r="H18" s="26" t="s">
        <v>431</v>
      </c>
      <c r="I18" s="5" t="s">
        <v>16</v>
      </c>
    </row>
    <row r="19" customFormat="false" ht="35.05" hidden="false" customHeight="false" outlineLevel="0" collapsed="false">
      <c r="B19" s="12" t="n">
        <v>14</v>
      </c>
      <c r="C19" s="5" t="s">
        <v>510</v>
      </c>
      <c r="D19" s="5" t="s">
        <v>509</v>
      </c>
      <c r="E19" s="31" t="n">
        <v>830667</v>
      </c>
      <c r="F19" s="12" t="s">
        <v>839</v>
      </c>
      <c r="G19" s="12" t="s">
        <v>460</v>
      </c>
      <c r="H19" s="26" t="s">
        <v>431</v>
      </c>
      <c r="I19" s="5" t="s">
        <v>16</v>
      </c>
    </row>
    <row r="20" customFormat="false" ht="15" hidden="false" customHeight="false" outlineLevel="0" collapsed="false">
      <c r="B20" s="12" t="n">
        <v>15</v>
      </c>
      <c r="C20" s="5" t="s">
        <v>513</v>
      </c>
      <c r="D20" s="5" t="s">
        <v>840</v>
      </c>
      <c r="E20" s="31" t="n">
        <v>5297</v>
      </c>
      <c r="F20" s="12" t="s">
        <v>839</v>
      </c>
      <c r="G20" s="12" t="s">
        <v>460</v>
      </c>
      <c r="H20" s="28" t="s">
        <v>481</v>
      </c>
      <c r="I20" s="5" t="s">
        <v>284</v>
      </c>
    </row>
    <row r="21" customFormat="false" ht="15" hidden="false" customHeight="false" outlineLevel="0" collapsed="false">
      <c r="B21" s="12" t="n">
        <v>16</v>
      </c>
      <c r="C21" s="5" t="s">
        <v>516</v>
      </c>
      <c r="D21" s="5" t="s">
        <v>841</v>
      </c>
      <c r="E21" s="32" t="n">
        <v>0.00641772780692296</v>
      </c>
      <c r="F21" s="12" t="s">
        <v>842</v>
      </c>
      <c r="G21" s="12" t="s">
        <v>460</v>
      </c>
      <c r="H21" s="28" t="s">
        <v>481</v>
      </c>
      <c r="I21" s="5" t="s">
        <v>284</v>
      </c>
    </row>
    <row r="22" customFormat="false" ht="35.05" hidden="false" customHeight="false" outlineLevel="0" collapsed="false">
      <c r="B22" s="12" t="n">
        <v>17</v>
      </c>
      <c r="C22" s="5" t="s">
        <v>518</v>
      </c>
      <c r="D22" s="5" t="s">
        <v>517</v>
      </c>
      <c r="E22" s="31" t="n">
        <v>830667</v>
      </c>
      <c r="F22" s="12" t="s">
        <v>839</v>
      </c>
      <c r="G22" s="12" t="s">
        <v>460</v>
      </c>
      <c r="H22" s="26" t="s">
        <v>431</v>
      </c>
      <c r="I22" s="5" t="s">
        <v>16</v>
      </c>
    </row>
    <row r="23" customFormat="false" ht="35.05" hidden="false" customHeight="false" outlineLevel="0" collapsed="false">
      <c r="B23" s="12" t="n">
        <v>18</v>
      </c>
      <c r="C23" s="5" t="s">
        <v>521</v>
      </c>
      <c r="D23" s="5" t="s">
        <v>520</v>
      </c>
      <c r="E23" s="31" t="n">
        <v>547967.06</v>
      </c>
      <c r="F23" s="12" t="s">
        <v>839</v>
      </c>
      <c r="G23" s="12" t="s">
        <v>460</v>
      </c>
      <c r="H23" s="26" t="s">
        <v>431</v>
      </c>
      <c r="I23" s="5" t="s">
        <v>16</v>
      </c>
    </row>
    <row r="24" customFormat="false" ht="35.05" hidden="false" customHeight="false" outlineLevel="0" collapsed="false">
      <c r="B24" s="12" t="n">
        <v>19</v>
      </c>
      <c r="C24" s="5" t="s">
        <v>524</v>
      </c>
      <c r="D24" s="5" t="s">
        <v>523</v>
      </c>
      <c r="E24" s="31" t="n">
        <v>282699.94</v>
      </c>
      <c r="F24" s="12" t="s">
        <v>839</v>
      </c>
      <c r="G24" s="12" t="s">
        <v>460</v>
      </c>
      <c r="H24" s="26" t="s">
        <v>431</v>
      </c>
      <c r="I24" s="5" t="s">
        <v>16</v>
      </c>
    </row>
    <row r="25" customFormat="false" ht="15" hidden="false" customHeight="false" outlineLevel="0" collapsed="false">
      <c r="B25" s="12" t="n">
        <v>20</v>
      </c>
      <c r="C25" s="5" t="s">
        <v>526</v>
      </c>
      <c r="D25" s="5" t="s">
        <v>318</v>
      </c>
      <c r="E25" s="32" t="n">
        <v>0.340328844169806</v>
      </c>
      <c r="F25" s="12" t="s">
        <v>842</v>
      </c>
      <c r="G25" s="12" t="s">
        <v>460</v>
      </c>
      <c r="H25" s="26" t="s">
        <v>431</v>
      </c>
      <c r="I25" s="5" t="s">
        <v>284</v>
      </c>
    </row>
    <row r="26" customFormat="false" ht="35.05" hidden="false" customHeight="false" outlineLevel="0" collapsed="false">
      <c r="B26" s="12" t="n">
        <v>21</v>
      </c>
      <c r="C26" s="5" t="s">
        <v>528</v>
      </c>
      <c r="D26" s="5" t="s">
        <v>527</v>
      </c>
      <c r="E26" s="31" t="n">
        <v>41533.35</v>
      </c>
      <c r="F26" s="12" t="s">
        <v>839</v>
      </c>
      <c r="G26" s="12" t="s">
        <v>460</v>
      </c>
      <c r="H26" s="26" t="s">
        <v>431</v>
      </c>
      <c r="I26" s="5" t="s">
        <v>16</v>
      </c>
    </row>
    <row r="27" customFormat="false" ht="15" hidden="false" customHeight="false" outlineLevel="0" collapsed="false">
      <c r="B27" s="12" t="n">
        <v>22</v>
      </c>
      <c r="C27" s="5" t="s">
        <v>531</v>
      </c>
      <c r="D27" s="5" t="s">
        <v>530</v>
      </c>
      <c r="E27" s="32" t="n">
        <v>0.05</v>
      </c>
      <c r="F27" s="12" t="s">
        <v>842</v>
      </c>
      <c r="G27" s="12" t="s">
        <v>460</v>
      </c>
      <c r="H27" s="26" t="s">
        <v>431</v>
      </c>
      <c r="I27" s="5" t="s">
        <v>284</v>
      </c>
    </row>
    <row r="28" customFormat="false" ht="35.05" hidden="false" customHeight="false" outlineLevel="0" collapsed="false">
      <c r="B28" s="12" t="n">
        <v>23</v>
      </c>
      <c r="C28" s="5" t="s">
        <v>533</v>
      </c>
      <c r="D28" s="5" t="s">
        <v>532</v>
      </c>
      <c r="E28" s="31" t="n">
        <v>210715.5</v>
      </c>
      <c r="F28" s="12" t="s">
        <v>839</v>
      </c>
      <c r="G28" s="12" t="s">
        <v>460</v>
      </c>
      <c r="H28" s="26" t="s">
        <v>431</v>
      </c>
      <c r="I28" s="5" t="s">
        <v>16</v>
      </c>
    </row>
    <row r="29" customFormat="false" ht="35.05" hidden="false" customHeight="false" outlineLevel="0" collapsed="false">
      <c r="B29" s="12" t="n">
        <v>24</v>
      </c>
      <c r="C29" s="5" t="s">
        <v>536</v>
      </c>
      <c r="D29" s="5" t="s">
        <v>535</v>
      </c>
      <c r="E29" s="31" t="n">
        <v>194870.36</v>
      </c>
      <c r="F29" s="12" t="s">
        <v>839</v>
      </c>
      <c r="G29" s="12" t="s">
        <v>460</v>
      </c>
      <c r="H29" s="26" t="s">
        <v>431</v>
      </c>
      <c r="I29" s="5" t="s">
        <v>16</v>
      </c>
    </row>
    <row r="30" customFormat="false" ht="35.05" hidden="false" customHeight="false" outlineLevel="0" collapsed="false">
      <c r="B30" s="12" t="n">
        <v>25</v>
      </c>
      <c r="C30" s="5" t="s">
        <v>539</v>
      </c>
      <c r="D30" s="5" t="s">
        <v>843</v>
      </c>
      <c r="E30" s="31" t="n">
        <v>32877.82</v>
      </c>
      <c r="F30" s="12" t="s">
        <v>839</v>
      </c>
      <c r="G30" s="12" t="s">
        <v>460</v>
      </c>
      <c r="H30" s="26" t="s">
        <v>431</v>
      </c>
      <c r="I30" s="5" t="s">
        <v>16</v>
      </c>
    </row>
    <row r="31" customFormat="false" ht="35.05" hidden="false" customHeight="false" outlineLevel="0" collapsed="false">
      <c r="B31" s="12" t="n">
        <v>26</v>
      </c>
      <c r="C31" s="5" t="s">
        <v>542</v>
      </c>
      <c r="D31" s="5" t="s">
        <v>541</v>
      </c>
      <c r="E31" s="31" t="n">
        <v>93383.48</v>
      </c>
      <c r="F31" s="12" t="s">
        <v>839</v>
      </c>
      <c r="G31" s="12" t="s">
        <v>460</v>
      </c>
      <c r="H31" s="26" t="s">
        <v>431</v>
      </c>
      <c r="I31" s="5" t="s">
        <v>16</v>
      </c>
    </row>
    <row r="32" customFormat="false" ht="35.05" hidden="false" customHeight="false" outlineLevel="0" collapsed="false">
      <c r="B32" s="12" t="n">
        <v>27</v>
      </c>
      <c r="C32" s="5" t="s">
        <v>545</v>
      </c>
      <c r="D32" s="5" t="s">
        <v>544</v>
      </c>
      <c r="E32" s="31" t="n">
        <v>16119.9</v>
      </c>
      <c r="F32" s="12" t="s">
        <v>839</v>
      </c>
      <c r="G32" s="12" t="s">
        <v>460</v>
      </c>
      <c r="H32" s="26" t="s">
        <v>431</v>
      </c>
      <c r="I32" s="5" t="s">
        <v>16</v>
      </c>
    </row>
    <row r="33" customFormat="false" ht="35.05" hidden="false" customHeight="false" outlineLevel="0" collapsed="false">
      <c r="B33" s="12" t="n">
        <v>28</v>
      </c>
      <c r="C33" s="5" t="s">
        <v>547</v>
      </c>
      <c r="D33" s="5" t="s">
        <v>279</v>
      </c>
      <c r="E33" s="29" t="n">
        <v>8541.5</v>
      </c>
      <c r="F33" s="12" t="s">
        <v>844</v>
      </c>
      <c r="G33" s="12" t="s">
        <v>460</v>
      </c>
      <c r="H33" s="26" t="s">
        <v>431</v>
      </c>
      <c r="I33" s="5" t="s">
        <v>16</v>
      </c>
    </row>
    <row r="34" customFormat="false" ht="35.05" hidden="false" customHeight="false" outlineLevel="0" collapsed="false">
      <c r="B34" s="12" t="n">
        <v>29</v>
      </c>
      <c r="C34" s="5" t="s">
        <v>549</v>
      </c>
      <c r="D34" s="5" t="s">
        <v>277</v>
      </c>
      <c r="E34" s="37" t="n">
        <v>25</v>
      </c>
      <c r="F34" s="12" t="s">
        <v>838</v>
      </c>
      <c r="G34" s="12" t="s">
        <v>460</v>
      </c>
      <c r="H34" s="26" t="s">
        <v>431</v>
      </c>
      <c r="I34" s="5" t="s">
        <v>16</v>
      </c>
    </row>
    <row r="35" customFormat="false" ht="15" hidden="false" customHeight="false" outlineLevel="0" collapsed="false">
      <c r="B35" s="12" t="n">
        <v>30</v>
      </c>
      <c r="C35" s="5" t="s">
        <v>550</v>
      </c>
      <c r="D35" s="5" t="s">
        <v>845</v>
      </c>
      <c r="E35" s="31" t="n">
        <v>24.6696130656208</v>
      </c>
      <c r="F35" s="12" t="s">
        <v>846</v>
      </c>
      <c r="G35" s="12" t="s">
        <v>460</v>
      </c>
      <c r="H35" s="26" t="s">
        <v>431</v>
      </c>
      <c r="I35" s="5" t="s">
        <v>284</v>
      </c>
    </row>
    <row r="36" customFormat="false" ht="15" hidden="false" customHeight="false" outlineLevel="0" collapsed="false">
      <c r="B36" s="12" t="n">
        <v>31</v>
      </c>
      <c r="C36" s="5" t="s">
        <v>552</v>
      </c>
      <c r="D36" s="5" t="s">
        <v>847</v>
      </c>
      <c r="E36" s="31" t="n">
        <v>37.4897711174852</v>
      </c>
      <c r="F36" s="12" t="s">
        <v>846</v>
      </c>
      <c r="G36" s="12" t="s">
        <v>460</v>
      </c>
      <c r="H36" s="26" t="s">
        <v>431</v>
      </c>
      <c r="I36" s="5" t="s">
        <v>284</v>
      </c>
    </row>
    <row r="37" customFormat="false" ht="15" hidden="false" customHeight="false" outlineLevel="0" collapsed="false">
      <c r="B37" s="12" t="n">
        <v>32</v>
      </c>
      <c r="C37" s="5" t="s">
        <v>554</v>
      </c>
      <c r="D37" s="5" t="s">
        <v>309</v>
      </c>
      <c r="E37" s="33" t="n">
        <v>1.51967406289523</v>
      </c>
      <c r="F37" s="12" t="s">
        <v>848</v>
      </c>
      <c r="G37" s="12" t="s">
        <v>460</v>
      </c>
      <c r="H37" s="26" t="s">
        <v>431</v>
      </c>
      <c r="I37" s="5" t="s">
        <v>284</v>
      </c>
    </row>
    <row r="38" customFormat="false" ht="15" hidden="false" customHeight="false" outlineLevel="0" collapsed="false">
      <c r="B38" s="12" t="n">
        <v>33</v>
      </c>
      <c r="C38" s="5" t="s">
        <v>563</v>
      </c>
      <c r="D38" s="5" t="s">
        <v>562</v>
      </c>
      <c r="E38" s="31" t="n">
        <v>97.2507170871627</v>
      </c>
      <c r="F38" s="12" t="s">
        <v>846</v>
      </c>
      <c r="G38" s="12" t="s">
        <v>460</v>
      </c>
      <c r="H38" s="26" t="s">
        <v>431</v>
      </c>
      <c r="I38" s="5" t="s">
        <v>284</v>
      </c>
    </row>
    <row r="39" customFormat="false" ht="15" hidden="false" customHeight="false" outlineLevel="0" collapsed="false">
      <c r="B39" s="12" t="n">
        <v>34</v>
      </c>
      <c r="C39" s="5" t="s">
        <v>566</v>
      </c>
      <c r="D39" s="5" t="s">
        <v>565</v>
      </c>
      <c r="E39" s="31" t="n">
        <v>33.0972241409588</v>
      </c>
      <c r="F39" s="12" t="s">
        <v>846</v>
      </c>
      <c r="G39" s="12" t="s">
        <v>460</v>
      </c>
      <c r="H39" s="26" t="s">
        <v>431</v>
      </c>
      <c r="I39" s="5" t="s">
        <v>284</v>
      </c>
    </row>
    <row r="40" customFormat="false" ht="15" hidden="false" customHeight="false" outlineLevel="0" collapsed="false">
      <c r="B40" s="12" t="n">
        <v>35</v>
      </c>
      <c r="C40" s="5" t="s">
        <v>567</v>
      </c>
      <c r="D40" s="5" t="s">
        <v>320</v>
      </c>
      <c r="E40" s="32" t="n">
        <v>0.253670243310496</v>
      </c>
      <c r="F40" s="12" t="s">
        <v>842</v>
      </c>
      <c r="G40" s="12" t="s">
        <v>460</v>
      </c>
      <c r="H40" s="26" t="s">
        <v>431</v>
      </c>
      <c r="I40" s="5" t="s">
        <v>284</v>
      </c>
    </row>
    <row r="41" customFormat="false" ht="15" hidden="false" customHeight="false" outlineLevel="0" collapsed="false">
      <c r="B41" s="12" t="n">
        <v>36</v>
      </c>
      <c r="C41" s="5" t="s">
        <v>569</v>
      </c>
      <c r="D41" s="5" t="s">
        <v>321</v>
      </c>
      <c r="E41" s="32" t="n">
        <v>0.234595042297335</v>
      </c>
      <c r="F41" s="12" t="s">
        <v>842</v>
      </c>
      <c r="G41" s="12" t="s">
        <v>460</v>
      </c>
      <c r="H41" s="26" t="s">
        <v>431</v>
      </c>
      <c r="I41" s="5" t="s">
        <v>284</v>
      </c>
    </row>
    <row r="42" customFormat="false" ht="35.05" hidden="false" customHeight="false" outlineLevel="0" collapsed="false">
      <c r="B42" s="12" t="n">
        <v>37</v>
      </c>
      <c r="C42" s="5" t="s">
        <v>571</v>
      </c>
      <c r="D42" s="5" t="s">
        <v>570</v>
      </c>
      <c r="E42" s="37" t="n">
        <v>14</v>
      </c>
      <c r="F42" s="12" t="s">
        <v>838</v>
      </c>
      <c r="G42" s="12" t="s">
        <v>849</v>
      </c>
      <c r="H42" s="26" t="s">
        <v>431</v>
      </c>
      <c r="I42" s="5" t="s">
        <v>16</v>
      </c>
    </row>
    <row r="43" customFormat="false" ht="35.05" hidden="false" customHeight="false" outlineLevel="0" collapsed="false">
      <c r="B43" s="12" t="n">
        <v>38</v>
      </c>
      <c r="C43" s="5" t="s">
        <v>574</v>
      </c>
      <c r="D43" s="5" t="s">
        <v>573</v>
      </c>
      <c r="E43" s="37" t="n">
        <v>21</v>
      </c>
      <c r="F43" s="12" t="s">
        <v>838</v>
      </c>
      <c r="G43" s="12" t="s">
        <v>850</v>
      </c>
      <c r="H43" s="26" t="s">
        <v>431</v>
      </c>
      <c r="I43" s="5" t="s">
        <v>16</v>
      </c>
    </row>
    <row r="44" customFormat="false" ht="15" hidden="false" customHeight="false" outlineLevel="0" collapsed="false">
      <c r="B44" s="12" t="n">
        <v>39</v>
      </c>
      <c r="C44" s="5" t="s">
        <v>851</v>
      </c>
      <c r="D44" s="5" t="s">
        <v>755</v>
      </c>
      <c r="E44" s="25" t="s">
        <v>332</v>
      </c>
      <c r="F44" s="12" t="s">
        <v>838</v>
      </c>
      <c r="G44" s="12" t="s">
        <v>748</v>
      </c>
      <c r="H44" s="30" t="s">
        <v>500</v>
      </c>
      <c r="I44" s="5" t="s">
        <v>852</v>
      </c>
    </row>
    <row r="45" customFormat="false" ht="15" hidden="false" customHeight="false" outlineLevel="0" collapsed="false">
      <c r="B45" s="12" t="n">
        <v>40</v>
      </c>
      <c r="C45" s="5" t="s">
        <v>853</v>
      </c>
      <c r="D45" s="5" t="s">
        <v>759</v>
      </c>
      <c r="E45" s="25" t="s">
        <v>332</v>
      </c>
      <c r="F45" s="12" t="s">
        <v>838</v>
      </c>
      <c r="G45" s="12" t="s">
        <v>748</v>
      </c>
      <c r="H45" s="30" t="s">
        <v>500</v>
      </c>
      <c r="I45" s="5" t="s">
        <v>854</v>
      </c>
    </row>
    <row r="46" customFormat="false" ht="15" hidden="false" customHeight="false" outlineLevel="0" collapsed="false">
      <c r="B46" s="12" t="n">
        <v>41</v>
      </c>
      <c r="C46" s="5" t="s">
        <v>855</v>
      </c>
      <c r="D46" s="5" t="s">
        <v>856</v>
      </c>
      <c r="E46" s="37" t="n">
        <v>0</v>
      </c>
      <c r="F46" s="12" t="s">
        <v>838</v>
      </c>
      <c r="G46" s="12" t="s">
        <v>857</v>
      </c>
      <c r="H46" s="26" t="s">
        <v>431</v>
      </c>
      <c r="I46" s="5" t="s">
        <v>858</v>
      </c>
    </row>
    <row r="47" customFormat="false" ht="15" hidden="false" customHeight="false" outlineLevel="0" collapsed="false">
      <c r="B47" s="12" t="n">
        <v>42</v>
      </c>
      <c r="C47" s="5" t="s">
        <v>859</v>
      </c>
      <c r="D47" s="5" t="s">
        <v>285</v>
      </c>
      <c r="E47" s="32" t="n">
        <v>0.210501668325236</v>
      </c>
      <c r="F47" s="12" t="s">
        <v>842</v>
      </c>
      <c r="G47" s="12" t="s">
        <v>271</v>
      </c>
      <c r="H47" s="26" t="s">
        <v>431</v>
      </c>
      <c r="I47" s="5" t="s">
        <v>284</v>
      </c>
    </row>
    <row r="48" customFormat="false" ht="15" hidden="false" customHeight="false" outlineLevel="0" collapsed="false">
      <c r="B48" s="12" t="n">
        <v>43</v>
      </c>
      <c r="C48" s="5" t="s">
        <v>860</v>
      </c>
      <c r="D48" s="5" t="s">
        <v>861</v>
      </c>
      <c r="E48" s="32" t="n">
        <v>0.726101972721419</v>
      </c>
      <c r="F48" s="12" t="s">
        <v>842</v>
      </c>
      <c r="G48" s="12" t="s">
        <v>271</v>
      </c>
      <c r="H48" s="26" t="s">
        <v>431</v>
      </c>
      <c r="I48" s="5" t="s">
        <v>284</v>
      </c>
    </row>
    <row r="49" customFormat="false" ht="35.05" hidden="false" customHeight="false" outlineLevel="0" collapsed="false">
      <c r="B49" s="12" t="n">
        <v>44</v>
      </c>
      <c r="C49" s="5" t="s">
        <v>862</v>
      </c>
      <c r="D49" s="5" t="s">
        <v>863</v>
      </c>
      <c r="E49" s="37" t="n">
        <v>28</v>
      </c>
      <c r="F49" s="12" t="s">
        <v>838</v>
      </c>
      <c r="G49" s="12" t="s">
        <v>90</v>
      </c>
      <c r="H49" s="26" t="s">
        <v>431</v>
      </c>
      <c r="I49" s="5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8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2" customFormat="false" ht="27.75" hidden="false" customHeight="true" outlineLevel="0" collapsed="false">
      <c r="B2" s="1" t="s">
        <v>864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865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425</v>
      </c>
      <c r="C5" s="11" t="s">
        <v>866</v>
      </c>
      <c r="D5" s="11" t="s">
        <v>867</v>
      </c>
      <c r="E5" s="11" t="s">
        <v>868</v>
      </c>
      <c r="F5" s="11" t="s">
        <v>869</v>
      </c>
      <c r="G5" s="11" t="s">
        <v>330</v>
      </c>
      <c r="H5" s="11" t="s">
        <v>870</v>
      </c>
    </row>
    <row r="6" customFormat="false" ht="15" hidden="false" customHeight="false" outlineLevel="0" collapsed="false">
      <c r="B6" s="12" t="n">
        <v>1</v>
      </c>
      <c r="C6" s="5" t="s">
        <v>871</v>
      </c>
      <c r="D6" s="18" t="n">
        <v>830667</v>
      </c>
      <c r="E6" s="18" t="n">
        <v>830667</v>
      </c>
      <c r="F6" s="13" t="n">
        <f aca="false">D6-E6</f>
        <v>0</v>
      </c>
      <c r="G6" s="12" t="str">
        <f aca="false">IF(ABS(F6)&lt;=1,"TIES",IF(ABS(F6)&lt;=ABS(E6)*0.05,"WITHIN","OFF"))</f>
        <v>TIES</v>
      </c>
      <c r="H6" s="38" t="s">
        <v>872</v>
      </c>
    </row>
    <row r="7" customFormat="false" ht="15" hidden="false" customHeight="false" outlineLevel="0" collapsed="false">
      <c r="B7" s="12" t="n">
        <v>2</v>
      </c>
      <c r="C7" s="5" t="s">
        <v>873</v>
      </c>
      <c r="D7" s="18" t="n">
        <v>547967.06</v>
      </c>
      <c r="E7" s="18" t="n">
        <v>547967.06</v>
      </c>
      <c r="F7" s="13" t="n">
        <f aca="false">D7-E7</f>
        <v>0</v>
      </c>
      <c r="G7" s="12" t="str">
        <f aca="false">IF(ABS(F7)&lt;=1,"TIES",IF(ABS(F7)&lt;=ABS(E7)*0.05,"WITHIN","OFF"))</f>
        <v>TIES</v>
      </c>
      <c r="H7" s="38" t="s">
        <v>874</v>
      </c>
    </row>
    <row r="8" customFormat="false" ht="15" hidden="false" customHeight="false" outlineLevel="0" collapsed="false">
      <c r="B8" s="12" t="n">
        <v>3</v>
      </c>
      <c r="C8" s="5" t="s">
        <v>875</v>
      </c>
      <c r="D8" s="18" t="n">
        <v>282699.94</v>
      </c>
      <c r="E8" s="18" t="n">
        <v>282699.94</v>
      </c>
      <c r="F8" s="13" t="n">
        <f aca="false">D8-E8</f>
        <v>0</v>
      </c>
      <c r="G8" s="12" t="str">
        <f aca="false">IF(ABS(F8)&lt;=1,"TIES",IF(ABS(F8)&lt;=ABS(E8)*0.05,"WITHIN","OFF"))</f>
        <v>TIES</v>
      </c>
      <c r="H8" s="38" t="s">
        <v>876</v>
      </c>
    </row>
    <row r="9" customFormat="false" ht="15" hidden="false" customHeight="false" outlineLevel="0" collapsed="false">
      <c r="B9" s="12" t="n">
        <v>4</v>
      </c>
      <c r="C9" s="5" t="s">
        <v>877</v>
      </c>
      <c r="D9" s="18" t="n">
        <v>547967.06</v>
      </c>
      <c r="E9" s="18" t="n">
        <v>547967.06</v>
      </c>
      <c r="F9" s="13" t="n">
        <f aca="false">D9-E9</f>
        <v>0</v>
      </c>
      <c r="G9" s="12" t="str">
        <f aca="false">IF(ABS(F9)&lt;=1,"TIES",IF(ABS(F9)&lt;=ABS(E9)*0.05,"WITHIN","OFF"))</f>
        <v>TIES</v>
      </c>
      <c r="H9" s="38" t="s">
        <v>878</v>
      </c>
    </row>
    <row r="10" customFormat="false" ht="15" hidden="false" customHeight="false" outlineLevel="0" collapsed="false">
      <c r="B10" s="12" t="n">
        <v>5</v>
      </c>
      <c r="C10" s="5" t="s">
        <v>879</v>
      </c>
      <c r="D10" s="18" t="n">
        <v>830667</v>
      </c>
      <c r="E10" s="18" t="n">
        <v>830667</v>
      </c>
      <c r="F10" s="13" t="n">
        <f aca="false">D10-E10</f>
        <v>0</v>
      </c>
      <c r="G10" s="12" t="str">
        <f aca="false">IF(ABS(F10)&lt;=1,"TIES",IF(ABS(F10)&lt;=ABS(E10)*0.05,"WITHIN","OFF"))</f>
        <v>TIES</v>
      </c>
      <c r="H10" s="38" t="s">
        <v>880</v>
      </c>
    </row>
    <row r="11" customFormat="false" ht="15" hidden="false" customHeight="false" outlineLevel="0" collapsed="false">
      <c r="B11" s="12" t="n">
        <v>6</v>
      </c>
      <c r="C11" s="5" t="s">
        <v>881</v>
      </c>
      <c r="D11" s="18" t="n">
        <v>8541.5</v>
      </c>
      <c r="E11" s="18" t="n">
        <v>8621.5</v>
      </c>
      <c r="F11" s="13" t="n">
        <f aca="false">D11-E11</f>
        <v>-80</v>
      </c>
      <c r="G11" s="12" t="str">
        <f aca="false">IF(ABS(F11)&lt;=1,"TIES",IF(ABS(F11)&lt;=ABS(E11)*0.05,"WITHIN","OFF"))</f>
        <v>WITHIN</v>
      </c>
      <c r="H11" s="38" t="s">
        <v>882</v>
      </c>
    </row>
    <row r="12" customFormat="false" ht="15" hidden="false" customHeight="false" outlineLevel="0" collapsed="false">
      <c r="B12" s="12" t="n">
        <v>7</v>
      </c>
      <c r="C12" s="5" t="s">
        <v>883</v>
      </c>
      <c r="D12" s="18" t="n">
        <v>210715.5</v>
      </c>
      <c r="E12" s="18" t="n">
        <v>210715.5</v>
      </c>
      <c r="F12" s="13" t="n">
        <f aca="false">D12-E12</f>
        <v>0</v>
      </c>
      <c r="G12" s="12" t="str">
        <f aca="false">IF(ABS(F12)&lt;=1,"TIES",IF(ABS(F12)&lt;=ABS(E12)*0.05,"WITHIN","OFF"))</f>
        <v>TIES</v>
      </c>
      <c r="H12" s="38" t="s">
        <v>884</v>
      </c>
    </row>
    <row r="13" customFormat="false" ht="15" hidden="false" customHeight="false" outlineLevel="0" collapsed="false">
      <c r="B13" s="12" t="n">
        <v>8</v>
      </c>
      <c r="C13" s="5" t="s">
        <v>885</v>
      </c>
      <c r="D13" s="18" t="n">
        <v>197171.05</v>
      </c>
      <c r="E13" s="18" t="n">
        <v>197171.05</v>
      </c>
      <c r="F13" s="13" t="n">
        <f aca="false">D13-E13</f>
        <v>0</v>
      </c>
      <c r="G13" s="12" t="str">
        <f aca="false">IF(ABS(F13)&lt;=1,"TIES",IF(ABS(F13)&lt;=ABS(E13)*0.05,"WITHIN","OFF"))</f>
        <v>TIES</v>
      </c>
      <c r="H13" s="38" t="s">
        <v>886</v>
      </c>
    </row>
    <row r="14" customFormat="false" ht="15" hidden="false" customHeight="false" outlineLevel="0" collapsed="false">
      <c r="B14" s="12" t="n">
        <v>9</v>
      </c>
      <c r="C14" s="5" t="s">
        <v>887</v>
      </c>
      <c r="D14" s="39" t="n">
        <v>21</v>
      </c>
      <c r="E14" s="39" t="n">
        <v>21</v>
      </c>
      <c r="F14" s="13" t="n">
        <f aca="false">D14-E14</f>
        <v>0</v>
      </c>
      <c r="G14" s="12" t="str">
        <f aca="false">IF(ABS(F14)&lt;=1,"TIES",IF(ABS(F14)&lt;=ABS(E14)*0.05,"WITHIN","OFF"))</f>
        <v>TIES</v>
      </c>
      <c r="H14" s="38" t="s">
        <v>888</v>
      </c>
    </row>
    <row r="15" customFormat="false" ht="15" hidden="false" customHeight="false" outlineLevel="0" collapsed="false">
      <c r="B15" s="12" t="n">
        <v>10</v>
      </c>
      <c r="C15" s="5" t="s">
        <v>889</v>
      </c>
      <c r="D15" s="18" t="n">
        <v>5297</v>
      </c>
      <c r="E15" s="18" t="n">
        <v>5297</v>
      </c>
      <c r="F15" s="13" t="n">
        <f aca="false">D15-E15</f>
        <v>0</v>
      </c>
      <c r="G15" s="12" t="str">
        <f aca="false">IF(ABS(F15)&lt;=1,"TIES",IF(ABS(F15)&lt;=ABS(E15)*0.05,"WITHIN","OFF"))</f>
        <v>TIES</v>
      </c>
      <c r="H15" s="38" t="s">
        <v>890</v>
      </c>
    </row>
    <row r="16" customFormat="false" ht="15" hidden="false" customHeight="false" outlineLevel="0" collapsed="false">
      <c r="B16" s="12" t="n">
        <v>11</v>
      </c>
      <c r="C16" s="5" t="s">
        <v>891</v>
      </c>
      <c r="D16" s="18" t="n">
        <v>5297</v>
      </c>
      <c r="E16" s="18" t="n">
        <v>5297</v>
      </c>
      <c r="F16" s="13" t="n">
        <f aca="false">D16-E16</f>
        <v>0</v>
      </c>
      <c r="G16" s="12" t="str">
        <f aca="false">IF(ABS(F16)&lt;=1,"TIES",IF(ABS(F16)&lt;=ABS(E16)*0.05,"WITHIN","OFF"))</f>
        <v>TIES</v>
      </c>
      <c r="H16" s="38" t="s">
        <v>892</v>
      </c>
    </row>
    <row r="17" customFormat="false" ht="15" hidden="false" customHeight="false" outlineLevel="0" collapsed="false">
      <c r="B17" s="12" t="n">
        <v>12</v>
      </c>
      <c r="C17" s="5" t="s">
        <v>893</v>
      </c>
      <c r="D17" s="18" t="n">
        <v>830667</v>
      </c>
      <c r="E17" s="18" t="n">
        <v>830667</v>
      </c>
      <c r="F17" s="13" t="n">
        <f aca="false">D17-E17</f>
        <v>0</v>
      </c>
      <c r="G17" s="12" t="str">
        <f aca="false">IF(ABS(F17)&lt;=1,"TIES",IF(ABS(F17)&lt;=ABS(E17)*0.05,"WITHIN","OFF"))</f>
        <v>TIES</v>
      </c>
      <c r="H17" s="38" t="s">
        <v>894</v>
      </c>
    </row>
    <row r="18" customFormat="false" ht="15" hidden="false" customHeight="false" outlineLevel="0" collapsed="false">
      <c r="B18" s="12" t="n">
        <v>13</v>
      </c>
      <c r="C18" s="5" t="s">
        <v>895</v>
      </c>
      <c r="D18" s="18" t="n">
        <v>830667</v>
      </c>
      <c r="E18" s="18" t="n">
        <v>830667</v>
      </c>
      <c r="F18" s="13" t="n">
        <f aca="false">D18-E18</f>
        <v>0</v>
      </c>
      <c r="G18" s="12" t="str">
        <f aca="false">IF(ABS(F18)&lt;=1,"TIES",IF(ABS(F18)&lt;=ABS(E18)*0.05,"WITHIN","OFF"))</f>
        <v>TIES</v>
      </c>
      <c r="H18" s="38" t="s">
        <v>896</v>
      </c>
    </row>
    <row r="19" customFormat="false" ht="15" hidden="false" customHeight="false" outlineLevel="0" collapsed="false">
      <c r="B19" s="12" t="n">
        <v>14</v>
      </c>
      <c r="C19" s="5" t="s">
        <v>897</v>
      </c>
      <c r="D19" s="18" t="n">
        <v>41533.35</v>
      </c>
      <c r="E19" s="18" t="n">
        <v>41533.35</v>
      </c>
      <c r="F19" s="13" t="n">
        <f aca="false">D19-E19</f>
        <v>0</v>
      </c>
      <c r="G19" s="12" t="str">
        <f aca="false">IF(ABS(F19)&lt;=1,"TIES",IF(ABS(F19)&lt;=ABS(E19)*0.05,"WITHIN","OFF"))</f>
        <v>TIES</v>
      </c>
      <c r="H19" s="38" t="s">
        <v>898</v>
      </c>
    </row>
    <row r="20" customFormat="false" ht="15" hidden="false" customHeight="false" outlineLevel="0" collapsed="false">
      <c r="B20" s="12" t="n">
        <v>15</v>
      </c>
      <c r="C20" s="5" t="s">
        <v>899</v>
      </c>
      <c r="D20" s="39" t="n">
        <v>25</v>
      </c>
      <c r="E20" s="39" t="n">
        <v>25</v>
      </c>
      <c r="F20" s="13" t="n">
        <f aca="false">D20-E20</f>
        <v>0</v>
      </c>
      <c r="G20" s="12" t="str">
        <f aca="false">IF(ABS(F20)&lt;=1,"TIES",IF(ABS(F20)&lt;=ABS(E20)*0.05,"WITHIN","OFF"))</f>
        <v>TIES</v>
      </c>
      <c r="H20" s="38" t="s">
        <v>900</v>
      </c>
    </row>
    <row r="21" customFormat="false" ht="15" hidden="false" customHeight="false" outlineLevel="0" collapsed="false">
      <c r="B21" s="12" t="n">
        <v>16</v>
      </c>
      <c r="C21" s="5" t="s">
        <v>901</v>
      </c>
      <c r="D21" s="39" t="n">
        <v>28</v>
      </c>
      <c r="E21" s="39" t="n">
        <v>28</v>
      </c>
      <c r="F21" s="13" t="n">
        <f aca="false">D21-E21</f>
        <v>0</v>
      </c>
      <c r="G21" s="12" t="str">
        <f aca="false">IF(ABS(F21)&lt;=1,"TIES",IF(ABS(F21)&lt;=ABS(E21)*0.05,"WITHIN","OFF"))</f>
        <v>TIES</v>
      </c>
      <c r="H21" s="38" t="s">
        <v>902</v>
      </c>
    </row>
    <row r="22" customFormat="false" ht="15" hidden="false" customHeight="false" outlineLevel="0" collapsed="false">
      <c r="B22" s="12" t="n">
        <v>17</v>
      </c>
      <c r="C22" s="5" t="s">
        <v>903</v>
      </c>
      <c r="D22" s="39" t="n">
        <v>60</v>
      </c>
      <c r="E22" s="39" t="n">
        <v>60</v>
      </c>
      <c r="F22" s="13" t="n">
        <f aca="false">D22-E22</f>
        <v>0</v>
      </c>
      <c r="G22" s="12" t="str">
        <f aca="false">IF(ABS(F22)&lt;=1,"TIES",IF(ABS(F22)&lt;=ABS(E22)*0.05,"WITHIN","OFF"))</f>
        <v>TIES</v>
      </c>
      <c r="H22" s="38" t="s">
        <v>904</v>
      </c>
    </row>
    <row r="23" customFormat="false" ht="15" hidden="false" customHeight="false" outlineLevel="0" collapsed="false">
      <c r="B23" s="12" t="n">
        <v>18</v>
      </c>
      <c r="C23" s="5" t="s">
        <v>905</v>
      </c>
      <c r="D23" s="39" t="n">
        <v>15</v>
      </c>
      <c r="E23" s="39" t="n">
        <v>15</v>
      </c>
      <c r="F23" s="13" t="n">
        <f aca="false">D23-E23</f>
        <v>0</v>
      </c>
      <c r="G23" s="12" t="str">
        <f aca="false">IF(ABS(F23)&lt;=1,"TIES",IF(ABS(F23)&lt;=ABS(E23)*0.05,"WITHIN","OFF"))</f>
        <v>TIES</v>
      </c>
      <c r="H23" s="38" t="s">
        <v>906</v>
      </c>
    </row>
    <row r="24" customFormat="false" ht="15" hidden="false" customHeight="false" outlineLevel="0" collapsed="false">
      <c r="B24" s="12" t="n">
        <v>19</v>
      </c>
      <c r="C24" s="5" t="s">
        <v>907</v>
      </c>
      <c r="D24" s="18" t="n">
        <v>669</v>
      </c>
      <c r="E24" s="18" t="n">
        <v>669</v>
      </c>
      <c r="F24" s="13" t="n">
        <f aca="false">D24-E24</f>
        <v>0</v>
      </c>
      <c r="G24" s="12" t="str">
        <f aca="false">IF(ABS(F24)&lt;=1,"TIES",IF(ABS(F24)&lt;=ABS(E24)*0.05,"WITHIN","OFF"))</f>
        <v>TIES</v>
      </c>
      <c r="H24" s="38" t="s">
        <v>904</v>
      </c>
    </row>
    <row r="27" customFormat="false" ht="15" hidden="false" customHeight="false" outlineLevel="0" collapsed="false">
      <c r="B27" s="40" t="s">
        <v>84</v>
      </c>
      <c r="C27" s="41"/>
      <c r="D27" s="41"/>
      <c r="E27" s="41"/>
      <c r="F27" s="41"/>
      <c r="G27" s="41"/>
      <c r="H27" s="41"/>
    </row>
    <row r="28" customFormat="false" ht="15" hidden="false" customHeight="true" outlineLevel="0" collapsed="false">
      <c r="B28" s="6" t="s">
        <v>908</v>
      </c>
      <c r="C28" s="6"/>
      <c r="D28" s="6"/>
      <c r="E28" s="6"/>
      <c r="F28" s="6"/>
      <c r="G28" s="6"/>
      <c r="H28" s="6"/>
    </row>
    <row r="29" customFormat="false" ht="15" hidden="false" customHeight="true" outlineLevel="0" collapsed="false">
      <c r="B29" s="6" t="s">
        <v>85</v>
      </c>
      <c r="C29" s="6"/>
      <c r="D29" s="6"/>
      <c r="E29" s="6"/>
      <c r="F29" s="6"/>
      <c r="G29" s="6"/>
      <c r="H29" s="6"/>
    </row>
    <row r="30" customFormat="false" ht="15" hidden="false" customHeight="true" outlineLevel="0" collapsed="false">
      <c r="B30" s="6" t="s">
        <v>909</v>
      </c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B31" s="6" t="s">
        <v>910</v>
      </c>
      <c r="C31" s="6"/>
      <c r="D31" s="6"/>
      <c r="E31" s="6"/>
      <c r="F31" s="6"/>
      <c r="G31" s="6"/>
      <c r="H31" s="6"/>
    </row>
    <row r="32" customFormat="false" ht="15" hidden="false" customHeight="true" outlineLevel="0" collapsed="false">
      <c r="B32" s="6" t="s">
        <v>911</v>
      </c>
      <c r="C32" s="6"/>
      <c r="D32" s="6"/>
      <c r="E32" s="6"/>
      <c r="F32" s="6"/>
      <c r="G32" s="6"/>
      <c r="H32" s="6"/>
    </row>
    <row r="33" customFormat="false" ht="15" hidden="false" customHeight="true" outlineLevel="0" collapsed="false">
      <c r="B33" s="6" t="s">
        <v>912</v>
      </c>
      <c r="C33" s="6"/>
      <c r="D33" s="6"/>
      <c r="E33" s="6"/>
      <c r="F33" s="6"/>
      <c r="G33" s="6"/>
      <c r="H33" s="6"/>
    </row>
    <row r="34" customFormat="false" ht="19.4" hidden="false" customHeight="true" outlineLevel="0" collapsed="false">
      <c r="B34" s="6" t="s">
        <v>913</v>
      </c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B35" s="6" t="s">
        <v>914</v>
      </c>
      <c r="C35" s="6"/>
      <c r="D35" s="6"/>
      <c r="E35" s="6"/>
      <c r="F35" s="6"/>
      <c r="G35" s="6"/>
      <c r="H35" s="6"/>
    </row>
    <row r="36" customFormat="false" ht="15" hidden="false" customHeight="true" outlineLevel="0" collapsed="false">
      <c r="B36" s="6" t="s">
        <v>915</v>
      </c>
      <c r="C36" s="6"/>
      <c r="D36" s="6"/>
      <c r="E36" s="6"/>
      <c r="F36" s="6"/>
      <c r="G36" s="6"/>
      <c r="H36" s="6"/>
    </row>
    <row r="37" customFormat="false" ht="15" hidden="false" customHeight="true" outlineLevel="0" collapsed="false">
      <c r="B37" s="6" t="s">
        <v>916</v>
      </c>
      <c r="C37" s="6"/>
      <c r="D37" s="6"/>
      <c r="E37" s="6"/>
      <c r="F37" s="6"/>
      <c r="G37" s="6"/>
      <c r="H37" s="6"/>
    </row>
    <row r="38" customFormat="false" ht="15" hidden="false" customHeight="true" outlineLevel="0" collapsed="false">
      <c r="B38" s="6" t="s">
        <v>917</v>
      </c>
      <c r="C38" s="6"/>
      <c r="D38" s="6"/>
      <c r="E38" s="6"/>
      <c r="F38" s="6"/>
      <c r="G38" s="6"/>
      <c r="H38" s="6"/>
    </row>
    <row r="39" customFormat="false" ht="15" hidden="false" customHeight="true" outlineLevel="0" collapsed="false">
      <c r="B39" s="6" t="s">
        <v>918</v>
      </c>
      <c r="C39" s="6"/>
      <c r="D39" s="6"/>
      <c r="E39" s="6"/>
      <c r="F39" s="6"/>
      <c r="G39" s="6"/>
      <c r="H39" s="6"/>
    </row>
    <row r="40" customFormat="false" ht="15" hidden="false" customHeight="true" outlineLevel="0" collapsed="false">
      <c r="B40" s="6" t="s">
        <v>919</v>
      </c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B41" s="6" t="s">
        <v>920</v>
      </c>
      <c r="C41" s="6"/>
      <c r="D41" s="6"/>
      <c r="E41" s="6"/>
      <c r="F41" s="6"/>
      <c r="G41" s="6"/>
      <c r="H41" s="6"/>
    </row>
    <row r="42" customFormat="false" ht="19.4" hidden="false" customHeight="true" outlineLevel="0" collapsed="false">
      <c r="B42" s="6" t="s">
        <v>921</v>
      </c>
      <c r="C42" s="6"/>
      <c r="D42" s="6"/>
      <c r="E42" s="6"/>
      <c r="F42" s="6"/>
      <c r="G42" s="6"/>
      <c r="H42" s="6"/>
    </row>
    <row r="43" customFormat="false" ht="15" hidden="false" customHeight="true" outlineLevel="0" collapsed="false">
      <c r="B43" s="6" t="s">
        <v>922</v>
      </c>
      <c r="C43" s="6"/>
      <c r="D43" s="6"/>
      <c r="E43" s="6"/>
      <c r="F43" s="6"/>
      <c r="G43" s="6"/>
      <c r="H43" s="6"/>
    </row>
  </sheetData>
  <mergeCells count="18">
    <mergeCell ref="B2:J2"/>
    <mergeCell ref="B3:J3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2026-04-14T15:57:26Z</dcterms:created>
  <dc:creator>openpyxl</dc:creator>
  <dc:description/>
  <dc:language>en-US</dc:language>
  <cp:lastModifiedBy/>
  <dcterms:modified xsi:type="dcterms:W3CDTF">2026-04-14T15:57:26Z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