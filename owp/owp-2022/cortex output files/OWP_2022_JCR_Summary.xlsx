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Reconciliation" sheetId="12" state="visible" r:id="rId14"/>
    <sheet name="Vendor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<sst xmlns="http://schemas.openxmlformats.org/spreadsheetml/2006/main" count="832" uniqueCount="463">
  <si>
    <t xml:space="preserve">Job #2022 · Exxel Pacific 3651 Interlake Apartments</t>
  </si>
  <si>
    <t xml:space="preserve">Cortex JCR Summary  •  Exxel Pacific, Inc.  •  Seattle, WA (3651 Interlake Ave N)  •  4-story 20-unit small multifamily (18 standard + 2 ADA)  •  Oct 2014 – Aug 2015 (~11 months)</t>
  </si>
  <si>
    <t xml:space="preserve">PROJECT OVERVIEW</t>
  </si>
  <si>
    <t xml:space="preserve">Project Job #</t>
  </si>
  <si>
    <t xml:space="preserve">2022</t>
  </si>
  <si>
    <t xml:space="preserve">Project Name:</t>
  </si>
  <si>
    <t xml:space="preserve">Exxel Pacific 3651 Interlake Apartments</t>
  </si>
  <si>
    <t xml:space="preserve">General Contractor</t>
  </si>
  <si>
    <t xml:space="preserve">Exxel Pacific, Inc.</t>
  </si>
  <si>
    <t xml:space="preserve">Location</t>
  </si>
  <si>
    <t xml:space="preserve">Seattle, WA (3651 Interlake Ave N)</t>
  </si>
  <si>
    <t xml:space="preserve">Project Duration</t>
  </si>
  <si>
    <t xml:space="preserve">Oct 2014 – Aug 2015 (~11 months)</t>
  </si>
  <si>
    <t xml:space="preserve">Total Unique Documents</t>
  </si>
  <si>
    <t xml:space="preserve">3651 Interlake folder: Contract (L1 220000), Billing (6+ SOVs Nov 2014 – Jun 2015), PO_s (trim consolidated + level POs), Change Orders, Invoices, Permits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</si>
  <si>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</si>
  <si>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</si>
  <si>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</si>
  <si>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</si>
  <si>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$242,637</t>
  </si>
  <si>
    <t xml:space="preserve">$87,162</t>
  </si>
  <si>
    <t xml:space="preserve">$155,475</t>
  </si>
  <si>
    <t xml:space="preserve">2,454</t>
  </si>
  <si>
    <t xml:space="preserve">Original $232,454 + $10,183 COs = $242,637</t>
  </si>
  <si>
    <t xml:space="preserve">35.9% margin</t>
  </si>
  <si>
    <t xml:space="preserve">64.1% of revenue</t>
  </si>
  <si>
    <t xml:space="preserve">20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</si>
  <si>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</si>
  <si>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</si>
  <si>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</si>
  <si>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</si>
  <si>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</si>
  <si>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</si>
  <si>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</si>
  <si>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</si>
  <si>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</si>
  <si>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</si>
  <si>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</si>
  <si>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</si>
  <si>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</si>
  <si>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Metric</t>
  </si>
  <si>
    <t xml:space="preserve">Value</t>
  </si>
  <si>
    <t xml:space="preserve">Plumbing Units</t>
  </si>
  <si>
    <t xml:space="preserve">20</t>
  </si>
  <si>
    <t xml:space="preserve">Standard Units</t>
  </si>
  <si>
    <t xml:space="preserve">18</t>
  </si>
  <si>
    <t xml:space="preserve">ADA Units</t>
  </si>
  <si>
    <t xml:space="preserve">2</t>
  </si>
  <si>
    <t xml:space="preserve">Water Closets</t>
  </si>
  <si>
    <t xml:space="preserve">Lav Faucets</t>
  </si>
  <si>
    <t xml:space="preserve">Kitchen Faucets</t>
  </si>
  <si>
    <t xml:space="preserve">Tub/Shower Valves</t>
  </si>
  <si>
    <t xml:space="preserve">18 + 1 shower</t>
  </si>
  <si>
    <t xml:space="preserve">Floors</t>
  </si>
  <si>
    <t xml:space="preserve">4 residential levels</t>
  </si>
  <si>
    <t xml:space="preserve">Total Fixtures</t>
  </si>
  <si>
    <t xml:space="preserve">140</t>
  </si>
  <si>
    <t xml:space="preserve">Fixtures / Unit</t>
  </si>
  <si>
    <t xml:space="preserve">7.00</t>
  </si>
  <si>
    <t xml:space="preserve">Duration</t>
  </si>
  <si>
    <t xml:space="preserve">11 mo</t>
  </si>
  <si>
    <t xml:space="preserve">SOURCES</t>
  </si>
  <si>
    <t xml:space="preserve">Job #2022 — Exxel Pacific 3651 Interlake Apartments  •  GC: Exxel Pacific, Inc.  •  3651 Interlake Ave N, Seattle</t>
  </si>
  <si>
    <t xml:space="preserve">Canonical source: 2022 Job Detail Report.pdf (33 pages, OWP Sage Timberline export)</t>
  </si>
  <si>
    <t xml:space="preserve">Cost codes parsed: 17</t>
  </si>
  <si>
    <t xml:space="preserve">Unit count (20) confirmed by 3651 INTERLAKE TRIM - CONSOLIDATED.xlsx SUMMATION:</t>
  </si>
  <si>
    <t xml:space="preserve">  • 18 TOTO C744E standard elongated toilets + 2 TOTO C744EL ADA elongated = 20 toilets</t>
  </si>
  <si>
    <t xml:space="preserve">  • 19 TOTO lav sinks + 1 Kohler K-2007 ADA wall-hung = 20 lavs</t>
  </si>
  <si>
    <t xml:space="preserve">  • 20 GROHE 34.270.001 chrome lav faucets (one per unit)</t>
  </si>
  <si>
    <t xml:space="preserve">  • 18 GROHE 19.457 tub valve trimsets + 1 shower-only = 19 bathing fixtures</t>
  </si>
  <si>
    <t xml:space="preserve">  • 16 Lenova LS18304 undercounter kitchens + 2 Elkay ADA = 18 kitchen sinks</t>
  </si>
  <si>
    <t xml:space="preserve">Contract: L1 220000 One Way Plumbing Executed.pdf (Exxel Pacific)</t>
  </si>
  <si>
    <t xml:space="preserve">Billing: 6+ archived Schedule of Values files (Nov 2014 – Jun 2015)</t>
  </si>
  <si>
    <t xml:space="preserve">Final contract $242,637 (original $232,454 + $10,183 COs)</t>
  </si>
  <si>
    <t xml:space="preserve">Small project — 20 units, 4 stories, ~11 months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</si>
  <si>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</si>
  <si>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</si>
  <si>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</si>
  <si>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</si>
  <si>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</si>
  <si>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</si>
  <si>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</si>
  <si>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</si>
  <si>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</si>
  <si>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</si>
  <si>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</si>
  <si>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</si>
  <si>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</si>
  <si>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120</t>
  </si>
  <si>
    <t xml:space="preserve">Roughin Labor</t>
  </si>
  <si>
    <t xml:space="preserve">130</t>
  </si>
  <si>
    <t xml:space="preserve">Finish Labor</t>
  </si>
  <si>
    <t xml:space="preserve">141</t>
  </si>
  <si>
    <t xml:space="preserve">Water Main/Insulation Lab</t>
  </si>
  <si>
    <t xml:space="preserve">MATERIAL</t>
  </si>
  <si>
    <t xml:space="preserve">210</t>
  </si>
  <si>
    <t xml:space="preserve">Underground Material</t>
  </si>
  <si>
    <t xml:space="preserve">213</t>
  </si>
  <si>
    <t xml:space="preserve">Foundation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</si>
  <si>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</si>
  <si>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</si>
  <si>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</si>
  <si>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</si>
  <si>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242</t>
  </si>
  <si>
    <t xml:space="preserve">Mech Room Material</t>
  </si>
  <si>
    <t xml:space="preserve">OVERHEAD</t>
  </si>
  <si>
    <t xml:space="preserve">600</t>
  </si>
  <si>
    <t xml:space="preserve">Subcontractor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</si>
  <si>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</si>
  <si>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</si>
  <si>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</si>
  <si>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</si>
  <si>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</si>
  <si>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</si>
  <si>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</si>
  <si>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</si>
  <si>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</si>
  <si>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Direct Cost</t>
  </si>
  <si>
    <t xml:space="preserve">Cost Breakdown — Category Deep Dive</t>
  </si>
  <si>
    <t xml:space="preserve">A. CATEGORY SHARE OF DIRECT COST</t>
  </si>
  <si>
    <t xml:space="preserve"># Codes</t>
  </si>
  <si>
    <t xml:space="preserve">Per Unit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</si>
  <si>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</si>
  <si>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</si>
  <si>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</si>
  <si>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</si>
  <si>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</si>
  <si>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</si>
  <si>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</si>
  <si>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5 material cost codes  •  $60,804 JDR material  •  13 AP vendors  •  $61,648 total AP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</si>
  <si>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</si>
  <si>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</si>
  <si>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</si>
  <si>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</si>
  <si>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</si>
  <si>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</si>
  <si>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</si>
  <si>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</si>
  <si>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Avg Invoice</t>
  </si>
  <si>
    <t xml:space="preserve">Consolidated Supply Co.</t>
  </si>
  <si>
    <t xml:space="preserve">Rosen Supply Company</t>
  </si>
  <si>
    <t xml:space="preserve">Ferguson Enterprises, Inc.</t>
  </si>
  <si>
    <t xml:space="preserve">Franklin Engineering</t>
  </si>
  <si>
    <t xml:space="preserve">Bank of America CC</t>
  </si>
  <si>
    <t xml:space="preserve">Quality Concrete Products, Inc.</t>
  </si>
  <si>
    <t xml:space="preserve">Keller Supply Company</t>
  </si>
  <si>
    <t xml:space="preserve">Cascade Restoration Co.</t>
  </si>
  <si>
    <t xml:space="preserve">Rosen Supply Kirkland</t>
  </si>
  <si>
    <t xml:space="preserve">Rosen Supply Company, Inc.</t>
  </si>
  <si>
    <t xml:space="preserve">Patchworks, Inc.</t>
  </si>
  <si>
    <t xml:space="preserve">Hilti, Inc.</t>
  </si>
  <si>
    <t xml:space="preserve">Capital One Credit Card</t>
  </si>
  <si>
    <t xml:space="preserve">Vendor AP ties to JDR 'by Source: AP' line (61,647.65)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</si>
  <si>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</si>
  <si>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</si>
  <si>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</si>
  <si>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</si>
  <si>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</si>
  <si>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</si>
  <si>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Castaneda Martinez, Gustavo</t>
  </si>
  <si>
    <t xml:space="preserve">Senior</t>
  </si>
  <si>
    <t xml:space="preserve">Castaneda Juarez, Edgar D</t>
  </si>
  <si>
    <t xml:space="preserve">Apprentice</t>
  </si>
  <si>
    <t xml:space="preserve">Ascencio, Jose L</t>
  </si>
  <si>
    <t xml:space="preserve">Rodriguez Bonilla, Lisandro</t>
  </si>
  <si>
    <t xml:space="preserve">Castaneda Juarez, Gustavo</t>
  </si>
  <si>
    <t xml:space="preserve">Mid</t>
  </si>
  <si>
    <t xml:space="preserve">Quintanilla, Esteban R</t>
  </si>
  <si>
    <t xml:space="preserve">Castro Hernandez, Carlos E</t>
  </si>
  <si>
    <t xml:space="preserve">Sanders, Allen O</t>
  </si>
  <si>
    <t xml:space="preserve">Vaughan, Tyler J</t>
  </si>
  <si>
    <t xml:space="preserve">Reyes Cruz, Denis A</t>
  </si>
  <si>
    <t xml:space="preserve">Gerard, Jeffrey S</t>
  </si>
  <si>
    <t xml:space="preserve">Eliassen, Cory H</t>
  </si>
  <si>
    <t xml:space="preserve">Montenegro, Carlos E</t>
  </si>
  <si>
    <t xml:space="preserve">Salazar, Hajdar L</t>
  </si>
  <si>
    <t xml:space="preserve">Donelson, Richard T</t>
  </si>
  <si>
    <t xml:space="preserve">Castro Hernandez, Jose A</t>
  </si>
  <si>
    <t xml:space="preserve">Reyes, Robert J</t>
  </si>
  <si>
    <t xml:space="preserve">Holmes, Anthony R</t>
  </si>
  <si>
    <t xml:space="preserve">Kinssies, Jr, John E</t>
  </si>
  <si>
    <t xml:space="preserve">Hubbard, Dustin R</t>
  </si>
  <si>
    <t xml:space="preserve">TOTAL (20 workers)</t>
  </si>
  <si>
    <t xml:space="preserve">Tier: Apprentice &lt;$18/hr, Mid $18–30, Senior &gt;$30</t>
  </si>
  <si>
    <t xml:space="preserve">Crew Analytics</t>
  </si>
  <si>
    <t xml:space="preserve">A. TIER DISTRIBUTION</t>
  </si>
  <si>
    <t xml:space="preserve"># Workers</t>
  </si>
  <si>
    <t xml:space="preserve">% of Hours</t>
  </si>
  <si>
    <t xml:space="preserve">B. WAGE STATISTICS</t>
  </si>
  <si>
    <t xml:space="preserve">Blended Gross Wage</t>
  </si>
  <si>
    <t xml:space="preserve">Payroll $ ÷ payroll hours (pre-burden)</t>
  </si>
  <si>
    <t xml:space="preserve">Fully-Loaded Wage</t>
  </si>
  <si>
    <t xml:space="preserve">(Labor + Burden) ÷ total hours</t>
  </si>
  <si>
    <t xml:space="preserve">Burden Multiplier</t>
  </si>
  <si>
    <t xml:space="preserve">Fully loaded ÷ gross wage</t>
  </si>
  <si>
    <t xml:space="preserve">Min Worker Rate</t>
  </si>
  <si>
    <t xml:space="preserve">Cheapest apprentice hour</t>
  </si>
  <si>
    <t xml:space="preserve">Max Worker Rate</t>
  </si>
  <si>
    <t xml:space="preserve">Most expensive foreman hour</t>
  </si>
  <si>
    <t xml:space="preserve">Avg Hours / Worker</t>
  </si>
  <si>
    <t xml:space="preserve">Crew continuity indicator</t>
  </si>
  <si>
    <t xml:space="preserve">Productivity — Phase &amp; Unit Metrics</t>
  </si>
  <si>
    <t xml:space="preserve">A. LABOR HOURS BY PHASE</t>
  </si>
  <si>
    <t xml:space="preserve">Phase</t>
  </si>
  <si>
    <t xml:space="preserve">Labor Code</t>
  </si>
  <si>
    <t xml:space="preserve">% of Total</t>
  </si>
  <si>
    <t xml:space="preserve">Hours / Unit</t>
  </si>
  <si>
    <t xml:space="preserve">Takeoff &amp; Purchasing</t>
  </si>
  <si>
    <t xml:space="preserve">Underground</t>
  </si>
  <si>
    <t xml:space="preserve">Roughin</t>
  </si>
  <si>
    <t xml:space="preserve">Finish</t>
  </si>
  <si>
    <t xml:space="preserve">Water Main / Insulation</t>
  </si>
  <si>
    <t xml:space="preserve">B. PRODUCTIVITY RATIOS</t>
  </si>
  <si>
    <t xml:space="preserve">Units</t>
  </si>
  <si>
    <t xml:space="preserve">Notes</t>
  </si>
  <si>
    <t xml:space="preserve">hrs</t>
  </si>
  <si>
    <t xml:space="preserve">Labor hours per residential unit</t>
  </si>
  <si>
    <t xml:space="preserve">Hours / Fixture</t>
  </si>
  <si>
    <t xml:space="preserve">Labor hours per plumbing fixture</t>
  </si>
  <si>
    <t xml:space="preserve">Revenue / Hour</t>
  </si>
  <si>
    <t xml:space="preserve">$</t>
  </si>
  <si>
    <t xml:space="preserve">Top-line per labor hour</t>
  </si>
  <si>
    <t xml:space="preserve">Profit / Hour</t>
  </si>
  <si>
    <t xml:space="preserve">Bottom-line per labor hour</t>
  </si>
  <si>
    <t xml:space="preserve">Units / Month</t>
  </si>
  <si>
    <t xml:space="preserve">units</t>
  </si>
  <si>
    <t xml:space="preserve">Build velocity</t>
  </si>
  <si>
    <t xml:space="preserve">Fixtures / Month</t>
  </si>
  <si>
    <t xml:space="preserve">fix</t>
  </si>
  <si>
    <t xml:space="preserve">Fixture install pace</t>
  </si>
  <si>
    <t xml:space="preserve">Hours / Month</t>
  </si>
  <si>
    <t xml:space="preserve">Monthly labor burn</t>
  </si>
  <si>
    <t xml:space="preserve">Revenue / Month</t>
  </si>
  <si>
    <t xml:space="preserve">Monthly billing rate</t>
  </si>
  <si>
    <t xml:space="preserve">Purchase Order Commitments</t>
  </si>
  <si>
    <t xml:space="preserve">36 unique POs  •  PO amounts not dollar-parsed from individual PDFs  •  JDR material $60,804</t>
  </si>
  <si>
    <t xml:space="preserve">A. COMMITMENTS BY COST CODE</t>
  </si>
  <si>
    <t xml:space="preserve">OWP Code</t>
  </si>
  <si>
    <t xml:space="preserve">Description → JDR</t>
  </si>
  <si>
    <t xml:space="preserve">PO Count</t>
  </si>
  <si>
    <t xml:space="preserve">% of POs</t>
  </si>
  <si>
    <t xml:space="preserve">JDR Material</t>
  </si>
  <si>
    <t xml:space="preserve">30</t>
  </si>
  <si>
    <t xml:space="preserve">110+210 Underground</t>
  </si>
  <si>
    <t xml:space="preserve">31</t>
  </si>
  <si>
    <t xml:space="preserve">120+220 Roughin</t>
  </si>
  <si>
    <t xml:space="preserve">32</t>
  </si>
  <si>
    <t xml:space="preserve">130+230 Trim/Finish</t>
  </si>
  <si>
    <t xml:space="preserve">OTHER</t>
  </si>
  <si>
    <t xml:space="preserve">Unclassified</t>
  </si>
  <si>
    <t xml:space="preserve">B. COMMITMENTS BY VENDOR</t>
  </si>
  <si>
    <t xml:space="preserve">ROSEN</t>
  </si>
  <si>
    <t xml:space="preserve">FEI</t>
  </si>
  <si>
    <t xml:space="preserve">CONSOLIDATED</t>
  </si>
  <si>
    <t xml:space="preserve">KELLER</t>
  </si>
  <si>
    <t xml:space="preserve">PIKE</t>
  </si>
  <si>
    <t xml:space="preserve">C. PO COVERAGE NOTES</t>
  </si>
  <si>
    <t xml:space="preserve">Total Material Actual (JDR)</t>
  </si>
  <si>
    <t xml:space="preserve">Unique PO Count</t>
  </si>
  <si>
    <t xml:space="preserve">  (Dollar PO commitment not extracted — requires per-PDF parse)</t>
  </si>
  <si>
    <t xml:space="preserve">PO count is deduplicated by 5-digit PO number extracted from filenames</t>
  </si>
  <si>
    <t xml:space="preserve">Vendor/code classification is heuristic (filename keyword match)</t>
  </si>
  <si>
    <t xml:space="preserve">Revenue &amp; Billing Reconciliation</t>
  </si>
  <si>
    <t xml:space="preserve">6 archived pay applications  •  Nov 2014 – Jun 2015  •  $242,637 final</t>
  </si>
  <si>
    <t xml:space="preserve">A. CONTRACT SUMMARY</t>
  </si>
  <si>
    <t xml:space="preserve">Original Contract</t>
  </si>
  <si>
    <t xml:space="preserve">Change Orders (net)</t>
  </si>
  <si>
    <t xml:space="preserve">Final Contract Value</t>
  </si>
  <si>
    <t xml:space="preserve">Retainage (5%)</t>
  </si>
  <si>
    <t xml:space="preserve">Net Paid to OWP</t>
  </si>
  <si>
    <t xml:space="preserve">B. PAY APPLICATION TIMELINE</t>
  </si>
  <si>
    <t xml:space="preserve">App#</t>
  </si>
  <si>
    <t xml:space="preserve">Date</t>
  </si>
  <si>
    <t xml:space="preserve">Period Billing</t>
  </si>
  <si>
    <t xml:space="preserve">Retention</t>
  </si>
  <si>
    <t xml:space="preserve">Net This Period</t>
  </si>
  <si>
    <t xml:space="preserve">Aggregate</t>
  </si>
  <si>
    <t xml:space="preserve">% Complete</t>
  </si>
  <si>
    <t xml:space="preserve">2014-12-15</t>
  </si>
  <si>
    <t xml:space="preserve">2014-11-17</t>
  </si>
  <si>
    <t xml:space="preserve">2015-02-19</t>
  </si>
  <si>
    <t xml:space="preserve">2015-06-19</t>
  </si>
  <si>
    <t xml:space="preserve">2015-03-20</t>
  </si>
  <si>
    <t xml:space="preserve">2015-04-20</t>
  </si>
  <si>
    <t xml:space="preserve">C. BILLING ↔ JDR TIE-OUT</t>
  </si>
  <si>
    <t xml:space="preserve">SOV</t>
  </si>
  <si>
    <t xml:space="preserve">JDR</t>
  </si>
  <si>
    <t xml:space="preserve">Δ</t>
  </si>
  <si>
    <t xml:space="preserve">Status</t>
  </si>
  <si>
    <t xml:space="preserve">Retainage</t>
  </si>
  <si>
    <t xml:space="preserve">Key Insights — Job #2022 Exxel Pacific 3651 Interlake Apartments</t>
  </si>
  <si>
    <t xml:space="preserve">Narrative observations distilled from the full JDR analysis</t>
  </si>
  <si>
    <t xml:space="preserve">MARGIN PROFILE</t>
  </si>
  <si>
    <t xml:space="preserve">Net profit of $87,162 on $242,637 revenue = 35.9% gross margin. Direct cost $155,475 absorbs 64.1% of revenue.</t>
  </si>
  <si>
    <t xml:space="preserve">VENDOR CONCENTRATION</t>
  </si>
  <si>
    <t xml:space="preserve">Consolidated Supply Co. alone = $23,841 (39% of all AP) across 22 invoices. Total 13 AP vendors, $61,648 total AP spend.</t>
  </si>
  <si>
    <t xml:space="preserve">CREW PROFILE</t>
  </si>
  <si>
    <t xml:space="preserve">20 workers for 2,454 hours = 123 avg hrs/worker. Top 3 workers logged 890 hrs combined (36% of all labor).</t>
  </si>
  <si>
    <t xml:space="preserve">ROUGHIN DOMINANCE</t>
  </si>
  <si>
    <t xml:space="preserve">Code 120 Roughin Labor = 1,758 hrs (72% of all labor) and $39,477 actual. Code 230 Finish Material = $32,656 — 21% of total direct cost.</t>
  </si>
  <si>
    <t xml:space="preserve">BUDGET DELIVERY</t>
  </si>
  <si>
    <t xml:space="preserve">Revised budget was $180,742; actual direct cost $155,475 → $25,266 variance (14.0% under revised budget).</t>
  </si>
  <si>
    <t xml:space="preserve">CONTRACT GROWTH</t>
  </si>
  <si>
    <t xml:space="preserve">Contract grew from $232,454 to $242,637 — net +$10,183 (4.4%). Retainage of $12,132 (5%) withheld until closeout.</t>
  </si>
  <si>
    <t xml:space="preserve">BURDEN RATIO</t>
  </si>
  <si>
    <t xml:space="preserve">Burden codes 995 + 998 = $29,464 on $57,918 labor base = 50.9%. In line with OWP's typical 48–50% labor burden.</t>
  </si>
  <si>
    <t xml:space="preserve">PROJECT SCALE</t>
  </si>
  <si>
    <t xml:space="preserve">20 units · 140 fixtures · 11 months. Revenue/unit $12,132, hours/unit 122.7, profit/unit $4,358.</t>
  </si>
  <si>
    <t xml:space="preserve">PRODUCTIVITY</t>
  </si>
  <si>
    <t xml:space="preserve">Blended labor rate $23.60/hr. Revenue/hour $99. Profit/hour $36. 223 hrs/month burn rate.</t>
  </si>
  <si>
    <t xml:space="preserve">FIXTURE DENSITY</t>
  </si>
  <si>
    <t xml:space="preserve">140 fixtures ÷ 20 units = 7.00 fixtures/unit. Material/fixture $434, labor/fixture $414.</t>
  </si>
  <si>
    <t xml:space="preserve">BIGGEST QUESTION</t>
  </si>
  <si>
    <t xml:space="preserve">How does this job's 35.9% margin compare across similar projects in the OWP portfolio, and what operational levers drove the result — estimating accuracy, vendor pricing, or labor productivity?</t>
  </si>
  <si>
    <t xml:space="preserve">Benchmark KPIs</t>
  </si>
  <si>
    <t xml:space="preserve">Normalized metrics designed for apples-to-apples comparison across all OWP projects</t>
  </si>
  <si>
    <t xml:space="preserve">KPI</t>
  </si>
  <si>
    <t xml:space="preserve">Data Name</t>
  </si>
  <si>
    <t xml:space="preserve">Job Number</t>
  </si>
  <si>
    <t xml:space="preserve">job_number</t>
  </si>
  <si>
    <t xml:space="preserve">Profile</t>
  </si>
  <si>
    <t xml:space="preserve">OWP job ID</t>
  </si>
  <si>
    <t xml:space="preserve">Job Name</t>
  </si>
  <si>
    <t xml:space="preserve">job_name</t>
  </si>
  <si>
    <t xml:space="preserve">general_contractor</t>
  </si>
  <si>
    <t xml:space="preserve">location</t>
  </si>
  <si>
    <t xml:space="preserve">Project Type</t>
  </si>
  <si>
    <t xml:space="preserve">project_type</t>
  </si>
  <si>
    <t xml:space="preserve">4-story 20-unit small multifamily (18 standard + 2 ADA)</t>
  </si>
  <si>
    <t xml:space="preserve">Duration (months)</t>
  </si>
  <si>
    <t xml:space="preserve">duration_months</t>
  </si>
  <si>
    <t xml:space="preserve">Unit Count</t>
  </si>
  <si>
    <t xml:space="preserve">unit_count</t>
  </si>
  <si>
    <t xml:space="preserve">total_fixtures</t>
  </si>
  <si>
    <t xml:space="preserve">Fixtures per Unit</t>
  </si>
  <si>
    <t xml:space="preserve">fixtures_per_unit</t>
  </si>
  <si>
    <t xml:space="preserve">Contract Value (Orig)</t>
  </si>
  <si>
    <t xml:space="preserve">contract_original</t>
  </si>
  <si>
    <t xml:space="preserve">Financial</t>
  </si>
  <si>
    <t xml:space="preserve">Contract Value (Final)</t>
  </si>
  <si>
    <t xml:space="preserve">contract_final</t>
  </si>
  <si>
    <t xml:space="preserve">After change orders</t>
  </si>
  <si>
    <t xml:space="preserve">Change Orders ($)</t>
  </si>
  <si>
    <t xml:space="preserve">change_orders</t>
  </si>
  <si>
    <t xml:space="preserve">Revenue</t>
  </si>
  <si>
    <t xml:space="preserve">revenue</t>
  </si>
  <si>
    <t xml:space="preserve">Net Profit</t>
  </si>
  <si>
    <t xml:space="preserve">net_profit</t>
  </si>
  <si>
    <t xml:space="preserve">Gross Margin</t>
  </si>
  <si>
    <t xml:space="preserve">gross_margin</t>
  </si>
  <si>
    <t xml:space="preserve">direct_cost</t>
  </si>
  <si>
    <t xml:space="preserve">Labor Cost</t>
  </si>
  <si>
    <t xml:space="preserve">labor_cost</t>
  </si>
  <si>
    <t xml:space="preserve">Sum of 6 labor codes</t>
  </si>
  <si>
    <t xml:space="preserve">Material Cost</t>
  </si>
  <si>
    <t xml:space="preserve">material_cost</t>
  </si>
  <si>
    <t xml:space="preserve">Sum of 5 material codes</t>
  </si>
  <si>
    <t xml:space="preserve">Overhead Cost</t>
  </si>
  <si>
    <t xml:space="preserve">overhead_cost</t>
  </si>
  <si>
    <t xml:space="preserve">Sub+Eng+Permits</t>
  </si>
  <si>
    <t xml:space="preserve">Burden Cost</t>
  </si>
  <si>
    <t xml:space="preserve">burden_cost</t>
  </si>
  <si>
    <t xml:space="preserve">Codes 995+998</t>
  </si>
  <si>
    <t xml:space="preserve">retainage</t>
  </si>
  <si>
    <t xml:space="preserve">5% withheld</t>
  </si>
  <si>
    <t xml:space="preserve">Revenue per Unit</t>
  </si>
  <si>
    <t xml:space="preserve">revenue_per_unit</t>
  </si>
  <si>
    <t xml:space="preserve">Profit per Unit</t>
  </si>
  <si>
    <t xml:space="preserve">profit_per_unit</t>
  </si>
  <si>
    <t xml:space="preserve">Direct Cost per Unit</t>
  </si>
  <si>
    <t xml:space="preserve">cost_per_unit</t>
  </si>
  <si>
    <t xml:space="preserve">Labor Cost per Unit</t>
  </si>
  <si>
    <t xml:space="preserve">labor_per_unit</t>
  </si>
  <si>
    <t xml:space="preserve">Material Cost per Unit</t>
  </si>
  <si>
    <t xml:space="preserve">material_per_unit</t>
  </si>
  <si>
    <t xml:space="preserve">Revenue per Fixture</t>
  </si>
  <si>
    <t xml:space="preserve">revenue_per_fixture</t>
  </si>
  <si>
    <t xml:space="preserve">Profit per Fixture</t>
  </si>
  <si>
    <t xml:space="preserve">profit_per_fixture</t>
  </si>
  <si>
    <t xml:space="preserve">Cost per Fixture</t>
  </si>
  <si>
    <t xml:space="preserve">cost_per_fixture</t>
  </si>
  <si>
    <t xml:space="preserve">Labor per Fixture</t>
  </si>
  <si>
    <t xml:space="preserve">labor_per_fixture</t>
  </si>
  <si>
    <t xml:space="preserve">Material per Fixture</t>
  </si>
  <si>
    <t xml:space="preserve">material_per_fixture</t>
  </si>
  <si>
    <t xml:space="preserve">Total Labor Hours</t>
  </si>
  <si>
    <t xml:space="preserve">total_hours</t>
  </si>
  <si>
    <t xml:space="preserve">Sum of JDR cost code hours</t>
  </si>
  <si>
    <t xml:space="preserve">Total Workers</t>
  </si>
  <si>
    <t xml:space="preserve">total_workers</t>
  </si>
  <si>
    <t xml:space="preserve">Unique payroll IDs</t>
  </si>
  <si>
    <t xml:space="preserve">blended_gross_wage</t>
  </si>
  <si>
    <t xml:space="preserve">Pre-burden</t>
  </si>
  <si>
    <t xml:space="preserve">fully_loaded_wage</t>
  </si>
  <si>
    <t xml:space="preserve">Post-burden</t>
  </si>
  <si>
    <t xml:space="preserve">burden_multiplier</t>
  </si>
  <si>
    <t xml:space="preserve">Hours per Unit</t>
  </si>
  <si>
    <t xml:space="preserve">hours_per_unit</t>
  </si>
  <si>
    <t xml:space="preserve">Key benchmark</t>
  </si>
  <si>
    <t xml:space="preserve">Hours per Fixture</t>
  </si>
  <si>
    <t xml:space="preserve">hours_per_fixture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</si>
  <si>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</si>
  <si>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</si>
  <si>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</si>
  <si>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</si>
  <si>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</si>
  <si>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Labor % of Revenue</t>
  </si>
  <si>
    <t xml:space="preserve">labor_pct_revenue</t>
  </si>
  <si>
    <t xml:space="preserve">Cost Mix</t>
  </si>
  <si>
    <t xml:space="preserve">Material % of Revenue</t>
  </si>
  <si>
    <t xml:space="preserve">material_pct_revenue</t>
  </si>
  <si>
    <t xml:space="preserve">Revenue per Month</t>
  </si>
  <si>
    <t xml:space="preserve">revenue_per_month</t>
  </si>
  <si>
    <t xml:space="preserve">Hours per Month</t>
  </si>
  <si>
    <t xml:space="preserve">hours_per_month</t>
  </si>
  <si>
    <t xml:space="preserve">Units per Month</t>
  </si>
  <si>
    <t xml:space="preserve">units_per_month</t>
  </si>
  <si>
    <t xml:space="preserve">Total Vendors</t>
  </si>
  <si>
    <t xml:space="preserve">total_vendors</t>
  </si>
  <si>
    <t xml:space="preserve">Unique AP vendors</t>
  </si>
  <si>
    <t xml:space="preserve">Top Vendor Spend</t>
  </si>
  <si>
    <t xml:space="preserve">top_vendor_spend</t>
  </si>
  <si>
    <t xml:space="preserve">Top Vendor Concentration</t>
  </si>
  <si>
    <t xml:space="preserve">top_vendor_pct</t>
  </si>
  <si>
    <t xml:space="preserve">Total POs</t>
  </si>
  <si>
    <t xml:space="preserve">total_pos</t>
  </si>
  <si>
    <t xml:space="preserve">Unique POs by filename</t>
  </si>
  <si>
    <t xml:space="preserve">Change Order %</t>
  </si>
  <si>
    <t xml:space="preserve">co_pct</t>
  </si>
  <si>
    <t xml:space="preserve">Revenue per Labor Hour</t>
  </si>
  <si>
    <t xml:space="preserve">rev_per_labor_hr</t>
  </si>
  <si>
    <t xml:space="preserve">51 KPIs with snake_case data_name identifiers for database ingestion</t>
  </si>
  <si>
    <t xml:space="preserve">Reconciliation — Tie-out Proofs</t>
  </si>
  <si>
    <t xml:space="preserve">Check</t>
  </si>
  <si>
    <t xml:space="preserve">Computed</t>
  </si>
  <si>
    <t xml:space="preserve">Expected</t>
  </si>
  <si>
    <t xml:space="preserve">A. JDR COST CODE ROLLUP</t>
  </si>
  <si>
    <t xml:space="preserve">Labor subtotal (6 codes)</t>
  </si>
  <si>
    <t xml:space="preserve">Material subtotal (5 codes)</t>
  </si>
  <si>
    <t xml:space="preserve">Overhead subtotal (3 codes)</t>
  </si>
  <si>
    <t xml:space="preserve">Burden subtotal (2 codes)</t>
  </si>
  <si>
    <t xml:space="preserve">Direct Cost (all categories)</t>
  </si>
  <si>
    <t xml:space="preserve">Revenue (code 999)</t>
  </si>
  <si>
    <t xml:space="preserve">Net Profit (Revenue - Expenses)</t>
  </si>
  <si>
    <t xml:space="preserve">B. LABOR HOURS ROLLUP</t>
  </si>
  <si>
    <t xml:space="preserve">JDR Cost Code hours (Payroll Hours lines)</t>
  </si>
  <si>
    <t xml:space="preserve">Per-worker hours (sum of PR Regular)</t>
  </si>
  <si>
    <t xml:space="preserve">C. BILLING (SOV) ↔ JDR</t>
  </si>
  <si>
    <t xml:space="preserve">D. VENDOR AP ↔ JDR</t>
  </si>
  <si>
    <t xml:space="preserve">Vendor AP total (sum of invoices)</t>
  </si>
  <si>
    <t xml:space="preserve">TIES = within $1 or 5 hrs  •  WITHIN = within 5%  •  OFF = investigate</t>
  </si>
  <si>
    <t xml:space="preserve">Vendor Detail — Job #2022</t>
  </si>
  <si>
    <t xml:space="preserve">Vendors</t>
  </si>
  <si>
    <t xml:space="preserve">Top vendor</t>
  </si>
  <si>
    <t xml:space="preserve">Invoices</t>
  </si>
  <si>
    <t xml:space="preserve">Top 3 share</t>
  </si>
  <si>
    <t xml:space="preserve">Total AP</t>
  </si>
  <si>
    <t xml:space="preserve">Source</t>
  </si>
  <si>
    <t xml:space="preserve">2022 Job Detail Report.pdf (Sage Timberline AP export)</t>
  </si>
  <si>
    <t xml:space="preserve">Avg Inv</t>
  </si>
  <si>
    <t xml:space="preserve">Rank</t>
  </si>
  <si>
    <t xml:space="preserve">Vendor Code</t>
  </si>
  <si>
    <t xml:space="preserve">Avg / Invoice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</si>
</sst>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0.0%;\(0.0%\);\-"/>
    <numFmt numFmtId="167" formatCode="0"/>
    <numFmt numFmtId="168" formatCode="#,##0.0"/>
    <numFmt numFmtId="169" formatCode="\$#,##0.00"/>
    <numFmt numFmtId="170" formatCode="0.00"/>
    <numFmt numFmtId="171" formatCode="#,##0.00"/>
    <numFmt numFmtId="172" formatCode="#,##0"/>
    <numFmt numFmtId="173" formatCode="0.0%"/>
    <numFmt numFmtId="174" formatCode="\$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5E7EB"/>
        <bgColor rgb="FFD9E1F2"/>
      </patternFill>
    </fill>
    <fill>
      <patternFill patternType="solid">
        <fgColor rgb="FFF3F4F6"/>
        <bgColor rgb="FFF2F2F2"/>
      </patternFill>
    </fill>
    <fill>
      <patternFill patternType="solid">
        <fgColor rgb="FF1F2937"/>
        <bgColor rgb="FF1F3864"/>
      </patternFill>
    </fill>
    <fill>
      <patternFill patternType="solid">
        <fgColor rgb="FF1F3864"/>
        <bgColor rgb="FF1F2937"/>
      </patternFill>
    </fill>
    <fill>
      <patternFill patternType="solid">
        <fgColor rgb="FF4472C4"/>
        <bgColor rgb="FF6B728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3F4F6"/>
      </patternFill>
    </fill>
    <fill>
      <patternFill patternType="solid">
        <fgColor rgb="FFD9E1F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993366"/>
      <rgbColor rgb="FFFFF2CC"/>
      <rgbColor rgb="FFF3F4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5E7EB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59595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8" min="3" style="0" width="16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1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4" t="s">
        <v>9</v>
      </c>
      <c r="C9" s="5" t="s">
        <v>10</v>
      </c>
    </row>
    <row r="10" customFormat="false" ht="15" hidden="false" customHeight="false" outlineLevel="0" collapsed="false">
      <c r="B10" s="4" t="s">
        <v>11</v>
      </c>
      <c r="C10" s="5" t="s">
        <v>12</v>
      </c>
    </row>
    <row r="11" customFormat="false" ht="15" hidden="false" customHeight="false" outlineLevel="0" collapsed="false">
      <c r="B11" s="4" t="s">
        <v>13</v>
      </c>
      <c r="C11" s="5" t="s">
        <v>14</v>
      </c>
    </row>
    <row r="13" customFormat="false" ht="15" hidden="false" customHeight="false" outlineLevel="0" collapsed="false">
      <c r="B13" s="6" t="s">
        <v>15</v>
      </c>
      <c r="D13" s="6" t="s">
        <v>16</v>
      </c>
      <c r="F13" s="6" t="s">
        <v>17</v>
      </c>
      <c r="H13" s="6" t="s">
        <v>18</v>
      </c>
    </row>
    <row r="14" customFormat="false" ht="17.35" hidden="false" customHeight="false" outlineLevel="0" collapsed="false">
      <c r="B14" s="7" t="s">
        <v>19</v>
      </c>
      <c r="D14" s="7" t="s">
        <v>20</v>
      </c>
      <c r="F14" s="7" t="s">
        <v>21</v>
      </c>
      <c r="H14" s="7" t="s">
        <v>22</v>
      </c>
    </row>
    <row r="15" customFormat="false" ht="15" hidden="false" customHeight="false" outlineLevel="0" collapsed="false">
      <c r="B15" s="8" t="s">
        <v>23</v>
      </c>
      <c r="D15" s="8" t="s">
        <v>24</v>
      </c>
      <c r="F15" s="8" t="s">
        <v>25</v>
      </c>
      <c r="H15" s="8" t="s">
        <v>26</v>
      </c>
    </row>
    <row r="18" customFormat="false" ht="15" hidden="false" customHeight="false" outlineLevel="0" collapsed="false">
      <c r="B18" s="3" t="s">
        <v>27</v>
      </c>
      <c r="C18" s="3"/>
      <c r="D18" s="3"/>
      <c r="E18" s="3"/>
      <c r="F18" s="3"/>
      <c r="G18" s="3"/>
    </row>
    <row r="19" customFormat="false" ht="15" hidden="false" customHeight="false" outlineLevel="0" collapsed="false">
      <c r="B19" s="9" t="s">
        <v>28</v>
      </c>
      <c r="C19" s="9" t="s">
        <v>29</v>
      </c>
      <c r="D19" s="9" t="s">
        <v>30</v>
      </c>
      <c r="E19" s="9" t="s">
        <v>31</v>
      </c>
      <c r="F19" s="9" t="s">
        <v>32</v>
      </c>
      <c r="G19" s="9" t="s">
        <v>33</v>
      </c>
    </row>
    <row r="20" customFormat="false" ht="15" hidden="false" customHeight="false" outlineLevel="0" collapsed="false">
      <c r="B20" s="4" t="s">
        <v>34</v>
      </c>
      <c r="C20" s="10" t="n">
        <v>52240</v>
      </c>
      <c r="D20" s="10" t="n">
        <v>57917.75</v>
      </c>
      <c r="E20" s="10" t="n">
        <f aca="false">C20-D20</f>
        <v>-5677.75</v>
      </c>
      <c r="F20" s="11" t="n">
        <f aca="false">IF(C20=0,0,D20/C20)</f>
        <v>1.10868587289433</v>
      </c>
      <c r="G20" s="11" t="n">
        <f aca="false">IF($D$24=0,0,D20/$D$24)</f>
        <v>0.372520419150635</v>
      </c>
    </row>
    <row r="21" customFormat="false" ht="15" hidden="false" customHeight="false" outlineLevel="0" collapsed="false">
      <c r="B21" s="4" t="s">
        <v>35</v>
      </c>
      <c r="C21" s="10" t="n">
        <v>89109</v>
      </c>
      <c r="D21" s="10" t="n">
        <v>60804.36</v>
      </c>
      <c r="E21" s="10" t="n">
        <f aca="false">C21-D21</f>
        <v>28304.64</v>
      </c>
      <c r="F21" s="11" t="n">
        <f aca="false">IF(C21=0,0,D21/C21)</f>
        <v>0.682359357640642</v>
      </c>
      <c r="G21" s="11" t="n">
        <f aca="false">IF($D$24=0,0,D21/$D$24)</f>
        <v>0.391086768277188</v>
      </c>
    </row>
    <row r="22" customFormat="false" ht="15" hidden="false" customHeight="false" outlineLevel="0" collapsed="false">
      <c r="B22" s="4" t="s">
        <v>36</v>
      </c>
      <c r="C22" s="10" t="n">
        <v>12250</v>
      </c>
      <c r="D22" s="10" t="n">
        <v>7289.5</v>
      </c>
      <c r="E22" s="10" t="n">
        <f aca="false">C22-D22</f>
        <v>4960.5</v>
      </c>
      <c r="F22" s="11" t="n">
        <f aca="false">IF(C22=0,0,D22/C22)</f>
        <v>0.595061224489796</v>
      </c>
      <c r="G22" s="11" t="n">
        <f aca="false">IF($D$24=0,0,D22/$D$24)</f>
        <v>0.0468852397649866</v>
      </c>
    </row>
    <row r="23" customFormat="false" ht="15" hidden="false" customHeight="false" outlineLevel="0" collapsed="false">
      <c r="B23" s="4" t="s">
        <v>37</v>
      </c>
      <c r="C23" s="10" t="n">
        <v>27142.52</v>
      </c>
      <c r="D23" s="10" t="n">
        <v>29463.76</v>
      </c>
      <c r="E23" s="10" t="n">
        <f aca="false">C23-D23</f>
        <v>-2321.24</v>
      </c>
      <c r="F23" s="11" t="n">
        <f aca="false">IF(C23=0,0,D23/C23)</f>
        <v>1.08552043067482</v>
      </c>
      <c r="G23" s="11" t="n">
        <f aca="false">IF($D$24=0,0,D23/$D$24)</f>
        <v>0.189507572807191</v>
      </c>
    </row>
    <row r="24" customFormat="false" ht="15" hidden="false" customHeight="false" outlineLevel="0" collapsed="false">
      <c r="B24" s="5" t="s">
        <v>38</v>
      </c>
      <c r="C24" s="12" t="n">
        <f aca="false">SUM(C20:C23)</f>
        <v>180741.52</v>
      </c>
      <c r="D24" s="12" t="n">
        <f aca="false">SUM(D20:D23)</f>
        <v>155475.37</v>
      </c>
      <c r="E24" s="12" t="n">
        <f aca="false">C24-D24</f>
        <v>25266.15</v>
      </c>
      <c r="F24" s="13" t="n">
        <f aca="false">IF(C24=0,0,D24/C24)</f>
        <v>0.860208379347479</v>
      </c>
      <c r="G24" s="13" t="n">
        <v>1</v>
      </c>
    </row>
    <row r="27" customFormat="false" ht="15" hidden="false" customHeight="false" outlineLevel="0" collapsed="false">
      <c r="B27" s="3" t="s">
        <v>39</v>
      </c>
      <c r="C27" s="3"/>
      <c r="D27" s="3"/>
      <c r="E27" s="3"/>
      <c r="F27" s="3"/>
      <c r="G27" s="3"/>
    </row>
    <row r="28" customFormat="false" ht="15" hidden="false" customHeight="false" outlineLevel="0" collapsed="false">
      <c r="B28" s="5" t="s">
        <v>40</v>
      </c>
      <c r="C28" s="5" t="s">
        <v>41</v>
      </c>
      <c r="D28" s="5" t="s">
        <v>40</v>
      </c>
      <c r="E28" s="5" t="s">
        <v>41</v>
      </c>
      <c r="F28" s="5" t="s">
        <v>40</v>
      </c>
      <c r="G28" s="5" t="s">
        <v>41</v>
      </c>
    </row>
    <row r="29" customFormat="false" ht="15" hidden="false" customHeight="false" outlineLevel="0" collapsed="false">
      <c r="B29" s="4" t="s">
        <v>42</v>
      </c>
      <c r="C29" s="5" t="s">
        <v>43</v>
      </c>
      <c r="D29" s="4" t="s">
        <v>44</v>
      </c>
      <c r="E29" s="5" t="s">
        <v>45</v>
      </c>
      <c r="F29" s="4" t="s">
        <v>46</v>
      </c>
      <c r="G29" s="5" t="s">
        <v>47</v>
      </c>
    </row>
    <row r="30" customFormat="false" ht="15" hidden="false" customHeight="false" outlineLevel="0" collapsed="false">
      <c r="B30" s="4" t="s">
        <v>48</v>
      </c>
      <c r="C30" s="5" t="s">
        <v>43</v>
      </c>
      <c r="D30" s="4" t="s">
        <v>49</v>
      </c>
      <c r="E30" s="5" t="s">
        <v>43</v>
      </c>
      <c r="F30" s="4" t="s">
        <v>50</v>
      </c>
      <c r="G30" s="5" t="s">
        <v>45</v>
      </c>
    </row>
    <row r="31" customFormat="false" ht="15" hidden="false" customHeight="false" outlineLevel="0" collapsed="false">
      <c r="B31" s="4" t="s">
        <v>51</v>
      </c>
      <c r="C31" s="5" t="s">
        <v>52</v>
      </c>
      <c r="D31" s="4" t="s">
        <v>53</v>
      </c>
      <c r="E31" s="5" t="s">
        <v>54</v>
      </c>
      <c r="F31" s="4" t="s">
        <v>55</v>
      </c>
      <c r="G31" s="5" t="s">
        <v>56</v>
      </c>
    </row>
    <row r="32" customFormat="false" ht="15" hidden="false" customHeight="false" outlineLevel="0" collapsed="false">
      <c r="B32" s="4" t="s">
        <v>57</v>
      </c>
      <c r="C32" s="5" t="s">
        <v>58</v>
      </c>
      <c r="D32" s="4" t="s">
        <v>59</v>
      </c>
      <c r="E32" s="5" t="s">
        <v>60</v>
      </c>
    </row>
    <row r="36" customFormat="false" ht="15" hidden="false" customHeight="false" outlineLevel="0" collapsed="false">
      <c r="B36" s="3" t="s">
        <v>61</v>
      </c>
      <c r="C36" s="3"/>
      <c r="D36" s="3"/>
      <c r="E36" s="3"/>
      <c r="F36" s="3"/>
      <c r="G36" s="3"/>
    </row>
    <row r="37" customFormat="false" ht="15" hidden="false" customHeight="false" outlineLevel="0" collapsed="false">
      <c r="B37" s="2" t="s">
        <v>62</v>
      </c>
      <c r="C37" s="2"/>
      <c r="D37" s="2"/>
      <c r="E37" s="2"/>
      <c r="F37" s="2"/>
      <c r="G37" s="2"/>
    </row>
    <row r="38" customFormat="false" ht="15" hidden="false" customHeight="false" outlineLevel="0" collapsed="false">
      <c r="B38" s="2" t="s">
        <v>63</v>
      </c>
      <c r="C38" s="2"/>
      <c r="D38" s="2"/>
      <c r="E38" s="2"/>
      <c r="F38" s="2"/>
      <c r="G38" s="2"/>
    </row>
    <row r="39" customFormat="false" ht="15" hidden="false" customHeight="false" outlineLevel="0" collapsed="false">
      <c r="B39" s="2" t="s">
        <v>64</v>
      </c>
      <c r="C39" s="2"/>
      <c r="D39" s="2"/>
      <c r="E39" s="2"/>
      <c r="F39" s="2"/>
      <c r="G39" s="2"/>
    </row>
    <row r="40" customFormat="false" ht="15" hidden="false" customHeight="false" outlineLevel="0" collapsed="false">
      <c r="B40" s="2" t="s">
        <v>65</v>
      </c>
      <c r="C40" s="2"/>
      <c r="D40" s="2"/>
      <c r="E40" s="2"/>
      <c r="F40" s="2"/>
      <c r="G40" s="2"/>
    </row>
    <row r="41" customFormat="false" ht="15" hidden="false" customHeight="false" outlineLevel="0" collapsed="false">
      <c r="B41" s="2" t="s">
        <v>66</v>
      </c>
      <c r="C41" s="2"/>
      <c r="D41" s="2"/>
      <c r="E41" s="2"/>
      <c r="F41" s="2"/>
      <c r="G41" s="2"/>
    </row>
    <row r="42" customFormat="false" ht="15" hidden="false" customHeight="false" outlineLevel="0" collapsed="false">
      <c r="B42" s="2" t="s">
        <v>67</v>
      </c>
      <c r="C42" s="2"/>
      <c r="D42" s="2"/>
      <c r="E42" s="2"/>
      <c r="F42" s="2"/>
      <c r="G42" s="2"/>
    </row>
    <row r="43" customFormat="false" ht="15" hidden="false" customHeight="false" outlineLevel="0" collapsed="false">
      <c r="B43" s="2" t="s">
        <v>68</v>
      </c>
      <c r="C43" s="2"/>
      <c r="D43" s="2"/>
      <c r="E43" s="2"/>
      <c r="F43" s="2"/>
      <c r="G43" s="2"/>
    </row>
    <row r="44" customFormat="false" ht="15" hidden="false" customHeight="false" outlineLevel="0" collapsed="false">
      <c r="B44" s="2" t="s">
        <v>69</v>
      </c>
      <c r="C44" s="2"/>
      <c r="D44" s="2"/>
      <c r="E44" s="2"/>
      <c r="F44" s="2"/>
      <c r="G44" s="2"/>
    </row>
    <row r="45" customFormat="false" ht="15" hidden="false" customHeight="false" outlineLevel="0" collapsed="false">
      <c r="B45" s="2" t="s">
        <v>70</v>
      </c>
      <c r="C45" s="2"/>
      <c r="D45" s="2"/>
      <c r="E45" s="2"/>
      <c r="F45" s="2"/>
      <c r="G45" s="2"/>
    </row>
    <row r="46" customFormat="false" ht="15" hidden="false" customHeight="false" outlineLevel="0" collapsed="false">
      <c r="B46" s="2" t="s">
        <v>71</v>
      </c>
      <c r="C46" s="2"/>
      <c r="D46" s="2"/>
      <c r="E46" s="2"/>
      <c r="F46" s="2"/>
      <c r="G46" s="2"/>
    </row>
    <row r="47" customFormat="false" ht="15" hidden="false" customHeight="false" outlineLevel="0" collapsed="false">
      <c r="B47" s="2" t="s">
        <v>72</v>
      </c>
      <c r="C47" s="2"/>
      <c r="D47" s="2"/>
      <c r="E47" s="2"/>
      <c r="F47" s="2"/>
      <c r="G47" s="2"/>
    </row>
    <row r="48" customFormat="false" ht="15" hidden="false" customHeight="false" outlineLevel="0" collapsed="false">
      <c r="B48" s="2" t="s">
        <v>73</v>
      </c>
      <c r="C48" s="2"/>
      <c r="D48" s="2"/>
      <c r="E48" s="2"/>
      <c r="F48" s="2"/>
      <c r="G48" s="2"/>
    </row>
    <row r="49" customFormat="false" ht="15" hidden="false" customHeight="false" outlineLevel="0" collapsed="false">
      <c r="B49" s="2" t="s">
        <v>74</v>
      </c>
      <c r="C49" s="2"/>
      <c r="D49" s="2"/>
      <c r="E49" s="2"/>
      <c r="F49" s="2"/>
      <c r="G49" s="2"/>
    </row>
  </sheetData>
  <mergeCells count="19">
    <mergeCell ref="B2:H2"/>
    <mergeCell ref="B3:H3"/>
    <mergeCell ref="B5:G5"/>
    <mergeCell ref="B18:G18"/>
    <mergeCell ref="B27:G27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B49:G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8" min="4" style="0" width="14"/>
  </cols>
  <sheetData>
    <row r="2" customFormat="false" ht="19.7" hidden="false" customHeight="false" outlineLevel="0" collapsed="false">
      <c r="B2" s="1" t="s">
        <v>75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9" t="s">
        <v>76</v>
      </c>
      <c r="C4" s="9" t="s">
        <v>77</v>
      </c>
      <c r="D4" s="9" t="s">
        <v>78</v>
      </c>
      <c r="E4" s="9" t="s">
        <v>79</v>
      </c>
      <c r="F4" s="9" t="s">
        <v>30</v>
      </c>
      <c r="G4" s="9" t="s">
        <v>31</v>
      </c>
      <c r="H4" s="9" t="s">
        <v>80</v>
      </c>
    </row>
    <row r="5" customFormat="false" ht="15" hidden="false" customHeight="false" outlineLevel="0" collapsed="false">
      <c r="B5" s="3" t="s">
        <v>81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B6" s="4" t="s">
        <v>82</v>
      </c>
      <c r="C6" s="4" t="s">
        <v>83</v>
      </c>
      <c r="D6" s="10" t="n">
        <v>3000</v>
      </c>
      <c r="E6" s="10" t="n">
        <v>3000</v>
      </c>
      <c r="F6" s="10" t="n">
        <v>1042</v>
      </c>
      <c r="G6" s="10" t="n">
        <f aca="false">E6-F6</f>
        <v>1958</v>
      </c>
      <c r="H6" s="11" t="n">
        <f aca="false">IF(E6=0,0,F6/E6)</f>
        <v>0.347333333333333</v>
      </c>
    </row>
    <row r="7" customFormat="false" ht="15" hidden="false" customHeight="false" outlineLevel="0" collapsed="false">
      <c r="B7" s="4" t="s">
        <v>84</v>
      </c>
      <c r="C7" s="4" t="s">
        <v>85</v>
      </c>
      <c r="D7" s="10" t="n">
        <v>5100</v>
      </c>
      <c r="E7" s="10" t="n">
        <v>5450</v>
      </c>
      <c r="F7" s="10" t="n">
        <v>2957.5</v>
      </c>
      <c r="G7" s="10" t="n">
        <f aca="false">E7-F7</f>
        <v>2492.5</v>
      </c>
      <c r="H7" s="11" t="n">
        <f aca="false">IF(E7=0,0,F7/E7)</f>
        <v>0.542660550458716</v>
      </c>
    </row>
    <row r="8" customFormat="false" ht="15" hidden="false" customHeight="false" outlineLevel="0" collapsed="false">
      <c r="B8" s="4" t="s">
        <v>86</v>
      </c>
      <c r="C8" s="4" t="s">
        <v>87</v>
      </c>
      <c r="D8" s="10" t="n">
        <v>6210</v>
      </c>
      <c r="E8" s="10" t="n">
        <v>6910</v>
      </c>
      <c r="F8" s="10" t="n">
        <v>8667</v>
      </c>
      <c r="G8" s="10" t="n">
        <f aca="false">E8-F8</f>
        <v>-1757</v>
      </c>
      <c r="H8" s="11" t="n">
        <f aca="false">IF(E8=0,0,F8/E8)</f>
        <v>1.25426917510854</v>
      </c>
    </row>
    <row r="9" customFormat="false" ht="15" hidden="false" customHeight="false" outlineLevel="0" collapsed="false">
      <c r="B9" s="4" t="s">
        <v>88</v>
      </c>
      <c r="C9" s="4" t="s">
        <v>89</v>
      </c>
      <c r="D9" s="10" t="n">
        <v>32400</v>
      </c>
      <c r="E9" s="10" t="n">
        <v>32400</v>
      </c>
      <c r="F9" s="10" t="n">
        <v>39476.75</v>
      </c>
      <c r="G9" s="10" t="n">
        <f aca="false">E9-F9</f>
        <v>-7076.75</v>
      </c>
      <c r="H9" s="11" t="n">
        <f aca="false">IF(E9=0,0,F9/E9)</f>
        <v>1.21841820987654</v>
      </c>
    </row>
    <row r="10" customFormat="false" ht="15" hidden="false" customHeight="false" outlineLevel="0" collapsed="false">
      <c r="B10" s="4" t="s">
        <v>90</v>
      </c>
      <c r="C10" s="4" t="s">
        <v>91</v>
      </c>
      <c r="D10" s="10" t="n">
        <v>4480</v>
      </c>
      <c r="E10" s="10" t="n">
        <v>4480</v>
      </c>
      <c r="F10" s="10" t="n">
        <v>5302</v>
      </c>
      <c r="G10" s="10" t="n">
        <f aca="false">E10-F10</f>
        <v>-822</v>
      </c>
      <c r="H10" s="11" t="n">
        <f aca="false">IF(E10=0,0,F10/E10)</f>
        <v>1.18348214285714</v>
      </c>
    </row>
    <row r="11" customFormat="false" ht="15" hidden="false" customHeight="false" outlineLevel="0" collapsed="false">
      <c r="B11" s="4" t="s">
        <v>92</v>
      </c>
      <c r="C11" s="4" t="s">
        <v>93</v>
      </c>
      <c r="D11" s="10" t="n">
        <v>0</v>
      </c>
      <c r="E11" s="10" t="n">
        <v>0</v>
      </c>
      <c r="F11" s="10" t="n">
        <v>472.5</v>
      </c>
      <c r="G11" s="10" t="n">
        <f aca="false">E11-F11</f>
        <v>-472.5</v>
      </c>
      <c r="H11" s="11" t="n">
        <f aca="false">IF(E11=0,0,F11/E11)</f>
        <v>0</v>
      </c>
    </row>
    <row r="12" customFormat="false" ht="15" hidden="false" customHeight="false" outlineLevel="0" collapsed="false">
      <c r="B12" s="3" t="s">
        <v>94</v>
      </c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B13" s="4" t="s">
        <v>95</v>
      </c>
      <c r="C13" s="4" t="s">
        <v>96</v>
      </c>
      <c r="D13" s="10" t="n">
        <v>5550</v>
      </c>
      <c r="E13" s="10" t="n">
        <v>5550</v>
      </c>
      <c r="F13" s="10" t="n">
        <v>3879.67</v>
      </c>
      <c r="G13" s="10" t="n">
        <f aca="false">E13-F13</f>
        <v>1670.33</v>
      </c>
      <c r="H13" s="11" t="n">
        <f aca="false">IF(E13=0,0,F13/E13)</f>
        <v>0.69903963963964</v>
      </c>
    </row>
    <row r="14" customFormat="false" ht="15" hidden="false" customHeight="false" outlineLevel="0" collapsed="false">
      <c r="B14" s="4" t="s">
        <v>97</v>
      </c>
      <c r="C14" s="4" t="s">
        <v>98</v>
      </c>
      <c r="D14" s="10" t="n">
        <v>0</v>
      </c>
      <c r="E14" s="10" t="n">
        <v>0</v>
      </c>
      <c r="F14" s="10" t="n">
        <v>829</v>
      </c>
      <c r="G14" s="10" t="n">
        <f aca="false">E14-F14</f>
        <v>-829</v>
      </c>
      <c r="H14" s="11" t="n">
        <f aca="false">IF(E14=0,0,F14/E14)</f>
        <v>0</v>
      </c>
    </row>
    <row r="15" customFormat="false" ht="15" hidden="false" customHeight="false" outlineLevel="0" collapsed="false">
      <c r="B15" s="4" t="s">
        <v>99</v>
      </c>
      <c r="C15" s="4" t="s">
        <v>100</v>
      </c>
      <c r="D15" s="10" t="n">
        <v>24340</v>
      </c>
      <c r="E15" s="10" t="n">
        <v>24340</v>
      </c>
      <c r="F15" s="10" t="n">
        <v>20929.54</v>
      </c>
      <c r="G15" s="10" t="n">
        <f aca="false">E15-F15</f>
        <v>3410.46</v>
      </c>
      <c r="H15" s="11" t="n">
        <f aca="false">IF(E15=0,0,F15/E15)</f>
        <v>0.859882497945768</v>
      </c>
    </row>
    <row r="16" customFormat="false" ht="15" hidden="false" customHeight="false" outlineLevel="0" collapsed="false">
      <c r="B16" s="4" t="s">
        <v>101</v>
      </c>
      <c r="C16" s="4" t="s">
        <v>102</v>
      </c>
      <c r="D16" s="10" t="n">
        <v>52590</v>
      </c>
      <c r="E16" s="10" t="n">
        <v>59219</v>
      </c>
      <c r="F16" s="10" t="n">
        <v>32656.07</v>
      </c>
      <c r="G16" s="10" t="n">
        <f aca="false">E16-F16</f>
        <v>26562.93</v>
      </c>
      <c r="H16" s="11" t="n">
        <f aca="false">IF(E16=0,0,F16/E16)</f>
        <v>0.551445819753795</v>
      </c>
    </row>
    <row r="17" customFormat="false" ht="15" hidden="false" customHeight="false" outlineLevel="0" collapsed="false">
      <c r="B17" s="4" t="s">
        <v>103</v>
      </c>
      <c r="C17" s="4" t="s">
        <v>104</v>
      </c>
      <c r="D17" s="10" t="n">
        <v>0</v>
      </c>
      <c r="E17" s="10" t="n">
        <v>0</v>
      </c>
      <c r="F17" s="10" t="n">
        <v>2510.08</v>
      </c>
      <c r="G17" s="10" t="n">
        <f aca="false">E17-F17</f>
        <v>-2510.08</v>
      </c>
      <c r="H17" s="11" t="n">
        <f aca="false">IF(E17=0,0,F17/E17)</f>
        <v>0</v>
      </c>
    </row>
    <row r="18" customFormat="false" ht="15" hidden="false" customHeight="false" outlineLevel="0" collapsed="false">
      <c r="B18" s="3" t="s">
        <v>105</v>
      </c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B19" s="4" t="s">
        <v>106</v>
      </c>
      <c r="C19" s="4" t="s">
        <v>107</v>
      </c>
      <c r="D19" s="10" t="n">
        <v>3400</v>
      </c>
      <c r="E19" s="10" t="n">
        <v>3400</v>
      </c>
      <c r="F19" s="10" t="n">
        <v>950</v>
      </c>
      <c r="G19" s="10" t="n">
        <f aca="false">E19-F19</f>
        <v>2450</v>
      </c>
      <c r="H19" s="11" t="n">
        <f aca="false">IF(E19=0,0,F19/E19)</f>
        <v>0.279411764705882</v>
      </c>
    </row>
    <row r="20" customFormat="false" ht="15" hidden="false" customHeight="false" outlineLevel="0" collapsed="false">
      <c r="B20" s="4" t="s">
        <v>108</v>
      </c>
      <c r="C20" s="4" t="s">
        <v>109</v>
      </c>
      <c r="D20" s="10" t="n">
        <v>7000</v>
      </c>
      <c r="E20" s="10" t="n">
        <v>7000</v>
      </c>
      <c r="F20" s="10" t="n">
        <v>4756.5</v>
      </c>
      <c r="G20" s="10" t="n">
        <f aca="false">E20-F20</f>
        <v>2243.5</v>
      </c>
      <c r="H20" s="11" t="n">
        <f aca="false">IF(E20=0,0,F20/E20)</f>
        <v>0.6795</v>
      </c>
    </row>
    <row r="21" customFormat="false" ht="15" hidden="false" customHeight="false" outlineLevel="0" collapsed="false">
      <c r="B21" s="4" t="s">
        <v>110</v>
      </c>
      <c r="C21" s="4" t="s">
        <v>111</v>
      </c>
      <c r="D21" s="10" t="n">
        <v>1850</v>
      </c>
      <c r="E21" s="10" t="n">
        <v>1850</v>
      </c>
      <c r="F21" s="10" t="n">
        <v>1583</v>
      </c>
      <c r="G21" s="10" t="n">
        <f aca="false">E21-F21</f>
        <v>267</v>
      </c>
      <c r="H21" s="11" t="n">
        <f aca="false">IF(E21=0,0,F21/E21)</f>
        <v>0.855675675675676</v>
      </c>
    </row>
    <row r="22" customFormat="false" ht="15" hidden="false" customHeight="false" outlineLevel="0" collapsed="false">
      <c r="B22" s="3" t="s">
        <v>112</v>
      </c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B23" s="4" t="s">
        <v>113</v>
      </c>
      <c r="C23" s="4" t="s">
        <v>114</v>
      </c>
      <c r="D23" s="10" t="n">
        <v>22607.03</v>
      </c>
      <c r="E23" s="10" t="n">
        <v>23072.71</v>
      </c>
      <c r="F23" s="10" t="n">
        <v>25033.08</v>
      </c>
      <c r="G23" s="10" t="n">
        <f aca="false">E23-F23</f>
        <v>-1960.37</v>
      </c>
      <c r="H23" s="11" t="n">
        <f aca="false">IF(E23=0,0,F23/E23)</f>
        <v>1.0849648784213</v>
      </c>
    </row>
    <row r="24" customFormat="false" ht="15" hidden="false" customHeight="false" outlineLevel="0" collapsed="false">
      <c r="B24" s="4" t="s">
        <v>115</v>
      </c>
      <c r="C24" s="4" t="s">
        <v>116</v>
      </c>
      <c r="D24" s="10" t="n">
        <v>3989.48</v>
      </c>
      <c r="E24" s="10" t="n">
        <v>4069.81</v>
      </c>
      <c r="F24" s="10" t="n">
        <v>4430.68</v>
      </c>
      <c r="G24" s="10" t="n">
        <f aca="false">E24-F24</f>
        <v>-360.87</v>
      </c>
      <c r="H24" s="11" t="n">
        <f aca="false">IF(E24=0,0,F24/E24)</f>
        <v>1.08866998705099</v>
      </c>
    </row>
    <row r="25" customFormat="false" ht="15" hidden="false" customHeight="false" outlineLevel="0" collapsed="false">
      <c r="B25" s="5" t="s">
        <v>38</v>
      </c>
      <c r="C25" s="5" t="s">
        <v>117</v>
      </c>
      <c r="D25" s="12" t="n">
        <v>172516.51</v>
      </c>
      <c r="E25" s="12" t="n">
        <v>180741.52</v>
      </c>
      <c r="F25" s="12" t="n">
        <v>155475.37</v>
      </c>
      <c r="G25" s="12" t="n">
        <f aca="false">E25-F25</f>
        <v>25266.15</v>
      </c>
      <c r="H25" s="13" t="n">
        <f aca="false">IF(E25=0,0,F25/E25)</f>
        <v>0.860208379347479</v>
      </c>
    </row>
    <row r="28" customFormat="false" ht="15" hidden="false" customHeight="false" outlineLevel="0" collapsed="false">
      <c r="B28" s="3" t="s">
        <v>61</v>
      </c>
      <c r="C28" s="3"/>
      <c r="D28" s="3"/>
      <c r="E28" s="3"/>
      <c r="F28" s="3"/>
      <c r="G28" s="3"/>
      <c r="H28" s="3"/>
    </row>
    <row r="29" customFormat="false" ht="15" hidden="false" customHeight="false" outlineLevel="0" collapsed="false">
      <c r="B29" s="2" t="s">
        <v>62</v>
      </c>
      <c r="C29" s="2"/>
      <c r="D29" s="2"/>
      <c r="E29" s="2"/>
      <c r="F29" s="2"/>
      <c r="G29" s="2"/>
      <c r="H29" s="2"/>
    </row>
    <row r="30" customFormat="false" ht="15" hidden="false" customHeight="false" outlineLevel="0" collapsed="false">
      <c r="B30" s="2" t="s">
        <v>63</v>
      </c>
      <c r="C30" s="2"/>
      <c r="D30" s="2"/>
      <c r="E30" s="2"/>
      <c r="F30" s="2"/>
      <c r="G30" s="2"/>
      <c r="H30" s="2"/>
    </row>
    <row r="31" customFormat="false" ht="15" hidden="false" customHeight="false" outlineLevel="0" collapsed="false">
      <c r="B31" s="2" t="s">
        <v>64</v>
      </c>
      <c r="C31" s="2"/>
      <c r="D31" s="2"/>
      <c r="E31" s="2"/>
      <c r="F31" s="2"/>
      <c r="G31" s="2"/>
      <c r="H31" s="2"/>
    </row>
    <row r="32" customFormat="false" ht="15" hidden="false" customHeight="false" outlineLevel="0" collapsed="false">
      <c r="B32" s="2" t="s">
        <v>65</v>
      </c>
      <c r="C32" s="2"/>
      <c r="D32" s="2"/>
      <c r="E32" s="2"/>
      <c r="F32" s="2"/>
      <c r="G32" s="2"/>
      <c r="H32" s="2"/>
    </row>
    <row r="33" customFormat="false" ht="15" hidden="false" customHeight="false" outlineLevel="0" collapsed="false">
      <c r="B33" s="2" t="s">
        <v>66</v>
      </c>
      <c r="C33" s="2"/>
      <c r="D33" s="2"/>
      <c r="E33" s="2"/>
      <c r="F33" s="2"/>
      <c r="G33" s="2"/>
      <c r="H33" s="2"/>
    </row>
    <row r="34" customFormat="false" ht="15" hidden="false" customHeight="false" outlineLevel="0" collapsed="false">
      <c r="B34" s="2" t="s">
        <v>67</v>
      </c>
      <c r="C34" s="2"/>
      <c r="D34" s="2"/>
      <c r="E34" s="2"/>
      <c r="F34" s="2"/>
      <c r="G34" s="2"/>
      <c r="H34" s="2"/>
    </row>
    <row r="35" customFormat="false" ht="15" hidden="false" customHeight="false" outlineLevel="0" collapsed="false">
      <c r="B35" s="2" t="s">
        <v>68</v>
      </c>
      <c r="C35" s="2"/>
      <c r="D35" s="2"/>
      <c r="E35" s="2"/>
      <c r="F35" s="2"/>
      <c r="G35" s="2"/>
      <c r="H35" s="2"/>
    </row>
    <row r="36" customFormat="false" ht="15" hidden="false" customHeight="false" outlineLevel="0" collapsed="false">
      <c r="B36" s="2" t="s">
        <v>69</v>
      </c>
      <c r="C36" s="2"/>
      <c r="D36" s="2"/>
      <c r="E36" s="2"/>
      <c r="F36" s="2"/>
      <c r="G36" s="2"/>
      <c r="H36" s="2"/>
    </row>
    <row r="37" customFormat="false" ht="15" hidden="false" customHeight="false" outlineLevel="0" collapsed="false">
      <c r="B37" s="2" t="s">
        <v>70</v>
      </c>
      <c r="C37" s="2"/>
      <c r="D37" s="2"/>
      <c r="E37" s="2"/>
      <c r="F37" s="2"/>
      <c r="G37" s="2"/>
      <c r="H37" s="2"/>
    </row>
    <row r="38" customFormat="false" ht="15" hidden="false" customHeight="false" outlineLevel="0" collapsed="false">
      <c r="B38" s="2" t="s">
        <v>71</v>
      </c>
      <c r="C38" s="2"/>
      <c r="D38" s="2"/>
      <c r="E38" s="2"/>
      <c r="F38" s="2"/>
      <c r="G38" s="2"/>
      <c r="H38" s="2"/>
    </row>
    <row r="39" customFormat="false" ht="15" hidden="false" customHeight="false" outlineLevel="0" collapsed="false">
      <c r="B39" s="2" t="s">
        <v>72</v>
      </c>
      <c r="C39" s="2"/>
      <c r="D39" s="2"/>
      <c r="E39" s="2"/>
      <c r="F39" s="2"/>
      <c r="G39" s="2"/>
      <c r="H39" s="2"/>
    </row>
    <row r="40" customFormat="false" ht="15" hidden="false" customHeight="false" outlineLevel="0" collapsed="false">
      <c r="B40" s="2" t="s">
        <v>73</v>
      </c>
      <c r="C40" s="2"/>
      <c r="D40" s="2"/>
      <c r="E40" s="2"/>
      <c r="F40" s="2"/>
      <c r="G40" s="2"/>
      <c r="H40" s="2"/>
    </row>
    <row r="41" customFormat="false" ht="15" hidden="false" customHeight="false" outlineLevel="0" collapsed="false">
      <c r="B41" s="2" t="s">
        <v>74</v>
      </c>
      <c r="C41" s="2"/>
      <c r="D41" s="2"/>
      <c r="E41" s="2"/>
      <c r="F41" s="2"/>
      <c r="G41" s="2"/>
      <c r="H41" s="2"/>
    </row>
  </sheetData>
  <mergeCells count="19">
    <mergeCell ref="B2:H2"/>
    <mergeCell ref="B5:H5"/>
    <mergeCell ref="B12:H12"/>
    <mergeCell ref="B18:H18"/>
    <mergeCell ref="B22:H22"/>
    <mergeCell ref="B28:H28"/>
    <mergeCell ref="B29:H29"/>
    <mergeCell ref="B30:H30"/>
    <mergeCell ref="B31:H31"/>
    <mergeCell ref="B32:H32"/>
    <mergeCell ref="B33:H33"/>
    <mergeCell ref="B34:H34"/>
    <mergeCell ref="B35:H35"/>
    <mergeCell ref="B36:H36"/>
    <mergeCell ref="B37:H37"/>
    <mergeCell ref="B38:H38"/>
    <mergeCell ref="B39:H39"/>
    <mergeCell ref="B40:H40"/>
    <mergeCell ref="B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9" min="4" style="0" width="14"/>
  </cols>
  <sheetData>
    <row r="2" customFormat="false" ht="19.7" hidden="false" customHeight="false" outlineLevel="0" collapsed="false">
      <c r="B2" s="1" t="s">
        <v>118</v>
      </c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B4" s="3" t="s">
        <v>119</v>
      </c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B5" s="9" t="s">
        <v>28</v>
      </c>
      <c r="C5" s="9" t="s">
        <v>120</v>
      </c>
      <c r="D5" s="9" t="s">
        <v>29</v>
      </c>
      <c r="E5" s="9" t="s">
        <v>30</v>
      </c>
      <c r="F5" s="9" t="s">
        <v>31</v>
      </c>
      <c r="G5" s="9" t="s">
        <v>32</v>
      </c>
      <c r="H5" s="9" t="s">
        <v>33</v>
      </c>
      <c r="I5" s="9" t="s">
        <v>121</v>
      </c>
    </row>
    <row r="6" customFormat="false" ht="15" hidden="false" customHeight="false" outlineLevel="0" collapsed="false">
      <c r="B6" s="4" t="s">
        <v>34</v>
      </c>
      <c r="C6" s="14" t="n">
        <v>6</v>
      </c>
      <c r="D6" s="10" t="n">
        <v>52240</v>
      </c>
      <c r="E6" s="10" t="n">
        <v>57917.75</v>
      </c>
      <c r="F6" s="10" t="n">
        <f aca="false">D6-E6</f>
        <v>-5677.75</v>
      </c>
      <c r="G6" s="11" t="n">
        <f aca="false">IF(D6=0,0,E6/D6)</f>
        <v>1.10868587289433</v>
      </c>
      <c r="H6" s="11" t="n">
        <f aca="false">IF(155475.37=0,0,E6/155475.37)</f>
        <v>0.372520419150635</v>
      </c>
      <c r="I6" s="10" t="n">
        <f aca="false">IF(20=0,0,E6/20)</f>
        <v>2895.8875</v>
      </c>
    </row>
    <row r="7" customFormat="false" ht="15" hidden="false" customHeight="false" outlineLevel="0" collapsed="false">
      <c r="B7" s="4" t="s">
        <v>35</v>
      </c>
      <c r="C7" s="14" t="n">
        <v>5</v>
      </c>
      <c r="D7" s="10" t="n">
        <v>89109</v>
      </c>
      <c r="E7" s="10" t="n">
        <v>60804.36</v>
      </c>
      <c r="F7" s="10" t="n">
        <f aca="false">D7-E7</f>
        <v>28304.64</v>
      </c>
      <c r="G7" s="11" t="n">
        <f aca="false">IF(D7=0,0,E7/D7)</f>
        <v>0.682359357640642</v>
      </c>
      <c r="H7" s="11" t="n">
        <f aca="false">IF(155475.37=0,0,E7/155475.37)</f>
        <v>0.391086768277188</v>
      </c>
      <c r="I7" s="10" t="n">
        <f aca="false">IF(20=0,0,E7/20)</f>
        <v>3040.218</v>
      </c>
    </row>
    <row r="8" customFormat="false" ht="15" hidden="false" customHeight="false" outlineLevel="0" collapsed="false">
      <c r="B8" s="4" t="s">
        <v>36</v>
      </c>
      <c r="C8" s="14" t="n">
        <v>3</v>
      </c>
      <c r="D8" s="10" t="n">
        <v>12250</v>
      </c>
      <c r="E8" s="10" t="n">
        <v>7289.5</v>
      </c>
      <c r="F8" s="10" t="n">
        <f aca="false">D8-E8</f>
        <v>4960.5</v>
      </c>
      <c r="G8" s="11" t="n">
        <f aca="false">IF(D8=0,0,E8/D8)</f>
        <v>0.595061224489796</v>
      </c>
      <c r="H8" s="11" t="n">
        <f aca="false">IF(155475.37=0,0,E8/155475.37)</f>
        <v>0.0468852397649866</v>
      </c>
      <c r="I8" s="10" t="n">
        <f aca="false">IF(20=0,0,E8/20)</f>
        <v>364.475</v>
      </c>
    </row>
    <row r="9" customFormat="false" ht="15" hidden="false" customHeight="false" outlineLevel="0" collapsed="false">
      <c r="B9" s="4" t="s">
        <v>37</v>
      </c>
      <c r="C9" s="14" t="n">
        <v>2</v>
      </c>
      <c r="D9" s="10" t="n">
        <v>27142.52</v>
      </c>
      <c r="E9" s="10" t="n">
        <v>29463.76</v>
      </c>
      <c r="F9" s="10" t="n">
        <f aca="false">D9-E9</f>
        <v>-2321.24</v>
      </c>
      <c r="G9" s="11" t="n">
        <f aca="false">IF(D9=0,0,E9/D9)</f>
        <v>1.08552043067482</v>
      </c>
      <c r="H9" s="11" t="n">
        <f aca="false">IF(155475.37=0,0,E9/155475.37)</f>
        <v>0.189507572807191</v>
      </c>
      <c r="I9" s="10" t="n">
        <f aca="false">IF(20=0,0,E9/20)</f>
        <v>1473.188</v>
      </c>
    </row>
    <row r="12" customFormat="false" ht="15" hidden="false" customHeight="false" outlineLevel="0" collapsed="false">
      <c r="B12" s="3" t="s">
        <v>122</v>
      </c>
      <c r="C12" s="3"/>
      <c r="D12" s="3"/>
      <c r="E12" s="3"/>
      <c r="F12" s="3"/>
      <c r="G12" s="3"/>
      <c r="H12" s="3"/>
      <c r="I12" s="3"/>
    </row>
    <row r="13" customFormat="false" ht="15" hidden="false" customHeight="false" outlineLevel="0" collapsed="false">
      <c r="B13" s="9" t="s">
        <v>76</v>
      </c>
      <c r="C13" s="9" t="s">
        <v>77</v>
      </c>
      <c r="D13" s="9" t="s">
        <v>79</v>
      </c>
      <c r="E13" s="9" t="s">
        <v>30</v>
      </c>
      <c r="F13" s="9" t="s">
        <v>123</v>
      </c>
      <c r="G13" s="9" t="s">
        <v>124</v>
      </c>
    </row>
    <row r="14" customFormat="false" ht="15" hidden="false" customHeight="false" outlineLevel="0" collapsed="false">
      <c r="B14" s="4" t="s">
        <v>88</v>
      </c>
      <c r="C14" s="4" t="s">
        <v>89</v>
      </c>
      <c r="D14" s="10" t="n">
        <v>32400</v>
      </c>
      <c r="E14" s="10" t="n">
        <v>39476.75</v>
      </c>
      <c r="F14" s="10" t="n">
        <f aca="false">E14-D14</f>
        <v>7076.75</v>
      </c>
      <c r="G14" s="11" t="n">
        <f aca="false">IF(D14=0,0,F14/D14)</f>
        <v>0.218418209876543</v>
      </c>
    </row>
    <row r="15" customFormat="false" ht="15" hidden="false" customHeight="false" outlineLevel="0" collapsed="false">
      <c r="B15" s="4" t="s">
        <v>103</v>
      </c>
      <c r="C15" s="4" t="s">
        <v>104</v>
      </c>
      <c r="D15" s="10" t="n">
        <v>0</v>
      </c>
      <c r="E15" s="10" t="n">
        <v>2510.08</v>
      </c>
      <c r="F15" s="10" t="n">
        <f aca="false">E15-D15</f>
        <v>2510.08</v>
      </c>
      <c r="G15" s="11" t="n">
        <f aca="false">IF(D15=0,0,F15/D15)</f>
        <v>0</v>
      </c>
    </row>
    <row r="16" customFormat="false" ht="15" hidden="false" customHeight="false" outlineLevel="0" collapsed="false">
      <c r="B16" s="4" t="s">
        <v>113</v>
      </c>
      <c r="C16" s="4" t="s">
        <v>114</v>
      </c>
      <c r="D16" s="10" t="n">
        <v>23072.71</v>
      </c>
      <c r="E16" s="10" t="n">
        <v>25033.08</v>
      </c>
      <c r="F16" s="10" t="n">
        <f aca="false">E16-D16</f>
        <v>1960.37</v>
      </c>
      <c r="G16" s="11" t="n">
        <f aca="false">IF(D16=0,0,F16/D16)</f>
        <v>0.0849648784213039</v>
      </c>
    </row>
    <row r="17" customFormat="false" ht="15" hidden="false" customHeight="false" outlineLevel="0" collapsed="false">
      <c r="B17" s="4" t="s">
        <v>86</v>
      </c>
      <c r="C17" s="4" t="s">
        <v>87</v>
      </c>
      <c r="D17" s="10" t="n">
        <v>6910</v>
      </c>
      <c r="E17" s="10" t="n">
        <v>8667</v>
      </c>
      <c r="F17" s="10" t="n">
        <f aca="false">E17-D17</f>
        <v>1757</v>
      </c>
      <c r="G17" s="11" t="n">
        <f aca="false">IF(D17=0,0,F17/D17)</f>
        <v>0.254269175108538</v>
      </c>
    </row>
    <row r="18" customFormat="false" ht="15" hidden="false" customHeight="false" outlineLevel="0" collapsed="false">
      <c r="B18" s="4" t="s">
        <v>97</v>
      </c>
      <c r="C18" s="4" t="s">
        <v>98</v>
      </c>
      <c r="D18" s="10" t="n">
        <v>0</v>
      </c>
      <c r="E18" s="10" t="n">
        <v>829</v>
      </c>
      <c r="F18" s="10" t="n">
        <f aca="false">E18-D18</f>
        <v>829</v>
      </c>
      <c r="G18" s="11" t="n">
        <f aca="false">IF(D18=0,0,F18/D18)</f>
        <v>0</v>
      </c>
    </row>
    <row r="19" customFormat="false" ht="15" hidden="false" customHeight="false" outlineLevel="0" collapsed="false">
      <c r="B19" s="4" t="s">
        <v>90</v>
      </c>
      <c r="C19" s="4" t="s">
        <v>91</v>
      </c>
      <c r="D19" s="10" t="n">
        <v>4480</v>
      </c>
      <c r="E19" s="10" t="n">
        <v>5302</v>
      </c>
      <c r="F19" s="10" t="n">
        <f aca="false">E19-D19</f>
        <v>822</v>
      </c>
      <c r="G19" s="11" t="n">
        <f aca="false">IF(D19=0,0,F19/D19)</f>
        <v>0.183482142857143</v>
      </c>
    </row>
    <row r="20" customFormat="false" ht="15" hidden="false" customHeight="false" outlineLevel="0" collapsed="false">
      <c r="B20" s="4" t="s">
        <v>92</v>
      </c>
      <c r="C20" s="4" t="s">
        <v>93</v>
      </c>
      <c r="D20" s="10" t="n">
        <v>0</v>
      </c>
      <c r="E20" s="10" t="n">
        <v>472.5</v>
      </c>
      <c r="F20" s="10" t="n">
        <f aca="false">E20-D20</f>
        <v>472.5</v>
      </c>
      <c r="G20" s="11" t="n">
        <f aca="false">IF(D20=0,0,F20/D20)</f>
        <v>0</v>
      </c>
    </row>
    <row r="21" customFormat="false" ht="15" hidden="false" customHeight="false" outlineLevel="0" collapsed="false">
      <c r="B21" s="4" t="s">
        <v>115</v>
      </c>
      <c r="C21" s="4" t="s">
        <v>116</v>
      </c>
      <c r="D21" s="10" t="n">
        <v>4069.81</v>
      </c>
      <c r="E21" s="10" t="n">
        <v>4430.68</v>
      </c>
      <c r="F21" s="10" t="n">
        <f aca="false">E21-D21</f>
        <v>360.87</v>
      </c>
      <c r="G21" s="11" t="n">
        <f aca="false">IF(D21=0,0,F21/D21)</f>
        <v>0.0886699870509926</v>
      </c>
    </row>
    <row r="24" customFormat="false" ht="15" hidden="false" customHeight="false" outlineLevel="0" collapsed="false">
      <c r="B24" s="3" t="s">
        <v>125</v>
      </c>
      <c r="C24" s="3"/>
      <c r="D24" s="3"/>
      <c r="E24" s="3"/>
      <c r="F24" s="3"/>
      <c r="G24" s="3"/>
      <c r="H24" s="3"/>
      <c r="I24" s="3"/>
    </row>
    <row r="25" customFormat="false" ht="15" hidden="false" customHeight="false" outlineLevel="0" collapsed="false">
      <c r="B25" s="9" t="s">
        <v>76</v>
      </c>
      <c r="C25" s="9" t="s">
        <v>77</v>
      </c>
      <c r="D25" s="9" t="s">
        <v>79</v>
      </c>
      <c r="E25" s="9" t="s">
        <v>30</v>
      </c>
      <c r="F25" s="9" t="s">
        <v>126</v>
      </c>
      <c r="G25" s="9" t="s">
        <v>127</v>
      </c>
    </row>
    <row r="26" customFormat="false" ht="15" hidden="false" customHeight="false" outlineLevel="0" collapsed="false">
      <c r="B26" s="4" t="s">
        <v>101</v>
      </c>
      <c r="C26" s="4" t="s">
        <v>102</v>
      </c>
      <c r="D26" s="10" t="n">
        <v>59219</v>
      </c>
      <c r="E26" s="10" t="n">
        <v>32656.07</v>
      </c>
      <c r="F26" s="10" t="n">
        <f aca="false">D26-E26</f>
        <v>26562.93</v>
      </c>
      <c r="G26" s="11" t="n">
        <f aca="false">IF(D26=0,0,F26/D26)</f>
        <v>0.448554180246205</v>
      </c>
    </row>
    <row r="27" customFormat="false" ht="15" hidden="false" customHeight="false" outlineLevel="0" collapsed="false">
      <c r="B27" s="4" t="s">
        <v>99</v>
      </c>
      <c r="C27" s="4" t="s">
        <v>100</v>
      </c>
      <c r="D27" s="10" t="n">
        <v>24340</v>
      </c>
      <c r="E27" s="10" t="n">
        <v>20929.54</v>
      </c>
      <c r="F27" s="10" t="n">
        <f aca="false">D27-E27</f>
        <v>3410.46</v>
      </c>
      <c r="G27" s="11" t="n">
        <f aca="false">IF(D27=0,0,F27/D27)</f>
        <v>0.140117502054232</v>
      </c>
    </row>
    <row r="28" customFormat="false" ht="15" hidden="false" customHeight="false" outlineLevel="0" collapsed="false">
      <c r="B28" s="4" t="s">
        <v>84</v>
      </c>
      <c r="C28" s="4" t="s">
        <v>85</v>
      </c>
      <c r="D28" s="10" t="n">
        <v>5450</v>
      </c>
      <c r="E28" s="10" t="n">
        <v>2957.5</v>
      </c>
      <c r="F28" s="10" t="n">
        <f aca="false">D28-E28</f>
        <v>2492.5</v>
      </c>
      <c r="G28" s="11" t="n">
        <f aca="false">IF(D28=0,0,F28/D28)</f>
        <v>0.457339449541284</v>
      </c>
    </row>
    <row r="29" customFormat="false" ht="15" hidden="false" customHeight="false" outlineLevel="0" collapsed="false">
      <c r="B29" s="4" t="s">
        <v>106</v>
      </c>
      <c r="C29" s="4" t="s">
        <v>107</v>
      </c>
      <c r="D29" s="10" t="n">
        <v>3400</v>
      </c>
      <c r="E29" s="10" t="n">
        <v>950</v>
      </c>
      <c r="F29" s="10" t="n">
        <f aca="false">D29-E29</f>
        <v>2450</v>
      </c>
      <c r="G29" s="11" t="n">
        <f aca="false">IF(D29=0,0,F29/D29)</f>
        <v>0.720588235294118</v>
      </c>
    </row>
    <row r="30" customFormat="false" ht="15" hidden="false" customHeight="false" outlineLevel="0" collapsed="false">
      <c r="B30" s="4" t="s">
        <v>108</v>
      </c>
      <c r="C30" s="4" t="s">
        <v>109</v>
      </c>
      <c r="D30" s="10" t="n">
        <v>7000</v>
      </c>
      <c r="E30" s="10" t="n">
        <v>4756.5</v>
      </c>
      <c r="F30" s="10" t="n">
        <f aca="false">D30-E30</f>
        <v>2243.5</v>
      </c>
      <c r="G30" s="11" t="n">
        <f aca="false">IF(D30=0,0,F30/D30)</f>
        <v>0.3205</v>
      </c>
    </row>
    <row r="31" customFormat="false" ht="15" hidden="false" customHeight="false" outlineLevel="0" collapsed="false">
      <c r="B31" s="4" t="s">
        <v>82</v>
      </c>
      <c r="C31" s="4" t="s">
        <v>83</v>
      </c>
      <c r="D31" s="10" t="n">
        <v>3000</v>
      </c>
      <c r="E31" s="10" t="n">
        <v>1042</v>
      </c>
      <c r="F31" s="10" t="n">
        <f aca="false">D31-E31</f>
        <v>1958</v>
      </c>
      <c r="G31" s="11" t="n">
        <f aca="false">IF(D31=0,0,F31/D31)</f>
        <v>0.652666666666667</v>
      </c>
    </row>
    <row r="32" customFormat="false" ht="15" hidden="false" customHeight="false" outlineLevel="0" collapsed="false">
      <c r="B32" s="4" t="s">
        <v>95</v>
      </c>
      <c r="C32" s="4" t="s">
        <v>96</v>
      </c>
      <c r="D32" s="10" t="n">
        <v>5550</v>
      </c>
      <c r="E32" s="10" t="n">
        <v>3879.67</v>
      </c>
      <c r="F32" s="10" t="n">
        <f aca="false">D32-E32</f>
        <v>1670.33</v>
      </c>
      <c r="G32" s="11" t="n">
        <f aca="false">IF(D32=0,0,F32/D32)</f>
        <v>0.30096036036036</v>
      </c>
    </row>
    <row r="33" customFormat="false" ht="15" hidden="false" customHeight="false" outlineLevel="0" collapsed="false">
      <c r="B33" s="4" t="s">
        <v>110</v>
      </c>
      <c r="C33" s="4" t="s">
        <v>111</v>
      </c>
      <c r="D33" s="10" t="n">
        <v>1850</v>
      </c>
      <c r="E33" s="10" t="n">
        <v>1583</v>
      </c>
      <c r="F33" s="10" t="n">
        <f aca="false">D33-E33</f>
        <v>267</v>
      </c>
      <c r="G33" s="11" t="n">
        <f aca="false">IF(D33=0,0,F33/D33)</f>
        <v>0.144324324324324</v>
      </c>
    </row>
    <row r="36" customFormat="false" ht="15" hidden="false" customHeight="false" outlineLevel="0" collapsed="false">
      <c r="B36" s="3" t="s">
        <v>61</v>
      </c>
      <c r="C36" s="3"/>
      <c r="D36" s="3"/>
      <c r="E36" s="3"/>
      <c r="F36" s="3"/>
      <c r="G36" s="3"/>
      <c r="H36" s="3"/>
      <c r="I36" s="3"/>
    </row>
    <row r="37" customFormat="false" ht="15" hidden="false" customHeight="false" outlineLevel="0" collapsed="false">
      <c r="B37" s="2" t="s">
        <v>62</v>
      </c>
      <c r="C37" s="2"/>
      <c r="D37" s="2"/>
      <c r="E37" s="2"/>
      <c r="F37" s="2"/>
      <c r="G37" s="2"/>
      <c r="H37" s="2"/>
      <c r="I37" s="2"/>
    </row>
    <row r="38" customFormat="false" ht="15" hidden="false" customHeight="false" outlineLevel="0" collapsed="false">
      <c r="B38" s="2" t="s">
        <v>63</v>
      </c>
      <c r="C38" s="2"/>
      <c r="D38" s="2"/>
      <c r="E38" s="2"/>
      <c r="F38" s="2"/>
      <c r="G38" s="2"/>
      <c r="H38" s="2"/>
      <c r="I38" s="2"/>
    </row>
    <row r="39" customFormat="false" ht="15" hidden="false" customHeight="false" outlineLevel="0" collapsed="false">
      <c r="B39" s="2" t="s">
        <v>64</v>
      </c>
      <c r="C39" s="2"/>
      <c r="D39" s="2"/>
      <c r="E39" s="2"/>
      <c r="F39" s="2"/>
      <c r="G39" s="2"/>
      <c r="H39" s="2"/>
      <c r="I39" s="2"/>
    </row>
    <row r="40" customFormat="false" ht="15" hidden="false" customHeight="false" outlineLevel="0" collapsed="false">
      <c r="B40" s="2" t="s">
        <v>65</v>
      </c>
      <c r="C40" s="2"/>
      <c r="D40" s="2"/>
      <c r="E40" s="2"/>
      <c r="F40" s="2"/>
      <c r="G40" s="2"/>
      <c r="H40" s="2"/>
      <c r="I40" s="2"/>
    </row>
    <row r="41" customFormat="false" ht="15" hidden="false" customHeight="false" outlineLevel="0" collapsed="false">
      <c r="B41" s="2" t="s">
        <v>66</v>
      </c>
      <c r="C41" s="2"/>
      <c r="D41" s="2"/>
      <c r="E41" s="2"/>
      <c r="F41" s="2"/>
      <c r="G41" s="2"/>
      <c r="H41" s="2"/>
      <c r="I41" s="2"/>
    </row>
    <row r="42" customFormat="false" ht="15" hidden="false" customHeight="false" outlineLevel="0" collapsed="false">
      <c r="B42" s="2" t="s">
        <v>67</v>
      </c>
      <c r="C42" s="2"/>
      <c r="D42" s="2"/>
      <c r="E42" s="2"/>
      <c r="F42" s="2"/>
      <c r="G42" s="2"/>
      <c r="H42" s="2"/>
      <c r="I42" s="2"/>
    </row>
    <row r="43" customFormat="false" ht="15" hidden="false" customHeight="false" outlineLevel="0" collapsed="false">
      <c r="B43" s="2" t="s">
        <v>68</v>
      </c>
      <c r="C43" s="2"/>
      <c r="D43" s="2"/>
      <c r="E43" s="2"/>
      <c r="F43" s="2"/>
      <c r="G43" s="2"/>
      <c r="H43" s="2"/>
      <c r="I43" s="2"/>
    </row>
    <row r="44" customFormat="false" ht="15" hidden="false" customHeight="false" outlineLevel="0" collapsed="false">
      <c r="B44" s="2" t="s">
        <v>69</v>
      </c>
      <c r="C44" s="2"/>
      <c r="D44" s="2"/>
      <c r="E44" s="2"/>
      <c r="F44" s="2"/>
      <c r="G44" s="2"/>
      <c r="H44" s="2"/>
      <c r="I44" s="2"/>
    </row>
    <row r="45" customFormat="false" ht="15" hidden="false" customHeight="false" outlineLevel="0" collapsed="false">
      <c r="B45" s="2" t="s">
        <v>70</v>
      </c>
      <c r="C45" s="2"/>
      <c r="D45" s="2"/>
      <c r="E45" s="2"/>
      <c r="F45" s="2"/>
      <c r="G45" s="2"/>
      <c r="H45" s="2"/>
      <c r="I45" s="2"/>
    </row>
    <row r="46" customFormat="false" ht="15" hidden="false" customHeight="false" outlineLevel="0" collapsed="false">
      <c r="B46" s="2" t="s">
        <v>71</v>
      </c>
      <c r="C46" s="2"/>
      <c r="D46" s="2"/>
      <c r="E46" s="2"/>
      <c r="F46" s="2"/>
      <c r="G46" s="2"/>
      <c r="H46" s="2"/>
      <c r="I46" s="2"/>
    </row>
    <row r="47" customFormat="false" ht="15" hidden="false" customHeight="false" outlineLevel="0" collapsed="false">
      <c r="B47" s="2" t="s">
        <v>72</v>
      </c>
      <c r="C47" s="2"/>
      <c r="D47" s="2"/>
      <c r="E47" s="2"/>
      <c r="F47" s="2"/>
      <c r="G47" s="2"/>
      <c r="H47" s="2"/>
      <c r="I47" s="2"/>
    </row>
    <row r="48" customFormat="false" ht="15" hidden="false" customHeight="false" outlineLevel="0" collapsed="false">
      <c r="B48" s="2" t="s">
        <v>73</v>
      </c>
      <c r="C48" s="2"/>
      <c r="D48" s="2"/>
      <c r="E48" s="2"/>
      <c r="F48" s="2"/>
      <c r="G48" s="2"/>
      <c r="H48" s="2"/>
      <c r="I48" s="2"/>
    </row>
    <row r="49" customFormat="false" ht="15" hidden="false" customHeight="false" outlineLevel="0" collapsed="false">
      <c r="B49" s="2" t="s">
        <v>74</v>
      </c>
      <c r="C49" s="2"/>
      <c r="D49" s="2"/>
      <c r="E49" s="2"/>
      <c r="F49" s="2"/>
      <c r="G49" s="2"/>
      <c r="H49" s="2"/>
      <c r="I49" s="2"/>
    </row>
  </sheetData>
  <mergeCells count="18">
    <mergeCell ref="B2:I2"/>
    <mergeCell ref="B4:I4"/>
    <mergeCell ref="B12:I12"/>
    <mergeCell ref="B24:I24"/>
    <mergeCell ref="B36:I36"/>
    <mergeCell ref="B37:I37"/>
    <mergeCell ref="B38:I38"/>
    <mergeCell ref="B39:I39"/>
    <mergeCell ref="B40:I40"/>
    <mergeCell ref="B41:I41"/>
    <mergeCell ref="B42:I42"/>
    <mergeCell ref="B43:I43"/>
    <mergeCell ref="B44:I44"/>
    <mergeCell ref="B45:I45"/>
    <mergeCell ref="B46:I46"/>
    <mergeCell ref="B47:I47"/>
    <mergeCell ref="B48:I48"/>
    <mergeCell ref="B49:I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9" min="4" style="0" width="14"/>
  </cols>
  <sheetData>
    <row r="2" customFormat="false" ht="19.7" hidden="false" customHeight="false" outlineLevel="0" collapsed="false">
      <c r="B2" s="1" t="s">
        <v>128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129</v>
      </c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3" t="s">
        <v>130</v>
      </c>
      <c r="C5" s="3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B6" s="9" t="s">
        <v>76</v>
      </c>
      <c r="C6" s="9" t="s">
        <v>77</v>
      </c>
      <c r="D6" s="9" t="s">
        <v>79</v>
      </c>
      <c r="E6" s="9" t="s">
        <v>30</v>
      </c>
      <c r="F6" s="9" t="s">
        <v>31</v>
      </c>
      <c r="G6" s="9" t="s">
        <v>80</v>
      </c>
      <c r="H6" s="9" t="s">
        <v>131</v>
      </c>
      <c r="I6" s="9" t="s">
        <v>121</v>
      </c>
    </row>
    <row r="7" customFormat="false" ht="15" hidden="false" customHeight="false" outlineLevel="0" collapsed="false">
      <c r="B7" s="4" t="s">
        <v>95</v>
      </c>
      <c r="C7" s="4" t="s">
        <v>96</v>
      </c>
      <c r="D7" s="10" t="n">
        <v>5550</v>
      </c>
      <c r="E7" s="10" t="n">
        <v>3879.67</v>
      </c>
      <c r="F7" s="10" t="n">
        <f aca="false">D7-E7</f>
        <v>1670.33</v>
      </c>
      <c r="G7" s="11" t="n">
        <f aca="false">IF(D7=0,0,E7/D7)</f>
        <v>0.69903963963964</v>
      </c>
      <c r="H7" s="11" t="n">
        <f aca="false">IF(60804.36=0,0,E7/60804.36)</f>
        <v>0.063805786295588</v>
      </c>
      <c r="I7" s="10" t="n">
        <f aca="false">IF(20=0,0,E7/20)</f>
        <v>193.9835</v>
      </c>
    </row>
    <row r="8" customFormat="false" ht="15" hidden="false" customHeight="false" outlineLevel="0" collapsed="false">
      <c r="B8" s="4" t="s">
        <v>97</v>
      </c>
      <c r="C8" s="4" t="s">
        <v>98</v>
      </c>
      <c r="D8" s="10" t="n">
        <v>0</v>
      </c>
      <c r="E8" s="10" t="n">
        <v>829</v>
      </c>
      <c r="F8" s="10" t="n">
        <f aca="false">D8-E8</f>
        <v>-829</v>
      </c>
      <c r="G8" s="11" t="n">
        <f aca="false">IF(D8=0,0,E8/D8)</f>
        <v>0</v>
      </c>
      <c r="H8" s="11" t="n">
        <f aca="false">IF(60804.36=0,0,E8/60804.36)</f>
        <v>0.0136338907275728</v>
      </c>
      <c r="I8" s="10" t="n">
        <f aca="false">IF(20=0,0,E8/20)</f>
        <v>41.45</v>
      </c>
    </row>
    <row r="9" customFormat="false" ht="15" hidden="false" customHeight="false" outlineLevel="0" collapsed="false">
      <c r="B9" s="4" t="s">
        <v>99</v>
      </c>
      <c r="C9" s="4" t="s">
        <v>100</v>
      </c>
      <c r="D9" s="10" t="n">
        <v>24340</v>
      </c>
      <c r="E9" s="10" t="n">
        <v>20929.54</v>
      </c>
      <c r="F9" s="10" t="n">
        <f aca="false">D9-E9</f>
        <v>3410.46</v>
      </c>
      <c r="G9" s="11" t="n">
        <f aca="false">IF(D9=0,0,E9/D9)</f>
        <v>0.859882497945768</v>
      </c>
      <c r="H9" s="11" t="n">
        <f aca="false">IF(60804.36=0,0,E9/60804.36)</f>
        <v>0.344211171698872</v>
      </c>
      <c r="I9" s="10" t="n">
        <f aca="false">IF(20=0,0,E9/20)</f>
        <v>1046.477</v>
      </c>
    </row>
    <row r="10" customFormat="false" ht="15" hidden="false" customHeight="false" outlineLevel="0" collapsed="false">
      <c r="B10" s="4" t="s">
        <v>101</v>
      </c>
      <c r="C10" s="4" t="s">
        <v>102</v>
      </c>
      <c r="D10" s="10" t="n">
        <v>59219</v>
      </c>
      <c r="E10" s="10" t="n">
        <v>32656.07</v>
      </c>
      <c r="F10" s="10" t="n">
        <f aca="false">D10-E10</f>
        <v>26562.93</v>
      </c>
      <c r="G10" s="11" t="n">
        <f aca="false">IF(D10=0,0,E10/D10)</f>
        <v>0.551445819753795</v>
      </c>
      <c r="H10" s="11" t="n">
        <f aca="false">IF(60804.36=0,0,E10/60804.36)</f>
        <v>0.537067901051832</v>
      </c>
      <c r="I10" s="10" t="n">
        <f aca="false">IF(20=0,0,E10/20)</f>
        <v>1632.8035</v>
      </c>
    </row>
    <row r="11" customFormat="false" ht="15" hidden="false" customHeight="false" outlineLevel="0" collapsed="false">
      <c r="B11" s="4" t="s">
        <v>103</v>
      </c>
      <c r="C11" s="4" t="s">
        <v>104</v>
      </c>
      <c r="D11" s="10" t="n">
        <v>0</v>
      </c>
      <c r="E11" s="10" t="n">
        <v>2510.08</v>
      </c>
      <c r="F11" s="10" t="n">
        <f aca="false">D11-E11</f>
        <v>-2510.08</v>
      </c>
      <c r="G11" s="11" t="n">
        <f aca="false">IF(D11=0,0,E11/D11)</f>
        <v>0</v>
      </c>
      <c r="H11" s="11" t="n">
        <f aca="false">IF(60804.36=0,0,E11/60804.36)</f>
        <v>0.0412812502261351</v>
      </c>
      <c r="I11" s="10" t="n">
        <f aca="false">IF(20=0,0,E11/20)</f>
        <v>125.504</v>
      </c>
    </row>
    <row r="12" customFormat="false" ht="15" hidden="false" customHeight="false" outlineLevel="0" collapsed="false">
      <c r="B12" s="5" t="s">
        <v>38</v>
      </c>
      <c r="C12" s="5" t="s">
        <v>132</v>
      </c>
      <c r="D12" s="12" t="n">
        <f aca="false">SUM(D7:D11)</f>
        <v>89109</v>
      </c>
      <c r="E12" s="12" t="n">
        <f aca="false">SUM(E7:E11)</f>
        <v>60804.36</v>
      </c>
      <c r="F12" s="12" t="n">
        <f aca="false">D12-E12</f>
        <v>28304.64</v>
      </c>
      <c r="G12" s="13" t="n">
        <f aca="false">IF(D12=0,0,E12/D12)</f>
        <v>0.682359357640642</v>
      </c>
      <c r="H12" s="13" t="n">
        <v>1</v>
      </c>
      <c r="I12" s="12" t="n">
        <f aca="false">IF(20=0,0,E12/20)</f>
        <v>3040.218</v>
      </c>
    </row>
    <row r="15" customFormat="false" ht="15" hidden="false" customHeight="false" outlineLevel="0" collapsed="false">
      <c r="B15" s="3" t="s">
        <v>133</v>
      </c>
      <c r="C15" s="3"/>
      <c r="D15" s="3"/>
      <c r="E15" s="3"/>
      <c r="F15" s="3"/>
      <c r="G15" s="3"/>
      <c r="H15" s="3"/>
      <c r="I15" s="3"/>
    </row>
    <row r="16" customFormat="false" ht="15" hidden="false" customHeight="false" outlineLevel="0" collapsed="false">
      <c r="B16" s="9" t="s">
        <v>134</v>
      </c>
      <c r="C16" s="9" t="s">
        <v>135</v>
      </c>
      <c r="D16" s="9" t="s">
        <v>136</v>
      </c>
      <c r="E16" s="9" t="s">
        <v>137</v>
      </c>
      <c r="F16" s="9"/>
      <c r="G16" s="9"/>
      <c r="H16" s="9"/>
      <c r="I16" s="9" t="s">
        <v>138</v>
      </c>
    </row>
    <row r="17" customFormat="false" ht="15" hidden="false" customHeight="false" outlineLevel="0" collapsed="false">
      <c r="B17" s="4" t="s">
        <v>139</v>
      </c>
      <c r="C17" s="14" t="n">
        <v>22</v>
      </c>
      <c r="D17" s="10" t="n">
        <v>23840.61</v>
      </c>
      <c r="E17" s="11" t="n">
        <f aca="false">IF(61647.65=0,0,D17/61647.65)</f>
        <v>0.386723743727458</v>
      </c>
      <c r="I17" s="10" t="n">
        <f aca="false">IF(C17=0,0,D17/C17)</f>
        <v>1083.66409090909</v>
      </c>
    </row>
    <row r="18" customFormat="false" ht="15" hidden="false" customHeight="false" outlineLevel="0" collapsed="false">
      <c r="B18" s="4" t="s">
        <v>140</v>
      </c>
      <c r="C18" s="14" t="n">
        <v>13</v>
      </c>
      <c r="D18" s="10" t="n">
        <v>17213.91</v>
      </c>
      <c r="E18" s="11" t="n">
        <f aca="false">IF(61647.65=0,0,D18/61647.65)</f>
        <v>0.279230595164617</v>
      </c>
      <c r="I18" s="10" t="n">
        <f aca="false">IF(C18=0,0,D18/C18)</f>
        <v>1324.14692307692</v>
      </c>
    </row>
    <row r="19" customFormat="false" ht="15" hidden="false" customHeight="false" outlineLevel="0" collapsed="false">
      <c r="B19" s="4" t="s">
        <v>141</v>
      </c>
      <c r="C19" s="14" t="n">
        <v>14</v>
      </c>
      <c r="D19" s="10" t="n">
        <v>10598.72</v>
      </c>
      <c r="E19" s="11" t="n">
        <f aca="false">IF(61647.65=0,0,D19/61647.65)</f>
        <v>0.171924152826588</v>
      </c>
      <c r="I19" s="10" t="n">
        <f aca="false">IF(C19=0,0,D19/C19)</f>
        <v>757.051428571429</v>
      </c>
    </row>
    <row r="20" customFormat="false" ht="15" hidden="false" customHeight="false" outlineLevel="0" collapsed="false">
      <c r="B20" s="4" t="s">
        <v>142</v>
      </c>
      <c r="C20" s="14" t="n">
        <v>2</v>
      </c>
      <c r="D20" s="10" t="n">
        <v>4756.5</v>
      </c>
      <c r="E20" s="11" t="n">
        <f aca="false">IF(61647.65=0,0,D20/61647.65)</f>
        <v>0.0771562257442092</v>
      </c>
      <c r="I20" s="10" t="n">
        <f aca="false">IF(C20=0,0,D20/C20)</f>
        <v>2378.25</v>
      </c>
    </row>
    <row r="21" customFormat="false" ht="15" hidden="false" customHeight="false" outlineLevel="0" collapsed="false">
      <c r="B21" s="4" t="s">
        <v>143</v>
      </c>
      <c r="C21" s="14" t="n">
        <v>2</v>
      </c>
      <c r="D21" s="10" t="n">
        <v>1583</v>
      </c>
      <c r="E21" s="11" t="n">
        <f aca="false">IF(61647.65=0,0,D21/61647.65)</f>
        <v>0.0256781888685132</v>
      </c>
      <c r="I21" s="10" t="n">
        <f aca="false">IF(C21=0,0,D21/C21)</f>
        <v>791.5</v>
      </c>
    </row>
    <row r="22" customFormat="false" ht="15" hidden="false" customHeight="false" outlineLevel="0" collapsed="false">
      <c r="B22" s="4" t="s">
        <v>144</v>
      </c>
      <c r="C22" s="14" t="n">
        <v>1</v>
      </c>
      <c r="D22" s="10" t="n">
        <v>829</v>
      </c>
      <c r="E22" s="11" t="n">
        <f aca="false">IF(61647.65=0,0,D22/61647.65)</f>
        <v>0.0134473901276042</v>
      </c>
      <c r="I22" s="10" t="n">
        <f aca="false">IF(C22=0,0,D22/C22)</f>
        <v>829</v>
      </c>
    </row>
    <row r="23" customFormat="false" ht="15" hidden="false" customHeight="false" outlineLevel="0" collapsed="false">
      <c r="B23" s="4" t="s">
        <v>145</v>
      </c>
      <c r="C23" s="14" t="n">
        <v>1</v>
      </c>
      <c r="D23" s="10" t="n">
        <v>665.76</v>
      </c>
      <c r="E23" s="11" t="n">
        <f aca="false">IF(61647.65=0,0,D23/61647.65)</f>
        <v>0.0107994384214159</v>
      </c>
      <c r="I23" s="10" t="n">
        <f aca="false">IF(C23=0,0,D23/C23)</f>
        <v>665.76</v>
      </c>
    </row>
    <row r="24" customFormat="false" ht="15" hidden="false" customHeight="false" outlineLevel="0" collapsed="false">
      <c r="B24" s="4" t="s">
        <v>146</v>
      </c>
      <c r="C24" s="14" t="n">
        <v>1</v>
      </c>
      <c r="D24" s="10" t="n">
        <v>545</v>
      </c>
      <c r="E24" s="11" t="n">
        <f aca="false">IF(61647.65=0,0,D24/61647.65)</f>
        <v>0.00884056407665174</v>
      </c>
      <c r="I24" s="10" t="n">
        <f aca="false">IF(C24=0,0,D24/C24)</f>
        <v>545</v>
      </c>
    </row>
    <row r="25" customFormat="false" ht="15" hidden="false" customHeight="false" outlineLevel="0" collapsed="false">
      <c r="B25" s="4" t="s">
        <v>147</v>
      </c>
      <c r="C25" s="14" t="n">
        <v>1</v>
      </c>
      <c r="D25" s="10" t="n">
        <v>531.44</v>
      </c>
      <c r="E25" s="11" t="n">
        <f aca="false">IF(61647.65=0,0,D25/61647.65)</f>
        <v>0.00862060435393725</v>
      </c>
      <c r="I25" s="10" t="n">
        <f aca="false">IF(C25=0,0,D25/C25)</f>
        <v>531.44</v>
      </c>
    </row>
    <row r="26" customFormat="false" ht="15" hidden="false" customHeight="false" outlineLevel="0" collapsed="false">
      <c r="B26" s="4" t="s">
        <v>148</v>
      </c>
      <c r="C26" s="14" t="n">
        <v>3</v>
      </c>
      <c r="D26" s="10" t="n">
        <v>435.54</v>
      </c>
      <c r="E26" s="11" t="n">
        <f aca="false">IF(61647.65=0,0,D26/61647.65)</f>
        <v>0.00706498950081633</v>
      </c>
      <c r="I26" s="10" t="n">
        <f aca="false">IF(C26=0,0,D26/C26)</f>
        <v>145.18</v>
      </c>
    </row>
    <row r="27" customFormat="false" ht="15" hidden="false" customHeight="false" outlineLevel="0" collapsed="false">
      <c r="B27" s="4" t="s">
        <v>149</v>
      </c>
      <c r="C27" s="14" t="n">
        <v>1</v>
      </c>
      <c r="D27" s="10" t="n">
        <v>405</v>
      </c>
      <c r="E27" s="11" t="n">
        <f aca="false">IF(61647.65=0,0,D27/61647.65)</f>
        <v>0.00656959348815405</v>
      </c>
      <c r="I27" s="10" t="n">
        <f aca="false">IF(C27=0,0,D27/C27)</f>
        <v>405</v>
      </c>
    </row>
    <row r="28" customFormat="false" ht="15" hidden="false" customHeight="false" outlineLevel="0" collapsed="false">
      <c r="B28" s="4" t="s">
        <v>150</v>
      </c>
      <c r="C28" s="14" t="n">
        <v>1</v>
      </c>
      <c r="D28" s="10" t="n">
        <v>143.8</v>
      </c>
      <c r="E28" s="11" t="n">
        <f aca="false">IF(61647.65=0,0,D28/61647.65)</f>
        <v>0.00233261121875692</v>
      </c>
      <c r="I28" s="10" t="n">
        <f aca="false">IF(C28=0,0,D28/C28)</f>
        <v>143.8</v>
      </c>
    </row>
    <row r="29" customFormat="false" ht="15" hidden="false" customHeight="false" outlineLevel="0" collapsed="false">
      <c r="B29" s="4" t="s">
        <v>151</v>
      </c>
      <c r="C29" s="14" t="n">
        <v>1</v>
      </c>
      <c r="D29" s="10" t="n">
        <v>99.37</v>
      </c>
      <c r="E29" s="11" t="n">
        <f aca="false">IF(61647.65=0,0,D29/61647.65)</f>
        <v>0.00161190248127869</v>
      </c>
      <c r="I29" s="10" t="n">
        <f aca="false">IF(C29=0,0,D29/C29)</f>
        <v>99.37</v>
      </c>
    </row>
    <row r="30" customFormat="false" ht="15" hidden="false" customHeight="false" outlineLevel="0" collapsed="false">
      <c r="B30" s="5" t="s">
        <v>38</v>
      </c>
      <c r="C30" s="15" t="n">
        <f aca="false">SUM(C17:C29)</f>
        <v>63</v>
      </c>
      <c r="D30" s="12" t="n">
        <f aca="false">SUM(D17:D29)</f>
        <v>61647.65</v>
      </c>
      <c r="E30" s="13" t="n">
        <v>1</v>
      </c>
    </row>
    <row r="33" customFormat="false" ht="15" hidden="false" customHeight="false" outlineLevel="0" collapsed="false">
      <c r="B33" s="3" t="s">
        <v>61</v>
      </c>
      <c r="C33" s="3"/>
      <c r="D33" s="3"/>
      <c r="E33" s="3"/>
      <c r="F33" s="3"/>
      <c r="G33" s="3"/>
      <c r="H33" s="3"/>
      <c r="I33" s="3"/>
    </row>
    <row r="34" customFormat="false" ht="15" hidden="false" customHeight="false" outlineLevel="0" collapsed="false">
      <c r="B34" s="2" t="s">
        <v>62</v>
      </c>
      <c r="C34" s="2"/>
      <c r="D34" s="2"/>
      <c r="E34" s="2"/>
      <c r="F34" s="2"/>
      <c r="G34" s="2"/>
      <c r="H34" s="2"/>
      <c r="I34" s="2"/>
    </row>
    <row r="35" customFormat="false" ht="15" hidden="false" customHeight="false" outlineLevel="0" collapsed="false">
      <c r="B35" s="2" t="s">
        <v>63</v>
      </c>
      <c r="C35" s="2"/>
      <c r="D35" s="2"/>
      <c r="E35" s="2"/>
      <c r="F35" s="2"/>
      <c r="G35" s="2"/>
      <c r="H35" s="2"/>
      <c r="I35" s="2"/>
    </row>
    <row r="36" customFormat="false" ht="15" hidden="false" customHeight="false" outlineLevel="0" collapsed="false">
      <c r="B36" s="2" t="s">
        <v>64</v>
      </c>
      <c r="C36" s="2"/>
      <c r="D36" s="2"/>
      <c r="E36" s="2"/>
      <c r="F36" s="2"/>
      <c r="G36" s="2"/>
      <c r="H36" s="2"/>
      <c r="I36" s="2"/>
    </row>
    <row r="37" customFormat="false" ht="15" hidden="false" customHeight="false" outlineLevel="0" collapsed="false">
      <c r="B37" s="2" t="s">
        <v>65</v>
      </c>
      <c r="C37" s="2"/>
      <c r="D37" s="2"/>
      <c r="E37" s="2"/>
      <c r="F37" s="2"/>
      <c r="G37" s="2"/>
      <c r="H37" s="2"/>
      <c r="I37" s="2"/>
    </row>
    <row r="38" customFormat="false" ht="15" hidden="false" customHeight="false" outlineLevel="0" collapsed="false">
      <c r="B38" s="2" t="s">
        <v>66</v>
      </c>
      <c r="C38" s="2"/>
      <c r="D38" s="2"/>
      <c r="E38" s="2"/>
      <c r="F38" s="2"/>
      <c r="G38" s="2"/>
      <c r="H38" s="2"/>
      <c r="I38" s="2"/>
    </row>
    <row r="39" customFormat="false" ht="15" hidden="false" customHeight="false" outlineLevel="0" collapsed="false">
      <c r="B39" s="2" t="s">
        <v>67</v>
      </c>
      <c r="C39" s="2"/>
      <c r="D39" s="2"/>
      <c r="E39" s="2"/>
      <c r="F39" s="2"/>
      <c r="G39" s="2"/>
      <c r="H39" s="2"/>
      <c r="I39" s="2"/>
    </row>
    <row r="40" customFormat="false" ht="15" hidden="false" customHeight="false" outlineLevel="0" collapsed="false">
      <c r="B40" s="2" t="s">
        <v>68</v>
      </c>
      <c r="C40" s="2"/>
      <c r="D40" s="2"/>
      <c r="E40" s="2"/>
      <c r="F40" s="2"/>
      <c r="G40" s="2"/>
      <c r="H40" s="2"/>
      <c r="I40" s="2"/>
    </row>
    <row r="41" customFormat="false" ht="15" hidden="false" customHeight="false" outlineLevel="0" collapsed="false">
      <c r="B41" s="2" t="s">
        <v>69</v>
      </c>
      <c r="C41" s="2"/>
      <c r="D41" s="2"/>
      <c r="E41" s="2"/>
      <c r="F41" s="2"/>
      <c r="G41" s="2"/>
      <c r="H41" s="2"/>
      <c r="I41" s="2"/>
    </row>
    <row r="42" customFormat="false" ht="15" hidden="false" customHeight="false" outlineLevel="0" collapsed="false">
      <c r="B42" s="2" t="s">
        <v>70</v>
      </c>
      <c r="C42" s="2"/>
      <c r="D42" s="2"/>
      <c r="E42" s="2"/>
      <c r="F42" s="2"/>
      <c r="G42" s="2"/>
      <c r="H42" s="2"/>
      <c r="I42" s="2"/>
    </row>
    <row r="43" customFormat="false" ht="15" hidden="false" customHeight="false" outlineLevel="0" collapsed="false">
      <c r="B43" s="2" t="s">
        <v>71</v>
      </c>
      <c r="C43" s="2"/>
      <c r="D43" s="2"/>
      <c r="E43" s="2"/>
      <c r="F43" s="2"/>
      <c r="G43" s="2"/>
      <c r="H43" s="2"/>
      <c r="I43" s="2"/>
    </row>
    <row r="44" customFormat="false" ht="15" hidden="false" customHeight="false" outlineLevel="0" collapsed="false">
      <c r="B44" s="2" t="s">
        <v>72</v>
      </c>
      <c r="C44" s="2"/>
      <c r="D44" s="2"/>
      <c r="E44" s="2"/>
      <c r="F44" s="2"/>
      <c r="G44" s="2"/>
      <c r="H44" s="2"/>
      <c r="I44" s="2"/>
    </row>
    <row r="45" customFormat="false" ht="15" hidden="false" customHeight="false" outlineLevel="0" collapsed="false">
      <c r="B45" s="2" t="s">
        <v>73</v>
      </c>
      <c r="C45" s="2"/>
      <c r="D45" s="2"/>
      <c r="E45" s="2"/>
      <c r="F45" s="2"/>
      <c r="G45" s="2"/>
      <c r="H45" s="2"/>
      <c r="I45" s="2"/>
    </row>
    <row r="46" customFormat="false" ht="15" hidden="false" customHeight="false" outlineLevel="0" collapsed="false">
      <c r="B46" s="2" t="s">
        <v>74</v>
      </c>
      <c r="C46" s="2"/>
      <c r="D46" s="2"/>
      <c r="E46" s="2"/>
      <c r="F46" s="2"/>
      <c r="G46" s="2"/>
      <c r="H46" s="2"/>
      <c r="I46" s="2"/>
    </row>
    <row r="47" customFormat="false" ht="15" hidden="false" customHeight="false" outlineLevel="0" collapsed="false">
      <c r="B47" s="2" t="s">
        <v>152</v>
      </c>
      <c r="C47" s="2"/>
      <c r="D47" s="2"/>
      <c r="E47" s="2"/>
      <c r="F47" s="2"/>
      <c r="G47" s="2"/>
      <c r="H47" s="2"/>
      <c r="I47" s="2"/>
    </row>
  </sheetData>
  <mergeCells count="19">
    <mergeCell ref="B2:I2"/>
    <mergeCell ref="B3:I3"/>
    <mergeCell ref="B5:I5"/>
    <mergeCell ref="B15:I15"/>
    <mergeCell ref="B33:I33"/>
    <mergeCell ref="B34:I34"/>
    <mergeCell ref="B35:I35"/>
    <mergeCell ref="B36:I36"/>
    <mergeCell ref="B37:I37"/>
    <mergeCell ref="B38:I38"/>
    <mergeCell ref="B39:I39"/>
    <mergeCell ref="B40:I40"/>
    <mergeCell ref="B41:I41"/>
    <mergeCell ref="B42:I42"/>
    <mergeCell ref="B43:I43"/>
    <mergeCell ref="B44:I44"/>
    <mergeCell ref="B45:I45"/>
    <mergeCell ref="B46:I46"/>
    <mergeCell ref="B47:I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6" min="3" style="0" width="14"/>
  </cols>
  <sheetData>
    <row r="2" customFormat="false" ht="19.7" hidden="false" customHeight="false" outlineLevel="0" collapsed="false">
      <c r="B2" s="1" t="s">
        <v>153</v>
      </c>
      <c r="C2" s="1"/>
      <c r="D2" s="1"/>
      <c r="E2" s="1"/>
      <c r="F2" s="1"/>
    </row>
    <row r="4" customFormat="false" ht="15" hidden="false" customHeight="false" outlineLevel="0" collapsed="false">
      <c r="B4" s="9" t="s">
        <v>154</v>
      </c>
      <c r="C4" s="9" t="s">
        <v>155</v>
      </c>
      <c r="D4" s="9" t="s">
        <v>156</v>
      </c>
      <c r="E4" s="9" t="s">
        <v>157</v>
      </c>
      <c r="F4" s="9" t="s">
        <v>158</v>
      </c>
    </row>
    <row r="5" customFormat="false" ht="15" hidden="false" customHeight="false" outlineLevel="0" collapsed="false">
      <c r="B5" s="4" t="s">
        <v>159</v>
      </c>
      <c r="C5" s="16" t="n">
        <v>361.5</v>
      </c>
      <c r="D5" s="10" t="n">
        <v>11568</v>
      </c>
      <c r="E5" s="17" t="n">
        <f aca="false">IF(C5=0,0,D5/C5)</f>
        <v>32</v>
      </c>
      <c r="F5" s="4" t="s">
        <v>160</v>
      </c>
    </row>
    <row r="6" customFormat="false" ht="15" hidden="false" customHeight="false" outlineLevel="0" collapsed="false">
      <c r="B6" s="4" t="s">
        <v>161</v>
      </c>
      <c r="C6" s="16" t="n">
        <v>273.5</v>
      </c>
      <c r="D6" s="10" t="n">
        <v>4659</v>
      </c>
      <c r="E6" s="17" t="n">
        <f aca="false">IF(C6=0,0,D6/C6)</f>
        <v>17.0347349177331</v>
      </c>
      <c r="F6" s="4" t="s">
        <v>162</v>
      </c>
    </row>
    <row r="7" customFormat="false" ht="15" hidden="false" customHeight="false" outlineLevel="0" collapsed="false">
      <c r="B7" s="4" t="s">
        <v>163</v>
      </c>
      <c r="C7" s="16" t="n">
        <v>255</v>
      </c>
      <c r="D7" s="10" t="n">
        <v>3315</v>
      </c>
      <c r="E7" s="17" t="n">
        <f aca="false">IF(C7=0,0,D7/C7)</f>
        <v>13</v>
      </c>
      <c r="F7" s="4" t="s">
        <v>162</v>
      </c>
    </row>
    <row r="8" customFormat="false" ht="15" hidden="false" customHeight="false" outlineLevel="0" collapsed="false">
      <c r="B8" s="4" t="s">
        <v>164</v>
      </c>
      <c r="C8" s="16" t="n">
        <v>242</v>
      </c>
      <c r="D8" s="10" t="n">
        <v>3220</v>
      </c>
      <c r="E8" s="17" t="n">
        <f aca="false">IF(C8=0,0,D8/C8)</f>
        <v>13.3057851239669</v>
      </c>
      <c r="F8" s="4" t="s">
        <v>162</v>
      </c>
    </row>
    <row r="9" customFormat="false" ht="15" hidden="false" customHeight="false" outlineLevel="0" collapsed="false">
      <c r="B9" s="4" t="s">
        <v>165</v>
      </c>
      <c r="C9" s="16" t="n">
        <v>139.5</v>
      </c>
      <c r="D9" s="10" t="n">
        <v>2511</v>
      </c>
      <c r="E9" s="17" t="n">
        <f aca="false">IF(C9=0,0,D9/C9)</f>
        <v>18</v>
      </c>
      <c r="F9" s="4" t="s">
        <v>166</v>
      </c>
    </row>
    <row r="10" customFormat="false" ht="15" hidden="false" customHeight="false" outlineLevel="0" collapsed="false">
      <c r="B10" s="4" t="s">
        <v>167</v>
      </c>
      <c r="C10" s="16" t="n">
        <v>104</v>
      </c>
      <c r="D10" s="10" t="n">
        <v>3432</v>
      </c>
      <c r="E10" s="17" t="n">
        <f aca="false">IF(C10=0,0,D10/C10)</f>
        <v>33</v>
      </c>
      <c r="F10" s="4" t="s">
        <v>160</v>
      </c>
    </row>
    <row r="11" customFormat="false" ht="15" hidden="false" customHeight="false" outlineLevel="0" collapsed="false">
      <c r="B11" s="4" t="s">
        <v>168</v>
      </c>
      <c r="C11" s="16" t="n">
        <v>99</v>
      </c>
      <c r="D11" s="10" t="n">
        <v>2871</v>
      </c>
      <c r="E11" s="17" t="n">
        <f aca="false">IF(C11=0,0,D11/C11)</f>
        <v>29</v>
      </c>
      <c r="F11" s="4" t="s">
        <v>166</v>
      </c>
    </row>
    <row r="12" customFormat="false" ht="15" hidden="false" customHeight="false" outlineLevel="0" collapsed="false">
      <c r="B12" s="4" t="s">
        <v>169</v>
      </c>
      <c r="C12" s="16" t="n">
        <v>93.5</v>
      </c>
      <c r="D12" s="10" t="n">
        <v>3085.5</v>
      </c>
      <c r="E12" s="17" t="n">
        <f aca="false">IF(C12=0,0,D12/C12)</f>
        <v>33</v>
      </c>
      <c r="F12" s="4" t="s">
        <v>160</v>
      </c>
    </row>
    <row r="13" customFormat="false" ht="15" hidden="false" customHeight="false" outlineLevel="0" collapsed="false">
      <c r="B13" s="4" t="s">
        <v>170</v>
      </c>
      <c r="C13" s="16" t="n">
        <v>84</v>
      </c>
      <c r="D13" s="10" t="n">
        <v>1428</v>
      </c>
      <c r="E13" s="17" t="n">
        <f aca="false">IF(C13=0,0,D13/C13)</f>
        <v>17</v>
      </c>
      <c r="F13" s="4" t="s">
        <v>162</v>
      </c>
    </row>
    <row r="14" customFormat="false" ht="15" hidden="false" customHeight="false" outlineLevel="0" collapsed="false">
      <c r="B14" s="4" t="s">
        <v>171</v>
      </c>
      <c r="C14" s="16" t="n">
        <v>75</v>
      </c>
      <c r="D14" s="10" t="n">
        <v>1050</v>
      </c>
      <c r="E14" s="17" t="n">
        <f aca="false">IF(C14=0,0,D14/C14)</f>
        <v>14</v>
      </c>
      <c r="F14" s="4" t="s">
        <v>162</v>
      </c>
    </row>
    <row r="15" customFormat="false" ht="15" hidden="false" customHeight="false" outlineLevel="0" collapsed="false">
      <c r="B15" s="4" t="s">
        <v>172</v>
      </c>
      <c r="C15" s="16" t="n">
        <v>69</v>
      </c>
      <c r="D15" s="10" t="n">
        <v>2762</v>
      </c>
      <c r="E15" s="17" t="n">
        <f aca="false">IF(C15=0,0,D15/C15)</f>
        <v>40.0289855072464</v>
      </c>
      <c r="F15" s="4" t="s">
        <v>160</v>
      </c>
    </row>
    <row r="16" customFormat="false" ht="15" hidden="false" customHeight="false" outlineLevel="0" collapsed="false">
      <c r="B16" s="4" t="s">
        <v>173</v>
      </c>
      <c r="C16" s="16" t="n">
        <v>46.5</v>
      </c>
      <c r="D16" s="10" t="n">
        <v>604.5</v>
      </c>
      <c r="E16" s="17" t="n">
        <f aca="false">IF(C16=0,0,D16/C16)</f>
        <v>13</v>
      </c>
      <c r="F16" s="4" t="s">
        <v>162</v>
      </c>
    </row>
    <row r="17" customFormat="false" ht="15" hidden="false" customHeight="false" outlineLevel="0" collapsed="false">
      <c r="B17" s="4" t="s">
        <v>174</v>
      </c>
      <c r="C17" s="16" t="n">
        <v>38</v>
      </c>
      <c r="D17" s="10" t="n">
        <v>570</v>
      </c>
      <c r="E17" s="17" t="n">
        <f aca="false">IF(C17=0,0,D17/C17)</f>
        <v>15</v>
      </c>
      <c r="F17" s="4" t="s">
        <v>162</v>
      </c>
    </row>
    <row r="18" customFormat="false" ht="15" hidden="false" customHeight="false" outlineLevel="0" collapsed="false">
      <c r="B18" s="4" t="s">
        <v>175</v>
      </c>
      <c r="C18" s="16" t="n">
        <v>28</v>
      </c>
      <c r="D18" s="10" t="n">
        <v>448</v>
      </c>
      <c r="E18" s="17" t="n">
        <f aca="false">IF(C18=0,0,D18/C18)</f>
        <v>16</v>
      </c>
      <c r="F18" s="4" t="s">
        <v>162</v>
      </c>
    </row>
    <row r="19" customFormat="false" ht="15" hidden="false" customHeight="false" outlineLevel="0" collapsed="false">
      <c r="B19" s="4" t="s">
        <v>176</v>
      </c>
      <c r="C19" s="16" t="n">
        <v>27.5</v>
      </c>
      <c r="D19" s="10" t="n">
        <v>1237.5</v>
      </c>
      <c r="E19" s="17" t="n">
        <f aca="false">IF(C19=0,0,D19/C19)</f>
        <v>45</v>
      </c>
      <c r="F19" s="4" t="s">
        <v>160</v>
      </c>
    </row>
    <row r="20" customFormat="false" ht="15" hidden="false" customHeight="false" outlineLevel="0" collapsed="false">
      <c r="B20" s="4" t="s">
        <v>177</v>
      </c>
      <c r="C20" s="16" t="n">
        <v>20</v>
      </c>
      <c r="D20" s="10" t="n">
        <v>360</v>
      </c>
      <c r="E20" s="17" t="n">
        <f aca="false">IF(C20=0,0,D20/C20)</f>
        <v>18</v>
      </c>
      <c r="F20" s="4" t="s">
        <v>166</v>
      </c>
    </row>
    <row r="21" customFormat="false" ht="15" hidden="false" customHeight="false" outlineLevel="0" collapsed="false">
      <c r="B21" s="4" t="s">
        <v>178</v>
      </c>
      <c r="C21" s="16" t="n">
        <v>8</v>
      </c>
      <c r="D21" s="10" t="n">
        <v>120</v>
      </c>
      <c r="E21" s="17" t="n">
        <f aca="false">IF(C21=0,0,D21/C21)</f>
        <v>15</v>
      </c>
      <c r="F21" s="4" t="s">
        <v>162</v>
      </c>
    </row>
    <row r="22" customFormat="false" ht="15" hidden="false" customHeight="false" outlineLevel="0" collapsed="false">
      <c r="B22" s="4" t="s">
        <v>179</v>
      </c>
      <c r="C22" s="16" t="n">
        <v>6</v>
      </c>
      <c r="D22" s="10" t="n">
        <v>96</v>
      </c>
      <c r="E22" s="17" t="n">
        <f aca="false">IF(C22=0,0,D22/C22)</f>
        <v>16</v>
      </c>
      <c r="F22" s="4" t="s">
        <v>162</v>
      </c>
    </row>
    <row r="23" customFormat="false" ht="15" hidden="false" customHeight="false" outlineLevel="0" collapsed="false">
      <c r="B23" s="4" t="s">
        <v>180</v>
      </c>
      <c r="C23" s="16" t="n">
        <v>5</v>
      </c>
      <c r="D23" s="10" t="n">
        <v>80</v>
      </c>
      <c r="E23" s="17" t="n">
        <f aca="false">IF(C23=0,0,D23/C23)</f>
        <v>16</v>
      </c>
      <c r="F23" s="4" t="s">
        <v>162</v>
      </c>
    </row>
    <row r="24" customFormat="false" ht="15" hidden="false" customHeight="false" outlineLevel="0" collapsed="false">
      <c r="B24" s="4" t="s">
        <v>181</v>
      </c>
      <c r="C24" s="16" t="n">
        <v>1</v>
      </c>
      <c r="D24" s="10" t="n">
        <v>14</v>
      </c>
      <c r="E24" s="17" t="n">
        <f aca="false">IF(C24=0,0,D24/C24)</f>
        <v>14</v>
      </c>
      <c r="F24" s="4" t="s">
        <v>162</v>
      </c>
    </row>
    <row r="25" customFormat="false" ht="15" hidden="false" customHeight="false" outlineLevel="0" collapsed="false">
      <c r="B25" s="5" t="s">
        <v>182</v>
      </c>
      <c r="C25" s="18" t="n">
        <f aca="false">SUM(C5:C24)</f>
        <v>1976</v>
      </c>
      <c r="D25" s="12" t="n">
        <f aca="false">SUM(D5:D24)</f>
        <v>43431.5</v>
      </c>
      <c r="E25" s="19" t="n">
        <f aca="false">IF(C25=0,0,D25/C25)</f>
        <v>21.979504048583</v>
      </c>
    </row>
    <row r="28" customFormat="false" ht="15" hidden="false" customHeight="false" outlineLevel="0" collapsed="false">
      <c r="B28" s="3" t="s">
        <v>61</v>
      </c>
      <c r="C28" s="3"/>
      <c r="D28" s="3"/>
      <c r="E28" s="3"/>
      <c r="F28" s="3"/>
    </row>
    <row r="29" customFormat="false" ht="15" hidden="false" customHeight="false" outlineLevel="0" collapsed="false">
      <c r="B29" s="2" t="s">
        <v>62</v>
      </c>
      <c r="C29" s="2"/>
      <c r="D29" s="2"/>
      <c r="E29" s="2"/>
      <c r="F29" s="2"/>
    </row>
    <row r="30" customFormat="false" ht="15" hidden="false" customHeight="false" outlineLevel="0" collapsed="false">
      <c r="B30" s="2" t="s">
        <v>63</v>
      </c>
      <c r="C30" s="2"/>
      <c r="D30" s="2"/>
      <c r="E30" s="2"/>
      <c r="F30" s="2"/>
    </row>
    <row r="31" customFormat="false" ht="15" hidden="false" customHeight="false" outlineLevel="0" collapsed="false">
      <c r="B31" s="2" t="s">
        <v>64</v>
      </c>
      <c r="C31" s="2"/>
      <c r="D31" s="2"/>
      <c r="E31" s="2"/>
      <c r="F31" s="2"/>
    </row>
    <row r="32" customFormat="false" ht="15" hidden="false" customHeight="false" outlineLevel="0" collapsed="false">
      <c r="B32" s="2" t="s">
        <v>65</v>
      </c>
      <c r="C32" s="2"/>
      <c r="D32" s="2"/>
      <c r="E32" s="2"/>
      <c r="F32" s="2"/>
    </row>
    <row r="33" customFormat="false" ht="15" hidden="false" customHeight="false" outlineLevel="0" collapsed="false">
      <c r="B33" s="2" t="s">
        <v>66</v>
      </c>
      <c r="C33" s="2"/>
      <c r="D33" s="2"/>
      <c r="E33" s="2"/>
      <c r="F33" s="2"/>
    </row>
    <row r="34" customFormat="false" ht="15" hidden="false" customHeight="false" outlineLevel="0" collapsed="false">
      <c r="B34" s="2" t="s">
        <v>67</v>
      </c>
      <c r="C34" s="2"/>
      <c r="D34" s="2"/>
      <c r="E34" s="2"/>
      <c r="F34" s="2"/>
    </row>
    <row r="35" customFormat="false" ht="15" hidden="false" customHeight="false" outlineLevel="0" collapsed="false">
      <c r="B35" s="2" t="s">
        <v>68</v>
      </c>
      <c r="C35" s="2"/>
      <c r="D35" s="2"/>
      <c r="E35" s="2"/>
      <c r="F35" s="2"/>
    </row>
    <row r="36" customFormat="false" ht="15" hidden="false" customHeight="false" outlineLevel="0" collapsed="false">
      <c r="B36" s="2" t="s">
        <v>69</v>
      </c>
      <c r="C36" s="2"/>
      <c r="D36" s="2"/>
      <c r="E36" s="2"/>
      <c r="F36" s="2"/>
    </row>
    <row r="37" customFormat="false" ht="15" hidden="false" customHeight="false" outlineLevel="0" collapsed="false">
      <c r="B37" s="2" t="s">
        <v>70</v>
      </c>
      <c r="C37" s="2"/>
      <c r="D37" s="2"/>
      <c r="E37" s="2"/>
      <c r="F37" s="2"/>
    </row>
    <row r="38" customFormat="false" ht="15" hidden="false" customHeight="false" outlineLevel="0" collapsed="false">
      <c r="B38" s="2" t="s">
        <v>71</v>
      </c>
      <c r="C38" s="2"/>
      <c r="D38" s="2"/>
      <c r="E38" s="2"/>
      <c r="F38" s="2"/>
    </row>
    <row r="39" customFormat="false" ht="15" hidden="false" customHeight="false" outlineLevel="0" collapsed="false">
      <c r="B39" s="2" t="s">
        <v>72</v>
      </c>
      <c r="C39" s="2"/>
      <c r="D39" s="2"/>
      <c r="E39" s="2"/>
      <c r="F39" s="2"/>
    </row>
    <row r="40" customFormat="false" ht="15" hidden="false" customHeight="false" outlineLevel="0" collapsed="false">
      <c r="B40" s="2" t="s">
        <v>73</v>
      </c>
      <c r="C40" s="2"/>
      <c r="D40" s="2"/>
      <c r="E40" s="2"/>
      <c r="F40" s="2"/>
    </row>
    <row r="41" customFormat="false" ht="15" hidden="false" customHeight="false" outlineLevel="0" collapsed="false">
      <c r="B41" s="2" t="s">
        <v>74</v>
      </c>
      <c r="C41" s="2"/>
      <c r="D41" s="2"/>
      <c r="E41" s="2"/>
      <c r="F41" s="2"/>
    </row>
    <row r="42" customFormat="false" ht="15" hidden="false" customHeight="false" outlineLevel="0" collapsed="false">
      <c r="B42" s="2" t="s">
        <v>183</v>
      </c>
      <c r="C42" s="2"/>
      <c r="D42" s="2"/>
      <c r="E42" s="2"/>
      <c r="F42" s="2"/>
    </row>
  </sheetData>
  <mergeCells count="16">
    <mergeCell ref="B2:F2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6" min="3" style="0" width="16"/>
  </cols>
  <sheetData>
    <row r="2" customFormat="false" ht="19.7" hidden="false" customHeight="false" outlineLevel="0" collapsed="false">
      <c r="B2" s="1" t="s">
        <v>184</v>
      </c>
      <c r="C2" s="1"/>
      <c r="D2" s="1"/>
      <c r="E2" s="1"/>
      <c r="F2" s="1"/>
    </row>
    <row r="4" customFormat="false" ht="15" hidden="false" customHeight="false" outlineLevel="0" collapsed="false">
      <c r="B4" s="3" t="s">
        <v>185</v>
      </c>
      <c r="C4" s="3"/>
      <c r="D4" s="3"/>
      <c r="E4" s="3"/>
      <c r="F4" s="3"/>
    </row>
    <row r="5" customFormat="false" ht="15" hidden="false" customHeight="false" outlineLevel="0" collapsed="false">
      <c r="B5" s="9" t="s">
        <v>158</v>
      </c>
      <c r="C5" s="9" t="s">
        <v>186</v>
      </c>
      <c r="D5" s="9" t="s">
        <v>155</v>
      </c>
      <c r="E5" s="9" t="s">
        <v>156</v>
      </c>
      <c r="F5" s="9" t="s">
        <v>187</v>
      </c>
    </row>
    <row r="6" customFormat="false" ht="15" hidden="false" customHeight="false" outlineLevel="0" collapsed="false">
      <c r="B6" s="4" t="s">
        <v>160</v>
      </c>
      <c r="C6" s="14" t="n">
        <v>5</v>
      </c>
      <c r="D6" s="16" t="n">
        <v>655.5</v>
      </c>
      <c r="E6" s="10" t="n">
        <v>22085</v>
      </c>
      <c r="F6" s="11" t="n">
        <f aca="false">IF(1976=0,0,D6/1976)</f>
        <v>0.331730769230769</v>
      </c>
    </row>
    <row r="7" customFormat="false" ht="15" hidden="false" customHeight="false" outlineLevel="0" collapsed="false">
      <c r="B7" s="4" t="s">
        <v>166</v>
      </c>
      <c r="C7" s="14" t="n">
        <v>3</v>
      </c>
      <c r="D7" s="16" t="n">
        <v>258.5</v>
      </c>
      <c r="E7" s="10" t="n">
        <v>5742</v>
      </c>
      <c r="F7" s="11" t="n">
        <f aca="false">IF(1976=0,0,D7/1976)</f>
        <v>0.13081983805668</v>
      </c>
    </row>
    <row r="8" customFormat="false" ht="15" hidden="false" customHeight="false" outlineLevel="0" collapsed="false">
      <c r="B8" s="4" t="s">
        <v>162</v>
      </c>
      <c r="C8" s="14" t="n">
        <v>12</v>
      </c>
      <c r="D8" s="16" t="n">
        <v>1062</v>
      </c>
      <c r="E8" s="10" t="n">
        <v>15604.5</v>
      </c>
      <c r="F8" s="11" t="n">
        <f aca="false">IF(1976=0,0,D8/1976)</f>
        <v>0.537449392712551</v>
      </c>
    </row>
    <row r="11" customFormat="false" ht="15" hidden="false" customHeight="false" outlineLevel="0" collapsed="false">
      <c r="B11" s="3" t="s">
        <v>188</v>
      </c>
      <c r="C11" s="3"/>
      <c r="D11" s="3"/>
      <c r="E11" s="3"/>
      <c r="F11" s="3"/>
    </row>
    <row r="12" customFormat="false" ht="15" hidden="false" customHeight="false" outlineLevel="0" collapsed="false">
      <c r="B12" s="4" t="s">
        <v>189</v>
      </c>
      <c r="C12" s="20" t="n">
        <v>21.979504048583</v>
      </c>
      <c r="F12" s="21" t="s">
        <v>190</v>
      </c>
    </row>
    <row r="13" customFormat="false" ht="15" hidden="false" customHeight="false" outlineLevel="0" collapsed="false">
      <c r="B13" s="4" t="s">
        <v>191</v>
      </c>
      <c r="C13" s="20" t="n">
        <v>44.2214119433198</v>
      </c>
      <c r="F13" s="21" t="s">
        <v>192</v>
      </c>
    </row>
    <row r="14" customFormat="false" ht="15" hidden="false" customHeight="false" outlineLevel="0" collapsed="false">
      <c r="B14" s="4" t="s">
        <v>193</v>
      </c>
      <c r="C14" s="20" t="n">
        <v>2.01193856993196</v>
      </c>
      <c r="F14" s="21" t="s">
        <v>194</v>
      </c>
    </row>
    <row r="15" customFormat="false" ht="15" hidden="false" customHeight="false" outlineLevel="0" collapsed="false">
      <c r="B15" s="4" t="s">
        <v>195</v>
      </c>
      <c r="C15" s="20" t="n">
        <v>13</v>
      </c>
      <c r="F15" s="21" t="s">
        <v>196</v>
      </c>
    </row>
    <row r="16" customFormat="false" ht="15" hidden="false" customHeight="false" outlineLevel="0" collapsed="false">
      <c r="B16" s="4" t="s">
        <v>197</v>
      </c>
      <c r="C16" s="20" t="n">
        <v>45</v>
      </c>
      <c r="F16" s="21" t="s">
        <v>198</v>
      </c>
    </row>
    <row r="17" customFormat="false" ht="15" hidden="false" customHeight="false" outlineLevel="0" collapsed="false">
      <c r="B17" s="4" t="s">
        <v>199</v>
      </c>
      <c r="C17" s="20" t="n">
        <v>98.8</v>
      </c>
      <c r="F17" s="21" t="s">
        <v>200</v>
      </c>
    </row>
    <row r="20" customFormat="false" ht="15" hidden="false" customHeight="false" outlineLevel="0" collapsed="false">
      <c r="B20" s="3" t="s">
        <v>61</v>
      </c>
      <c r="C20" s="3"/>
      <c r="D20" s="3"/>
      <c r="E20" s="3"/>
      <c r="F20" s="3"/>
    </row>
    <row r="21" customFormat="false" ht="15" hidden="false" customHeight="false" outlineLevel="0" collapsed="false">
      <c r="B21" s="2" t="s">
        <v>62</v>
      </c>
      <c r="C21" s="2"/>
      <c r="D21" s="2"/>
      <c r="E21" s="2"/>
      <c r="F21" s="2"/>
    </row>
    <row r="22" customFormat="false" ht="15" hidden="false" customHeight="false" outlineLevel="0" collapsed="false">
      <c r="B22" s="2" t="s">
        <v>63</v>
      </c>
      <c r="C22" s="2"/>
      <c r="D22" s="2"/>
      <c r="E22" s="2"/>
      <c r="F22" s="2"/>
    </row>
    <row r="23" customFormat="false" ht="15" hidden="false" customHeight="false" outlineLevel="0" collapsed="false">
      <c r="B23" s="2" t="s">
        <v>64</v>
      </c>
      <c r="C23" s="2"/>
      <c r="D23" s="2"/>
      <c r="E23" s="2"/>
      <c r="F23" s="2"/>
    </row>
    <row r="24" customFormat="false" ht="15" hidden="false" customHeight="false" outlineLevel="0" collapsed="false">
      <c r="B24" s="2" t="s">
        <v>65</v>
      </c>
      <c r="C24" s="2"/>
      <c r="D24" s="2"/>
      <c r="E24" s="2"/>
      <c r="F24" s="2"/>
    </row>
    <row r="25" customFormat="false" ht="15" hidden="false" customHeight="false" outlineLevel="0" collapsed="false">
      <c r="B25" s="2" t="s">
        <v>66</v>
      </c>
      <c r="C25" s="2"/>
      <c r="D25" s="2"/>
      <c r="E25" s="2"/>
      <c r="F25" s="2"/>
    </row>
    <row r="26" customFormat="false" ht="15" hidden="false" customHeight="false" outlineLevel="0" collapsed="false">
      <c r="B26" s="2" t="s">
        <v>67</v>
      </c>
      <c r="C26" s="2"/>
      <c r="D26" s="2"/>
      <c r="E26" s="2"/>
      <c r="F26" s="2"/>
    </row>
    <row r="27" customFormat="false" ht="15" hidden="false" customHeight="false" outlineLevel="0" collapsed="false">
      <c r="B27" s="2" t="s">
        <v>68</v>
      </c>
      <c r="C27" s="2"/>
      <c r="D27" s="2"/>
      <c r="E27" s="2"/>
      <c r="F27" s="2"/>
    </row>
    <row r="28" customFormat="false" ht="15" hidden="false" customHeight="false" outlineLevel="0" collapsed="false">
      <c r="B28" s="2" t="s">
        <v>69</v>
      </c>
      <c r="C28" s="2"/>
      <c r="D28" s="2"/>
      <c r="E28" s="2"/>
      <c r="F28" s="2"/>
    </row>
    <row r="29" customFormat="false" ht="15" hidden="false" customHeight="false" outlineLevel="0" collapsed="false">
      <c r="B29" s="2" t="s">
        <v>70</v>
      </c>
      <c r="C29" s="2"/>
      <c r="D29" s="2"/>
      <c r="E29" s="2"/>
      <c r="F29" s="2"/>
    </row>
    <row r="30" customFormat="false" ht="15" hidden="false" customHeight="false" outlineLevel="0" collapsed="false">
      <c r="B30" s="2" t="s">
        <v>71</v>
      </c>
      <c r="C30" s="2"/>
      <c r="D30" s="2"/>
      <c r="E30" s="2"/>
      <c r="F30" s="2"/>
    </row>
    <row r="31" customFormat="false" ht="15" hidden="false" customHeight="false" outlineLevel="0" collapsed="false">
      <c r="B31" s="2" t="s">
        <v>72</v>
      </c>
      <c r="C31" s="2"/>
      <c r="D31" s="2"/>
      <c r="E31" s="2"/>
      <c r="F31" s="2"/>
    </row>
    <row r="32" customFormat="false" ht="15" hidden="false" customHeight="false" outlineLevel="0" collapsed="false">
      <c r="B32" s="2" t="s">
        <v>73</v>
      </c>
      <c r="C32" s="2"/>
      <c r="D32" s="2"/>
      <c r="E32" s="2"/>
      <c r="F32" s="2"/>
    </row>
    <row r="33" customFormat="false" ht="15" hidden="false" customHeight="false" outlineLevel="0" collapsed="false">
      <c r="B33" s="2" t="s">
        <v>74</v>
      </c>
      <c r="C33" s="2"/>
      <c r="D33" s="2"/>
      <c r="E33" s="2"/>
      <c r="F33" s="2"/>
    </row>
  </sheetData>
  <mergeCells count="17">
    <mergeCell ref="B2:F2"/>
    <mergeCell ref="B4:F4"/>
    <mergeCell ref="B11:F11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7" min="3" style="0" width="14"/>
  </cols>
  <sheetData>
    <row r="2" customFormat="false" ht="19.7" hidden="false" customHeight="false" outlineLevel="0" collapsed="false">
      <c r="B2" s="1" t="s">
        <v>201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3" t="s">
        <v>202</v>
      </c>
      <c r="C4" s="3"/>
      <c r="D4" s="3"/>
      <c r="E4" s="3"/>
      <c r="F4" s="3"/>
      <c r="G4" s="3"/>
    </row>
    <row r="5" customFormat="false" ht="15" hidden="false" customHeight="false" outlineLevel="0" collapsed="false">
      <c r="B5" s="9" t="s">
        <v>203</v>
      </c>
      <c r="C5" s="9" t="s">
        <v>204</v>
      </c>
      <c r="D5" s="9" t="s">
        <v>155</v>
      </c>
      <c r="E5" s="9" t="s">
        <v>205</v>
      </c>
      <c r="F5" s="9" t="s">
        <v>206</v>
      </c>
    </row>
    <row r="6" customFormat="false" ht="15" hidden="false" customHeight="false" outlineLevel="0" collapsed="false">
      <c r="B6" s="4" t="s">
        <v>83</v>
      </c>
      <c r="C6" s="4" t="s">
        <v>82</v>
      </c>
      <c r="D6" s="16" t="n">
        <v>25.5</v>
      </c>
      <c r="E6" s="11" t="n">
        <f aca="false">IF(2454=0,0,D6/2454)</f>
        <v>0.0103911980440098</v>
      </c>
      <c r="F6" s="22" t="n">
        <f aca="false">IF(20=0,0,D6/20)</f>
        <v>1.275</v>
      </c>
    </row>
    <row r="7" customFormat="false" ht="15" hidden="false" customHeight="false" outlineLevel="0" collapsed="false">
      <c r="B7" s="4" t="s">
        <v>207</v>
      </c>
      <c r="C7" s="4" t="s">
        <v>84</v>
      </c>
      <c r="D7" s="16" t="n">
        <v>71</v>
      </c>
      <c r="E7" s="11" t="n">
        <f aca="false">IF(2454=0,0,D7/2454)</f>
        <v>0.0289323553382233</v>
      </c>
      <c r="F7" s="22" t="n">
        <f aca="false">IF(20=0,0,D7/20)</f>
        <v>3.55</v>
      </c>
    </row>
    <row r="8" customFormat="false" ht="15" hidden="false" customHeight="false" outlineLevel="0" collapsed="false">
      <c r="B8" s="4" t="s">
        <v>208</v>
      </c>
      <c r="C8" s="4" t="s">
        <v>86</v>
      </c>
      <c r="D8" s="16" t="n">
        <v>349</v>
      </c>
      <c r="E8" s="11" t="n">
        <f aca="false">IF(2454=0,0,D8/2454)</f>
        <v>0.142216788916055</v>
      </c>
      <c r="F8" s="22" t="n">
        <f aca="false">IF(20=0,0,D8/20)</f>
        <v>17.45</v>
      </c>
    </row>
    <row r="9" customFormat="false" ht="15" hidden="false" customHeight="false" outlineLevel="0" collapsed="false">
      <c r="B9" s="4" t="s">
        <v>209</v>
      </c>
      <c r="C9" s="4" t="s">
        <v>88</v>
      </c>
      <c r="D9" s="16" t="n">
        <v>1757.5</v>
      </c>
      <c r="E9" s="11" t="n">
        <f aca="false">IF(2454=0,0,D9/2454)</f>
        <v>0.716177669111655</v>
      </c>
      <c r="F9" s="22" t="n">
        <f aca="false">IF(20=0,0,D9/20)</f>
        <v>87.875</v>
      </c>
    </row>
    <row r="10" customFormat="false" ht="15" hidden="false" customHeight="false" outlineLevel="0" collapsed="false">
      <c r="B10" s="4" t="s">
        <v>210</v>
      </c>
      <c r="C10" s="4" t="s">
        <v>90</v>
      </c>
      <c r="D10" s="16" t="n">
        <v>233</v>
      </c>
      <c r="E10" s="11" t="n">
        <f aca="false">IF(2454=0,0,D10/2454)</f>
        <v>0.0949470252648737</v>
      </c>
      <c r="F10" s="22" t="n">
        <f aca="false">IF(20=0,0,D10/20)</f>
        <v>11.65</v>
      </c>
    </row>
    <row r="11" customFormat="false" ht="15" hidden="false" customHeight="false" outlineLevel="0" collapsed="false">
      <c r="B11" s="4" t="s">
        <v>211</v>
      </c>
      <c r="C11" s="4" t="s">
        <v>92</v>
      </c>
      <c r="D11" s="16" t="n">
        <v>18</v>
      </c>
      <c r="E11" s="11" t="n">
        <f aca="false">IF(2454=0,0,D11/2454)</f>
        <v>0.00733496332518337</v>
      </c>
      <c r="F11" s="22" t="n">
        <f aca="false">IF(20=0,0,D11/20)</f>
        <v>0.9</v>
      </c>
    </row>
    <row r="12" customFormat="false" ht="15" hidden="false" customHeight="false" outlineLevel="0" collapsed="false">
      <c r="B12" s="5" t="s">
        <v>38</v>
      </c>
      <c r="D12" s="18" t="n">
        <f aca="false">SUM(D6:D11)</f>
        <v>2454</v>
      </c>
      <c r="E12" s="13" t="n">
        <v>1</v>
      </c>
      <c r="F12" s="20" t="n">
        <f aca="false">IF(20=0,0,D12/20)</f>
        <v>122.7</v>
      </c>
    </row>
    <row r="15" customFormat="false" ht="15" hidden="false" customHeight="false" outlineLevel="0" collapsed="false">
      <c r="B15" s="3" t="s">
        <v>212</v>
      </c>
      <c r="C15" s="3"/>
      <c r="D15" s="3"/>
      <c r="E15" s="3"/>
      <c r="F15" s="3"/>
      <c r="G15" s="3"/>
    </row>
    <row r="16" customFormat="false" ht="15" hidden="false" customHeight="false" outlineLevel="0" collapsed="false">
      <c r="B16" s="9" t="s">
        <v>40</v>
      </c>
      <c r="C16" s="9" t="s">
        <v>41</v>
      </c>
      <c r="D16" s="9" t="s">
        <v>213</v>
      </c>
      <c r="E16" s="9"/>
      <c r="F16" s="9" t="s">
        <v>214</v>
      </c>
    </row>
    <row r="17" customFormat="false" ht="15" hidden="false" customHeight="false" outlineLevel="0" collapsed="false">
      <c r="B17" s="4" t="s">
        <v>206</v>
      </c>
      <c r="C17" s="23" t="n">
        <v>122.7</v>
      </c>
      <c r="D17" s="4" t="s">
        <v>215</v>
      </c>
      <c r="F17" s="21" t="s">
        <v>216</v>
      </c>
    </row>
    <row r="18" customFormat="false" ht="15" hidden="false" customHeight="false" outlineLevel="0" collapsed="false">
      <c r="B18" s="4" t="s">
        <v>217</v>
      </c>
      <c r="C18" s="23" t="n">
        <v>17.5285714285714</v>
      </c>
      <c r="D18" s="4" t="s">
        <v>215</v>
      </c>
      <c r="F18" s="21" t="s">
        <v>218</v>
      </c>
    </row>
    <row r="19" customFormat="false" ht="15" hidden="false" customHeight="false" outlineLevel="0" collapsed="false">
      <c r="B19" s="4" t="s">
        <v>219</v>
      </c>
      <c r="C19" s="23" t="n">
        <v>98.8740831295844</v>
      </c>
      <c r="D19" s="4" t="s">
        <v>220</v>
      </c>
      <c r="F19" s="21" t="s">
        <v>221</v>
      </c>
    </row>
    <row r="20" customFormat="false" ht="15" hidden="false" customHeight="false" outlineLevel="0" collapsed="false">
      <c r="B20" s="4" t="s">
        <v>222</v>
      </c>
      <c r="C20" s="23" t="n">
        <v>35.5181866340668</v>
      </c>
      <c r="D20" s="4" t="s">
        <v>220</v>
      </c>
      <c r="F20" s="21" t="s">
        <v>223</v>
      </c>
    </row>
    <row r="21" customFormat="false" ht="15" hidden="false" customHeight="false" outlineLevel="0" collapsed="false">
      <c r="B21" s="4" t="s">
        <v>224</v>
      </c>
      <c r="C21" s="23" t="n">
        <v>1.81818181818182</v>
      </c>
      <c r="D21" s="4" t="s">
        <v>225</v>
      </c>
      <c r="F21" s="21" t="s">
        <v>226</v>
      </c>
    </row>
    <row r="22" customFormat="false" ht="15" hidden="false" customHeight="false" outlineLevel="0" collapsed="false">
      <c r="B22" s="4" t="s">
        <v>227</v>
      </c>
      <c r="C22" s="23" t="n">
        <v>12.7272727272727</v>
      </c>
      <c r="D22" s="4" t="s">
        <v>228</v>
      </c>
      <c r="F22" s="21" t="s">
        <v>229</v>
      </c>
    </row>
    <row r="23" customFormat="false" ht="15" hidden="false" customHeight="false" outlineLevel="0" collapsed="false">
      <c r="B23" s="4" t="s">
        <v>230</v>
      </c>
      <c r="C23" s="23" t="n">
        <v>223.090909090909</v>
      </c>
      <c r="D23" s="4" t="s">
        <v>215</v>
      </c>
      <c r="F23" s="21" t="s">
        <v>231</v>
      </c>
    </row>
    <row r="24" customFormat="false" ht="15" hidden="false" customHeight="false" outlineLevel="0" collapsed="false">
      <c r="B24" s="4" t="s">
        <v>232</v>
      </c>
      <c r="C24" s="23" t="n">
        <v>22057.9090909091</v>
      </c>
      <c r="D24" s="4" t="s">
        <v>220</v>
      </c>
      <c r="F24" s="21" t="s">
        <v>233</v>
      </c>
    </row>
    <row r="27" customFormat="false" ht="15" hidden="false" customHeight="false" outlineLevel="0" collapsed="false">
      <c r="B27" s="3" t="s">
        <v>61</v>
      </c>
      <c r="C27" s="3"/>
      <c r="D27" s="3"/>
      <c r="E27" s="3"/>
      <c r="F27" s="3"/>
      <c r="G27" s="3"/>
    </row>
    <row r="28" customFormat="false" ht="15" hidden="false" customHeight="false" outlineLevel="0" collapsed="false">
      <c r="B28" s="2" t="s">
        <v>62</v>
      </c>
      <c r="C28" s="2"/>
      <c r="D28" s="2"/>
      <c r="E28" s="2"/>
      <c r="F28" s="2"/>
      <c r="G28" s="2"/>
    </row>
    <row r="29" customFormat="false" ht="15" hidden="false" customHeight="false" outlineLevel="0" collapsed="false">
      <c r="B29" s="2" t="s">
        <v>63</v>
      </c>
      <c r="C29" s="2"/>
      <c r="D29" s="2"/>
      <c r="E29" s="2"/>
      <c r="F29" s="2"/>
      <c r="G29" s="2"/>
    </row>
    <row r="30" customFormat="false" ht="15" hidden="false" customHeight="false" outlineLevel="0" collapsed="false">
      <c r="B30" s="2" t="s">
        <v>64</v>
      </c>
      <c r="C30" s="2"/>
      <c r="D30" s="2"/>
      <c r="E30" s="2"/>
      <c r="F30" s="2"/>
      <c r="G30" s="2"/>
    </row>
    <row r="31" customFormat="false" ht="15" hidden="false" customHeight="false" outlineLevel="0" collapsed="false">
      <c r="B31" s="2" t="s">
        <v>65</v>
      </c>
      <c r="C31" s="2"/>
      <c r="D31" s="2"/>
      <c r="E31" s="2"/>
      <c r="F31" s="2"/>
      <c r="G31" s="2"/>
    </row>
    <row r="32" customFormat="false" ht="15" hidden="false" customHeight="false" outlineLevel="0" collapsed="false">
      <c r="B32" s="2" t="s">
        <v>66</v>
      </c>
      <c r="C32" s="2"/>
      <c r="D32" s="2"/>
      <c r="E32" s="2"/>
      <c r="F32" s="2"/>
      <c r="G32" s="2"/>
    </row>
    <row r="33" customFormat="false" ht="15" hidden="false" customHeight="false" outlineLevel="0" collapsed="false">
      <c r="B33" s="2" t="s">
        <v>67</v>
      </c>
      <c r="C33" s="2"/>
      <c r="D33" s="2"/>
      <c r="E33" s="2"/>
      <c r="F33" s="2"/>
      <c r="G33" s="2"/>
    </row>
    <row r="34" customFormat="false" ht="15" hidden="false" customHeight="false" outlineLevel="0" collapsed="false">
      <c r="B34" s="2" t="s">
        <v>68</v>
      </c>
      <c r="C34" s="2"/>
      <c r="D34" s="2"/>
      <c r="E34" s="2"/>
      <c r="F34" s="2"/>
      <c r="G34" s="2"/>
    </row>
    <row r="35" customFormat="false" ht="15" hidden="false" customHeight="false" outlineLevel="0" collapsed="false">
      <c r="B35" s="2" t="s">
        <v>69</v>
      </c>
      <c r="C35" s="2"/>
      <c r="D35" s="2"/>
      <c r="E35" s="2"/>
      <c r="F35" s="2"/>
      <c r="G35" s="2"/>
    </row>
    <row r="36" customFormat="false" ht="15" hidden="false" customHeight="false" outlineLevel="0" collapsed="false">
      <c r="B36" s="2" t="s">
        <v>70</v>
      </c>
      <c r="C36" s="2"/>
      <c r="D36" s="2"/>
      <c r="E36" s="2"/>
      <c r="F36" s="2"/>
      <c r="G36" s="2"/>
    </row>
    <row r="37" customFormat="false" ht="15" hidden="false" customHeight="false" outlineLevel="0" collapsed="false">
      <c r="B37" s="2" t="s">
        <v>71</v>
      </c>
      <c r="C37" s="2"/>
      <c r="D37" s="2"/>
      <c r="E37" s="2"/>
      <c r="F37" s="2"/>
      <c r="G37" s="2"/>
    </row>
    <row r="38" customFormat="false" ht="15" hidden="false" customHeight="false" outlineLevel="0" collapsed="false">
      <c r="B38" s="2" t="s">
        <v>72</v>
      </c>
      <c r="C38" s="2"/>
      <c r="D38" s="2"/>
      <c r="E38" s="2"/>
      <c r="F38" s="2"/>
      <c r="G38" s="2"/>
    </row>
    <row r="39" customFormat="false" ht="15" hidden="false" customHeight="false" outlineLevel="0" collapsed="false">
      <c r="B39" s="2" t="s">
        <v>73</v>
      </c>
      <c r="C39" s="2"/>
      <c r="D39" s="2"/>
      <c r="E39" s="2"/>
      <c r="F39" s="2"/>
      <c r="G39" s="2"/>
    </row>
    <row r="40" customFormat="false" ht="15" hidden="false" customHeight="false" outlineLevel="0" collapsed="false">
      <c r="B40" s="2" t="s">
        <v>74</v>
      </c>
      <c r="C40" s="2"/>
      <c r="D40" s="2"/>
      <c r="E40" s="2"/>
      <c r="F40" s="2"/>
      <c r="G40" s="2"/>
    </row>
  </sheetData>
  <mergeCells count="17">
    <mergeCell ref="B2:G2"/>
    <mergeCell ref="B4:G4"/>
    <mergeCell ref="B15:G15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7" min="4" style="0" width="14"/>
  </cols>
  <sheetData>
    <row r="2" customFormat="false" ht="19.7" hidden="false" customHeight="false" outlineLevel="0" collapsed="false">
      <c r="B2" s="1" t="s">
        <v>234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235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3" t="s">
        <v>236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9" t="s">
        <v>237</v>
      </c>
      <c r="C6" s="9" t="s">
        <v>238</v>
      </c>
      <c r="D6" s="9" t="s">
        <v>239</v>
      </c>
      <c r="E6" s="9" t="s">
        <v>240</v>
      </c>
      <c r="F6" s="9" t="s">
        <v>241</v>
      </c>
    </row>
    <row r="7" customFormat="false" ht="15" hidden="false" customHeight="false" outlineLevel="0" collapsed="false">
      <c r="B7" s="4" t="s">
        <v>242</v>
      </c>
      <c r="C7" s="4" t="s">
        <v>243</v>
      </c>
      <c r="D7" s="14" t="n">
        <v>4</v>
      </c>
      <c r="E7" s="11" t="n">
        <f aca="false">IF(36=0,0,D7/36)</f>
        <v>0.111111111111111</v>
      </c>
    </row>
    <row r="8" customFormat="false" ht="15" hidden="false" customHeight="false" outlineLevel="0" collapsed="false">
      <c r="B8" s="4" t="s">
        <v>244</v>
      </c>
      <c r="C8" s="4" t="s">
        <v>245</v>
      </c>
      <c r="D8" s="14" t="n">
        <v>11</v>
      </c>
      <c r="E8" s="11" t="n">
        <f aca="false">IF(36=0,0,D8/36)</f>
        <v>0.305555555555556</v>
      </c>
    </row>
    <row r="9" customFormat="false" ht="15" hidden="false" customHeight="false" outlineLevel="0" collapsed="false">
      <c r="B9" s="4" t="s">
        <v>246</v>
      </c>
      <c r="C9" s="4" t="s">
        <v>247</v>
      </c>
      <c r="D9" s="14" t="n">
        <v>4</v>
      </c>
      <c r="E9" s="11" t="n">
        <f aca="false">IF(36=0,0,D9/36)</f>
        <v>0.111111111111111</v>
      </c>
    </row>
    <row r="10" customFormat="false" ht="15" hidden="false" customHeight="false" outlineLevel="0" collapsed="false">
      <c r="B10" s="4" t="s">
        <v>248</v>
      </c>
      <c r="C10" s="4" t="s">
        <v>249</v>
      </c>
      <c r="D10" s="14" t="n">
        <v>17</v>
      </c>
      <c r="E10" s="11" t="n">
        <f aca="false">IF(36=0,0,D10/36)</f>
        <v>0.472222222222222</v>
      </c>
    </row>
    <row r="11" customFormat="false" ht="15" hidden="false" customHeight="false" outlineLevel="0" collapsed="false">
      <c r="B11" s="5" t="s">
        <v>38</v>
      </c>
      <c r="D11" s="15" t="n">
        <f aca="false">SUM(D7:D10)</f>
        <v>36</v>
      </c>
      <c r="E11" s="13" t="n">
        <v>1</v>
      </c>
      <c r="F11" s="12" t="n">
        <v>60804.36</v>
      </c>
    </row>
    <row r="14" customFormat="false" ht="15" hidden="false" customHeight="false" outlineLevel="0" collapsed="false">
      <c r="B14" s="3" t="s">
        <v>250</v>
      </c>
      <c r="C14" s="3"/>
      <c r="D14" s="3"/>
      <c r="E14" s="3"/>
      <c r="F14" s="3"/>
      <c r="G14" s="3"/>
    </row>
    <row r="15" customFormat="false" ht="15" hidden="false" customHeight="false" outlineLevel="0" collapsed="false">
      <c r="B15" s="9" t="s">
        <v>134</v>
      </c>
      <c r="C15" s="9" t="s">
        <v>239</v>
      </c>
      <c r="D15" s="9" t="s">
        <v>240</v>
      </c>
    </row>
    <row r="16" customFormat="false" ht="15" hidden="false" customHeight="false" outlineLevel="0" collapsed="false">
      <c r="B16" s="4" t="s">
        <v>251</v>
      </c>
      <c r="C16" s="14" t="n">
        <v>12</v>
      </c>
      <c r="D16" s="11" t="n">
        <f aca="false">IF(36=0,0,C16/36)</f>
        <v>0.333333333333333</v>
      </c>
    </row>
    <row r="17" customFormat="false" ht="15" hidden="false" customHeight="false" outlineLevel="0" collapsed="false">
      <c r="B17" s="4" t="s">
        <v>252</v>
      </c>
      <c r="C17" s="14" t="n">
        <v>10</v>
      </c>
      <c r="D17" s="11" t="n">
        <f aca="false">IF(36=0,0,C17/36)</f>
        <v>0.277777777777778</v>
      </c>
    </row>
    <row r="18" customFormat="false" ht="15" hidden="false" customHeight="false" outlineLevel="0" collapsed="false">
      <c r="B18" s="4" t="s">
        <v>248</v>
      </c>
      <c r="C18" s="14" t="n">
        <v>6</v>
      </c>
      <c r="D18" s="11" t="n">
        <f aca="false">IF(36=0,0,C18/36)</f>
        <v>0.166666666666667</v>
      </c>
    </row>
    <row r="19" customFormat="false" ht="15" hidden="false" customHeight="false" outlineLevel="0" collapsed="false">
      <c r="B19" s="4" t="s">
        <v>253</v>
      </c>
      <c r="C19" s="14" t="n">
        <v>5</v>
      </c>
      <c r="D19" s="11" t="n">
        <f aca="false">IF(36=0,0,C19/36)</f>
        <v>0.138888888888889</v>
      </c>
    </row>
    <row r="20" customFormat="false" ht="15" hidden="false" customHeight="false" outlineLevel="0" collapsed="false">
      <c r="B20" s="4" t="s">
        <v>254</v>
      </c>
      <c r="C20" s="14" t="n">
        <v>2</v>
      </c>
      <c r="D20" s="11" t="n">
        <f aca="false">IF(36=0,0,C20/36)</f>
        <v>0.0555555555555556</v>
      </c>
    </row>
    <row r="21" customFormat="false" ht="15" hidden="false" customHeight="false" outlineLevel="0" collapsed="false">
      <c r="B21" s="4" t="s">
        <v>255</v>
      </c>
      <c r="C21" s="14" t="n">
        <v>1</v>
      </c>
      <c r="D21" s="11" t="n">
        <f aca="false">IF(36=0,0,C21/36)</f>
        <v>0.0277777777777778</v>
      </c>
    </row>
    <row r="24" customFormat="false" ht="15" hidden="false" customHeight="false" outlineLevel="0" collapsed="false">
      <c r="B24" s="3" t="s">
        <v>256</v>
      </c>
      <c r="C24" s="3"/>
      <c r="D24" s="3"/>
      <c r="E24" s="3"/>
      <c r="F24" s="3"/>
      <c r="G24" s="3"/>
    </row>
    <row r="25" customFormat="false" ht="15" hidden="false" customHeight="false" outlineLevel="0" collapsed="false">
      <c r="B25" s="4" t="s">
        <v>257</v>
      </c>
      <c r="E25" s="10" t="n">
        <v>60804.36</v>
      </c>
    </row>
    <row r="26" customFormat="false" ht="15" hidden="false" customHeight="false" outlineLevel="0" collapsed="false">
      <c r="B26" s="4" t="s">
        <v>258</v>
      </c>
      <c r="E26" s="14" t="n">
        <v>36</v>
      </c>
    </row>
    <row r="27" customFormat="false" ht="15" hidden="false" customHeight="false" outlineLevel="0" collapsed="false">
      <c r="B27" s="21" t="s">
        <v>259</v>
      </c>
    </row>
    <row r="30" customFormat="false" ht="15" hidden="false" customHeight="false" outlineLevel="0" collapsed="false">
      <c r="B30" s="3" t="s">
        <v>61</v>
      </c>
      <c r="C30" s="3"/>
      <c r="D30" s="3"/>
      <c r="E30" s="3"/>
      <c r="F30" s="3"/>
      <c r="G30" s="3"/>
    </row>
    <row r="31" customFormat="false" ht="15" hidden="false" customHeight="false" outlineLevel="0" collapsed="false">
      <c r="B31" s="2" t="s">
        <v>62</v>
      </c>
      <c r="C31" s="2"/>
      <c r="D31" s="2"/>
      <c r="E31" s="2"/>
      <c r="F31" s="2"/>
      <c r="G31" s="2"/>
    </row>
    <row r="32" customFormat="false" ht="15" hidden="false" customHeight="false" outlineLevel="0" collapsed="false">
      <c r="B32" s="2" t="s">
        <v>63</v>
      </c>
      <c r="C32" s="2"/>
      <c r="D32" s="2"/>
      <c r="E32" s="2"/>
      <c r="F32" s="2"/>
      <c r="G32" s="2"/>
    </row>
    <row r="33" customFormat="false" ht="15" hidden="false" customHeight="false" outlineLevel="0" collapsed="false">
      <c r="B33" s="2" t="s">
        <v>64</v>
      </c>
      <c r="C33" s="2"/>
      <c r="D33" s="2"/>
      <c r="E33" s="2"/>
      <c r="F33" s="2"/>
      <c r="G33" s="2"/>
    </row>
    <row r="34" customFormat="false" ht="15" hidden="false" customHeight="false" outlineLevel="0" collapsed="false">
      <c r="B34" s="2" t="s">
        <v>65</v>
      </c>
      <c r="C34" s="2"/>
      <c r="D34" s="2"/>
      <c r="E34" s="2"/>
      <c r="F34" s="2"/>
      <c r="G34" s="2"/>
    </row>
    <row r="35" customFormat="false" ht="15" hidden="false" customHeight="false" outlineLevel="0" collapsed="false">
      <c r="B35" s="2" t="s">
        <v>66</v>
      </c>
      <c r="C35" s="2"/>
      <c r="D35" s="2"/>
      <c r="E35" s="2"/>
      <c r="F35" s="2"/>
      <c r="G35" s="2"/>
    </row>
    <row r="36" customFormat="false" ht="15" hidden="false" customHeight="false" outlineLevel="0" collapsed="false">
      <c r="B36" s="2" t="s">
        <v>67</v>
      </c>
      <c r="C36" s="2"/>
      <c r="D36" s="2"/>
      <c r="E36" s="2"/>
      <c r="F36" s="2"/>
      <c r="G36" s="2"/>
    </row>
    <row r="37" customFormat="false" ht="15" hidden="false" customHeight="false" outlineLevel="0" collapsed="false">
      <c r="B37" s="2" t="s">
        <v>68</v>
      </c>
      <c r="C37" s="2"/>
      <c r="D37" s="2"/>
      <c r="E37" s="2"/>
      <c r="F37" s="2"/>
      <c r="G37" s="2"/>
    </row>
    <row r="38" customFormat="false" ht="15" hidden="false" customHeight="false" outlineLevel="0" collapsed="false">
      <c r="B38" s="2" t="s">
        <v>69</v>
      </c>
      <c r="C38" s="2"/>
      <c r="D38" s="2"/>
      <c r="E38" s="2"/>
      <c r="F38" s="2"/>
      <c r="G38" s="2"/>
    </row>
    <row r="39" customFormat="false" ht="15" hidden="false" customHeight="false" outlineLevel="0" collapsed="false">
      <c r="B39" s="2" t="s">
        <v>70</v>
      </c>
      <c r="C39" s="2"/>
      <c r="D39" s="2"/>
      <c r="E39" s="2"/>
      <c r="F39" s="2"/>
      <c r="G39" s="2"/>
    </row>
    <row r="40" customFormat="false" ht="15" hidden="false" customHeight="false" outlineLevel="0" collapsed="false">
      <c r="B40" s="2" t="s">
        <v>71</v>
      </c>
      <c r="C40" s="2"/>
      <c r="D40" s="2"/>
      <c r="E40" s="2"/>
      <c r="F40" s="2"/>
      <c r="G40" s="2"/>
    </row>
    <row r="41" customFormat="false" ht="15" hidden="false" customHeight="false" outlineLevel="0" collapsed="false">
      <c r="B41" s="2" t="s">
        <v>72</v>
      </c>
      <c r="C41" s="2"/>
      <c r="D41" s="2"/>
      <c r="E41" s="2"/>
      <c r="F41" s="2"/>
      <c r="G41" s="2"/>
    </row>
    <row r="42" customFormat="false" ht="15" hidden="false" customHeight="false" outlineLevel="0" collapsed="false">
      <c r="B42" s="2" t="s">
        <v>73</v>
      </c>
      <c r="C42" s="2"/>
      <c r="D42" s="2"/>
      <c r="E42" s="2"/>
      <c r="F42" s="2"/>
      <c r="G42" s="2"/>
    </row>
    <row r="43" customFormat="false" ht="15" hidden="false" customHeight="false" outlineLevel="0" collapsed="false">
      <c r="B43" s="2" t="s">
        <v>74</v>
      </c>
      <c r="C43" s="2"/>
      <c r="D43" s="2"/>
      <c r="E43" s="2"/>
      <c r="F43" s="2"/>
      <c r="G43" s="2"/>
    </row>
    <row r="44" customFormat="false" ht="15" hidden="false" customHeight="false" outlineLevel="0" collapsed="false">
      <c r="B44" s="2" t="s">
        <v>260</v>
      </c>
      <c r="C44" s="2"/>
      <c r="D44" s="2"/>
      <c r="E44" s="2"/>
      <c r="F44" s="2"/>
      <c r="G44" s="2"/>
    </row>
    <row r="45" customFormat="false" ht="15" hidden="false" customHeight="false" outlineLevel="0" collapsed="false">
      <c r="B45" s="2" t="s">
        <v>261</v>
      </c>
      <c r="C45" s="2"/>
      <c r="D45" s="2"/>
      <c r="E45" s="2"/>
      <c r="F45" s="2"/>
      <c r="G45" s="2"/>
    </row>
  </sheetData>
  <mergeCells count="21">
    <mergeCell ref="B2:G2"/>
    <mergeCell ref="B3:G3"/>
    <mergeCell ref="B5:G5"/>
    <mergeCell ref="B14:G14"/>
    <mergeCell ref="B24:G24"/>
    <mergeCell ref="B30:G30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8" min="3" style="0" width="14"/>
  </cols>
  <sheetData>
    <row r="2" customFormat="false" ht="19.7" hidden="false" customHeight="false" outlineLevel="0" collapsed="false">
      <c r="B2" s="1" t="s">
        <v>262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263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264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B6" s="4" t="s">
        <v>265</v>
      </c>
      <c r="G6" s="10" t="n">
        <v>232454</v>
      </c>
    </row>
    <row r="7" customFormat="false" ht="15" hidden="false" customHeight="false" outlineLevel="0" collapsed="false">
      <c r="B7" s="4" t="s">
        <v>266</v>
      </c>
      <c r="G7" s="10" t="n">
        <v>10183</v>
      </c>
    </row>
    <row r="8" customFormat="false" ht="15" hidden="false" customHeight="false" outlineLevel="0" collapsed="false">
      <c r="B8" s="4" t="s">
        <v>267</v>
      </c>
      <c r="G8" s="10" t="n">
        <v>242637</v>
      </c>
    </row>
    <row r="9" customFormat="false" ht="15" hidden="false" customHeight="false" outlineLevel="0" collapsed="false">
      <c r="B9" s="4" t="s">
        <v>268</v>
      </c>
      <c r="G9" s="10" t="n">
        <v>12132</v>
      </c>
    </row>
    <row r="10" customFormat="false" ht="15" hidden="false" customHeight="false" outlineLevel="0" collapsed="false">
      <c r="B10" s="4" t="s">
        <v>269</v>
      </c>
      <c r="G10" s="10" t="n">
        <v>230505</v>
      </c>
    </row>
    <row r="12" customFormat="false" ht="15" hidden="false" customHeight="false" outlineLevel="0" collapsed="false">
      <c r="B12" s="3" t="s">
        <v>270</v>
      </c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B13" s="9" t="s">
        <v>271</v>
      </c>
      <c r="C13" s="9" t="s">
        <v>272</v>
      </c>
      <c r="D13" s="9" t="s">
        <v>273</v>
      </c>
      <c r="E13" s="9" t="s">
        <v>274</v>
      </c>
      <c r="F13" s="9" t="s">
        <v>275</v>
      </c>
      <c r="G13" s="9" t="s">
        <v>276</v>
      </c>
      <c r="H13" s="9" t="s">
        <v>277</v>
      </c>
    </row>
    <row r="14" customFormat="false" ht="15" hidden="false" customHeight="false" outlineLevel="0" collapsed="false">
      <c r="B14" s="4" t="n">
        <v>15</v>
      </c>
      <c r="C14" s="4" t="s">
        <v>278</v>
      </c>
      <c r="D14" s="10" t="n">
        <v>15400</v>
      </c>
      <c r="E14" s="10" t="n">
        <v>1760</v>
      </c>
      <c r="F14" s="10" t="n">
        <f aca="false">D14-E14</f>
        <v>13640</v>
      </c>
      <c r="G14" s="10" t="n">
        <v>35200</v>
      </c>
      <c r="H14" s="11" t="n">
        <f aca="false">IF(242637=0,0,G14/242637)</f>
        <v>0.145072680588698</v>
      </c>
    </row>
    <row r="15" customFormat="false" ht="15" hidden="false" customHeight="false" outlineLevel="0" collapsed="false">
      <c r="B15" s="4" t="n">
        <v>17</v>
      </c>
      <c r="C15" s="4" t="s">
        <v>279</v>
      </c>
      <c r="D15" s="10" t="n">
        <v>19800</v>
      </c>
      <c r="E15" s="10" t="n">
        <v>990</v>
      </c>
      <c r="F15" s="10" t="n">
        <f aca="false">D15-E15</f>
        <v>18810</v>
      </c>
      <c r="G15" s="10" t="n">
        <v>19800</v>
      </c>
      <c r="H15" s="11" t="n">
        <f aca="false">IF(242637=0,0,G15/242637)</f>
        <v>0.0816033828311428</v>
      </c>
    </row>
    <row r="16" customFormat="false" ht="15" hidden="false" customHeight="false" outlineLevel="0" collapsed="false">
      <c r="B16" s="4" t="n">
        <v>19</v>
      </c>
      <c r="C16" s="4" t="s">
        <v>280</v>
      </c>
      <c r="D16" s="10" t="n">
        <v>15820</v>
      </c>
      <c r="E16" s="10" t="n">
        <v>2551</v>
      </c>
      <c r="F16" s="10" t="n">
        <f aca="false">D16-E16</f>
        <v>13269</v>
      </c>
      <c r="G16" s="10" t="n">
        <v>51020</v>
      </c>
      <c r="H16" s="11" t="n">
        <f aca="false">IF(242637=0,0,G16/242637)</f>
        <v>0.210272959194187</v>
      </c>
    </row>
    <row r="17" customFormat="false" ht="15" hidden="false" customHeight="false" outlineLevel="0" collapsed="false">
      <c r="B17" s="4" t="n">
        <v>20</v>
      </c>
      <c r="C17" s="4" t="s">
        <v>281</v>
      </c>
      <c r="D17" s="10" t="n">
        <v>31600</v>
      </c>
      <c r="E17" s="10" t="n">
        <v>11623</v>
      </c>
      <c r="F17" s="10" t="n">
        <f aca="false">D17-E17</f>
        <v>19977</v>
      </c>
      <c r="G17" s="10" t="n">
        <v>232454</v>
      </c>
      <c r="H17" s="11" t="n">
        <f aca="false">IF(242637=0,0,G17/242637)</f>
        <v>0.958031957203559</v>
      </c>
    </row>
    <row r="18" customFormat="false" ht="15" hidden="false" customHeight="false" outlineLevel="0" collapsed="false">
      <c r="B18" s="4" t="n">
        <v>20</v>
      </c>
      <c r="C18" s="4" t="s">
        <v>282</v>
      </c>
      <c r="D18" s="10" t="n">
        <v>132760</v>
      </c>
      <c r="E18" s="10" t="n">
        <v>9189</v>
      </c>
      <c r="F18" s="10" t="n">
        <f aca="false">D18-E18</f>
        <v>123571</v>
      </c>
      <c r="G18" s="10" t="n">
        <v>183780</v>
      </c>
      <c r="H18" s="11" t="n">
        <f aca="false">IF(242637=0,0,G18/242637)</f>
        <v>0.757427762459971</v>
      </c>
    </row>
    <row r="19" customFormat="false" ht="15" hidden="false" customHeight="false" outlineLevel="0" collapsed="false">
      <c r="B19" s="4" t="n">
        <v>20</v>
      </c>
      <c r="C19" s="4" t="s">
        <v>283</v>
      </c>
      <c r="D19" s="10" t="n">
        <v>17074</v>
      </c>
      <c r="E19" s="10" t="n">
        <v>10043</v>
      </c>
      <c r="F19" s="10" t="n">
        <f aca="false">D19-E19</f>
        <v>7031</v>
      </c>
      <c r="G19" s="10" t="n">
        <v>200854</v>
      </c>
      <c r="H19" s="11" t="n">
        <f aca="false">IF(242637=0,0,G19/242637)</f>
        <v>0.827796255311432</v>
      </c>
    </row>
    <row r="21" customFormat="false" ht="15" hidden="false" customHeight="false" outlineLevel="0" collapsed="false">
      <c r="B21" s="3" t="s">
        <v>284</v>
      </c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B22" s="9" t="s">
        <v>40</v>
      </c>
      <c r="C22" s="9" t="s">
        <v>285</v>
      </c>
      <c r="D22" s="9" t="s">
        <v>286</v>
      </c>
      <c r="E22" s="9" t="s">
        <v>287</v>
      </c>
      <c r="F22" s="9" t="s">
        <v>288</v>
      </c>
    </row>
    <row r="23" customFormat="false" ht="15" hidden="false" customHeight="false" outlineLevel="0" collapsed="false">
      <c r="B23" s="4" t="s">
        <v>267</v>
      </c>
      <c r="C23" s="10" t="n">
        <v>242637</v>
      </c>
      <c r="D23" s="10" t="n">
        <v>242637</v>
      </c>
      <c r="E23" s="10" t="n">
        <f aca="false">C23-D23</f>
        <v>0</v>
      </c>
      <c r="F23" s="5" t="str">
        <f aca="false">IF(ABS(E23)&lt;=1,"TIES",IF(ABS(E23)&lt;=ABS(D23)*0.05,"WITHIN","OFF"))</f>
        <v>TIES</v>
      </c>
    </row>
    <row r="24" customFormat="false" ht="15" hidden="false" customHeight="false" outlineLevel="0" collapsed="false">
      <c r="B24" s="4" t="s">
        <v>289</v>
      </c>
      <c r="C24" s="10" t="n">
        <v>12132</v>
      </c>
      <c r="D24" s="10" t="n">
        <v>12132</v>
      </c>
      <c r="E24" s="10" t="n">
        <f aca="false">C24-D24</f>
        <v>0</v>
      </c>
      <c r="F24" s="5" t="str">
        <f aca="false">IF(ABS(E24)&lt;=1,"TIES",IF(ABS(E24)&lt;=ABS(D24)*0.05,"WITHIN","OFF"))</f>
        <v>TIES</v>
      </c>
    </row>
    <row r="25" customFormat="false" ht="15" hidden="false" customHeight="false" outlineLevel="0" collapsed="false">
      <c r="B25" s="4" t="s">
        <v>117</v>
      </c>
      <c r="C25" s="10" t="n">
        <v>155475.37</v>
      </c>
      <c r="D25" s="10" t="n">
        <v>155475.37</v>
      </c>
      <c r="E25" s="10" t="n">
        <f aca="false">C25-D25</f>
        <v>0</v>
      </c>
      <c r="F25" s="5" t="str">
        <f aca="false">IF(ABS(E25)&lt;=1,"TIES",IF(ABS(E25)&lt;=ABS(D25)*0.05,"WITHIN","OFF"))</f>
        <v>TIES</v>
      </c>
    </row>
    <row r="29" customFormat="false" ht="15" hidden="false" customHeight="false" outlineLevel="0" collapsed="false">
      <c r="B29" s="3" t="s">
        <v>61</v>
      </c>
      <c r="C29" s="3"/>
      <c r="D29" s="3"/>
      <c r="E29" s="3"/>
      <c r="F29" s="3"/>
      <c r="G29" s="3"/>
      <c r="H29" s="3"/>
    </row>
    <row r="30" customFormat="false" ht="15" hidden="false" customHeight="false" outlineLevel="0" collapsed="false">
      <c r="B30" s="2" t="s">
        <v>62</v>
      </c>
      <c r="C30" s="2"/>
      <c r="D30" s="2"/>
      <c r="E30" s="2"/>
      <c r="F30" s="2"/>
      <c r="G30" s="2"/>
      <c r="H30" s="2"/>
    </row>
    <row r="31" customFormat="false" ht="15" hidden="false" customHeight="false" outlineLevel="0" collapsed="false">
      <c r="B31" s="2" t="s">
        <v>63</v>
      </c>
      <c r="C31" s="2"/>
      <c r="D31" s="2"/>
      <c r="E31" s="2"/>
      <c r="F31" s="2"/>
      <c r="G31" s="2"/>
      <c r="H31" s="2"/>
    </row>
    <row r="32" customFormat="false" ht="15" hidden="false" customHeight="false" outlineLevel="0" collapsed="false">
      <c r="B32" s="2" t="s">
        <v>64</v>
      </c>
      <c r="C32" s="2"/>
      <c r="D32" s="2"/>
      <c r="E32" s="2"/>
      <c r="F32" s="2"/>
      <c r="G32" s="2"/>
      <c r="H32" s="2"/>
    </row>
    <row r="33" customFormat="false" ht="15" hidden="false" customHeight="false" outlineLevel="0" collapsed="false">
      <c r="B33" s="2" t="s">
        <v>65</v>
      </c>
      <c r="C33" s="2"/>
      <c r="D33" s="2"/>
      <c r="E33" s="2"/>
      <c r="F33" s="2"/>
      <c r="G33" s="2"/>
      <c r="H33" s="2"/>
    </row>
    <row r="34" customFormat="false" ht="15" hidden="false" customHeight="false" outlineLevel="0" collapsed="false">
      <c r="B34" s="2" t="s">
        <v>66</v>
      </c>
      <c r="C34" s="2"/>
      <c r="D34" s="2"/>
      <c r="E34" s="2"/>
      <c r="F34" s="2"/>
      <c r="G34" s="2"/>
      <c r="H34" s="2"/>
    </row>
    <row r="35" customFormat="false" ht="15" hidden="false" customHeight="false" outlineLevel="0" collapsed="false">
      <c r="B35" s="2" t="s">
        <v>67</v>
      </c>
      <c r="C35" s="2"/>
      <c r="D35" s="2"/>
      <c r="E35" s="2"/>
      <c r="F35" s="2"/>
      <c r="G35" s="2"/>
      <c r="H35" s="2"/>
    </row>
    <row r="36" customFormat="false" ht="15" hidden="false" customHeight="false" outlineLevel="0" collapsed="false">
      <c r="B36" s="2" t="s">
        <v>68</v>
      </c>
      <c r="C36" s="2"/>
      <c r="D36" s="2"/>
      <c r="E36" s="2"/>
      <c r="F36" s="2"/>
      <c r="G36" s="2"/>
      <c r="H36" s="2"/>
    </row>
    <row r="37" customFormat="false" ht="15" hidden="false" customHeight="false" outlineLevel="0" collapsed="false">
      <c r="B37" s="2" t="s">
        <v>69</v>
      </c>
      <c r="C37" s="2"/>
      <c r="D37" s="2"/>
      <c r="E37" s="2"/>
      <c r="F37" s="2"/>
      <c r="G37" s="2"/>
      <c r="H37" s="2"/>
    </row>
    <row r="38" customFormat="false" ht="15" hidden="false" customHeight="false" outlineLevel="0" collapsed="false">
      <c r="B38" s="2" t="s">
        <v>70</v>
      </c>
      <c r="C38" s="2"/>
      <c r="D38" s="2"/>
      <c r="E38" s="2"/>
      <c r="F38" s="2"/>
      <c r="G38" s="2"/>
      <c r="H38" s="2"/>
    </row>
    <row r="39" customFormat="false" ht="15" hidden="false" customHeight="false" outlineLevel="0" collapsed="false">
      <c r="B39" s="2" t="s">
        <v>71</v>
      </c>
      <c r="C39" s="2"/>
      <c r="D39" s="2"/>
      <c r="E39" s="2"/>
      <c r="F39" s="2"/>
      <c r="G39" s="2"/>
      <c r="H39" s="2"/>
    </row>
    <row r="40" customFormat="false" ht="15" hidden="false" customHeight="false" outlineLevel="0" collapsed="false">
      <c r="B40" s="2" t="s">
        <v>72</v>
      </c>
      <c r="C40" s="2"/>
      <c r="D40" s="2"/>
      <c r="E40" s="2"/>
      <c r="F40" s="2"/>
      <c r="G40" s="2"/>
      <c r="H40" s="2"/>
    </row>
    <row r="41" customFormat="false" ht="15" hidden="false" customHeight="false" outlineLevel="0" collapsed="false">
      <c r="B41" s="2" t="s">
        <v>73</v>
      </c>
      <c r="C41" s="2"/>
      <c r="D41" s="2"/>
      <c r="E41" s="2"/>
      <c r="F41" s="2"/>
      <c r="G41" s="2"/>
      <c r="H41" s="2"/>
    </row>
    <row r="42" customFormat="false" ht="15" hidden="false" customHeight="false" outlineLevel="0" collapsed="false">
      <c r="B42" s="2" t="s">
        <v>74</v>
      </c>
      <c r="C42" s="2"/>
      <c r="D42" s="2"/>
      <c r="E42" s="2"/>
      <c r="F42" s="2"/>
      <c r="G42" s="2"/>
      <c r="H42" s="2"/>
    </row>
  </sheetData>
  <mergeCells count="19">
    <mergeCell ref="B2:H2"/>
    <mergeCell ref="B3:H3"/>
    <mergeCell ref="B5:H5"/>
    <mergeCell ref="B12:H12"/>
    <mergeCell ref="B21:H21"/>
    <mergeCell ref="B29:H29"/>
    <mergeCell ref="B30:H30"/>
    <mergeCell ref="B31:H31"/>
    <mergeCell ref="B32:H32"/>
    <mergeCell ref="B33:H33"/>
    <mergeCell ref="B34:H34"/>
    <mergeCell ref="B35:H35"/>
    <mergeCell ref="B36:H36"/>
    <mergeCell ref="B37:H37"/>
    <mergeCell ref="B38:H38"/>
    <mergeCell ref="B39:H39"/>
    <mergeCell ref="B40:H40"/>
    <mergeCell ref="B41:H41"/>
    <mergeCell ref="B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10"/>
  </cols>
  <sheetData>
    <row r="2" customFormat="false" ht="19.7" hidden="false" customHeight="false" outlineLevel="0" collapsed="false">
      <c r="B2" s="1" t="s">
        <v>290</v>
      </c>
      <c r="C2" s="1"/>
    </row>
    <row r="3" customFormat="false" ht="15" hidden="false" customHeight="false" outlineLevel="0" collapsed="false">
      <c r="B3" s="2" t="s">
        <v>291</v>
      </c>
      <c r="C3" s="2"/>
    </row>
    <row r="5" customFormat="false" ht="31.5" hidden="false" customHeight="true" outlineLevel="0" collapsed="false">
      <c r="B5" s="5" t="s">
        <v>292</v>
      </c>
      <c r="C5" s="24" t="s">
        <v>293</v>
      </c>
    </row>
    <row r="6" customFormat="false" ht="31.5" hidden="false" customHeight="true" outlineLevel="0" collapsed="false">
      <c r="B6" s="5" t="s">
        <v>294</v>
      </c>
      <c r="C6" s="24" t="s">
        <v>295</v>
      </c>
    </row>
    <row r="7" customFormat="false" ht="31.5" hidden="false" customHeight="true" outlineLevel="0" collapsed="false">
      <c r="B7" s="5" t="s">
        <v>296</v>
      </c>
      <c r="C7" s="24" t="s">
        <v>297</v>
      </c>
    </row>
    <row r="8" customFormat="false" ht="31.5" hidden="false" customHeight="true" outlineLevel="0" collapsed="false">
      <c r="B8" s="5" t="s">
        <v>298</v>
      </c>
      <c r="C8" s="24" t="s">
        <v>299</v>
      </c>
    </row>
    <row r="9" customFormat="false" ht="31.5" hidden="false" customHeight="true" outlineLevel="0" collapsed="false">
      <c r="B9" s="5" t="s">
        <v>300</v>
      </c>
      <c r="C9" s="24" t="s">
        <v>301</v>
      </c>
    </row>
    <row r="10" customFormat="false" ht="31.5" hidden="false" customHeight="true" outlineLevel="0" collapsed="false">
      <c r="B10" s="5" t="s">
        <v>302</v>
      </c>
      <c r="C10" s="24" t="s">
        <v>303</v>
      </c>
    </row>
    <row r="11" customFormat="false" ht="31.5" hidden="false" customHeight="true" outlineLevel="0" collapsed="false">
      <c r="B11" s="5" t="s">
        <v>304</v>
      </c>
      <c r="C11" s="24" t="s">
        <v>305</v>
      </c>
    </row>
    <row r="12" customFormat="false" ht="31.5" hidden="false" customHeight="true" outlineLevel="0" collapsed="false">
      <c r="B12" s="5" t="s">
        <v>306</v>
      </c>
      <c r="C12" s="24" t="s">
        <v>307</v>
      </c>
    </row>
    <row r="13" customFormat="false" ht="31.5" hidden="false" customHeight="true" outlineLevel="0" collapsed="false">
      <c r="B13" s="5" t="s">
        <v>308</v>
      </c>
      <c r="C13" s="24" t="s">
        <v>309</v>
      </c>
    </row>
    <row r="14" customFormat="false" ht="31.5" hidden="false" customHeight="true" outlineLevel="0" collapsed="false">
      <c r="B14" s="5" t="s">
        <v>310</v>
      </c>
      <c r="C14" s="24" t="s">
        <v>311</v>
      </c>
    </row>
    <row r="16" customFormat="false" ht="15" hidden="false" customHeight="false" outlineLevel="0" collapsed="false">
      <c r="B16" s="3" t="s">
        <v>312</v>
      </c>
      <c r="C16" s="3"/>
    </row>
    <row r="17" customFormat="false" ht="49.5" hidden="false" customHeight="true" outlineLevel="0" collapsed="false">
      <c r="B17" s="25" t="s">
        <v>313</v>
      </c>
      <c r="C17" s="25"/>
    </row>
    <row r="20" customFormat="false" ht="15" hidden="false" customHeight="false" outlineLevel="0" collapsed="false">
      <c r="B20" s="3" t="s">
        <v>61</v>
      </c>
      <c r="C20" s="3"/>
    </row>
    <row r="21" customFormat="false" ht="15" hidden="false" customHeight="false" outlineLevel="0" collapsed="false">
      <c r="B21" s="2" t="s">
        <v>62</v>
      </c>
      <c r="C21" s="2"/>
    </row>
    <row r="22" customFormat="false" ht="15" hidden="false" customHeight="false" outlineLevel="0" collapsed="false">
      <c r="B22" s="2" t="s">
        <v>63</v>
      </c>
      <c r="C22" s="2"/>
    </row>
    <row r="23" customFormat="false" ht="15" hidden="false" customHeight="false" outlineLevel="0" collapsed="false">
      <c r="B23" s="2" t="s">
        <v>64</v>
      </c>
      <c r="C23" s="2"/>
    </row>
    <row r="24" customFormat="false" ht="15" hidden="false" customHeight="false" outlineLevel="0" collapsed="false">
      <c r="B24" s="2" t="s">
        <v>65</v>
      </c>
      <c r="C24" s="2"/>
    </row>
    <row r="25" customFormat="false" ht="15" hidden="false" customHeight="false" outlineLevel="0" collapsed="false">
      <c r="B25" s="2" t="s">
        <v>66</v>
      </c>
      <c r="C25" s="2"/>
    </row>
    <row r="26" customFormat="false" ht="15" hidden="false" customHeight="false" outlineLevel="0" collapsed="false">
      <c r="B26" s="2" t="s">
        <v>67</v>
      </c>
      <c r="C26" s="2"/>
    </row>
    <row r="27" customFormat="false" ht="15" hidden="false" customHeight="false" outlineLevel="0" collapsed="false">
      <c r="B27" s="2" t="s">
        <v>68</v>
      </c>
      <c r="C27" s="2"/>
    </row>
    <row r="28" customFormat="false" ht="15" hidden="false" customHeight="false" outlineLevel="0" collapsed="false">
      <c r="B28" s="2" t="s">
        <v>69</v>
      </c>
      <c r="C28" s="2"/>
    </row>
    <row r="29" customFormat="false" ht="15" hidden="false" customHeight="false" outlineLevel="0" collapsed="false">
      <c r="B29" s="2" t="s">
        <v>70</v>
      </c>
      <c r="C29" s="2"/>
    </row>
    <row r="30" customFormat="false" ht="15" hidden="false" customHeight="false" outlineLevel="0" collapsed="false">
      <c r="B30" s="2" t="s">
        <v>71</v>
      </c>
      <c r="C30" s="2"/>
    </row>
    <row r="31" customFormat="false" ht="15" hidden="false" customHeight="false" outlineLevel="0" collapsed="false">
      <c r="B31" s="2" t="s">
        <v>72</v>
      </c>
      <c r="C31" s="2"/>
    </row>
    <row r="32" customFormat="false" ht="15" hidden="false" customHeight="false" outlineLevel="0" collapsed="false">
      <c r="B32" s="2" t="s">
        <v>73</v>
      </c>
      <c r="C32" s="2"/>
    </row>
    <row r="33" customFormat="false" ht="15" hidden="false" customHeight="false" outlineLevel="0" collapsed="false">
      <c r="B33" s="2" t="s">
        <v>74</v>
      </c>
      <c r="C33" s="2"/>
    </row>
  </sheetData>
  <mergeCells count="18">
    <mergeCell ref="B2:C2"/>
    <mergeCell ref="B3:C3"/>
    <mergeCell ref="B16:C16"/>
    <mergeCell ref="B17:C1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45"/>
  </cols>
  <sheetData>
    <row r="2" customFormat="false" ht="19.7" hidden="false" customHeight="false" outlineLevel="0" collapsed="false">
      <c r="B2" s="1" t="s">
        <v>314</v>
      </c>
      <c r="C2" s="1"/>
      <c r="D2" s="1"/>
      <c r="E2" s="1"/>
      <c r="F2" s="1"/>
    </row>
    <row r="3" customFormat="false" ht="15" hidden="false" customHeight="false" outlineLevel="0" collapsed="false">
      <c r="B3" s="2" t="s">
        <v>315</v>
      </c>
      <c r="C3" s="2"/>
      <c r="D3" s="2"/>
      <c r="E3" s="2"/>
      <c r="F3" s="2"/>
    </row>
    <row r="5" customFormat="false" ht="15" hidden="false" customHeight="false" outlineLevel="0" collapsed="false">
      <c r="B5" s="9" t="s">
        <v>316</v>
      </c>
      <c r="C5" s="9" t="s">
        <v>317</v>
      </c>
      <c r="D5" s="9" t="s">
        <v>41</v>
      </c>
      <c r="E5" s="9" t="s">
        <v>28</v>
      </c>
      <c r="F5" s="9" t="s">
        <v>214</v>
      </c>
    </row>
    <row r="6" customFormat="false" ht="15" hidden="false" customHeight="false" outlineLevel="0" collapsed="false">
      <c r="B6" s="4" t="s">
        <v>318</v>
      </c>
      <c r="C6" s="26" t="s">
        <v>319</v>
      </c>
      <c r="D6" s="5" t="s">
        <v>4</v>
      </c>
      <c r="E6" s="4" t="s">
        <v>320</v>
      </c>
      <c r="F6" s="21" t="s">
        <v>321</v>
      </c>
    </row>
    <row r="7" customFormat="false" ht="15" hidden="false" customHeight="false" outlineLevel="0" collapsed="false">
      <c r="B7" s="4" t="s">
        <v>322</v>
      </c>
      <c r="C7" s="26" t="s">
        <v>323</v>
      </c>
      <c r="D7" s="5" t="s">
        <v>6</v>
      </c>
      <c r="E7" s="4" t="s">
        <v>320</v>
      </c>
    </row>
    <row r="8" customFormat="false" ht="15" hidden="false" customHeight="false" outlineLevel="0" collapsed="false">
      <c r="B8" s="4" t="s">
        <v>7</v>
      </c>
      <c r="C8" s="26" t="s">
        <v>324</v>
      </c>
      <c r="D8" s="5" t="s">
        <v>8</v>
      </c>
      <c r="E8" s="4" t="s">
        <v>320</v>
      </c>
    </row>
    <row r="9" customFormat="false" ht="15" hidden="false" customHeight="false" outlineLevel="0" collapsed="false">
      <c r="B9" s="4" t="s">
        <v>9</v>
      </c>
      <c r="C9" s="26" t="s">
        <v>325</v>
      </c>
      <c r="D9" s="5" t="s">
        <v>10</v>
      </c>
      <c r="E9" s="4" t="s">
        <v>320</v>
      </c>
    </row>
    <row r="10" customFormat="false" ht="15" hidden="false" customHeight="false" outlineLevel="0" collapsed="false">
      <c r="B10" s="4" t="s">
        <v>326</v>
      </c>
      <c r="C10" s="26" t="s">
        <v>327</v>
      </c>
      <c r="D10" s="5" t="s">
        <v>328</v>
      </c>
      <c r="E10" s="4" t="s">
        <v>320</v>
      </c>
    </row>
    <row r="11" customFormat="false" ht="15" hidden="false" customHeight="false" outlineLevel="0" collapsed="false">
      <c r="B11" s="4" t="s">
        <v>329</v>
      </c>
      <c r="C11" s="26" t="s">
        <v>330</v>
      </c>
      <c r="D11" s="5" t="n">
        <v>11</v>
      </c>
      <c r="E11" s="4" t="s">
        <v>320</v>
      </c>
      <c r="F11" s="21" t="s">
        <v>12</v>
      </c>
    </row>
    <row r="12" customFormat="false" ht="15" hidden="false" customHeight="false" outlineLevel="0" collapsed="false">
      <c r="B12" s="4" t="s">
        <v>331</v>
      </c>
      <c r="C12" s="26" t="s">
        <v>332</v>
      </c>
      <c r="D12" s="5" t="n">
        <v>20</v>
      </c>
      <c r="E12" s="4" t="s">
        <v>320</v>
      </c>
    </row>
    <row r="13" customFormat="false" ht="15" hidden="false" customHeight="false" outlineLevel="0" collapsed="false">
      <c r="B13" s="4" t="s">
        <v>55</v>
      </c>
      <c r="C13" s="26" t="s">
        <v>333</v>
      </c>
      <c r="D13" s="12" t="n">
        <v>140</v>
      </c>
      <c r="E13" s="4" t="s">
        <v>320</v>
      </c>
    </row>
    <row r="14" customFormat="false" ht="15" hidden="false" customHeight="false" outlineLevel="0" collapsed="false">
      <c r="B14" s="4" t="s">
        <v>334</v>
      </c>
      <c r="C14" s="26" t="s">
        <v>335</v>
      </c>
      <c r="D14" s="20" t="n">
        <v>7</v>
      </c>
      <c r="E14" s="4" t="s">
        <v>320</v>
      </c>
    </row>
    <row r="15" customFormat="false" ht="15" hidden="false" customHeight="false" outlineLevel="0" collapsed="false">
      <c r="B15" s="4" t="s">
        <v>336</v>
      </c>
      <c r="C15" s="26" t="s">
        <v>337</v>
      </c>
      <c r="D15" s="12" t="n">
        <v>232454</v>
      </c>
      <c r="E15" s="4" t="s">
        <v>338</v>
      </c>
    </row>
    <row r="16" customFormat="false" ht="15" hidden="false" customHeight="false" outlineLevel="0" collapsed="false">
      <c r="B16" s="4" t="s">
        <v>339</v>
      </c>
      <c r="C16" s="26" t="s">
        <v>340</v>
      </c>
      <c r="D16" s="12" t="n">
        <v>242637</v>
      </c>
      <c r="E16" s="4" t="s">
        <v>338</v>
      </c>
      <c r="F16" s="21" t="s">
        <v>341</v>
      </c>
    </row>
    <row r="17" customFormat="false" ht="15" hidden="false" customHeight="false" outlineLevel="0" collapsed="false">
      <c r="B17" s="4" t="s">
        <v>342</v>
      </c>
      <c r="C17" s="26" t="s">
        <v>343</v>
      </c>
      <c r="D17" s="12" t="n">
        <v>10183</v>
      </c>
      <c r="E17" s="4" t="s">
        <v>338</v>
      </c>
    </row>
    <row r="18" customFormat="false" ht="15" hidden="false" customHeight="false" outlineLevel="0" collapsed="false">
      <c r="B18" s="4" t="s">
        <v>344</v>
      </c>
      <c r="C18" s="26" t="s">
        <v>345</v>
      </c>
      <c r="D18" s="12" t="n">
        <v>242637</v>
      </c>
      <c r="E18" s="4" t="s">
        <v>338</v>
      </c>
    </row>
    <row r="19" customFormat="false" ht="15" hidden="false" customHeight="false" outlineLevel="0" collapsed="false">
      <c r="B19" s="4" t="s">
        <v>346</v>
      </c>
      <c r="C19" s="26" t="s">
        <v>347</v>
      </c>
      <c r="D19" s="12" t="n">
        <v>87161.63</v>
      </c>
      <c r="E19" s="4" t="s">
        <v>338</v>
      </c>
    </row>
    <row r="20" customFormat="false" ht="15" hidden="false" customHeight="false" outlineLevel="0" collapsed="false">
      <c r="B20" s="4" t="s">
        <v>348</v>
      </c>
      <c r="C20" s="26" t="s">
        <v>349</v>
      </c>
      <c r="D20" s="20" t="n">
        <v>0.359226457630122</v>
      </c>
      <c r="E20" s="4" t="s">
        <v>338</v>
      </c>
    </row>
    <row r="21" customFormat="false" ht="15" hidden="false" customHeight="false" outlineLevel="0" collapsed="false">
      <c r="B21" s="4" t="s">
        <v>117</v>
      </c>
      <c r="C21" s="26" t="s">
        <v>350</v>
      </c>
      <c r="D21" s="12" t="n">
        <v>155475.37</v>
      </c>
      <c r="E21" s="4" t="s">
        <v>338</v>
      </c>
    </row>
    <row r="22" customFormat="false" ht="15" hidden="false" customHeight="false" outlineLevel="0" collapsed="false">
      <c r="B22" s="4" t="s">
        <v>351</v>
      </c>
      <c r="C22" s="26" t="s">
        <v>352</v>
      </c>
      <c r="D22" s="12" t="n">
        <v>57917.75</v>
      </c>
      <c r="E22" s="4" t="s">
        <v>34</v>
      </c>
      <c r="F22" s="21" t="s">
        <v>353</v>
      </c>
    </row>
    <row r="23" customFormat="false" ht="15" hidden="false" customHeight="false" outlineLevel="0" collapsed="false">
      <c r="B23" s="4" t="s">
        <v>354</v>
      </c>
      <c r="C23" s="26" t="s">
        <v>355</v>
      </c>
      <c r="D23" s="12" t="n">
        <v>60804.36</v>
      </c>
      <c r="E23" s="4" t="s">
        <v>35</v>
      </c>
      <c r="F23" s="21" t="s">
        <v>356</v>
      </c>
    </row>
    <row r="24" customFormat="false" ht="15" hidden="false" customHeight="false" outlineLevel="0" collapsed="false">
      <c r="B24" s="4" t="s">
        <v>357</v>
      </c>
      <c r="C24" s="26" t="s">
        <v>358</v>
      </c>
      <c r="D24" s="12" t="n">
        <v>7289.5</v>
      </c>
      <c r="E24" s="4" t="s">
        <v>338</v>
      </c>
      <c r="F24" s="21" t="s">
        <v>359</v>
      </c>
    </row>
    <row r="25" customFormat="false" ht="15" hidden="false" customHeight="false" outlineLevel="0" collapsed="false">
      <c r="B25" s="4" t="s">
        <v>360</v>
      </c>
      <c r="C25" s="26" t="s">
        <v>361</v>
      </c>
      <c r="D25" s="12" t="n">
        <v>29463.76</v>
      </c>
      <c r="E25" s="4" t="s">
        <v>338</v>
      </c>
      <c r="F25" s="21" t="s">
        <v>362</v>
      </c>
    </row>
    <row r="26" customFormat="false" ht="15" hidden="false" customHeight="false" outlineLevel="0" collapsed="false">
      <c r="B26" s="4" t="s">
        <v>289</v>
      </c>
      <c r="C26" s="26" t="s">
        <v>363</v>
      </c>
      <c r="D26" s="12" t="n">
        <v>12132</v>
      </c>
      <c r="E26" s="4" t="s">
        <v>338</v>
      </c>
      <c r="F26" s="21" t="s">
        <v>364</v>
      </c>
    </row>
    <row r="27" customFormat="false" ht="15" hidden="false" customHeight="false" outlineLevel="0" collapsed="false">
      <c r="B27" s="4" t="s">
        <v>365</v>
      </c>
      <c r="C27" s="26" t="s">
        <v>366</v>
      </c>
      <c r="D27" s="12" t="n">
        <v>12131.85</v>
      </c>
      <c r="E27" s="4" t="s">
        <v>338</v>
      </c>
    </row>
    <row r="28" customFormat="false" ht="15" hidden="false" customHeight="false" outlineLevel="0" collapsed="false">
      <c r="B28" s="4" t="s">
        <v>367</v>
      </c>
      <c r="C28" s="26" t="s">
        <v>368</v>
      </c>
      <c r="D28" s="12" t="n">
        <v>4358.0815</v>
      </c>
      <c r="E28" s="4" t="s">
        <v>338</v>
      </c>
    </row>
    <row r="29" customFormat="false" ht="15" hidden="false" customHeight="false" outlineLevel="0" collapsed="false">
      <c r="B29" s="4" t="s">
        <v>369</v>
      </c>
      <c r="C29" s="26" t="s">
        <v>370</v>
      </c>
      <c r="D29" s="12" t="n">
        <v>7773.7685</v>
      </c>
      <c r="E29" s="4" t="s">
        <v>338</v>
      </c>
    </row>
    <row r="30" customFormat="false" ht="15" hidden="false" customHeight="false" outlineLevel="0" collapsed="false">
      <c r="B30" s="4" t="s">
        <v>371</v>
      </c>
      <c r="C30" s="26" t="s">
        <v>372</v>
      </c>
      <c r="D30" s="12" t="n">
        <v>2895.8875</v>
      </c>
      <c r="E30" s="4" t="s">
        <v>34</v>
      </c>
    </row>
    <row r="31" customFormat="false" ht="15" hidden="false" customHeight="false" outlineLevel="0" collapsed="false">
      <c r="B31" s="4" t="s">
        <v>373</v>
      </c>
      <c r="C31" s="26" t="s">
        <v>374</v>
      </c>
      <c r="D31" s="12" t="n">
        <v>3040.218</v>
      </c>
      <c r="E31" s="4" t="s">
        <v>35</v>
      </c>
    </row>
    <row r="32" customFormat="false" ht="15" hidden="false" customHeight="false" outlineLevel="0" collapsed="false">
      <c r="B32" s="4" t="s">
        <v>375</v>
      </c>
      <c r="C32" s="26" t="s">
        <v>376</v>
      </c>
      <c r="D32" s="12" t="n">
        <v>1733.12142857143</v>
      </c>
      <c r="E32" s="4" t="s">
        <v>338</v>
      </c>
    </row>
    <row r="33" customFormat="false" ht="15" hidden="false" customHeight="false" outlineLevel="0" collapsed="false">
      <c r="B33" s="4" t="s">
        <v>377</v>
      </c>
      <c r="C33" s="26" t="s">
        <v>378</v>
      </c>
      <c r="D33" s="12" t="n">
        <v>622.583071428571</v>
      </c>
      <c r="E33" s="4" t="s">
        <v>338</v>
      </c>
    </row>
    <row r="34" customFormat="false" ht="15" hidden="false" customHeight="false" outlineLevel="0" collapsed="false">
      <c r="B34" s="4" t="s">
        <v>379</v>
      </c>
      <c r="C34" s="26" t="s">
        <v>380</v>
      </c>
      <c r="D34" s="12" t="n">
        <v>1110.53835714286</v>
      </c>
      <c r="E34" s="4" t="s">
        <v>338</v>
      </c>
    </row>
    <row r="35" customFormat="false" ht="15" hidden="false" customHeight="false" outlineLevel="0" collapsed="false">
      <c r="B35" s="4" t="s">
        <v>381</v>
      </c>
      <c r="C35" s="26" t="s">
        <v>382</v>
      </c>
      <c r="D35" s="12" t="n">
        <v>413.698214285714</v>
      </c>
      <c r="E35" s="4" t="s">
        <v>34</v>
      </c>
    </row>
    <row r="36" customFormat="false" ht="15" hidden="false" customHeight="false" outlineLevel="0" collapsed="false">
      <c r="B36" s="4" t="s">
        <v>383</v>
      </c>
      <c r="C36" s="26" t="s">
        <v>384</v>
      </c>
      <c r="D36" s="12" t="n">
        <v>434.316857142857</v>
      </c>
      <c r="E36" s="4" t="s">
        <v>35</v>
      </c>
    </row>
    <row r="37" customFormat="false" ht="15" hidden="false" customHeight="false" outlineLevel="0" collapsed="false">
      <c r="B37" s="4" t="s">
        <v>385</v>
      </c>
      <c r="C37" s="26" t="s">
        <v>386</v>
      </c>
      <c r="D37" s="12" t="n">
        <v>2454</v>
      </c>
      <c r="E37" s="4" t="s">
        <v>34</v>
      </c>
      <c r="F37" s="21" t="s">
        <v>387</v>
      </c>
    </row>
    <row r="38" customFormat="false" ht="15" hidden="false" customHeight="false" outlineLevel="0" collapsed="false">
      <c r="B38" s="4" t="s">
        <v>388</v>
      </c>
      <c r="C38" s="26" t="s">
        <v>389</v>
      </c>
      <c r="D38" s="5" t="n">
        <v>20</v>
      </c>
      <c r="E38" s="4" t="s">
        <v>34</v>
      </c>
      <c r="F38" s="21" t="s">
        <v>390</v>
      </c>
    </row>
    <row r="39" customFormat="false" ht="15" hidden="false" customHeight="false" outlineLevel="0" collapsed="false">
      <c r="B39" s="4" t="s">
        <v>189</v>
      </c>
      <c r="C39" s="26" t="s">
        <v>391</v>
      </c>
      <c r="D39" s="13" t="n">
        <v>17.6982477587612</v>
      </c>
      <c r="E39" s="4" t="s">
        <v>34</v>
      </c>
      <c r="F39" s="21" t="s">
        <v>392</v>
      </c>
    </row>
    <row r="40" customFormat="false" ht="15" hidden="false" customHeight="false" outlineLevel="0" collapsed="false">
      <c r="B40" s="4" t="s">
        <v>191</v>
      </c>
      <c r="C40" s="26" t="s">
        <v>393</v>
      </c>
      <c r="D40" s="13" t="n">
        <v>35.6077872860636</v>
      </c>
      <c r="E40" s="4" t="s">
        <v>34</v>
      </c>
      <c r="F40" s="21" t="s">
        <v>394</v>
      </c>
    </row>
    <row r="41" customFormat="false" ht="15" hidden="false" customHeight="false" outlineLevel="0" collapsed="false">
      <c r="B41" s="4" t="s">
        <v>193</v>
      </c>
      <c r="C41" s="26" t="s">
        <v>395</v>
      </c>
      <c r="D41" s="20" t="n">
        <v>2.01193856993196</v>
      </c>
      <c r="E41" s="4" t="s">
        <v>34</v>
      </c>
    </row>
    <row r="42" customFormat="false" ht="15" hidden="false" customHeight="false" outlineLevel="0" collapsed="false">
      <c r="B42" s="4" t="s">
        <v>396</v>
      </c>
      <c r="C42" s="26" t="s">
        <v>397</v>
      </c>
      <c r="D42" s="12" t="n">
        <v>122.7</v>
      </c>
      <c r="E42" s="4" t="s">
        <v>34</v>
      </c>
      <c r="F42" s="21" t="s">
        <v>398</v>
      </c>
    </row>
    <row r="43" customFormat="false" ht="15" hidden="false" customHeight="false" outlineLevel="0" collapsed="false">
      <c r="B43" s="4" t="s">
        <v>399</v>
      </c>
      <c r="C43" s="26" t="s">
        <v>400</v>
      </c>
      <c r="D43" s="13" t="n">
        <v>17.5285714285714</v>
      </c>
      <c r="E43" s="4" t="s">
        <v>34</v>
      </c>
      <c r="F43" s="21" t="s">
        <v>398</v>
      </c>
    </row>
    <row r="44" customFormat="false" ht="15" hidden="false" customHeight="false" outlineLevel="0" collapsed="false">
      <c r="B44" s="4" t="s">
        <v>401</v>
      </c>
      <c r="C44" s="26" t="s">
        <v>402</v>
      </c>
      <c r="D44" s="13" t="n">
        <v>98.8740831295844</v>
      </c>
      <c r="E44" s="4" t="s">
        <v>403</v>
      </c>
    </row>
    <row r="45" customFormat="false" ht="15" hidden="false" customHeight="false" outlineLevel="0" collapsed="false">
      <c r="B45" s="4" t="s">
        <v>404</v>
      </c>
      <c r="C45" s="26" t="s">
        <v>405</v>
      </c>
      <c r="D45" s="13" t="n">
        <v>35.5181866340668</v>
      </c>
      <c r="E45" s="4" t="s">
        <v>403</v>
      </c>
    </row>
    <row r="46" customFormat="false" ht="15" hidden="false" customHeight="false" outlineLevel="0" collapsed="false">
      <c r="B46" s="4" t="s">
        <v>406</v>
      </c>
      <c r="C46" s="26" t="s">
        <v>407</v>
      </c>
      <c r="D46" s="20" t="n">
        <v>0.238701228584264</v>
      </c>
      <c r="E46" s="4" t="s">
        <v>408</v>
      </c>
    </row>
    <row r="47" customFormat="false" ht="15" hidden="false" customHeight="false" outlineLevel="0" collapsed="false">
      <c r="B47" s="4" t="s">
        <v>409</v>
      </c>
      <c r="C47" s="26" t="s">
        <v>410</v>
      </c>
      <c r="D47" s="20" t="n">
        <v>0.250598053882961</v>
      </c>
      <c r="E47" s="4" t="s">
        <v>408</v>
      </c>
    </row>
    <row r="48" customFormat="false" ht="15" hidden="false" customHeight="false" outlineLevel="0" collapsed="false">
      <c r="B48" s="4" t="s">
        <v>411</v>
      </c>
      <c r="C48" s="26" t="s">
        <v>412</v>
      </c>
      <c r="D48" s="12" t="n">
        <v>22057.9090909091</v>
      </c>
      <c r="E48" s="4" t="s">
        <v>403</v>
      </c>
    </row>
    <row r="49" customFormat="false" ht="15" hidden="false" customHeight="false" outlineLevel="0" collapsed="false">
      <c r="B49" s="4" t="s">
        <v>413</v>
      </c>
      <c r="C49" s="26" t="s">
        <v>414</v>
      </c>
      <c r="D49" s="12" t="n">
        <v>223.090909090909</v>
      </c>
      <c r="E49" s="4" t="s">
        <v>403</v>
      </c>
    </row>
    <row r="50" customFormat="false" ht="15" hidden="false" customHeight="false" outlineLevel="0" collapsed="false">
      <c r="B50" s="4" t="s">
        <v>415</v>
      </c>
      <c r="C50" s="26" t="s">
        <v>416</v>
      </c>
      <c r="D50" s="20" t="n">
        <v>1.81818181818182</v>
      </c>
      <c r="E50" s="4" t="s">
        <v>403</v>
      </c>
    </row>
    <row r="51" customFormat="false" ht="15" hidden="false" customHeight="false" outlineLevel="0" collapsed="false">
      <c r="B51" s="4" t="s">
        <v>417</v>
      </c>
      <c r="C51" s="26" t="s">
        <v>418</v>
      </c>
      <c r="D51" s="5" t="n">
        <v>13</v>
      </c>
      <c r="E51" s="4" t="s">
        <v>35</v>
      </c>
      <c r="F51" s="21" t="s">
        <v>419</v>
      </c>
    </row>
    <row r="52" customFormat="false" ht="15" hidden="false" customHeight="false" outlineLevel="0" collapsed="false">
      <c r="B52" s="4" t="s">
        <v>420</v>
      </c>
      <c r="C52" s="26" t="s">
        <v>421</v>
      </c>
      <c r="D52" s="12" t="n">
        <v>23840.61</v>
      </c>
      <c r="E52" s="4" t="s">
        <v>35</v>
      </c>
      <c r="F52" s="21" t="s">
        <v>139</v>
      </c>
    </row>
    <row r="53" customFormat="false" ht="15" hidden="false" customHeight="false" outlineLevel="0" collapsed="false">
      <c r="B53" s="4" t="s">
        <v>422</v>
      </c>
      <c r="C53" s="26" t="s">
        <v>423</v>
      </c>
      <c r="D53" s="20" t="n">
        <v>0.386723743727458</v>
      </c>
      <c r="E53" s="4" t="s">
        <v>35</v>
      </c>
    </row>
    <row r="54" customFormat="false" ht="15" hidden="false" customHeight="false" outlineLevel="0" collapsed="false">
      <c r="B54" s="4" t="s">
        <v>424</v>
      </c>
      <c r="C54" s="26" t="s">
        <v>425</v>
      </c>
      <c r="D54" s="5" t="n">
        <v>36</v>
      </c>
      <c r="E54" s="4" t="s">
        <v>35</v>
      </c>
      <c r="F54" s="21" t="s">
        <v>426</v>
      </c>
    </row>
    <row r="55" customFormat="false" ht="15" hidden="false" customHeight="false" outlineLevel="0" collapsed="false">
      <c r="B55" s="4" t="s">
        <v>427</v>
      </c>
      <c r="C55" s="26" t="s">
        <v>428</v>
      </c>
      <c r="D55" s="20" t="n">
        <v>0.0438065165581147</v>
      </c>
      <c r="E55" s="4" t="s">
        <v>338</v>
      </c>
    </row>
    <row r="56" customFormat="false" ht="15" hidden="false" customHeight="false" outlineLevel="0" collapsed="false">
      <c r="B56" s="4" t="s">
        <v>429</v>
      </c>
      <c r="C56" s="26" t="s">
        <v>430</v>
      </c>
      <c r="D56" s="13" t="n">
        <v>98.8740831295844</v>
      </c>
      <c r="E56" s="4" t="s">
        <v>403</v>
      </c>
    </row>
    <row r="60" customFormat="false" ht="15" hidden="false" customHeight="false" outlineLevel="0" collapsed="false">
      <c r="B60" s="3" t="s">
        <v>61</v>
      </c>
      <c r="C60" s="3"/>
      <c r="D60" s="3"/>
      <c r="E60" s="3"/>
      <c r="F60" s="3"/>
    </row>
    <row r="61" customFormat="false" ht="15" hidden="false" customHeight="false" outlineLevel="0" collapsed="false">
      <c r="B61" s="2" t="s">
        <v>62</v>
      </c>
      <c r="C61" s="2"/>
      <c r="D61" s="2"/>
      <c r="E61" s="2"/>
      <c r="F61" s="2"/>
    </row>
    <row r="62" customFormat="false" ht="15" hidden="false" customHeight="false" outlineLevel="0" collapsed="false">
      <c r="B62" s="2" t="s">
        <v>63</v>
      </c>
      <c r="C62" s="2"/>
      <c r="D62" s="2"/>
      <c r="E62" s="2"/>
      <c r="F62" s="2"/>
    </row>
    <row r="63" customFormat="false" ht="15" hidden="false" customHeight="false" outlineLevel="0" collapsed="false">
      <c r="B63" s="2" t="s">
        <v>64</v>
      </c>
      <c r="C63" s="2"/>
      <c r="D63" s="2"/>
      <c r="E63" s="2"/>
      <c r="F63" s="2"/>
    </row>
    <row r="64" customFormat="false" ht="15" hidden="false" customHeight="false" outlineLevel="0" collapsed="false">
      <c r="B64" s="2" t="s">
        <v>65</v>
      </c>
      <c r="C64" s="2"/>
      <c r="D64" s="2"/>
      <c r="E64" s="2"/>
      <c r="F64" s="2"/>
    </row>
    <row r="65" customFormat="false" ht="15" hidden="false" customHeight="false" outlineLevel="0" collapsed="false">
      <c r="B65" s="2" t="s">
        <v>66</v>
      </c>
      <c r="C65" s="2"/>
      <c r="D65" s="2"/>
      <c r="E65" s="2"/>
      <c r="F65" s="2"/>
    </row>
    <row r="66" customFormat="false" ht="15" hidden="false" customHeight="false" outlineLevel="0" collapsed="false">
      <c r="B66" s="2" t="s">
        <v>67</v>
      </c>
      <c r="C66" s="2"/>
      <c r="D66" s="2"/>
      <c r="E66" s="2"/>
      <c r="F66" s="2"/>
    </row>
    <row r="67" customFormat="false" ht="15" hidden="false" customHeight="false" outlineLevel="0" collapsed="false">
      <c r="B67" s="2" t="s">
        <v>68</v>
      </c>
      <c r="C67" s="2"/>
      <c r="D67" s="2"/>
      <c r="E67" s="2"/>
      <c r="F67" s="2"/>
    </row>
    <row r="68" customFormat="false" ht="15" hidden="false" customHeight="false" outlineLevel="0" collapsed="false">
      <c r="B68" s="2" t="s">
        <v>69</v>
      </c>
      <c r="C68" s="2"/>
      <c r="D68" s="2"/>
      <c r="E68" s="2"/>
      <c r="F68" s="2"/>
    </row>
    <row r="69" customFormat="false" ht="15" hidden="false" customHeight="false" outlineLevel="0" collapsed="false">
      <c r="B69" s="2" t="s">
        <v>70</v>
      </c>
      <c r="C69" s="2"/>
      <c r="D69" s="2"/>
      <c r="E69" s="2"/>
      <c r="F69" s="2"/>
    </row>
    <row r="70" customFormat="false" ht="15" hidden="false" customHeight="false" outlineLevel="0" collapsed="false">
      <c r="B70" s="2" t="s">
        <v>71</v>
      </c>
      <c r="C70" s="2"/>
      <c r="D70" s="2"/>
      <c r="E70" s="2"/>
      <c r="F70" s="2"/>
    </row>
    <row r="71" customFormat="false" ht="15" hidden="false" customHeight="false" outlineLevel="0" collapsed="false">
      <c r="B71" s="2" t="s">
        <v>72</v>
      </c>
      <c r="C71" s="2"/>
      <c r="D71" s="2"/>
      <c r="E71" s="2"/>
      <c r="F71" s="2"/>
    </row>
    <row r="72" customFormat="false" ht="15" hidden="false" customHeight="false" outlineLevel="0" collapsed="false">
      <c r="B72" s="2" t="s">
        <v>73</v>
      </c>
      <c r="C72" s="2"/>
      <c r="D72" s="2"/>
      <c r="E72" s="2"/>
      <c r="F72" s="2"/>
    </row>
    <row r="73" customFormat="false" ht="15" hidden="false" customHeight="false" outlineLevel="0" collapsed="false">
      <c r="B73" s="2" t="s">
        <v>74</v>
      </c>
      <c r="C73" s="2"/>
      <c r="D73" s="2"/>
      <c r="E73" s="2"/>
      <c r="F73" s="2"/>
    </row>
    <row r="74" customFormat="false" ht="15" hidden="false" customHeight="false" outlineLevel="0" collapsed="false">
      <c r="B74" s="2" t="s">
        <v>431</v>
      </c>
      <c r="C74" s="2"/>
      <c r="D74" s="2"/>
      <c r="E74" s="2"/>
      <c r="F74" s="2"/>
    </row>
  </sheetData>
  <mergeCells count="17">
    <mergeCell ref="B2:F2"/>
    <mergeCell ref="B3:F3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6" min="3" style="0" width="14"/>
  </cols>
  <sheetData>
    <row r="2" customFormat="false" ht="19.7" hidden="false" customHeight="false" outlineLevel="0" collapsed="false">
      <c r="B2" s="1" t="s">
        <v>432</v>
      </c>
      <c r="C2" s="1"/>
      <c r="D2" s="1"/>
      <c r="E2" s="1"/>
      <c r="F2" s="1"/>
    </row>
    <row r="4" customFormat="false" ht="15" hidden="false" customHeight="false" outlineLevel="0" collapsed="false">
      <c r="B4" s="9" t="s">
        <v>433</v>
      </c>
      <c r="C4" s="9" t="s">
        <v>434</v>
      </c>
      <c r="D4" s="9" t="s">
        <v>435</v>
      </c>
      <c r="E4" s="9" t="s">
        <v>287</v>
      </c>
      <c r="F4" s="9" t="s">
        <v>288</v>
      </c>
    </row>
    <row r="5" customFormat="false" ht="15" hidden="false" customHeight="false" outlineLevel="0" collapsed="false">
      <c r="B5" s="3" t="s">
        <v>436</v>
      </c>
      <c r="C5" s="3"/>
      <c r="D5" s="3"/>
      <c r="E5" s="3"/>
      <c r="F5" s="3"/>
    </row>
    <row r="6" customFormat="false" ht="15" hidden="false" customHeight="false" outlineLevel="0" collapsed="false">
      <c r="B6" s="4" t="s">
        <v>437</v>
      </c>
      <c r="C6" s="10" t="n">
        <v>57917.75</v>
      </c>
      <c r="D6" s="10" t="n">
        <v>57917.75</v>
      </c>
      <c r="E6" s="10" t="n">
        <f aca="false">C6-D6</f>
        <v>0</v>
      </c>
      <c r="F6" s="5" t="str">
        <f aca="false">IF(ABS(E6)&lt;=1,"TIES",IF(ABS(E6)&lt;=ABS(D6)*0.05,"WITHIN","OFF"))</f>
        <v>TIES</v>
      </c>
    </row>
    <row r="7" customFormat="false" ht="15" hidden="false" customHeight="false" outlineLevel="0" collapsed="false">
      <c r="B7" s="4" t="s">
        <v>438</v>
      </c>
      <c r="C7" s="10" t="n">
        <v>60804.36</v>
      </c>
      <c r="D7" s="10" t="n">
        <v>60804.36</v>
      </c>
      <c r="E7" s="10" t="n">
        <f aca="false">C7-D7</f>
        <v>0</v>
      </c>
      <c r="F7" s="5" t="str">
        <f aca="false">IF(ABS(E7)&lt;=1,"TIES",IF(ABS(E7)&lt;=ABS(D7)*0.05,"WITHIN","OFF"))</f>
        <v>TIES</v>
      </c>
    </row>
    <row r="8" customFormat="false" ht="15" hidden="false" customHeight="false" outlineLevel="0" collapsed="false">
      <c r="B8" s="4" t="s">
        <v>439</v>
      </c>
      <c r="C8" s="10" t="n">
        <v>7289.5</v>
      </c>
      <c r="D8" s="10" t="n">
        <v>7289.5</v>
      </c>
      <c r="E8" s="10" t="n">
        <f aca="false">C8-D8</f>
        <v>0</v>
      </c>
      <c r="F8" s="5" t="str">
        <f aca="false">IF(ABS(E8)&lt;=1,"TIES",IF(ABS(E8)&lt;=ABS(D8)*0.05,"WITHIN","OFF"))</f>
        <v>TIES</v>
      </c>
    </row>
    <row r="9" customFormat="false" ht="15" hidden="false" customHeight="false" outlineLevel="0" collapsed="false">
      <c r="B9" s="4" t="s">
        <v>440</v>
      </c>
      <c r="C9" s="10" t="n">
        <v>29463.76</v>
      </c>
      <c r="D9" s="10" t="n">
        <v>29463.76</v>
      </c>
      <c r="E9" s="10" t="n">
        <f aca="false">C9-D9</f>
        <v>0</v>
      </c>
      <c r="F9" s="5" t="str">
        <f aca="false">IF(ABS(E9)&lt;=1,"TIES",IF(ABS(E9)&lt;=ABS(D9)*0.05,"WITHIN","OFF"))</f>
        <v>TIES</v>
      </c>
    </row>
    <row r="10" customFormat="false" ht="15" hidden="false" customHeight="false" outlineLevel="0" collapsed="false">
      <c r="B10" s="4" t="s">
        <v>441</v>
      </c>
      <c r="C10" s="10" t="n">
        <v>155475.37</v>
      </c>
      <c r="D10" s="10" t="n">
        <v>155475.37</v>
      </c>
      <c r="E10" s="10" t="n">
        <f aca="false">C10-D10</f>
        <v>0</v>
      </c>
      <c r="F10" s="5" t="str">
        <f aca="false">IF(ABS(E10)&lt;=1,"TIES",IF(ABS(E10)&lt;=ABS(D10)*0.05,"WITHIN","OFF"))</f>
        <v>TIES</v>
      </c>
    </row>
    <row r="11" customFormat="false" ht="15" hidden="false" customHeight="false" outlineLevel="0" collapsed="false">
      <c r="B11" s="4" t="s">
        <v>442</v>
      </c>
      <c r="C11" s="10" t="n">
        <v>242637</v>
      </c>
      <c r="D11" s="10" t="n">
        <v>242637</v>
      </c>
      <c r="E11" s="10" t="n">
        <f aca="false">C11-D11</f>
        <v>0</v>
      </c>
      <c r="F11" s="5" t="str">
        <f aca="false">IF(ABS(E11)&lt;=1,"TIES",IF(ABS(E11)&lt;=ABS(D11)*0.05,"WITHIN","OFF"))</f>
        <v>TIES</v>
      </c>
    </row>
    <row r="12" customFormat="false" ht="15" hidden="false" customHeight="false" outlineLevel="0" collapsed="false">
      <c r="B12" s="4" t="s">
        <v>443</v>
      </c>
      <c r="C12" s="10" t="n">
        <v>87161.63</v>
      </c>
      <c r="D12" s="10" t="n">
        <v>87161.63</v>
      </c>
      <c r="E12" s="10" t="n">
        <f aca="false">C12-D12</f>
        <v>0</v>
      </c>
      <c r="F12" s="5" t="str">
        <f aca="false">IF(ABS(E12)&lt;=1,"TIES",IF(ABS(E12)&lt;=ABS(D12)*0.05,"WITHIN","OFF"))</f>
        <v>TIES</v>
      </c>
    </row>
    <row r="14" customFormat="false" ht="15" hidden="false" customHeight="false" outlineLevel="0" collapsed="false">
      <c r="B14" s="3" t="s">
        <v>444</v>
      </c>
      <c r="C14" s="3"/>
      <c r="D14" s="3"/>
      <c r="E14" s="3"/>
      <c r="F14" s="3"/>
    </row>
    <row r="15" customFormat="false" ht="15" hidden="false" customHeight="false" outlineLevel="0" collapsed="false">
      <c r="B15" s="4" t="s">
        <v>445</v>
      </c>
      <c r="C15" s="27" t="n">
        <v>2454</v>
      </c>
      <c r="D15" s="27" t="n">
        <v>2454</v>
      </c>
      <c r="E15" s="27" t="n">
        <f aca="false">C15-D15</f>
        <v>0</v>
      </c>
      <c r="F15" s="5" t="str">
        <f aca="false">IF(ABS(E15)&lt;=5,"TIES",IF(ABS(E15)&lt;=ABS(D15)*0.05,"WITHIN","OFF"))</f>
        <v>TIES</v>
      </c>
    </row>
    <row r="16" customFormat="false" ht="15" hidden="false" customHeight="false" outlineLevel="0" collapsed="false">
      <c r="B16" s="4" t="s">
        <v>446</v>
      </c>
      <c r="C16" s="27" t="n">
        <v>1976</v>
      </c>
      <c r="D16" s="27" t="n">
        <v>2454</v>
      </c>
      <c r="E16" s="27" t="n">
        <f aca="false">C16-D16</f>
        <v>-478</v>
      </c>
      <c r="F16" s="5" t="str">
        <f aca="false">IF(ABS(E16)&lt;=5,"TIES",IF(ABS(E16)&lt;=ABS(D16)*0.05,"WITHIN","OFF"))</f>
        <v>OFF</v>
      </c>
    </row>
    <row r="18" customFormat="false" ht="15" hidden="false" customHeight="false" outlineLevel="0" collapsed="false">
      <c r="B18" s="3" t="s">
        <v>447</v>
      </c>
      <c r="C18" s="3"/>
      <c r="D18" s="3"/>
      <c r="E18" s="3"/>
      <c r="F18" s="3"/>
    </row>
    <row r="19" customFormat="false" ht="15" hidden="false" customHeight="false" outlineLevel="0" collapsed="false">
      <c r="B19" s="4" t="s">
        <v>267</v>
      </c>
      <c r="C19" s="10" t="n">
        <v>242637</v>
      </c>
      <c r="D19" s="10" t="n">
        <v>242637</v>
      </c>
      <c r="E19" s="10" t="n">
        <f aca="false">C19-D19</f>
        <v>0</v>
      </c>
      <c r="F19" s="5" t="str">
        <f aca="false">IF(ABS(E19)&lt;=1,"TIES",IF(ABS(E19)&lt;=ABS(D19)*0.05,"WITHIN","OFF"))</f>
        <v>TIES</v>
      </c>
    </row>
    <row r="20" customFormat="false" ht="15" hidden="false" customHeight="false" outlineLevel="0" collapsed="false">
      <c r="B20" s="4" t="s">
        <v>289</v>
      </c>
      <c r="C20" s="10" t="n">
        <v>12132</v>
      </c>
      <c r="D20" s="10" t="n">
        <v>12132</v>
      </c>
      <c r="E20" s="10" t="n">
        <f aca="false">C20-D20</f>
        <v>0</v>
      </c>
      <c r="F20" s="5" t="str">
        <f aca="false">IF(ABS(E20)&lt;=1,"TIES",IF(ABS(E20)&lt;=ABS(D20)*0.05,"WITHIN","OFF"))</f>
        <v>TIES</v>
      </c>
    </row>
    <row r="21" customFormat="false" ht="15" hidden="false" customHeight="false" outlineLevel="0" collapsed="false">
      <c r="B21" s="4" t="s">
        <v>117</v>
      </c>
      <c r="C21" s="10" t="n">
        <v>155475.37</v>
      </c>
      <c r="D21" s="10" t="n">
        <v>155475.37</v>
      </c>
      <c r="E21" s="10" t="n">
        <f aca="false">C21-D21</f>
        <v>0</v>
      </c>
      <c r="F21" s="5" t="str">
        <f aca="false">IF(ABS(E21)&lt;=1,"TIES",IF(ABS(E21)&lt;=ABS(D21)*0.05,"WITHIN","OFF"))</f>
        <v>TIES</v>
      </c>
    </row>
    <row r="23" customFormat="false" ht="15" hidden="false" customHeight="false" outlineLevel="0" collapsed="false">
      <c r="B23" s="3" t="s">
        <v>448</v>
      </c>
      <c r="C23" s="3"/>
      <c r="D23" s="3"/>
      <c r="E23" s="3"/>
      <c r="F23" s="3"/>
    </row>
    <row r="24" customFormat="false" ht="15" hidden="false" customHeight="false" outlineLevel="0" collapsed="false">
      <c r="B24" s="4" t="s">
        <v>449</v>
      </c>
      <c r="C24" s="10" t="n">
        <v>61647.65</v>
      </c>
      <c r="D24" s="10" t="n">
        <v>61648</v>
      </c>
      <c r="E24" s="10" t="n">
        <f aca="false">C24-D24</f>
        <v>-0.349999999976717</v>
      </c>
      <c r="F24" s="5" t="str">
        <f aca="false">IF(ABS(E24)&lt;=5,"TIES",IF(ABS(E24)&lt;=ABS(D24)*0.05,"WITHIN","OFF"))</f>
        <v>TIES</v>
      </c>
    </row>
    <row r="28" customFormat="false" ht="15" hidden="false" customHeight="false" outlineLevel="0" collapsed="false">
      <c r="B28" s="3" t="s">
        <v>61</v>
      </c>
      <c r="C28" s="3"/>
      <c r="D28" s="3"/>
      <c r="E28" s="3"/>
      <c r="F28" s="3"/>
    </row>
    <row r="29" customFormat="false" ht="15" hidden="false" customHeight="false" outlineLevel="0" collapsed="false">
      <c r="B29" s="2" t="s">
        <v>62</v>
      </c>
      <c r="C29" s="2"/>
      <c r="D29" s="2"/>
      <c r="E29" s="2"/>
      <c r="F29" s="2"/>
    </row>
    <row r="30" customFormat="false" ht="15" hidden="false" customHeight="false" outlineLevel="0" collapsed="false">
      <c r="B30" s="2" t="s">
        <v>63</v>
      </c>
      <c r="C30" s="2"/>
      <c r="D30" s="2"/>
      <c r="E30" s="2"/>
      <c r="F30" s="2"/>
    </row>
    <row r="31" customFormat="false" ht="15" hidden="false" customHeight="false" outlineLevel="0" collapsed="false">
      <c r="B31" s="2" t="s">
        <v>64</v>
      </c>
      <c r="C31" s="2"/>
      <c r="D31" s="2"/>
      <c r="E31" s="2"/>
      <c r="F31" s="2"/>
    </row>
    <row r="32" customFormat="false" ht="15" hidden="false" customHeight="false" outlineLevel="0" collapsed="false">
      <c r="B32" s="2" t="s">
        <v>65</v>
      </c>
      <c r="C32" s="2"/>
      <c r="D32" s="2"/>
      <c r="E32" s="2"/>
      <c r="F32" s="2"/>
    </row>
    <row r="33" customFormat="false" ht="15" hidden="false" customHeight="false" outlineLevel="0" collapsed="false">
      <c r="B33" s="2" t="s">
        <v>66</v>
      </c>
      <c r="C33" s="2"/>
      <c r="D33" s="2"/>
      <c r="E33" s="2"/>
      <c r="F33" s="2"/>
    </row>
    <row r="34" customFormat="false" ht="15" hidden="false" customHeight="false" outlineLevel="0" collapsed="false">
      <c r="B34" s="2" t="s">
        <v>67</v>
      </c>
      <c r="C34" s="2"/>
      <c r="D34" s="2"/>
      <c r="E34" s="2"/>
      <c r="F34" s="2"/>
    </row>
    <row r="35" customFormat="false" ht="15" hidden="false" customHeight="false" outlineLevel="0" collapsed="false">
      <c r="B35" s="2" t="s">
        <v>68</v>
      </c>
      <c r="C35" s="2"/>
      <c r="D35" s="2"/>
      <c r="E35" s="2"/>
      <c r="F35" s="2"/>
    </row>
    <row r="36" customFormat="false" ht="15" hidden="false" customHeight="false" outlineLevel="0" collapsed="false">
      <c r="B36" s="2" t="s">
        <v>69</v>
      </c>
      <c r="C36" s="2"/>
      <c r="D36" s="2"/>
      <c r="E36" s="2"/>
      <c r="F36" s="2"/>
    </row>
    <row r="37" customFormat="false" ht="15" hidden="false" customHeight="false" outlineLevel="0" collapsed="false">
      <c r="B37" s="2" t="s">
        <v>70</v>
      </c>
      <c r="C37" s="2"/>
      <c r="D37" s="2"/>
      <c r="E37" s="2"/>
      <c r="F37" s="2"/>
    </row>
    <row r="38" customFormat="false" ht="15" hidden="false" customHeight="false" outlineLevel="0" collapsed="false">
      <c r="B38" s="2" t="s">
        <v>71</v>
      </c>
      <c r="C38" s="2"/>
      <c r="D38" s="2"/>
      <c r="E38" s="2"/>
      <c r="F38" s="2"/>
    </row>
    <row r="39" customFormat="false" ht="15" hidden="false" customHeight="false" outlineLevel="0" collapsed="false">
      <c r="B39" s="2" t="s">
        <v>72</v>
      </c>
      <c r="C39" s="2"/>
      <c r="D39" s="2"/>
      <c r="E39" s="2"/>
      <c r="F39" s="2"/>
    </row>
    <row r="40" customFormat="false" ht="15" hidden="false" customHeight="false" outlineLevel="0" collapsed="false">
      <c r="B40" s="2" t="s">
        <v>73</v>
      </c>
      <c r="C40" s="2"/>
      <c r="D40" s="2"/>
      <c r="E40" s="2"/>
      <c r="F40" s="2"/>
    </row>
    <row r="41" customFormat="false" ht="15" hidden="false" customHeight="false" outlineLevel="0" collapsed="false">
      <c r="B41" s="2" t="s">
        <v>74</v>
      </c>
      <c r="C41" s="2"/>
      <c r="D41" s="2"/>
      <c r="E41" s="2"/>
      <c r="F41" s="2"/>
    </row>
    <row r="42" customFormat="false" ht="15" hidden="false" customHeight="false" outlineLevel="0" collapsed="false">
      <c r="B42" s="2" t="s">
        <v>450</v>
      </c>
      <c r="C42" s="2"/>
      <c r="D42" s="2"/>
      <c r="E42" s="2"/>
      <c r="F42" s="2"/>
    </row>
  </sheetData>
  <mergeCells count="20">
    <mergeCell ref="B2:F2"/>
    <mergeCell ref="B5:F5"/>
    <mergeCell ref="B14:F14"/>
    <mergeCell ref="B18:F18"/>
    <mergeCell ref="B23:F23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28" t="s">
        <v>451</v>
      </c>
      <c r="B1" s="28"/>
      <c r="C1" s="28"/>
      <c r="D1" s="28"/>
      <c r="E1" s="28"/>
      <c r="F1" s="28"/>
      <c r="G1" s="28"/>
    </row>
    <row r="3" customFormat="false" ht="15" hidden="false" customHeight="false" outlineLevel="0" collapsed="false">
      <c r="A3" s="29" t="s">
        <v>452</v>
      </c>
      <c r="B3" s="30" t="n">
        <v>13</v>
      </c>
      <c r="D3" s="29" t="s">
        <v>453</v>
      </c>
      <c r="E3" s="30" t="s">
        <v>139</v>
      </c>
    </row>
    <row r="4" customFormat="false" ht="15" hidden="false" customHeight="false" outlineLevel="0" collapsed="false">
      <c r="A4" s="29" t="s">
        <v>454</v>
      </c>
      <c r="B4" s="30" t="n">
        <v>63</v>
      </c>
      <c r="D4" s="29" t="s">
        <v>455</v>
      </c>
      <c r="E4" s="31" t="n">
        <f aca="false">51653.24/61647.65</f>
        <v>0.837878491718662</v>
      </c>
    </row>
    <row r="5" customFormat="false" ht="15" hidden="false" customHeight="false" outlineLevel="0" collapsed="false">
      <c r="A5" s="29" t="s">
        <v>456</v>
      </c>
      <c r="B5" s="32" t="n">
        <v>61647.65</v>
      </c>
      <c r="D5" s="29" t="s">
        <v>457</v>
      </c>
      <c r="E5" s="33" t="s">
        <v>458</v>
      </c>
    </row>
    <row r="6" customFormat="false" ht="15" hidden="false" customHeight="false" outlineLevel="0" collapsed="false">
      <c r="A6" s="29" t="s">
        <v>459</v>
      </c>
      <c r="B6" s="34" t="n">
        <f aca="false">B5/B4</f>
        <v>978.534126984127</v>
      </c>
    </row>
    <row r="8" customFormat="false" ht="19.5" hidden="false" customHeight="true" outlineLevel="0" collapsed="false">
      <c r="A8" s="35" t="s">
        <v>460</v>
      </c>
      <c r="B8" s="35" t="s">
        <v>134</v>
      </c>
      <c r="C8" s="35" t="s">
        <v>461</v>
      </c>
      <c r="D8" s="35" t="s">
        <v>454</v>
      </c>
      <c r="E8" s="35" t="s">
        <v>136</v>
      </c>
      <c r="F8" s="35" t="s">
        <v>137</v>
      </c>
      <c r="G8" s="35" t="s">
        <v>462</v>
      </c>
    </row>
    <row r="9" customFormat="false" ht="15" hidden="false" customHeight="false" outlineLevel="0" collapsed="false">
      <c r="A9" s="36" t="n">
        <v>1</v>
      </c>
      <c r="B9" s="37" t="s">
        <v>139</v>
      </c>
      <c r="C9" s="36"/>
      <c r="D9" s="36" t="n">
        <v>22</v>
      </c>
      <c r="E9" s="38" t="n">
        <v>23840.61</v>
      </c>
      <c r="F9" s="39" t="n">
        <f aca="false">E9/E$22</f>
        <v>0.386723743727458</v>
      </c>
      <c r="G9" s="40" t="n">
        <f aca="false">E9/D9</f>
        <v>1083.66409090909</v>
      </c>
    </row>
    <row r="10" customFormat="false" ht="15" hidden="false" customHeight="false" outlineLevel="0" collapsed="false">
      <c r="A10" s="36" t="n">
        <v>2</v>
      </c>
      <c r="B10" s="37" t="s">
        <v>140</v>
      </c>
      <c r="C10" s="36"/>
      <c r="D10" s="36" t="n">
        <v>13</v>
      </c>
      <c r="E10" s="38" t="n">
        <v>17213.91</v>
      </c>
      <c r="F10" s="39" t="n">
        <f aca="false">E10/E$22</f>
        <v>0.279230595164617</v>
      </c>
      <c r="G10" s="40" t="n">
        <f aca="false">E10/D10</f>
        <v>1324.14692307692</v>
      </c>
    </row>
    <row r="11" customFormat="false" ht="15" hidden="false" customHeight="false" outlineLevel="0" collapsed="false">
      <c r="A11" s="36" t="n">
        <v>3</v>
      </c>
      <c r="B11" s="37" t="s">
        <v>141</v>
      </c>
      <c r="C11" s="36"/>
      <c r="D11" s="36" t="n">
        <v>14</v>
      </c>
      <c r="E11" s="38" t="n">
        <v>10598.72</v>
      </c>
      <c r="F11" s="39" t="n">
        <f aca="false">E11/E$22</f>
        <v>0.171924152826588</v>
      </c>
      <c r="G11" s="40" t="n">
        <f aca="false">E11/D11</f>
        <v>757.051428571429</v>
      </c>
    </row>
    <row r="12" customFormat="false" ht="15" hidden="false" customHeight="false" outlineLevel="0" collapsed="false">
      <c r="A12" s="41" t="n">
        <v>4</v>
      </c>
      <c r="B12" s="42" t="s">
        <v>142</v>
      </c>
      <c r="C12" s="41"/>
      <c r="D12" s="41" t="n">
        <v>2</v>
      </c>
      <c r="E12" s="43" t="n">
        <v>4756.5</v>
      </c>
      <c r="F12" s="44" t="n">
        <f aca="false">E12/E$22</f>
        <v>0.0771562257442092</v>
      </c>
      <c r="G12" s="45" t="n">
        <f aca="false">E12/D12</f>
        <v>2378.25</v>
      </c>
    </row>
    <row r="13" customFormat="false" ht="15" hidden="false" customHeight="false" outlineLevel="0" collapsed="false">
      <c r="A13" s="46" t="n">
        <v>5</v>
      </c>
      <c r="B13" s="47" t="s">
        <v>143</v>
      </c>
      <c r="C13" s="46"/>
      <c r="D13" s="46" t="n">
        <v>2</v>
      </c>
      <c r="E13" s="48" t="n">
        <v>1583</v>
      </c>
      <c r="F13" s="49" t="n">
        <f aca="false">E13/E$22</f>
        <v>0.0256781888685132</v>
      </c>
      <c r="G13" s="50" t="n">
        <f aca="false">E13/D13</f>
        <v>791.5</v>
      </c>
    </row>
    <row r="14" customFormat="false" ht="15" hidden="false" customHeight="false" outlineLevel="0" collapsed="false">
      <c r="A14" s="41" t="n">
        <v>6</v>
      </c>
      <c r="B14" s="42" t="s">
        <v>144</v>
      </c>
      <c r="C14" s="41"/>
      <c r="D14" s="41" t="n">
        <v>1</v>
      </c>
      <c r="E14" s="43" t="n">
        <v>829</v>
      </c>
      <c r="F14" s="44" t="n">
        <f aca="false">E14/E$22</f>
        <v>0.0134473901276042</v>
      </c>
      <c r="G14" s="45" t="n">
        <f aca="false">E14/D14</f>
        <v>829</v>
      </c>
    </row>
    <row r="15" customFormat="false" ht="15" hidden="false" customHeight="false" outlineLevel="0" collapsed="false">
      <c r="A15" s="46" t="n">
        <v>7</v>
      </c>
      <c r="B15" s="47" t="s">
        <v>145</v>
      </c>
      <c r="C15" s="46"/>
      <c r="D15" s="46" t="n">
        <v>1</v>
      </c>
      <c r="E15" s="48" t="n">
        <v>665.76</v>
      </c>
      <c r="F15" s="49" t="n">
        <f aca="false">E15/E$22</f>
        <v>0.0107994384214159</v>
      </c>
      <c r="G15" s="50" t="n">
        <f aca="false">E15/D15</f>
        <v>665.76</v>
      </c>
    </row>
    <row r="16" customFormat="false" ht="15" hidden="false" customHeight="false" outlineLevel="0" collapsed="false">
      <c r="A16" s="41" t="n">
        <v>8</v>
      </c>
      <c r="B16" s="42" t="s">
        <v>146</v>
      </c>
      <c r="C16" s="41"/>
      <c r="D16" s="41" t="n">
        <v>1</v>
      </c>
      <c r="E16" s="43" t="n">
        <v>545</v>
      </c>
      <c r="F16" s="44" t="n">
        <f aca="false">E16/E$22</f>
        <v>0.00884056407665175</v>
      </c>
      <c r="G16" s="45" t="n">
        <f aca="false">E16/D16</f>
        <v>545</v>
      </c>
    </row>
    <row r="17" customFormat="false" ht="15" hidden="false" customHeight="false" outlineLevel="0" collapsed="false">
      <c r="A17" s="46" t="n">
        <v>9</v>
      </c>
      <c r="B17" s="47" t="s">
        <v>147</v>
      </c>
      <c r="C17" s="46"/>
      <c r="D17" s="46" t="n">
        <v>1</v>
      </c>
      <c r="E17" s="48" t="n">
        <v>531.44</v>
      </c>
      <c r="F17" s="49" t="n">
        <f aca="false">E17/E$22</f>
        <v>0.00862060435393726</v>
      </c>
      <c r="G17" s="50" t="n">
        <f aca="false">E17/D17</f>
        <v>531.44</v>
      </c>
    </row>
    <row r="18" customFormat="false" ht="15" hidden="false" customHeight="false" outlineLevel="0" collapsed="false">
      <c r="A18" s="41" t="n">
        <v>10</v>
      </c>
      <c r="B18" s="42" t="s">
        <v>148</v>
      </c>
      <c r="C18" s="41"/>
      <c r="D18" s="41" t="n">
        <v>3</v>
      </c>
      <c r="E18" s="43" t="n">
        <v>435.54</v>
      </c>
      <c r="F18" s="44" t="n">
        <f aca="false">E18/E$22</f>
        <v>0.00706498950081633</v>
      </c>
      <c r="G18" s="45" t="n">
        <f aca="false">E18/D18</f>
        <v>145.18</v>
      </c>
    </row>
    <row r="19" customFormat="false" ht="15" hidden="false" customHeight="false" outlineLevel="0" collapsed="false">
      <c r="A19" s="46" t="n">
        <v>11</v>
      </c>
      <c r="B19" s="47" t="s">
        <v>149</v>
      </c>
      <c r="C19" s="46"/>
      <c r="D19" s="46" t="n">
        <v>1</v>
      </c>
      <c r="E19" s="48" t="n">
        <v>405</v>
      </c>
      <c r="F19" s="49" t="n">
        <f aca="false">E19/E$22</f>
        <v>0.00656959348815405</v>
      </c>
      <c r="G19" s="50" t="n">
        <f aca="false">E19/D19</f>
        <v>405</v>
      </c>
    </row>
    <row r="20" customFormat="false" ht="15" hidden="false" customHeight="false" outlineLevel="0" collapsed="false">
      <c r="A20" s="41" t="n">
        <v>12</v>
      </c>
      <c r="B20" s="42" t="s">
        <v>150</v>
      </c>
      <c r="C20" s="41"/>
      <c r="D20" s="41" t="n">
        <v>1</v>
      </c>
      <c r="E20" s="43" t="n">
        <v>143.8</v>
      </c>
      <c r="F20" s="44" t="n">
        <f aca="false">E20/E$22</f>
        <v>0.00233261121875692</v>
      </c>
      <c r="G20" s="45" t="n">
        <f aca="false">E20/D20</f>
        <v>143.8</v>
      </c>
    </row>
    <row r="21" customFormat="false" ht="15" hidden="false" customHeight="false" outlineLevel="0" collapsed="false">
      <c r="A21" s="46" t="n">
        <v>13</v>
      </c>
      <c r="B21" s="47" t="s">
        <v>151</v>
      </c>
      <c r="C21" s="46"/>
      <c r="D21" s="46" t="n">
        <v>1</v>
      </c>
      <c r="E21" s="48" t="n">
        <v>99.37</v>
      </c>
      <c r="F21" s="49" t="n">
        <f aca="false">E21/E$22</f>
        <v>0.00161190248127869</v>
      </c>
      <c r="G21" s="50" t="n">
        <f aca="false">E21/D21</f>
        <v>99.37</v>
      </c>
    </row>
    <row r="22" customFormat="false" ht="15" hidden="false" customHeight="false" outlineLevel="0" collapsed="false">
      <c r="A22" s="51"/>
      <c r="B22" s="52" t="s">
        <v>38</v>
      </c>
      <c r="C22" s="51"/>
      <c r="D22" s="53" t="n">
        <f aca="false">SUM(D9:D21)</f>
        <v>63</v>
      </c>
      <c r="E22" s="54" t="n">
        <f aca="false">SUM(E9:E21)</f>
        <v>61647.65</v>
      </c>
      <c r="F22" s="55" t="n">
        <f aca="false">SUM(F9:F21)</f>
        <v>1</v>
      </c>
      <c r="G22" s="54" t="n">
        <f aca="false">E22/D22</f>
        <v>978.534126984127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2026-04-11T14:15:08Z</dcterms:created>
  <dc:creator>openpyxl</dc:creator>
  <dc:description/>
  <dc:language>en-US</dc:language>
  <cp:lastModifiedBy/>
  <dcterms:modified xsi:type="dcterms:W3CDTF">2026-04-11T14:15:08Z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