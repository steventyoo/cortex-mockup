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6 Vend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<sst xmlns="http://schemas.openxmlformats.org/spreadsheetml/2006/main" count="20" uniqueCount="19">
  <si>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2016 — Exxel Pacific Alley24 Lofts — Vendor Detail</t>
  </si>
  <si>
    <t xml:space="preserve">Vendors</t>
  </si>
  <si>
    <t xml:space="preserve">Invoices</t>
  </si>
  <si>
    <t xml:space="preserve">Total AP</t>
  </si>
  <si>
    <t xml:space="preserve">Rank</t>
  </si>
  <si>
    <t xml:space="preserve">Vendor</t>
  </si>
  <si>
    <t xml:space="preserve">Vendor Code</t>
  </si>
  <si>
    <t xml:space="preserve">Total Spend</t>
  </si>
  <si>
    <t xml:space="preserve">% of AP</t>
  </si>
  <si>
    <t xml:space="preserve">Keller Supply Company</t>
  </si>
  <si>
    <t xml:space="preserve">Ferguson Enterprises, Inc.</t>
  </si>
  <si>
    <t xml:space="preserve">Rosen Supply Company, Inc.</t>
  </si>
  <si>
    <t xml:space="preserve">Bank of America CC</t>
  </si>
  <si>
    <t xml:space="preserve">Consolidated Supply Co.</t>
  </si>
  <si>
    <t xml:space="preserve">Mechanical Sales, Inc.</t>
  </si>
  <si>
    <t xml:space="preserve">Rosen Supply Kirkland</t>
  </si>
  <si>
    <t xml:space="preserve">Capital One Credit Card</t>
  </si>
  <si>
    <t xml:space="preserve">R.A. Brown Backflow Testing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</si>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</sst>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n">
        <v>9</v>
      </c>
    </row>
    <row r="4" customFormat="false" ht="15" hidden="false" customHeight="false" outlineLevel="0" collapsed="false">
      <c r="A4" s="2" t="s">
        <v>2</v>
      </c>
      <c r="B4" s="0" t="n">
        <v>85</v>
      </c>
    </row>
    <row r="5" customFormat="false" ht="15" hidden="false" customHeight="false" outlineLevel="0" collapsed="false">
      <c r="A5" s="2" t="s">
        <v>3</v>
      </c>
      <c r="B5" s="3" t="n">
        <v>106352.55</v>
      </c>
    </row>
    <row r="7" customFormat="false" ht="19.5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2</v>
      </c>
      <c r="E7" s="4" t="s">
        <v>7</v>
      </c>
      <c r="F7" s="4" t="s">
        <v>8</v>
      </c>
    </row>
    <row r="8" customFormat="false" ht="15" hidden="false" customHeight="false" outlineLevel="0" collapsed="false">
      <c r="A8" s="5" t="n">
        <v>1</v>
      </c>
      <c r="B8" s="6" t="s">
        <v>9</v>
      </c>
      <c r="C8" s="5"/>
      <c r="D8" s="5" t="n">
        <v>22</v>
      </c>
      <c r="E8" s="7" t="n">
        <v>74948.84</v>
      </c>
      <c r="F8" s="8" t="n">
        <f aca="false">E8/E$17</f>
        <v>0.704720667252454</v>
      </c>
    </row>
    <row r="9" customFormat="false" ht="15" hidden="false" customHeight="false" outlineLevel="0" collapsed="false">
      <c r="A9" s="9" t="n">
        <v>2</v>
      </c>
      <c r="B9" s="10" t="s">
        <v>10</v>
      </c>
      <c r="C9" s="9"/>
      <c r="D9" s="9" t="n">
        <v>21</v>
      </c>
      <c r="E9" s="11" t="n">
        <v>14095.11</v>
      </c>
      <c r="F9" s="12" t="n">
        <f aca="false">E9/E$17</f>
        <v>0.132531942111402</v>
      </c>
    </row>
    <row r="10" customFormat="false" ht="15" hidden="false" customHeight="false" outlineLevel="0" collapsed="false">
      <c r="A10" s="5" t="n">
        <v>3</v>
      </c>
      <c r="B10" s="6" t="s">
        <v>11</v>
      </c>
      <c r="C10" s="5"/>
      <c r="D10" s="5" t="n">
        <v>25</v>
      </c>
      <c r="E10" s="7" t="n">
        <v>11376.96</v>
      </c>
      <c r="F10" s="8" t="n">
        <f aca="false">E10/E$17</f>
        <v>0.10697402177945</v>
      </c>
    </row>
    <row r="11" customFormat="false" ht="15" hidden="false" customHeight="false" outlineLevel="0" collapsed="false">
      <c r="A11" s="9" t="n">
        <v>4</v>
      </c>
      <c r="B11" s="10" t="s">
        <v>12</v>
      </c>
      <c r="C11" s="9"/>
      <c r="D11" s="9" t="n">
        <v>3</v>
      </c>
      <c r="E11" s="11" t="n">
        <v>2649</v>
      </c>
      <c r="F11" s="12" t="n">
        <f aca="false">E11/E$17</f>
        <v>0.0249077243563977</v>
      </c>
    </row>
    <row r="12" customFormat="false" ht="15" hidden="false" customHeight="false" outlineLevel="0" collapsed="false">
      <c r="A12" s="5" t="n">
        <v>5</v>
      </c>
      <c r="B12" s="6" t="s">
        <v>13</v>
      </c>
      <c r="C12" s="5"/>
      <c r="D12" s="5" t="n">
        <v>7</v>
      </c>
      <c r="E12" s="7" t="n">
        <v>1086.17</v>
      </c>
      <c r="F12" s="8" t="n">
        <f aca="false">E12/E$17</f>
        <v>0.0102129192012791</v>
      </c>
    </row>
    <row r="13" customFormat="false" ht="15" hidden="false" customHeight="false" outlineLevel="0" collapsed="false">
      <c r="A13" s="9" t="n">
        <v>6</v>
      </c>
      <c r="B13" s="10" t="s">
        <v>14</v>
      </c>
      <c r="C13" s="9"/>
      <c r="D13" s="9" t="n">
        <v>1</v>
      </c>
      <c r="E13" s="11" t="n">
        <v>1044</v>
      </c>
      <c r="F13" s="12" t="n">
        <f aca="false">E13/E$17</f>
        <v>0.00981640778711935</v>
      </c>
    </row>
    <row r="14" customFormat="false" ht="15" hidden="false" customHeight="false" outlineLevel="0" collapsed="false">
      <c r="A14" s="5" t="n">
        <v>7</v>
      </c>
      <c r="B14" s="6" t="s">
        <v>15</v>
      </c>
      <c r="C14" s="5"/>
      <c r="D14" s="5" t="n">
        <v>2</v>
      </c>
      <c r="E14" s="7" t="n">
        <v>897.2</v>
      </c>
      <c r="F14" s="8" t="n">
        <f aca="false">E14/E$17</f>
        <v>0.00843609297567383</v>
      </c>
    </row>
    <row r="15" customFormat="false" ht="15" hidden="false" customHeight="false" outlineLevel="0" collapsed="false">
      <c r="A15" s="9" t="n">
        <v>8</v>
      </c>
      <c r="B15" s="10" t="s">
        <v>16</v>
      </c>
      <c r="C15" s="9"/>
      <c r="D15" s="9" t="n">
        <v>3</v>
      </c>
      <c r="E15" s="11" t="n">
        <v>205.27</v>
      </c>
      <c r="F15" s="12" t="n">
        <f aca="false">E15/E$17</f>
        <v>0.00193009006366091</v>
      </c>
    </row>
    <row r="16" customFormat="false" ht="15" hidden="false" customHeight="false" outlineLevel="0" collapsed="false">
      <c r="A16" s="5" t="n">
        <v>9</v>
      </c>
      <c r="B16" s="6" t="s">
        <v>17</v>
      </c>
      <c r="C16" s="5"/>
      <c r="D16" s="5" t="n">
        <v>1</v>
      </c>
      <c r="E16" s="7" t="n">
        <v>50</v>
      </c>
      <c r="F16" s="8" t="n">
        <f aca="false">E16/E$17</f>
        <v>0.000470134472563187</v>
      </c>
    </row>
    <row r="17" customFormat="false" ht="15" hidden="false" customHeight="false" outlineLevel="0" collapsed="false">
      <c r="A17" s="13"/>
      <c r="B17" s="14" t="s">
        <v>18</v>
      </c>
      <c r="C17" s="13"/>
      <c r="D17" s="14" t="n">
        <f aca="false">SUM(D8:D16)</f>
        <v>85</v>
      </c>
      <c r="E17" s="15" t="n">
        <f aca="false">SUM(E8:E16)</f>
        <v>106352.55</v>
      </c>
      <c r="F17" s="16" t="n">
        <f aca="false">SUM(F8:F16)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2026-04-09T16:41:08Z</dcterms:created>
  <dc:creator>openpyxl</dc:creator>
  <dc:description/>
  <dc:language>en-US</dc:language>
  <cp:lastModifiedBy/>
  <dcterms:modified xsi:type="dcterms:W3CDTF">2026-04-09T16:41:08Z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