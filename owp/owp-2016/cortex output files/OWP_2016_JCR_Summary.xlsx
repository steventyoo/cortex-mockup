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<sst xmlns="http://schemas.openxmlformats.org/spreadsheetml/2006/main" count="796" uniqueCount="482">
  <si>
    <t xml:space="preserve">Job #2016 · Natural &amp; Built Sedona Apartments</t>
  </si>
  <si>
    <t xml:space="preserve">Cortex JCR Summary  •  Natural &amp; Built Environments  •  Seattle, WA (8512 20th Ave NE)  •  64-unit 6-story multifamily apartment building  •  Nov 2013 – Dec 2014 (~14 months)</t>
  </si>
  <si>
    <t xml:space="preserve">PROJECT OVERVIEW</t>
  </si>
  <si>
    <t xml:space="preserve">Project Job #</t>
  </si>
  <si>
    <t xml:space="preserve">2016</t>
  </si>
  <si>
    <t xml:space="preserve">Project Name:</t>
  </si>
  <si>
    <t xml:space="preserve">Natural &amp; Built Sedona Apartments</t>
  </si>
  <si>
    <t xml:space="preserve">General Contractor</t>
  </si>
  <si>
    <t xml:space="preserve">Natural &amp; Built Environments</t>
  </si>
  <si>
    <t xml:space="preserve">Location</t>
  </si>
  <si>
    <t xml:space="preserve">Seattle, WA (8512 20th Ave NE)</t>
  </si>
  <si>
    <t xml:space="preserve">Project Duration</t>
  </si>
  <si>
    <t xml:space="preserve">Nov 2013 – Dec 2014 (~14 months)</t>
  </si>
  <si>
    <t xml:space="preserve">Total Unique Documents</t>
  </si>
  <si>
    <t xml:space="preserve">Sedona folder: Contract, Billings, Invoices, PO_s, Permits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</si>
  <si>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</si>
  <si>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</si>
  <si>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</si>
  <si>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</si>
  <si>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$341,805</t>
  </si>
  <si>
    <t xml:space="preserve">$100,795</t>
  </si>
  <si>
    <t xml:space="preserve">$241,010</t>
  </si>
  <si>
    <t xml:space="preserve">4,773</t>
  </si>
  <si>
    <t xml:space="preserve">Original $336,500 + $5,305 COs</t>
  </si>
  <si>
    <t xml:space="preserve">29.5% margin</t>
  </si>
  <si>
    <t xml:space="preserve">70.5% of revenue</t>
  </si>
  <si>
    <t xml:space="preserve">28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</si>
  <si>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</si>
  <si>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</si>
  <si>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</si>
  <si>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</si>
  <si>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</si>
  <si>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</si>
  <si>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</si>
  <si>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</si>
  <si>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</si>
  <si>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</si>
  <si>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</si>
  <si>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</si>
  <si>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</si>
  <si>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</si>
  <si>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</si>
  <si>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</si>
  <si>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80</t>
  </si>
  <si>
    <t xml:space="preserve">Water Closets</t>
  </si>
  <si>
    <t xml:space="preserve">Kitchen Sinks</t>
  </si>
  <si>
    <t xml:space="preserve">64</t>
  </si>
  <si>
    <t xml:space="preserve">Total Fixtures</t>
  </si>
  <si>
    <t xml:space="preserve">267</t>
  </si>
  <si>
    <t xml:space="preserve">Lavatories</t>
  </si>
  <si>
    <t xml:space="preserve">Dishwashers</t>
  </si>
  <si>
    <t xml:space="preserve">Fixtures / Unit</t>
  </si>
  <si>
    <t xml:space="preserve">3.34</t>
  </si>
  <si>
    <t xml:space="preserve">Tubs</t>
  </si>
  <si>
    <t xml:space="preserve">Auto Washers</t>
  </si>
  <si>
    <t xml:space="preserve">Floors</t>
  </si>
  <si>
    <t xml:space="preserve">6</t>
  </si>
  <si>
    <t xml:space="preserve">Stacks</t>
  </si>
  <si>
    <t xml:space="preserve">16</t>
  </si>
  <si>
    <t xml:space="preserve">Duration</t>
  </si>
  <si>
    <t xml:space="preserve">14 mo</t>
  </si>
  <si>
    <t xml:space="preserve">SOURCES</t>
  </si>
  <si>
    <t xml:space="preserve">Job #2016 — Natural &amp; Built Sedona Apartments  •  GC: Natural &amp; Built Environments  •  Seattle, WA</t>
  </si>
  <si>
    <t xml:space="preserve">Canonical source: 2016 Job Detail Report.pdf (45 pages, OWP Sage Timberline export)</t>
  </si>
  <si>
    <t xml:space="preserve">Cost codes parsed: 24 (Labor+Material+Overhead+Burden+Revenue)</t>
  </si>
  <si>
    <t xml:space="preserve">Unit count: 64 via 5 per-level Keller trim invoices (L2:16 L3:8 L4:16 L5:16 L6:8)</t>
  </si>
  <si>
    <t xml:space="preserve">Fixture count: 267 from King County Plumbing Permit #5101400394</t>
  </si>
  <si>
    <t xml:space="preserve">Billing: SEDONA AGGREGATE BILLING.xlsx (8 pay apps, Nov 2013 – Oct 2014)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</si>
  <si>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</si>
  <si>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</si>
  <si>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</si>
  <si>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</si>
  <si>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</si>
  <si>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</si>
  <si>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</si>
  <si>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</si>
  <si>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</si>
  <si>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</si>
  <si>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</si>
  <si>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</si>
  <si>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</si>
  <si>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</si>
  <si>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</si>
  <si>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</si>
  <si>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</si>
  <si>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</si>
  <si>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</si>
  <si>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</si>
  <si>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</si>
  <si>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</si>
  <si>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</si>
  <si>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</si>
  <si>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</si>
  <si>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</si>
  <si>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</si>
  <si>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</si>
  <si>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</si>
  <si>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</si>
  <si>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</si>
  <si>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</si>
  <si>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</si>
  <si>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</si>
  <si>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</si>
  <si>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</si>
  <si>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</si>
  <si>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</si>
  <si>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</si>
  <si>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</si>
  <si>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</si>
  <si>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</si>
  <si>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</si>
  <si>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</si>
  <si>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</si>
  <si>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</si>
  <si>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</si>
  <si>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</si>
  <si>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</si>
  <si>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</si>
  <si>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</si>
  <si>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</si>
  <si>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</si>
  <si>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</si>
  <si>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</si>
  <si>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</si>
  <si>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</si>
  <si>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</si>
  <si>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</si>
  <si>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</si>
  <si>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</si>
  <si>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</si>
  <si>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</si>
  <si>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</si>
  <si>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</si>
  <si>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</si>
  <si>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</si>
  <si>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</si>
  <si>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9 material cost codes  •  $90,496 JDR material  •  9 AP vendors  •  $106,353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</si>
  <si>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</si>
  <si>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</si>
  <si>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</si>
  <si>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</si>
  <si>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</si>
  <si>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</si>
  <si>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</si>
  <si>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</si>
  <si>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</si>
  <si>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Keller Supply Company</t>
  </si>
  <si>
    <t xml:space="preserve">Ferguson Enterprises, Inc.</t>
  </si>
  <si>
    <t xml:space="preserve">Rosen Supply Company, Inc.</t>
  </si>
  <si>
    <t xml:space="preserve">Bank of America CC</t>
  </si>
  <si>
    <t xml:space="preserve">Consolidated Supply Co.</t>
  </si>
  <si>
    <t xml:space="preserve">Mechanical Sales, Inc.</t>
  </si>
  <si>
    <t xml:space="preserve">Rosen Supply Kirkland</t>
  </si>
  <si>
    <t xml:space="preserve">Capital One Credit Card</t>
  </si>
  <si>
    <t xml:space="preserve">R.A. Brown Backflow Testing</t>
  </si>
  <si>
    <t xml:space="preserve">Vendor AP ties to JDR 'by Source: AP' line (106,352.55)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</si>
  <si>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</si>
  <si>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</si>
  <si>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</si>
  <si>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</si>
  <si>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</si>
  <si>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</si>
  <si>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Lima Romero, Melvin A</t>
  </si>
  <si>
    <t xml:space="preserve">Mid</t>
  </si>
  <si>
    <t xml:space="preserve">Castro Hernandez, Carlos E</t>
  </si>
  <si>
    <t xml:space="preserve">Rivera, Jorge A</t>
  </si>
  <si>
    <t xml:space="preserve">Gonzalez Hernandez, Josue</t>
  </si>
  <si>
    <t xml:space="preserve">Apprentice</t>
  </si>
  <si>
    <t xml:space="preserve">Quintanilla, Esteban R</t>
  </si>
  <si>
    <t xml:space="preserve">Senior</t>
  </si>
  <si>
    <t xml:space="preserve">Reyes Cruz, Denis A</t>
  </si>
  <si>
    <t xml:space="preserve">Ramos Garcia, Jose M</t>
  </si>
  <si>
    <t xml:space="preserve">Rivera, Eli P</t>
  </si>
  <si>
    <t xml:space="preserve">Gerard, Jeffrey S</t>
  </si>
  <si>
    <t xml:space="preserve">Ramos Banegas, Noel O</t>
  </si>
  <si>
    <t xml:space="preserve">Castro Hernandez, Jose A</t>
  </si>
  <si>
    <t xml:space="preserve">Sanders, Allen O</t>
  </si>
  <si>
    <t xml:space="preserve">Kinssies, Jr, John E</t>
  </si>
  <si>
    <t xml:space="preserve">Soto Serna, Cesar E</t>
  </si>
  <si>
    <t xml:space="preserve">Vaughan, Tyler J</t>
  </si>
  <si>
    <t xml:space="preserve">Lopez Martinez, Abimael</t>
  </si>
  <si>
    <t xml:space="preserve">Arreola, Israel A</t>
  </si>
  <si>
    <t xml:space="preserve">Cortes Mendiola, Victor H</t>
  </si>
  <si>
    <t xml:space="preserve">McCabe, Thomas C</t>
  </si>
  <si>
    <t xml:space="preserve">Anderson, Richard P</t>
  </si>
  <si>
    <t xml:space="preserve">Montenegro, Carlos E</t>
  </si>
  <si>
    <t xml:space="preserve">Soto Cruz, Jovani</t>
  </si>
  <si>
    <t xml:space="preserve">Paco Leyva, Orlando</t>
  </si>
  <si>
    <t xml:space="preserve">Veley, Nathaniel S</t>
  </si>
  <si>
    <t xml:space="preserve">Reyes, Robert J</t>
  </si>
  <si>
    <t xml:space="preserve">Salazar, Hajdar L</t>
  </si>
  <si>
    <t xml:space="preserve">Castaneda Juarez, Edgar D</t>
  </si>
  <si>
    <t xml:space="preserve">Gerard, Mitchell J</t>
  </si>
  <si>
    <t xml:space="preserve">TOTAL (28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</si>
  <si>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</si>
  <si>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</si>
  <si>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</si>
  <si>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</si>
  <si>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</si>
  <si>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</si>
  <si>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</si>
  <si>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</si>
  <si>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</si>
  <si>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</si>
  <si>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</si>
  <si>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</si>
  <si>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</si>
  <si>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</si>
  <si>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</si>
  <si>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</si>
  <si>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</si>
  <si>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</si>
  <si>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</si>
  <si>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</si>
  <si>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</si>
  <si>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</si>
  <si>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</si>
  <si>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</si>
  <si>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</si>
  <si>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</si>
  <si>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</si>
  <si>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</si>
  <si>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</si>
  <si>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</si>
  <si>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</si>
  <si>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</si>
  <si>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</si>
  <si>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</si>
  <si>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</si>
  <si>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</si>
  <si>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</si>
  <si>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</si>
  <si>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</si>
  <si>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</si>
  <si>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</si>
  <si>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</si>
  <si>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</si>
  <si>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</si>
  <si>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</si>
  <si>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</si>
  <si>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</si>
  <si>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</si>
  <si>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</si>
  <si>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</si>
  <si>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</si>
  <si>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</si>
  <si>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</si>
  <si>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</si>
  <si>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</si>
  <si>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</si>
  <si>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33 unique POs  •  PO amounts not dollar-parsed from individual PDFs  •  JDR material $90,496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</si>
  <si>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</si>
  <si>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</si>
  <si>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</si>
  <si>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</si>
  <si>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</si>
  <si>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</si>
  <si>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</si>
  <si>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</si>
  <si>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</si>
  <si>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</si>
  <si>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</si>
  <si>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</si>
  <si>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</si>
  <si>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</si>
  <si>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</si>
  <si>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</si>
  <si>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</si>
  <si>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</si>
  <si>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FEI</t>
  </si>
  <si>
    <t xml:space="preserve">CONSOLIDATED</t>
  </si>
  <si>
    <t xml:space="preserve">KELLER</t>
  </si>
  <si>
    <t xml:space="preserve">MECH SALES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</si>
  <si>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</si>
  <si>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</si>
  <si>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</si>
  <si>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</si>
  <si>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</si>
  <si>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</si>
  <si>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</si>
  <si>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8 pay applications  •  Original $336,500 + $5,305 COs = $341,805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</si>
  <si>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</si>
  <si>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</si>
  <si>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</si>
  <si>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</si>
  <si>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</si>
  <si>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</si>
  <si>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</si>
  <si>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</si>
  <si>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</si>
  <si>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</si>
  <si>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</si>
  <si>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</si>
  <si>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</si>
  <si>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</si>
  <si>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2013-11-19</t>
  </si>
  <si>
    <t xml:space="preserve">2014-02-20</t>
  </si>
  <si>
    <t xml:space="preserve">2014-04-24</t>
  </si>
  <si>
    <t xml:space="preserve">2014-05-22</t>
  </si>
  <si>
    <t xml:space="preserve">2014-06-24</t>
  </si>
  <si>
    <t xml:space="preserve">2014-07-24</t>
  </si>
  <si>
    <t xml:space="preserve">2014-09-25</t>
  </si>
  <si>
    <t xml:space="preserve">2014-10-25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</si>
  <si>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</si>
  <si>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</si>
  <si>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</si>
  <si>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</si>
  <si>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</si>
  <si>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</si>
  <si>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#2016 Natural &amp; Built Sedona Apartments</t>
  </si>
  <si>
    <t xml:space="preserve">Narrative observations distilled from the full JDR analysis</t>
  </si>
  <si>
    <t xml:space="preserve">MARGIN PROFILE</t>
  </si>
  <si>
    <t xml:space="preserve">Net profit of $100,795 on $341,805 revenue = 29.5% gross margin. Direct cost $241,010 absorbs 70.5% of revenue.</t>
  </si>
  <si>
    <t xml:space="preserve">VENDOR CONCENTRATION</t>
  </si>
  <si>
    <t xml:space="preserve">Keller Supply Company alone = $74,949 (70% of all AP) across 22 invoices. Total 9 AP vendors, $106,353 total AP spend.</t>
  </si>
  <si>
    <t xml:space="preserve">CREW PROFILE</t>
  </si>
  <si>
    <t xml:space="preserve">28 workers for 4,773 hours = 170 avg hrs/worker. Top 3 workers logged 1,793 hrs combined (38% of all labor).</t>
  </si>
  <si>
    <t xml:space="preserve">ROUGHIN DOMINANCE</t>
  </si>
  <si>
    <t xml:space="preserve">Code 120 Roughin Labor = 3,260 hrs (68% of all labor) and $65,393 actual. Code 230 Finish Material = $56,500 — 23% of total direct cost.</t>
  </si>
  <si>
    <t xml:space="preserve">BUDGET DELIVERY</t>
  </si>
  <si>
    <t xml:space="preserve">Revised budget was $239,989; actual direct cost $241,010 → $-1,021 variance (-0.4% under revised budget).</t>
  </si>
  <si>
    <t xml:space="preserve">CONTRACT GROWTH</t>
  </si>
  <si>
    <t xml:space="preserve">Contract grew from $336,500 to $341,805 — net +$5,305 (1.6%). Retainage of $17,090 (5%) withheld until closeout.</t>
  </si>
  <si>
    <t xml:space="preserve">BURDEN RATIO</t>
  </si>
  <si>
    <t xml:space="preserve">Burden codes 995 + 998 = $49,925 on $97,891 labor base = 51.0%. In line with OWP's typical 48–50% labor burden.</t>
  </si>
  <si>
    <t xml:space="preserve">PROJECT SCALE</t>
  </si>
  <si>
    <t xml:space="preserve">80 units · 267 fixtures · 14 months. Revenue/unit $4,273, hours/unit 59.7, profit/unit $1,260.</t>
  </si>
  <si>
    <t xml:space="preserve">PRODUCTIVITY</t>
  </si>
  <si>
    <t xml:space="preserve">Blended labor rate $20.51/hr. Revenue/hour $72. Profit/hour $21. 341 hrs/month burn rate.</t>
  </si>
  <si>
    <t xml:space="preserve">FIXTURE DENSITY</t>
  </si>
  <si>
    <t xml:space="preserve">267 fixtures ÷ 80 units = 3.34 fixtures/unit. Material/fixture $339, labor/fixture $367.</t>
  </si>
  <si>
    <t xml:space="preserve">BIGGEST QUESTION</t>
  </si>
  <si>
    <t xml:space="preserve">How does this job's 29.5%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</si>
  <si>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</si>
  <si>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</si>
  <si>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</si>
  <si>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</si>
  <si>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</si>
  <si>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</si>
  <si>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</si>
  <si>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</si>
  <si>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</si>
  <si>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</si>
  <si>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</si>
  <si>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</si>
  <si>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</si>
  <si>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</si>
  <si>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64-unit 6-story multifamily apartment building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</si>
  <si>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</si>
  <si>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</si>
  <si>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</si>
  <si>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</si>
  <si>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</si>
  <si>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</si>
  <si>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</si>
  <si>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</si>
  <si>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</si>
  <si>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</si>
  <si>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</si>
  <si>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</si>
  <si>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</si>
  <si>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</si>
  <si>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</si>
  <si>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</si>
  <si>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</si>
  <si>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</si>
  <si>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</si>
  <si>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</si>
  <si>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</si>
  <si>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</si>
  <si>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</si>
  <si>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</si>
  <si>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10 labor codes</t>
  </si>
  <si>
    <t xml:space="preserve">Material Cost</t>
  </si>
  <si>
    <t xml:space="preserve">material_cost</t>
  </si>
  <si>
    <t xml:space="preserve">Sum of 9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</si>
  <si>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</si>
  <si>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</si>
  <si>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</si>
  <si>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</si>
  <si>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</si>
  <si>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</si>
  <si>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</si>
  <si>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</si>
  <si>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</si>
  <si>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</si>
  <si>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</si>
  <si>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</si>
  <si>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</si>
  <si>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</si>
  <si>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</si>
  <si>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</si>
  <si>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</si>
  <si>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</si>
  <si>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</si>
  <si>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</si>
  <si>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</si>
  <si>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</si>
  <si>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</si>
  <si>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</si>
  <si>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</si>
  <si>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</si>
  <si>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</si>
  <si>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</si>
  <si>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</si>
  <si>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</si>
  <si>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</si>
  <si>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</si>
  <si>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</si>
  <si>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</si>
  <si>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</si>
  <si>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</si>
  <si>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</si>
  <si>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</si>
  <si>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</si>
  <si>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</si>
  <si>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</si>
  <si>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</si>
  <si>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</si>
  <si>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</si>
  <si>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</si>
  <si>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</si>
  <si>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</si>
  <si>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</si>
  <si>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</si>
  <si>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</si>
  <si>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</si>
  <si>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</si>
  <si>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</si>
  <si>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</si>
  <si>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</si>
  <si>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</si>
  <si>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</si>
  <si>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</si>
  <si>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</si>
  <si>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</si>
  <si>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</si>
  <si>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</si>
  <si>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</si>
  <si>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</si>
  <si>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</si>
  <si>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</si>
  <si>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</si>
  <si>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</si>
  <si>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</si>
  <si>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</si>
  <si>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</si>
  <si>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</si>
  <si>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</si>
  <si>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</si>
  <si>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</si>
  <si>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</si>
  <si>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</si>
  <si>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</si>
  <si>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</si>
  <si>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</si>
  <si>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(10 codes)</t>
  </si>
  <si>
    <t xml:space="preserve">Material subtotal (9 codes)</t>
  </si>
  <si>
    <t xml:space="preserve">Overhead subtotal (2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</si>
  <si>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</si>
  <si>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</si>
  <si>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</si>
  <si>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</si>
  <si>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</si>
  <si>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</si>
  <si>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</si>
  <si>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</si>
  <si>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</si>
  <si>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</si>
  <si>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</si>
  <si>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#2016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</si>
  <si>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</si>
  <si>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</si>
  <si>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</si>
  <si>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</si>
  <si>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</si>
  <si>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</si>
  <si>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2016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</si>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</sst>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6" t="s">
        <v>15</v>
      </c>
      <c r="D13" s="6" t="s">
        <v>16</v>
      </c>
      <c r="F13" s="6" t="s">
        <v>17</v>
      </c>
      <c r="H13" s="6" t="s">
        <v>18</v>
      </c>
    </row>
    <row r="14" customFormat="false" ht="17.35" hidden="false" customHeight="false" outlineLevel="0" collapsed="false">
      <c r="B14" s="7" t="s">
        <v>19</v>
      </c>
      <c r="D14" s="7" t="s">
        <v>20</v>
      </c>
      <c r="F14" s="7" t="s">
        <v>21</v>
      </c>
      <c r="H14" s="7" t="s">
        <v>22</v>
      </c>
    </row>
    <row r="15" customFormat="false" ht="15" hidden="false" customHeight="false" outlineLevel="0" collapsed="false">
      <c r="B15" s="8" t="s">
        <v>23</v>
      </c>
      <c r="D15" s="8" t="s">
        <v>24</v>
      </c>
      <c r="F15" s="8" t="s">
        <v>25</v>
      </c>
      <c r="H15" s="8" t="s">
        <v>26</v>
      </c>
    </row>
    <row r="18" customFormat="false" ht="15" hidden="false" customHeight="false" outlineLevel="0" collapsed="false">
      <c r="B18" s="3" t="s">
        <v>27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4" t="s">
        <v>34</v>
      </c>
      <c r="C20" s="10" t="n">
        <v>74865</v>
      </c>
      <c r="D20" s="10" t="n">
        <v>97891.25</v>
      </c>
      <c r="E20" s="10" t="n">
        <f aca="false">C20-D20</f>
        <v>-23026.25</v>
      </c>
      <c r="F20" s="11" t="n">
        <f aca="false">IF(C20=0,0,D20/C20)</f>
        <v>1.30757029319442</v>
      </c>
      <c r="G20" s="11" t="n">
        <f aca="false">IF($D$24=0,0,D20/$D$24)</f>
        <v>0.406170130541222</v>
      </c>
    </row>
    <row r="21" customFormat="false" ht="15" hidden="false" customHeight="false" outlineLevel="0" collapsed="false">
      <c r="B21" s="4" t="s">
        <v>35</v>
      </c>
      <c r="C21" s="10" t="n">
        <v>123043</v>
      </c>
      <c r="D21" s="10" t="n">
        <v>90495.62</v>
      </c>
      <c r="E21" s="10" t="n">
        <f aca="false">C21-D21</f>
        <v>32547.38</v>
      </c>
      <c r="F21" s="11" t="n">
        <f aca="false">IF(C21=0,0,D21/C21)</f>
        <v>0.735479629072763</v>
      </c>
      <c r="G21" s="11" t="n">
        <f aca="false">IF($D$24=0,0,D21/$D$24)</f>
        <v>0.375484200976173</v>
      </c>
    </row>
    <row r="22" customFormat="false" ht="15" hidden="false" customHeight="false" outlineLevel="0" collapsed="false">
      <c r="B22" s="4" t="s">
        <v>36</v>
      </c>
      <c r="C22" s="10" t="n">
        <v>3900</v>
      </c>
      <c r="D22" s="10" t="n">
        <v>2699</v>
      </c>
      <c r="E22" s="10" t="n">
        <f aca="false">C22-D22</f>
        <v>1201</v>
      </c>
      <c r="F22" s="11" t="n">
        <f aca="false">IF(C22=0,0,D22/C22)</f>
        <v>0.692051282051282</v>
      </c>
      <c r="G22" s="11" t="n">
        <f aca="false">IF($D$24=0,0,D22/$D$24)</f>
        <v>0.011198684073712</v>
      </c>
    </row>
    <row r="23" customFormat="false" ht="15" hidden="false" customHeight="false" outlineLevel="0" collapsed="false">
      <c r="B23" s="4" t="s">
        <v>37</v>
      </c>
      <c r="C23" s="10" t="n">
        <v>38181.17</v>
      </c>
      <c r="D23" s="10" t="n">
        <v>49924.59</v>
      </c>
      <c r="E23" s="10" t="n">
        <f aca="false">C23-D23</f>
        <v>-11743.42</v>
      </c>
      <c r="F23" s="11" t="n">
        <f aca="false">IF(C23=0,0,D23/C23)</f>
        <v>1.30757098328836</v>
      </c>
      <c r="G23" s="11" t="n">
        <f aca="false">IF($D$24=0,0,D23/$D$24)</f>
        <v>0.207146984408892</v>
      </c>
    </row>
    <row r="24" customFormat="false" ht="15" hidden="false" customHeight="false" outlineLevel="0" collapsed="false">
      <c r="B24" s="5" t="s">
        <v>38</v>
      </c>
      <c r="C24" s="12" t="n">
        <f aca="false">SUM(C20:C23)</f>
        <v>239989.17</v>
      </c>
      <c r="D24" s="12" t="n">
        <f aca="false">SUM(D20:D23)</f>
        <v>241010.46</v>
      </c>
      <c r="E24" s="12" t="n">
        <f aca="false">C24-D24</f>
        <v>-1021.28999999998</v>
      </c>
      <c r="F24" s="13" t="n">
        <f aca="false">IF(C24=0,0,D24/C24)</f>
        <v>1.00425556703246</v>
      </c>
      <c r="G24" s="13" t="n">
        <v>1</v>
      </c>
    </row>
    <row r="27" customFormat="false" ht="15" hidden="false" customHeight="false" outlineLevel="0" collapsed="false">
      <c r="B27" s="3" t="s">
        <v>39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5" t="s">
        <v>40</v>
      </c>
      <c r="C28" s="5" t="s">
        <v>41</v>
      </c>
      <c r="D28" s="5" t="s">
        <v>40</v>
      </c>
      <c r="E28" s="5" t="s">
        <v>41</v>
      </c>
      <c r="F28" s="5" t="s">
        <v>40</v>
      </c>
      <c r="G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  <c r="D29" s="4" t="s">
        <v>44</v>
      </c>
      <c r="E29" s="5" t="s">
        <v>43</v>
      </c>
      <c r="F29" s="4" t="s">
        <v>45</v>
      </c>
      <c r="G29" s="5" t="s">
        <v>46</v>
      </c>
    </row>
    <row r="30" customFormat="false" ht="15" hidden="false" customHeight="false" outlineLevel="0" collapsed="false">
      <c r="B30" s="4" t="s">
        <v>47</v>
      </c>
      <c r="C30" s="5" t="s">
        <v>48</v>
      </c>
      <c r="D30" s="4" t="s">
        <v>49</v>
      </c>
      <c r="E30" s="5" t="s">
        <v>43</v>
      </c>
      <c r="F30" s="4" t="s">
        <v>50</v>
      </c>
      <c r="G30" s="5" t="s">
        <v>46</v>
      </c>
    </row>
    <row r="31" customFormat="false" ht="15" hidden="false" customHeight="false" outlineLevel="0" collapsed="false">
      <c r="B31" s="4" t="s">
        <v>51</v>
      </c>
      <c r="C31" s="5" t="s">
        <v>52</v>
      </c>
      <c r="D31" s="4" t="s">
        <v>53</v>
      </c>
      <c r="E31" s="5" t="s">
        <v>46</v>
      </c>
      <c r="F31" s="4" t="s">
        <v>54</v>
      </c>
      <c r="G31" s="5" t="s">
        <v>46</v>
      </c>
    </row>
    <row r="32" customFormat="false" ht="15" hidden="false" customHeight="false" outlineLevel="0" collapsed="false">
      <c r="B32" s="4" t="s">
        <v>55</v>
      </c>
      <c r="C32" s="5" t="s">
        <v>56</v>
      </c>
      <c r="D32" s="4" t="s">
        <v>57</v>
      </c>
      <c r="E32" s="5" t="s">
        <v>58</v>
      </c>
      <c r="F32" s="4" t="s">
        <v>59</v>
      </c>
      <c r="G32" s="5" t="s">
        <v>60</v>
      </c>
    </row>
    <row r="36" customFormat="false" ht="15" hidden="false" customHeight="false" outlineLevel="0" collapsed="false">
      <c r="B36" s="3" t="s">
        <v>61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" t="s">
        <v>62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63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64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</row>
  </sheetData>
  <mergeCells count="12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" t="s">
        <v>68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69</v>
      </c>
      <c r="C4" s="9" t="s">
        <v>70</v>
      </c>
      <c r="D4" s="9" t="s">
        <v>71</v>
      </c>
      <c r="E4" s="9" t="s">
        <v>72</v>
      </c>
      <c r="F4" s="9" t="s">
        <v>30</v>
      </c>
      <c r="G4" s="9" t="s">
        <v>31</v>
      </c>
      <c r="H4" s="9" t="s">
        <v>73</v>
      </c>
    </row>
    <row r="5" customFormat="false" ht="15" hidden="false" customHeight="false" outlineLevel="0" collapsed="false">
      <c r="B5" s="3" t="s">
        <v>74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75</v>
      </c>
      <c r="C6" s="4" t="s">
        <v>76</v>
      </c>
      <c r="D6" s="10" t="n">
        <v>4980</v>
      </c>
      <c r="E6" s="10" t="n">
        <v>5130</v>
      </c>
      <c r="F6" s="10" t="n">
        <v>2769</v>
      </c>
      <c r="G6" s="10" t="n">
        <f aca="false">E6-F6</f>
        <v>2361</v>
      </c>
      <c r="H6" s="11" t="n">
        <f aca="false">IF(E6=0,0,F6/E6)</f>
        <v>0.539766081871345</v>
      </c>
    </row>
    <row r="7" customFormat="false" ht="15" hidden="false" customHeight="false" outlineLevel="0" collapsed="false">
      <c r="B7" s="4" t="s">
        <v>77</v>
      </c>
      <c r="C7" s="4" t="s">
        <v>78</v>
      </c>
      <c r="D7" s="10" t="n">
        <v>4980</v>
      </c>
      <c r="E7" s="10" t="n">
        <v>4980</v>
      </c>
      <c r="F7" s="10" t="n">
        <v>3124</v>
      </c>
      <c r="G7" s="10" t="n">
        <f aca="false">E7-F7</f>
        <v>1856</v>
      </c>
      <c r="H7" s="11" t="n">
        <f aca="false">IF(E7=0,0,F7/E7)</f>
        <v>0.627309236947791</v>
      </c>
    </row>
    <row r="8" customFormat="false" ht="15" hidden="false" customHeight="false" outlineLevel="0" collapsed="false">
      <c r="B8" s="4" t="s">
        <v>79</v>
      </c>
      <c r="C8" s="4" t="s">
        <v>80</v>
      </c>
      <c r="D8" s="10" t="n">
        <v>2800</v>
      </c>
      <c r="E8" s="10" t="n">
        <v>2800</v>
      </c>
      <c r="F8" s="10" t="n">
        <v>1126</v>
      </c>
      <c r="G8" s="10" t="n">
        <f aca="false">E8-F8</f>
        <v>1674</v>
      </c>
      <c r="H8" s="11" t="n">
        <f aca="false">IF(E8=0,0,F8/E8)</f>
        <v>0.402142857142857</v>
      </c>
    </row>
    <row r="9" customFormat="false" ht="15" hidden="false" customHeight="false" outlineLevel="0" collapsed="false">
      <c r="B9" s="4" t="s">
        <v>81</v>
      </c>
      <c r="C9" s="4" t="s">
        <v>82</v>
      </c>
      <c r="D9" s="10" t="n">
        <v>0</v>
      </c>
      <c r="E9" s="10" t="n">
        <v>0</v>
      </c>
      <c r="F9" s="10" t="n">
        <v>416</v>
      </c>
      <c r="G9" s="10" t="n">
        <f aca="false">E9-F9</f>
        <v>-416</v>
      </c>
      <c r="H9" s="11" t="n">
        <f aca="false">IF(E9=0,0,F9/E9)</f>
        <v>0</v>
      </c>
    </row>
    <row r="10" customFormat="false" ht="15" hidden="false" customHeight="false" outlineLevel="0" collapsed="false">
      <c r="B10" s="4" t="s">
        <v>83</v>
      </c>
      <c r="C10" s="4" t="s">
        <v>84</v>
      </c>
      <c r="D10" s="10" t="n">
        <v>1700</v>
      </c>
      <c r="E10" s="10" t="n">
        <v>1700</v>
      </c>
      <c r="F10" s="10" t="n">
        <v>765</v>
      </c>
      <c r="G10" s="10" t="n">
        <f aca="false">E10-F10</f>
        <v>935</v>
      </c>
      <c r="H10" s="11" t="n">
        <f aca="false">IF(E10=0,0,F10/E10)</f>
        <v>0.45</v>
      </c>
    </row>
    <row r="11" customFormat="false" ht="15" hidden="false" customHeight="false" outlineLevel="0" collapsed="false">
      <c r="B11" s="4" t="s">
        <v>85</v>
      </c>
      <c r="C11" s="4" t="s">
        <v>86</v>
      </c>
      <c r="D11" s="10" t="n">
        <v>28845</v>
      </c>
      <c r="E11" s="10" t="n">
        <v>30595</v>
      </c>
      <c r="F11" s="10" t="n">
        <v>65392.75</v>
      </c>
      <c r="G11" s="10" t="n">
        <f aca="false">E11-F11</f>
        <v>-34797.75</v>
      </c>
      <c r="H11" s="11" t="n">
        <f aca="false">IF(E11=0,0,F11/E11)</f>
        <v>2.1373672168655</v>
      </c>
    </row>
    <row r="12" customFormat="false" ht="15" hidden="false" customHeight="false" outlineLevel="0" collapsed="false">
      <c r="B12" s="4" t="s">
        <v>87</v>
      </c>
      <c r="C12" s="4" t="s">
        <v>88</v>
      </c>
      <c r="D12" s="10" t="n">
        <v>9520</v>
      </c>
      <c r="E12" s="10" t="n">
        <v>9800</v>
      </c>
      <c r="F12" s="10" t="n">
        <v>9310.5</v>
      </c>
      <c r="G12" s="10" t="n">
        <f aca="false">E12-F12</f>
        <v>489.5</v>
      </c>
      <c r="H12" s="11" t="n">
        <f aca="false">IF(E12=0,0,F12/E12)</f>
        <v>0.950051020408163</v>
      </c>
    </row>
    <row r="13" customFormat="false" ht="15" hidden="false" customHeight="false" outlineLevel="0" collapsed="false">
      <c r="B13" s="4" t="s">
        <v>89</v>
      </c>
      <c r="C13" s="4" t="s">
        <v>90</v>
      </c>
      <c r="D13" s="10" t="n">
        <v>8300</v>
      </c>
      <c r="E13" s="10" t="n">
        <v>8300</v>
      </c>
      <c r="F13" s="10" t="n">
        <v>4656</v>
      </c>
      <c r="G13" s="10" t="n">
        <f aca="false">E13-F13</f>
        <v>3644</v>
      </c>
      <c r="H13" s="11" t="n">
        <f aca="false">IF(E13=0,0,F13/E13)</f>
        <v>0.560963855421687</v>
      </c>
    </row>
    <row r="14" customFormat="false" ht="15" hidden="false" customHeight="false" outlineLevel="0" collapsed="false">
      <c r="B14" s="4" t="s">
        <v>91</v>
      </c>
      <c r="C14" s="4" t="s">
        <v>92</v>
      </c>
      <c r="D14" s="10" t="n">
        <v>4000</v>
      </c>
      <c r="E14" s="10" t="n">
        <v>4000</v>
      </c>
      <c r="F14" s="10" t="n">
        <v>1032</v>
      </c>
      <c r="G14" s="10" t="n">
        <f aca="false">E14-F14</f>
        <v>2968</v>
      </c>
      <c r="H14" s="11" t="n">
        <f aca="false">IF(E14=0,0,F14/E14)</f>
        <v>0.258</v>
      </c>
    </row>
    <row r="15" customFormat="false" ht="15" hidden="false" customHeight="false" outlineLevel="0" collapsed="false">
      <c r="B15" s="4" t="s">
        <v>93</v>
      </c>
      <c r="C15" s="4" t="s">
        <v>94</v>
      </c>
      <c r="D15" s="10" t="n">
        <v>7560</v>
      </c>
      <c r="E15" s="10" t="n">
        <v>7560</v>
      </c>
      <c r="F15" s="10" t="n">
        <v>9300</v>
      </c>
      <c r="G15" s="10" t="n">
        <f aca="false">E15-F15</f>
        <v>-1740</v>
      </c>
      <c r="H15" s="11" t="n">
        <f aca="false">IF(E15=0,0,F15/E15)</f>
        <v>1.23015873015873</v>
      </c>
    </row>
    <row r="16" customFormat="false" ht="15" hidden="false" customHeight="false" outlineLevel="0" collapsed="false">
      <c r="B16" s="3" t="s">
        <v>95</v>
      </c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B17" s="4" t="s">
        <v>96</v>
      </c>
      <c r="C17" s="4" t="s">
        <v>97</v>
      </c>
      <c r="D17" s="10" t="n">
        <v>2700</v>
      </c>
      <c r="E17" s="10" t="n">
        <v>2700</v>
      </c>
      <c r="F17" s="10" t="n">
        <v>1463.57</v>
      </c>
      <c r="G17" s="10" t="n">
        <f aca="false">E17-F17</f>
        <v>1236.43</v>
      </c>
      <c r="H17" s="11" t="n">
        <f aca="false">IF(E17=0,0,F17/E17)</f>
        <v>0.542062962962963</v>
      </c>
    </row>
    <row r="18" customFormat="false" ht="15" hidden="false" customHeight="false" outlineLevel="0" collapsed="false">
      <c r="B18" s="4" t="s">
        <v>98</v>
      </c>
      <c r="C18" s="4" t="s">
        <v>99</v>
      </c>
      <c r="D18" s="10" t="n">
        <v>0</v>
      </c>
      <c r="E18" s="10" t="n">
        <v>0</v>
      </c>
      <c r="F18" s="10" t="n">
        <v>479.89</v>
      </c>
      <c r="G18" s="10" t="n">
        <f aca="false">E18-F18</f>
        <v>-479.89</v>
      </c>
      <c r="H18" s="11" t="n">
        <f aca="false">IF(E18=0,0,F18/E18)</f>
        <v>0</v>
      </c>
    </row>
    <row r="19" customFormat="false" ht="15" hidden="false" customHeight="false" outlineLevel="0" collapsed="false">
      <c r="B19" s="4" t="s">
        <v>100</v>
      </c>
      <c r="C19" s="4" t="s">
        <v>101</v>
      </c>
      <c r="D19" s="10" t="n">
        <v>2550</v>
      </c>
      <c r="E19" s="10" t="n">
        <v>2550</v>
      </c>
      <c r="F19" s="10" t="n">
        <v>2042.61</v>
      </c>
      <c r="G19" s="10" t="n">
        <f aca="false">E19-F19</f>
        <v>507.39</v>
      </c>
      <c r="H19" s="11" t="n">
        <f aca="false">IF(E19=0,0,F19/E19)</f>
        <v>0.801023529411765</v>
      </c>
    </row>
    <row r="20" customFormat="false" ht="15" hidden="false" customHeight="false" outlineLevel="0" collapsed="false">
      <c r="B20" s="4" t="s">
        <v>102</v>
      </c>
      <c r="C20" s="4" t="s">
        <v>103</v>
      </c>
      <c r="D20" s="10" t="n">
        <v>24300</v>
      </c>
      <c r="E20" s="10" t="n">
        <v>24315</v>
      </c>
      <c r="F20" s="10" t="n">
        <v>26087.05</v>
      </c>
      <c r="G20" s="10" t="n">
        <f aca="false">E20-F20</f>
        <v>-1772.05</v>
      </c>
      <c r="H20" s="11" t="n">
        <f aca="false">IF(E20=0,0,F20/E20)</f>
        <v>1.07287888134896</v>
      </c>
    </row>
    <row r="21" customFormat="false" ht="15" hidden="false" customHeight="false" outlineLevel="0" collapsed="false">
      <c r="B21" s="4" t="s">
        <v>104</v>
      </c>
      <c r="C21" s="4" t="s">
        <v>105</v>
      </c>
      <c r="D21" s="10" t="n">
        <v>81800</v>
      </c>
      <c r="E21" s="10" t="n">
        <v>82478</v>
      </c>
      <c r="F21" s="10" t="n">
        <v>56499.81</v>
      </c>
      <c r="G21" s="10" t="n">
        <f aca="false">E21-F21</f>
        <v>25978.19</v>
      </c>
      <c r="H21" s="11" t="n">
        <f aca="false">IF(E21=0,0,F21/E21)</f>
        <v>0.68502885617983</v>
      </c>
    </row>
    <row r="22" customFormat="false" ht="15" hidden="false" customHeight="false" outlineLevel="0" collapsed="false">
      <c r="B22" s="4" t="s">
        <v>106</v>
      </c>
      <c r="C22" s="4" t="s">
        <v>107</v>
      </c>
      <c r="D22" s="10" t="n">
        <v>0</v>
      </c>
      <c r="E22" s="10" t="n">
        <v>0</v>
      </c>
      <c r="F22" s="10" t="n">
        <v>23.51</v>
      </c>
      <c r="G22" s="10" t="n">
        <f aca="false">E22-F22</f>
        <v>-23.51</v>
      </c>
      <c r="H22" s="11" t="n">
        <f aca="false">IF(E22=0,0,F22/E22)</f>
        <v>0</v>
      </c>
    </row>
    <row r="23" customFormat="false" ht="15" hidden="false" customHeight="false" outlineLevel="0" collapsed="false">
      <c r="B23" s="4" t="s">
        <v>108</v>
      </c>
      <c r="C23" s="4" t="s">
        <v>109</v>
      </c>
      <c r="D23" s="10" t="n">
        <v>8000</v>
      </c>
      <c r="E23" s="10" t="n">
        <v>8000</v>
      </c>
      <c r="F23" s="10" t="n">
        <v>604.14</v>
      </c>
      <c r="G23" s="10" t="n">
        <f aca="false">E23-F23</f>
        <v>7395.86</v>
      </c>
      <c r="H23" s="11" t="n">
        <f aca="false">IF(E23=0,0,F23/E23)</f>
        <v>0.0755175</v>
      </c>
    </row>
    <row r="24" customFormat="false" ht="15" hidden="false" customHeight="false" outlineLevel="0" collapsed="false">
      <c r="B24" s="4" t="s">
        <v>110</v>
      </c>
      <c r="C24" s="4" t="s">
        <v>111</v>
      </c>
      <c r="D24" s="10" t="n">
        <v>3000</v>
      </c>
      <c r="E24" s="10" t="n">
        <v>3000</v>
      </c>
      <c r="F24" s="10" t="n">
        <v>2702.93</v>
      </c>
      <c r="G24" s="10" t="n">
        <f aca="false">E24-F24</f>
        <v>297.07</v>
      </c>
      <c r="H24" s="11" t="n">
        <f aca="false">IF(E24=0,0,F24/E24)</f>
        <v>0.900976666666667</v>
      </c>
    </row>
    <row r="25" customFormat="false" ht="15" hidden="false" customHeight="false" outlineLevel="0" collapsed="false">
      <c r="B25" s="4" t="s">
        <v>112</v>
      </c>
      <c r="C25" s="4" t="s">
        <v>113</v>
      </c>
      <c r="D25" s="10" t="n">
        <v>0</v>
      </c>
      <c r="E25" s="10" t="n">
        <v>0</v>
      </c>
      <c r="F25" s="10" t="n">
        <v>592.11</v>
      </c>
      <c r="G25" s="10" t="n">
        <f aca="false">E25-F25</f>
        <v>-592.11</v>
      </c>
      <c r="H25" s="11" t="n">
        <f aca="false">IF(E25=0,0,F25/E25)</f>
        <v>0</v>
      </c>
    </row>
    <row r="26" customFormat="false" ht="15" hidden="false" customHeight="false" outlineLevel="0" collapsed="false">
      <c r="B26" s="3" t="s">
        <v>114</v>
      </c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B27" s="4" t="s">
        <v>115</v>
      </c>
      <c r="C27" s="4" t="s">
        <v>116</v>
      </c>
      <c r="D27" s="10" t="n">
        <v>700</v>
      </c>
      <c r="E27" s="10" t="n">
        <v>700</v>
      </c>
      <c r="F27" s="10" t="n">
        <v>50</v>
      </c>
      <c r="G27" s="10" t="n">
        <f aca="false">E27-F27</f>
        <v>650</v>
      </c>
      <c r="H27" s="11" t="n">
        <f aca="false">IF(E27=0,0,F27/E27)</f>
        <v>0.0714285714285714</v>
      </c>
    </row>
    <row r="28" customFormat="false" ht="15" hidden="false" customHeight="false" outlineLevel="0" collapsed="false">
      <c r="B28" s="4" t="s">
        <v>117</v>
      </c>
      <c r="C28" s="4" t="s">
        <v>118</v>
      </c>
      <c r="D28" s="10" t="n">
        <v>3200</v>
      </c>
      <c r="E28" s="10" t="n">
        <v>3200</v>
      </c>
      <c r="F28" s="10" t="n">
        <v>2649</v>
      </c>
      <c r="G28" s="10" t="n">
        <f aca="false">E28-F28</f>
        <v>551</v>
      </c>
      <c r="H28" s="11" t="n">
        <f aca="false">IF(E28=0,0,F28/E28)</f>
        <v>0.8278125</v>
      </c>
    </row>
    <row r="29" customFormat="false" ht="15" hidden="false" customHeight="false" outlineLevel="0" collapsed="false">
      <c r="B29" s="3" t="s">
        <v>119</v>
      </c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B30" s="4" t="s">
        <v>120</v>
      </c>
      <c r="C30" s="4" t="s">
        <v>121</v>
      </c>
      <c r="D30" s="10" t="n">
        <v>31508.95</v>
      </c>
      <c r="E30" s="10" t="n">
        <v>32453.99</v>
      </c>
      <c r="F30" s="10" t="n">
        <v>42435.92</v>
      </c>
      <c r="G30" s="10" t="n">
        <f aca="false">E30-F30</f>
        <v>-9981.93</v>
      </c>
      <c r="H30" s="11" t="n">
        <f aca="false">IF(E30=0,0,F30/E30)</f>
        <v>1.30757173463109</v>
      </c>
    </row>
    <row r="31" customFormat="false" ht="15" hidden="false" customHeight="false" outlineLevel="0" collapsed="false">
      <c r="B31" s="4" t="s">
        <v>122</v>
      </c>
      <c r="C31" s="4" t="s">
        <v>123</v>
      </c>
      <c r="D31" s="10" t="n">
        <v>5560.4</v>
      </c>
      <c r="E31" s="10" t="n">
        <v>5727.18</v>
      </c>
      <c r="F31" s="10" t="n">
        <v>7488.67</v>
      </c>
      <c r="G31" s="10" t="n">
        <f aca="false">E31-F31</f>
        <v>-1761.49</v>
      </c>
      <c r="H31" s="11" t="n">
        <f aca="false">IF(E31=0,0,F31/E31)</f>
        <v>1.3075667256835</v>
      </c>
    </row>
    <row r="32" customFormat="false" ht="15" hidden="false" customHeight="false" outlineLevel="0" collapsed="false">
      <c r="B32" s="5" t="s">
        <v>38</v>
      </c>
      <c r="C32" s="5" t="s">
        <v>124</v>
      </c>
      <c r="D32" s="12" t="n">
        <v>236004.35</v>
      </c>
      <c r="E32" s="12" t="n">
        <v>239989.17</v>
      </c>
      <c r="F32" s="12" t="n">
        <v>241010.46</v>
      </c>
      <c r="G32" s="12" t="n">
        <f aca="false">E32-F32</f>
        <v>-1021.28999999998</v>
      </c>
      <c r="H32" s="13" t="n">
        <f aca="false">IF(E32=0,0,F32/E32)</f>
        <v>1.00425556703246</v>
      </c>
    </row>
    <row r="35" customFormat="false" ht="15" hidden="false" customHeight="false" outlineLevel="0" collapsed="false">
      <c r="B35" s="3" t="s">
        <v>61</v>
      </c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B36" s="2" t="s">
        <v>62</v>
      </c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B37" s="2" t="s">
        <v>63</v>
      </c>
      <c r="C37" s="2"/>
      <c r="D37" s="2"/>
      <c r="E37" s="2"/>
      <c r="F37" s="2"/>
      <c r="G37" s="2"/>
      <c r="H37" s="2"/>
    </row>
    <row r="38" customFormat="false" ht="15" hidden="false" customHeight="false" outlineLevel="0" collapsed="false">
      <c r="B38" s="2" t="s">
        <v>64</v>
      </c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B39" s="2" t="s">
        <v>65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66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67</v>
      </c>
      <c r="C41" s="2"/>
      <c r="D41" s="2"/>
      <c r="E41" s="2"/>
      <c r="F41" s="2"/>
      <c r="G41" s="2"/>
      <c r="H41" s="2"/>
    </row>
  </sheetData>
  <mergeCells count="12">
    <mergeCell ref="B2:H2"/>
    <mergeCell ref="B5:H5"/>
    <mergeCell ref="B16:H16"/>
    <mergeCell ref="B26:H26"/>
    <mergeCell ref="B29:H29"/>
    <mergeCell ref="B35:H35"/>
    <mergeCell ref="B36:H36"/>
    <mergeCell ref="B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125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126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9" t="s">
        <v>28</v>
      </c>
      <c r="C5" s="9" t="s">
        <v>127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128</v>
      </c>
    </row>
    <row r="6" customFormat="false" ht="15" hidden="false" customHeight="false" outlineLevel="0" collapsed="false">
      <c r="B6" s="4" t="s">
        <v>34</v>
      </c>
      <c r="C6" s="14" t="n">
        <v>10</v>
      </c>
      <c r="D6" s="10" t="n">
        <v>74865</v>
      </c>
      <c r="E6" s="10" t="n">
        <v>97891.25</v>
      </c>
      <c r="F6" s="10" t="n">
        <f aca="false">D6-E6</f>
        <v>-23026.25</v>
      </c>
      <c r="G6" s="11" t="n">
        <f aca="false">IF(D6=0,0,E6/D6)</f>
        <v>1.30757029319442</v>
      </c>
      <c r="H6" s="11" t="n">
        <f aca="false">IF(241010.46=0,0,E6/241010.46)</f>
        <v>0.406170130541222</v>
      </c>
      <c r="I6" s="10" t="n">
        <f aca="false">IF(80=0,0,E6/80)</f>
        <v>1223.640625</v>
      </c>
    </row>
    <row r="7" customFormat="false" ht="15" hidden="false" customHeight="false" outlineLevel="0" collapsed="false">
      <c r="B7" s="4" t="s">
        <v>35</v>
      </c>
      <c r="C7" s="14" t="n">
        <v>9</v>
      </c>
      <c r="D7" s="10" t="n">
        <v>123043</v>
      </c>
      <c r="E7" s="10" t="n">
        <v>90495.62</v>
      </c>
      <c r="F7" s="10" t="n">
        <f aca="false">D7-E7</f>
        <v>32547.38</v>
      </c>
      <c r="G7" s="11" t="n">
        <f aca="false">IF(D7=0,0,E7/D7)</f>
        <v>0.735479629072763</v>
      </c>
      <c r="H7" s="11" t="n">
        <f aca="false">IF(241010.46=0,0,E7/241010.46)</f>
        <v>0.375484200976173</v>
      </c>
      <c r="I7" s="10" t="n">
        <f aca="false">IF(80=0,0,E7/80)</f>
        <v>1131.19525</v>
      </c>
    </row>
    <row r="8" customFormat="false" ht="15" hidden="false" customHeight="false" outlineLevel="0" collapsed="false">
      <c r="B8" s="4" t="s">
        <v>36</v>
      </c>
      <c r="C8" s="14" t="n">
        <v>2</v>
      </c>
      <c r="D8" s="10" t="n">
        <v>3900</v>
      </c>
      <c r="E8" s="10" t="n">
        <v>2699</v>
      </c>
      <c r="F8" s="10" t="n">
        <f aca="false">D8-E8</f>
        <v>1201</v>
      </c>
      <c r="G8" s="11" t="n">
        <f aca="false">IF(D8=0,0,E8/D8)</f>
        <v>0.692051282051282</v>
      </c>
      <c r="H8" s="11" t="n">
        <f aca="false">IF(241010.46=0,0,E8/241010.46)</f>
        <v>0.011198684073712</v>
      </c>
      <c r="I8" s="10" t="n">
        <f aca="false">IF(80=0,0,E8/80)</f>
        <v>33.7375</v>
      </c>
    </row>
    <row r="9" customFormat="false" ht="15" hidden="false" customHeight="false" outlineLevel="0" collapsed="false">
      <c r="B9" s="4" t="s">
        <v>37</v>
      </c>
      <c r="C9" s="14" t="n">
        <v>2</v>
      </c>
      <c r="D9" s="10" t="n">
        <v>38181.17</v>
      </c>
      <c r="E9" s="10" t="n">
        <v>49924.59</v>
      </c>
      <c r="F9" s="10" t="n">
        <f aca="false">D9-E9</f>
        <v>-11743.42</v>
      </c>
      <c r="G9" s="11" t="n">
        <f aca="false">IF(D9=0,0,E9/D9)</f>
        <v>1.30757098328836</v>
      </c>
      <c r="H9" s="11" t="n">
        <f aca="false">IF(241010.46=0,0,E9/241010.46)</f>
        <v>0.207146984408892</v>
      </c>
      <c r="I9" s="10" t="n">
        <f aca="false">IF(80=0,0,E9/80)</f>
        <v>624.057375</v>
      </c>
    </row>
    <row r="12" customFormat="false" ht="15" hidden="false" customHeight="false" outlineLevel="0" collapsed="false">
      <c r="B12" s="3" t="s">
        <v>129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9" t="s">
        <v>69</v>
      </c>
      <c r="C13" s="9" t="s">
        <v>70</v>
      </c>
      <c r="D13" s="9" t="s">
        <v>72</v>
      </c>
      <c r="E13" s="9" t="s">
        <v>30</v>
      </c>
      <c r="F13" s="9" t="s">
        <v>130</v>
      </c>
      <c r="G13" s="9" t="s">
        <v>131</v>
      </c>
    </row>
    <row r="14" customFormat="false" ht="15" hidden="false" customHeight="false" outlineLevel="0" collapsed="false">
      <c r="B14" s="4" t="s">
        <v>85</v>
      </c>
      <c r="C14" s="4" t="s">
        <v>86</v>
      </c>
      <c r="D14" s="10" t="n">
        <v>30595</v>
      </c>
      <c r="E14" s="10" t="n">
        <v>65392.75</v>
      </c>
      <c r="F14" s="10" t="n">
        <f aca="false">E14-D14</f>
        <v>34797.75</v>
      </c>
      <c r="G14" s="11" t="n">
        <f aca="false">IF(D14=0,0,F14/D14)</f>
        <v>1.1373672168655</v>
      </c>
    </row>
    <row r="15" customFormat="false" ht="15" hidden="false" customHeight="false" outlineLevel="0" collapsed="false">
      <c r="B15" s="4" t="s">
        <v>120</v>
      </c>
      <c r="C15" s="4" t="s">
        <v>121</v>
      </c>
      <c r="D15" s="10" t="n">
        <v>32453.99</v>
      </c>
      <c r="E15" s="10" t="n">
        <v>42435.92</v>
      </c>
      <c r="F15" s="10" t="n">
        <f aca="false">E15-D15</f>
        <v>9981.93</v>
      </c>
      <c r="G15" s="11" t="n">
        <f aca="false">IF(D15=0,0,F15/D15)</f>
        <v>0.307571734631088</v>
      </c>
    </row>
    <row r="16" customFormat="false" ht="15" hidden="false" customHeight="false" outlineLevel="0" collapsed="false">
      <c r="B16" s="4" t="s">
        <v>102</v>
      </c>
      <c r="C16" s="4" t="s">
        <v>103</v>
      </c>
      <c r="D16" s="10" t="n">
        <v>24315</v>
      </c>
      <c r="E16" s="10" t="n">
        <v>26087.05</v>
      </c>
      <c r="F16" s="10" t="n">
        <f aca="false">E16-D16</f>
        <v>1772.05</v>
      </c>
      <c r="G16" s="11" t="n">
        <f aca="false">IF(D16=0,0,F16/D16)</f>
        <v>0.0728788813489615</v>
      </c>
    </row>
    <row r="17" customFormat="false" ht="15" hidden="false" customHeight="false" outlineLevel="0" collapsed="false">
      <c r="B17" s="4" t="s">
        <v>122</v>
      </c>
      <c r="C17" s="4" t="s">
        <v>123</v>
      </c>
      <c r="D17" s="10" t="n">
        <v>5727.18</v>
      </c>
      <c r="E17" s="10" t="n">
        <v>7488.67</v>
      </c>
      <c r="F17" s="10" t="n">
        <f aca="false">E17-D17</f>
        <v>1761.49</v>
      </c>
      <c r="G17" s="11" t="n">
        <f aca="false">IF(D17=0,0,F17/D17)</f>
        <v>0.307566725683495</v>
      </c>
    </row>
    <row r="18" customFormat="false" ht="15" hidden="false" customHeight="false" outlineLevel="0" collapsed="false">
      <c r="B18" s="4" t="s">
        <v>93</v>
      </c>
      <c r="C18" s="4" t="s">
        <v>94</v>
      </c>
      <c r="D18" s="10" t="n">
        <v>7560</v>
      </c>
      <c r="E18" s="10" t="n">
        <v>9300</v>
      </c>
      <c r="F18" s="10" t="n">
        <f aca="false">E18-D18</f>
        <v>1740</v>
      </c>
      <c r="G18" s="11" t="n">
        <f aca="false">IF(D18=0,0,F18/D18)</f>
        <v>0.23015873015873</v>
      </c>
    </row>
    <row r="19" customFormat="false" ht="15" hidden="false" customHeight="false" outlineLevel="0" collapsed="false">
      <c r="B19" s="4" t="s">
        <v>112</v>
      </c>
      <c r="C19" s="4" t="s">
        <v>113</v>
      </c>
      <c r="D19" s="10" t="n">
        <v>0</v>
      </c>
      <c r="E19" s="10" t="n">
        <v>592.11</v>
      </c>
      <c r="F19" s="10" t="n">
        <f aca="false">E19-D19</f>
        <v>592.11</v>
      </c>
      <c r="G19" s="11" t="n">
        <f aca="false">IF(D19=0,0,F19/D19)</f>
        <v>0</v>
      </c>
    </row>
    <row r="20" customFormat="false" ht="15" hidden="false" customHeight="false" outlineLevel="0" collapsed="false">
      <c r="B20" s="4" t="s">
        <v>98</v>
      </c>
      <c r="C20" s="4" t="s">
        <v>99</v>
      </c>
      <c r="D20" s="10" t="n">
        <v>0</v>
      </c>
      <c r="E20" s="10" t="n">
        <v>479.89</v>
      </c>
      <c r="F20" s="10" t="n">
        <f aca="false">E20-D20</f>
        <v>479.89</v>
      </c>
      <c r="G20" s="11" t="n">
        <f aca="false">IF(D20=0,0,F20/D20)</f>
        <v>0</v>
      </c>
    </row>
    <row r="21" customFormat="false" ht="15" hidden="false" customHeight="false" outlineLevel="0" collapsed="false">
      <c r="B21" s="4" t="s">
        <v>81</v>
      </c>
      <c r="C21" s="4" t="s">
        <v>82</v>
      </c>
      <c r="D21" s="10" t="n">
        <v>0</v>
      </c>
      <c r="E21" s="10" t="n">
        <v>416</v>
      </c>
      <c r="F21" s="10" t="n">
        <f aca="false">E21-D21</f>
        <v>416</v>
      </c>
      <c r="G21" s="11" t="n">
        <f aca="false">IF(D21=0,0,F21/D21)</f>
        <v>0</v>
      </c>
    </row>
    <row r="24" customFormat="false" ht="15" hidden="false" customHeight="false" outlineLevel="0" collapsed="false">
      <c r="B24" s="3" t="s">
        <v>132</v>
      </c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B25" s="9" t="s">
        <v>69</v>
      </c>
      <c r="C25" s="9" t="s">
        <v>70</v>
      </c>
      <c r="D25" s="9" t="s">
        <v>72</v>
      </c>
      <c r="E25" s="9" t="s">
        <v>30</v>
      </c>
      <c r="F25" s="9" t="s">
        <v>133</v>
      </c>
      <c r="G25" s="9" t="s">
        <v>134</v>
      </c>
    </row>
    <row r="26" customFormat="false" ht="15" hidden="false" customHeight="false" outlineLevel="0" collapsed="false">
      <c r="B26" s="4" t="s">
        <v>104</v>
      </c>
      <c r="C26" s="4" t="s">
        <v>105</v>
      </c>
      <c r="D26" s="10" t="n">
        <v>82478</v>
      </c>
      <c r="E26" s="10" t="n">
        <v>56499.81</v>
      </c>
      <c r="F26" s="10" t="n">
        <f aca="false">D26-E26</f>
        <v>25978.19</v>
      </c>
      <c r="G26" s="11" t="n">
        <f aca="false">IF(D26=0,0,F26/D26)</f>
        <v>0.31497114382017</v>
      </c>
    </row>
    <row r="27" customFormat="false" ht="15" hidden="false" customHeight="false" outlineLevel="0" collapsed="false">
      <c r="B27" s="4" t="s">
        <v>108</v>
      </c>
      <c r="C27" s="4" t="s">
        <v>109</v>
      </c>
      <c r="D27" s="10" t="n">
        <v>8000</v>
      </c>
      <c r="E27" s="10" t="n">
        <v>604.14</v>
      </c>
      <c r="F27" s="10" t="n">
        <f aca="false">D27-E27</f>
        <v>7395.86</v>
      </c>
      <c r="G27" s="11" t="n">
        <f aca="false">IF(D27=0,0,F27/D27)</f>
        <v>0.9244825</v>
      </c>
    </row>
    <row r="28" customFormat="false" ht="15" hidden="false" customHeight="false" outlineLevel="0" collapsed="false">
      <c r="B28" s="4" t="s">
        <v>89</v>
      </c>
      <c r="C28" s="4" t="s">
        <v>90</v>
      </c>
      <c r="D28" s="10" t="n">
        <v>8300</v>
      </c>
      <c r="E28" s="10" t="n">
        <v>4656</v>
      </c>
      <c r="F28" s="10" t="n">
        <f aca="false">D28-E28</f>
        <v>3644</v>
      </c>
      <c r="G28" s="11" t="n">
        <f aca="false">IF(D28=0,0,F28/D28)</f>
        <v>0.439036144578313</v>
      </c>
    </row>
    <row r="29" customFormat="false" ht="15" hidden="false" customHeight="false" outlineLevel="0" collapsed="false">
      <c r="B29" s="4" t="s">
        <v>91</v>
      </c>
      <c r="C29" s="4" t="s">
        <v>92</v>
      </c>
      <c r="D29" s="10" t="n">
        <v>4000</v>
      </c>
      <c r="E29" s="10" t="n">
        <v>1032</v>
      </c>
      <c r="F29" s="10" t="n">
        <f aca="false">D29-E29</f>
        <v>2968</v>
      </c>
      <c r="G29" s="11" t="n">
        <f aca="false">IF(D29=0,0,F29/D29)</f>
        <v>0.742</v>
      </c>
    </row>
    <row r="30" customFormat="false" ht="15" hidden="false" customHeight="false" outlineLevel="0" collapsed="false">
      <c r="B30" s="4" t="s">
        <v>75</v>
      </c>
      <c r="C30" s="4" t="s">
        <v>76</v>
      </c>
      <c r="D30" s="10" t="n">
        <v>5130</v>
      </c>
      <c r="E30" s="10" t="n">
        <v>2769</v>
      </c>
      <c r="F30" s="10" t="n">
        <f aca="false">D30-E30</f>
        <v>2361</v>
      </c>
      <c r="G30" s="11" t="n">
        <f aca="false">IF(D30=0,0,F30/D30)</f>
        <v>0.460233918128655</v>
      </c>
    </row>
    <row r="31" customFormat="false" ht="15" hidden="false" customHeight="false" outlineLevel="0" collapsed="false">
      <c r="B31" s="4" t="s">
        <v>77</v>
      </c>
      <c r="C31" s="4" t="s">
        <v>78</v>
      </c>
      <c r="D31" s="10" t="n">
        <v>4980</v>
      </c>
      <c r="E31" s="10" t="n">
        <v>3124</v>
      </c>
      <c r="F31" s="10" t="n">
        <f aca="false">D31-E31</f>
        <v>1856</v>
      </c>
      <c r="G31" s="11" t="n">
        <f aca="false">IF(D31=0,0,F31/D31)</f>
        <v>0.372690763052209</v>
      </c>
    </row>
    <row r="32" customFormat="false" ht="15" hidden="false" customHeight="false" outlineLevel="0" collapsed="false">
      <c r="B32" s="4" t="s">
        <v>79</v>
      </c>
      <c r="C32" s="4" t="s">
        <v>80</v>
      </c>
      <c r="D32" s="10" t="n">
        <v>2800</v>
      </c>
      <c r="E32" s="10" t="n">
        <v>1126</v>
      </c>
      <c r="F32" s="10" t="n">
        <f aca="false">D32-E32</f>
        <v>1674</v>
      </c>
      <c r="G32" s="11" t="n">
        <f aca="false">IF(D32=0,0,F32/D32)</f>
        <v>0.597857142857143</v>
      </c>
    </row>
    <row r="33" customFormat="false" ht="15" hidden="false" customHeight="false" outlineLevel="0" collapsed="false">
      <c r="B33" s="4" t="s">
        <v>96</v>
      </c>
      <c r="C33" s="4" t="s">
        <v>97</v>
      </c>
      <c r="D33" s="10" t="n">
        <v>2700</v>
      </c>
      <c r="E33" s="10" t="n">
        <v>1463.57</v>
      </c>
      <c r="F33" s="10" t="n">
        <f aca="false">D33-E33</f>
        <v>1236.43</v>
      </c>
      <c r="G33" s="11" t="n">
        <f aca="false">IF(D33=0,0,F33/D33)</f>
        <v>0.457937037037037</v>
      </c>
    </row>
    <row r="34" customFormat="false" ht="15" hidden="false" customHeight="false" outlineLevel="0" collapsed="false">
      <c r="B34" s="4" t="s">
        <v>83</v>
      </c>
      <c r="C34" s="4" t="s">
        <v>84</v>
      </c>
      <c r="D34" s="10" t="n">
        <v>1700</v>
      </c>
      <c r="E34" s="10" t="n">
        <v>765</v>
      </c>
      <c r="F34" s="10" t="n">
        <f aca="false">D34-E34</f>
        <v>935</v>
      </c>
      <c r="G34" s="11" t="n">
        <f aca="false">IF(D34=0,0,F34/D34)</f>
        <v>0.55</v>
      </c>
    </row>
    <row r="35" customFormat="false" ht="15" hidden="false" customHeight="false" outlineLevel="0" collapsed="false">
      <c r="B35" s="4" t="s">
        <v>115</v>
      </c>
      <c r="C35" s="4" t="s">
        <v>116</v>
      </c>
      <c r="D35" s="10" t="n">
        <v>700</v>
      </c>
      <c r="E35" s="10" t="n">
        <v>50</v>
      </c>
      <c r="F35" s="10" t="n">
        <f aca="false">D35-E35</f>
        <v>650</v>
      </c>
      <c r="G35" s="11" t="n">
        <f aca="false">IF(D35=0,0,F35/D35)</f>
        <v>0.928571428571429</v>
      </c>
    </row>
    <row r="38" customFormat="false" ht="15" hidden="false" customHeight="false" outlineLevel="0" collapsed="false">
      <c r="B38" s="3" t="s">
        <v>61</v>
      </c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B39" s="2" t="s">
        <v>62</v>
      </c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B40" s="2" t="s">
        <v>63</v>
      </c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B41" s="2" t="s">
        <v>64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65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66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67</v>
      </c>
      <c r="C44" s="2"/>
      <c r="D44" s="2"/>
      <c r="E44" s="2"/>
      <c r="F44" s="2"/>
      <c r="G44" s="2"/>
      <c r="H44" s="2"/>
      <c r="I44" s="2"/>
    </row>
  </sheetData>
  <mergeCells count="11">
    <mergeCell ref="B2:I2"/>
    <mergeCell ref="B4:I4"/>
    <mergeCell ref="B12:I12"/>
    <mergeCell ref="B24:I24"/>
    <mergeCell ref="B38:I38"/>
    <mergeCell ref="B39:I39"/>
    <mergeCell ref="B40:I40"/>
    <mergeCell ref="B41:I41"/>
    <mergeCell ref="B42:I42"/>
    <mergeCell ref="B43:I43"/>
    <mergeCell ref="B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135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136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137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9" t="s">
        <v>69</v>
      </c>
      <c r="C6" s="9" t="s">
        <v>70</v>
      </c>
      <c r="D6" s="9" t="s">
        <v>72</v>
      </c>
      <c r="E6" s="9" t="s">
        <v>30</v>
      </c>
      <c r="F6" s="9" t="s">
        <v>31</v>
      </c>
      <c r="G6" s="9" t="s">
        <v>73</v>
      </c>
      <c r="H6" s="9" t="s">
        <v>138</v>
      </c>
      <c r="I6" s="9" t="s">
        <v>128</v>
      </c>
    </row>
    <row r="7" customFormat="false" ht="15" hidden="false" customHeight="false" outlineLevel="0" collapsed="false">
      <c r="B7" s="4" t="s">
        <v>96</v>
      </c>
      <c r="C7" s="4" t="s">
        <v>97</v>
      </c>
      <c r="D7" s="10" t="n">
        <v>2700</v>
      </c>
      <c r="E7" s="10" t="n">
        <v>1463.57</v>
      </c>
      <c r="F7" s="10" t="n">
        <f aca="false">D7-E7</f>
        <v>1236.43</v>
      </c>
      <c r="G7" s="11" t="n">
        <f aca="false">IF(D7=0,0,E7/D7)</f>
        <v>0.542062962962963</v>
      </c>
      <c r="H7" s="11" t="n">
        <f aca="false">IF(90495.62=0,0,E7/90495.62)</f>
        <v>0.0161728269279773</v>
      </c>
      <c r="I7" s="10" t="n">
        <f aca="false">IF(80=0,0,E7/80)</f>
        <v>18.294625</v>
      </c>
    </row>
    <row r="8" customFormat="false" ht="15" hidden="false" customHeight="false" outlineLevel="0" collapsed="false">
      <c r="B8" s="4" t="s">
        <v>98</v>
      </c>
      <c r="C8" s="4" t="s">
        <v>99</v>
      </c>
      <c r="D8" s="10" t="n">
        <v>0</v>
      </c>
      <c r="E8" s="10" t="n">
        <v>479.89</v>
      </c>
      <c r="F8" s="10" t="n">
        <f aca="false">D8-E8</f>
        <v>-479.89</v>
      </c>
      <c r="G8" s="11" t="n">
        <f aca="false">IF(D8=0,0,E8/D8)</f>
        <v>0</v>
      </c>
      <c r="H8" s="11" t="n">
        <f aca="false">IF(90495.62=0,0,E8/90495.62)</f>
        <v>0.00530290858275793</v>
      </c>
      <c r="I8" s="10" t="n">
        <f aca="false">IF(80=0,0,E8/80)</f>
        <v>5.998625</v>
      </c>
    </row>
    <row r="9" customFormat="false" ht="15" hidden="false" customHeight="false" outlineLevel="0" collapsed="false">
      <c r="B9" s="4" t="s">
        <v>100</v>
      </c>
      <c r="C9" s="4" t="s">
        <v>101</v>
      </c>
      <c r="D9" s="10" t="n">
        <v>2550</v>
      </c>
      <c r="E9" s="10" t="n">
        <v>2042.61</v>
      </c>
      <c r="F9" s="10" t="n">
        <f aca="false">D9-E9</f>
        <v>507.39</v>
      </c>
      <c r="G9" s="11" t="n">
        <f aca="false">IF(D9=0,0,E9/D9)</f>
        <v>0.801023529411765</v>
      </c>
      <c r="H9" s="11" t="n">
        <f aca="false">IF(90495.62=0,0,E9/90495.62)</f>
        <v>0.022571368647455</v>
      </c>
      <c r="I9" s="10" t="n">
        <f aca="false">IF(80=0,0,E9/80)</f>
        <v>25.532625</v>
      </c>
    </row>
    <row r="10" customFormat="false" ht="15" hidden="false" customHeight="false" outlineLevel="0" collapsed="false">
      <c r="B10" s="4" t="s">
        <v>102</v>
      </c>
      <c r="C10" s="4" t="s">
        <v>103</v>
      </c>
      <c r="D10" s="10" t="n">
        <v>24315</v>
      </c>
      <c r="E10" s="10" t="n">
        <v>26087.05</v>
      </c>
      <c r="F10" s="10" t="n">
        <f aca="false">D10-E10</f>
        <v>-1772.05</v>
      </c>
      <c r="G10" s="11" t="n">
        <f aca="false">IF(D10=0,0,E10/D10)</f>
        <v>1.07287888134896</v>
      </c>
      <c r="H10" s="11" t="n">
        <f aca="false">IF(90495.62=0,0,E10/90495.62)</f>
        <v>0.288268647698088</v>
      </c>
      <c r="I10" s="10" t="n">
        <f aca="false">IF(80=0,0,E10/80)</f>
        <v>326.088125</v>
      </c>
    </row>
    <row r="11" customFormat="false" ht="15" hidden="false" customHeight="false" outlineLevel="0" collapsed="false">
      <c r="B11" s="4" t="s">
        <v>104</v>
      </c>
      <c r="C11" s="4" t="s">
        <v>105</v>
      </c>
      <c r="D11" s="10" t="n">
        <v>82478</v>
      </c>
      <c r="E11" s="10" t="n">
        <v>56499.81</v>
      </c>
      <c r="F11" s="10" t="n">
        <f aca="false">D11-E11</f>
        <v>25978.19</v>
      </c>
      <c r="G11" s="11" t="n">
        <f aca="false">IF(D11=0,0,E11/D11)</f>
        <v>0.68502885617983</v>
      </c>
      <c r="H11" s="11" t="n">
        <f aca="false">IF(90495.62=0,0,E11/90495.62)</f>
        <v>0.624337509373382</v>
      </c>
      <c r="I11" s="10" t="n">
        <f aca="false">IF(80=0,0,E11/80)</f>
        <v>706.247625</v>
      </c>
    </row>
    <row r="12" customFormat="false" ht="15" hidden="false" customHeight="false" outlineLevel="0" collapsed="false">
      <c r="B12" s="4" t="s">
        <v>106</v>
      </c>
      <c r="C12" s="4" t="s">
        <v>107</v>
      </c>
      <c r="D12" s="10" t="n">
        <v>0</v>
      </c>
      <c r="E12" s="10" t="n">
        <v>23.51</v>
      </c>
      <c r="F12" s="10" t="n">
        <f aca="false">D12-E12</f>
        <v>-23.51</v>
      </c>
      <c r="G12" s="11" t="n">
        <f aca="false">IF(D12=0,0,E12/D12)</f>
        <v>0</v>
      </c>
      <c r="H12" s="11" t="n">
        <f aca="false">IF(90495.62=0,0,E12/90495.62)</f>
        <v>0.000259791578863154</v>
      </c>
      <c r="I12" s="10" t="n">
        <f aca="false">IF(80=0,0,E12/80)</f>
        <v>0.293875</v>
      </c>
    </row>
    <row r="13" customFormat="false" ht="15" hidden="false" customHeight="false" outlineLevel="0" collapsed="false">
      <c r="B13" s="4" t="s">
        <v>108</v>
      </c>
      <c r="C13" s="4" t="s">
        <v>109</v>
      </c>
      <c r="D13" s="10" t="n">
        <v>8000</v>
      </c>
      <c r="E13" s="10" t="n">
        <v>604.14</v>
      </c>
      <c r="F13" s="10" t="n">
        <f aca="false">D13-E13</f>
        <v>7395.86</v>
      </c>
      <c r="G13" s="11" t="n">
        <f aca="false">IF(D13=0,0,E13/D13)</f>
        <v>0.0755175</v>
      </c>
      <c r="H13" s="11" t="n">
        <f aca="false">IF(90495.62=0,0,E13/90495.62)</f>
        <v>0.0066759032094592</v>
      </c>
      <c r="I13" s="10" t="n">
        <f aca="false">IF(80=0,0,E13/80)</f>
        <v>7.55175</v>
      </c>
    </row>
    <row r="14" customFormat="false" ht="15" hidden="false" customHeight="false" outlineLevel="0" collapsed="false">
      <c r="B14" s="4" t="s">
        <v>110</v>
      </c>
      <c r="C14" s="4" t="s">
        <v>111</v>
      </c>
      <c r="D14" s="10" t="n">
        <v>3000</v>
      </c>
      <c r="E14" s="10" t="n">
        <v>2702.93</v>
      </c>
      <c r="F14" s="10" t="n">
        <f aca="false">D14-E14</f>
        <v>297.07</v>
      </c>
      <c r="G14" s="11" t="n">
        <f aca="false">IF(D14=0,0,E14/D14)</f>
        <v>0.900976666666667</v>
      </c>
      <c r="H14" s="11" t="n">
        <f aca="false">IF(90495.62=0,0,E14/90495.62)</f>
        <v>0.0298680753830959</v>
      </c>
      <c r="I14" s="10" t="n">
        <f aca="false">IF(80=0,0,E14/80)</f>
        <v>33.786625</v>
      </c>
    </row>
    <row r="15" customFormat="false" ht="15" hidden="false" customHeight="false" outlineLevel="0" collapsed="false">
      <c r="B15" s="4" t="s">
        <v>112</v>
      </c>
      <c r="C15" s="4" t="s">
        <v>113</v>
      </c>
      <c r="D15" s="10" t="n">
        <v>0</v>
      </c>
      <c r="E15" s="10" t="n">
        <v>592.11</v>
      </c>
      <c r="F15" s="10" t="n">
        <f aca="false">D15-E15</f>
        <v>-592.11</v>
      </c>
      <c r="G15" s="11" t="n">
        <f aca="false">IF(D15=0,0,E15/D15)</f>
        <v>0</v>
      </c>
      <c r="H15" s="11" t="n">
        <f aca="false">IF(90495.62=0,0,E15/90495.62)</f>
        <v>0.00654296859892225</v>
      </c>
      <c r="I15" s="10" t="n">
        <f aca="false">IF(80=0,0,E15/80)</f>
        <v>7.401375</v>
      </c>
    </row>
    <row r="16" customFormat="false" ht="15" hidden="false" customHeight="false" outlineLevel="0" collapsed="false">
      <c r="B16" s="5" t="s">
        <v>38</v>
      </c>
      <c r="C16" s="5" t="s">
        <v>139</v>
      </c>
      <c r="D16" s="12" t="n">
        <f aca="false">SUM(D7:D15)</f>
        <v>123043</v>
      </c>
      <c r="E16" s="12" t="n">
        <f aca="false">SUM(E7:E15)</f>
        <v>90495.62</v>
      </c>
      <c r="F16" s="12" t="n">
        <f aca="false">D16-E16</f>
        <v>32547.38</v>
      </c>
      <c r="G16" s="13" t="n">
        <f aca="false">IF(D16=0,0,E16/D16)</f>
        <v>0.735479629072763</v>
      </c>
      <c r="H16" s="13" t="n">
        <v>1</v>
      </c>
      <c r="I16" s="12" t="n">
        <f aca="false">IF(80=0,0,E16/80)</f>
        <v>1131.19525</v>
      </c>
    </row>
    <row r="19" customFormat="false" ht="15" hidden="false" customHeight="false" outlineLevel="0" collapsed="false">
      <c r="B19" s="3" t="s">
        <v>140</v>
      </c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B20" s="9" t="s">
        <v>141</v>
      </c>
      <c r="C20" s="9" t="s">
        <v>142</v>
      </c>
      <c r="D20" s="9" t="s">
        <v>143</v>
      </c>
      <c r="E20" s="9" t="s">
        <v>144</v>
      </c>
      <c r="F20" s="9"/>
      <c r="G20" s="9"/>
      <c r="H20" s="9"/>
      <c r="I20" s="9" t="s">
        <v>145</v>
      </c>
    </row>
    <row r="21" customFormat="false" ht="15" hidden="false" customHeight="false" outlineLevel="0" collapsed="false">
      <c r="B21" s="4" t="s">
        <v>146</v>
      </c>
      <c r="C21" s="14" t="n">
        <v>22</v>
      </c>
      <c r="D21" s="10" t="n">
        <v>74948.84</v>
      </c>
      <c r="E21" s="11" t="n">
        <f aca="false">IF(106352.55=0,0,D21/106352.55)</f>
        <v>0.704720667252454</v>
      </c>
      <c r="I21" s="10" t="n">
        <f aca="false">IF(C21=0,0,D21/C21)</f>
        <v>3406.76545454545</v>
      </c>
    </row>
    <row r="22" customFormat="false" ht="15" hidden="false" customHeight="false" outlineLevel="0" collapsed="false">
      <c r="B22" s="4" t="s">
        <v>147</v>
      </c>
      <c r="C22" s="14" t="n">
        <v>21</v>
      </c>
      <c r="D22" s="10" t="n">
        <v>14095.11</v>
      </c>
      <c r="E22" s="11" t="n">
        <f aca="false">IF(106352.55=0,0,D22/106352.55)</f>
        <v>0.132531942111402</v>
      </c>
      <c r="I22" s="10" t="n">
        <f aca="false">IF(C22=0,0,D22/C22)</f>
        <v>671.195714285714</v>
      </c>
    </row>
    <row r="23" customFormat="false" ht="15" hidden="false" customHeight="false" outlineLevel="0" collapsed="false">
      <c r="B23" s="4" t="s">
        <v>148</v>
      </c>
      <c r="C23" s="14" t="n">
        <v>25</v>
      </c>
      <c r="D23" s="10" t="n">
        <v>11376.96</v>
      </c>
      <c r="E23" s="11" t="n">
        <f aca="false">IF(106352.55=0,0,D23/106352.55)</f>
        <v>0.10697402177945</v>
      </c>
      <c r="I23" s="10" t="n">
        <f aca="false">IF(C23=0,0,D23/C23)</f>
        <v>455.0784</v>
      </c>
    </row>
    <row r="24" customFormat="false" ht="15" hidden="false" customHeight="false" outlineLevel="0" collapsed="false">
      <c r="B24" s="4" t="s">
        <v>149</v>
      </c>
      <c r="C24" s="14" t="n">
        <v>3</v>
      </c>
      <c r="D24" s="10" t="n">
        <v>2649</v>
      </c>
      <c r="E24" s="11" t="n">
        <f aca="false">IF(106352.55=0,0,D24/106352.55)</f>
        <v>0.0249077243563977</v>
      </c>
      <c r="I24" s="10" t="n">
        <f aca="false">IF(C24=0,0,D24/C24)</f>
        <v>883</v>
      </c>
    </row>
    <row r="25" customFormat="false" ht="15" hidden="false" customHeight="false" outlineLevel="0" collapsed="false">
      <c r="B25" s="4" t="s">
        <v>150</v>
      </c>
      <c r="C25" s="14" t="n">
        <v>7</v>
      </c>
      <c r="D25" s="10" t="n">
        <v>1086.17</v>
      </c>
      <c r="E25" s="11" t="n">
        <f aca="false">IF(106352.55=0,0,D25/106352.55)</f>
        <v>0.0102129192012791</v>
      </c>
      <c r="I25" s="10" t="n">
        <f aca="false">IF(C25=0,0,D25/C25)</f>
        <v>155.167142857143</v>
      </c>
    </row>
    <row r="26" customFormat="false" ht="15" hidden="false" customHeight="false" outlineLevel="0" collapsed="false">
      <c r="B26" s="4" t="s">
        <v>151</v>
      </c>
      <c r="C26" s="14" t="n">
        <v>1</v>
      </c>
      <c r="D26" s="10" t="n">
        <v>1044</v>
      </c>
      <c r="E26" s="11" t="n">
        <f aca="false">IF(106352.55=0,0,D26/106352.55)</f>
        <v>0.00981640778711935</v>
      </c>
      <c r="I26" s="10" t="n">
        <f aca="false">IF(C26=0,0,D26/C26)</f>
        <v>1044</v>
      </c>
    </row>
    <row r="27" customFormat="false" ht="15" hidden="false" customHeight="false" outlineLevel="0" collapsed="false">
      <c r="B27" s="4" t="s">
        <v>152</v>
      </c>
      <c r="C27" s="14" t="n">
        <v>2</v>
      </c>
      <c r="D27" s="10" t="n">
        <v>897.2</v>
      </c>
      <c r="E27" s="11" t="n">
        <f aca="false">IF(106352.55=0,0,D27/106352.55)</f>
        <v>0.00843609297567383</v>
      </c>
      <c r="I27" s="10" t="n">
        <f aca="false">IF(C27=0,0,D27/C27)</f>
        <v>448.6</v>
      </c>
    </row>
    <row r="28" customFormat="false" ht="15" hidden="false" customHeight="false" outlineLevel="0" collapsed="false">
      <c r="B28" s="4" t="s">
        <v>153</v>
      </c>
      <c r="C28" s="14" t="n">
        <v>3</v>
      </c>
      <c r="D28" s="10" t="n">
        <v>205.27</v>
      </c>
      <c r="E28" s="11" t="n">
        <f aca="false">IF(106352.55=0,0,D28/106352.55)</f>
        <v>0.00193009006366091</v>
      </c>
      <c r="I28" s="10" t="n">
        <f aca="false">IF(C28=0,0,D28/C28)</f>
        <v>68.4233333333333</v>
      </c>
    </row>
    <row r="29" customFormat="false" ht="15" hidden="false" customHeight="false" outlineLevel="0" collapsed="false">
      <c r="B29" s="4" t="s">
        <v>154</v>
      </c>
      <c r="C29" s="14" t="n">
        <v>1</v>
      </c>
      <c r="D29" s="10" t="n">
        <v>50</v>
      </c>
      <c r="E29" s="11" t="n">
        <f aca="false">IF(106352.55=0,0,D29/106352.55)</f>
        <v>0.000470134472563187</v>
      </c>
      <c r="I29" s="10" t="n">
        <f aca="false">IF(C29=0,0,D29/C29)</f>
        <v>50</v>
      </c>
    </row>
    <row r="30" customFormat="false" ht="15" hidden="false" customHeight="false" outlineLevel="0" collapsed="false">
      <c r="B30" s="5" t="s">
        <v>38</v>
      </c>
      <c r="C30" s="15" t="n">
        <f aca="false">SUM(C21:C29)</f>
        <v>85</v>
      </c>
      <c r="D30" s="12" t="n">
        <f aca="false">SUM(D21:D29)</f>
        <v>106352.55</v>
      </c>
      <c r="E30" s="13" t="n">
        <v>1</v>
      </c>
    </row>
    <row r="33" customFormat="false" ht="15" hidden="false" customHeight="false" outlineLevel="0" collapsed="false">
      <c r="B33" s="3" t="s">
        <v>61</v>
      </c>
      <c r="C33" s="3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B34" s="2" t="s">
        <v>62</v>
      </c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B35" s="2" t="s">
        <v>63</v>
      </c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B36" s="2" t="s">
        <v>64</v>
      </c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B37" s="2" t="s">
        <v>65</v>
      </c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B38" s="2" t="s">
        <v>66</v>
      </c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B39" s="2" t="s">
        <v>67</v>
      </c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B40" s="2" t="s">
        <v>155</v>
      </c>
      <c r="C40" s="2"/>
      <c r="D40" s="2"/>
      <c r="E40" s="2"/>
      <c r="F40" s="2"/>
      <c r="G40" s="2"/>
      <c r="H40" s="2"/>
      <c r="I40" s="2"/>
    </row>
  </sheetData>
  <mergeCells count="12">
    <mergeCell ref="B2:I2"/>
    <mergeCell ref="B3:I3"/>
    <mergeCell ref="B5:I5"/>
    <mergeCell ref="B19:I19"/>
    <mergeCell ref="B33:I33"/>
    <mergeCell ref="B34:I34"/>
    <mergeCell ref="B35:I35"/>
    <mergeCell ref="B36:I36"/>
    <mergeCell ref="B37:I37"/>
    <mergeCell ref="B38:I38"/>
    <mergeCell ref="B39:I39"/>
    <mergeCell ref="B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156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157</v>
      </c>
      <c r="C4" s="9" t="s">
        <v>158</v>
      </c>
      <c r="D4" s="9" t="s">
        <v>159</v>
      </c>
      <c r="E4" s="9" t="s">
        <v>160</v>
      </c>
      <c r="F4" s="9" t="s">
        <v>161</v>
      </c>
    </row>
    <row r="5" customFormat="false" ht="15" hidden="false" customHeight="false" outlineLevel="0" collapsed="false">
      <c r="B5" s="4" t="s">
        <v>162</v>
      </c>
      <c r="C5" s="16" t="n">
        <v>664</v>
      </c>
      <c r="D5" s="10" t="n">
        <v>13280</v>
      </c>
      <c r="E5" s="17" t="n">
        <f aca="false">IF(C5=0,0,D5/C5)</f>
        <v>20</v>
      </c>
      <c r="F5" s="4" t="s">
        <v>163</v>
      </c>
    </row>
    <row r="6" customFormat="false" ht="15" hidden="false" customHeight="false" outlineLevel="0" collapsed="false">
      <c r="B6" s="4" t="s">
        <v>164</v>
      </c>
      <c r="C6" s="16" t="n">
        <v>644</v>
      </c>
      <c r="D6" s="10" t="n">
        <v>18032</v>
      </c>
      <c r="E6" s="17" t="n">
        <f aca="false">IF(C6=0,0,D6/C6)</f>
        <v>28</v>
      </c>
      <c r="F6" s="4" t="s">
        <v>163</v>
      </c>
    </row>
    <row r="7" customFormat="false" ht="15" hidden="false" customHeight="false" outlineLevel="0" collapsed="false">
      <c r="B7" s="4" t="s">
        <v>165</v>
      </c>
      <c r="C7" s="16" t="n">
        <v>485</v>
      </c>
      <c r="D7" s="10" t="n">
        <v>8730</v>
      </c>
      <c r="E7" s="17" t="n">
        <f aca="false">IF(C7=0,0,D7/C7)</f>
        <v>18</v>
      </c>
      <c r="F7" s="4" t="s">
        <v>163</v>
      </c>
    </row>
    <row r="8" customFormat="false" ht="15" hidden="false" customHeight="false" outlineLevel="0" collapsed="false">
      <c r="B8" s="4" t="s">
        <v>166</v>
      </c>
      <c r="C8" s="16" t="n">
        <v>472</v>
      </c>
      <c r="D8" s="10" t="n">
        <v>6608</v>
      </c>
      <c r="E8" s="17" t="n">
        <f aca="false">IF(C8=0,0,D8/C8)</f>
        <v>14</v>
      </c>
      <c r="F8" s="4" t="s">
        <v>167</v>
      </c>
    </row>
    <row r="9" customFormat="false" ht="15" hidden="false" customHeight="false" outlineLevel="0" collapsed="false">
      <c r="B9" s="4" t="s">
        <v>168</v>
      </c>
      <c r="C9" s="16" t="n">
        <v>464</v>
      </c>
      <c r="D9" s="10" t="n">
        <v>14848</v>
      </c>
      <c r="E9" s="17" t="n">
        <f aca="false">IF(C9=0,0,D9/C9)</f>
        <v>32</v>
      </c>
      <c r="F9" s="4" t="s">
        <v>169</v>
      </c>
    </row>
    <row r="10" customFormat="false" ht="15" hidden="false" customHeight="false" outlineLevel="0" collapsed="false">
      <c r="B10" s="4" t="s">
        <v>170</v>
      </c>
      <c r="C10" s="16" t="n">
        <v>456</v>
      </c>
      <c r="D10" s="10" t="n">
        <v>5560</v>
      </c>
      <c r="E10" s="17" t="n">
        <f aca="false">IF(C10=0,0,D10/C10)</f>
        <v>12.1929824561404</v>
      </c>
      <c r="F10" s="4" t="s">
        <v>167</v>
      </c>
    </row>
    <row r="11" customFormat="false" ht="15" hidden="false" customHeight="false" outlineLevel="0" collapsed="false">
      <c r="B11" s="4" t="s">
        <v>171</v>
      </c>
      <c r="C11" s="16" t="n">
        <v>232</v>
      </c>
      <c r="D11" s="10" t="n">
        <v>3016</v>
      </c>
      <c r="E11" s="17" t="n">
        <f aca="false">IF(C11=0,0,D11/C11)</f>
        <v>13</v>
      </c>
      <c r="F11" s="4" t="s">
        <v>167</v>
      </c>
    </row>
    <row r="12" customFormat="false" ht="15" hidden="false" customHeight="false" outlineLevel="0" collapsed="false">
      <c r="B12" s="4" t="s">
        <v>172</v>
      </c>
      <c r="C12" s="16" t="n">
        <v>214</v>
      </c>
      <c r="D12" s="10" t="n">
        <v>2782</v>
      </c>
      <c r="E12" s="17" t="n">
        <f aca="false">IF(C12=0,0,D12/C12)</f>
        <v>13</v>
      </c>
      <c r="F12" s="4" t="s">
        <v>167</v>
      </c>
    </row>
    <row r="13" customFormat="false" ht="15" hidden="false" customHeight="false" outlineLevel="0" collapsed="false">
      <c r="B13" s="4" t="s">
        <v>173</v>
      </c>
      <c r="C13" s="16" t="n">
        <v>192.5</v>
      </c>
      <c r="D13" s="10" t="n">
        <v>7356</v>
      </c>
      <c r="E13" s="17" t="n">
        <f aca="false">IF(C13=0,0,D13/C13)</f>
        <v>38.212987012987</v>
      </c>
      <c r="F13" s="4" t="s">
        <v>169</v>
      </c>
    </row>
    <row r="14" customFormat="false" ht="15" hidden="false" customHeight="false" outlineLevel="0" collapsed="false">
      <c r="B14" s="4" t="s">
        <v>174</v>
      </c>
      <c r="C14" s="16" t="n">
        <v>192</v>
      </c>
      <c r="D14" s="10" t="n">
        <v>2496</v>
      </c>
      <c r="E14" s="17" t="n">
        <f aca="false">IF(C14=0,0,D14/C14)</f>
        <v>13</v>
      </c>
      <c r="F14" s="4" t="s">
        <v>167</v>
      </c>
    </row>
    <row r="15" customFormat="false" ht="15" hidden="false" customHeight="false" outlineLevel="0" collapsed="false">
      <c r="B15" s="4" t="s">
        <v>175</v>
      </c>
      <c r="C15" s="16" t="n">
        <v>176</v>
      </c>
      <c r="D15" s="10" t="n">
        <v>2992</v>
      </c>
      <c r="E15" s="17" t="n">
        <f aca="false">IF(C15=0,0,D15/C15)</f>
        <v>17</v>
      </c>
      <c r="F15" s="4" t="s">
        <v>167</v>
      </c>
    </row>
    <row r="16" customFormat="false" ht="15" hidden="false" customHeight="false" outlineLevel="0" collapsed="false">
      <c r="B16" s="4" t="s">
        <v>176</v>
      </c>
      <c r="C16" s="16" t="n">
        <v>171</v>
      </c>
      <c r="D16" s="10" t="n">
        <v>5022.5</v>
      </c>
      <c r="E16" s="17" t="n">
        <f aca="false">IF(C16=0,0,D16/C16)</f>
        <v>29.3713450292398</v>
      </c>
      <c r="F16" s="4" t="s">
        <v>163</v>
      </c>
    </row>
    <row r="17" customFormat="false" ht="15" hidden="false" customHeight="false" outlineLevel="0" collapsed="false">
      <c r="B17" s="4" t="s">
        <v>177</v>
      </c>
      <c r="C17" s="16" t="n">
        <v>129.5</v>
      </c>
      <c r="D17" s="10" t="n">
        <v>2007</v>
      </c>
      <c r="E17" s="17" t="n">
        <f aca="false">IF(C17=0,0,D17/C17)</f>
        <v>15.4980694980695</v>
      </c>
      <c r="F17" s="4" t="s">
        <v>167</v>
      </c>
    </row>
    <row r="18" customFormat="false" ht="15" hidden="false" customHeight="false" outlineLevel="0" collapsed="false">
      <c r="B18" s="4" t="s">
        <v>178</v>
      </c>
      <c r="C18" s="16" t="n">
        <v>39</v>
      </c>
      <c r="D18" s="10" t="n">
        <v>507</v>
      </c>
      <c r="E18" s="17" t="n">
        <f aca="false">IF(C18=0,0,D18/C18)</f>
        <v>13</v>
      </c>
      <c r="F18" s="4" t="s">
        <v>167</v>
      </c>
    </row>
    <row r="19" customFormat="false" ht="15" hidden="false" customHeight="false" outlineLevel="0" collapsed="false">
      <c r="B19" s="4" t="s">
        <v>179</v>
      </c>
      <c r="C19" s="16" t="n">
        <v>36.5</v>
      </c>
      <c r="D19" s="10" t="n">
        <v>584</v>
      </c>
      <c r="E19" s="17" t="n">
        <f aca="false">IF(C19=0,0,D19/C19)</f>
        <v>16</v>
      </c>
      <c r="F19" s="4" t="s">
        <v>167</v>
      </c>
    </row>
    <row r="20" customFormat="false" ht="15" hidden="false" customHeight="false" outlineLevel="0" collapsed="false">
      <c r="B20" s="4" t="s">
        <v>180</v>
      </c>
      <c r="C20" s="16" t="n">
        <v>32</v>
      </c>
      <c r="D20" s="10" t="n">
        <v>416</v>
      </c>
      <c r="E20" s="17" t="n">
        <f aca="false">IF(C20=0,0,D20/C20)</f>
        <v>13</v>
      </c>
      <c r="F20" s="4" t="s">
        <v>167</v>
      </c>
    </row>
    <row r="21" customFormat="false" ht="15" hidden="false" customHeight="false" outlineLevel="0" collapsed="false">
      <c r="B21" s="4" t="s">
        <v>181</v>
      </c>
      <c r="C21" s="16" t="n">
        <v>24</v>
      </c>
      <c r="D21" s="10" t="n">
        <v>408</v>
      </c>
      <c r="E21" s="17" t="n">
        <f aca="false">IF(C21=0,0,D21/C21)</f>
        <v>17</v>
      </c>
      <c r="F21" s="4" t="s">
        <v>167</v>
      </c>
    </row>
    <row r="22" customFormat="false" ht="15" hidden="false" customHeight="false" outlineLevel="0" collapsed="false">
      <c r="B22" s="4" t="s">
        <v>182</v>
      </c>
      <c r="C22" s="16" t="n">
        <v>24</v>
      </c>
      <c r="D22" s="10" t="n">
        <v>624</v>
      </c>
      <c r="E22" s="17" t="n">
        <f aca="false">IF(C22=0,0,D22/C22)</f>
        <v>26</v>
      </c>
      <c r="F22" s="4" t="s">
        <v>163</v>
      </c>
    </row>
    <row r="23" customFormat="false" ht="15" hidden="false" customHeight="false" outlineLevel="0" collapsed="false">
      <c r="B23" s="4" t="s">
        <v>183</v>
      </c>
      <c r="C23" s="16" t="n">
        <v>23</v>
      </c>
      <c r="D23" s="10" t="n">
        <v>414</v>
      </c>
      <c r="E23" s="17" t="n">
        <f aca="false">IF(C23=0,0,D23/C23)</f>
        <v>18</v>
      </c>
      <c r="F23" s="4" t="s">
        <v>163</v>
      </c>
    </row>
    <row r="24" customFormat="false" ht="15" hidden="false" customHeight="false" outlineLevel="0" collapsed="false">
      <c r="B24" s="4" t="s">
        <v>184</v>
      </c>
      <c r="C24" s="16" t="n">
        <v>16.5</v>
      </c>
      <c r="D24" s="10" t="n">
        <v>462</v>
      </c>
      <c r="E24" s="17" t="n">
        <f aca="false">IF(C24=0,0,D24/C24)</f>
        <v>28</v>
      </c>
      <c r="F24" s="4" t="s">
        <v>163</v>
      </c>
    </row>
    <row r="25" customFormat="false" ht="15" hidden="false" customHeight="false" outlineLevel="0" collapsed="false">
      <c r="B25" s="4" t="s">
        <v>185</v>
      </c>
      <c r="C25" s="16" t="n">
        <v>16</v>
      </c>
      <c r="D25" s="10" t="n">
        <v>208</v>
      </c>
      <c r="E25" s="17" t="n">
        <f aca="false">IF(C25=0,0,D25/C25)</f>
        <v>13</v>
      </c>
      <c r="F25" s="4" t="s">
        <v>167</v>
      </c>
    </row>
    <row r="26" customFormat="false" ht="15" hidden="false" customHeight="false" outlineLevel="0" collapsed="false">
      <c r="B26" s="4" t="s">
        <v>186</v>
      </c>
      <c r="C26" s="16" t="n">
        <v>8</v>
      </c>
      <c r="D26" s="10" t="n">
        <v>128</v>
      </c>
      <c r="E26" s="17" t="n">
        <f aca="false">IF(C26=0,0,D26/C26)</f>
        <v>16</v>
      </c>
      <c r="F26" s="4" t="s">
        <v>167</v>
      </c>
    </row>
    <row r="27" customFormat="false" ht="15" hidden="false" customHeight="false" outlineLevel="0" collapsed="false">
      <c r="B27" s="4" t="s">
        <v>187</v>
      </c>
      <c r="C27" s="16" t="n">
        <v>8</v>
      </c>
      <c r="D27" s="10" t="n">
        <v>136</v>
      </c>
      <c r="E27" s="17" t="n">
        <f aca="false">IF(C27=0,0,D27/C27)</f>
        <v>17</v>
      </c>
      <c r="F27" s="4" t="s">
        <v>167</v>
      </c>
    </row>
    <row r="28" customFormat="false" ht="15" hidden="false" customHeight="false" outlineLevel="0" collapsed="false">
      <c r="B28" s="4" t="s">
        <v>188</v>
      </c>
      <c r="C28" s="16" t="n">
        <v>8</v>
      </c>
      <c r="D28" s="10" t="n">
        <v>232</v>
      </c>
      <c r="E28" s="17" t="n">
        <f aca="false">IF(C28=0,0,D28/C28)</f>
        <v>29</v>
      </c>
      <c r="F28" s="4" t="s">
        <v>163</v>
      </c>
    </row>
    <row r="29" customFormat="false" ht="15" hidden="false" customHeight="false" outlineLevel="0" collapsed="false">
      <c r="B29" s="4" t="s">
        <v>189</v>
      </c>
      <c r="C29" s="16" t="n">
        <v>8</v>
      </c>
      <c r="D29" s="10" t="n">
        <v>104</v>
      </c>
      <c r="E29" s="17" t="n">
        <f aca="false">IF(C29=0,0,D29/C29)</f>
        <v>13</v>
      </c>
      <c r="F29" s="4" t="s">
        <v>167</v>
      </c>
    </row>
    <row r="30" customFormat="false" ht="15" hidden="false" customHeight="false" outlineLevel="0" collapsed="false">
      <c r="B30" s="4" t="s">
        <v>190</v>
      </c>
      <c r="C30" s="16" t="n">
        <v>8</v>
      </c>
      <c r="D30" s="10" t="n">
        <v>120</v>
      </c>
      <c r="E30" s="17" t="n">
        <f aca="false">IF(C30=0,0,D30/C30)</f>
        <v>15</v>
      </c>
      <c r="F30" s="4" t="s">
        <v>167</v>
      </c>
    </row>
    <row r="31" customFormat="false" ht="15" hidden="false" customHeight="false" outlineLevel="0" collapsed="false">
      <c r="B31" s="4" t="s">
        <v>191</v>
      </c>
      <c r="C31" s="16" t="n">
        <v>8</v>
      </c>
      <c r="D31" s="10" t="n">
        <v>116</v>
      </c>
      <c r="E31" s="17" t="n">
        <f aca="false">IF(C31=0,0,D31/C31)</f>
        <v>14.5</v>
      </c>
      <c r="F31" s="4" t="s">
        <v>167</v>
      </c>
    </row>
    <row r="32" customFormat="false" ht="15" hidden="false" customHeight="false" outlineLevel="0" collapsed="false">
      <c r="B32" s="4" t="s">
        <v>192</v>
      </c>
      <c r="C32" s="16" t="n">
        <v>3.5</v>
      </c>
      <c r="D32" s="10" t="n">
        <v>42</v>
      </c>
      <c r="E32" s="17" t="n">
        <f aca="false">IF(C32=0,0,D32/C32)</f>
        <v>12</v>
      </c>
      <c r="F32" s="4" t="s">
        <v>167</v>
      </c>
    </row>
    <row r="33" customFormat="false" ht="15" hidden="false" customHeight="false" outlineLevel="0" collapsed="false">
      <c r="B33" s="5" t="s">
        <v>193</v>
      </c>
      <c r="C33" s="18" t="n">
        <f aca="false">SUM(C5:C32)</f>
        <v>4754.5</v>
      </c>
      <c r="D33" s="12" t="n">
        <f aca="false">SUM(D5:D32)</f>
        <v>97230.5</v>
      </c>
      <c r="E33" s="19" t="n">
        <f aca="false">IF(C33=0,0,D33/C33)</f>
        <v>20.4502050688821</v>
      </c>
    </row>
    <row r="36" customFormat="false" ht="15" hidden="false" customHeight="false" outlineLevel="0" collapsed="false">
      <c r="B36" s="3" t="s">
        <v>61</v>
      </c>
      <c r="C36" s="3"/>
      <c r="D36" s="3"/>
      <c r="E36" s="3"/>
      <c r="F36" s="3"/>
    </row>
    <row r="37" customFormat="false" ht="15" hidden="false" customHeight="false" outlineLevel="0" collapsed="false">
      <c r="B37" s="2" t="s">
        <v>62</v>
      </c>
      <c r="C37" s="2"/>
      <c r="D37" s="2"/>
      <c r="E37" s="2"/>
      <c r="F37" s="2"/>
    </row>
    <row r="38" customFormat="false" ht="15" hidden="false" customHeight="false" outlineLevel="0" collapsed="false">
      <c r="B38" s="2" t="s">
        <v>63</v>
      </c>
      <c r="C38" s="2"/>
      <c r="D38" s="2"/>
      <c r="E38" s="2"/>
      <c r="F38" s="2"/>
    </row>
    <row r="39" customFormat="false" ht="15" hidden="false" customHeight="false" outlineLevel="0" collapsed="false">
      <c r="B39" s="2" t="s">
        <v>64</v>
      </c>
      <c r="C39" s="2"/>
      <c r="D39" s="2"/>
      <c r="E39" s="2"/>
      <c r="F39" s="2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</row>
    <row r="43" customFormat="false" ht="15" hidden="false" customHeight="false" outlineLevel="0" collapsed="false">
      <c r="B43" s="2" t="s">
        <v>194</v>
      </c>
      <c r="C43" s="2"/>
      <c r="D43" s="2"/>
      <c r="E43" s="2"/>
      <c r="F43" s="2"/>
    </row>
  </sheetData>
  <mergeCells count="9">
    <mergeCell ref="B2:F2"/>
    <mergeCell ref="B36:F36"/>
    <mergeCell ref="B37:F37"/>
    <mergeCell ref="B38:F38"/>
    <mergeCell ref="B39:F39"/>
    <mergeCell ref="B40:F40"/>
    <mergeCell ref="B41:F41"/>
    <mergeCell ref="B42:F42"/>
    <mergeCell ref="B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195</v>
      </c>
      <c r="C2" s="1"/>
      <c r="D2" s="1"/>
      <c r="E2" s="1"/>
      <c r="F2" s="1"/>
    </row>
    <row r="4" customFormat="false" ht="15" hidden="false" customHeight="false" outlineLevel="0" collapsed="false">
      <c r="B4" s="3" t="s">
        <v>196</v>
      </c>
      <c r="C4" s="3"/>
      <c r="D4" s="3"/>
      <c r="E4" s="3"/>
      <c r="F4" s="3"/>
    </row>
    <row r="5" customFormat="false" ht="15" hidden="false" customHeight="false" outlineLevel="0" collapsed="false">
      <c r="B5" s="9" t="s">
        <v>161</v>
      </c>
      <c r="C5" s="9" t="s">
        <v>197</v>
      </c>
      <c r="D5" s="9" t="s">
        <v>158</v>
      </c>
      <c r="E5" s="9" t="s">
        <v>159</v>
      </c>
      <c r="F5" s="9" t="s">
        <v>198</v>
      </c>
    </row>
    <row r="6" customFormat="false" ht="15" hidden="false" customHeight="false" outlineLevel="0" collapsed="false">
      <c r="B6" s="4" t="s">
        <v>169</v>
      </c>
      <c r="C6" s="14" t="n">
        <v>2</v>
      </c>
      <c r="D6" s="16" t="n">
        <v>656.5</v>
      </c>
      <c r="E6" s="10" t="n">
        <v>22204</v>
      </c>
      <c r="F6" s="11" t="n">
        <f aca="false">IF(4754.5=0,0,D6/4754.5)</f>
        <v>0.1380797139552</v>
      </c>
    </row>
    <row r="7" customFormat="false" ht="15" hidden="false" customHeight="false" outlineLevel="0" collapsed="false">
      <c r="B7" s="4" t="s">
        <v>163</v>
      </c>
      <c r="C7" s="14" t="n">
        <v>8</v>
      </c>
      <c r="D7" s="16" t="n">
        <v>2035.5</v>
      </c>
      <c r="E7" s="10" t="n">
        <v>46796.5</v>
      </c>
      <c r="F7" s="11" t="n">
        <f aca="false">IF(4754.5=0,0,D7/4754.5)</f>
        <v>0.428120727731623</v>
      </c>
    </row>
    <row r="8" customFormat="false" ht="15" hidden="false" customHeight="false" outlineLevel="0" collapsed="false">
      <c r="B8" s="4" t="s">
        <v>167</v>
      </c>
      <c r="C8" s="14" t="n">
        <v>18</v>
      </c>
      <c r="D8" s="16" t="n">
        <v>2062.5</v>
      </c>
      <c r="E8" s="10" t="n">
        <v>28230</v>
      </c>
      <c r="F8" s="11" t="n">
        <f aca="false">IF(4754.5=0,0,D8/4754.5)</f>
        <v>0.433799558313177</v>
      </c>
    </row>
    <row r="11" customFormat="false" ht="15" hidden="false" customHeight="false" outlineLevel="0" collapsed="false">
      <c r="B11" s="3" t="s">
        <v>199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200</v>
      </c>
      <c r="C12" s="20" t="n">
        <v>20.4502050688821</v>
      </c>
      <c r="F12" s="21" t="s">
        <v>201</v>
      </c>
    </row>
    <row r="13" customFormat="false" ht="15" hidden="false" customHeight="false" outlineLevel="0" collapsed="false">
      <c r="B13" s="4" t="s">
        <v>202</v>
      </c>
      <c r="C13" s="20" t="n">
        <v>31.0896708381533</v>
      </c>
      <c r="F13" s="21" t="s">
        <v>203</v>
      </c>
    </row>
    <row r="14" customFormat="false" ht="15" hidden="false" customHeight="false" outlineLevel="0" collapsed="false">
      <c r="B14" s="4" t="s">
        <v>204</v>
      </c>
      <c r="C14" s="20" t="n">
        <v>1.52026205768766</v>
      </c>
      <c r="F14" s="21" t="s">
        <v>205</v>
      </c>
    </row>
    <row r="15" customFormat="false" ht="15" hidden="false" customHeight="false" outlineLevel="0" collapsed="false">
      <c r="B15" s="4" t="s">
        <v>206</v>
      </c>
      <c r="C15" s="20" t="n">
        <v>12</v>
      </c>
      <c r="F15" s="21" t="s">
        <v>207</v>
      </c>
    </row>
    <row r="16" customFormat="false" ht="15" hidden="false" customHeight="false" outlineLevel="0" collapsed="false">
      <c r="B16" s="4" t="s">
        <v>208</v>
      </c>
      <c r="C16" s="20" t="n">
        <v>38.212987012987</v>
      </c>
      <c r="F16" s="21" t="s">
        <v>209</v>
      </c>
    </row>
    <row r="17" customFormat="false" ht="15" hidden="false" customHeight="false" outlineLevel="0" collapsed="false">
      <c r="B17" s="4" t="s">
        <v>210</v>
      </c>
      <c r="C17" s="20" t="n">
        <v>169.803571428571</v>
      </c>
      <c r="F17" s="21" t="s">
        <v>211</v>
      </c>
    </row>
    <row r="20" customFormat="false" ht="15" hidden="false" customHeight="false" outlineLevel="0" collapsed="false">
      <c r="B20" s="3" t="s">
        <v>61</v>
      </c>
      <c r="C20" s="3"/>
      <c r="D20" s="3"/>
      <c r="E20" s="3"/>
      <c r="F20" s="3"/>
    </row>
    <row r="21" customFormat="false" ht="15" hidden="false" customHeight="false" outlineLevel="0" collapsed="false">
      <c r="B21" s="2" t="s">
        <v>62</v>
      </c>
      <c r="C21" s="2"/>
      <c r="D21" s="2"/>
      <c r="E21" s="2"/>
      <c r="F21" s="2"/>
    </row>
    <row r="22" customFormat="false" ht="15" hidden="false" customHeight="false" outlineLevel="0" collapsed="false">
      <c r="B22" s="2" t="s">
        <v>63</v>
      </c>
      <c r="C22" s="2"/>
      <c r="D22" s="2"/>
      <c r="E22" s="2"/>
      <c r="F22" s="2"/>
    </row>
    <row r="23" customFormat="false" ht="15" hidden="false" customHeight="false" outlineLevel="0" collapsed="false">
      <c r="B23" s="2" t="s">
        <v>64</v>
      </c>
      <c r="C23" s="2"/>
      <c r="D23" s="2"/>
      <c r="E23" s="2"/>
      <c r="F23" s="2"/>
    </row>
    <row r="24" customFormat="false" ht="15" hidden="false" customHeight="false" outlineLevel="0" collapsed="false">
      <c r="B24" s="2" t="s">
        <v>65</v>
      </c>
      <c r="C24" s="2"/>
      <c r="D24" s="2"/>
      <c r="E24" s="2"/>
      <c r="F24" s="2"/>
    </row>
    <row r="25" customFormat="false" ht="15" hidden="false" customHeight="false" outlineLevel="0" collapsed="false">
      <c r="B25" s="2" t="s">
        <v>66</v>
      </c>
      <c r="C25" s="2"/>
      <c r="D25" s="2"/>
      <c r="E25" s="2"/>
      <c r="F25" s="2"/>
    </row>
    <row r="26" customFormat="false" ht="15" hidden="false" customHeight="false" outlineLevel="0" collapsed="false">
      <c r="B26" s="2" t="s">
        <v>67</v>
      </c>
      <c r="C26" s="2"/>
      <c r="D26" s="2"/>
      <c r="E26" s="2"/>
      <c r="F26" s="2"/>
    </row>
  </sheetData>
  <mergeCells count="10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212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3" t="s">
        <v>213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9" t="s">
        <v>214</v>
      </c>
      <c r="C5" s="9" t="s">
        <v>215</v>
      </c>
      <c r="D5" s="9" t="s">
        <v>158</v>
      </c>
      <c r="E5" s="9" t="s">
        <v>216</v>
      </c>
      <c r="F5" s="9" t="s">
        <v>217</v>
      </c>
    </row>
    <row r="6" customFormat="false" ht="15" hidden="false" customHeight="false" outlineLevel="0" collapsed="false">
      <c r="B6" s="4" t="s">
        <v>76</v>
      </c>
      <c r="C6" s="4" t="s">
        <v>75</v>
      </c>
      <c r="D6" s="16" t="n">
        <v>72</v>
      </c>
      <c r="E6" s="11" t="n">
        <f aca="false">IF(4773=0,0,D6/4773)</f>
        <v>0.0150848522941546</v>
      </c>
      <c r="F6" s="22" t="n">
        <f aca="false">IF(80=0,0,D6/80)</f>
        <v>0.9</v>
      </c>
    </row>
    <row r="7" customFormat="false" ht="15" hidden="false" customHeight="false" outlineLevel="0" collapsed="false">
      <c r="B7" s="4" t="s">
        <v>218</v>
      </c>
      <c r="C7" s="4" t="s">
        <v>77</v>
      </c>
      <c r="D7" s="16" t="n">
        <v>82</v>
      </c>
      <c r="E7" s="11" t="n">
        <f aca="false">IF(4773=0,0,D7/4773)</f>
        <v>0.0171799706683428</v>
      </c>
      <c r="F7" s="22" t="n">
        <f aca="false">IF(80=0,0,D7/80)</f>
        <v>1.025</v>
      </c>
    </row>
    <row r="8" customFormat="false" ht="15" hidden="false" customHeight="false" outlineLevel="0" collapsed="false">
      <c r="B8" s="4" t="s">
        <v>219</v>
      </c>
      <c r="C8" s="4" t="s">
        <v>79</v>
      </c>
      <c r="D8" s="16" t="n">
        <v>37</v>
      </c>
      <c r="E8" s="11" t="n">
        <f aca="false">IF(4773=0,0,D8/4773)</f>
        <v>0.00775193798449612</v>
      </c>
      <c r="F8" s="22" t="n">
        <f aca="false">IF(80=0,0,D8/80)</f>
        <v>0.4625</v>
      </c>
    </row>
    <row r="9" customFormat="false" ht="15" hidden="false" customHeight="false" outlineLevel="0" collapsed="false">
      <c r="B9" s="4" t="s">
        <v>220</v>
      </c>
      <c r="C9" s="4" t="s">
        <v>81</v>
      </c>
      <c r="D9" s="16" t="n">
        <v>32</v>
      </c>
      <c r="E9" s="11" t="n">
        <f aca="false">IF(4773=0,0,D9/4773)</f>
        <v>0.00670437879740205</v>
      </c>
      <c r="F9" s="22" t="n">
        <f aca="false">IF(80=0,0,D9/80)</f>
        <v>0.4</v>
      </c>
    </row>
    <row r="10" customFormat="false" ht="15" hidden="false" customHeight="false" outlineLevel="0" collapsed="false">
      <c r="B10" s="4" t="s">
        <v>221</v>
      </c>
      <c r="C10" s="4" t="s">
        <v>83</v>
      </c>
      <c r="D10" s="16" t="n">
        <v>29.5</v>
      </c>
      <c r="E10" s="11" t="n">
        <f aca="false">IF(4773=0,0,D10/4773)</f>
        <v>0.00618059920385502</v>
      </c>
      <c r="F10" s="22" t="n">
        <f aca="false">IF(80=0,0,D10/80)</f>
        <v>0.36875</v>
      </c>
    </row>
    <row r="11" customFormat="false" ht="15" hidden="false" customHeight="false" outlineLevel="0" collapsed="false">
      <c r="B11" s="4" t="s">
        <v>222</v>
      </c>
      <c r="C11" s="4" t="s">
        <v>85</v>
      </c>
      <c r="D11" s="16" t="n">
        <v>3260.5</v>
      </c>
      <c r="E11" s="11" t="n">
        <f aca="false">IF(4773=0,0,D11/4773)</f>
        <v>0.683113345904044</v>
      </c>
      <c r="F11" s="22" t="n">
        <f aca="false">IF(80=0,0,D11/80)</f>
        <v>40.75625</v>
      </c>
    </row>
    <row r="12" customFormat="false" ht="15" hidden="false" customHeight="false" outlineLevel="0" collapsed="false">
      <c r="B12" s="4" t="s">
        <v>223</v>
      </c>
      <c r="C12" s="4" t="s">
        <v>87</v>
      </c>
      <c r="D12" s="16" t="n">
        <v>420.5</v>
      </c>
      <c r="E12" s="11" t="n">
        <f aca="false">IF(4773=0,0,D12/4773)</f>
        <v>0.0880997276346114</v>
      </c>
      <c r="F12" s="22" t="n">
        <f aca="false">IF(80=0,0,D12/80)</f>
        <v>5.25625</v>
      </c>
    </row>
    <row r="13" customFormat="false" ht="15" hidden="false" customHeight="false" outlineLevel="0" collapsed="false">
      <c r="B13" s="4" t="s">
        <v>224</v>
      </c>
      <c r="C13" s="4" t="s">
        <v>89</v>
      </c>
      <c r="D13" s="16" t="n">
        <v>251</v>
      </c>
      <c r="E13" s="11" t="n">
        <f aca="false">IF(4773=0,0,D13/4773)</f>
        <v>0.0525874711921224</v>
      </c>
      <c r="F13" s="22" t="n">
        <f aca="false">IF(80=0,0,D13/80)</f>
        <v>3.1375</v>
      </c>
    </row>
    <row r="14" customFormat="false" ht="15" hidden="false" customHeight="false" outlineLevel="0" collapsed="false">
      <c r="B14" s="4" t="s">
        <v>225</v>
      </c>
      <c r="C14" s="4" t="s">
        <v>91</v>
      </c>
      <c r="D14" s="16" t="n">
        <v>48</v>
      </c>
      <c r="E14" s="11" t="n">
        <f aca="false">IF(4773=0,0,D14/4773)</f>
        <v>0.0100565681961031</v>
      </c>
      <c r="F14" s="22" t="n">
        <f aca="false">IF(80=0,0,D14/80)</f>
        <v>0.6</v>
      </c>
    </row>
    <row r="15" customFormat="false" ht="15" hidden="false" customHeight="false" outlineLevel="0" collapsed="false">
      <c r="B15" s="4" t="s">
        <v>226</v>
      </c>
      <c r="C15" s="4" t="s">
        <v>93</v>
      </c>
      <c r="D15" s="16" t="n">
        <v>540.5</v>
      </c>
      <c r="E15" s="11" t="n">
        <f aca="false">IF(4773=0,0,D15/4773)</f>
        <v>0.113241148124869</v>
      </c>
      <c r="F15" s="22" t="n">
        <f aca="false">IF(80=0,0,D15/80)</f>
        <v>6.75625</v>
      </c>
    </row>
    <row r="16" customFormat="false" ht="15" hidden="false" customHeight="false" outlineLevel="0" collapsed="false">
      <c r="B16" s="5" t="s">
        <v>38</v>
      </c>
      <c r="D16" s="18" t="n">
        <f aca="false">SUM(D6:D15)</f>
        <v>4773</v>
      </c>
      <c r="E16" s="13" t="n">
        <v>1</v>
      </c>
      <c r="F16" s="20" t="n">
        <f aca="false">IF(80=0,0,D16/80)</f>
        <v>59.6625</v>
      </c>
    </row>
    <row r="19" customFormat="false" ht="15" hidden="false" customHeight="false" outlineLevel="0" collapsed="false">
      <c r="B19" s="3" t="s">
        <v>227</v>
      </c>
      <c r="C19" s="3"/>
      <c r="D19" s="3"/>
      <c r="E19" s="3"/>
      <c r="F19" s="3"/>
      <c r="G19" s="3"/>
    </row>
    <row r="20" customFormat="false" ht="15" hidden="false" customHeight="false" outlineLevel="0" collapsed="false">
      <c r="B20" s="9" t="s">
        <v>40</v>
      </c>
      <c r="C20" s="9" t="s">
        <v>41</v>
      </c>
      <c r="D20" s="9" t="s">
        <v>228</v>
      </c>
      <c r="E20" s="9"/>
      <c r="F20" s="9" t="s">
        <v>229</v>
      </c>
    </row>
    <row r="21" customFormat="false" ht="15" hidden="false" customHeight="false" outlineLevel="0" collapsed="false">
      <c r="B21" s="4" t="s">
        <v>217</v>
      </c>
      <c r="C21" s="23" t="n">
        <v>59.6625</v>
      </c>
      <c r="D21" s="4" t="s">
        <v>230</v>
      </c>
      <c r="F21" s="21" t="s">
        <v>231</v>
      </c>
    </row>
    <row r="22" customFormat="false" ht="15" hidden="false" customHeight="false" outlineLevel="0" collapsed="false">
      <c r="B22" s="4" t="s">
        <v>232</v>
      </c>
      <c r="C22" s="23" t="n">
        <v>17.876404494382</v>
      </c>
      <c r="D22" s="4" t="s">
        <v>230</v>
      </c>
      <c r="F22" s="21" t="s">
        <v>233</v>
      </c>
    </row>
    <row r="23" customFormat="false" ht="15" hidden="false" customHeight="false" outlineLevel="0" collapsed="false">
      <c r="B23" s="4" t="s">
        <v>234</v>
      </c>
      <c r="C23" s="23" t="n">
        <v>71.6121935889378</v>
      </c>
      <c r="D23" s="4" t="s">
        <v>235</v>
      </c>
      <c r="F23" s="21" t="s">
        <v>236</v>
      </c>
    </row>
    <row r="24" customFormat="false" ht="15" hidden="false" customHeight="false" outlineLevel="0" collapsed="false">
      <c r="B24" s="4" t="s">
        <v>237</v>
      </c>
      <c r="C24" s="23" t="n">
        <v>21.1176492771842</v>
      </c>
      <c r="D24" s="4" t="s">
        <v>235</v>
      </c>
      <c r="F24" s="21" t="s">
        <v>238</v>
      </c>
    </row>
    <row r="25" customFormat="false" ht="15" hidden="false" customHeight="false" outlineLevel="0" collapsed="false">
      <c r="B25" s="4" t="s">
        <v>239</v>
      </c>
      <c r="C25" s="23" t="n">
        <v>5.71428571428571</v>
      </c>
      <c r="D25" s="4" t="s">
        <v>240</v>
      </c>
      <c r="F25" s="21" t="s">
        <v>241</v>
      </c>
    </row>
    <row r="26" customFormat="false" ht="15" hidden="false" customHeight="false" outlineLevel="0" collapsed="false">
      <c r="B26" s="4" t="s">
        <v>242</v>
      </c>
      <c r="C26" s="23" t="n">
        <v>19.0714285714286</v>
      </c>
      <c r="D26" s="4" t="s">
        <v>243</v>
      </c>
      <c r="F26" s="21" t="s">
        <v>244</v>
      </c>
    </row>
    <row r="27" customFormat="false" ht="15" hidden="false" customHeight="false" outlineLevel="0" collapsed="false">
      <c r="B27" s="4" t="s">
        <v>245</v>
      </c>
      <c r="C27" s="23" t="n">
        <v>340.928571428571</v>
      </c>
      <c r="D27" s="4" t="s">
        <v>230</v>
      </c>
      <c r="F27" s="21" t="s">
        <v>246</v>
      </c>
    </row>
    <row r="28" customFormat="false" ht="15" hidden="false" customHeight="false" outlineLevel="0" collapsed="false">
      <c r="B28" s="4" t="s">
        <v>247</v>
      </c>
      <c r="C28" s="23" t="n">
        <v>24414.6428571429</v>
      </c>
      <c r="D28" s="4" t="s">
        <v>235</v>
      </c>
      <c r="F28" s="21" t="s">
        <v>248</v>
      </c>
    </row>
    <row r="31" customFormat="false" ht="15" hidden="false" customHeight="false" outlineLevel="0" collapsed="false">
      <c r="B31" s="3" t="s">
        <v>61</v>
      </c>
      <c r="C31" s="3"/>
      <c r="D31" s="3"/>
      <c r="E31" s="3"/>
      <c r="F31" s="3"/>
      <c r="G31" s="3"/>
    </row>
    <row r="32" customFormat="false" ht="15" hidden="false" customHeight="false" outlineLevel="0" collapsed="false">
      <c r="B32" s="2" t="s">
        <v>62</v>
      </c>
      <c r="C32" s="2"/>
      <c r="D32" s="2"/>
      <c r="E32" s="2"/>
      <c r="F32" s="2"/>
      <c r="G32" s="2"/>
    </row>
    <row r="33" customFormat="false" ht="15" hidden="false" customHeight="false" outlineLevel="0" collapsed="false">
      <c r="B33" s="2" t="s">
        <v>63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B34" s="2" t="s">
        <v>64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65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66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67</v>
      </c>
      <c r="C37" s="2"/>
      <c r="D37" s="2"/>
      <c r="E37" s="2"/>
      <c r="F37" s="2"/>
      <c r="G37" s="2"/>
    </row>
  </sheetData>
  <mergeCells count="10">
    <mergeCell ref="B2:G2"/>
    <mergeCell ref="B4:G4"/>
    <mergeCell ref="B19:G19"/>
    <mergeCell ref="B31:G31"/>
    <mergeCell ref="B32:G32"/>
    <mergeCell ref="B33:G33"/>
    <mergeCell ref="B34:G34"/>
    <mergeCell ref="B35:G35"/>
    <mergeCell ref="B36:G36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4"/>
  </cols>
  <sheetData>
    <row r="2" customFormat="false" ht="19.7" hidden="false" customHeight="false" outlineLevel="0" collapsed="false">
      <c r="B2" s="1" t="s">
        <v>249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250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251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9" t="s">
        <v>252</v>
      </c>
      <c r="C6" s="9" t="s">
        <v>253</v>
      </c>
      <c r="D6" s="9" t="s">
        <v>254</v>
      </c>
      <c r="E6" s="9" t="s">
        <v>255</v>
      </c>
      <c r="F6" s="9" t="s">
        <v>256</v>
      </c>
    </row>
    <row r="7" customFormat="false" ht="15" hidden="false" customHeight="false" outlineLevel="0" collapsed="false">
      <c r="B7" s="4" t="s">
        <v>257</v>
      </c>
      <c r="C7" s="4" t="s">
        <v>258</v>
      </c>
      <c r="D7" s="14" t="n">
        <v>4</v>
      </c>
      <c r="E7" s="11" t="n">
        <f aca="false">IF(33=0,0,D7/33)</f>
        <v>0.121212121212121</v>
      </c>
    </row>
    <row r="8" customFormat="false" ht="15" hidden="false" customHeight="false" outlineLevel="0" collapsed="false">
      <c r="B8" s="4" t="s">
        <v>259</v>
      </c>
      <c r="C8" s="4" t="s">
        <v>260</v>
      </c>
      <c r="D8" s="14" t="n">
        <v>6</v>
      </c>
      <c r="E8" s="11" t="n">
        <f aca="false">IF(33=0,0,D8/33)</f>
        <v>0.181818181818182</v>
      </c>
    </row>
    <row r="9" customFormat="false" ht="15" hidden="false" customHeight="false" outlineLevel="0" collapsed="false">
      <c r="B9" s="4" t="s">
        <v>261</v>
      </c>
      <c r="C9" s="4" t="s">
        <v>262</v>
      </c>
      <c r="D9" s="14" t="n">
        <v>2</v>
      </c>
      <c r="E9" s="11" t="n">
        <f aca="false">IF(33=0,0,D9/33)</f>
        <v>0.0606060606060606</v>
      </c>
    </row>
    <row r="10" customFormat="false" ht="15" hidden="false" customHeight="false" outlineLevel="0" collapsed="false">
      <c r="B10" s="4" t="s">
        <v>263</v>
      </c>
      <c r="C10" s="4" t="s">
        <v>264</v>
      </c>
      <c r="D10" s="14" t="n">
        <v>1</v>
      </c>
      <c r="E10" s="11" t="n">
        <f aca="false">IF(33=0,0,D10/33)</f>
        <v>0.0303030303030303</v>
      </c>
    </row>
    <row r="11" customFormat="false" ht="15" hidden="false" customHeight="false" outlineLevel="0" collapsed="false">
      <c r="B11" s="4" t="s">
        <v>265</v>
      </c>
      <c r="C11" s="4" t="s">
        <v>266</v>
      </c>
      <c r="D11" s="14" t="n">
        <v>20</v>
      </c>
      <c r="E11" s="11" t="n">
        <f aca="false">IF(33=0,0,D11/33)</f>
        <v>0.606060606060606</v>
      </c>
    </row>
    <row r="12" customFormat="false" ht="15" hidden="false" customHeight="false" outlineLevel="0" collapsed="false">
      <c r="B12" s="5" t="s">
        <v>38</v>
      </c>
      <c r="D12" s="15" t="n">
        <f aca="false">SUM(D7:D11)</f>
        <v>33</v>
      </c>
      <c r="E12" s="13" t="n">
        <v>1</v>
      </c>
      <c r="F12" s="12" t="n">
        <v>90495.62</v>
      </c>
    </row>
    <row r="15" customFormat="false" ht="15" hidden="false" customHeight="false" outlineLevel="0" collapsed="false">
      <c r="B15" s="3" t="s">
        <v>267</v>
      </c>
      <c r="C15" s="3"/>
      <c r="D15" s="3"/>
      <c r="E15" s="3"/>
      <c r="F15" s="3"/>
      <c r="G15" s="3"/>
    </row>
    <row r="16" customFormat="false" ht="15" hidden="false" customHeight="false" outlineLevel="0" collapsed="false">
      <c r="B16" s="9" t="s">
        <v>141</v>
      </c>
      <c r="C16" s="9" t="s">
        <v>254</v>
      </c>
      <c r="D16" s="9" t="s">
        <v>255</v>
      </c>
    </row>
    <row r="17" customFormat="false" ht="15" hidden="false" customHeight="false" outlineLevel="0" collapsed="false">
      <c r="B17" s="4" t="s">
        <v>268</v>
      </c>
      <c r="C17" s="14" t="n">
        <v>16</v>
      </c>
      <c r="D17" s="11" t="n">
        <f aca="false">IF(33=0,0,C17/33)</f>
        <v>0.484848484848485</v>
      </c>
    </row>
    <row r="18" customFormat="false" ht="15" hidden="false" customHeight="false" outlineLevel="0" collapsed="false">
      <c r="B18" s="4" t="s">
        <v>269</v>
      </c>
      <c r="C18" s="14" t="n">
        <v>10</v>
      </c>
      <c r="D18" s="11" t="n">
        <f aca="false">IF(33=0,0,C18/33)</f>
        <v>0.303030303030303</v>
      </c>
    </row>
    <row r="19" customFormat="false" ht="15" hidden="false" customHeight="false" outlineLevel="0" collapsed="false">
      <c r="B19" s="4" t="s">
        <v>265</v>
      </c>
      <c r="C19" s="14" t="n">
        <v>3</v>
      </c>
      <c r="D19" s="11" t="n">
        <f aca="false">IF(33=0,0,C19/33)</f>
        <v>0.0909090909090909</v>
      </c>
    </row>
    <row r="20" customFormat="false" ht="15" hidden="false" customHeight="false" outlineLevel="0" collapsed="false">
      <c r="B20" s="4" t="s">
        <v>270</v>
      </c>
      <c r="C20" s="14" t="n">
        <v>2</v>
      </c>
      <c r="D20" s="11" t="n">
        <f aca="false">IF(33=0,0,C20/33)</f>
        <v>0.0606060606060606</v>
      </c>
    </row>
    <row r="21" customFormat="false" ht="15" hidden="false" customHeight="false" outlineLevel="0" collapsed="false">
      <c r="B21" s="4" t="s">
        <v>271</v>
      </c>
      <c r="C21" s="14" t="n">
        <v>1</v>
      </c>
      <c r="D21" s="11" t="n">
        <f aca="false">IF(33=0,0,C21/33)</f>
        <v>0.0303030303030303</v>
      </c>
    </row>
    <row r="22" customFormat="false" ht="15" hidden="false" customHeight="false" outlineLevel="0" collapsed="false">
      <c r="B22" s="4" t="s">
        <v>272</v>
      </c>
      <c r="C22" s="14" t="n">
        <v>1</v>
      </c>
      <c r="D22" s="11" t="n">
        <f aca="false">IF(33=0,0,C22/33)</f>
        <v>0.0303030303030303</v>
      </c>
    </row>
    <row r="25" customFormat="false" ht="15" hidden="false" customHeight="false" outlineLevel="0" collapsed="false">
      <c r="B25" s="3" t="s">
        <v>273</v>
      </c>
      <c r="C25" s="3"/>
      <c r="D25" s="3"/>
      <c r="E25" s="3"/>
      <c r="F25" s="3"/>
      <c r="G25" s="3"/>
    </row>
    <row r="26" customFormat="false" ht="15" hidden="false" customHeight="false" outlineLevel="0" collapsed="false">
      <c r="B26" s="4" t="s">
        <v>274</v>
      </c>
      <c r="E26" s="10" t="n">
        <v>90495.62</v>
      </c>
    </row>
    <row r="27" customFormat="false" ht="15" hidden="false" customHeight="false" outlineLevel="0" collapsed="false">
      <c r="B27" s="4" t="s">
        <v>275</v>
      </c>
      <c r="E27" s="14" t="n">
        <v>33</v>
      </c>
    </row>
    <row r="28" customFormat="false" ht="15" hidden="false" customHeight="false" outlineLevel="0" collapsed="false">
      <c r="B28" s="21" t="s">
        <v>276</v>
      </c>
    </row>
    <row r="31" customFormat="false" ht="15" hidden="false" customHeight="false" outlineLevel="0" collapsed="false">
      <c r="B31" s="3" t="s">
        <v>61</v>
      </c>
      <c r="C31" s="3"/>
      <c r="D31" s="3"/>
      <c r="E31" s="3"/>
      <c r="F31" s="3"/>
      <c r="G31" s="3"/>
    </row>
    <row r="32" customFormat="false" ht="15" hidden="false" customHeight="false" outlineLevel="0" collapsed="false">
      <c r="B32" s="2" t="s">
        <v>62</v>
      </c>
      <c r="C32" s="2"/>
      <c r="D32" s="2"/>
      <c r="E32" s="2"/>
      <c r="F32" s="2"/>
      <c r="G32" s="2"/>
    </row>
    <row r="33" customFormat="false" ht="15" hidden="false" customHeight="false" outlineLevel="0" collapsed="false">
      <c r="B33" s="2" t="s">
        <v>63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B34" s="2" t="s">
        <v>64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65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66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67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277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278</v>
      </c>
      <c r="C39" s="2"/>
      <c r="D39" s="2"/>
      <c r="E39" s="2"/>
      <c r="F39" s="2"/>
      <c r="G39" s="2"/>
    </row>
  </sheetData>
  <mergeCells count="14">
    <mergeCell ref="B2:G2"/>
    <mergeCell ref="B3:G3"/>
    <mergeCell ref="B5:G5"/>
    <mergeCell ref="B15:G15"/>
    <mergeCell ref="B25:G25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279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280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281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282</v>
      </c>
      <c r="G6" s="10" t="n">
        <v>336500</v>
      </c>
    </row>
    <row r="7" customFormat="false" ht="15" hidden="false" customHeight="false" outlineLevel="0" collapsed="false">
      <c r="B7" s="4" t="s">
        <v>283</v>
      </c>
      <c r="G7" s="10" t="n">
        <v>5305</v>
      </c>
    </row>
    <row r="8" customFormat="false" ht="15" hidden="false" customHeight="false" outlineLevel="0" collapsed="false">
      <c r="B8" s="4" t="s">
        <v>284</v>
      </c>
      <c r="G8" s="10" t="n">
        <v>341805</v>
      </c>
    </row>
    <row r="9" customFormat="false" ht="15" hidden="false" customHeight="false" outlineLevel="0" collapsed="false">
      <c r="B9" s="4" t="s">
        <v>285</v>
      </c>
      <c r="G9" s="10" t="n">
        <v>17090</v>
      </c>
    </row>
    <row r="10" customFormat="false" ht="15" hidden="false" customHeight="false" outlineLevel="0" collapsed="false">
      <c r="B10" s="4" t="s">
        <v>286</v>
      </c>
      <c r="G10" s="10" t="n">
        <v>324715</v>
      </c>
    </row>
    <row r="12" customFormat="false" ht="15" hidden="false" customHeight="false" outlineLevel="0" collapsed="false">
      <c r="B12" s="3" t="s">
        <v>287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9" t="s">
        <v>288</v>
      </c>
      <c r="C13" s="9" t="s">
        <v>289</v>
      </c>
      <c r="D13" s="9" t="s">
        <v>290</v>
      </c>
      <c r="E13" s="9" t="s">
        <v>291</v>
      </c>
      <c r="F13" s="9" t="s">
        <v>292</v>
      </c>
      <c r="G13" s="9" t="s">
        <v>293</v>
      </c>
      <c r="H13" s="9" t="s">
        <v>294</v>
      </c>
    </row>
    <row r="14" customFormat="false" ht="15" hidden="false" customHeight="false" outlineLevel="0" collapsed="false">
      <c r="B14" s="4" t="n">
        <v>1</v>
      </c>
      <c r="C14" s="4" t="s">
        <v>295</v>
      </c>
      <c r="D14" s="10" t="n">
        <v>38400</v>
      </c>
      <c r="E14" s="10" t="n">
        <v>1920</v>
      </c>
      <c r="F14" s="10" t="n">
        <f aca="false">D14-E14</f>
        <v>36480</v>
      </c>
      <c r="G14" s="10" t="n">
        <v>40128</v>
      </c>
      <c r="H14" s="11" t="n">
        <f aca="false">IF(341805=0,0,G14/341805)</f>
        <v>0.117400272084961</v>
      </c>
    </row>
    <row r="15" customFormat="false" ht="15" hidden="false" customHeight="false" outlineLevel="0" collapsed="false">
      <c r="B15" s="4" t="n">
        <v>2</v>
      </c>
      <c r="C15" s="4" t="s">
        <v>296</v>
      </c>
      <c r="D15" s="10" t="n">
        <v>2223</v>
      </c>
      <c r="E15" s="10" t="n">
        <v>111.15</v>
      </c>
      <c r="F15" s="10" t="n">
        <f aca="false">D15-E15</f>
        <v>2111.85</v>
      </c>
      <c r="G15" s="10" t="n">
        <v>42451.04</v>
      </c>
      <c r="H15" s="11" t="n">
        <f aca="false">IF(341805=0,0,G15/341805)</f>
        <v>0.124196661839353</v>
      </c>
    </row>
    <row r="16" customFormat="false" ht="15" hidden="false" customHeight="false" outlineLevel="0" collapsed="false">
      <c r="B16" s="4" t="n">
        <v>3</v>
      </c>
      <c r="C16" s="4" t="s">
        <v>297</v>
      </c>
      <c r="D16" s="10" t="n">
        <v>94500</v>
      </c>
      <c r="E16" s="10" t="n">
        <v>4725</v>
      </c>
      <c r="F16" s="10" t="n">
        <f aca="false">D16-E16</f>
        <v>89775</v>
      </c>
      <c r="G16" s="10" t="n">
        <v>141203.54</v>
      </c>
      <c r="H16" s="11" t="n">
        <f aca="false">IF(341805=0,0,G16/341805)</f>
        <v>0.413111393923436</v>
      </c>
    </row>
    <row r="17" customFormat="false" ht="15" hidden="false" customHeight="false" outlineLevel="0" collapsed="false">
      <c r="B17" s="4" t="n">
        <v>4</v>
      </c>
      <c r="C17" s="4" t="s">
        <v>298</v>
      </c>
      <c r="D17" s="10" t="n">
        <v>77456</v>
      </c>
      <c r="E17" s="10" t="n">
        <v>3872.8</v>
      </c>
      <c r="F17" s="10" t="n">
        <f aca="false">D17-E17</f>
        <v>73583.2</v>
      </c>
      <c r="G17" s="10" t="n">
        <v>222145.06</v>
      </c>
      <c r="H17" s="11" t="n">
        <f aca="false">IF(341805=0,0,G17/341805)</f>
        <v>0.649917526074809</v>
      </c>
    </row>
    <row r="18" customFormat="false" ht="15" hidden="false" customHeight="false" outlineLevel="0" collapsed="false">
      <c r="B18" s="4" t="n">
        <v>5</v>
      </c>
      <c r="C18" s="4" t="s">
        <v>299</v>
      </c>
      <c r="D18" s="10" t="n">
        <v>68553</v>
      </c>
      <c r="E18" s="10" t="n">
        <v>3427.65</v>
      </c>
      <c r="F18" s="10" t="n">
        <f aca="false">D18-E18</f>
        <v>65125.35</v>
      </c>
      <c r="G18" s="10" t="n">
        <v>293782.95</v>
      </c>
      <c r="H18" s="11" t="n">
        <f aca="false">IF(341805=0,0,G18/341805)</f>
        <v>0.859504542063457</v>
      </c>
    </row>
    <row r="19" customFormat="false" ht="15" hidden="false" customHeight="false" outlineLevel="0" collapsed="false">
      <c r="B19" s="4" t="n">
        <v>6</v>
      </c>
      <c r="C19" s="4" t="s">
        <v>300</v>
      </c>
      <c r="D19" s="10" t="n">
        <v>15675</v>
      </c>
      <c r="E19" s="10" t="n">
        <v>783.75</v>
      </c>
      <c r="F19" s="10" t="n">
        <f aca="false">D19-E19</f>
        <v>14891.25</v>
      </c>
      <c r="G19" s="10" t="n">
        <v>310163.33</v>
      </c>
      <c r="H19" s="11" t="n">
        <f aca="false">IF(341805=0,0,G19/341805)</f>
        <v>0.907427714632612</v>
      </c>
    </row>
    <row r="20" customFormat="false" ht="15" hidden="false" customHeight="false" outlineLevel="0" collapsed="false">
      <c r="B20" s="4" t="n">
        <v>7</v>
      </c>
      <c r="C20" s="4" t="s">
        <v>301</v>
      </c>
      <c r="D20" s="10" t="n">
        <v>27898</v>
      </c>
      <c r="E20" s="10" t="n">
        <v>1394.9</v>
      </c>
      <c r="F20" s="10" t="n">
        <f aca="false">D20-E20</f>
        <v>26503.1</v>
      </c>
      <c r="G20" s="10" t="n">
        <v>339316.74</v>
      </c>
      <c r="H20" s="11" t="n">
        <f aca="false">IF(341805=0,0,G20/341805)</f>
        <v>0.992720235221837</v>
      </c>
    </row>
    <row r="21" customFormat="false" ht="15" hidden="false" customHeight="false" outlineLevel="0" collapsed="false">
      <c r="B21" s="4" t="n">
        <v>8</v>
      </c>
      <c r="C21" s="4" t="s">
        <v>302</v>
      </c>
      <c r="D21" s="10" t="n">
        <v>17100</v>
      </c>
      <c r="E21" s="10" t="n">
        <v>855</v>
      </c>
      <c r="F21" s="10" t="n">
        <f aca="false">D21-E21</f>
        <v>16245</v>
      </c>
      <c r="G21" s="10" t="n">
        <v>357186.24</v>
      </c>
      <c r="H21" s="11" t="n">
        <f aca="false">IF(341805=0,0,G21/341805)</f>
        <v>1.04500004388467</v>
      </c>
    </row>
    <row r="23" customFormat="false" ht="15" hidden="false" customHeight="false" outlineLevel="0" collapsed="false">
      <c r="B23" s="3" t="s">
        <v>303</v>
      </c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B24" s="9" t="s">
        <v>40</v>
      </c>
      <c r="C24" s="9" t="s">
        <v>304</v>
      </c>
      <c r="D24" s="9" t="s">
        <v>305</v>
      </c>
      <c r="E24" s="9" t="s">
        <v>306</v>
      </c>
      <c r="F24" s="9" t="s">
        <v>307</v>
      </c>
    </row>
    <row r="25" customFormat="false" ht="15" hidden="false" customHeight="false" outlineLevel="0" collapsed="false">
      <c r="B25" s="4" t="s">
        <v>284</v>
      </c>
      <c r="C25" s="10" t="n">
        <v>341805</v>
      </c>
      <c r="D25" s="10" t="n">
        <v>341805</v>
      </c>
      <c r="E25" s="10" t="n">
        <f aca="false">C25-D25</f>
        <v>0</v>
      </c>
      <c r="F25" s="5" t="str">
        <f aca="false">IF(ABS(E25)&lt;=1,"TIES",IF(ABS(E25)&lt;=ABS(D25)*0.05,"WITHIN","OFF"))</f>
        <v>TIES</v>
      </c>
    </row>
    <row r="26" customFormat="false" ht="15" hidden="false" customHeight="false" outlineLevel="0" collapsed="false">
      <c r="B26" s="4" t="s">
        <v>308</v>
      </c>
      <c r="C26" s="10" t="n">
        <v>17090</v>
      </c>
      <c r="D26" s="10" t="n">
        <v>17090</v>
      </c>
      <c r="E26" s="10" t="n">
        <f aca="false">C26-D26</f>
        <v>0</v>
      </c>
      <c r="F26" s="5" t="str">
        <f aca="false">IF(ABS(E26)&lt;=1,"TIES",IF(ABS(E26)&lt;=ABS(D26)*0.05,"WITHIN","OFF"))</f>
        <v>TIES</v>
      </c>
    </row>
    <row r="27" customFormat="false" ht="15" hidden="false" customHeight="false" outlineLevel="0" collapsed="false">
      <c r="B27" s="4" t="s">
        <v>124</v>
      </c>
      <c r="C27" s="10" t="n">
        <v>241010.46</v>
      </c>
      <c r="D27" s="10" t="n">
        <v>241010</v>
      </c>
      <c r="E27" s="10" t="n">
        <f aca="false">C27-D27</f>
        <v>0.459999999991851</v>
      </c>
      <c r="F27" s="5" t="str">
        <f aca="false">IF(ABS(E27)&lt;=1,"TIES",IF(ABS(E27)&lt;=ABS(D27)*0.05,"WITHIN","OFF"))</f>
        <v>TIES</v>
      </c>
    </row>
    <row r="31" customFormat="false" ht="15" hidden="false" customHeight="false" outlineLevel="0" collapsed="false">
      <c r="B31" s="3" t="s">
        <v>61</v>
      </c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B32" s="2" t="s">
        <v>62</v>
      </c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B33" s="2" t="s">
        <v>63</v>
      </c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B34" s="2" t="s">
        <v>64</v>
      </c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B35" s="2" t="s">
        <v>65</v>
      </c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B36" s="2" t="s">
        <v>66</v>
      </c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B37" s="2" t="s">
        <v>67</v>
      </c>
      <c r="C37" s="2"/>
      <c r="D37" s="2"/>
      <c r="E37" s="2"/>
      <c r="F37" s="2"/>
      <c r="G37" s="2"/>
      <c r="H37" s="2"/>
    </row>
  </sheetData>
  <mergeCells count="12">
    <mergeCell ref="B2:H2"/>
    <mergeCell ref="B3:H3"/>
    <mergeCell ref="B5:H5"/>
    <mergeCell ref="B12:H12"/>
    <mergeCell ref="B23:H23"/>
    <mergeCell ref="B31:H31"/>
    <mergeCell ref="B32:H32"/>
    <mergeCell ref="B33:H33"/>
    <mergeCell ref="B34:H34"/>
    <mergeCell ref="B35:H35"/>
    <mergeCell ref="B36:H36"/>
    <mergeCell ref="B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309</v>
      </c>
      <c r="C2" s="1"/>
    </row>
    <row r="3" customFormat="false" ht="15" hidden="false" customHeight="false" outlineLevel="0" collapsed="false">
      <c r="B3" s="2" t="s">
        <v>310</v>
      </c>
      <c r="C3" s="2"/>
    </row>
    <row r="5" customFormat="false" ht="31.5" hidden="false" customHeight="true" outlineLevel="0" collapsed="false">
      <c r="B5" s="5" t="s">
        <v>311</v>
      </c>
      <c r="C5" s="24" t="s">
        <v>312</v>
      </c>
    </row>
    <row r="6" customFormat="false" ht="31.5" hidden="false" customHeight="true" outlineLevel="0" collapsed="false">
      <c r="B6" s="5" t="s">
        <v>313</v>
      </c>
      <c r="C6" s="24" t="s">
        <v>314</v>
      </c>
    </row>
    <row r="7" customFormat="false" ht="31.5" hidden="false" customHeight="true" outlineLevel="0" collapsed="false">
      <c r="B7" s="5" t="s">
        <v>315</v>
      </c>
      <c r="C7" s="24" t="s">
        <v>316</v>
      </c>
    </row>
    <row r="8" customFormat="false" ht="31.5" hidden="false" customHeight="true" outlineLevel="0" collapsed="false">
      <c r="B8" s="5" t="s">
        <v>317</v>
      </c>
      <c r="C8" s="24" t="s">
        <v>318</v>
      </c>
    </row>
    <row r="9" customFormat="false" ht="31.5" hidden="false" customHeight="true" outlineLevel="0" collapsed="false">
      <c r="B9" s="5" t="s">
        <v>319</v>
      </c>
      <c r="C9" s="24" t="s">
        <v>320</v>
      </c>
    </row>
    <row r="10" customFormat="false" ht="31.5" hidden="false" customHeight="true" outlineLevel="0" collapsed="false">
      <c r="B10" s="5" t="s">
        <v>321</v>
      </c>
      <c r="C10" s="24" t="s">
        <v>322</v>
      </c>
    </row>
    <row r="11" customFormat="false" ht="31.5" hidden="false" customHeight="true" outlineLevel="0" collapsed="false">
      <c r="B11" s="5" t="s">
        <v>323</v>
      </c>
      <c r="C11" s="24" t="s">
        <v>324</v>
      </c>
    </row>
    <row r="12" customFormat="false" ht="31.5" hidden="false" customHeight="true" outlineLevel="0" collapsed="false">
      <c r="B12" s="5" t="s">
        <v>325</v>
      </c>
      <c r="C12" s="24" t="s">
        <v>326</v>
      </c>
    </row>
    <row r="13" customFormat="false" ht="31.5" hidden="false" customHeight="true" outlineLevel="0" collapsed="false">
      <c r="B13" s="5" t="s">
        <v>327</v>
      </c>
      <c r="C13" s="24" t="s">
        <v>328</v>
      </c>
    </row>
    <row r="14" customFormat="false" ht="31.5" hidden="false" customHeight="true" outlineLevel="0" collapsed="false">
      <c r="B14" s="5" t="s">
        <v>329</v>
      </c>
      <c r="C14" s="24" t="s">
        <v>330</v>
      </c>
    </row>
    <row r="16" customFormat="false" ht="15" hidden="false" customHeight="false" outlineLevel="0" collapsed="false">
      <c r="B16" s="3" t="s">
        <v>331</v>
      </c>
      <c r="C16" s="3"/>
    </row>
    <row r="17" customFormat="false" ht="49.5" hidden="false" customHeight="true" outlineLevel="0" collapsed="false">
      <c r="B17" s="25" t="s">
        <v>332</v>
      </c>
      <c r="C17" s="25"/>
    </row>
    <row r="20" customFormat="false" ht="15" hidden="false" customHeight="false" outlineLevel="0" collapsed="false">
      <c r="B20" s="3" t="s">
        <v>61</v>
      </c>
      <c r="C20" s="3"/>
    </row>
    <row r="21" customFormat="false" ht="15" hidden="false" customHeight="false" outlineLevel="0" collapsed="false">
      <c r="B21" s="2" t="s">
        <v>62</v>
      </c>
      <c r="C21" s="2"/>
    </row>
    <row r="22" customFormat="false" ht="15" hidden="false" customHeight="false" outlineLevel="0" collapsed="false">
      <c r="B22" s="2" t="s">
        <v>63</v>
      </c>
      <c r="C22" s="2"/>
    </row>
    <row r="23" customFormat="false" ht="15" hidden="false" customHeight="false" outlineLevel="0" collapsed="false">
      <c r="B23" s="2" t="s">
        <v>64</v>
      </c>
      <c r="C23" s="2"/>
    </row>
    <row r="24" customFormat="false" ht="15" hidden="false" customHeight="false" outlineLevel="0" collapsed="false">
      <c r="B24" s="2" t="s">
        <v>65</v>
      </c>
      <c r="C24" s="2"/>
    </row>
    <row r="25" customFormat="false" ht="15" hidden="false" customHeight="false" outlineLevel="0" collapsed="false">
      <c r="B25" s="2" t="s">
        <v>66</v>
      </c>
      <c r="C25" s="2"/>
    </row>
    <row r="26" customFormat="false" ht="15" hidden="false" customHeight="false" outlineLevel="0" collapsed="false">
      <c r="B26" s="2" t="s">
        <v>67</v>
      </c>
      <c r="C26" s="2"/>
    </row>
  </sheetData>
  <mergeCells count="11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</cols>
  <sheetData>
    <row r="2" customFormat="false" ht="19.7" hidden="false" customHeight="false" outlineLevel="0" collapsed="false">
      <c r="B2" s="1" t="s">
        <v>333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334</v>
      </c>
      <c r="C3" s="2"/>
      <c r="D3" s="2"/>
      <c r="E3" s="2"/>
      <c r="F3" s="2"/>
    </row>
    <row r="5" customFormat="false" ht="15" hidden="false" customHeight="false" outlineLevel="0" collapsed="false">
      <c r="B5" s="9" t="s">
        <v>335</v>
      </c>
      <c r="C5" s="9" t="s">
        <v>336</v>
      </c>
      <c r="D5" s="9" t="s">
        <v>41</v>
      </c>
      <c r="E5" s="9" t="s">
        <v>28</v>
      </c>
      <c r="F5" s="9" t="s">
        <v>229</v>
      </c>
    </row>
    <row r="6" customFormat="false" ht="15" hidden="false" customHeight="false" outlineLevel="0" collapsed="false">
      <c r="B6" s="4" t="s">
        <v>337</v>
      </c>
      <c r="C6" s="26" t="s">
        <v>338</v>
      </c>
      <c r="D6" s="5" t="s">
        <v>4</v>
      </c>
      <c r="E6" s="4" t="s">
        <v>339</v>
      </c>
      <c r="F6" s="21" t="s">
        <v>340</v>
      </c>
    </row>
    <row r="7" customFormat="false" ht="15" hidden="false" customHeight="false" outlineLevel="0" collapsed="false">
      <c r="B7" s="4" t="s">
        <v>341</v>
      </c>
      <c r="C7" s="26" t="s">
        <v>342</v>
      </c>
      <c r="D7" s="5" t="s">
        <v>6</v>
      </c>
      <c r="E7" s="4" t="s">
        <v>339</v>
      </c>
    </row>
    <row r="8" customFormat="false" ht="15" hidden="false" customHeight="false" outlineLevel="0" collapsed="false">
      <c r="B8" s="4" t="s">
        <v>7</v>
      </c>
      <c r="C8" s="26" t="s">
        <v>343</v>
      </c>
      <c r="D8" s="5" t="s">
        <v>8</v>
      </c>
      <c r="E8" s="4" t="s">
        <v>339</v>
      </c>
    </row>
    <row r="9" customFormat="false" ht="15" hidden="false" customHeight="false" outlineLevel="0" collapsed="false">
      <c r="B9" s="4" t="s">
        <v>9</v>
      </c>
      <c r="C9" s="26" t="s">
        <v>344</v>
      </c>
      <c r="D9" s="5" t="s">
        <v>10</v>
      </c>
      <c r="E9" s="4" t="s">
        <v>339</v>
      </c>
    </row>
    <row r="10" customFormat="false" ht="15" hidden="false" customHeight="false" outlineLevel="0" collapsed="false">
      <c r="B10" s="4" t="s">
        <v>345</v>
      </c>
      <c r="C10" s="26" t="s">
        <v>346</v>
      </c>
      <c r="D10" s="5" t="s">
        <v>347</v>
      </c>
      <c r="E10" s="4" t="s">
        <v>339</v>
      </c>
    </row>
    <row r="11" customFormat="false" ht="15" hidden="false" customHeight="false" outlineLevel="0" collapsed="false">
      <c r="B11" s="4" t="s">
        <v>348</v>
      </c>
      <c r="C11" s="26" t="s">
        <v>349</v>
      </c>
      <c r="D11" s="5" t="n">
        <v>14</v>
      </c>
      <c r="E11" s="4" t="s">
        <v>339</v>
      </c>
      <c r="F11" s="21" t="s">
        <v>12</v>
      </c>
    </row>
    <row r="12" customFormat="false" ht="15" hidden="false" customHeight="false" outlineLevel="0" collapsed="false">
      <c r="B12" s="4" t="s">
        <v>350</v>
      </c>
      <c r="C12" s="26" t="s">
        <v>351</v>
      </c>
      <c r="D12" s="5" t="n">
        <v>80</v>
      </c>
      <c r="E12" s="4" t="s">
        <v>339</v>
      </c>
    </row>
    <row r="13" customFormat="false" ht="15" hidden="false" customHeight="false" outlineLevel="0" collapsed="false">
      <c r="B13" s="4" t="s">
        <v>47</v>
      </c>
      <c r="C13" s="26" t="s">
        <v>352</v>
      </c>
      <c r="D13" s="12" t="n">
        <v>267</v>
      </c>
      <c r="E13" s="4" t="s">
        <v>339</v>
      </c>
    </row>
    <row r="14" customFormat="false" ht="15" hidden="false" customHeight="false" outlineLevel="0" collapsed="false">
      <c r="B14" s="4" t="s">
        <v>353</v>
      </c>
      <c r="C14" s="26" t="s">
        <v>354</v>
      </c>
      <c r="D14" s="20" t="n">
        <v>3.3375</v>
      </c>
      <c r="E14" s="4" t="s">
        <v>339</v>
      </c>
    </row>
    <row r="15" customFormat="false" ht="15" hidden="false" customHeight="false" outlineLevel="0" collapsed="false">
      <c r="B15" s="4" t="s">
        <v>355</v>
      </c>
      <c r="C15" s="26" t="s">
        <v>356</v>
      </c>
      <c r="D15" s="12" t="n">
        <v>336500</v>
      </c>
      <c r="E15" s="4" t="s">
        <v>357</v>
      </c>
    </row>
    <row r="16" customFormat="false" ht="15" hidden="false" customHeight="false" outlineLevel="0" collapsed="false">
      <c r="B16" s="4" t="s">
        <v>358</v>
      </c>
      <c r="C16" s="26" t="s">
        <v>359</v>
      </c>
      <c r="D16" s="12" t="n">
        <v>341805</v>
      </c>
      <c r="E16" s="4" t="s">
        <v>357</v>
      </c>
      <c r="F16" s="21" t="s">
        <v>360</v>
      </c>
    </row>
    <row r="17" customFormat="false" ht="15" hidden="false" customHeight="false" outlineLevel="0" collapsed="false">
      <c r="B17" s="4" t="s">
        <v>361</v>
      </c>
      <c r="C17" s="26" t="s">
        <v>362</v>
      </c>
      <c r="D17" s="12" t="n">
        <v>5305</v>
      </c>
      <c r="E17" s="4" t="s">
        <v>357</v>
      </c>
    </row>
    <row r="18" customFormat="false" ht="15" hidden="false" customHeight="false" outlineLevel="0" collapsed="false">
      <c r="B18" s="4" t="s">
        <v>363</v>
      </c>
      <c r="C18" s="26" t="s">
        <v>364</v>
      </c>
      <c r="D18" s="12" t="n">
        <v>341805</v>
      </c>
      <c r="E18" s="4" t="s">
        <v>357</v>
      </c>
    </row>
    <row r="19" customFormat="false" ht="15" hidden="false" customHeight="false" outlineLevel="0" collapsed="false">
      <c r="B19" s="4" t="s">
        <v>365</v>
      </c>
      <c r="C19" s="26" t="s">
        <v>366</v>
      </c>
      <c r="D19" s="12" t="n">
        <v>100794.54</v>
      </c>
      <c r="E19" s="4" t="s">
        <v>357</v>
      </c>
    </row>
    <row r="20" customFormat="false" ht="15" hidden="false" customHeight="false" outlineLevel="0" collapsed="false">
      <c r="B20" s="4" t="s">
        <v>367</v>
      </c>
      <c r="C20" s="26" t="s">
        <v>368</v>
      </c>
      <c r="D20" s="20" t="n">
        <v>0.294889015666828</v>
      </c>
      <c r="E20" s="4" t="s">
        <v>357</v>
      </c>
    </row>
    <row r="21" customFormat="false" ht="15" hidden="false" customHeight="false" outlineLevel="0" collapsed="false">
      <c r="B21" s="4" t="s">
        <v>124</v>
      </c>
      <c r="C21" s="26" t="s">
        <v>369</v>
      </c>
      <c r="D21" s="12" t="n">
        <v>241010.46</v>
      </c>
      <c r="E21" s="4" t="s">
        <v>357</v>
      </c>
    </row>
    <row r="22" customFormat="false" ht="15" hidden="false" customHeight="false" outlineLevel="0" collapsed="false">
      <c r="B22" s="4" t="s">
        <v>370</v>
      </c>
      <c r="C22" s="26" t="s">
        <v>371</v>
      </c>
      <c r="D22" s="12" t="n">
        <v>97891.25</v>
      </c>
      <c r="E22" s="4" t="s">
        <v>34</v>
      </c>
      <c r="F22" s="21" t="s">
        <v>372</v>
      </c>
    </row>
    <row r="23" customFormat="false" ht="15" hidden="false" customHeight="false" outlineLevel="0" collapsed="false">
      <c r="B23" s="4" t="s">
        <v>373</v>
      </c>
      <c r="C23" s="26" t="s">
        <v>374</v>
      </c>
      <c r="D23" s="12" t="n">
        <v>90495.62</v>
      </c>
      <c r="E23" s="4" t="s">
        <v>35</v>
      </c>
      <c r="F23" s="21" t="s">
        <v>375</v>
      </c>
    </row>
    <row r="24" customFormat="false" ht="15" hidden="false" customHeight="false" outlineLevel="0" collapsed="false">
      <c r="B24" s="4" t="s">
        <v>376</v>
      </c>
      <c r="C24" s="26" t="s">
        <v>377</v>
      </c>
      <c r="D24" s="12" t="n">
        <v>2699</v>
      </c>
      <c r="E24" s="4" t="s">
        <v>357</v>
      </c>
      <c r="F24" s="21" t="s">
        <v>378</v>
      </c>
    </row>
    <row r="25" customFormat="false" ht="15" hidden="false" customHeight="false" outlineLevel="0" collapsed="false">
      <c r="B25" s="4" t="s">
        <v>379</v>
      </c>
      <c r="C25" s="26" t="s">
        <v>380</v>
      </c>
      <c r="D25" s="12" t="n">
        <v>49924.59</v>
      </c>
      <c r="E25" s="4" t="s">
        <v>357</v>
      </c>
      <c r="F25" s="21" t="s">
        <v>381</v>
      </c>
    </row>
    <row r="26" customFormat="false" ht="15" hidden="false" customHeight="false" outlineLevel="0" collapsed="false">
      <c r="B26" s="4" t="s">
        <v>308</v>
      </c>
      <c r="C26" s="26" t="s">
        <v>382</v>
      </c>
      <c r="D26" s="12" t="n">
        <v>17090</v>
      </c>
      <c r="E26" s="4" t="s">
        <v>357</v>
      </c>
      <c r="F26" s="21" t="s">
        <v>383</v>
      </c>
    </row>
    <row r="27" customFormat="false" ht="15" hidden="false" customHeight="false" outlineLevel="0" collapsed="false">
      <c r="B27" s="4" t="s">
        <v>384</v>
      </c>
      <c r="C27" s="26" t="s">
        <v>385</v>
      </c>
      <c r="D27" s="12" t="n">
        <v>4272.5625</v>
      </c>
      <c r="E27" s="4" t="s">
        <v>357</v>
      </c>
    </row>
    <row r="28" customFormat="false" ht="15" hidden="false" customHeight="false" outlineLevel="0" collapsed="false">
      <c r="B28" s="4" t="s">
        <v>386</v>
      </c>
      <c r="C28" s="26" t="s">
        <v>387</v>
      </c>
      <c r="D28" s="12" t="n">
        <v>1259.93175</v>
      </c>
      <c r="E28" s="4" t="s">
        <v>357</v>
      </c>
    </row>
    <row r="29" customFormat="false" ht="15" hidden="false" customHeight="false" outlineLevel="0" collapsed="false">
      <c r="B29" s="4" t="s">
        <v>388</v>
      </c>
      <c r="C29" s="26" t="s">
        <v>389</v>
      </c>
      <c r="D29" s="12" t="n">
        <v>3012.63075</v>
      </c>
      <c r="E29" s="4" t="s">
        <v>357</v>
      </c>
    </row>
    <row r="30" customFormat="false" ht="15" hidden="false" customHeight="false" outlineLevel="0" collapsed="false">
      <c r="B30" s="4" t="s">
        <v>390</v>
      </c>
      <c r="C30" s="26" t="s">
        <v>391</v>
      </c>
      <c r="D30" s="12" t="n">
        <v>1223.640625</v>
      </c>
      <c r="E30" s="4" t="s">
        <v>34</v>
      </c>
    </row>
    <row r="31" customFormat="false" ht="15" hidden="false" customHeight="false" outlineLevel="0" collapsed="false">
      <c r="B31" s="4" t="s">
        <v>392</v>
      </c>
      <c r="C31" s="26" t="s">
        <v>393</v>
      </c>
      <c r="D31" s="12" t="n">
        <v>1131.19525</v>
      </c>
      <c r="E31" s="4" t="s">
        <v>35</v>
      </c>
    </row>
    <row r="32" customFormat="false" ht="15" hidden="false" customHeight="false" outlineLevel="0" collapsed="false">
      <c r="B32" s="4" t="s">
        <v>394</v>
      </c>
      <c r="C32" s="26" t="s">
        <v>395</v>
      </c>
      <c r="D32" s="12" t="n">
        <v>1280.16853932584</v>
      </c>
      <c r="E32" s="4" t="s">
        <v>357</v>
      </c>
    </row>
    <row r="33" customFormat="false" ht="15" hidden="false" customHeight="false" outlineLevel="0" collapsed="false">
      <c r="B33" s="4" t="s">
        <v>396</v>
      </c>
      <c r="C33" s="26" t="s">
        <v>397</v>
      </c>
      <c r="D33" s="12" t="n">
        <v>377.507640449438</v>
      </c>
      <c r="E33" s="4" t="s">
        <v>357</v>
      </c>
    </row>
    <row r="34" customFormat="false" ht="15" hidden="false" customHeight="false" outlineLevel="0" collapsed="false">
      <c r="B34" s="4" t="s">
        <v>398</v>
      </c>
      <c r="C34" s="26" t="s">
        <v>399</v>
      </c>
      <c r="D34" s="12" t="n">
        <v>902.660898876404</v>
      </c>
      <c r="E34" s="4" t="s">
        <v>357</v>
      </c>
    </row>
    <row r="35" customFormat="false" ht="15" hidden="false" customHeight="false" outlineLevel="0" collapsed="false">
      <c r="B35" s="4" t="s">
        <v>400</v>
      </c>
      <c r="C35" s="26" t="s">
        <v>401</v>
      </c>
      <c r="D35" s="12" t="n">
        <v>366.633895131086</v>
      </c>
      <c r="E35" s="4" t="s">
        <v>34</v>
      </c>
    </row>
    <row r="36" customFormat="false" ht="15" hidden="false" customHeight="false" outlineLevel="0" collapsed="false">
      <c r="B36" s="4" t="s">
        <v>402</v>
      </c>
      <c r="C36" s="26" t="s">
        <v>403</v>
      </c>
      <c r="D36" s="12" t="n">
        <v>338.934906367041</v>
      </c>
      <c r="E36" s="4" t="s">
        <v>35</v>
      </c>
    </row>
    <row r="37" customFormat="false" ht="15" hidden="false" customHeight="false" outlineLevel="0" collapsed="false">
      <c r="B37" s="4" t="s">
        <v>404</v>
      </c>
      <c r="C37" s="26" t="s">
        <v>405</v>
      </c>
      <c r="D37" s="12" t="n">
        <v>4773</v>
      </c>
      <c r="E37" s="4" t="s">
        <v>34</v>
      </c>
      <c r="F37" s="21" t="s">
        <v>406</v>
      </c>
    </row>
    <row r="38" customFormat="false" ht="15" hidden="false" customHeight="false" outlineLevel="0" collapsed="false">
      <c r="B38" s="4" t="s">
        <v>407</v>
      </c>
      <c r="C38" s="26" t="s">
        <v>408</v>
      </c>
      <c r="D38" s="5" t="n">
        <v>28</v>
      </c>
      <c r="E38" s="4" t="s">
        <v>34</v>
      </c>
      <c r="F38" s="21" t="s">
        <v>409</v>
      </c>
    </row>
    <row r="39" customFormat="false" ht="15" hidden="false" customHeight="false" outlineLevel="0" collapsed="false">
      <c r="B39" s="4" t="s">
        <v>200</v>
      </c>
      <c r="C39" s="26" t="s">
        <v>410</v>
      </c>
      <c r="D39" s="13" t="n">
        <v>20.37094070815</v>
      </c>
      <c r="E39" s="4" t="s">
        <v>34</v>
      </c>
      <c r="F39" s="21" t="s">
        <v>411</v>
      </c>
    </row>
    <row r="40" customFormat="false" ht="15" hidden="false" customHeight="false" outlineLevel="0" collapsed="false">
      <c r="B40" s="4" t="s">
        <v>202</v>
      </c>
      <c r="C40" s="26" t="s">
        <v>412</v>
      </c>
      <c r="D40" s="13" t="n">
        <v>30.9691682380055</v>
      </c>
      <c r="E40" s="4" t="s">
        <v>34</v>
      </c>
      <c r="F40" s="21" t="s">
        <v>413</v>
      </c>
    </row>
    <row r="41" customFormat="false" ht="15" hidden="false" customHeight="false" outlineLevel="0" collapsed="false">
      <c r="B41" s="4" t="s">
        <v>204</v>
      </c>
      <c r="C41" s="26" t="s">
        <v>414</v>
      </c>
      <c r="D41" s="20" t="n">
        <v>1.52026205768766</v>
      </c>
      <c r="E41" s="4" t="s">
        <v>34</v>
      </c>
    </row>
    <row r="42" customFormat="false" ht="15" hidden="false" customHeight="false" outlineLevel="0" collapsed="false">
      <c r="B42" s="4" t="s">
        <v>415</v>
      </c>
      <c r="C42" s="26" t="s">
        <v>416</v>
      </c>
      <c r="D42" s="13" t="n">
        <v>59.6625</v>
      </c>
      <c r="E42" s="4" t="s">
        <v>34</v>
      </c>
      <c r="F42" s="21" t="s">
        <v>417</v>
      </c>
    </row>
    <row r="43" customFormat="false" ht="15" hidden="false" customHeight="false" outlineLevel="0" collapsed="false">
      <c r="B43" s="4" t="s">
        <v>418</v>
      </c>
      <c r="C43" s="26" t="s">
        <v>419</v>
      </c>
      <c r="D43" s="13" t="n">
        <v>17.876404494382</v>
      </c>
      <c r="E43" s="4" t="s">
        <v>34</v>
      </c>
      <c r="F43" s="21" t="s">
        <v>417</v>
      </c>
    </row>
    <row r="44" customFormat="false" ht="15" hidden="false" customHeight="false" outlineLevel="0" collapsed="false">
      <c r="B44" s="4" t="s">
        <v>420</v>
      </c>
      <c r="C44" s="26" t="s">
        <v>421</v>
      </c>
      <c r="D44" s="13" t="n">
        <v>71.6121935889378</v>
      </c>
      <c r="E44" s="4" t="s">
        <v>422</v>
      </c>
    </row>
    <row r="45" customFormat="false" ht="15" hidden="false" customHeight="false" outlineLevel="0" collapsed="false">
      <c r="B45" s="4" t="s">
        <v>423</v>
      </c>
      <c r="C45" s="26" t="s">
        <v>424</v>
      </c>
      <c r="D45" s="13" t="n">
        <v>21.1176492771842</v>
      </c>
      <c r="E45" s="4" t="s">
        <v>422</v>
      </c>
    </row>
    <row r="46" customFormat="false" ht="15" hidden="false" customHeight="false" outlineLevel="0" collapsed="false">
      <c r="B46" s="4" t="s">
        <v>425</v>
      </c>
      <c r="C46" s="26" t="s">
        <v>426</v>
      </c>
      <c r="D46" s="20" t="n">
        <v>0.286395020552654</v>
      </c>
      <c r="E46" s="4" t="s">
        <v>427</v>
      </c>
    </row>
    <row r="47" customFormat="false" ht="15" hidden="false" customHeight="false" outlineLevel="0" collapsed="false">
      <c r="B47" s="4" t="s">
        <v>428</v>
      </c>
      <c r="C47" s="26" t="s">
        <v>429</v>
      </c>
      <c r="D47" s="20" t="n">
        <v>0.264758034551864</v>
      </c>
      <c r="E47" s="4" t="s">
        <v>427</v>
      </c>
    </row>
    <row r="48" customFormat="false" ht="15" hidden="false" customHeight="false" outlineLevel="0" collapsed="false">
      <c r="B48" s="4" t="s">
        <v>430</v>
      </c>
      <c r="C48" s="26" t="s">
        <v>431</v>
      </c>
      <c r="D48" s="12" t="n">
        <v>24414.6428571429</v>
      </c>
      <c r="E48" s="4" t="s">
        <v>422</v>
      </c>
    </row>
    <row r="49" customFormat="false" ht="15" hidden="false" customHeight="false" outlineLevel="0" collapsed="false">
      <c r="B49" s="4" t="s">
        <v>432</v>
      </c>
      <c r="C49" s="26" t="s">
        <v>433</v>
      </c>
      <c r="D49" s="12" t="n">
        <v>340.928571428571</v>
      </c>
      <c r="E49" s="4" t="s">
        <v>422</v>
      </c>
    </row>
    <row r="50" customFormat="false" ht="15" hidden="false" customHeight="false" outlineLevel="0" collapsed="false">
      <c r="B50" s="4" t="s">
        <v>434</v>
      </c>
      <c r="C50" s="26" t="s">
        <v>435</v>
      </c>
      <c r="D50" s="20" t="n">
        <v>5.71428571428571</v>
      </c>
      <c r="E50" s="4" t="s">
        <v>422</v>
      </c>
    </row>
    <row r="51" customFormat="false" ht="15" hidden="false" customHeight="false" outlineLevel="0" collapsed="false">
      <c r="B51" s="4" t="s">
        <v>436</v>
      </c>
      <c r="C51" s="26" t="s">
        <v>437</v>
      </c>
      <c r="D51" s="5" t="n">
        <v>9</v>
      </c>
      <c r="E51" s="4" t="s">
        <v>35</v>
      </c>
      <c r="F51" s="21" t="s">
        <v>438</v>
      </c>
    </row>
    <row r="52" customFormat="false" ht="15" hidden="false" customHeight="false" outlineLevel="0" collapsed="false">
      <c r="B52" s="4" t="s">
        <v>439</v>
      </c>
      <c r="C52" s="26" t="s">
        <v>440</v>
      </c>
      <c r="D52" s="12" t="n">
        <v>74948.84</v>
      </c>
      <c r="E52" s="4" t="s">
        <v>35</v>
      </c>
      <c r="F52" s="21" t="s">
        <v>146</v>
      </c>
    </row>
    <row r="53" customFormat="false" ht="15" hidden="false" customHeight="false" outlineLevel="0" collapsed="false">
      <c r="B53" s="4" t="s">
        <v>441</v>
      </c>
      <c r="C53" s="26" t="s">
        <v>442</v>
      </c>
      <c r="D53" s="20" t="n">
        <v>0.704720667252454</v>
      </c>
      <c r="E53" s="4" t="s">
        <v>35</v>
      </c>
    </row>
    <row r="54" customFormat="false" ht="15" hidden="false" customHeight="false" outlineLevel="0" collapsed="false">
      <c r="B54" s="4" t="s">
        <v>443</v>
      </c>
      <c r="C54" s="26" t="s">
        <v>444</v>
      </c>
      <c r="D54" s="5" t="n">
        <v>33</v>
      </c>
      <c r="E54" s="4" t="s">
        <v>35</v>
      </c>
      <c r="F54" s="21" t="s">
        <v>445</v>
      </c>
    </row>
    <row r="55" customFormat="false" ht="15" hidden="false" customHeight="false" outlineLevel="0" collapsed="false">
      <c r="B55" s="4" t="s">
        <v>446</v>
      </c>
      <c r="C55" s="26" t="s">
        <v>447</v>
      </c>
      <c r="D55" s="20" t="n">
        <v>0.0157652303120357</v>
      </c>
      <c r="E55" s="4" t="s">
        <v>357</v>
      </c>
    </row>
    <row r="56" customFormat="false" ht="15" hidden="false" customHeight="false" outlineLevel="0" collapsed="false">
      <c r="B56" s="4" t="s">
        <v>448</v>
      </c>
      <c r="C56" s="26" t="s">
        <v>449</v>
      </c>
      <c r="D56" s="13" t="n">
        <v>71.6121935889378</v>
      </c>
      <c r="E56" s="4" t="s">
        <v>422</v>
      </c>
    </row>
    <row r="60" customFormat="false" ht="15" hidden="false" customHeight="false" outlineLevel="0" collapsed="false">
      <c r="B60" s="3" t="s">
        <v>61</v>
      </c>
      <c r="C60" s="3"/>
      <c r="D60" s="3"/>
      <c r="E60" s="3"/>
      <c r="F60" s="3"/>
    </row>
    <row r="61" customFormat="false" ht="15" hidden="false" customHeight="false" outlineLevel="0" collapsed="false">
      <c r="B61" s="2" t="s">
        <v>62</v>
      </c>
      <c r="C61" s="2"/>
      <c r="D61" s="2"/>
      <c r="E61" s="2"/>
      <c r="F61" s="2"/>
    </row>
    <row r="62" customFormat="false" ht="15" hidden="false" customHeight="false" outlineLevel="0" collapsed="false">
      <c r="B62" s="2" t="s">
        <v>63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64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65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66</v>
      </c>
      <c r="C65" s="2"/>
      <c r="D65" s="2"/>
      <c r="E65" s="2"/>
      <c r="F65" s="2"/>
    </row>
    <row r="66" customFormat="false" ht="15" hidden="false" customHeight="false" outlineLevel="0" collapsed="false">
      <c r="B66" s="2" t="s">
        <v>67</v>
      </c>
      <c r="C66" s="2"/>
      <c r="D66" s="2"/>
      <c r="E66" s="2"/>
      <c r="F66" s="2"/>
    </row>
    <row r="67" customFormat="false" ht="15" hidden="false" customHeight="false" outlineLevel="0" collapsed="false">
      <c r="B67" s="2" t="s">
        <v>450</v>
      </c>
      <c r="C67" s="2"/>
      <c r="D67" s="2"/>
      <c r="E67" s="2"/>
      <c r="F67" s="2"/>
    </row>
  </sheetData>
  <mergeCells count="10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451</v>
      </c>
      <c r="C2" s="1"/>
      <c r="D2" s="1"/>
      <c r="E2" s="1"/>
      <c r="F2" s="1"/>
    </row>
    <row r="4" customFormat="false" ht="15" hidden="false" customHeight="false" outlineLevel="0" collapsed="false">
      <c r="B4" s="9" t="s">
        <v>452</v>
      </c>
      <c r="C4" s="9" t="s">
        <v>453</v>
      </c>
      <c r="D4" s="9" t="s">
        <v>454</v>
      </c>
      <c r="E4" s="9" t="s">
        <v>306</v>
      </c>
      <c r="F4" s="9" t="s">
        <v>307</v>
      </c>
    </row>
    <row r="5" customFormat="false" ht="15" hidden="false" customHeight="false" outlineLevel="0" collapsed="false">
      <c r="B5" s="3" t="s">
        <v>455</v>
      </c>
      <c r="C5" s="3"/>
      <c r="D5" s="3"/>
      <c r="E5" s="3"/>
      <c r="F5" s="3"/>
    </row>
    <row r="6" customFormat="false" ht="15" hidden="false" customHeight="false" outlineLevel="0" collapsed="false">
      <c r="B6" s="4" t="s">
        <v>456</v>
      </c>
      <c r="C6" s="10" t="n">
        <v>97891.25</v>
      </c>
      <c r="D6" s="10" t="n">
        <v>97891.25</v>
      </c>
      <c r="E6" s="10" t="n">
        <f aca="false">C6-D6</f>
        <v>0</v>
      </c>
      <c r="F6" s="5" t="str">
        <f aca="false">IF(ABS(E6)&lt;=1,"TIES",IF(ABS(E6)&lt;=ABS(D6)*0.05,"WITHIN","OFF"))</f>
        <v>TIES</v>
      </c>
    </row>
    <row r="7" customFormat="false" ht="15" hidden="false" customHeight="false" outlineLevel="0" collapsed="false">
      <c r="B7" s="4" t="s">
        <v>457</v>
      </c>
      <c r="C7" s="10" t="n">
        <v>90495.62</v>
      </c>
      <c r="D7" s="10" t="n">
        <v>90495.62</v>
      </c>
      <c r="E7" s="10" t="n">
        <f aca="false">C7-D7</f>
        <v>0</v>
      </c>
      <c r="F7" s="5" t="str">
        <f aca="false">IF(ABS(E7)&lt;=1,"TIES",IF(ABS(E7)&lt;=ABS(D7)*0.05,"WITHIN","OFF"))</f>
        <v>TIES</v>
      </c>
    </row>
    <row r="8" customFormat="false" ht="15" hidden="false" customHeight="false" outlineLevel="0" collapsed="false">
      <c r="B8" s="4" t="s">
        <v>458</v>
      </c>
      <c r="C8" s="10" t="n">
        <v>2699</v>
      </c>
      <c r="D8" s="10" t="n">
        <v>2699</v>
      </c>
      <c r="E8" s="10" t="n">
        <f aca="false">C8-D8</f>
        <v>0</v>
      </c>
      <c r="F8" s="5" t="str">
        <f aca="false">IF(ABS(E8)&lt;=1,"TIES",IF(ABS(E8)&lt;=ABS(D8)*0.05,"WITHIN","OFF"))</f>
        <v>TIES</v>
      </c>
    </row>
    <row r="9" customFormat="false" ht="15" hidden="false" customHeight="false" outlineLevel="0" collapsed="false">
      <c r="B9" s="4" t="s">
        <v>459</v>
      </c>
      <c r="C9" s="10" t="n">
        <v>49924.59</v>
      </c>
      <c r="D9" s="10" t="n">
        <v>49924.59</v>
      </c>
      <c r="E9" s="10" t="n">
        <f aca="false">C9-D9</f>
        <v>0</v>
      </c>
      <c r="F9" s="5" t="str">
        <f aca="false">IF(ABS(E9)&lt;=1,"TIES",IF(ABS(E9)&lt;=ABS(D9)*0.05,"WITHIN","OFF"))</f>
        <v>TIES</v>
      </c>
    </row>
    <row r="10" customFormat="false" ht="15" hidden="false" customHeight="false" outlineLevel="0" collapsed="false">
      <c r="B10" s="4" t="s">
        <v>460</v>
      </c>
      <c r="C10" s="10" t="n">
        <v>241010.46</v>
      </c>
      <c r="D10" s="10" t="n">
        <v>241010.46</v>
      </c>
      <c r="E10" s="10" t="n">
        <f aca="false">C10-D10</f>
        <v>0</v>
      </c>
      <c r="F10" s="5" t="str">
        <f aca="false">IF(ABS(E10)&lt;=1,"TIES",IF(ABS(E10)&lt;=ABS(D10)*0.05,"WITHIN","OFF"))</f>
        <v>TIES</v>
      </c>
    </row>
    <row r="11" customFormat="false" ht="15" hidden="false" customHeight="false" outlineLevel="0" collapsed="false">
      <c r="B11" s="4" t="s">
        <v>461</v>
      </c>
      <c r="C11" s="10" t="n">
        <v>341805</v>
      </c>
      <c r="D11" s="10" t="n">
        <v>341805</v>
      </c>
      <c r="E11" s="10" t="n">
        <f aca="false">C11-D11</f>
        <v>0</v>
      </c>
      <c r="F11" s="5" t="str">
        <f aca="false">IF(ABS(E11)&lt;=1,"TIES",IF(ABS(E11)&lt;=ABS(D11)*0.05,"WITHIN","OFF"))</f>
        <v>TIES</v>
      </c>
    </row>
    <row r="12" customFormat="false" ht="15" hidden="false" customHeight="false" outlineLevel="0" collapsed="false">
      <c r="B12" s="4" t="s">
        <v>462</v>
      </c>
      <c r="C12" s="10" t="n">
        <v>100794.54</v>
      </c>
      <c r="D12" s="10" t="n">
        <v>100794.54</v>
      </c>
      <c r="E12" s="10" t="n">
        <f aca="false">C12-D12</f>
        <v>0</v>
      </c>
      <c r="F12" s="5" t="str">
        <f aca="false">IF(ABS(E12)&lt;=1,"TIES",IF(ABS(E12)&lt;=ABS(D12)*0.05,"WITHIN","OFF"))</f>
        <v>TIES</v>
      </c>
    </row>
    <row r="14" customFormat="false" ht="15" hidden="false" customHeight="false" outlineLevel="0" collapsed="false">
      <c r="B14" s="3" t="s">
        <v>463</v>
      </c>
      <c r="C14" s="3"/>
      <c r="D14" s="3"/>
      <c r="E14" s="3"/>
      <c r="F14" s="3"/>
    </row>
    <row r="15" customFormat="false" ht="15" hidden="false" customHeight="false" outlineLevel="0" collapsed="false">
      <c r="B15" s="4" t="s">
        <v>464</v>
      </c>
      <c r="C15" s="27" t="n">
        <v>4773</v>
      </c>
      <c r="D15" s="27" t="n">
        <v>4773</v>
      </c>
      <c r="E15" s="27" t="n">
        <f aca="false">C15-D15</f>
        <v>0</v>
      </c>
      <c r="F15" s="5" t="str">
        <f aca="false">IF(ABS(E15)&lt;=5,"TIES",IF(ABS(E15)&lt;=ABS(D15)*0.05,"WITHIN","OFF"))</f>
        <v>TIES</v>
      </c>
    </row>
    <row r="16" customFormat="false" ht="15" hidden="false" customHeight="false" outlineLevel="0" collapsed="false">
      <c r="B16" s="4" t="s">
        <v>465</v>
      </c>
      <c r="C16" s="27" t="n">
        <v>4754.5</v>
      </c>
      <c r="D16" s="27" t="n">
        <v>4773</v>
      </c>
      <c r="E16" s="27" t="n">
        <f aca="false">C16-D16</f>
        <v>-18.5</v>
      </c>
      <c r="F16" s="5" t="str">
        <f aca="false">IF(ABS(E16)&lt;=5,"TIES",IF(ABS(E16)&lt;=ABS(D16)*0.05,"WITHIN","OFF"))</f>
        <v>WITHIN</v>
      </c>
    </row>
    <row r="18" customFormat="false" ht="15" hidden="false" customHeight="false" outlineLevel="0" collapsed="false">
      <c r="B18" s="3" t="s">
        <v>466</v>
      </c>
      <c r="C18" s="3"/>
      <c r="D18" s="3"/>
      <c r="E18" s="3"/>
      <c r="F18" s="3"/>
    </row>
    <row r="19" customFormat="false" ht="15" hidden="false" customHeight="false" outlineLevel="0" collapsed="false">
      <c r="B19" s="4" t="s">
        <v>284</v>
      </c>
      <c r="C19" s="10" t="n">
        <v>341805</v>
      </c>
      <c r="D19" s="10" t="n">
        <v>341805</v>
      </c>
      <c r="E19" s="10" t="n">
        <f aca="false">C19-D19</f>
        <v>0</v>
      </c>
      <c r="F19" s="5" t="str">
        <f aca="false">IF(ABS(E19)&lt;=1,"TIES",IF(ABS(E19)&lt;=ABS(D19)*0.05,"WITHIN","OFF"))</f>
        <v>TIES</v>
      </c>
    </row>
    <row r="20" customFormat="false" ht="15" hidden="false" customHeight="false" outlineLevel="0" collapsed="false">
      <c r="B20" s="4" t="s">
        <v>308</v>
      </c>
      <c r="C20" s="10" t="n">
        <v>17090</v>
      </c>
      <c r="D20" s="10" t="n">
        <v>17090</v>
      </c>
      <c r="E20" s="10" t="n">
        <f aca="false">C20-D20</f>
        <v>0</v>
      </c>
      <c r="F20" s="5" t="str">
        <f aca="false">IF(ABS(E20)&lt;=1,"TIES",IF(ABS(E20)&lt;=ABS(D20)*0.05,"WITHIN","OFF"))</f>
        <v>TIES</v>
      </c>
    </row>
    <row r="21" customFormat="false" ht="15" hidden="false" customHeight="false" outlineLevel="0" collapsed="false">
      <c r="B21" s="4" t="s">
        <v>124</v>
      </c>
      <c r="C21" s="10" t="n">
        <v>241010.46</v>
      </c>
      <c r="D21" s="10" t="n">
        <v>241010</v>
      </c>
      <c r="E21" s="10" t="n">
        <f aca="false">C21-D21</f>
        <v>0.459999999991851</v>
      </c>
      <c r="F21" s="5" t="str">
        <f aca="false">IF(ABS(E21)&lt;=1,"TIES",IF(ABS(E21)&lt;=ABS(D21)*0.05,"WITHIN","OFF"))</f>
        <v>TIES</v>
      </c>
    </row>
    <row r="23" customFormat="false" ht="15" hidden="false" customHeight="false" outlineLevel="0" collapsed="false">
      <c r="B23" s="3" t="s">
        <v>467</v>
      </c>
      <c r="C23" s="3"/>
      <c r="D23" s="3"/>
      <c r="E23" s="3"/>
      <c r="F23" s="3"/>
    </row>
    <row r="24" customFormat="false" ht="15" hidden="false" customHeight="false" outlineLevel="0" collapsed="false">
      <c r="B24" s="4" t="s">
        <v>468</v>
      </c>
      <c r="C24" s="10" t="n">
        <v>106352.55</v>
      </c>
      <c r="D24" s="10" t="n">
        <v>86915</v>
      </c>
      <c r="E24" s="10" t="n">
        <f aca="false">C24-D24</f>
        <v>19437.55</v>
      </c>
      <c r="F24" s="5" t="str">
        <f aca="false">IF(ABS(E24)&lt;=5,"TIES",IF(ABS(E24)&lt;=ABS(D24)*0.05,"WITHIN","OFF"))</f>
        <v>OFF</v>
      </c>
    </row>
    <row r="28" customFormat="false" ht="15" hidden="false" customHeight="false" outlineLevel="0" collapsed="false">
      <c r="B28" s="3" t="s">
        <v>61</v>
      </c>
      <c r="C28" s="3"/>
      <c r="D28" s="3"/>
      <c r="E28" s="3"/>
      <c r="F28" s="3"/>
    </row>
    <row r="29" customFormat="false" ht="15" hidden="false" customHeight="false" outlineLevel="0" collapsed="false">
      <c r="B29" s="2" t="s">
        <v>62</v>
      </c>
      <c r="C29" s="2"/>
      <c r="D29" s="2"/>
      <c r="E29" s="2"/>
      <c r="F29" s="2"/>
    </row>
    <row r="30" customFormat="false" ht="15" hidden="false" customHeight="false" outlineLevel="0" collapsed="false">
      <c r="B30" s="2" t="s">
        <v>63</v>
      </c>
      <c r="C30" s="2"/>
      <c r="D30" s="2"/>
      <c r="E30" s="2"/>
      <c r="F30" s="2"/>
    </row>
    <row r="31" customFormat="false" ht="15" hidden="false" customHeight="false" outlineLevel="0" collapsed="false">
      <c r="B31" s="2" t="s">
        <v>64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65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66</v>
      </c>
      <c r="C33" s="2"/>
      <c r="D33" s="2"/>
      <c r="E33" s="2"/>
      <c r="F33" s="2"/>
    </row>
    <row r="34" customFormat="false" ht="15" hidden="false" customHeight="false" outlineLevel="0" collapsed="false">
      <c r="B34" s="2" t="s">
        <v>67</v>
      </c>
      <c r="C34" s="2"/>
      <c r="D34" s="2"/>
      <c r="E34" s="2"/>
      <c r="F34" s="2"/>
    </row>
    <row r="35" customFormat="false" ht="15" hidden="false" customHeight="false" outlineLevel="0" collapsed="false">
      <c r="B35" s="2" t="s">
        <v>469</v>
      </c>
      <c r="C35" s="2"/>
      <c r="D35" s="2"/>
      <c r="E35" s="2"/>
      <c r="F35" s="2"/>
    </row>
  </sheetData>
  <mergeCells count="13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8" t="s">
        <v>470</v>
      </c>
      <c r="B1" s="28"/>
      <c r="C1" s="28"/>
      <c r="D1" s="28"/>
      <c r="E1" s="28"/>
      <c r="F1" s="28"/>
      <c r="G1" s="28"/>
    </row>
    <row r="3" customFormat="false" ht="15" hidden="false" customHeight="false" outlineLevel="0" collapsed="false">
      <c r="A3" s="29" t="s">
        <v>471</v>
      </c>
      <c r="B3" s="30" t="n">
        <v>9</v>
      </c>
      <c r="D3" s="29" t="s">
        <v>472</v>
      </c>
      <c r="E3" s="30" t="s">
        <v>146</v>
      </c>
    </row>
    <row r="4" customFormat="false" ht="15" hidden="false" customHeight="false" outlineLevel="0" collapsed="false">
      <c r="A4" s="29" t="s">
        <v>473</v>
      </c>
      <c r="B4" s="30" t="n">
        <v>85</v>
      </c>
      <c r="D4" s="29" t="s">
        <v>474</v>
      </c>
      <c r="E4" s="31" t="n">
        <f aca="false">100420.91/106352.55</f>
        <v>0.944226631143306</v>
      </c>
    </row>
    <row r="5" customFormat="false" ht="15" hidden="false" customHeight="false" outlineLevel="0" collapsed="false">
      <c r="A5" s="29" t="s">
        <v>475</v>
      </c>
      <c r="B5" s="32" t="n">
        <v>106352.55</v>
      </c>
      <c r="D5" s="29" t="s">
        <v>476</v>
      </c>
      <c r="E5" s="33" t="s">
        <v>477</v>
      </c>
    </row>
    <row r="6" customFormat="false" ht="15" hidden="false" customHeight="false" outlineLevel="0" collapsed="false">
      <c r="A6" s="29" t="s">
        <v>478</v>
      </c>
      <c r="B6" s="34" t="n">
        <f aca="false">B5/B4</f>
        <v>1251.20647058824</v>
      </c>
    </row>
    <row r="8" customFormat="false" ht="19.5" hidden="false" customHeight="true" outlineLevel="0" collapsed="false">
      <c r="A8" s="35" t="s">
        <v>479</v>
      </c>
      <c r="B8" s="35" t="s">
        <v>141</v>
      </c>
      <c r="C8" s="35" t="s">
        <v>480</v>
      </c>
      <c r="D8" s="35" t="s">
        <v>473</v>
      </c>
      <c r="E8" s="35" t="s">
        <v>143</v>
      </c>
      <c r="F8" s="35" t="s">
        <v>144</v>
      </c>
      <c r="G8" s="35" t="s">
        <v>481</v>
      </c>
    </row>
    <row r="9" customFormat="false" ht="15" hidden="false" customHeight="false" outlineLevel="0" collapsed="false">
      <c r="A9" s="36" t="n">
        <v>1</v>
      </c>
      <c r="B9" s="37" t="s">
        <v>146</v>
      </c>
      <c r="C9" s="36"/>
      <c r="D9" s="36" t="n">
        <v>22</v>
      </c>
      <c r="E9" s="38" t="n">
        <v>74948.84</v>
      </c>
      <c r="F9" s="39" t="n">
        <f aca="false">E9/E$18</f>
        <v>0.704720667252454</v>
      </c>
      <c r="G9" s="40" t="n">
        <f aca="false">E9/D9</f>
        <v>3406.76545454545</v>
      </c>
    </row>
    <row r="10" customFormat="false" ht="15" hidden="false" customHeight="false" outlineLevel="0" collapsed="false">
      <c r="A10" s="36" t="n">
        <v>2</v>
      </c>
      <c r="B10" s="37" t="s">
        <v>147</v>
      </c>
      <c r="C10" s="36"/>
      <c r="D10" s="36" t="n">
        <v>21</v>
      </c>
      <c r="E10" s="38" t="n">
        <v>14095.11</v>
      </c>
      <c r="F10" s="39" t="n">
        <f aca="false">E10/E$18</f>
        <v>0.132531942111402</v>
      </c>
      <c r="G10" s="40" t="n">
        <f aca="false">E10/D10</f>
        <v>671.195714285714</v>
      </c>
    </row>
    <row r="11" customFormat="false" ht="15" hidden="false" customHeight="false" outlineLevel="0" collapsed="false">
      <c r="A11" s="36" t="n">
        <v>3</v>
      </c>
      <c r="B11" s="37" t="s">
        <v>148</v>
      </c>
      <c r="C11" s="36"/>
      <c r="D11" s="36" t="n">
        <v>25</v>
      </c>
      <c r="E11" s="38" t="n">
        <v>11376.96</v>
      </c>
      <c r="F11" s="39" t="n">
        <f aca="false">E11/E$18</f>
        <v>0.10697402177945</v>
      </c>
      <c r="G11" s="40" t="n">
        <f aca="false">E11/D11</f>
        <v>455.0784</v>
      </c>
    </row>
    <row r="12" customFormat="false" ht="15" hidden="false" customHeight="false" outlineLevel="0" collapsed="false">
      <c r="A12" s="41" t="n">
        <v>4</v>
      </c>
      <c r="B12" s="42" t="s">
        <v>149</v>
      </c>
      <c r="C12" s="41"/>
      <c r="D12" s="41" t="n">
        <v>3</v>
      </c>
      <c r="E12" s="43" t="n">
        <v>2649</v>
      </c>
      <c r="F12" s="44" t="n">
        <f aca="false">E12/E$18</f>
        <v>0.0249077243563977</v>
      </c>
      <c r="G12" s="45" t="n">
        <f aca="false">E12/D12</f>
        <v>883</v>
      </c>
    </row>
    <row r="13" customFormat="false" ht="15" hidden="false" customHeight="false" outlineLevel="0" collapsed="false">
      <c r="A13" s="46" t="n">
        <v>5</v>
      </c>
      <c r="B13" s="47" t="s">
        <v>150</v>
      </c>
      <c r="C13" s="46"/>
      <c r="D13" s="46" t="n">
        <v>7</v>
      </c>
      <c r="E13" s="48" t="n">
        <v>1086.17</v>
      </c>
      <c r="F13" s="49" t="n">
        <f aca="false">E13/E$18</f>
        <v>0.0102129192012791</v>
      </c>
      <c r="G13" s="50" t="n">
        <f aca="false">E13/D13</f>
        <v>155.167142857143</v>
      </c>
    </row>
    <row r="14" customFormat="false" ht="15" hidden="false" customHeight="false" outlineLevel="0" collapsed="false">
      <c r="A14" s="41" t="n">
        <v>6</v>
      </c>
      <c r="B14" s="42" t="s">
        <v>151</v>
      </c>
      <c r="C14" s="41"/>
      <c r="D14" s="41" t="n">
        <v>1</v>
      </c>
      <c r="E14" s="43" t="n">
        <v>1044</v>
      </c>
      <c r="F14" s="44" t="n">
        <f aca="false">E14/E$18</f>
        <v>0.00981640778711935</v>
      </c>
      <c r="G14" s="45" t="n">
        <f aca="false">E14/D14</f>
        <v>1044</v>
      </c>
    </row>
    <row r="15" customFormat="false" ht="15" hidden="false" customHeight="false" outlineLevel="0" collapsed="false">
      <c r="A15" s="46" t="n">
        <v>7</v>
      </c>
      <c r="B15" s="47" t="s">
        <v>152</v>
      </c>
      <c r="C15" s="46"/>
      <c r="D15" s="46" t="n">
        <v>2</v>
      </c>
      <c r="E15" s="48" t="n">
        <v>897.2</v>
      </c>
      <c r="F15" s="49" t="n">
        <f aca="false">E15/E$18</f>
        <v>0.00843609297567383</v>
      </c>
      <c r="G15" s="50" t="n">
        <f aca="false">E15/D15</f>
        <v>448.6</v>
      </c>
    </row>
    <row r="16" customFormat="false" ht="15" hidden="false" customHeight="false" outlineLevel="0" collapsed="false">
      <c r="A16" s="41" t="n">
        <v>8</v>
      </c>
      <c r="B16" s="42" t="s">
        <v>153</v>
      </c>
      <c r="C16" s="41"/>
      <c r="D16" s="41" t="n">
        <v>3</v>
      </c>
      <c r="E16" s="43" t="n">
        <v>205.27</v>
      </c>
      <c r="F16" s="44" t="n">
        <f aca="false">E16/E$18</f>
        <v>0.00193009006366091</v>
      </c>
      <c r="G16" s="45" t="n">
        <f aca="false">E16/D16</f>
        <v>68.4233333333333</v>
      </c>
    </row>
    <row r="17" customFormat="false" ht="15" hidden="false" customHeight="false" outlineLevel="0" collapsed="false">
      <c r="A17" s="46" t="n">
        <v>9</v>
      </c>
      <c r="B17" s="47" t="s">
        <v>154</v>
      </c>
      <c r="C17" s="46"/>
      <c r="D17" s="46" t="n">
        <v>1</v>
      </c>
      <c r="E17" s="48" t="n">
        <v>50</v>
      </c>
      <c r="F17" s="49" t="n">
        <f aca="false">E17/E$18</f>
        <v>0.000470134472563187</v>
      </c>
      <c r="G17" s="50" t="n">
        <f aca="false">E17/D17</f>
        <v>50</v>
      </c>
    </row>
    <row r="18" customFormat="false" ht="15" hidden="false" customHeight="false" outlineLevel="0" collapsed="false">
      <c r="A18" s="51"/>
      <c r="B18" s="52" t="s">
        <v>38</v>
      </c>
      <c r="C18" s="51"/>
      <c r="D18" s="53" t="n">
        <f aca="false">SUM(D9:D17)</f>
        <v>85</v>
      </c>
      <c r="E18" s="54" t="n">
        <f aca="false">SUM(E9:E17)</f>
        <v>106352.55</v>
      </c>
      <c r="F18" s="55" t="n">
        <f aca="false">SUM(F9:F17)</f>
        <v>1</v>
      </c>
      <c r="G18" s="54" t="n">
        <f aca="false">E18/D18</f>
        <v>1251.20647058824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2026-04-10T14:36:11Z</dcterms:created>
  <dc:creator>openpyxl</dc:creator>
  <dc:description/>
  <dc:language>en-US</dc:language>
  <cp:lastModifiedBy/>
  <dcterms:modified xsi:type="dcterms:W3CDTF">2026-04-10T14:36:26Z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