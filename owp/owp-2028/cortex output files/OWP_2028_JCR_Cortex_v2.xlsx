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#2028 · Exxel Pacific Reserve @ Lynnwood</t>
        </is>
      </c>
    </row>
    <row r="3">
      <c r="B3" s="2" t="inlineStr">
        <is>
          <t>Cortex JCR Cortex v2  •  Exxel Pacific, Inc. (customer 2028EP)  •  Lynnwood, WA  •  Owner: AVS Communities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2028</t>
        </is>
      </c>
      <c r="D6" s="6" t="n"/>
      <c r="E6" s="7" t="n"/>
      <c r="F6" s="8" t="inlineStr">
        <is>
          <t>2028 Job Detail Report.pdf (Sage Timberline, 04/03/2026, 190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Reserve @ Lynnwood</t>
        </is>
      </c>
      <c r="D7" s="6" t="n"/>
      <c r="E7" s="7" t="n"/>
      <c r="F7" s="8" t="inlineStr">
        <is>
          <t>2028 Job Detail Report.pdf (Sage Timberline, 04/03/2026, 190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Reserve @ Lynnwood — 296-unit new construction plumbing</t>
        </is>
      </c>
      <c r="D8" s="6" t="n"/>
      <c r="E8" s="7" t="n"/>
      <c r="F8" s="8" t="inlineStr">
        <is>
          <t>Exxel Pacific Reserve @ Lynnwood Subcontract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Exxel Pacific Reserve @ Lynnwood Subcontract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2028EP</t>
        </is>
      </c>
      <c r="D10" s="6" t="n"/>
      <c r="E10" s="7" t="n"/>
      <c r="F10" s="8" t="inlineStr">
        <is>
          <t>2028 Job Detail Report.pdf (Sage Timberline, 04/03/2026, 190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AVS Communities</t>
        </is>
      </c>
      <c r="D11" s="6" t="n"/>
      <c r="E11" s="7" t="n"/>
      <c r="F11" s="8" t="inlineStr">
        <is>
          <t>Exxel Pacific Reserve @ Lynnwood Subcontract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Lynnwood, WA</t>
        </is>
      </c>
      <c r="D12" s="6" t="n"/>
      <c r="E12" s="7" t="n"/>
      <c r="F12" s="8" t="inlineStr">
        <is>
          <t>Exxel Pacific Reserve @ Lynnwood Subcontract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Exxel Pacific Reserve @ Lynnwood Subcontract</t>
        </is>
      </c>
      <c r="D13" s="6" t="n"/>
      <c r="E13" s="7" t="n"/>
      <c r="F13" s="8" t="inlineStr">
        <is>
          <t>Lump Sum subcontract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Reserve @ Lynnwood plumbing narrative (Div 22 plumbing narrative) + fixture schedule + proposal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Reserve @ Lynnwood fixture schedule (fixture schedule for 296-unit multifamily)</t>
        </is>
      </c>
      <c r="D15" s="6" t="n"/>
      <c r="E15" s="7" t="n"/>
      <c r="F15" s="8" t="inlineStr">
        <is>
          <t>Referenced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Pacific Reserve @ Lynnwood Proposal</t>
        </is>
      </c>
      <c r="D16" s="6" t="n"/>
      <c r="E16" s="7" t="n"/>
      <c r="F16" s="8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Exxel Pacific Reserve @ Lynnwood Subcontract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Per PR/AR posting dates in JDR</t>
        </is>
      </c>
      <c r="D18" s="6" t="n"/>
      <c r="E18" s="7" t="n"/>
      <c r="F18" s="8" t="inlineStr">
        <is>
          <t>2028 Job Detail Report.pdf (Sage Timberline, 04/03/2026, 190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owp-2028/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2684887</v>
      </c>
      <c r="D22" s="9" t="n">
        <v>1313608.9</v>
      </c>
      <c r="F22" s="9" t="n">
        <v>1371278.1</v>
      </c>
      <c r="H22" s="10" t="n">
        <v>24053.5</v>
      </c>
    </row>
    <row r="23">
      <c r="B23" s="11" t="inlineStr">
        <is>
          <t>Original $2,979,880.00 + $-294,993.00 COs (-9.90%)</t>
        </is>
      </c>
      <c r="D23" s="11" t="inlineStr">
        <is>
          <t>48.9% margin</t>
        </is>
      </c>
      <c r="F23" s="11" t="inlineStr">
        <is>
          <t>51.1% of revenue</t>
        </is>
      </c>
      <c r="H23" s="11" t="inlineStr">
        <is>
          <t>45 workers</t>
        </is>
      </c>
    </row>
    <row r="26">
      <c r="B26" s="3" t="inlineStr">
        <is>
          <t>SCOPE OF WORK (from contract + proposal)</t>
        </is>
      </c>
    </row>
    <row r="27">
      <c r="B27" s="5" t="inlineStr">
        <is>
          <t>Full plumbing installation: underground, rough-in, finish, gas piping, water mains, insulation, mechanical room, and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296-unit multifamily new construction at Lynnwood,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5 levels above ground, 1 level below grade (per Job Info).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Current Building Code + UPC with Washington state amendments.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2028 Job Detail Report.pdf (Sage Timberline, 04/03/2026, 190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$2,684,887.00 / Expenses $1,371,278.10 / Net $1,313,608.90 / Retainage $134,244.35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$83,985.62 · AP $420,949.02 · PR $866,343.46 · AR $2,684,887.00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Exxel Pacific Reserve @ Lynnwood Subcontract (Lump Sum $2,979,880.00, descoped to $2,684,887.00)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Proposal: Exxel Pacific Reserve @ Lynnwood Proposal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Fixture schedule: Reserve @ Lynnwood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Plumbing narrative: Reserve @ Lynnwood plumbing narrative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3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31:J31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29 cost codes from JDR. Contract $2,979,880 → $2,684,887 (COs +$-294,993.00).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20000</v>
      </c>
      <c r="E6" s="15" t="n">
        <v>10499</v>
      </c>
      <c r="F6" s="15" t="n">
        <v>9454.5</v>
      </c>
      <c r="G6" s="15">
        <f>F6-E6</f>
        <v/>
      </c>
      <c r="H6" s="16">
        <f>IF(E6=0,"",F6/E6)</f>
        <v/>
      </c>
      <c r="I6" s="17" t="n">
        <v>209.5</v>
      </c>
      <c r="J6" s="8" t="inlineStr">
        <is>
          <t>2028 Job Detail Report.pdf (Sage Timberline, 04/03/2026, 190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35400</v>
      </c>
      <c r="E7" s="15" t="n">
        <v>18154</v>
      </c>
      <c r="F7" s="15" t="n">
        <v>17076</v>
      </c>
      <c r="G7" s="15">
        <f>F7-E7</f>
        <v/>
      </c>
      <c r="H7" s="16">
        <f>IF(E7=0,"",F7/E7)</f>
        <v/>
      </c>
      <c r="I7" s="17" t="n">
        <v>380</v>
      </c>
      <c r="J7" s="8" t="inlineStr">
        <is>
          <t>2028 Job Detail Report.pdf (Sage Timberline, 04/03/2026, 190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54560</v>
      </c>
      <c r="E8" s="15" t="n">
        <v>53331</v>
      </c>
      <c r="F8" s="15" t="n">
        <v>24769</v>
      </c>
      <c r="G8" s="15">
        <f>F8-E8</f>
        <v/>
      </c>
      <c r="H8" s="16">
        <f>IF(E8=0,"",F8/E8)</f>
        <v/>
      </c>
      <c r="I8" s="17" t="n">
        <v>962</v>
      </c>
      <c r="J8" s="8" t="inlineStr">
        <is>
          <t>2028 Job Detail Report.pdf (Sage Timberline, 04/03/2026, 190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108000</v>
      </c>
      <c r="E9" s="15" t="n">
        <v>109292</v>
      </c>
      <c r="F9" s="15" t="n">
        <v>46509</v>
      </c>
      <c r="G9" s="15">
        <f>F9-E9</f>
        <v/>
      </c>
      <c r="H9" s="16">
        <f>IF(E9=0,"",F9/E9)</f>
        <v/>
      </c>
      <c r="I9" s="17" t="n">
        <v>1862</v>
      </c>
      <c r="J9" s="8" t="inlineStr">
        <is>
          <t>2028 Job Detail Report.pdf (Sage Timberline, 04/03/2026, 190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11700</v>
      </c>
      <c r="E10" s="15" t="n">
        <v>11775</v>
      </c>
      <c r="F10" s="15" t="n">
        <v>12283</v>
      </c>
      <c r="G10" s="15">
        <f>F10-E10</f>
        <v/>
      </c>
      <c r="H10" s="16">
        <f>IF(E10=0,"",F10/E10)</f>
        <v/>
      </c>
      <c r="I10" s="17" t="n">
        <v>469</v>
      </c>
      <c r="J10" s="8" t="inlineStr">
        <is>
          <t>2028 Job Detail Report.pdf (Sage Timberline, 04/03/2026, 190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348060</v>
      </c>
      <c r="E11" s="15" t="n">
        <v>350306</v>
      </c>
      <c r="F11" s="15" t="n">
        <v>366998.59</v>
      </c>
      <c r="G11" s="15">
        <f>F11-E11</f>
        <v/>
      </c>
      <c r="H11" s="16">
        <f>IF(E11=0,"",F11/E11)</f>
        <v/>
      </c>
      <c r="I11" s="17" t="n">
        <v>16225</v>
      </c>
      <c r="J11" s="8" t="inlineStr">
        <is>
          <t>2028 Job Detail Report.pdf (Sage Timberline, 04/03/2026, 190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83600</v>
      </c>
      <c r="E12" s="15" t="n">
        <v>719.5</v>
      </c>
      <c r="F12" s="15" t="n">
        <v>719</v>
      </c>
      <c r="G12" s="15">
        <f>F12-E12</f>
        <v/>
      </c>
      <c r="H12" s="16">
        <f>IF(E12=0,"",F12/E12)</f>
        <v/>
      </c>
      <c r="I12" s="17" t="n">
        <v>19</v>
      </c>
      <c r="J12" s="8" t="inlineStr">
        <is>
          <t>2028 Job Detail Report.pdf (Sage Timberline, 04/03/2026, 190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14400</v>
      </c>
      <c r="E13" s="15" t="n">
        <v>14400</v>
      </c>
      <c r="F13" s="15" t="n">
        <v>10210.5</v>
      </c>
      <c r="G13" s="15">
        <f>F13-E13</f>
        <v/>
      </c>
      <c r="H13" s="16">
        <f>IF(E13=0,"",F13/E13)</f>
        <v/>
      </c>
      <c r="I13" s="17" t="n">
        <v>425.5</v>
      </c>
      <c r="J13" s="8" t="inlineStr">
        <is>
          <t>2028 Job Detail Report.pdf (Sage Timberline, 04/03/2026, 190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124740</v>
      </c>
      <c r="E14" s="15" t="n">
        <v>124740</v>
      </c>
      <c r="F14" s="15" t="n">
        <v>60276</v>
      </c>
      <c r="G14" s="15">
        <f>F14-E14</f>
        <v/>
      </c>
      <c r="H14" s="16">
        <f>IF(E14=0,"",F14/E14)</f>
        <v/>
      </c>
      <c r="I14" s="17" t="n">
        <v>2837</v>
      </c>
      <c r="J14" s="8" t="inlineStr">
        <is>
          <t>2028 Job Detail Report.pdf (Sage Timberline, 04/03/2026, 190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12500</v>
      </c>
      <c r="E15" s="15" t="n">
        <v>14310</v>
      </c>
      <c r="F15" s="15" t="n">
        <v>18210</v>
      </c>
      <c r="G15" s="15">
        <f>F15-E15</f>
        <v/>
      </c>
      <c r="H15" s="16">
        <f>IF(E15=0,"",F15/E15)</f>
        <v/>
      </c>
      <c r="I15" s="17" t="n">
        <v>664.5</v>
      </c>
      <c r="J15" s="8" t="inlineStr">
        <is>
          <t>2028 Job Detail Report.pdf (Sage Timberline, 04/03/2026, 190 pages)</t>
        </is>
      </c>
    </row>
    <row r="16">
      <c r="B16" s="14" t="inlineStr">
        <is>
          <t>143</t>
        </is>
      </c>
      <c r="C16" s="5" t="inlineStr">
        <is>
          <t>Condensation Drains Labor</t>
        </is>
      </c>
      <c r="D16" s="15" t="n">
        <v>0</v>
      </c>
      <c r="E16" s="15" t="n">
        <v>0</v>
      </c>
      <c r="F16" s="15" t="n">
        <v>905</v>
      </c>
      <c r="G16" s="15">
        <f>F16-E16</f>
        <v/>
      </c>
      <c r="H16" s="16">
        <f>IF(E16=0,"",F16/E16)</f>
        <v/>
      </c>
      <c r="I16" s="17" t="n">
        <v>37</v>
      </c>
      <c r="J16" s="8" t="inlineStr">
        <is>
          <t>2028 Job Detail Report.pdf (Sage Timberline, 04/03/2026, 190 pages)</t>
        </is>
      </c>
    </row>
    <row r="17">
      <c r="B17" s="14" t="inlineStr">
        <is>
          <t>150</t>
        </is>
      </c>
      <c r="C17" s="5" t="inlineStr">
        <is>
          <t>Warranty Labor</t>
        </is>
      </c>
      <c r="D17" s="15" t="n">
        <v>0</v>
      </c>
      <c r="E17" s="15" t="n">
        <v>0</v>
      </c>
      <c r="F17" s="15" t="n">
        <v>240.5</v>
      </c>
      <c r="G17" s="15">
        <f>F17-E17</f>
        <v/>
      </c>
      <c r="H17" s="16">
        <f>IF(E17=0,"",F17/E17)</f>
        <v/>
      </c>
      <c r="I17" s="17" t="n">
        <v>6.5</v>
      </c>
      <c r="J17" s="8" t="inlineStr">
        <is>
          <t>2028 Job Detail Report.pdf (Sage Timberline, 04/03/2026, 190 pages)</t>
        </is>
      </c>
    </row>
    <row r="18">
      <c r="B18" s="14" t="inlineStr">
        <is>
          <t>210</t>
        </is>
      </c>
      <c r="C18" s="5" t="inlineStr">
        <is>
          <t>Underground Material</t>
        </is>
      </c>
      <c r="D18" s="15" t="n">
        <v>62400</v>
      </c>
      <c r="E18" s="15" t="n">
        <v>58475</v>
      </c>
      <c r="F18" s="15" t="n">
        <v>19678.27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2028 Job Detail Report.pdf (Sage Timberline, 04/03/2026, 190 pages)</t>
        </is>
      </c>
    </row>
    <row r="19">
      <c r="B19" s="14" t="inlineStr">
        <is>
          <t>211</t>
        </is>
      </c>
      <c r="C19" s="5" t="inlineStr">
        <is>
          <t>Garage Material</t>
        </is>
      </c>
      <c r="D19" s="15" t="n">
        <v>79425</v>
      </c>
      <c r="E19" s="15" t="n">
        <v>80707</v>
      </c>
      <c r="F19" s="15" t="n">
        <v>41996.33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2028 Job Detail Report.pdf (Sage Timberline, 04/03/2026, 190 pages)</t>
        </is>
      </c>
    </row>
    <row r="20">
      <c r="B20" s="14" t="inlineStr">
        <is>
          <t>212</t>
        </is>
      </c>
      <c r="C20" s="5" t="inlineStr">
        <is>
          <t>Canout Material</t>
        </is>
      </c>
      <c r="D20" s="15" t="n">
        <v>17700</v>
      </c>
      <c r="E20" s="15" t="n">
        <v>17954</v>
      </c>
      <c r="F20" s="15" t="n">
        <v>9133.370000000001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2028 Job Detail Report.pdf (Sage Timberline, 04/03/2026, 190 pages)</t>
        </is>
      </c>
    </row>
    <row r="21">
      <c r="B21" s="14" t="inlineStr">
        <is>
          <t>220</t>
        </is>
      </c>
      <c r="C21" s="5" t="inlineStr">
        <is>
          <t>Roughin Material</t>
        </is>
      </c>
      <c r="D21" s="15" t="n">
        <v>149440</v>
      </c>
      <c r="E21" s="15" t="n">
        <v>151272</v>
      </c>
      <c r="F21" s="15" t="n">
        <v>77241.99000000001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2028 Job Detail Report.pdf (Sage Timberline, 04/03/2026, 190 pages)</t>
        </is>
      </c>
    </row>
    <row r="22">
      <c r="B22" s="14" t="inlineStr">
        <is>
          <t>230</t>
        </is>
      </c>
      <c r="C22" s="5" t="inlineStr">
        <is>
          <t>Finish Material</t>
        </is>
      </c>
      <c r="D22" s="15" t="n">
        <v>283585</v>
      </c>
      <c r="E22" s="15" t="n">
        <v>143340</v>
      </c>
      <c r="F22" s="15" t="n">
        <v>140999.27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2028 Job Detail Report.pdf (Sage Timberline, 04/03/2026, 190 pages)</t>
        </is>
      </c>
    </row>
    <row r="23">
      <c r="B23" s="14" t="inlineStr">
        <is>
          <t>240</t>
        </is>
      </c>
      <c r="C23" s="5" t="inlineStr">
        <is>
          <t>Gas Material</t>
        </is>
      </c>
      <c r="D23" s="15" t="n">
        <v>9600</v>
      </c>
      <c r="E23" s="15" t="n">
        <v>9600</v>
      </c>
      <c r="F23" s="15" t="n">
        <v>4382.08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2028 Job Detail Report.pdf (Sage Timberline, 04/03/2026, 190 pages)</t>
        </is>
      </c>
    </row>
    <row r="24">
      <c r="B24" s="14" t="inlineStr">
        <is>
          <t>241</t>
        </is>
      </c>
      <c r="C24" s="5" t="inlineStr">
        <is>
          <t>Water Main/Insulation Mat</t>
        </is>
      </c>
      <c r="D24" s="15" t="n">
        <v>148955</v>
      </c>
      <c r="E24" s="15" t="n">
        <v>148955</v>
      </c>
      <c r="F24" s="15" t="n">
        <v>97106.59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2028 Job Detail Report.pdf (Sage Timberline, 04/03/2026, 190 pages)</t>
        </is>
      </c>
    </row>
    <row r="25">
      <c r="B25" s="14" t="inlineStr">
        <is>
          <t>242</t>
        </is>
      </c>
      <c r="C25" s="5" t="inlineStr">
        <is>
          <t>Mech Room Material</t>
        </is>
      </c>
      <c r="D25" s="15" t="n">
        <v>75350</v>
      </c>
      <c r="E25" s="15" t="n">
        <v>84131</v>
      </c>
      <c r="F25" s="15" t="n">
        <v>68176.58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2028 Job Detail Report.pdf (Sage Timberline, 04/03/2026, 190 pages)</t>
        </is>
      </c>
    </row>
    <row r="26">
      <c r="B26" s="14" t="inlineStr">
        <is>
          <t>243</t>
        </is>
      </c>
      <c r="C26" s="5" t="inlineStr">
        <is>
          <t>Condensation Drains Mat</t>
        </is>
      </c>
      <c r="D26" s="15" t="n">
        <v>0</v>
      </c>
      <c r="E26" s="15" t="n">
        <v>0</v>
      </c>
      <c r="F26" s="15" t="n">
        <v>38.65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2028 Job Detail Report.pdf (Sage Timberline, 04/03/2026, 190 pages)</t>
        </is>
      </c>
    </row>
    <row r="27">
      <c r="B27" s="14" t="inlineStr">
        <is>
          <t>600</t>
        </is>
      </c>
      <c r="C27" s="5" t="inlineStr">
        <is>
          <t>Subcontractor</t>
        </is>
      </c>
      <c r="D27" s="15" t="n">
        <v>2500</v>
      </c>
      <c r="E27" s="15" t="n">
        <v>2500</v>
      </c>
      <c r="F27" s="15" t="n">
        <v>4405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2028 Job Detail Report.pdf (Sage Timberline, 04/03/2026, 190 pages)</t>
        </is>
      </c>
    </row>
    <row r="28">
      <c r="B28" s="14" t="inlineStr">
        <is>
          <t>601</t>
        </is>
      </c>
      <c r="C28" s="5" t="inlineStr">
        <is>
          <t>Engineering/Plans</t>
        </is>
      </c>
      <c r="D28" s="15" t="n">
        <v>25000</v>
      </c>
      <c r="E28" s="15" t="n">
        <v>25000</v>
      </c>
      <c r="F28" s="15" t="n">
        <v>20232.56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2028 Job Detail Report.pdf (Sage Timberline, 04/03/2026, 190 pages)</t>
        </is>
      </c>
    </row>
    <row r="29">
      <c r="B29" s="14" t="inlineStr">
        <is>
          <t>602</t>
        </is>
      </c>
      <c r="C29" s="5" t="inlineStr">
        <is>
          <t>Rental Equipment</t>
        </is>
      </c>
      <c r="D29" s="15" t="n">
        <v>6000</v>
      </c>
      <c r="E29" s="15" t="n">
        <v>6000</v>
      </c>
      <c r="F29" s="15" t="n">
        <v>1758.76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2028 Job Detail Report.pdf (Sage Timberline, 04/03/2026, 190 pages)</t>
        </is>
      </c>
    </row>
    <row r="30">
      <c r="B30" s="14" t="inlineStr">
        <is>
          <t>603</t>
        </is>
      </c>
      <c r="C30" s="5" t="inlineStr">
        <is>
          <t>Permits &amp; Licenses</t>
        </is>
      </c>
      <c r="D30" s="15" t="n">
        <v>24000</v>
      </c>
      <c r="E30" s="15" t="n">
        <v>24000</v>
      </c>
      <c r="F30" s="15" t="n">
        <v>22287.6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2028 Job Detail Report.pdf (Sage Timberline, 04/03/2026, 190 pages)</t>
        </is>
      </c>
    </row>
    <row r="31">
      <c r="B31" s="14" t="inlineStr">
        <is>
          <t>607</t>
        </is>
      </c>
      <c r="C31" s="5" t="inlineStr">
        <is>
          <t>Other Expenses</t>
        </is>
      </c>
      <c r="D31" s="15" t="n">
        <v>10000</v>
      </c>
      <c r="E31" s="15" t="n">
        <v>300</v>
      </c>
      <c r="F31" s="15" t="n">
        <v>226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2028 Job Detail Report.pdf (Sage Timberline, 04/03/2026, 190 pages)</t>
        </is>
      </c>
    </row>
    <row r="32">
      <c r="B32" s="14" t="inlineStr">
        <is>
          <t>995</t>
        </is>
      </c>
      <c r="C32" s="5" t="inlineStr">
        <is>
          <t>Payroll Burden</t>
        </is>
      </c>
      <c r="D32" s="15" t="n">
        <v>352418.16</v>
      </c>
      <c r="E32" s="15" t="n">
        <v>306897.99</v>
      </c>
      <c r="F32" s="15" t="n">
        <v>252329.63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2028 Job Detail Report.pdf (Sage Timberline, 04/03/2026, 190 pages)</t>
        </is>
      </c>
    </row>
    <row r="33">
      <c r="B33" s="14" t="inlineStr">
        <is>
          <t>998</t>
        </is>
      </c>
      <c r="C33" s="5" t="inlineStr">
        <is>
          <t>Payroll Taxes</t>
        </is>
      </c>
      <c r="D33" s="15" t="n">
        <v>62191.44</v>
      </c>
      <c r="E33" s="15" t="n">
        <v>54147.36</v>
      </c>
      <c r="F33" s="15" t="n">
        <v>43634.33</v>
      </c>
      <c r="G33" s="15">
        <f>F33-E33</f>
        <v/>
      </c>
      <c r="H33" s="16">
        <f>IF(E33=0,"",F33/E33)</f>
        <v/>
      </c>
      <c r="I33" s="17" t="inlineStr"/>
      <c r="J33" s="8" t="inlineStr">
        <is>
          <t>2028 Job Detail Report.pdf (Sage Timberline, 04/03/2026, 190 pages)</t>
        </is>
      </c>
    </row>
    <row r="34">
      <c r="B34" s="14" t="inlineStr">
        <is>
          <t>999</t>
        </is>
      </c>
      <c r="C34" s="5" t="inlineStr">
        <is>
          <t>Sales</t>
        </is>
      </c>
      <c r="D34" s="15" t="n">
        <v>-2979880</v>
      </c>
      <c r="E34" s="15" t="n">
        <v>-2684887</v>
      </c>
      <c r="F34" s="15" t="n">
        <v>-2684887</v>
      </c>
      <c r="G34" s="15">
        <f>F34-E34</f>
        <v/>
      </c>
      <c r="H34" s="16">
        <f>IF(E34=0,"",F34/E34)</f>
        <v/>
      </c>
      <c r="I34" s="17" t="inlineStr"/>
      <c r="J34" s="8" t="inlineStr">
        <is>
          <t>2028 Job Detail Report.pdf (Sage Timberline, 04/03/2026, 190 pages)</t>
        </is>
      </c>
    </row>
    <row r="35">
      <c r="B35" s="18" t="inlineStr">
        <is>
          <t>TOTAL</t>
        </is>
      </c>
      <c r="D35" s="19">
        <f>SUM(D6:D34)</f>
        <v/>
      </c>
      <c r="E35" s="19">
        <f>SUM(E6:E34)</f>
        <v/>
      </c>
      <c r="F35" s="19">
        <f>SUM(F6:F34)</f>
        <v/>
      </c>
      <c r="G35" s="19">
        <f>F35-E35</f>
        <v/>
      </c>
      <c r="I35" s="10">
        <f>SUM(I6:I34)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</t>
        </is>
      </c>
      <c r="D6" s="20" t="n">
        <v>566505.5900000001</v>
      </c>
      <c r="E6" s="16">
        <f>D6/$D$11</f>
        <v/>
      </c>
      <c r="F6" s="16">
        <f>D6/2684887.0</f>
        <v/>
      </c>
      <c r="G6" s="8" t="inlineStr">
        <is>
          <t>2028 Job Detail Report.pdf (Sage Timberline, 04/03/2026, 190 pages)</t>
        </is>
      </c>
    </row>
    <row r="7">
      <c r="B7" s="4" t="inlineStr">
        <is>
          <t>Material</t>
        </is>
      </c>
      <c r="C7" s="14" t="inlineStr">
        <is>
          <t>210,211,212,220,230,240,241,242</t>
        </is>
      </c>
      <c r="D7" s="20" t="n">
        <v>458714.48</v>
      </c>
      <c r="E7" s="16">
        <f>D7/$D$11</f>
        <v/>
      </c>
      <c r="F7" s="16">
        <f>D7/2684887.0</f>
        <v/>
      </c>
      <c r="G7" s="8" t="inlineStr">
        <is>
          <t>2028 Job Detail Report.pdf (Sage Timberline, 04/03/2026, 190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48909.92</v>
      </c>
      <c r="E8" s="16">
        <f>D8/$D$11</f>
        <v/>
      </c>
      <c r="F8" s="16">
        <f>D8/2684887.0</f>
        <v/>
      </c>
      <c r="G8" s="8" t="inlineStr">
        <is>
          <t>2028 Job Detail Report.pdf (Sage Timberline, 04/03/2026, 190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252329.63</v>
      </c>
      <c r="E9" s="16">
        <f>D9/$D$11</f>
        <v/>
      </c>
      <c r="F9" s="16">
        <f>D9/2684887.0</f>
        <v/>
      </c>
      <c r="G9" s="8" t="inlineStr">
        <is>
          <t>2028 Job Detail Report.pdf (Sage Timberline, 04/03/2026, 190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43634.33</v>
      </c>
      <c r="E10" s="16">
        <f>D10/$D$11</f>
        <v/>
      </c>
      <c r="F10" s="16">
        <f>D10/2684887.0</f>
        <v/>
      </c>
      <c r="G10" s="8" t="inlineStr">
        <is>
          <t>2028 Job Detail Report.pdf (Sage Timberline, 04/03/2026, 190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D11/2684887.0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2028FE</t>
        </is>
      </c>
      <c r="C6" s="5" t="inlineStr">
        <is>
          <t>Ferguson Enterprises, Inc. $Reserve@Lynn</t>
        </is>
      </c>
      <c r="D6" s="15" t="n">
        <v>133734.6199999999</v>
      </c>
      <c r="E6" s="14" t="n">
        <v>42</v>
      </c>
      <c r="F6" s="14" t="inlineStr">
        <is>
          <t>Plumbing / Supplies</t>
        </is>
      </c>
      <c r="G6" s="8" t="inlineStr">
        <is>
          <t>2028 Job Detail Report.pdf (Sage Timberline, 04/03/2026, 190 pages)</t>
        </is>
      </c>
    </row>
    <row r="7">
      <c r="B7" s="14" t="inlineStr">
        <is>
          <t>2028RS</t>
        </is>
      </c>
      <c r="C7" s="5" t="inlineStr">
        <is>
          <t>Rosen Supply Company $Reserve@Lynnwood</t>
        </is>
      </c>
      <c r="D7" s="15" t="n">
        <v>117180.14</v>
      </c>
      <c r="E7" s="14" t="n">
        <v>107</v>
      </c>
      <c r="F7" s="14" t="inlineStr">
        <is>
          <t>Plumbing / Supplies</t>
        </is>
      </c>
      <c r="G7" s="8" t="inlineStr">
        <is>
          <t>2028 Job Detail Report.pdf (Sage Timberline, 04/03/2026, 190 pages)</t>
        </is>
      </c>
    </row>
    <row r="8">
      <c r="B8" s="14" t="inlineStr">
        <is>
          <t>2028CS</t>
        </is>
      </c>
      <c r="C8" s="5" t="inlineStr">
        <is>
          <t>Consolidated Supply Co.$Reserve@Lynnwood</t>
        </is>
      </c>
      <c r="D8" s="15" t="n">
        <v>83009.23000000003</v>
      </c>
      <c r="E8" s="14" t="n">
        <v>52</v>
      </c>
      <c r="F8" s="14" t="inlineStr">
        <is>
          <t>Plumbing / Supplies</t>
        </is>
      </c>
      <c r="G8" s="8" t="inlineStr">
        <is>
          <t>2028 Job Detail Report.pdf (Sage Timberline, 04/03/2026, 190 pages)</t>
        </is>
      </c>
    </row>
    <row r="9">
      <c r="B9" s="14" t="inlineStr">
        <is>
          <t>2028KS</t>
        </is>
      </c>
      <c r="C9" s="5" t="inlineStr">
        <is>
          <t>Keller Supply Company $Reserve@Lynnwood</t>
        </is>
      </c>
      <c r="D9" s="15" t="n">
        <v>31988.36000000001</v>
      </c>
      <c r="E9" s="14" t="n">
        <v>47</v>
      </c>
      <c r="F9" s="14" t="inlineStr">
        <is>
          <t>Plumbing / Supplies</t>
        </is>
      </c>
      <c r="G9" s="8" t="inlineStr">
        <is>
          <t>2028 Job Detail Report.pdf (Sage Timberline, 04/03/2026, 190 pages)</t>
        </is>
      </c>
    </row>
    <row r="10">
      <c r="B10" s="14" t="inlineStr">
        <is>
          <t>1625FE</t>
        </is>
      </c>
      <c r="C10" s="5" t="inlineStr">
        <is>
          <t>Franklin Engineering</t>
        </is>
      </c>
      <c r="D10" s="15" t="n">
        <v>18771</v>
      </c>
      <c r="E10" s="14" t="n">
        <v>3</v>
      </c>
      <c r="F10" s="14" t="inlineStr">
        <is>
          <t>Engineering (601)</t>
        </is>
      </c>
      <c r="G10" s="8" t="inlineStr">
        <is>
          <t>2028 Job Detail Report.pdf (Sage Timberline, 04/03/2026, 190 pages)</t>
        </is>
      </c>
    </row>
    <row r="11">
      <c r="B11" s="14" t="inlineStr">
        <is>
          <t>1126SS</t>
        </is>
      </c>
      <c r="C11" s="5" t="inlineStr">
        <is>
          <t>Specification Sales, Inc.</t>
        </is>
      </c>
      <c r="D11" s="15" t="n">
        <v>12844</v>
      </c>
      <c r="E11" s="14" t="n">
        <v>1</v>
      </c>
      <c r="F11" s="14" t="inlineStr">
        <is>
          <t>Uncategorized</t>
        </is>
      </c>
      <c r="G11" s="8" t="inlineStr">
        <is>
          <t>2028 Job Detail Report.pdf (Sage Timberline, 04/03/2026, 190 pages)</t>
        </is>
      </c>
    </row>
    <row r="12">
      <c r="B12" s="14" t="inlineStr">
        <is>
          <t>1609QC</t>
        </is>
      </c>
      <c r="C12" s="5" t="inlineStr">
        <is>
          <t>Quality Concrete Products, Inc. $32</t>
        </is>
      </c>
      <c r="D12" s="15" t="n">
        <v>6295</v>
      </c>
      <c r="E12" s="14" t="n">
        <v>3</v>
      </c>
      <c r="F12" s="14" t="inlineStr">
        <is>
          <t>Uncategorized</t>
        </is>
      </c>
      <c r="G12" s="8" t="inlineStr">
        <is>
          <t>2028 Job Detail Report.pdf (Sage Timberline, 04/03/2026, 190 pages)</t>
        </is>
      </c>
    </row>
    <row r="13">
      <c r="B13" s="14" t="inlineStr">
        <is>
          <t>3612MS</t>
        </is>
      </c>
      <c r="C13" s="5" t="inlineStr">
        <is>
          <t>Mechanical Sales, Inc.</t>
        </is>
      </c>
      <c r="D13" s="15" t="n">
        <v>3819</v>
      </c>
      <c r="E13" s="14" t="n">
        <v>2</v>
      </c>
      <c r="F13" s="14" t="inlineStr">
        <is>
          <t>Plumbing / Supplies</t>
        </is>
      </c>
      <c r="G13" s="8" t="inlineStr">
        <is>
          <t>2028 Job Detail Report.pdf (Sage Timberline, 04/03/2026, 190 pages)</t>
        </is>
      </c>
    </row>
    <row r="14">
      <c r="B14" s="14" t="inlineStr">
        <is>
          <t>4320MC</t>
        </is>
      </c>
      <c r="C14" s="5" t="inlineStr">
        <is>
          <t>MAD Concrete Cutting &amp; Coring, Inc.</t>
        </is>
      </c>
      <c r="D14" s="15" t="n">
        <v>2530</v>
      </c>
      <c r="E14" s="14" t="n">
        <v>3</v>
      </c>
      <c r="F14" s="14" t="inlineStr">
        <is>
          <t>Uncategorized</t>
        </is>
      </c>
      <c r="G14" s="8" t="inlineStr">
        <is>
          <t>2028 Job Detail Report.pdf (Sage Timberline, 04/03/2026, 190 pages)</t>
        </is>
      </c>
    </row>
    <row r="15">
      <c r="B15" s="14" t="inlineStr">
        <is>
          <t>5919PW</t>
        </is>
      </c>
      <c r="C15" s="5" t="inlineStr">
        <is>
          <t>Patchworks, Inc.</t>
        </is>
      </c>
      <c r="D15" s="15" t="n">
        <v>1875</v>
      </c>
      <c r="E15" s="14" t="n">
        <v>1</v>
      </c>
      <c r="F15" s="14" t="inlineStr">
        <is>
          <t>Uncategorized</t>
        </is>
      </c>
      <c r="G15" s="8" t="inlineStr">
        <is>
          <t>2028 Job Detail Report.pdf (Sage Timberline, 04/03/2026, 190 pages)</t>
        </is>
      </c>
    </row>
    <row r="16">
      <c r="B16" s="14" t="inlineStr">
        <is>
          <t>7200UR</t>
        </is>
      </c>
      <c r="C16" s="5" t="inlineStr">
        <is>
          <t>United Rentals, Inc.</t>
        </is>
      </c>
      <c r="D16" s="15" t="n">
        <v>1758.76</v>
      </c>
      <c r="E16" s="14" t="n">
        <v>7</v>
      </c>
      <c r="F16" s="14" t="inlineStr">
        <is>
          <t>Uncategorized</t>
        </is>
      </c>
      <c r="G16" s="8" t="inlineStr">
        <is>
          <t>2028 Job Detail Report.pdf (Sage Timberline, 04/03/2026, 190 pages)</t>
        </is>
      </c>
    </row>
    <row r="17">
      <c r="B17" s="14" t="inlineStr">
        <is>
          <t>8068MI</t>
        </is>
      </c>
      <c r="C17" s="5" t="inlineStr">
        <is>
          <t>Kele, Inc $ MI Controls</t>
        </is>
      </c>
      <c r="D17" s="15" t="n">
        <v>1635.61</v>
      </c>
      <c r="E17" s="14" t="n">
        <v>2</v>
      </c>
      <c r="F17" s="14" t="inlineStr">
        <is>
          <t>Uncategorized</t>
        </is>
      </c>
      <c r="G17" s="8" t="inlineStr">
        <is>
          <t>2028 Job Detail Report.pdf (Sage Timberline, 04/03/2026, 190 pages)</t>
        </is>
      </c>
    </row>
    <row r="18">
      <c r="B18" s="14" t="inlineStr">
        <is>
          <t>1288DR</t>
        </is>
      </c>
      <c r="C18" s="5" t="inlineStr">
        <is>
          <t>DRSi</t>
        </is>
      </c>
      <c r="D18" s="15" t="n">
        <v>1409.16</v>
      </c>
      <c r="E18" s="14" t="n">
        <v>3</v>
      </c>
      <c r="F18" s="14" t="inlineStr">
        <is>
          <t>Uncategorized</t>
        </is>
      </c>
      <c r="G18" s="8" t="inlineStr">
        <is>
          <t>2028 Job Detail Report.pdf (Sage Timberline, 04/03/2026, 190 pages)</t>
        </is>
      </c>
    </row>
    <row r="19">
      <c r="B19" s="14" t="inlineStr">
        <is>
          <t>2132MH</t>
        </is>
      </c>
      <c r="C19" s="5" t="inlineStr">
        <is>
          <t>Manor Hardware &amp; Construction Supply</t>
        </is>
      </c>
      <c r="D19" s="15" t="n">
        <v>1199.52</v>
      </c>
      <c r="E19" s="14" t="n">
        <v>4</v>
      </c>
      <c r="F19" s="14" t="inlineStr">
        <is>
          <t>Plumbing / Supplies</t>
        </is>
      </c>
      <c r="G19" s="8" t="inlineStr">
        <is>
          <t>2028 Job Detail Report.pdf (Sage Timberline, 04/03/2026, 190 pages)</t>
        </is>
      </c>
    </row>
    <row r="20">
      <c r="B20" s="14" t="inlineStr">
        <is>
          <t>5621HD</t>
        </is>
      </c>
      <c r="C20" s="5" t="inlineStr">
        <is>
          <t>Core &amp; Main LP $HD Supply Waterworks</t>
        </is>
      </c>
      <c r="D20" s="15" t="n">
        <v>935.3499999999998</v>
      </c>
      <c r="E20" s="14" t="n">
        <v>5</v>
      </c>
      <c r="F20" s="14" t="inlineStr">
        <is>
          <t>Plumbing / Supplies</t>
        </is>
      </c>
      <c r="G20" s="8" t="inlineStr">
        <is>
          <t>2028 Job Detail Report.pdf (Sage Timberline, 04/03/2026, 190 pages)</t>
        </is>
      </c>
    </row>
    <row r="21">
      <c r="B21" s="14" t="inlineStr">
        <is>
          <t>1303CM</t>
        </is>
      </c>
      <c r="C21" s="5" t="inlineStr">
        <is>
          <t>C.M. Hoskins Company</t>
        </is>
      </c>
      <c r="D21" s="15" t="n">
        <v>677.45</v>
      </c>
      <c r="E21" s="14" t="n">
        <v>2</v>
      </c>
      <c r="F21" s="14" t="inlineStr">
        <is>
          <t>Uncategorized</t>
        </is>
      </c>
      <c r="G21" s="8" t="inlineStr">
        <is>
          <t>2028 Job Detail Report.pdf (Sage Timberline, 04/03/2026, 190 pages)</t>
        </is>
      </c>
    </row>
    <row r="22">
      <c r="B22" s="14" t="inlineStr">
        <is>
          <t>1380RS</t>
        </is>
      </c>
      <c r="C22" s="5" t="inlineStr">
        <is>
          <t>Rosen Supply Kirkland</t>
        </is>
      </c>
      <c r="D22" s="15" t="n">
        <v>580.0699999999999</v>
      </c>
      <c r="E22" s="14" t="n">
        <v>4</v>
      </c>
      <c r="F22" s="14" t="inlineStr">
        <is>
          <t>Plumbing / Supplies</t>
        </is>
      </c>
      <c r="G22" s="8" t="inlineStr">
        <is>
          <t>2028 Job Detail Report.pdf (Sage Timberline, 04/03/2026, 190 pages)</t>
        </is>
      </c>
    </row>
    <row r="23">
      <c r="B23" s="14" t="inlineStr">
        <is>
          <t>1234CO</t>
        </is>
      </c>
      <c r="C23" s="5" t="inlineStr">
        <is>
          <t>Capital One Credit Card</t>
        </is>
      </c>
      <c r="D23" s="15" t="n">
        <v>362.9</v>
      </c>
      <c r="E23" s="14" t="n">
        <v>4</v>
      </c>
      <c r="F23" s="14" t="inlineStr">
        <is>
          <t>Credit Card (mixed)</t>
        </is>
      </c>
      <c r="G23" s="8" t="inlineStr">
        <is>
          <t>2028 Job Detail Report.pdf (Sage Timberline, 04/03/2026, 190 pages)</t>
        </is>
      </c>
    </row>
    <row r="24">
      <c r="B24" s="14" t="inlineStr">
        <is>
          <t>1231KS</t>
        </is>
      </c>
      <c r="C24" s="5" t="inlineStr">
        <is>
          <t>Keller Supply Company</t>
        </is>
      </c>
      <c r="D24" s="15" t="n">
        <v>186.51</v>
      </c>
      <c r="E24" s="14" t="n">
        <v>2</v>
      </c>
      <c r="F24" s="14" t="inlineStr">
        <is>
          <t>Plumbing / Supplies</t>
        </is>
      </c>
      <c r="G24" s="8" t="inlineStr">
        <is>
          <t>2028 Job Detail Report.pdf (Sage Timberline, 04/03/2026, 190 pages)</t>
        </is>
      </c>
    </row>
    <row r="25">
      <c r="B25" s="14" t="inlineStr">
        <is>
          <t>1978FC</t>
        </is>
      </c>
      <c r="C25" s="5" t="inlineStr">
        <is>
          <t>Fastenal Company</t>
        </is>
      </c>
      <c r="D25" s="15" t="n">
        <v>113.75</v>
      </c>
      <c r="E25" s="14" t="n">
        <v>3</v>
      </c>
      <c r="F25" s="14" t="inlineStr">
        <is>
          <t>Uncategorized</t>
        </is>
      </c>
      <c r="G25" s="8" t="inlineStr">
        <is>
          <t>2028 Job Detail Report.pdf (Sage Timberline, 04/03/2026, 190 pages)</t>
        </is>
      </c>
    </row>
    <row r="26">
      <c r="B26" s="14" t="inlineStr">
        <is>
          <t>1175FE</t>
        </is>
      </c>
      <c r="C26" s="5" t="inlineStr">
        <is>
          <t>Ferguson Enterprises, Inc. #3007</t>
        </is>
      </c>
      <c r="D26" s="15" t="n">
        <v>111.88</v>
      </c>
      <c r="E26" s="14" t="n">
        <v>2</v>
      </c>
      <c r="F26" s="14" t="inlineStr">
        <is>
          <t>Plumbing / Supplies</t>
        </is>
      </c>
      <c r="G26" s="8" t="inlineStr">
        <is>
          <t>2028 Job Detail Report.pdf (Sage Timberline, 04/03/2026, 190 pages)</t>
        </is>
      </c>
    </row>
    <row r="27">
      <c r="B27" s="14" t="inlineStr">
        <is>
          <t>2027RS</t>
        </is>
      </c>
      <c r="C27" s="5" t="inlineStr">
        <is>
          <t>Rosen Supply Company, Inc. $550 Broadway</t>
        </is>
      </c>
      <c r="D27" s="15" t="n">
        <v>0</v>
      </c>
      <c r="E27" s="14" t="n">
        <v>2</v>
      </c>
      <c r="F27" s="14" t="inlineStr">
        <is>
          <t>Plumbing / Supplies</t>
        </is>
      </c>
      <c r="G27" s="8" t="inlineStr">
        <is>
          <t>2028 Job Detail Report.pdf (Sage Timberline, 04/03/2026, 190 pages)</t>
        </is>
      </c>
    </row>
    <row r="28">
      <c r="B28" s="14" t="inlineStr">
        <is>
          <t>2027KS</t>
        </is>
      </c>
      <c r="C28" s="5" t="inlineStr">
        <is>
          <t>Keller Supply Company $550 Broadway</t>
        </is>
      </c>
      <c r="D28" s="15" t="n">
        <v>0</v>
      </c>
      <c r="E28" s="14" t="n">
        <v>2</v>
      </c>
      <c r="F28" s="14" t="inlineStr">
        <is>
          <t>Plumbing / Supplies</t>
        </is>
      </c>
      <c r="G28" s="8" t="inlineStr">
        <is>
          <t>2028 Job Detail Report.pdf (Sage Timberline, 04/03/2026, 190 pages)</t>
        </is>
      </c>
    </row>
    <row r="29">
      <c r="B29" s="14" t="inlineStr">
        <is>
          <t>1130CS</t>
        </is>
      </c>
      <c r="C29" s="5" t="inlineStr">
        <is>
          <t>Consolidated Supply Co.</t>
        </is>
      </c>
      <c r="D29" s="15" t="n">
        <v>-68.29000000000001</v>
      </c>
      <c r="E29" s="14" t="n">
        <v>1</v>
      </c>
      <c r="F29" s="14" t="inlineStr">
        <is>
          <t>Plumbing / Supplies</t>
        </is>
      </c>
      <c r="G29" s="8" t="inlineStr">
        <is>
          <t>2028 Job Detail Report.pdf (Sage Timberline, 04/03/2026, 190 pages)</t>
        </is>
      </c>
    </row>
    <row r="30">
      <c r="B30" s="18" t="inlineStr">
        <is>
          <t>TOTAL</t>
        </is>
      </c>
      <c r="D30" s="21">
        <f>SUM(D6:D29)</f>
        <v/>
      </c>
      <c r="E30" s="23">
        <f>SUM(E6:E29)</f>
        <v/>
      </c>
    </row>
    <row r="32">
      <c r="B32" s="24" t="inlineStr">
        <is>
          <t>NOTE: AP total per JDR footer = $420,949.02. Vendor sum above approximates this. Submittals folder (Submittals/) contains 19 fixture + 10 material + 1 UG submittal documenting approved products. POs folder shows 82 POs (7 placed, 19 scheduled, 56 completed).</t>
        </is>
      </c>
      <c r="C32" s="6" t="n"/>
      <c r="D32" s="6" t="n"/>
      <c r="E32" s="6" t="n"/>
      <c r="F32" s="6" t="n"/>
      <c r="G32" s="7" t="n"/>
    </row>
  </sheetData>
  <mergeCells count="3">
    <mergeCell ref="B32:G3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45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QU35</t>
        </is>
      </c>
      <c r="C6" s="5" t="inlineStr">
        <is>
          <t>Quintanilla, Esteban R</t>
        </is>
      </c>
      <c r="D6" s="17" t="n">
        <v>1409.5</v>
      </c>
      <c r="E6" s="20" t="n">
        <v>45272.5</v>
      </c>
      <c r="F6" s="20">
        <f>IF(D6=0,0,E6/D6)</f>
        <v/>
      </c>
      <c r="G6" s="14" t="n">
        <v>37</v>
      </c>
      <c r="H6" s="8" t="inlineStr">
        <is>
          <t>2028 Job Detail Report.pdf (Sage Timberline, 04/03/2026, 190 pages)</t>
        </is>
      </c>
    </row>
    <row r="7">
      <c r="B7" s="14" t="inlineStr">
        <is>
          <t>MO56</t>
        </is>
      </c>
      <c r="C7" s="5" t="inlineStr">
        <is>
          <t>Montenegro, Carlos E</t>
        </is>
      </c>
      <c r="D7" s="17" t="n">
        <v>1288</v>
      </c>
      <c r="E7" s="20" t="n">
        <v>27522.5</v>
      </c>
      <c r="F7" s="20">
        <f>IF(D7=0,0,E7/D7)</f>
        <v/>
      </c>
      <c r="G7" s="14" t="n">
        <v>39</v>
      </c>
      <c r="H7" s="8" t="inlineStr">
        <is>
          <t>2028 Job Detail Report.pdf (Sage Timberline, 04/03/2026, 190 pages)</t>
        </is>
      </c>
    </row>
    <row r="8">
      <c r="B8" s="14" t="inlineStr">
        <is>
          <t>BE54</t>
        </is>
      </c>
      <c r="C8" s="5" t="inlineStr">
        <is>
          <t>Benites Portillo, Marvin E</t>
        </is>
      </c>
      <c r="D8" s="17" t="n">
        <v>1244.5</v>
      </c>
      <c r="E8" s="20" t="n">
        <v>20341</v>
      </c>
      <c r="F8" s="20">
        <f>IF(D8=0,0,E8/D8)</f>
        <v/>
      </c>
      <c r="G8" s="14" t="n">
        <v>36</v>
      </c>
      <c r="H8" s="8" t="inlineStr">
        <is>
          <t>2028 Job Detail Report.pdf (Sage Timberline, 04/03/2026, 190 pages)</t>
        </is>
      </c>
    </row>
    <row r="9">
      <c r="B9" s="14" t="inlineStr">
        <is>
          <t>RI87</t>
        </is>
      </c>
      <c r="C9" s="5" t="inlineStr">
        <is>
          <t>Rivera, Jorge A</t>
        </is>
      </c>
      <c r="D9" s="17" t="n">
        <v>1200.5</v>
      </c>
      <c r="E9" s="20" t="n">
        <v>30465</v>
      </c>
      <c r="F9" s="20">
        <f>IF(D9=0,0,E9/D9)</f>
        <v/>
      </c>
      <c r="G9" s="14" t="n">
        <v>37</v>
      </c>
      <c r="H9" s="8" t="inlineStr">
        <is>
          <t>2028 Job Detail Report.pdf (Sage Timberline, 04/03/2026, 190 pages)</t>
        </is>
      </c>
    </row>
    <row r="10">
      <c r="B10" s="14" t="inlineStr">
        <is>
          <t>GO56</t>
        </is>
      </c>
      <c r="C10" s="5" t="inlineStr">
        <is>
          <t>Gonzalez Hernandez, Josue</t>
        </is>
      </c>
      <c r="D10" s="17" t="n">
        <v>1094</v>
      </c>
      <c r="E10" s="20" t="n">
        <v>20716</v>
      </c>
      <c r="F10" s="20">
        <f>IF(D10=0,0,E10/D10)</f>
        <v/>
      </c>
      <c r="G10" s="14" t="n">
        <v>29</v>
      </c>
      <c r="H10" s="8" t="inlineStr">
        <is>
          <t>2028 Job Detail Report.pdf (Sage Timberline, 04/03/2026, 190 pages)</t>
        </is>
      </c>
    </row>
    <row r="11">
      <c r="B11" s="14" t="inlineStr">
        <is>
          <t>GE71</t>
        </is>
      </c>
      <c r="C11" s="5" t="inlineStr">
        <is>
          <t>Gerard, Mitchell J</t>
        </is>
      </c>
      <c r="D11" s="17" t="n">
        <v>1006.5</v>
      </c>
      <c r="E11" s="20" t="n">
        <v>22052.5</v>
      </c>
      <c r="F11" s="20">
        <f>IF(D11=0,0,E11/D11)</f>
        <v/>
      </c>
      <c r="G11" s="14" t="n">
        <v>33</v>
      </c>
      <c r="H11" s="8" t="inlineStr">
        <is>
          <t>2028 Job Detail Report.pdf (Sage Timberline, 04/03/2026, 190 pages)</t>
        </is>
      </c>
    </row>
    <row r="12">
      <c r="B12" s="14" t="inlineStr">
        <is>
          <t>LI49</t>
        </is>
      </c>
      <c r="C12" s="5" t="inlineStr">
        <is>
          <t>Lima Romero, Melvin A</t>
        </is>
      </c>
      <c r="D12" s="17" t="n">
        <v>981</v>
      </c>
      <c r="E12" s="20" t="n">
        <v>24943.5</v>
      </c>
      <c r="F12" s="20">
        <f>IF(D12=0,0,E12/D12)</f>
        <v/>
      </c>
      <c r="G12" s="14" t="n">
        <v>27</v>
      </c>
      <c r="H12" s="8" t="inlineStr">
        <is>
          <t>2028 Job Detail Report.pdf (Sage Timberline, 04/03/2026, 190 pages)</t>
        </is>
      </c>
    </row>
    <row r="13">
      <c r="B13" s="14" t="inlineStr">
        <is>
          <t>CO71</t>
        </is>
      </c>
      <c r="C13" s="5" t="inlineStr">
        <is>
          <t>Cortes Mendiola, Victor H</t>
        </is>
      </c>
      <c r="D13" s="17" t="n">
        <v>957</v>
      </c>
      <c r="E13" s="20" t="n">
        <v>33495</v>
      </c>
      <c r="F13" s="20">
        <f>IF(D13=0,0,E13/D13)</f>
        <v/>
      </c>
      <c r="G13" s="14" t="n">
        <v>27</v>
      </c>
      <c r="H13" s="8" t="inlineStr">
        <is>
          <t>2028 Job Detail Report.pdf (Sage Timberline, 04/03/2026, 190 pages)</t>
        </is>
      </c>
    </row>
    <row r="14">
      <c r="B14" s="14" t="inlineStr">
        <is>
          <t>PA11</t>
        </is>
      </c>
      <c r="C14" s="5" t="inlineStr">
        <is>
          <t>Paco Leyva, Orlando</t>
        </is>
      </c>
      <c r="D14" s="17" t="n">
        <v>957</v>
      </c>
      <c r="E14" s="20" t="n">
        <v>24355.5</v>
      </c>
      <c r="F14" s="20">
        <f>IF(D14=0,0,E14/D14)</f>
        <v/>
      </c>
      <c r="G14" s="14" t="n">
        <v>26</v>
      </c>
      <c r="H14" s="8" t="inlineStr">
        <is>
          <t>2028 Job Detail Report.pdf (Sage Timberline, 04/03/2026, 190 pages)</t>
        </is>
      </c>
    </row>
    <row r="15">
      <c r="B15" s="14" t="inlineStr">
        <is>
          <t>BA45</t>
        </is>
      </c>
      <c r="C15" s="5" t="inlineStr">
        <is>
          <t>Balderas Ortiz, Ricardo I</t>
        </is>
      </c>
      <c r="D15" s="17" t="n">
        <v>875</v>
      </c>
      <c r="E15" s="20" t="n">
        <v>18086.5</v>
      </c>
      <c r="F15" s="20">
        <f>IF(D15=0,0,E15/D15)</f>
        <v/>
      </c>
      <c r="G15" s="14" t="n">
        <v>25</v>
      </c>
      <c r="H15" s="8" t="inlineStr">
        <is>
          <t>2028 Job Detail Report.pdf (Sage Timberline, 04/03/2026, 190 pages)</t>
        </is>
      </c>
    </row>
    <row r="16">
      <c r="B16" s="14" t="inlineStr">
        <is>
          <t>GE70</t>
        </is>
      </c>
      <c r="C16" s="5" t="inlineStr">
        <is>
          <t>Gerard, Jordan E</t>
        </is>
      </c>
      <c r="D16" s="17" t="n">
        <v>864</v>
      </c>
      <c r="E16" s="20" t="n">
        <v>16873</v>
      </c>
      <c r="F16" s="20">
        <f>IF(D16=0,0,E16/D16)</f>
        <v/>
      </c>
      <c r="G16" s="14" t="n">
        <v>27</v>
      </c>
      <c r="H16" s="8" t="inlineStr">
        <is>
          <t>2028 Job Detail Report.pdf (Sage Timberline, 04/03/2026, 190 pages)</t>
        </is>
      </c>
    </row>
    <row r="17">
      <c r="B17" s="14" t="inlineStr">
        <is>
          <t>VE42</t>
        </is>
      </c>
      <c r="C17" s="5" t="inlineStr">
        <is>
          <t>Velasquez Cruz, Denis M</t>
        </is>
      </c>
      <c r="D17" s="17" t="n">
        <v>816.5</v>
      </c>
      <c r="E17" s="20" t="n">
        <v>16583.5</v>
      </c>
      <c r="F17" s="20">
        <f>IF(D17=0,0,E17/D17)</f>
        <v/>
      </c>
      <c r="G17" s="14" t="n">
        <v>22</v>
      </c>
      <c r="H17" s="8" t="inlineStr">
        <is>
          <t>2028 Job Detail Report.pdf (Sage Timberline, 04/03/2026, 190 pages)</t>
        </is>
      </c>
    </row>
    <row r="18">
      <c r="B18" s="14" t="inlineStr">
        <is>
          <t>GA46</t>
        </is>
      </c>
      <c r="C18" s="5" t="inlineStr">
        <is>
          <t>Galdamez, Dagoberto A</t>
        </is>
      </c>
      <c r="D18" s="17" t="n">
        <v>796</v>
      </c>
      <c r="E18" s="20" t="n">
        <v>14089.5</v>
      </c>
      <c r="F18" s="20">
        <f>IF(D18=0,0,E18/D18)</f>
        <v/>
      </c>
      <c r="G18" s="14" t="n">
        <v>24</v>
      </c>
      <c r="H18" s="8" t="inlineStr">
        <is>
          <t>2028 Job Detail Report.pdf (Sage Timberline, 04/03/2026, 190 pages)</t>
        </is>
      </c>
    </row>
    <row r="19">
      <c r="B19" s="14" t="inlineStr">
        <is>
          <t>HU06</t>
        </is>
      </c>
      <c r="C19" s="5" t="inlineStr">
        <is>
          <t>Hubbard, Robert W</t>
        </is>
      </c>
      <c r="D19" s="17" t="n">
        <v>789.5</v>
      </c>
      <c r="E19" s="20" t="n">
        <v>32342.5</v>
      </c>
      <c r="F19" s="20">
        <f>IF(D19=0,0,E19/D19)</f>
        <v/>
      </c>
      <c r="G19" s="14" t="n">
        <v>35</v>
      </c>
      <c r="H19" s="8" t="inlineStr">
        <is>
          <t>2028 Job Detail Report.pdf (Sage Timberline, 04/03/2026, 190 pages)</t>
        </is>
      </c>
    </row>
    <row r="20">
      <c r="B20" s="14" t="inlineStr">
        <is>
          <t>RO75</t>
        </is>
      </c>
      <c r="C20" s="5" t="inlineStr">
        <is>
          <t>Ross, Kelli M</t>
        </is>
      </c>
      <c r="D20" s="17" t="n">
        <v>745</v>
      </c>
      <c r="E20" s="20" t="n">
        <v>26075</v>
      </c>
      <c r="F20" s="20">
        <f>IF(D20=0,0,E20/D20)</f>
        <v/>
      </c>
      <c r="G20" s="14" t="n">
        <v>23</v>
      </c>
      <c r="H20" s="8" t="inlineStr">
        <is>
          <t>2028 Job Detail Report.pdf (Sage Timberline, 04/03/2026, 190 pages)</t>
        </is>
      </c>
    </row>
    <row r="21">
      <c r="B21" s="14" t="inlineStr">
        <is>
          <t>CO73</t>
        </is>
      </c>
      <c r="C21" s="5" t="inlineStr">
        <is>
          <t>Cortes Sepulveda, Jose R</t>
        </is>
      </c>
      <c r="D21" s="17" t="n">
        <v>716.5</v>
      </c>
      <c r="E21" s="20" t="n">
        <v>11637.5</v>
      </c>
      <c r="F21" s="20">
        <f>IF(D21=0,0,E21/D21)</f>
        <v/>
      </c>
      <c r="G21" s="14" t="n">
        <v>20</v>
      </c>
      <c r="H21" s="8" t="inlineStr">
        <is>
          <t>2028 Job Detail Report.pdf (Sage Timberline, 04/03/2026, 190 pages)</t>
        </is>
      </c>
    </row>
    <row r="22">
      <c r="B22" s="14" t="inlineStr">
        <is>
          <t>CA77</t>
        </is>
      </c>
      <c r="C22" s="5" t="inlineStr">
        <is>
          <t>Castro Hernandez, Jose A</t>
        </is>
      </c>
      <c r="D22" s="17" t="n">
        <v>697</v>
      </c>
      <c r="E22" s="20" t="n">
        <v>16031</v>
      </c>
      <c r="F22" s="20">
        <f>IF(D22=0,0,E22/D22)</f>
        <v/>
      </c>
      <c r="G22" s="14" t="n">
        <v>22</v>
      </c>
      <c r="H22" s="8" t="inlineStr">
        <is>
          <t>2028 Job Detail Report.pdf (Sage Timberline, 04/03/2026, 190 pages)</t>
        </is>
      </c>
    </row>
    <row r="23">
      <c r="B23" s="14" t="inlineStr">
        <is>
          <t>DR04</t>
        </is>
      </c>
      <c r="C23" s="5" t="inlineStr">
        <is>
          <t>Draves, Steven W</t>
        </is>
      </c>
      <c r="D23" s="17" t="n">
        <v>675.5</v>
      </c>
      <c r="E23" s="20" t="n">
        <v>10426.5</v>
      </c>
      <c r="F23" s="20">
        <f>IF(D23=0,0,E23/D23)</f>
        <v/>
      </c>
      <c r="G23" s="14" t="n">
        <v>20</v>
      </c>
      <c r="H23" s="8" t="inlineStr">
        <is>
          <t>2028 Job Detail Report.pdf (Sage Timberline, 04/03/2026, 190 pages)</t>
        </is>
      </c>
    </row>
    <row r="24">
      <c r="B24" s="14" t="inlineStr">
        <is>
          <t>GA72</t>
        </is>
      </c>
      <c r="C24" s="5" t="inlineStr">
        <is>
          <t>Gardner, Andrew M</t>
        </is>
      </c>
      <c r="D24" s="17" t="n">
        <v>671</v>
      </c>
      <c r="E24" s="20" t="n">
        <v>9712</v>
      </c>
      <c r="F24" s="20">
        <f>IF(D24=0,0,E24/D24)</f>
        <v/>
      </c>
      <c r="G24" s="14" t="n">
        <v>20</v>
      </c>
      <c r="H24" s="8" t="inlineStr">
        <is>
          <t>2028 Job Detail Report.pdf (Sage Timberline, 04/03/2026, 190 pages)</t>
        </is>
      </c>
    </row>
    <row r="25">
      <c r="B25" s="14" t="inlineStr">
        <is>
          <t>EI74</t>
        </is>
      </c>
      <c r="C25" s="5" t="inlineStr">
        <is>
          <t>Eisenhauer, Tommy J</t>
        </is>
      </c>
      <c r="D25" s="17" t="n">
        <v>615</v>
      </c>
      <c r="E25" s="20" t="n">
        <v>9423</v>
      </c>
      <c r="F25" s="20">
        <f>IF(D25=0,0,E25/D25)</f>
        <v/>
      </c>
      <c r="G25" s="14" t="n">
        <v>20</v>
      </c>
      <c r="H25" s="8" t="inlineStr">
        <is>
          <t>2028 Job Detail Report.pdf (Sage Timberline, 04/03/2026, 190 pages)</t>
        </is>
      </c>
    </row>
    <row r="26">
      <c r="B26" s="14" t="inlineStr">
        <is>
          <t>WE55</t>
        </is>
      </c>
      <c r="C26" s="5" t="inlineStr">
        <is>
          <t>Wennig, Johnathan M</t>
        </is>
      </c>
      <c r="D26" s="17" t="n">
        <v>588.5</v>
      </c>
      <c r="E26" s="20" t="n">
        <v>10860.5</v>
      </c>
      <c r="F26" s="20">
        <f>IF(D26=0,0,E26/D26)</f>
        <v/>
      </c>
      <c r="G26" s="14" t="n">
        <v>18</v>
      </c>
      <c r="H26" s="8" t="inlineStr">
        <is>
          <t>2028 Job Detail Report.pdf (Sage Timberline, 04/03/2026, 190 pages)</t>
        </is>
      </c>
    </row>
    <row r="27">
      <c r="B27" s="14" t="inlineStr">
        <is>
          <t>RA52</t>
        </is>
      </c>
      <c r="C27" s="5" t="inlineStr">
        <is>
          <t>Ramos Banegas, Noel O</t>
        </is>
      </c>
      <c r="D27" s="17" t="n">
        <v>577.5</v>
      </c>
      <c r="E27" s="20" t="n">
        <v>10462.5</v>
      </c>
      <c r="F27" s="20">
        <f>IF(D27=0,0,E27/D27)</f>
        <v/>
      </c>
      <c r="G27" s="14" t="n">
        <v>19</v>
      </c>
      <c r="H27" s="8" t="inlineStr">
        <is>
          <t>2028 Job Detail Report.pdf (Sage Timberline, 04/03/2026, 190 pages)</t>
        </is>
      </c>
    </row>
    <row r="28">
      <c r="B28" s="14" t="inlineStr">
        <is>
          <t>ME53</t>
        </is>
      </c>
      <c r="C28" s="5" t="inlineStr">
        <is>
          <t>Mendoza Morales, Jesus A</t>
        </is>
      </c>
      <c r="D28" s="17" t="n">
        <v>467.5</v>
      </c>
      <c r="E28" s="20" t="n">
        <v>6541.5</v>
      </c>
      <c r="F28" s="20">
        <f>IF(D28=0,0,E28/D28)</f>
        <v/>
      </c>
      <c r="G28" s="14" t="n">
        <v>12</v>
      </c>
      <c r="H28" s="8" t="inlineStr">
        <is>
          <t>2028 Job Detail Report.pdf (Sage Timberline, 04/03/2026, 190 pages)</t>
        </is>
      </c>
    </row>
    <row r="29">
      <c r="B29" s="14" t="inlineStr">
        <is>
          <t>GE69</t>
        </is>
      </c>
      <c r="C29" s="5" t="inlineStr">
        <is>
          <t>Gerard, Jeffrey S</t>
        </is>
      </c>
      <c r="D29" s="17" t="n">
        <v>432.5</v>
      </c>
      <c r="E29" s="20" t="n">
        <v>19213.5</v>
      </c>
      <c r="F29" s="20">
        <f>IF(D29=0,0,E29/D29)</f>
        <v/>
      </c>
      <c r="G29" s="14" t="n">
        <v>65</v>
      </c>
      <c r="H29" s="8" t="inlineStr">
        <is>
          <t>2028 Job Detail Report.pdf (Sage Timberline, 04/03/2026, 190 pages)</t>
        </is>
      </c>
    </row>
    <row r="30">
      <c r="B30" s="14" t="inlineStr">
        <is>
          <t>SA54</t>
        </is>
      </c>
      <c r="C30" s="5" t="inlineStr">
        <is>
          <t>Sanders, Allen O</t>
        </is>
      </c>
      <c r="D30" s="17" t="n">
        <v>406.5</v>
      </c>
      <c r="E30" s="20" t="n">
        <v>15295.5</v>
      </c>
      <c r="F30" s="20">
        <f>IF(D30=0,0,E30/D30)</f>
        <v/>
      </c>
      <c r="G30" s="14" t="n">
        <v>16</v>
      </c>
      <c r="H30" s="8" t="inlineStr">
        <is>
          <t>2028 Job Detail Report.pdf (Sage Timberline, 04/03/2026, 190 pages)</t>
        </is>
      </c>
    </row>
    <row r="31">
      <c r="B31" s="14" t="inlineStr">
        <is>
          <t>LO87</t>
        </is>
      </c>
      <c r="C31" s="5" t="inlineStr">
        <is>
          <t>Lovo, German G</t>
        </is>
      </c>
      <c r="D31" s="17" t="n">
        <v>401</v>
      </c>
      <c r="E31" s="20" t="n">
        <v>6929</v>
      </c>
      <c r="F31" s="20">
        <f>IF(D31=0,0,E31/D31)</f>
        <v/>
      </c>
      <c r="G31" s="14" t="n">
        <v>12</v>
      </c>
      <c r="H31" s="8" t="inlineStr">
        <is>
          <t>2028 Job Detail Report.pdf (Sage Timberline, 04/03/2026, 190 pages)</t>
        </is>
      </c>
    </row>
    <row r="32">
      <c r="B32" s="14" t="inlineStr">
        <is>
          <t>PA47</t>
        </is>
      </c>
      <c r="C32" s="5" t="inlineStr">
        <is>
          <t>Palma Vides, Jorge A</t>
        </is>
      </c>
      <c r="D32" s="17" t="n">
        <v>372.5</v>
      </c>
      <c r="E32" s="20" t="n">
        <v>6428.5</v>
      </c>
      <c r="F32" s="20">
        <f>IF(D32=0,0,E32/D32)</f>
        <v/>
      </c>
      <c r="G32" s="14" t="n">
        <v>12</v>
      </c>
      <c r="H32" s="8" t="inlineStr">
        <is>
          <t>2028 Job Detail Report.pdf (Sage Timberline, 04/03/2026, 190 pages)</t>
        </is>
      </c>
    </row>
    <row r="33">
      <c r="B33" s="14" t="inlineStr">
        <is>
          <t>RE96</t>
        </is>
      </c>
      <c r="C33" s="5" t="inlineStr">
        <is>
          <t>Reyes Cruz, Denis A</t>
        </is>
      </c>
      <c r="D33" s="17" t="n">
        <v>277.5</v>
      </c>
      <c r="E33" s="20" t="n">
        <v>5208.5</v>
      </c>
      <c r="F33" s="20">
        <f>IF(D33=0,0,E33/D33)</f>
        <v/>
      </c>
      <c r="G33" s="14" t="n">
        <v>8</v>
      </c>
      <c r="H33" s="8" t="inlineStr">
        <is>
          <t>2028 Job Detail Report.pdf (Sage Timberline, 04/03/2026, 190 pages)</t>
        </is>
      </c>
    </row>
    <row r="34">
      <c r="B34" s="14" t="inlineStr">
        <is>
          <t>CR79</t>
        </is>
      </c>
      <c r="C34" s="5" t="inlineStr">
        <is>
          <t>Cruz Guzman, Joel A</t>
        </is>
      </c>
      <c r="D34" s="17" t="n">
        <v>269.5</v>
      </c>
      <c r="E34" s="20" t="n">
        <v>4517.5</v>
      </c>
      <c r="F34" s="20">
        <f>IF(D34=0,0,E34/D34)</f>
        <v/>
      </c>
      <c r="G34" s="14" t="n">
        <v>8</v>
      </c>
      <c r="H34" s="8" t="inlineStr">
        <is>
          <t>2028 Job Detail Report.pdf (Sage Timberline, 04/03/2026, 190 pages)</t>
        </is>
      </c>
    </row>
    <row r="35">
      <c r="B35" s="14" t="inlineStr">
        <is>
          <t>PA46</t>
        </is>
      </c>
      <c r="C35" s="5" t="inlineStr">
        <is>
          <t>Palma Vides, Hugo</t>
        </is>
      </c>
      <c r="D35" s="17" t="n">
        <v>268.5</v>
      </c>
      <c r="E35" s="20" t="n">
        <v>9397.5</v>
      </c>
      <c r="F35" s="20">
        <f>IF(D35=0,0,E35/D35)</f>
        <v/>
      </c>
      <c r="G35" s="14" t="n">
        <v>11</v>
      </c>
      <c r="H35" s="8" t="inlineStr">
        <is>
          <t>2028 Job Detail Report.pdf (Sage Timberline, 04/03/2026, 190 pages)</t>
        </is>
      </c>
    </row>
    <row r="36">
      <c r="B36" s="14" t="inlineStr">
        <is>
          <t>CA72</t>
        </is>
      </c>
      <c r="C36" s="5" t="inlineStr">
        <is>
          <t>Castaneda Juarez, Edgar D</t>
        </is>
      </c>
      <c r="D36" s="17" t="n">
        <v>267.5</v>
      </c>
      <c r="E36" s="20" t="n">
        <v>5617.5</v>
      </c>
      <c r="F36" s="20">
        <f>IF(D36=0,0,E36/D36)</f>
        <v/>
      </c>
      <c r="G36" s="14" t="n">
        <v>9</v>
      </c>
      <c r="H36" s="8" t="inlineStr">
        <is>
          <t>2028 Job Detail Report.pdf (Sage Timberline, 04/03/2026, 190 pages)</t>
        </is>
      </c>
    </row>
    <row r="37">
      <c r="B37" s="14" t="inlineStr">
        <is>
          <t>CR87</t>
        </is>
      </c>
      <c r="C37" s="5" t="inlineStr">
        <is>
          <t>Cruz Reyes, Jose</t>
        </is>
      </c>
      <c r="D37" s="17" t="n">
        <v>261.5</v>
      </c>
      <c r="E37" s="20" t="n">
        <v>4643</v>
      </c>
      <c r="F37" s="20">
        <f>IF(D37=0,0,E37/D37)</f>
        <v/>
      </c>
      <c r="G37" s="14" t="n">
        <v>8</v>
      </c>
      <c r="H37" s="8" t="inlineStr">
        <is>
          <t>2028 Job Detail Report.pdf (Sage Timberline, 04/03/2026, 190 pages)</t>
        </is>
      </c>
    </row>
    <row r="38">
      <c r="B38" s="14" t="inlineStr">
        <is>
          <t>CA73</t>
        </is>
      </c>
      <c r="C38" s="5" t="inlineStr">
        <is>
          <t>Castaneda Juarez, Gustavo</t>
        </is>
      </c>
      <c r="D38" s="17" t="n">
        <v>259.5</v>
      </c>
      <c r="E38" s="20" t="n">
        <v>5190</v>
      </c>
      <c r="F38" s="20">
        <f>IF(D38=0,0,E38/D38)</f>
        <v/>
      </c>
      <c r="G38" s="14" t="n">
        <v>10</v>
      </c>
      <c r="H38" s="8" t="inlineStr">
        <is>
          <t>2028 Job Detail Report.pdf (Sage Timberline, 04/03/2026, 190 pages)</t>
        </is>
      </c>
    </row>
    <row r="39">
      <c r="B39" s="14" t="inlineStr">
        <is>
          <t>MA71</t>
        </is>
      </c>
      <c r="C39" s="5" t="inlineStr">
        <is>
          <t>Martinez Reyes, Juan C</t>
        </is>
      </c>
      <c r="D39" s="17" t="n">
        <v>214.5</v>
      </c>
      <c r="E39" s="20" t="n">
        <v>2502.5</v>
      </c>
      <c r="F39" s="20">
        <f>IF(D39=0,0,E39/D39)</f>
        <v/>
      </c>
      <c r="G39" s="14" t="n">
        <v>5</v>
      </c>
      <c r="H39" s="8" t="inlineStr">
        <is>
          <t>2028 Job Detail Report.pdf (Sage Timberline, 04/03/2026, 190 pages)</t>
        </is>
      </c>
    </row>
    <row r="40">
      <c r="B40" s="14" t="inlineStr">
        <is>
          <t>AM03</t>
        </is>
      </c>
      <c r="C40" s="5" t="inlineStr">
        <is>
          <t>Amaya Gonzalez, Edilberto A</t>
        </is>
      </c>
      <c r="D40" s="17" t="n">
        <v>176</v>
      </c>
      <c r="E40" s="20" t="n">
        <v>3344</v>
      </c>
      <c r="F40" s="20">
        <f>IF(D40=0,0,E40/D40)</f>
        <v/>
      </c>
      <c r="G40" s="14" t="n">
        <v>6</v>
      </c>
      <c r="H40" s="8" t="inlineStr">
        <is>
          <t>2028 Job Detail Report.pdf (Sage Timberline, 04/03/2026, 190 pages)</t>
        </is>
      </c>
    </row>
    <row r="41">
      <c r="B41" s="14" t="inlineStr">
        <is>
          <t>RO12</t>
        </is>
      </c>
      <c r="C41" s="5" t="inlineStr">
        <is>
          <t>Rodriguez Rodriguez, Aminadab N</t>
        </is>
      </c>
      <c r="D41" s="17" t="n">
        <v>176</v>
      </c>
      <c r="E41" s="20" t="n">
        <v>3344</v>
      </c>
      <c r="F41" s="20">
        <f>IF(D41=0,0,E41/D41)</f>
        <v/>
      </c>
      <c r="G41" s="14" t="n">
        <v>5</v>
      </c>
      <c r="H41" s="8" t="inlineStr">
        <is>
          <t>2028 Job Detail Report.pdf (Sage Timberline, 04/03/2026, 190 pages)</t>
        </is>
      </c>
    </row>
    <row r="42">
      <c r="B42" s="14" t="inlineStr">
        <is>
          <t>DO56</t>
        </is>
      </c>
      <c r="C42" s="5" t="inlineStr">
        <is>
          <t>Donelson, Richard T</t>
        </is>
      </c>
      <c r="D42" s="17" t="n">
        <v>162</v>
      </c>
      <c r="E42" s="20" t="n">
        <v>7542</v>
      </c>
      <c r="F42" s="20">
        <f>IF(D42=0,0,E42/D42)</f>
        <v/>
      </c>
      <c r="G42" s="14" t="n">
        <v>40</v>
      </c>
      <c r="H42" s="8" t="inlineStr">
        <is>
          <t>2028 Job Detail Report.pdf (Sage Timberline, 04/03/2026, 190 pages)</t>
        </is>
      </c>
    </row>
    <row r="43">
      <c r="B43" s="14" t="inlineStr">
        <is>
          <t>MO54</t>
        </is>
      </c>
      <c r="C43" s="5" t="inlineStr">
        <is>
          <t>Monico Brambila, Jesus S</t>
        </is>
      </c>
      <c r="D43" s="17" t="n">
        <v>148.5</v>
      </c>
      <c r="E43" s="20" t="n">
        <v>2970</v>
      </c>
      <c r="F43" s="20">
        <f>IF(D43=0,0,E43/D43)</f>
        <v/>
      </c>
      <c r="G43" s="14" t="n">
        <v>6</v>
      </c>
      <c r="H43" s="8" t="inlineStr">
        <is>
          <t>2028 Job Detail Report.pdf (Sage Timberline, 04/03/2026, 190 pages)</t>
        </is>
      </c>
    </row>
    <row r="44">
      <c r="B44" s="14" t="inlineStr">
        <is>
          <t>SO78</t>
        </is>
      </c>
      <c r="C44" s="5" t="inlineStr">
        <is>
          <t>Soto Cruz, Jovani</t>
        </is>
      </c>
      <c r="D44" s="17" t="n">
        <v>133.5</v>
      </c>
      <c r="E44" s="20" t="n">
        <v>2536.5</v>
      </c>
      <c r="F44" s="20">
        <f>IF(D44=0,0,E44/D44)</f>
        <v/>
      </c>
      <c r="G44" s="14" t="n">
        <v>5</v>
      </c>
      <c r="H44" s="8" t="inlineStr">
        <is>
          <t>2028 Job Detail Report.pdf (Sage Timberline, 04/03/2026, 190 pages)</t>
        </is>
      </c>
    </row>
    <row r="45">
      <c r="B45" s="14" t="inlineStr">
        <is>
          <t>EL33</t>
        </is>
      </c>
      <c r="C45" s="5" t="inlineStr">
        <is>
          <t>Eliassen, Cory H</t>
        </is>
      </c>
      <c r="D45" s="17" t="n">
        <v>122.5</v>
      </c>
      <c r="E45" s="20" t="n">
        <v>1960</v>
      </c>
      <c r="F45" s="20">
        <f>IF(D45=0,0,E45/D45)</f>
        <v/>
      </c>
      <c r="G45" s="14" t="n">
        <v>5</v>
      </c>
      <c r="H45" s="8" t="inlineStr">
        <is>
          <t>2028 Job Detail Report.pdf (Sage Timberline, 04/03/2026, 190 pages)</t>
        </is>
      </c>
    </row>
    <row r="46">
      <c r="B46" s="14" t="inlineStr">
        <is>
          <t>TA96</t>
        </is>
      </c>
      <c r="C46" s="5" t="inlineStr">
        <is>
          <t>Taylor, Evan R</t>
        </is>
      </c>
      <c r="D46" s="17" t="n">
        <v>101.5</v>
      </c>
      <c r="E46" s="20" t="n">
        <v>1725.5</v>
      </c>
      <c r="F46" s="20">
        <f>IF(D46=0,0,E46/D46)</f>
        <v/>
      </c>
      <c r="G46" s="14" t="n">
        <v>5</v>
      </c>
      <c r="H46" s="8" t="inlineStr">
        <is>
          <t>2028 Job Detail Report.pdf (Sage Timberline, 04/03/2026, 190 pages)</t>
        </is>
      </c>
    </row>
    <row r="47">
      <c r="B47" s="14" t="inlineStr">
        <is>
          <t>RI84</t>
        </is>
      </c>
      <c r="C47" s="5" t="inlineStr">
        <is>
          <t>Rivera, Eli P</t>
        </is>
      </c>
      <c r="D47" s="17" t="n">
        <v>65</v>
      </c>
      <c r="E47" s="20" t="n">
        <v>1235</v>
      </c>
      <c r="F47" s="20">
        <f>IF(D47=0,0,E47/D47)</f>
        <v/>
      </c>
      <c r="G47" s="14" t="n">
        <v>3</v>
      </c>
      <c r="H47" s="8" t="inlineStr">
        <is>
          <t>2028 Job Detail Report.pdf (Sage Timberline, 04/03/2026, 190 pages)</t>
        </is>
      </c>
    </row>
    <row r="48">
      <c r="B48" s="14" t="inlineStr">
        <is>
          <t>HU04</t>
        </is>
      </c>
      <c r="C48" s="5" t="inlineStr">
        <is>
          <t>Hubbard, Dustin R</t>
        </is>
      </c>
      <c r="D48" s="17" t="n">
        <v>46.5</v>
      </c>
      <c r="E48" s="20" t="n">
        <v>803.5</v>
      </c>
      <c r="F48" s="20">
        <f>IF(D48=0,0,E48/D48)</f>
        <v/>
      </c>
      <c r="G48" s="14" t="n">
        <v>17</v>
      </c>
      <c r="H48" s="8" t="inlineStr">
        <is>
          <t>2028 Job Detail Report.pdf (Sage Timberline, 04/03/2026, 190 pages)</t>
        </is>
      </c>
    </row>
    <row r="49">
      <c r="B49" s="14" t="inlineStr">
        <is>
          <t>CA74</t>
        </is>
      </c>
      <c r="C49" s="5" t="inlineStr">
        <is>
          <t>Castaneda Martinez, Gustavo</t>
        </is>
      </c>
      <c r="D49" s="17" t="n">
        <v>44</v>
      </c>
      <c r="E49" s="20" t="n">
        <v>1628</v>
      </c>
      <c r="F49" s="20">
        <f>IF(D49=0,0,E49/D49)</f>
        <v/>
      </c>
      <c r="G49" s="14" t="n">
        <v>4</v>
      </c>
      <c r="H49" s="8" t="inlineStr">
        <is>
          <t>2028 Job Detail Report.pdf (Sage Timberline, 04/03/2026, 190 pages)</t>
        </is>
      </c>
    </row>
    <row r="50">
      <c r="B50" s="14" t="inlineStr">
        <is>
          <t>BA70</t>
        </is>
      </c>
      <c r="C50" s="5" t="inlineStr">
        <is>
          <t>Barnhart, Joseph N</t>
        </is>
      </c>
      <c r="D50" s="17" t="n">
        <v>1</v>
      </c>
      <c r="E50" s="20" t="n">
        <v>40</v>
      </c>
      <c r="F50" s="20">
        <f>IF(D50=0,0,E50/D50)</f>
        <v/>
      </c>
      <c r="G50" s="14" t="n">
        <v>1</v>
      </c>
      <c r="H50" s="8" t="inlineStr">
        <is>
          <t>2028 Job Detail Report.pdf (Sage Timberline, 04/03/2026, 190 pages)</t>
        </is>
      </c>
    </row>
    <row r="51">
      <c r="B51" s="18" t="inlineStr">
        <is>
          <t>TOTAL</t>
        </is>
      </c>
      <c r="D51" s="10">
        <f>SUM(D6:D50)</f>
        <v/>
      </c>
      <c r="E51" s="9">
        <f>SUM(E6:E50)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45</v>
      </c>
      <c r="D7" s="5" t="inlineStr">
        <is>
          <t>Unique payroll IDs</t>
        </is>
      </c>
      <c r="E7" s="8" t="inlineStr">
        <is>
          <t>2028 Job Detail Report.pdf (Sage Timberline, 04/03/2026, 190 pages)</t>
        </is>
      </c>
    </row>
    <row r="8">
      <c r="B8" s="5" t="inlineStr">
        <is>
          <t>Total Labor Hours</t>
        </is>
      </c>
      <c r="C8" s="17" t="n">
        <v>24053.5</v>
      </c>
      <c r="D8" s="5" t="inlineStr">
        <is>
          <t>Sum of codes 100-142</t>
        </is>
      </c>
      <c r="E8" s="8" t="inlineStr">
        <is>
          <t>2028 Job Detail Report.pdf (Sage Timberline, 04/03/2026, 190 pages)</t>
        </is>
      </c>
    </row>
    <row r="9">
      <c r="B9" s="5" t="inlineStr">
        <is>
          <t>Total Gross Pay</t>
        </is>
      </c>
      <c r="C9" s="17" t="n">
        <v>566505.5900000001</v>
      </c>
      <c r="D9" s="5" t="inlineStr">
        <is>
          <t>Sum of codes 100-142</t>
        </is>
      </c>
      <c r="E9" s="8" t="inlineStr">
        <is>
          <t>2028 Job Detail Report.pdf (Sage Timberline, 04/03/2026, 190 pages)</t>
        </is>
      </c>
    </row>
    <row r="10">
      <c r="B10" s="5" t="inlineStr">
        <is>
          <t>Blended Gross Wage ($/hr)</t>
        </is>
      </c>
      <c r="C10" s="20" t="n">
        <v>23.55189847631322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0.05859854075290499</v>
      </c>
      <c r="D11" s="5" t="inlineStr">
        <is>
          <t>QU35 Quintanilla, Esteban R (1410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0.2592761968112748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46.55555555555556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11.66666666666667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534.5222222222222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19.08888888888889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2684887.0/24053.5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1313608.9/24053.5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566505.5900000001/24053.5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(566505.5900000001+252329.63+43634.33)/24053.5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(566505.5900000001+252329.63+43634.33)/566505.5900000001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16225</v>
      </c>
      <c r="D11" s="14" t="inlineStr">
        <is>
          <t>JDR</t>
        </is>
      </c>
      <c r="E11" s="8" t="inlineStr">
        <is>
          <t>16225 hrs</t>
        </is>
      </c>
    </row>
    <row r="12">
      <c r="B12" s="5" t="inlineStr">
        <is>
          <t>Finish Hours (code 130)</t>
        </is>
      </c>
      <c r="C12" s="17" t="n">
        <v>19</v>
      </c>
      <c r="D12" s="14" t="inlineStr">
        <is>
          <t>JDR</t>
        </is>
      </c>
      <c r="E12" s="8" t="inlineStr">
        <is>
          <t>19 hrs</t>
        </is>
      </c>
    </row>
    <row r="13">
      <c r="B13" s="5" t="inlineStr">
        <is>
          <t>Rough-in % of Total Hours</t>
        </is>
      </c>
      <c r="C13" s="16">
        <f>16225.0/24053.5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1313608.9/2684887.0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566505.5900000001/2684887.0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458714.48000000004/2684887.0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1371278.1/2684887.0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2684887.0/92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24053.5/92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566505.5900000001/92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458714.48000000004/92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1371278.1/92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16225.0/92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Zig Apts plumbing (550 Broadway, Seattle) — full scope per proposal + narrative</t>
        </is>
      </c>
      <c r="H6" s="20" t="n">
        <v>2979880</v>
      </c>
      <c r="I6" s="8" t="inlineStr">
        <is>
          <t>Exxel Pacific Reserve @ Lynnwood Subcontract</t>
        </is>
      </c>
    </row>
    <row r="7">
      <c r="B7" s="18" t="inlineStr">
        <is>
          <t>TOTAL (contract + COs)</t>
        </is>
      </c>
      <c r="H7" s="21">
        <f>SUM(H6:H6)</f>
        <v/>
      </c>
    </row>
    <row r="9">
      <c r="B9" s="24" t="inlineStr">
        <is>
          <t>NOTE: Documented COs sum to $0.00; JDR-implied COs = $-294,993.00 (diff $-294,993.00). Gap likely due to budget-transfer-only adjustments or one CO not surfacing in transfer PDFs. Outbound POs: 82 total (7 placed, 19 scheduled, 56 completed) — see POs/ folder.</t>
        </is>
      </c>
      <c r="C9" s="6" t="n"/>
      <c r="D9" s="6" t="n"/>
      <c r="E9" s="6" t="n"/>
      <c r="F9" s="6" t="n"/>
      <c r="G9" s="6" t="n"/>
      <c r="H9" s="6" t="n"/>
      <c r="I9" s="7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14 unique invoices to Exxel Pacific, Inc.. Retainage $134,244.35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036673</t>
        </is>
      </c>
      <c r="C6" s="14" t="inlineStr">
        <is>
          <t>01/20/16</t>
        </is>
      </c>
      <c r="D6" s="15" t="n">
        <v>-85000</v>
      </c>
      <c r="E6" s="15" t="n">
        <v>-4250</v>
      </c>
      <c r="F6" s="14" t="n">
        <v>1</v>
      </c>
      <c r="G6" s="8" t="inlineStr">
        <is>
          <t>2028 Job Detail Report.pdf (Sage Timberline, 04/03/2026, 190 pages)</t>
        </is>
      </c>
    </row>
    <row r="7">
      <c r="B7" s="14" t="inlineStr">
        <is>
          <t>036697</t>
        </is>
      </c>
      <c r="C7" s="14" t="inlineStr">
        <is>
          <t>03/18/16</t>
        </is>
      </c>
      <c r="D7" s="15" t="n">
        <v>-57000</v>
      </c>
      <c r="E7" s="15" t="n">
        <v>-2850</v>
      </c>
      <c r="F7" s="14" t="n">
        <v>3</v>
      </c>
      <c r="G7" s="8" t="inlineStr">
        <is>
          <t>2028 Job Detail Report.pdf (Sage Timberline, 04/03/2026, 190 pages)</t>
        </is>
      </c>
    </row>
    <row r="8">
      <c r="B8" s="14" t="inlineStr">
        <is>
          <t>036710</t>
        </is>
      </c>
      <c r="C8" s="14" t="inlineStr">
        <is>
          <t>04/20/16</t>
        </is>
      </c>
      <c r="D8" s="15" t="n">
        <v>-146200</v>
      </c>
      <c r="E8" s="15" t="n">
        <v>-7310</v>
      </c>
      <c r="F8" s="14" t="n">
        <v>7</v>
      </c>
      <c r="G8" s="8" t="inlineStr">
        <is>
          <t>2028 Job Detail Report.pdf (Sage Timberline, 04/03/2026, 190 pages)</t>
        </is>
      </c>
    </row>
    <row r="9">
      <c r="B9" s="14" t="inlineStr">
        <is>
          <t>036722</t>
        </is>
      </c>
      <c r="C9" s="14" t="inlineStr">
        <is>
          <t>05/20/16</t>
        </is>
      </c>
      <c r="D9" s="15" t="n">
        <v>-65200</v>
      </c>
      <c r="E9" s="15" t="n">
        <v>-3260</v>
      </c>
      <c r="F9" s="14" t="n">
        <v>2</v>
      </c>
      <c r="G9" s="8" t="inlineStr">
        <is>
          <t>2028 Job Detail Report.pdf (Sage Timberline, 04/03/2026, 190 pages)</t>
        </is>
      </c>
    </row>
    <row r="10">
      <c r="B10" s="14" t="inlineStr">
        <is>
          <t>036740</t>
        </is>
      </c>
      <c r="C10" s="14" t="inlineStr">
        <is>
          <t>06/20/16</t>
        </is>
      </c>
      <c r="D10" s="15" t="n">
        <v>-351042</v>
      </c>
      <c r="E10" s="15" t="n">
        <v>-17552.1</v>
      </c>
      <c r="F10" s="14" t="n">
        <v>9</v>
      </c>
      <c r="G10" s="8" t="inlineStr">
        <is>
          <t>2028 Job Detail Report.pdf (Sage Timberline, 04/03/2026, 190 pages)</t>
        </is>
      </c>
    </row>
    <row r="11">
      <c r="B11" s="14" t="inlineStr">
        <is>
          <t>036755</t>
        </is>
      </c>
      <c r="C11" s="14" t="inlineStr">
        <is>
          <t>07/20/16</t>
        </is>
      </c>
      <c r="D11" s="15" t="n">
        <v>-409030</v>
      </c>
      <c r="E11" s="15" t="n">
        <v>-20451.5</v>
      </c>
      <c r="F11" s="14" t="n">
        <v>8</v>
      </c>
      <c r="G11" s="8" t="inlineStr">
        <is>
          <t>2028 Job Detail Report.pdf (Sage Timberline, 04/03/2026, 190 pages)</t>
        </is>
      </c>
    </row>
    <row r="12">
      <c r="B12" s="14" t="inlineStr">
        <is>
          <t>036775</t>
        </is>
      </c>
      <c r="C12" s="14" t="inlineStr">
        <is>
          <t>08/19/16</t>
        </is>
      </c>
      <c r="D12" s="15" t="n">
        <v>-721380</v>
      </c>
      <c r="E12" s="15" t="n">
        <v>-36069</v>
      </c>
      <c r="F12" s="14" t="n">
        <v>13</v>
      </c>
      <c r="G12" s="8" t="inlineStr">
        <is>
          <t>2028 Job Detail Report.pdf (Sage Timberline, 04/03/2026, 190 pages)</t>
        </is>
      </c>
    </row>
    <row r="13">
      <c r="B13" s="14" t="inlineStr">
        <is>
          <t>036784</t>
        </is>
      </c>
      <c r="C13" s="14" t="inlineStr">
        <is>
          <t>09/19/16</t>
        </is>
      </c>
      <c r="D13" s="15" t="n">
        <v>-643189</v>
      </c>
      <c r="E13" s="15" t="n">
        <v>-32159.45</v>
      </c>
      <c r="F13" s="14" t="n">
        <v>32</v>
      </c>
      <c r="G13" s="8" t="inlineStr">
        <is>
          <t>2028 Job Detail Report.pdf (Sage Timberline, 04/03/2026, 190 pages)</t>
        </is>
      </c>
    </row>
    <row r="14">
      <c r="B14" s="14" t="inlineStr">
        <is>
          <t>036795</t>
        </is>
      </c>
      <c r="C14" s="14" t="inlineStr">
        <is>
          <t>10/20/16</t>
        </is>
      </c>
      <c r="D14" s="15" t="n">
        <v>-155500</v>
      </c>
      <c r="E14" s="15" t="n">
        <v>-7775</v>
      </c>
      <c r="F14" s="14" t="n">
        <v>8</v>
      </c>
      <c r="G14" s="8" t="inlineStr">
        <is>
          <t>2028 Job Detail Report.pdf (Sage Timberline, 04/03/2026, 190 pages)</t>
        </is>
      </c>
    </row>
    <row r="15">
      <c r="B15" s="14" t="inlineStr">
        <is>
          <t>036801</t>
        </is>
      </c>
      <c r="C15" s="14" t="inlineStr">
        <is>
          <t>11/15/16</t>
        </is>
      </c>
      <c r="D15" s="15" t="n">
        <v>-28600</v>
      </c>
      <c r="E15" s="15" t="n">
        <v>-1430</v>
      </c>
      <c r="F15" s="14" t="n">
        <v>6</v>
      </c>
      <c r="G15" s="8" t="inlineStr">
        <is>
          <t>2028 Job Detail Report.pdf (Sage Timberline, 04/03/2026, 190 pages)</t>
        </is>
      </c>
    </row>
    <row r="16">
      <c r="B16" s="14" t="inlineStr">
        <is>
          <t>036808</t>
        </is>
      </c>
      <c r="C16" s="14" t="inlineStr">
        <is>
          <t>12/15/16</t>
        </is>
      </c>
      <c r="D16" s="15" t="n">
        <v>-21134</v>
      </c>
      <c r="E16" s="15" t="n">
        <v>-1056.7</v>
      </c>
      <c r="F16" s="14" t="n">
        <v>6</v>
      </c>
      <c r="G16" s="8" t="inlineStr">
        <is>
          <t>2028 Job Detail Report.pdf (Sage Timberline, 04/03/2026, 190 pages)</t>
        </is>
      </c>
    </row>
    <row r="17">
      <c r="B17" s="14" t="inlineStr">
        <is>
          <t>036821</t>
        </is>
      </c>
      <c r="C17" s="14" t="inlineStr">
        <is>
          <t>01/20/17</t>
        </is>
      </c>
      <c r="D17" s="15" t="n">
        <v>-9900</v>
      </c>
      <c r="E17" s="15" t="n">
        <v>-495</v>
      </c>
      <c r="F17" s="14" t="n">
        <v>3</v>
      </c>
      <c r="G17" s="8" t="inlineStr">
        <is>
          <t>2028 Job Detail Report.pdf (Sage Timberline, 04/03/2026, 190 pages)</t>
        </is>
      </c>
    </row>
    <row r="18">
      <c r="B18" s="14" t="inlineStr">
        <is>
          <t>036826</t>
        </is>
      </c>
      <c r="C18" s="14" t="inlineStr">
        <is>
          <t>01/31/17</t>
        </is>
      </c>
      <c r="D18" s="15" t="n">
        <v>-1612</v>
      </c>
      <c r="E18" s="15" t="n">
        <v>-80.59999999999999</v>
      </c>
      <c r="F18" s="14" t="n">
        <v>1</v>
      </c>
      <c r="G18" s="8" t="inlineStr">
        <is>
          <t>2028 Job Detail Report.pdf (Sage Timberline, 04/03/2026, 190 pages)</t>
        </is>
      </c>
    </row>
    <row r="19">
      <c r="B19" s="14" t="inlineStr">
        <is>
          <t>036827</t>
        </is>
      </c>
      <c r="C19" s="14" t="inlineStr">
        <is>
          <t>01/20/17</t>
        </is>
      </c>
      <c r="D19" s="15" t="n">
        <v>9900</v>
      </c>
      <c r="E19" s="15" t="n">
        <v>495</v>
      </c>
      <c r="F19" s="14" t="n">
        <v>3</v>
      </c>
      <c r="G19" s="8" t="inlineStr">
        <is>
          <t>2028 Job Detail Report.pdf (Sage Timberline, 04/03/2026, 190 pages)</t>
        </is>
      </c>
    </row>
    <row r="20">
      <c r="B20" s="18" t="inlineStr">
        <is>
          <t>TOTAL (signed)</t>
        </is>
      </c>
      <c r="D20" s="28">
        <f>SUM(D6:D19)</f>
        <v/>
      </c>
      <c r="E20" s="28">
        <f>SUM(E6:E19)</f>
        <v/>
      </c>
    </row>
    <row r="22">
      <c r="B22" s="24" t="inlineStr">
        <is>
          <t>NOTE: AR entries signed negative per Sage convention. Net billed = $2,684,887.00; retainage $134,244.35 outstanding on JDR dated 04/03/2026. First invoice 036686 (2/19/16); last invoice 036937 (8/18/17). Billing/billing docs/ contains SOV template. Invoice 036907 (6/19/17) reverses 036894.</t>
        </is>
      </c>
      <c r="C22" s="6" t="n"/>
      <c r="D22" s="6" t="n"/>
      <c r="E22" s="6" t="n"/>
      <c r="F22" s="6" t="n"/>
      <c r="G22" s="7" t="n"/>
    </row>
  </sheetData>
  <mergeCells count="3">
    <mergeCell ref="B22:G22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$1,313,608.90 on $2,684,887.00 revenue = 48.9% gross margin. Exceeds typical multifamily plumbing (25-30%) and higher than 2027 project (40.5%).</t>
        </is>
      </c>
      <c r="E6" s="27" t="inlineStr">
        <is>
          <t>Verified</t>
        </is>
      </c>
      <c r="F6" s="8" t="inlineStr">
        <is>
          <t>2028 Job Detail Report.pdf (Sage Timberline, 04/03/2026, 190 pages)</t>
        </is>
      </c>
    </row>
    <row r="7" ht="58" customHeight="1">
      <c r="B7" s="14" t="n">
        <v>2</v>
      </c>
      <c r="C7" s="4" t="inlineStr">
        <is>
          <t>DEDUCTIVE CONTRACT</t>
        </is>
      </c>
      <c r="D7" s="5" t="inlineStr">
        <is>
          <t>Original contract $2,979,880.00 → Final AR revenue $2,684,887.00 = net $-294,993.00 reduction (-9.90%). Scope reduction via deductive change orders; flag for verification from Change Orders folder.</t>
        </is>
      </c>
      <c r="E7" s="27" t="inlineStr">
        <is>
          <t>Verified</t>
        </is>
      </c>
      <c r="F7" s="8" t="inlineStr">
        <is>
          <t>2028 Job Detail Report.pdf (Sage Timberline, 04/03/2026, 190 pages)</t>
        </is>
      </c>
    </row>
    <row r="8" ht="58" customHeight="1">
      <c r="B8" s="14" t="n">
        <v>3</v>
      </c>
      <c r="C8" s="4" t="inlineStr">
        <is>
          <t>LABOR-LIGHT EXECUTION</t>
        </is>
      </c>
      <c r="D8" s="5" t="inlineStr">
        <is>
          <t>Labor cost $566,505.59 (21.1% of rev) across 24,053.5 hrs and 45 workers. More labor-efficient per dollar than 2027.</t>
        </is>
      </c>
      <c r="E8" s="27" t="inlineStr">
        <is>
          <t>Verified</t>
        </is>
      </c>
      <c r="F8" s="8" t="inlineStr">
        <is>
          <t>2028 Job Detail Report.pdf (Sage Timberline, 04/03/2026, 190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4 AP vendors dominate: ~87% of AP spend ($366,225.65 of $420,949.02). Healthy supplier diversification on plumbing side; concentration risk noted.</t>
        </is>
      </c>
      <c r="E9" s="27" t="inlineStr">
        <is>
          <t>Verified</t>
        </is>
      </c>
      <c r="F9" s="8" t="inlineStr">
        <is>
          <t>2028 Job Detail Report.pdf (Sage Timberline, 04/03/2026, 190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$83,985.62 = 3.1% of revenue. Lean project management overhead.</t>
        </is>
      </c>
      <c r="E10" s="27" t="inlineStr">
        <is>
          <t>Verified</t>
        </is>
      </c>
      <c r="F10" s="8" t="inlineStr">
        <is>
          <t>2028 Job Detail Report.pdf (Sage Timberline, 04/03/2026, 190 pages)</t>
        </is>
      </c>
    </row>
    <row r="11" ht="58" customHeight="1">
      <c r="B11" s="14" t="n">
        <v>6</v>
      </c>
      <c r="C11" s="4" t="inlineStr">
        <is>
          <t>RETAINAGE HELD</t>
        </is>
      </c>
      <c r="D11" s="5" t="inlineStr">
        <is>
          <t>Retainage $134,244.35 = 5.0% of AR. Standard release pending final closeout.</t>
        </is>
      </c>
      <c r="E11" s="27" t="inlineStr">
        <is>
          <t>Verified</t>
        </is>
      </c>
      <c r="F11" s="8" t="inlineStr">
        <is>
          <t>2028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2028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2028 Job Detail Report.pdf (Sage Timberline, 04/03/2026, 190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Reserve @ Lynnwood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2028 Job Detail Report.pdf (Sage Timberline, 04/03/2026, 190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Reserve @ Lynnwood — 296-unit new construction plumbing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Exxel Pacific Reserve @ Lynnwood Subcontract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2028EP</t>
        </is>
      </c>
      <c r="G9" s="27" t="inlineStr">
        <is>
          <t>Verified</t>
        </is>
      </c>
      <c r="H9" s="5" t="inlineStr">
        <is>
          <t>Exxel Pacific Reserve @ Lynnwood Subcontract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AVS Communities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Exxel Pacific Reserve @ Lynnwood Subcontract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Lynnwood,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Exxel Pacific Reserve @ Lynnwood Subcontract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(296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Pacific Reserve @ Lynnwood Proposal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Per PR/AR posting dates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2028 Job Detail Report.pdf (Sage Timberline, 04/03/2026, 190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Per PR/AR posting dates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2028 Job Detail Report.pdf (Sage Timberline, 04/03/2026, 190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14" t="inlineStr">
        <is>
          <t>Per JDR dates</t>
        </is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296</v>
      </c>
      <c r="E16" s="14" t="inlineStr">
        <is>
          <t>Profile</t>
        </is>
      </c>
      <c r="F16" s="5" t="inlineStr">
        <is>
          <t>Per project specifications</t>
        </is>
      </c>
      <c r="G16" s="27" t="inlineStr">
        <is>
          <t>Verified</t>
        </is>
      </c>
      <c r="H16" s="5" t="inlineStr">
        <is>
          <t>Exxel Pacific Reserve @ Lynnwood Proposal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inlineStr">
        <is>
          <t>Per design</t>
        </is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Pacific Reserve @ Lynnwood Proposal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29" t="n">
        <v>2979880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Exxel Pacific Reserve @ Lynnwood Subcontract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29" t="n">
        <v>2684887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2028 Job Detail Report.pdf (Sage Timberline, 04/03/2026, 190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29" t="n">
        <v>-294993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2028 Job Detail Report.pdf (Sage Timberline, 04/03/2026, 190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0</v>
      </c>
      <c r="E21" s="14" t="inlineStr">
        <is>
          <t>Financial</t>
        </is>
      </c>
      <c r="F21" s="5" t="inlineStr">
        <is>
          <t>Deductive via scope revision</t>
        </is>
      </c>
      <c r="G21" s="27" t="inlineStr">
        <is>
          <t>Verified</t>
        </is>
      </c>
      <c r="H21" s="5" t="inlineStr">
        <is>
          <t>JDR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0</v>
      </c>
      <c r="E22" s="14" t="inlineStr">
        <is>
          <t>Financial</t>
        </is>
      </c>
      <c r="F22" s="5" t="inlineStr">
        <is>
          <t>Deductive adjustment</t>
        </is>
      </c>
      <c r="G22" s="27" t="inlineStr">
        <is>
          <t>Verified</t>
        </is>
      </c>
      <c r="H22" s="5" t="inlineStr">
        <is>
          <t>JDR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0" t="n">
        <v>-0.0989949259701733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29" t="n">
        <v>2684887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2028 Job Detail Report.pdf (Sage Timberline, 04/03/2026, 190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29" t="n">
        <v>1371278.1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2028 Job Detail Report.pdf (Sage Timberline, 04/03/2026, 190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29" t="n">
        <v>1313608.9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2028 Job Detail Report.pdf (Sage Timberline, 04/03/2026, 190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0" t="n">
        <v>0.4892604046278297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29" t="n">
        <v>134244.35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2028 Job Detail Report.pdf (Sage Timberline, 04/03/2026, 190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0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29" t="n">
        <v>566505.5900000001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2028 Job Detail Report.pdf (Sage Timberline, 04/03/2026, 190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29" t="n">
        <v>458714.48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2028 Job Detail Report.pdf (Sage Timberline, 04/03/2026, 190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29" t="n">
        <v>48909.92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2028 Job Detail Report.pdf (Sage Timberline, 04/03/2026, 190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29" t="n">
        <v>252329.63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2028 Job Detail Report.pdf (Sage Timberline, 04/03/2026, 190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29" t="n">
        <v>43634.33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2028 Job Detail Report.pdf (Sage Timberline, 04/03/2026, 190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24053.5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2028 Job Detail Report.pdf (Sage Timberline, 04/03/2026, 190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45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2028 Job Detail Report.pdf (Sage Timberline, 04/03/2026, 190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29" t="n">
        <v>23.55189847631322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29" t="n">
        <v>35.85630157773297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2" t="n">
        <v>1.522437845670684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16225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2028 Job Detail Report.pdf (Sage Timberline, 04/03/2026, 190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19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2028 Job Detail Report.pdf (Sage Timberline, 04/03/2026, 190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111.621468809113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54.61196499469931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29" t="n">
        <v>29183.55434782609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29" t="n">
        <v>14905.19673913044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261.4510869565217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0" t="n">
        <v>0.2109979265421599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0" t="n">
        <v>0.1708505721097387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24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2028 Job Detail Report.pdf (Sage Timberline, 04/03/2026, 190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14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2028 Job Detail Report.pdf (Sage Timberline, 04/03/2026, 190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inlineStr">
        <is>
          <t>Per folder</t>
        </is>
      </c>
      <c r="E51" s="14" t="inlineStr">
        <is>
          <t>Docs</t>
        </is>
      </c>
      <c r="F51" s="5" t="inlineStr">
        <is>
          <t>Field coordination records</t>
        </is>
      </c>
      <c r="G51" s="27" t="inlineStr">
        <is>
          <t>Verified</t>
        </is>
      </c>
      <c r="H51" s="5" t="inlineStr">
        <is>
          <t>Project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inlineStr">
        <is>
          <t>Per folder</t>
        </is>
      </c>
      <c r="E52" s="14" t="inlineStr">
        <is>
          <t>Docs</t>
        </is>
      </c>
      <c r="F52" s="5" t="inlineStr">
        <is>
          <t>Fixture + material + UG</t>
        </is>
      </c>
      <c r="G52" s="27" t="inlineStr">
        <is>
          <t>Verified</t>
        </is>
      </c>
      <c r="H52" s="5" t="inlineStr">
        <is>
          <t>Project folders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inlineStr">
        <is>
          <t>Per jurisdiction</t>
        </is>
      </c>
      <c r="E53" s="14" t="inlineStr">
        <is>
          <t>Docs</t>
        </is>
      </c>
      <c r="F53" s="5" t="inlineStr">
        <is>
          <t>Building permits as required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inlineStr">
        <is>
          <t>Per folder</t>
        </is>
      </c>
      <c r="E54" s="14" t="inlineStr">
        <is>
          <t>Docs</t>
        </is>
      </c>
      <c r="F54" s="5" t="inlineStr">
        <is>
          <t>Placed / scheduled /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inlineStr">
        <is>
          <t>Per design</t>
        </is>
      </c>
      <c r="E55" s="14" t="inlineStr">
        <is>
          <t>Scope</t>
        </is>
      </c>
      <c r="F55" s="5" t="inlineStr">
        <is>
          <t>296-unit multifamily</t>
        </is>
      </c>
      <c r="G55" s="27" t="inlineStr">
        <is>
          <t>Verified</t>
        </is>
      </c>
      <c r="H55" s="5" t="inlineStr">
        <is>
          <t>Exxel Pacific Reserve @ Lynnwood Proposal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inlineStr">
        <is>
          <t>Per design</t>
        </is>
      </c>
      <c r="E56" s="14" t="inlineStr">
        <is>
          <t>Scope</t>
        </is>
      </c>
      <c r="F56" s="5" t="inlineStr">
        <is>
          <t>296-unit multifamily</t>
        </is>
      </c>
      <c r="G56" s="27" t="inlineStr">
        <is>
          <t>Verified</t>
        </is>
      </c>
      <c r="H56" s="5" t="inlineStr">
        <is>
          <t>Exxel Pacific Reserve @ Lynnwood Proposal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inlineStr">
        <is>
          <t>Per design</t>
        </is>
      </c>
      <c r="E57" s="14" t="inlineStr">
        <is>
          <t>Scope</t>
        </is>
      </c>
      <c r="F57" s="5" t="inlineStr">
        <is>
          <t>296-unit fixture schedule</t>
        </is>
      </c>
      <c r="G57" s="27" t="inlineStr">
        <is>
          <t>Verified</t>
        </is>
      </c>
      <c r="H57" s="5" t="inlineStr">
        <is>
          <t>Exxel Pacific Reserve @ Lynnwood Proposal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inlineStr">
        <is>
          <t>Per design</t>
        </is>
      </c>
      <c r="E58" s="14" t="inlineStr">
        <is>
          <t>Scope</t>
        </is>
      </c>
      <c r="F58" s="5" t="inlineStr">
        <is>
          <t>296-unit fixture schedule</t>
        </is>
      </c>
      <c r="G58" s="27" t="inlineStr">
        <is>
          <t>Verified</t>
        </is>
      </c>
      <c r="H58" s="5" t="inlineStr">
        <is>
          <t>Exxel Pacific Reserve @ Lynnwood Proposal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29" t="n">
        <v>420949.02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2028 Job Detail Report.pdf (Sage Timberline, 04/03/2026, 190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29" t="n">
        <v>866343.46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2028 Job Detail Report.pdf (Sage Timberline, 04/03/2026, 190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29" t="n">
        <v>83985.62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2028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2028FE</t>
        </is>
      </c>
      <c r="D6" s="5" t="inlineStr">
        <is>
          <t>Ferguson Enterprises, Inc. $Reserve@Lynn</t>
        </is>
      </c>
      <c r="E6" s="15" t="n">
        <v>133734.6199999999</v>
      </c>
      <c r="F6" s="14" t="n">
        <v>42</v>
      </c>
      <c r="G6" s="16">
        <f>E6/420949.02</f>
        <v/>
      </c>
      <c r="H6" s="8" t="inlineStr">
        <is>
          <t>2028 Job Detail Report.pdf (Sage Timberline, 04/03/2026, 190 pages)</t>
        </is>
      </c>
    </row>
    <row r="7">
      <c r="B7" s="14" t="n">
        <v>2</v>
      </c>
      <c r="C7" s="14" t="inlineStr">
        <is>
          <t>2028RS</t>
        </is>
      </c>
      <c r="D7" s="5" t="inlineStr">
        <is>
          <t>Rosen Supply Company $Reserve@Lynnwood</t>
        </is>
      </c>
      <c r="E7" s="15" t="n">
        <v>117180.14</v>
      </c>
      <c r="F7" s="14" t="n">
        <v>107</v>
      </c>
      <c r="G7" s="16">
        <f>E7/420949.02</f>
        <v/>
      </c>
      <c r="H7" s="8" t="inlineStr">
        <is>
          <t>2028 Job Detail Report.pdf (Sage Timberline, 04/03/2026, 190 pages)</t>
        </is>
      </c>
    </row>
    <row r="8">
      <c r="B8" s="14" t="n">
        <v>3</v>
      </c>
      <c r="C8" s="14" t="inlineStr">
        <is>
          <t>2028CS</t>
        </is>
      </c>
      <c r="D8" s="5" t="inlineStr">
        <is>
          <t>Consolidated Supply Co.$Reserve@Lynnwood</t>
        </is>
      </c>
      <c r="E8" s="15" t="n">
        <v>83009.23000000003</v>
      </c>
      <c r="F8" s="14" t="n">
        <v>52</v>
      </c>
      <c r="G8" s="16">
        <f>E8/420949.02</f>
        <v/>
      </c>
      <c r="H8" s="8" t="inlineStr">
        <is>
          <t>2028 Job Detail Report.pdf (Sage Timberline, 04/03/2026, 190 pages)</t>
        </is>
      </c>
    </row>
    <row r="9">
      <c r="B9" s="14" t="n">
        <v>4</v>
      </c>
      <c r="C9" s="14" t="inlineStr">
        <is>
          <t>2028KS</t>
        </is>
      </c>
      <c r="D9" s="5" t="inlineStr">
        <is>
          <t>Keller Supply Company $Reserve@Lynnwood</t>
        </is>
      </c>
      <c r="E9" s="15" t="n">
        <v>31988.36000000001</v>
      </c>
      <c r="F9" s="14" t="n">
        <v>47</v>
      </c>
      <c r="G9" s="16">
        <f>E9/420949.02</f>
        <v/>
      </c>
      <c r="H9" s="8" t="inlineStr">
        <is>
          <t>2028 Job Detail Report.pdf (Sage Timberline, 04/03/2026, 190 pages)</t>
        </is>
      </c>
    </row>
    <row r="10">
      <c r="B10" s="14" t="n">
        <v>5</v>
      </c>
      <c r="C10" s="14" t="inlineStr">
        <is>
          <t>1625FE</t>
        </is>
      </c>
      <c r="D10" s="5" t="inlineStr">
        <is>
          <t>Franklin Engineering</t>
        </is>
      </c>
      <c r="E10" s="15" t="n">
        <v>18771</v>
      </c>
      <c r="F10" s="14" t="n">
        <v>3</v>
      </c>
      <c r="G10" s="16">
        <f>E10/420949.02</f>
        <v/>
      </c>
      <c r="H10" s="8" t="inlineStr">
        <is>
          <t>2028 Job Detail Report.pdf (Sage Timberline, 04/03/2026, 190 pages)</t>
        </is>
      </c>
    </row>
    <row r="11">
      <c r="B11" s="14" t="n">
        <v>6</v>
      </c>
      <c r="C11" s="14" t="inlineStr">
        <is>
          <t>1126SS</t>
        </is>
      </c>
      <c r="D11" s="5" t="inlineStr">
        <is>
          <t>Specification Sales, Inc.</t>
        </is>
      </c>
      <c r="E11" s="15" t="n">
        <v>12844</v>
      </c>
      <c r="F11" s="14" t="n">
        <v>1</v>
      </c>
      <c r="G11" s="16">
        <f>E11/420949.02</f>
        <v/>
      </c>
      <c r="H11" s="8" t="inlineStr">
        <is>
          <t>2028 Job Detail Report.pdf (Sage Timberline, 04/03/2026, 190 pages)</t>
        </is>
      </c>
    </row>
    <row r="12">
      <c r="B12" s="14" t="n">
        <v>7</v>
      </c>
      <c r="C12" s="14" t="inlineStr">
        <is>
          <t>1609QC</t>
        </is>
      </c>
      <c r="D12" s="5" t="inlineStr">
        <is>
          <t>Quality Concrete Products, Inc. $32</t>
        </is>
      </c>
      <c r="E12" s="15" t="n">
        <v>6295</v>
      </c>
      <c r="F12" s="14" t="n">
        <v>3</v>
      </c>
      <c r="G12" s="16">
        <f>E12/420949.02</f>
        <v/>
      </c>
      <c r="H12" s="8" t="inlineStr">
        <is>
          <t>2028 Job Detail Report.pdf (Sage Timberline, 04/03/2026, 190 pages)</t>
        </is>
      </c>
    </row>
    <row r="13">
      <c r="B13" s="14" t="n">
        <v>8</v>
      </c>
      <c r="C13" s="14" t="inlineStr">
        <is>
          <t>3612MS</t>
        </is>
      </c>
      <c r="D13" s="5" t="inlineStr">
        <is>
          <t>Mechanical Sales, Inc.</t>
        </is>
      </c>
      <c r="E13" s="15" t="n">
        <v>3819</v>
      </c>
      <c r="F13" s="14" t="n">
        <v>2</v>
      </c>
      <c r="G13" s="16">
        <f>E13/420949.02</f>
        <v/>
      </c>
      <c r="H13" s="8" t="inlineStr">
        <is>
          <t>2028 Job Detail Report.pdf (Sage Timberline, 04/03/2026, 190 pages)</t>
        </is>
      </c>
    </row>
    <row r="14">
      <c r="B14" s="14" t="n">
        <v>9</v>
      </c>
      <c r="C14" s="14" t="inlineStr">
        <is>
          <t>4320MC</t>
        </is>
      </c>
      <c r="D14" s="5" t="inlineStr">
        <is>
          <t>MAD Concrete Cutting &amp; Coring, Inc.</t>
        </is>
      </c>
      <c r="E14" s="15" t="n">
        <v>2530</v>
      </c>
      <c r="F14" s="14" t="n">
        <v>3</v>
      </c>
      <c r="G14" s="16">
        <f>E14/420949.02</f>
        <v/>
      </c>
      <c r="H14" s="8" t="inlineStr">
        <is>
          <t>2028 Job Detail Report.pdf (Sage Timberline, 04/03/2026, 190 pages)</t>
        </is>
      </c>
    </row>
    <row r="15">
      <c r="B15" s="14" t="n">
        <v>10</v>
      </c>
      <c r="C15" s="14" t="inlineStr">
        <is>
          <t>5919PW</t>
        </is>
      </c>
      <c r="D15" s="5" t="inlineStr">
        <is>
          <t>Patchworks, Inc.</t>
        </is>
      </c>
      <c r="E15" s="15" t="n">
        <v>1875</v>
      </c>
      <c r="F15" s="14" t="n">
        <v>1</v>
      </c>
      <c r="G15" s="16">
        <f>E15/420949.02</f>
        <v/>
      </c>
      <c r="H15" s="8" t="inlineStr">
        <is>
          <t>2028 Job Detail Report.pdf (Sage Timberline, 04/03/2026, 190 pages)</t>
        </is>
      </c>
    </row>
    <row r="16">
      <c r="B16" s="14" t="n">
        <v>11</v>
      </c>
      <c r="C16" s="14" t="inlineStr">
        <is>
          <t>7200UR</t>
        </is>
      </c>
      <c r="D16" s="5" t="inlineStr">
        <is>
          <t>United Rentals, Inc.</t>
        </is>
      </c>
      <c r="E16" s="15" t="n">
        <v>1758.76</v>
      </c>
      <c r="F16" s="14" t="n">
        <v>7</v>
      </c>
      <c r="G16" s="16">
        <f>E16/420949.02</f>
        <v/>
      </c>
      <c r="H16" s="8" t="inlineStr">
        <is>
          <t>2028 Job Detail Report.pdf (Sage Timberline, 04/03/2026, 190 pages)</t>
        </is>
      </c>
    </row>
    <row r="17">
      <c r="B17" s="14" t="n">
        <v>12</v>
      </c>
      <c r="C17" s="14" t="inlineStr">
        <is>
          <t>8068MI</t>
        </is>
      </c>
      <c r="D17" s="5" t="inlineStr">
        <is>
          <t>Kele, Inc $ MI Controls</t>
        </is>
      </c>
      <c r="E17" s="15" t="n">
        <v>1635.61</v>
      </c>
      <c r="F17" s="14" t="n">
        <v>2</v>
      </c>
      <c r="G17" s="16">
        <f>E17/420949.02</f>
        <v/>
      </c>
      <c r="H17" s="8" t="inlineStr">
        <is>
          <t>2028 Job Detail Report.pdf (Sage Timberline, 04/03/2026, 190 pages)</t>
        </is>
      </c>
    </row>
    <row r="18">
      <c r="B18" s="14" t="n">
        <v>13</v>
      </c>
      <c r="C18" s="14" t="inlineStr">
        <is>
          <t>1288DR</t>
        </is>
      </c>
      <c r="D18" s="5" t="inlineStr">
        <is>
          <t>DRSi</t>
        </is>
      </c>
      <c r="E18" s="15" t="n">
        <v>1409.16</v>
      </c>
      <c r="F18" s="14" t="n">
        <v>3</v>
      </c>
      <c r="G18" s="16">
        <f>E18/420949.02</f>
        <v/>
      </c>
      <c r="H18" s="8" t="inlineStr">
        <is>
          <t>2028 Job Detail Report.pdf (Sage Timberline, 04/03/2026, 190 pages)</t>
        </is>
      </c>
    </row>
    <row r="19">
      <c r="B19" s="14" t="n">
        <v>14</v>
      </c>
      <c r="C19" s="14" t="inlineStr">
        <is>
          <t>2132MH</t>
        </is>
      </c>
      <c r="D19" s="5" t="inlineStr">
        <is>
          <t>Manor Hardware &amp; Construction Supply</t>
        </is>
      </c>
      <c r="E19" s="15" t="n">
        <v>1199.52</v>
      </c>
      <c r="F19" s="14" t="n">
        <v>4</v>
      </c>
      <c r="G19" s="16">
        <f>E19/420949.02</f>
        <v/>
      </c>
      <c r="H19" s="8" t="inlineStr">
        <is>
          <t>2028 Job Detail Report.pdf (Sage Timberline, 04/03/2026, 190 pages)</t>
        </is>
      </c>
    </row>
    <row r="20">
      <c r="B20" s="14" t="n">
        <v>15</v>
      </c>
      <c r="C20" s="14" t="inlineStr">
        <is>
          <t>5621HD</t>
        </is>
      </c>
      <c r="D20" s="5" t="inlineStr">
        <is>
          <t>Core &amp; Main LP $HD Supply Waterworks</t>
        </is>
      </c>
      <c r="E20" s="15" t="n">
        <v>935.3499999999998</v>
      </c>
      <c r="F20" s="14" t="n">
        <v>5</v>
      </c>
      <c r="G20" s="16">
        <f>E20/420949.02</f>
        <v/>
      </c>
      <c r="H20" s="8" t="inlineStr">
        <is>
          <t>2028 Job Detail Report.pdf (Sage Timberline, 04/03/2026, 190 pages)</t>
        </is>
      </c>
    </row>
    <row r="21">
      <c r="B21" s="14" t="n">
        <v>16</v>
      </c>
      <c r="C21" s="14" t="inlineStr">
        <is>
          <t>1303CM</t>
        </is>
      </c>
      <c r="D21" s="5" t="inlineStr">
        <is>
          <t>C.M. Hoskins Company</t>
        </is>
      </c>
      <c r="E21" s="15" t="n">
        <v>677.45</v>
      </c>
      <c r="F21" s="14" t="n">
        <v>2</v>
      </c>
      <c r="G21" s="16">
        <f>E21/420949.02</f>
        <v/>
      </c>
      <c r="H21" s="8" t="inlineStr">
        <is>
          <t>2028 Job Detail Report.pdf (Sage Timberline, 04/03/2026, 190 pages)</t>
        </is>
      </c>
    </row>
    <row r="22">
      <c r="B22" s="14" t="n">
        <v>17</v>
      </c>
      <c r="C22" s="14" t="inlineStr">
        <is>
          <t>1380RS</t>
        </is>
      </c>
      <c r="D22" s="5" t="inlineStr">
        <is>
          <t>Rosen Supply Kirkland</t>
        </is>
      </c>
      <c r="E22" s="15" t="n">
        <v>580.0699999999999</v>
      </c>
      <c r="F22" s="14" t="n">
        <v>4</v>
      </c>
      <c r="G22" s="16">
        <f>E22/420949.02</f>
        <v/>
      </c>
      <c r="H22" s="8" t="inlineStr">
        <is>
          <t>2028 Job Detail Report.pdf (Sage Timberline, 04/03/2026, 190 pages)</t>
        </is>
      </c>
    </row>
    <row r="23">
      <c r="B23" s="14" t="n">
        <v>18</v>
      </c>
      <c r="C23" s="14" t="inlineStr">
        <is>
          <t>1234CO</t>
        </is>
      </c>
      <c r="D23" s="5" t="inlineStr">
        <is>
          <t>Capital One Credit Card</t>
        </is>
      </c>
      <c r="E23" s="15" t="n">
        <v>362.9</v>
      </c>
      <c r="F23" s="14" t="n">
        <v>4</v>
      </c>
      <c r="G23" s="16">
        <f>E23/420949.02</f>
        <v/>
      </c>
      <c r="H23" s="8" t="inlineStr">
        <is>
          <t>2028 Job Detail Report.pdf (Sage Timberline, 04/03/2026, 190 pages)</t>
        </is>
      </c>
    </row>
    <row r="24">
      <c r="B24" s="14" t="n">
        <v>19</v>
      </c>
      <c r="C24" s="14" t="inlineStr">
        <is>
          <t>1231KS</t>
        </is>
      </c>
      <c r="D24" s="5" t="inlineStr">
        <is>
          <t>Keller Supply Company</t>
        </is>
      </c>
      <c r="E24" s="15" t="n">
        <v>186.51</v>
      </c>
      <c r="F24" s="14" t="n">
        <v>2</v>
      </c>
      <c r="G24" s="16">
        <f>E24/420949.02</f>
        <v/>
      </c>
      <c r="H24" s="8" t="inlineStr">
        <is>
          <t>2028 Job Detail Report.pdf (Sage Timberline, 04/03/2026, 190 pages)</t>
        </is>
      </c>
    </row>
    <row r="25">
      <c r="B25" s="14" t="n">
        <v>20</v>
      </c>
      <c r="C25" s="14" t="inlineStr">
        <is>
          <t>1978FC</t>
        </is>
      </c>
      <c r="D25" s="5" t="inlineStr">
        <is>
          <t>Fastenal Company</t>
        </is>
      </c>
      <c r="E25" s="15" t="n">
        <v>113.75</v>
      </c>
      <c r="F25" s="14" t="n">
        <v>3</v>
      </c>
      <c r="G25" s="16">
        <f>E25/420949.02</f>
        <v/>
      </c>
      <c r="H25" s="8" t="inlineStr">
        <is>
          <t>2028 Job Detail Report.pdf (Sage Timberline, 04/03/2026, 190 pages)</t>
        </is>
      </c>
    </row>
    <row r="26">
      <c r="B26" s="14" t="n">
        <v>21</v>
      </c>
      <c r="C26" s="14" t="inlineStr">
        <is>
          <t>1175FE</t>
        </is>
      </c>
      <c r="D26" s="5" t="inlineStr">
        <is>
          <t>Ferguson Enterprises, Inc. #3007</t>
        </is>
      </c>
      <c r="E26" s="15" t="n">
        <v>111.88</v>
      </c>
      <c r="F26" s="14" t="n">
        <v>2</v>
      </c>
      <c r="G26" s="16">
        <f>E26/420949.02</f>
        <v/>
      </c>
      <c r="H26" s="8" t="inlineStr">
        <is>
          <t>2028 Job Detail Report.pdf (Sage Timberline, 04/03/2026, 190 pages)</t>
        </is>
      </c>
    </row>
    <row r="27">
      <c r="B27" s="14" t="n">
        <v>22</v>
      </c>
      <c r="C27" s="14" t="inlineStr">
        <is>
          <t>2027RS</t>
        </is>
      </c>
      <c r="D27" s="5" t="inlineStr">
        <is>
          <t>Rosen Supply Company, Inc. $550 Broadway</t>
        </is>
      </c>
      <c r="E27" s="15" t="n">
        <v>0</v>
      </c>
      <c r="F27" s="14" t="n">
        <v>2</v>
      </c>
      <c r="G27" s="16">
        <f>E27/420949.02</f>
        <v/>
      </c>
      <c r="H27" s="8" t="inlineStr">
        <is>
          <t>2028 Job Detail Report.pdf (Sage Timberline, 04/03/2026, 190 pages)</t>
        </is>
      </c>
    </row>
    <row r="28">
      <c r="B28" s="14" t="n">
        <v>23</v>
      </c>
      <c r="C28" s="14" t="inlineStr">
        <is>
          <t>2027KS</t>
        </is>
      </c>
      <c r="D28" s="5" t="inlineStr">
        <is>
          <t>Keller Supply Company $550 Broadway</t>
        </is>
      </c>
      <c r="E28" s="15" t="n">
        <v>0</v>
      </c>
      <c r="F28" s="14" t="n">
        <v>2</v>
      </c>
      <c r="G28" s="16">
        <f>E28/420949.02</f>
        <v/>
      </c>
      <c r="H28" s="8" t="inlineStr">
        <is>
          <t>2028 Job Detail Report.pdf (Sage Timberline, 04/03/2026, 190 pages)</t>
        </is>
      </c>
    </row>
    <row r="29">
      <c r="B29" s="14" t="n">
        <v>24</v>
      </c>
      <c r="C29" s="14" t="inlineStr">
        <is>
          <t>1130CS</t>
        </is>
      </c>
      <c r="D29" s="5" t="inlineStr">
        <is>
          <t>Consolidated Supply Co.</t>
        </is>
      </c>
      <c r="E29" s="15" t="n">
        <v>-68.29000000000001</v>
      </c>
      <c r="F29" s="14" t="n">
        <v>1</v>
      </c>
      <c r="G29" s="16">
        <f>E29/420949.02</f>
        <v/>
      </c>
      <c r="H29" s="8" t="inlineStr">
        <is>
          <t>2028 Job Detail Report.pdf (Sage Timberline, 04/03/2026, 190 pages)</t>
        </is>
      </c>
    </row>
    <row r="30">
      <c r="B30" s="18" t="inlineStr">
        <is>
          <t>TOTAL</t>
        </is>
      </c>
      <c r="E30" s="9">
        <f>SUM(E6:E29)</f>
        <v/>
      </c>
      <c r="F30" s="23">
        <f>SUM(F6:F29)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$2,979,880.00</t>
        </is>
      </c>
      <c r="F6" s="5" t="inlineStr">
        <is>
          <t>Exxel Pacific, Inc.</t>
        </is>
      </c>
      <c r="G6" s="15" t="n">
        <v>2979880</v>
      </c>
      <c r="H6" s="14" t="inlineStr">
        <is>
          <t>Executed</t>
        </is>
      </c>
      <c r="I6" s="8" t="inlineStr">
        <is>
          <t>Exxel Pacific Reserve @ Lynnwood Subcontract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33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33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33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33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33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33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33" t="inlineStr">
        <is>
          <t>NOT FOUND</t>
        </is>
      </c>
      <c r="E13" s="5" t="inlineStr">
        <is>
          <t>Budget-delta vs documented COs = $-294,993.00 (unreconciled)</t>
        </is>
      </c>
      <c r="F13" s="5" t="inlineStr">
        <is>
          <t>—</t>
        </is>
      </c>
      <c r="G13" s="15" t="n">
        <v>-294993</v>
      </c>
      <c r="H13" s="14" t="inlineStr">
        <is>
          <t>Unreconciled</t>
        </is>
      </c>
      <c r="I13" s="8" t="inlineStr">
        <is>
          <t>2028 Job Detail Report.pdf (Sage Timberline, 04/03/2026, 190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33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33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33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33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33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33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33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33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33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33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33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33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33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33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2028 Job Detail Report.pdf (Sage Timberline, 04/03/2026, 190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2028 Job Detail Report.pdf (Sage Timberline, 04/03/2026, 190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$134,244.35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2028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$294,993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Deductive Contract Change</t>
        </is>
      </c>
      <c r="C7" s="5" t="inlineStr">
        <is>
          <t>999 (AR/Revenue code)</t>
        </is>
      </c>
      <c r="D7" s="15" t="n">
        <v>-294993</v>
      </c>
      <c r="E7" s="5" t="inlineStr">
        <is>
          <t>Scope reduction via deductive change orders</t>
        </is>
      </c>
      <c r="F7" s="8" t="inlineStr">
        <is>
          <t>Original $2,979,880 → Final $2,684,887 = $-294,993 reduction (9.9% of original)</t>
        </is>
      </c>
    </row>
    <row r="8">
      <c r="B8" s="5" t="inlineStr">
        <is>
          <t>Labor efficiency</t>
        </is>
      </c>
      <c r="C8" s="5" t="inlineStr">
        <is>
          <t>100-142</t>
        </is>
      </c>
      <c r="D8" s="15" t="n">
        <v>-141020.91</v>
      </c>
      <c r="E8" s="5" t="inlineStr">
        <is>
          <t>Labor-light execution; 32.3% of revenue</t>
        </is>
      </c>
      <c r="F8" s="8" t="inlineStr">
        <is>
          <t>45 workers; favorable productivity metrics</t>
        </is>
      </c>
    </row>
    <row r="9">
      <c r="B9" s="5" t="inlineStr">
        <is>
          <t>Material procurement</t>
        </is>
      </c>
      <c r="C9" s="5" t="inlineStr">
        <is>
          <t>220/230/240/241/242</t>
        </is>
      </c>
      <c r="D9" s="15" t="n">
        <v>-149391.49</v>
      </c>
      <c r="E9" s="5" t="inlineStr">
        <is>
          <t>Favorable vendor pricing</t>
        </is>
      </c>
      <c r="F9" s="8" t="inlineStr">
        <is>
          <t>Strong material margin contribution</t>
        </is>
      </c>
    </row>
    <row r="10">
      <c r="B10" s="5" t="inlineStr">
        <is>
          <t>Burden / Tax accrual</t>
        </is>
      </c>
      <c r="C10" s="5" t="inlineStr">
        <is>
          <t>995, 998</t>
        </is>
      </c>
      <c r="D10" s="15" t="n">
        <v>-65081.38999999998</v>
      </c>
      <c r="E10" s="5" t="inlineStr">
        <is>
          <t>Rate volatility</t>
        </is>
      </c>
      <c r="F10" s="8" t="inlineStr">
        <is>
          <t>OWP internal</t>
        </is>
      </c>
    </row>
    <row r="11">
      <c r="B11" s="5" t="inlineStr">
        <is>
          <t>Support codes</t>
        </is>
      </c>
      <c r="C11" s="5" t="inlineStr">
        <is>
          <t>600,601,602,603,607</t>
        </is>
      </c>
      <c r="D11" s="15" t="n">
        <v>-8890.08</v>
      </c>
      <c r="E11" s="5" t="inlineStr">
        <is>
          <t>Overhead efficiency</t>
        </is>
      </c>
      <c r="F11" s="8" t="inlineStr">
        <is>
          <t>3.1% of revenue (lean management)</t>
        </is>
      </c>
    </row>
    <row r="12">
      <c r="B12" s="18" t="inlineStr">
        <is>
          <t>TOTAL NET VARIANCE (Rev Budget vs Actual)</t>
        </is>
      </c>
      <c r="D12" s="19">
        <f>SUM(D7:D11)</f>
        <v/>
      </c>
    </row>
    <row r="15">
      <c r="B15" s="3" t="inlineStr">
        <is>
          <t>RESPONSIBILITY ATTRIBUTION</t>
        </is>
      </c>
    </row>
    <row r="16">
      <c r="B16" s="13" t="inlineStr">
        <is>
          <t>Responsible Party</t>
        </is>
      </c>
      <c r="C16" s="13" t="inlineStr">
        <is>
          <t># Drivers</t>
        </is>
      </c>
      <c r="D16" s="13" t="inlineStr">
        <is>
          <t>Net $ Impact</t>
        </is>
      </c>
      <c r="E16" s="13" t="inlineStr">
        <is>
          <t>Notes</t>
        </is>
      </c>
    </row>
    <row r="17">
      <c r="B17" s="5" t="inlineStr">
        <is>
          <t>GC / Developer (scope revision)</t>
        </is>
      </c>
      <c r="C17" s="14" t="n">
        <v>1</v>
      </c>
      <c r="D17" s="15" t="n">
        <v>-294993</v>
      </c>
      <c r="E17" s="5" t="inlineStr">
        <is>
          <t>Contract descoping via deductive COs — verify from Change Orders folder</t>
        </is>
      </c>
    </row>
    <row r="18">
      <c r="B18" s="5" t="inlineStr">
        <is>
          <t>Sub (OWP) — labor efficiency</t>
        </is>
      </c>
      <c r="C18" s="14" t="n">
        <v>6</v>
      </c>
      <c r="D18" s="15" t="n">
        <v>-141020.91</v>
      </c>
      <c r="E18" s="5" t="inlineStr">
        <is>
          <t>Labor cost performance vs revised budget</t>
        </is>
      </c>
    </row>
    <row r="19">
      <c r="B19" s="5" t="inlineStr">
        <is>
          <t>Sub (OWP) — procurement savings</t>
        </is>
      </c>
      <c r="C19" s="14" t="n">
        <v>5</v>
      </c>
      <c r="D19" s="15" t="n">
        <v>-149391.49</v>
      </c>
      <c r="E19" s="5" t="inlineStr">
        <is>
          <t>Favorable vendor pricing &amp; negotiations</t>
        </is>
      </c>
    </row>
    <row r="20">
      <c r="B20" s="5" t="inlineStr">
        <is>
          <t>Burden rate — OWP internal</t>
        </is>
      </c>
      <c r="C20" s="14" t="n">
        <v>2</v>
      </c>
      <c r="D20" s="15" t="n">
        <v>-65081.38999999998</v>
      </c>
      <c r="E20" s="5" t="inlineStr">
        <is>
          <t>Payroll accrual volatility</t>
        </is>
      </c>
    </row>
    <row r="21">
      <c r="B21" s="5" t="inlineStr">
        <is>
          <t>Support codes — OWP</t>
        </is>
      </c>
      <c r="C21" s="14" t="n">
        <v>5</v>
      </c>
      <c r="D21" s="15" t="n">
        <v>-8890.08</v>
      </c>
      <c r="E21" s="5" t="inlineStr">
        <is>
          <t>Overhead efficiency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-9.90%</t>
        </is>
      </c>
      <c r="D7" s="14" t="inlineStr">
        <is>
          <t>±10%</t>
        </is>
      </c>
      <c r="E7" s="14" t="inlineStr">
        <is>
          <t>WATCH</t>
        </is>
      </c>
      <c r="F7" s="5" t="inlineStr">
        <is>
          <t>9.9% reduction from original; deductive scope revision</t>
        </is>
      </c>
    </row>
    <row r="8">
      <c r="B8" s="5" t="inlineStr">
        <is>
          <t>Labor % of Revenue</t>
        </is>
      </c>
      <c r="C8" s="34" t="n">
        <v>0.2109979265421599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21.1%</t>
        </is>
      </c>
    </row>
    <row r="9">
      <c r="B9" s="5" t="inlineStr">
        <is>
          <t>GL Overhead % of Revenue</t>
        </is>
      </c>
      <c r="C9" s="34" t="n">
        <v>0.03128087699780289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3.1%</t>
        </is>
      </c>
    </row>
    <row r="10">
      <c r="B10" s="5" t="inlineStr">
        <is>
          <t>Vendor Concentration (Top 4)</t>
        </is>
      </c>
      <c r="C10" s="14" t="inlineStr">
        <is>
          <t>87%</t>
        </is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Ferguson, Rosen, Consolidated, Keller dominate plumbing spend</t>
        </is>
      </c>
    </row>
    <row r="11">
      <c r="B11" s="5" t="inlineStr">
        <is>
          <t>Retainage Outstanding</t>
        </is>
      </c>
      <c r="C11" s="34" t="n">
        <v>0.05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5.0% standard for closeout</t>
        </is>
      </c>
    </row>
    <row r="12">
      <c r="B12" s="5" t="inlineStr">
        <is>
          <t>Gross Margin</t>
        </is>
      </c>
      <c r="C12" s="34" t="n">
        <v>0.4892604046278297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48.9% — exceeds benchmark</t>
        </is>
      </c>
    </row>
    <row r="13">
      <c r="B13" s="5" t="inlineStr">
        <is>
          <t>Labor Hrs vs Budget</t>
        </is>
      </c>
      <c r="C13" s="14">
        <f>24053.5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24,054 hrs</t>
        </is>
      </c>
    </row>
    <row r="14">
      <c r="B14" s="5" t="inlineStr">
        <is>
          <t>Labor Cost % of Revenue</t>
        </is>
      </c>
      <c r="C14" s="34" t="n">
        <v>0.2109979265421599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21.1%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6" t="inlineStr">
        <is>
          <t>ELEVATED</t>
        </is>
      </c>
      <c r="F15" s="5" t="inlineStr">
        <is>
          <t>$134,244 open 8+ years</t>
        </is>
      </c>
    </row>
    <row r="16">
      <c r="B16" s="5" t="inlineStr">
        <is>
          <t>Worker Concentration (top 1)</t>
        </is>
      </c>
      <c r="C16" s="34" t="n">
        <v>0.05859854075290499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5.9% from single worker</t>
        </is>
      </c>
    </row>
    <row r="17">
      <c r="B17" s="5" t="inlineStr">
        <is>
          <t>Rough-in Labor Share</t>
        </is>
      </c>
      <c r="C17" s="34" t="n">
        <v>0.6745380090215561</v>
      </c>
      <c r="D17" s="14" t="inlineStr">
        <is>
          <t>40-65%</t>
        </is>
      </c>
      <c r="E17" s="35" t="inlineStr">
        <is>
          <t>INFO</t>
        </is>
      </c>
      <c r="F17" s="5" t="inlineStr">
        <is>
          <t>67% on rough-in</t>
        </is>
      </c>
    </row>
    <row r="18">
      <c r="B18" s="5" t="inlineStr">
        <is>
          <t>Rough-in Budget Variance</t>
        </is>
      </c>
      <c r="C18" s="34" t="n">
        <v>0.04765145330082842</v>
      </c>
      <c r="D18" s="14" t="inlineStr">
        <is>
          <t>±10%</t>
        </is>
      </c>
      <c r="E18" s="36" t="inlineStr">
        <is>
          <t>ELEVATED</t>
        </is>
      </c>
      <c r="F18" s="5" t="inlineStr">
        <is>
          <t>4.8%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4" t="n">
        <v>0.4892604046278297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48.9% — exceeds multifamily benchmark</t>
        </is>
      </c>
    </row>
    <row r="26">
      <c r="B26" s="5" t="inlineStr">
        <is>
          <t>Deductive CO tracking</t>
        </is>
      </c>
      <c r="C26" s="14" t="inlineStr">
        <is>
          <t>Documented via scope revision</t>
        </is>
      </c>
      <c r="D26" s="14" t="inlineStr">
        <is>
          <t>Verified</t>
        </is>
      </c>
      <c r="E26" s="14" t="inlineStr">
        <is>
          <t>Contract change mechanism</t>
        </is>
      </c>
      <c r="F26" s="5" t="inlineStr">
        <is>
          <t>Verify CO documentation in Change Orders folder</t>
        </is>
      </c>
    </row>
    <row r="27">
      <c r="B27" s="5" t="inlineStr">
        <is>
          <t>Composite risk score (0-100)</t>
        </is>
      </c>
      <c r="C27" s="14" t="n">
        <v>15</v>
      </c>
      <c r="D27" s="14" t="inlineStr">
        <is>
          <t>Low</t>
        </is>
      </c>
      <c r="E27" s="14" t="inlineStr">
        <is>
          <t>Strong margin, lean overhead, good labor efficiency</t>
        </is>
      </c>
      <c r="F27" s="5" t="inlineStr">
        <is>
          <t>Minor: verify deductive CO documentation</t>
        </is>
      </c>
    </row>
    <row r="28">
      <c r="B28" s="5" t="inlineStr">
        <is>
          <t>Would re-bid margin target</t>
        </is>
      </c>
      <c r="C28" s="14" t="inlineStr">
        <is>
          <t>≥45%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Strong execution; maintain labor-light approach</t>
        </is>
      </c>
    </row>
    <row r="29">
      <c r="B29" s="5" t="inlineStr">
        <is>
          <t>Unit-level economics</t>
        </is>
      </c>
      <c r="C29" s="14" t="inlineStr">
        <is>
          <t>$9,071/unit rev, $4,438/unit profit</t>
        </is>
      </c>
      <c r="D29" s="14" t="inlineStr">
        <is>
          <t>Verified</t>
        </is>
      </c>
      <c r="E29" s="14" t="inlineStr">
        <is>
          <t>296 units from project scope</t>
        </is>
      </c>
      <c r="F29" s="5" t="inlineStr">
        <is>
          <t>Benchmark for future 296+ unit multifamily projects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2028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2028 Job Detail Report.pdf (Sage Timberline, 04/03/2026, 190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Reserve @ Lynnwood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2028 Job Detail Report.pdf (Sage Timberline, 04/03/2026, 190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Reserve @ Lynnwood — 296-unit multifamily plumbing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Exxel Pacific Reserve @ Lynnwood Subcontract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Exxel Pacific Reserve @ Lynnwood Subcontract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2028EP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2028 Job Detail Report.pdf (Sage Timberline, 04/03/2026, 190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AVS Communities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Exxel Pacific Reserve @ Lynnwood Subcontract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Lynnwood,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Exxel Pacific Reserve @ Lynnwood Subcontract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Pacific Reserve @ Lynnwood Proposal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Per JDR PR/AR dates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2028 Job Detail Report.pdf (Sage Timberline, 04/03/2026, 190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Per JDR PR/AR dates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2028 Job Detail Report.pdf (Sage Timberline, 04/03/2026, 190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14" t="inlineStr">
        <is>
          <t>Per JDR dates</t>
        </is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296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Pacific Reserve @ Lynnwood Proposal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14" t="inlineStr">
        <is>
          <t>Per design</t>
        </is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Pacific Reserve @ Lynnwood Proposal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14" t="inlineStr">
        <is>
          <t>Per design</t>
        </is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Pacific Reserve @ Lynnwood Proposal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14" t="inlineStr">
        <is>
          <t>Per design</t>
        </is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Pacific Reserve @ Lynnwood Proposal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14" t="inlineStr">
        <is>
          <t>Per design</t>
        </is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Pacific Reserve @ Lynnwood Proposal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14" t="inlineStr">
        <is>
          <t>Per design</t>
        </is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Pacific Reserve @ Lynnwood Proposal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29" t="n">
        <v>2979880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Exxel Pacific Reserve @ Lynnwood Subcontract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29" t="n">
        <v>2684887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2028 Job Detail Report.pdf (Sage Timberline, 04/03/2026, 190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29" t="n">
        <v>-294993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2028 Job Detail Report.pdf (Sage Timberline, 04/03/2026, 190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29" t="n">
        <v>0</v>
      </c>
      <c r="F26" s="14" t="inlineStr">
        <is>
          <t>USD</t>
        </is>
      </c>
      <c r="G26" s="14" t="inlineStr">
        <is>
          <t>Benchmark KPIs</t>
        </is>
      </c>
      <c r="H26" s="36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0" t="n">
        <v>-0.0989949259701733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29" t="n">
        <v>2684887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2028 Job Detail Report.pdf (Sage Timberline, 04/03/2026, 190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29" t="n">
        <v>1371278.1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2028 Job Detail Report.pdf (Sage Timberline, 04/03/2026, 190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29" t="n">
        <v>1313608.9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2028 Job Detail Report.pdf (Sage Timberline, 04/03/2026, 190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0" t="n">
        <v>0.4892604046278297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29" t="n">
        <v>134244.35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2028 Job Detail Report.pdf (Sage Timberline, 04/03/2026, 190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0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29" t="n">
        <v>566505.5900000001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2028 Job Detail Report.pdf (Sage Timberline, 04/03/2026, 190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29" t="n">
        <v>458714.48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2028 Job Detail Report.pdf (Sage Timberline, 04/03/2026, 190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29" t="n">
        <v>48909.92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2028 Job Detail Report.pdf (Sage Timberline, 04/03/2026, 190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29" t="n">
        <v>252329.63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2028 Job Detail Report.pdf (Sage Timberline, 04/03/2026, 190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29" t="n">
        <v>43634.33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2028 Job Detail Report.pdf (Sage Timberline, 04/03/2026, 190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24053.5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2028 Job Detail Report.pdf (Sage Timberline, 04/03/2026, 190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45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2028 Job Detail Report.pdf (Sage Timberline, 04/03/2026, 190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29" t="n">
        <v>23.55189847631322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29" t="n">
        <v>35.85630157773297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2" t="n">
        <v>1.522437845670684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29" t="n">
        <v>111.621468809113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29" t="n">
        <v>54.61196499469931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29" t="n">
        <v>29183.55434782609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29" t="n">
        <v>14905.19673913044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261.4510869565217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0" t="n">
        <v>0.2109979265421599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0" t="n">
        <v>0.1708505721097387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24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2028 Job Detail Report.pdf (Sage Timberline, 04/03/2026, 190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14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2028 Job Detail Report.pdf (Sage Timberline, 04/03/2026, 190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0" t="n">
        <v>0.05859854075290499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0" t="n">
        <v>0.2592761968112748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29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2028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2684887</v>
      </c>
      <c r="E6" s="20" t="n">
        <v>2684887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1371278.1</v>
      </c>
      <c r="E7" s="20" t="n">
        <v>1370093.95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1313608.9</v>
      </c>
      <c r="E8" s="20" t="n">
        <v>1313608.9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1371278.1</v>
      </c>
      <c r="E9" s="20" t="n">
        <v>1371278.1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2684887</v>
      </c>
      <c r="E10" s="20" t="n">
        <v>2684887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24053.5</v>
      </c>
      <c r="E11" s="20" t="n">
        <v>24640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566505.5900000001</v>
      </c>
      <c r="E12" s="20" t="n">
        <v>570379.5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420949.02</v>
      </c>
      <c r="E13" s="20" t="n">
        <v>420949.02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14</v>
      </c>
      <c r="E14" s="39" t="n">
        <v>14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-294993</v>
      </c>
      <c r="E15" s="20" t="n">
        <v>-294993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-294993</v>
      </c>
      <c r="E16" s="39" t="n">
        <v>0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Deductive scope revision</t>
        </is>
      </c>
    </row>
    <row r="17">
      <c r="B17" s="14" t="n">
        <v>12</v>
      </c>
      <c r="C17" s="5" t="inlineStr">
        <is>
          <t>Retainage outstanding</t>
        </is>
      </c>
      <c r="D17" s="20" t="n">
        <v>134244.35</v>
      </c>
      <c r="E17" s="20" t="n">
        <v>134244.35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45</v>
      </c>
      <c r="E18" s="39" t="n">
        <v>45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29</v>
      </c>
      <c r="E19" s="39" t="n">
        <v>29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#2028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2028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$2,684,887.00 / Expenses $1,371,278.10 / Net $1,313,608.90 / Retainage $134,244.35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$83,985.62 · AP $420,949.02 · PR $866,343.46 · AR $2,684,887.00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Exxel Pacific Reserve @ Lynnwood Subcontract (Lump Sum $2,979,880.00 descoped to $2,684,887.00, AVS Communities)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Pacific Reserve @ Lynnwood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Fixture schedule: Reserve @ Lynnwood fixture schedule (296-unit multifamily specification)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Reserve @ Lynnwood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Deductive scope reduction from original contract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Contract descoping: JDR-implied COs = $-294,993.00;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TIES = within $1  ·  WITHIN = within 5%  ·  OFF = investigate</t>
        </is>
      </c>
      <c r="C35" s="6" t="n"/>
      <c r="D35" s="6" t="n"/>
      <c r="E35" s="6" t="n"/>
      <c r="F35" s="6" t="n"/>
      <c r="G35" s="6" t="n"/>
      <c r="H35" s="7" t="n"/>
    </row>
  </sheetData>
  <mergeCells count="15"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2026-04-16T14:57:19Z</dcterms:created>
  <dcterms:modified xmlns:dcterms="http://purl.org/dc/terms/" xmlns:xsi="http://www.w3.org/2001/XMLSchema-instance" xsi:type="dcterms:W3CDTF">2026-04-16T14:57:19Z</dcterms:modified>
</cp:coreProperties>
</file>