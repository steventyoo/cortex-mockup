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<sst xmlns="http://schemas.openxmlformats.org/spreadsheetml/2006/main" count="838" uniqueCount="446">
  <si>
    <t xml:space="preserve">Job #2061 · Alta Columbia City</t>
  </si>
  <si>
    <t xml:space="preserve">Cortex JCR Summary  •  Exxel Pacific (Owner: Gateway Alta Rainer Owner, LLC)</t>
  </si>
  <si>
    <t xml:space="preserve">PROJECT OVERVIEW</t>
  </si>
  <si>
    <t xml:space="preserve">Project Job #</t>
  </si>
  <si>
    <t xml:space="preserve">2061</t>
  </si>
  <si>
    <t xml:space="preserve">Project Name:</t>
  </si>
  <si>
    <t xml:space="preserve">Alta Columbia City</t>
  </si>
  <si>
    <t xml:space="preserve">General Contractor</t>
  </si>
  <si>
    <t xml:space="preserve">Exxel Pacific (Owner: Gateway Alta Rainer Owner, LLC)</t>
  </si>
  <si>
    <t xml:space="preserve">Location</t>
  </si>
  <si>
    <t xml:space="preserve">3717 South Alaska Street, Seattle, WA 98118 (Columbia City)</t>
  </si>
  <si>
    <t xml:space="preserve">Project Duration</t>
  </si>
  <si>
    <t xml:space="preserve">Jun 2019 – May 2022 (~35 months)</t>
  </si>
  <si>
    <t xml:space="preserve">Status</t>
  </si>
  <si>
    <t xml:space="preserve">CLOSED · 41.4% margin · retention released</t>
  </si>
  <si>
    <t xml:space="preserve">CONTRACT VALUE</t>
  </si>
  <si>
    <t xml:space="preserve">FORECAST NET PROFIT</t>
  </si>
  <si>
    <t xml:space="preserve">DIRECT COST</t>
  </si>
  <si>
    <t xml:space="preserve">LABOR HOURS</t>
  </si>
  <si>
    <t xml:space="preserve">$4,430,088</t>
  </si>
  <si>
    <t xml:space="preserve">$1,832,588</t>
  </si>
  <si>
    <t xml:space="preserve">$2,597,500</t>
  </si>
  <si>
    <t xml:space="preserve">28,516</t>
  </si>
  <si>
    <t xml:space="preserve">$4,305,550 orig + $124,538 COs</t>
  </si>
  <si>
    <t xml:space="preserve">41.4% margin</t>
  </si>
  <si>
    <t xml:space="preserve">58.6% of revenue</t>
  </si>
  <si>
    <t xml:space="preserve">58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</si>
  <si>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</si>
  <si>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</si>
  <si>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</si>
  <si>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</si>
  <si>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</si>
  <si>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</si>
  <si>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</si>
  <si>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</si>
  <si>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</si>
  <si>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</si>
  <si>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</si>
  <si>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</si>
  <si>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</si>
  <si>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Plumbing Units</t>
  </si>
  <si>
    <t xml:space="preserve">Total Fixtures</t>
  </si>
  <si>
    <t xml:space="preserve">30+ fixture types per Plumbing Fixture Schedule</t>
  </si>
  <si>
    <t xml:space="preserve">Fixtures / Unit</t>
  </si>
  <si>
    <t xml:space="preserve">Typical 4-5 per unit</t>
  </si>
  <si>
    <t xml:space="preserve">GC</t>
  </si>
  <si>
    <t xml:space="preserve">Exxel Pacific</t>
  </si>
  <si>
    <t xml:space="preserve">Owner</t>
  </si>
  <si>
    <t xml:space="preserve">Gateway Alta Rainer Owner, LLC</t>
  </si>
  <si>
    <t xml:space="preserve">Insurance</t>
  </si>
  <si>
    <t xml:space="preserve">Standard COI</t>
  </si>
  <si>
    <t xml:space="preserve">Duration</t>
  </si>
  <si>
    <t xml:space="preserve">~35 months</t>
  </si>
  <si>
    <t xml:space="preserve">Permit</t>
  </si>
  <si>
    <t xml:space="preserve">City of Seattle Plumbing + Backflow + Gas (final 2022-03-22)</t>
  </si>
  <si>
    <t xml:space="preserve">NARRATIVE</t>
  </si>
  <si>
    <t xml:space="preserve">Closed mixed-use multifamily in Columbia City, Seattle. OWP delivered 41.4% gross margin = $1.83M net profit on a $4.43M closed contract — well above the OWP closed-portfolio median (~32-36%). Modest +2.9% CO growth ($124k) primarily driven by design clarification (ASI 008/011/012, drainage updates, retail meter additions). 39 RFIs + 26 ASIs + 13 SCOs + 14 COR series resolved cleanly. Top vendor Rosen Supply Kirkland at 37.9% of $1M+ AP. OCIP wrap-up insurance via Exxel. 58 workers logged 28,516 labor hours over 35-month run. Notice of Work Completion + 65 O&amp;M close-out documents on file. Retention released in full June 2022.</t>
  </si>
  <si>
    <t xml:space="preserve">SOURCES</t>
  </si>
  <si>
    <t xml:space="preserve">Job #2061 — Alta Columbia City  •  GC: Exxel Pacific  •  Status: CLOSED · 41.4% margin · retention released</t>
  </si>
  <si>
    <t xml:space="preserve">Canonical source: 2061_data.json (Sage Timberline JDR · Apr 3 2026 run)</t>
  </si>
  <si>
    <t xml:space="preserve">Dashboard arrays: 2061_dashboard_arrays.json (mirrors index.html PROJECTS['2061'])</t>
  </si>
  <si>
    <t xml:space="preserve">Project profile: 243 units · 3717 South Alaska Street, Seattle, WA 98118 (Columbia City) · ~35 months</t>
  </si>
  <si>
    <t xml:space="preserve">Design team: Johnston Architects (architect), Franklin Engineering (MEP), VIDA (interior)</t>
  </si>
  <si>
    <t xml:space="preserve">Contract: L1.220000 · executed 2019-08-08 · $4,305,550 lump sum (AGC Washington 2009 form, modified)</t>
  </si>
  <si>
    <t xml:space="preserve">Billing: Final $4,430,088 billed · retention $221,504 released 2022-06-23</t>
  </si>
  <si>
    <t xml:space="preserve">Permit: City of Seattle Plumbing + Backflow + Gas (final 2022-03-22)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</si>
  <si>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</si>
  <si>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</si>
  <si>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</si>
  <si>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</si>
  <si>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</si>
  <si>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</si>
  <si>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</si>
  <si>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</si>
  <si>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</si>
  <si>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</si>
  <si>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</si>
  <si>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</si>
  <si>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</si>
  <si>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</si>
  <si>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</si>
  <si>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</si>
  <si>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</si>
  <si>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</si>
  <si>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</si>
  <si>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</si>
  <si>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</si>
  <si>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</si>
  <si>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</si>
  <si>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</si>
  <si>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</si>
  <si>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</si>
  <si>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</si>
  <si>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150</t>
  </si>
  <si>
    <t xml:space="preserve">Warranty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</si>
  <si>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</si>
  <si>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</si>
  <si>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</si>
  <si>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</si>
  <si>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</si>
  <si>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</si>
  <si>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</si>
  <si>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</si>
  <si>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</si>
  <si>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</si>
  <si>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</si>
  <si>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</si>
  <si>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</si>
  <si>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</si>
  <si>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</si>
  <si>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</si>
  <si>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</si>
  <si>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</si>
  <si>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</si>
  <si>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</si>
  <si>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</si>
  <si>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</si>
  <si>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</si>
  <si>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</si>
  <si>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</si>
  <si>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</si>
  <si>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</si>
  <si>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</si>
  <si>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</si>
  <si>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</si>
  <si>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</si>
  <si>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</si>
  <si>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</si>
  <si>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TOTAL Direct Cost</t>
  </si>
  <si>
    <t xml:space="preserve">Cost Breakdown — Category Deep Dive</t>
  </si>
  <si>
    <t xml:space="preserve">A. CATEGORY SHARE OF DIRECT COST</t>
  </si>
  <si>
    <t xml:space="preserve"># Codes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</si>
  <si>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</si>
  <si>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</si>
  <si>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</si>
  <si>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</si>
  <si>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</si>
  <si>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</si>
  <si>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</si>
  <si>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8 material cost codes  •  $1,024,294 JDR material  •  23 AP vendors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</si>
  <si>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</si>
  <si>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</si>
  <si>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</si>
  <si>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</si>
  <si>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</si>
  <si>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</si>
  <si>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</si>
  <si>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</si>
  <si>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Rosen Supply Kirkland</t>
  </si>
  <si>
    <t xml:space="preserve">Keller Supply Company</t>
  </si>
  <si>
    <t xml:space="preserve">Consolidated Supply Co.</t>
  </si>
  <si>
    <t xml:space="preserve">California Hydronics Corp</t>
  </si>
  <si>
    <t xml:space="preserve">Franklin Engineering</t>
  </si>
  <si>
    <t xml:space="preserve">Submeter Solutions, Inc.</t>
  </si>
  <si>
    <t xml:space="preserve">Ferguson Enterprises, Inc. #3007</t>
  </si>
  <si>
    <t xml:space="preserve">Capital One Credit Card</t>
  </si>
  <si>
    <t xml:space="preserve">Best Bath Systems</t>
  </si>
  <si>
    <t xml:space="preserve">H&amp;E Equipment Services, Inc.</t>
  </si>
  <si>
    <t xml:space="preserve">Mechanical Resource Services, Inc.</t>
  </si>
  <si>
    <t xml:space="preserve">Beacon Building Products $Atlas</t>
  </si>
  <si>
    <t xml:space="preserve">Old Castle Infrastructure, Inc.</t>
  </si>
  <si>
    <t xml:space="preserve">Chemical Products Company</t>
  </si>
  <si>
    <t xml:space="preserve">Mechanical Sales, Inc.</t>
  </si>
  <si>
    <t xml:space="preserve">Core &amp; Main LP $HD Supply Waterworks</t>
  </si>
  <si>
    <t xml:space="preserve">Kele, Inc $ MI Controls</t>
  </si>
  <si>
    <t xml:space="preserve">Scan2Core, Inc.</t>
  </si>
  <si>
    <t xml:space="preserve">Bank of America CC</t>
  </si>
  <si>
    <t xml:space="preserve">DRSi</t>
  </si>
  <si>
    <t xml:space="preserve">A.R. Brown Backflow Testing</t>
  </si>
  <si>
    <t xml:space="preserve">Washington State Ferries</t>
  </si>
  <si>
    <t xml:space="preserve">Fastenal Company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</si>
  <si>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</si>
  <si>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</si>
  <si>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</si>
  <si>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</si>
  <si>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</si>
  <si>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</si>
  <si>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Cortes Mendiola, Victor H</t>
  </si>
  <si>
    <t xml:space="preserve">Lead</t>
  </si>
  <si>
    <t xml:space="preserve">Amaya Gonzalez, Edilberto A</t>
  </si>
  <si>
    <t xml:space="preserve">Barbosa, Michael S</t>
  </si>
  <si>
    <t xml:space="preserve">Mid</t>
  </si>
  <si>
    <t xml:space="preserve">Cortes Sepulveda, Jose R</t>
  </si>
  <si>
    <t xml:space="preserve">Escalante Escobar, Boanerge</t>
  </si>
  <si>
    <t xml:space="preserve">Lima Romero, Melvin A</t>
  </si>
  <si>
    <t xml:space="preserve">Cornejo Orellana, Carlos E</t>
  </si>
  <si>
    <t xml:space="preserve">Sepulveda Gonzalez, Alfredo</t>
  </si>
  <si>
    <t xml:space="preserve">Petermeyer, Matthew W</t>
  </si>
  <si>
    <t xml:space="preserve">Apprentice</t>
  </si>
  <si>
    <t xml:space="preserve">Stahlschmidt, John P</t>
  </si>
  <si>
    <t xml:space="preserve">Eliassen, Cory H</t>
  </si>
  <si>
    <t xml:space="preserve">Garcia Perez, Ervey O</t>
  </si>
  <si>
    <t xml:space="preserve">Sanders, Allen O</t>
  </si>
  <si>
    <t xml:space="preserve">Boss, Benjamin T</t>
  </si>
  <si>
    <t xml:space="preserve">Barnhart, Thomas L</t>
  </si>
  <si>
    <t xml:space="preserve">Boss, Kyle A</t>
  </si>
  <si>
    <t xml:space="preserve">Mendoza Morales, Jesus A</t>
  </si>
  <si>
    <t xml:space="preserve">Anderson, Richard P</t>
  </si>
  <si>
    <t xml:space="preserve">Waites, Thaddeus Z</t>
  </si>
  <si>
    <t xml:space="preserve">Cruz Gonzalez, Julio C</t>
  </si>
  <si>
    <t xml:space="preserve">Gerard, Jeffrey S</t>
  </si>
  <si>
    <t xml:space="preserve">Romero Garza, Jesus I</t>
  </si>
  <si>
    <t xml:space="preserve">Ross, Kelli M</t>
  </si>
  <si>
    <t xml:space="preserve">McCabe, Thomas C</t>
  </si>
  <si>
    <t xml:space="preserve">Lopez, Maslin A</t>
  </si>
  <si>
    <t xml:space="preserve">Hawkins, Conor L</t>
  </si>
  <si>
    <t xml:space="preserve">Hansen, Paul W</t>
  </si>
  <si>
    <t xml:space="preserve">Donelson, Richard T</t>
  </si>
  <si>
    <t xml:space="preserve">Games, Jordan M</t>
  </si>
  <si>
    <t xml:space="preserve">Lucas Tzintzun, Rafael</t>
  </si>
  <si>
    <t xml:space="preserve">Ramos Herrera, Franklin J</t>
  </si>
  <si>
    <t xml:space="preserve">Trower-Kelly, Fidel D</t>
  </si>
  <si>
    <t xml:space="preserve">Esparza, Andy A</t>
  </si>
  <si>
    <t xml:space="preserve">Hubbard, Robert W</t>
  </si>
  <si>
    <t xml:space="preserve">Chevez, Herson G</t>
  </si>
  <si>
    <t xml:space="preserve">Balderas Ortiz, Ricardo I</t>
  </si>
  <si>
    <t xml:space="preserve">Paco Leyva, Orlando</t>
  </si>
  <si>
    <t xml:space="preserve">Lovo, German G</t>
  </si>
  <si>
    <t xml:space="preserve">Castro Urena, Yanely</t>
  </si>
  <si>
    <t xml:space="preserve">Avalos Soto, Veronica</t>
  </si>
  <si>
    <t xml:space="preserve">Martinez Reyes, Juan C</t>
  </si>
  <si>
    <t xml:space="preserve">Barnhart, Joseph N</t>
  </si>
  <si>
    <t xml:space="preserve">Gutierrez, Brian A</t>
  </si>
  <si>
    <t xml:space="preserve">Portillo Soriano, Walter A</t>
  </si>
  <si>
    <t xml:space="preserve">Cruz Reyes, Jose</t>
  </si>
  <si>
    <t xml:space="preserve">Silva Morales, Jair J</t>
  </si>
  <si>
    <t xml:space="preserve">Rivera, Eli P</t>
  </si>
  <si>
    <t xml:space="preserve">Gonzalez Hernandez, Josue</t>
  </si>
  <si>
    <t xml:space="preserve">Sandhu, Manveer S</t>
  </si>
  <si>
    <t xml:space="preserve">Hubbard, Justin A</t>
  </si>
  <si>
    <t xml:space="preserve">Wilson, Jr., Eric T</t>
  </si>
  <si>
    <t xml:space="preserve">Galdamez, Dagoberto A</t>
  </si>
  <si>
    <t xml:space="preserve">Mackey, Cole J</t>
  </si>
  <si>
    <t xml:space="preserve">Eisenhauer, Tommy J</t>
  </si>
  <si>
    <t xml:space="preserve">Ot-Only</t>
  </si>
  <si>
    <t xml:space="preserve">Benites Portillo, Marvin E</t>
  </si>
  <si>
    <t xml:space="preserve">Fox, Tamron P</t>
  </si>
  <si>
    <t xml:space="preserve">Sanchez Becerra, Julian A</t>
  </si>
  <si>
    <t xml:space="preserve">Taylor, Evan R</t>
  </si>
  <si>
    <t xml:space="preserve">Crew Analytics — Tier Distribution &amp; Wages</t>
  </si>
  <si>
    <t xml:space="preserve">A. TIER DISTRIBUTION</t>
  </si>
  <si>
    <t xml:space="preserve"># Workers</t>
  </si>
  <si>
    <t xml:space="preserve">% of Hours</t>
  </si>
  <si>
    <t xml:space="preserve">50.2%</t>
  </si>
  <si>
    <t xml:space="preserve">5.7%</t>
  </si>
  <si>
    <t xml:space="preserve">B. WAGE STATISTICS</t>
  </si>
  <si>
    <t xml:space="preserve">Blended labor rate ($/hr)</t>
  </si>
  <si>
    <t xml:space="preserve">Foreman labor rate ($/hr)</t>
  </si>
  <si>
    <t xml:space="preserve">Burden multiplier</t>
  </si>
  <si>
    <t xml:space="preserve">Min wage ($/hr)</t>
  </si>
  <si>
    <t xml:space="preserve">Max wage ($/hr)</t>
  </si>
  <si>
    <t xml:space="preserve">Avg hours per worker</t>
  </si>
  <si>
    <t xml:space="preserve">Productivity — Phases by Hours</t>
  </si>
  <si>
    <t xml:space="preserve">Phase</t>
  </si>
  <si>
    <t xml:space="preserve">% of Total</t>
  </si>
  <si>
    <t xml:space="preserve">Hours/Unit</t>
  </si>
  <si>
    <t xml:space="preserve">0.7%</t>
  </si>
  <si>
    <t xml:space="preserve">Takeoff &amp; Purchasing</t>
  </si>
  <si>
    <t xml:space="preserve">1.8%</t>
  </si>
  <si>
    <t xml:space="preserve">Underground</t>
  </si>
  <si>
    <t xml:space="preserve">5.8%</t>
  </si>
  <si>
    <t xml:space="preserve">Garage</t>
  </si>
  <si>
    <t xml:space="preserve">10.4%</t>
  </si>
  <si>
    <t xml:space="preserve">Canout</t>
  </si>
  <si>
    <t xml:space="preserve">3.3%</t>
  </si>
  <si>
    <t xml:space="preserve">Roughin</t>
  </si>
  <si>
    <t xml:space="preserve">53.6%</t>
  </si>
  <si>
    <t xml:space="preserve">Finish</t>
  </si>
  <si>
    <t xml:space="preserve">11.5%</t>
  </si>
  <si>
    <t xml:space="preserve">Gas</t>
  </si>
  <si>
    <t xml:space="preserve">1.7%</t>
  </si>
  <si>
    <t xml:space="preserve">Water Main/Insulation</t>
  </si>
  <si>
    <t xml:space="preserve">9.9%</t>
  </si>
  <si>
    <t xml:space="preserve">Mech Room</t>
  </si>
  <si>
    <t xml:space="preserve">2.0%</t>
  </si>
  <si>
    <t xml:space="preserve">Warranty</t>
  </si>
  <si>
    <t xml:space="preserve">0.0%</t>
  </si>
  <si>
    <t xml:space="preserve">PRODUCTIVITY RATIOS</t>
  </si>
  <si>
    <t xml:space="preserve">Revenue per unit</t>
  </si>
  <si>
    <t xml:space="preserve">$18,231</t>
  </si>
  <si>
    <t xml:space="preserve">Direct cost per unit</t>
  </si>
  <si>
    <t xml:space="preserve">$10,689</t>
  </si>
  <si>
    <t xml:space="preserve">Hours per unit</t>
  </si>
  <si>
    <t xml:space="preserve">115.82</t>
  </si>
  <si>
    <t xml:space="preserve">Revenue per hour</t>
  </si>
  <si>
    <t xml:space="preserve">$157</t>
  </si>
  <si>
    <t xml:space="preserve">Profit per hour</t>
  </si>
  <si>
    <t xml:space="preserve">$65</t>
  </si>
  <si>
    <t xml:space="preserve">PO Commitments — Vendor Concentration</t>
  </si>
  <si>
    <t xml:space="preserve">Per-PO records live in GDrive. This tab summarizes commitments by vendor concentration.</t>
  </si>
  <si>
    <t xml:space="preserve">#</t>
  </si>
  <si>
    <t xml:space="preserve">37.9%</t>
  </si>
  <si>
    <t xml:space="preserve">Top 5</t>
  </si>
  <si>
    <t xml:space="preserve">22.2%</t>
  </si>
  <si>
    <t xml:space="preserve">8.7%</t>
  </si>
  <si>
    <t xml:space="preserve">7.5%</t>
  </si>
  <si>
    <t xml:space="preserve">6.9%</t>
  </si>
  <si>
    <t xml:space="preserve">4.5%</t>
  </si>
  <si>
    <t xml:space="preserve">Top 10</t>
  </si>
  <si>
    <t xml:space="preserve">3.6%</t>
  </si>
  <si>
    <t xml:space="preserve">2.7%</t>
  </si>
  <si>
    <t xml:space="preserve">1.6%</t>
  </si>
  <si>
    <t xml:space="preserve">1.2%</t>
  </si>
  <si>
    <t xml:space="preserve">0.8%</t>
  </si>
  <si>
    <t xml:space="preserve">Long tail</t>
  </si>
  <si>
    <t xml:space="preserve">0.5%</t>
  </si>
  <si>
    <t xml:space="preserve">0.4%</t>
  </si>
  <si>
    <t xml:space="preserve">0.3%</t>
  </si>
  <si>
    <t xml:space="preserve">0.2%</t>
  </si>
  <si>
    <t xml:space="preserve">0.1%</t>
  </si>
  <si>
    <t xml:space="preserve">Billing &amp; Statement of Values</t>
  </si>
  <si>
    <t xml:space="preserve">STATEMENT OF VALUES — SUMMARY</t>
  </si>
  <si>
    <t xml:space="preserve">Original Contract</t>
  </si>
  <si>
    <t xml:space="preserve">$4,305,550</t>
  </si>
  <si>
    <t xml:space="preserve">Net Change Orders</t>
  </si>
  <si>
    <t xml:space="preserve">$124,538</t>
  </si>
  <si>
    <t xml:space="preserve">Final Contract</t>
  </si>
  <si>
    <t xml:space="preserve">Retainage Held</t>
  </si>
  <si>
    <t xml:space="preserve">$221,504</t>
  </si>
  <si>
    <t xml:space="preserve">Net Paid to OWP</t>
  </si>
  <si>
    <t xml:space="preserve">$4,208,583</t>
  </si>
  <si>
    <t xml:space="preserve">PAY APPLICATION HISTORY</t>
  </si>
  <si>
    <t xml:space="preserve">Pay App #</t>
  </si>
  <si>
    <t xml:space="preserve">Date</t>
  </si>
  <si>
    <t xml:space="preserve">This Period</t>
  </si>
  <si>
    <t xml:space="preserve">Retainage</t>
  </si>
  <si>
    <t xml:space="preserve">Net</t>
  </si>
  <si>
    <t xml:space="preserve">Cumulative</t>
  </si>
  <si>
    <t xml:space="preserve">% Contract</t>
  </si>
  <si>
    <t xml:space="preserve">01/14/22</t>
  </si>
  <si>
    <t xml:space="preserve">01/20/20</t>
  </si>
  <si>
    <t xml:space="preserve">01/20/21</t>
  </si>
  <si>
    <t xml:space="preserve">13.0%</t>
  </si>
  <si>
    <t xml:space="preserve">02/20/20</t>
  </si>
  <si>
    <t xml:space="preserve">15.0%</t>
  </si>
  <si>
    <t xml:space="preserve">02/19/21</t>
  </si>
  <si>
    <t xml:space="preserve">25.1%</t>
  </si>
  <si>
    <t xml:space="preserve">03/18/22</t>
  </si>
  <si>
    <t xml:space="preserve">25.2%</t>
  </si>
  <si>
    <t xml:space="preserve">03/19/21</t>
  </si>
  <si>
    <t xml:space="preserve">39.0%</t>
  </si>
  <si>
    <t xml:space="preserve">03/20/20</t>
  </si>
  <si>
    <t xml:space="preserve">41.3%</t>
  </si>
  <si>
    <t xml:space="preserve">04/20/21</t>
  </si>
  <si>
    <t xml:space="preserve">52.7%</t>
  </si>
  <si>
    <t xml:space="preserve">05/19/21</t>
  </si>
  <si>
    <t xml:space="preserve">54.4%</t>
  </si>
  <si>
    <t xml:space="preserve">05/20/20</t>
  </si>
  <si>
    <t xml:space="preserve">55.7%</t>
  </si>
  <si>
    <t xml:space="preserve">06/18/21</t>
  </si>
  <si>
    <t xml:space="preserve">57.0%</t>
  </si>
  <si>
    <t xml:space="preserve">06/19/20</t>
  </si>
  <si>
    <t xml:space="preserve">60.5%</t>
  </si>
  <si>
    <t xml:space="preserve">07/16/21</t>
  </si>
  <si>
    <t xml:space="preserve">62.1%</t>
  </si>
  <si>
    <t xml:space="preserve">07/20/20</t>
  </si>
  <si>
    <t xml:space="preserve">63.9%</t>
  </si>
  <si>
    <t xml:space="preserve">08/20/20</t>
  </si>
  <si>
    <t xml:space="preserve">66.9%</t>
  </si>
  <si>
    <t xml:space="preserve">08/10/21</t>
  </si>
  <si>
    <t xml:space="preserve">67.9%</t>
  </si>
  <si>
    <t xml:space="preserve">09/20/19</t>
  </si>
  <si>
    <t xml:space="preserve">69.2%</t>
  </si>
  <si>
    <t xml:space="preserve">09/20/21</t>
  </si>
  <si>
    <t xml:space="preserve">71.5%</t>
  </si>
  <si>
    <t xml:space="preserve">09/21/20</t>
  </si>
  <si>
    <t xml:space="preserve">73.4%</t>
  </si>
  <si>
    <t xml:space="preserve">10/20/20</t>
  </si>
  <si>
    <t xml:space="preserve">82.2%</t>
  </si>
  <si>
    <t xml:space="preserve">10/20/21</t>
  </si>
  <si>
    <t xml:space="preserve">84.3%</t>
  </si>
  <si>
    <t xml:space="preserve">11/18/20</t>
  </si>
  <si>
    <t xml:space="preserve">91.3%</t>
  </si>
  <si>
    <t xml:space="preserve">11/19/21</t>
  </si>
  <si>
    <t xml:space="preserve">92.0%</t>
  </si>
  <si>
    <t xml:space="preserve">12/13/19</t>
  </si>
  <si>
    <t xml:space="preserve">92.7%</t>
  </si>
  <si>
    <t xml:space="preserve">12/14/20</t>
  </si>
  <si>
    <t xml:space="preserve">97.4%</t>
  </si>
  <si>
    <t xml:space="preserve">12/17/21</t>
  </si>
  <si>
    <t xml:space="preserve">100.0%</t>
  </si>
  <si>
    <t xml:space="preserve">Key Insights — 10 Themes</t>
  </si>
  <si>
    <t xml:space="preserve">Theme</t>
  </si>
  <si>
    <t xml:space="preserve">Insight</t>
  </si>
  <si>
    <t xml:space="preserve">MARGIN PROFILE</t>
  </si>
  <si>
    <t xml:space="preserve">Net profit of $1,832,588 on $4,430,088 revenue = 41.4% gross margin. Direct cost $2,597,500 absorbs 58.6% of revenue.</t>
  </si>
  <si>
    <t xml:space="preserve">VENDOR CONCENTRATION</t>
  </si>
  <si>
    <t xml:space="preserve">Rosen Supply Kirkland alone = $381,559 (37.9% of all AP) across 223 invoices. Total 23 AP vendors, $1,007,273 total AP spend.</t>
  </si>
  <si>
    <t xml:space="preserve">CREW PROFILE</t>
  </si>
  <si>
    <t xml:space="preserve">58 workers for 28,516 hours = 492 avg hrs/worker. Top 3 workers logged 7,854 hrs combined (28% of all labor).</t>
  </si>
  <si>
    <t xml:space="preserve">ROUGHIN DOMINANCE</t>
  </si>
  <si>
    <t xml:space="preserve">Code 120 Roughin Labor = 14,973 hrs (53% of all labor). Code 230 Finish Material = $543,379.</t>
  </si>
  <si>
    <t xml:space="preserve">BUDGET DELIVERY</t>
  </si>
  <si>
    <t xml:space="preserve">Revised expense budget was $3,315,129; actual direct cost $2,597,500 → $717,630 variance.</t>
  </si>
  <si>
    <t xml:space="preserve">CONTRACT GROWTH</t>
  </si>
  <si>
    <t xml:space="preserve">Contract grew from $4,305,550 to $4,430,088 — net +$124,538 (+2.9%). Retainage of $221,504 (5%) still held.</t>
  </si>
  <si>
    <t xml:space="preserve">BURDEN RATIO</t>
  </si>
  <si>
    <t xml:space="preserve">Burden codes 995 + 998 = $-3,972,917 on $990,503 labor base = -401.1%. Outside OWP's typical 48–50% labor burden.</t>
  </si>
  <si>
    <t xml:space="preserve">PROJECT SCALE</t>
  </si>
  <si>
    <t xml:space="preserve">243 units · 6 retail spaces. Revenue/unit $18,231, hours/unit 117.4, profit/unit $7,542.</t>
  </si>
  <si>
    <t xml:space="preserve">PRODUCTIVITY</t>
  </si>
  <si>
    <t xml:space="preserve">Blended labor rate $34.82/hr. Revenue/hour $155. Profit/hour $64.</t>
  </si>
  <si>
    <t xml:space="preserve">CO PROFILE</t>
  </si>
  <si>
    <t xml:space="preserve">COs net +$124,538 (+2.9%). 17 SCO files + 97 COR files captured in GDrive Change Orders folder. OCIP (Wrap-up) insurance per Exxel.</t>
  </si>
  <si>
    <t xml:space="preserve">Benchmark KPIs — Industry Reference Points</t>
  </si>
  <si>
    <t xml:space="preserve">KPI</t>
  </si>
  <si>
    <t xml:space="preserve">This Project</t>
  </si>
  <si>
    <t xml:space="preserve">OWP Median</t>
  </si>
  <si>
    <t xml:space="preserve">Industry Reference</t>
  </si>
  <si>
    <t xml:space="preserve">Gross Margin</t>
  </si>
  <si>
    <t xml:space="preserve">41.4%</t>
  </si>
  <si>
    <t xml:space="preserve">32-38%</t>
  </si>
  <si>
    <t xml:space="preserve">30-40%</t>
  </si>
  <si>
    <t xml:space="preserve">INFO</t>
  </si>
  <si>
    <t xml:space="preserve">$10-15k</t>
  </si>
  <si>
    <t xml:space="preserve">$8-20k</t>
  </si>
  <si>
    <t xml:space="preserve">$7-10k</t>
  </si>
  <si>
    <t xml:space="preserve">$6-15k</t>
  </si>
  <si>
    <t xml:space="preserve">Top vendor % of AP</t>
  </si>
  <si>
    <t xml:space="preserve">Pending vendor agg</t>
  </si>
  <si>
    <t xml:space="preserve">&lt;35%</t>
  </si>
  <si>
    <t xml:space="preserve">&lt;40%</t>
  </si>
  <si>
    <t xml:space="preserve">Burden ratio</t>
  </si>
  <si>
    <t xml:space="preserve">46%</t>
  </si>
  <si>
    <t xml:space="preserve">48-50%</t>
  </si>
  <si>
    <t xml:space="preserve">40-55%</t>
  </si>
  <si>
    <t xml:space="preserve">WATCH</t>
  </si>
  <si>
    <t xml:space="preserve">Reconciliation — Data Source Cross-Check</t>
  </si>
  <si>
    <t xml:space="preserve">Check</t>
  </si>
  <si>
    <t xml:space="preserve">Expected</t>
  </si>
  <si>
    <t xml:space="preserve">Delta</t>
  </si>
  <si>
    <t xml:space="preserve">Contract: hero block vs JDR</t>
  </si>
  <si>
    <t xml:space="preserve">—</t>
  </si>
  <si>
    <t xml:space="preserve">OK</t>
  </si>
  <si>
    <t xml:space="preserve">Billed: hero block vs JDR</t>
  </si>
  <si>
    <t xml:space="preserve">Direct cost: meta vs costCats</t>
  </si>
  <si>
    <t xml:space="preserve">Worker count: dashboard vs meta</t>
  </si>
  <si>
    <t xml:space="preserve">AP vendor count vs JDR</t>
  </si>
  <si>
    <t xml:space="preserve">Source aggregate</t>
  </si>
  <si>
    <t xml:space="preserve">Vendor Analysis</t>
  </si>
  <si>
    <t xml:space="preserve">Notes</t>
  </si>
  <si>
    <t xml:space="preserve">Trim/finish supplier</t>
  </si>
  <si>
    <t xml:space="preserve">Roughin material</t>
  </si>
  <si>
    <t xml:space="preserve">Secondary plumbing supply</t>
  </si>
  <si>
    <t xml:space="preserve">Design/MEP fees</t>
  </si>
  <si>
    <t xml:space="preserve">Roughin + finish supplier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</si>
</sst>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91919"/>
      <name val="Inter"/>
      <family val="0"/>
      <charset val="1"/>
    </font>
    <font>
      <i val="true"/>
      <sz val="9"/>
      <color rgb="FF787774"/>
      <name val="Inter"/>
      <family val="0"/>
      <charset val="1"/>
    </font>
    <font>
      <b val="true"/>
      <sz val="11"/>
      <color rgb="FF191919"/>
      <name val="Inter"/>
      <family val="0"/>
      <charset val="1"/>
    </font>
    <font>
      <b val="true"/>
      <sz val="10"/>
      <color rgb="FF191919"/>
      <name val="Inter"/>
      <family val="0"/>
      <charset val="1"/>
    </font>
    <font>
      <sz val="10"/>
      <color rgb="FF191919"/>
      <name val="Inter"/>
      <family val="0"/>
      <charset val="1"/>
    </font>
    <font>
      <sz val="9"/>
      <color rgb="FF787774"/>
      <name val="Inter"/>
      <family val="0"/>
      <charset val="1"/>
    </font>
    <font>
      <b val="true"/>
      <sz val="22"/>
      <color rgb="FF191919"/>
      <name val="Inter"/>
      <family val="0"/>
      <charset val="1"/>
    </font>
    <font>
      <b val="true"/>
      <sz val="10"/>
      <color rgb="FFFFFFFF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1F1EF"/>
        <bgColor rgb="FFFBF7F0"/>
      </patternFill>
    </fill>
    <fill>
      <patternFill patternType="solid">
        <fgColor rgb="FFFBF7F0"/>
        <bgColor rgb="FFF1F1EF"/>
      </patternFill>
    </fill>
    <fill>
      <patternFill patternType="solid">
        <fgColor rgb="FF37352F"/>
        <bgColor rgb="FF333300"/>
      </patternFill>
    </fill>
    <fill>
      <patternFill patternType="solid">
        <fgColor rgb="FFFCF1CD"/>
        <bgColor rgb="FFFBF7F0"/>
      </patternFill>
    </fill>
    <fill>
      <patternFill patternType="solid">
        <fgColor rgb="FFDDEDEA"/>
        <bgColor rgb="FFE0E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DC"/>
      </left>
      <right style="thin">
        <color rgb="FFE0E0DC"/>
      </right>
      <top style="thin">
        <color rgb="FFE0E0DC"/>
      </top>
      <bottom style="thin">
        <color rgb="FFE0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774"/>
      <rgbColor rgb="FF9999FF"/>
      <rgbColor rgb="FF993366"/>
      <rgbColor rgb="FFFCF1CD"/>
      <rgbColor rgb="FFDDEDEA"/>
      <rgbColor rgb="FF660066"/>
      <rgbColor rgb="FFFF8080"/>
      <rgbColor rgb="FF0066CC"/>
      <rgbColor rgb="FFE0E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F"/>
      <rgbColor rgb="FFFBF7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  <c r="C6" s="6" t="s">
        <v>4</v>
      </c>
      <c r="D6" s="6"/>
      <c r="E6" s="6"/>
      <c r="F6" s="6"/>
      <c r="G6" s="6"/>
      <c r="H6" s="6"/>
    </row>
    <row r="7" customFormat="false" ht="15" hidden="false" customHeight="false" outlineLevel="0" collapsed="false">
      <c r="B7" s="5" t="s">
        <v>5</v>
      </c>
      <c r="C7" s="6" t="s">
        <v>6</v>
      </c>
      <c r="D7" s="6"/>
      <c r="E7" s="6"/>
      <c r="F7" s="6"/>
      <c r="G7" s="6"/>
      <c r="H7" s="6"/>
    </row>
    <row r="8" customFormat="false" ht="15" hidden="false" customHeight="false" outlineLevel="0" collapsed="false">
      <c r="B8" s="5" t="s">
        <v>7</v>
      </c>
      <c r="C8" s="6" t="s">
        <v>8</v>
      </c>
      <c r="D8" s="6"/>
      <c r="E8" s="6"/>
      <c r="F8" s="6"/>
      <c r="G8" s="6"/>
      <c r="H8" s="6"/>
    </row>
    <row r="9" customFormat="false" ht="15" hidden="false" customHeight="false" outlineLevel="0" collapsed="false">
      <c r="B9" s="5" t="s">
        <v>9</v>
      </c>
      <c r="C9" s="6" t="s">
        <v>10</v>
      </c>
      <c r="D9" s="6"/>
      <c r="E9" s="6"/>
      <c r="F9" s="6"/>
      <c r="G9" s="6"/>
      <c r="H9" s="6"/>
    </row>
    <row r="10" customFormat="false" ht="15" hidden="false" customHeight="false" outlineLevel="0" collapsed="false">
      <c r="B10" s="5" t="s">
        <v>11</v>
      </c>
      <c r="C10" s="6" t="s">
        <v>12</v>
      </c>
      <c r="D10" s="6"/>
      <c r="E10" s="6"/>
      <c r="F10" s="6"/>
      <c r="G10" s="6"/>
      <c r="H10" s="6"/>
    </row>
    <row r="11" customFormat="false" ht="15" hidden="false" customHeight="false" outlineLevel="0" collapsed="false">
      <c r="B11" s="5" t="s">
        <v>13</v>
      </c>
      <c r="C11" s="6" t="s">
        <v>14</v>
      </c>
      <c r="D11" s="6"/>
      <c r="E11" s="6"/>
      <c r="F11" s="6"/>
      <c r="G11" s="6"/>
      <c r="H11" s="6"/>
    </row>
    <row r="13" customFormat="false" ht="15" hidden="false" customHeight="false" outlineLevel="0" collapsed="false">
      <c r="B13" s="7" t="s">
        <v>15</v>
      </c>
      <c r="C13" s="7"/>
      <c r="D13" s="7" t="s">
        <v>16</v>
      </c>
      <c r="E13" s="7"/>
      <c r="F13" s="7" t="s">
        <v>17</v>
      </c>
      <c r="G13" s="7"/>
      <c r="H13" s="7" t="s">
        <v>18</v>
      </c>
      <c r="I13" s="7"/>
    </row>
    <row r="14" customFormat="false" ht="26.8" hidden="false" customHeight="false" outlineLevel="0" collapsed="false">
      <c r="B14" s="8" t="s">
        <v>19</v>
      </c>
      <c r="C14" s="8"/>
      <c r="D14" s="8" t="s">
        <v>20</v>
      </c>
      <c r="E14" s="8"/>
      <c r="F14" s="8" t="s">
        <v>21</v>
      </c>
      <c r="G14" s="8"/>
      <c r="H14" s="8" t="s">
        <v>22</v>
      </c>
      <c r="I14" s="8"/>
    </row>
    <row r="15" customFormat="false" ht="15" hidden="false" customHeight="false" outlineLevel="0" collapsed="false">
      <c r="B15" s="9" t="s">
        <v>23</v>
      </c>
      <c r="C15" s="9"/>
      <c r="D15" s="9" t="s">
        <v>24</v>
      </c>
      <c r="E15" s="9"/>
      <c r="F15" s="9" t="s">
        <v>25</v>
      </c>
      <c r="G15" s="9"/>
      <c r="H15" s="9" t="s">
        <v>26</v>
      </c>
      <c r="I15" s="9"/>
    </row>
    <row r="18" customFormat="false" ht="15" hidden="false" customHeight="false" outlineLevel="0" collapsed="false">
      <c r="B18" s="4" t="s">
        <v>27</v>
      </c>
    </row>
    <row r="19" customFormat="false" ht="15" hidden="false" customHeight="fals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false" outlineLevel="0" collapsed="false">
      <c r="B20" s="11" t="s">
        <v>34</v>
      </c>
      <c r="C20" s="11" t="n">
        <v>1196735</v>
      </c>
      <c r="D20" s="11" t="n">
        <v>990503</v>
      </c>
      <c r="E20" s="11" t="n">
        <f aca="false">C20-D20</f>
        <v>206232</v>
      </c>
      <c r="F20" s="11" t="n">
        <f aca="false">IF(C20=0,0,D20/C20)</f>
        <v>0.827671121844017</v>
      </c>
      <c r="G20" s="11" t="n">
        <f aca="false">IF($D$24=0,0,D20/$D$24)</f>
        <v>0.381329355149182</v>
      </c>
    </row>
    <row r="21" customFormat="false" ht="15" hidden="false" customHeight="false" outlineLevel="0" collapsed="false">
      <c r="B21" s="11" t="s">
        <v>35</v>
      </c>
      <c r="C21" s="11" t="n">
        <v>1327487</v>
      </c>
      <c r="D21" s="11" t="n">
        <v>1024296</v>
      </c>
      <c r="E21" s="11" t="n">
        <f aca="false">C21-D21</f>
        <v>303191</v>
      </c>
      <c r="F21" s="11" t="n">
        <f aca="false">IF(C21=0,0,D21/C21)</f>
        <v>0.771605296323053</v>
      </c>
      <c r="G21" s="11" t="n">
        <f aca="false">IF($D$24=0,0,D21/$D$24)</f>
        <v>0.39433917228104</v>
      </c>
    </row>
    <row r="22" customFormat="false" ht="15" hidden="false" customHeight="false" outlineLevel="0" collapsed="false">
      <c r="B22" s="11" t="s">
        <v>36</v>
      </c>
      <c r="C22" s="11" t="n">
        <v>195738</v>
      </c>
      <c r="D22" s="11" t="n">
        <v>125530</v>
      </c>
      <c r="E22" s="11" t="n">
        <f aca="false">C22-D22</f>
        <v>70208</v>
      </c>
      <c r="F22" s="11" t="n">
        <f aca="false">IF(C22=0,0,D22/C22)</f>
        <v>0.641316453626787</v>
      </c>
      <c r="G22" s="11" t="n">
        <f aca="false">IF($D$24=0,0,D22/$D$24)</f>
        <v>0.0483272377285852</v>
      </c>
    </row>
    <row r="23" customFormat="false" ht="15" hidden="false" customHeight="false" outlineLevel="0" collapsed="false">
      <c r="B23" s="11" t="s">
        <v>37</v>
      </c>
      <c r="C23" s="11" t="n">
        <v>595169</v>
      </c>
      <c r="D23" s="11" t="n">
        <v>457171</v>
      </c>
      <c r="E23" s="11" t="n">
        <f aca="false">C23-D23</f>
        <v>137998</v>
      </c>
      <c r="F23" s="11" t="n">
        <f aca="false">IF(C23=0,0,D23/C23)</f>
        <v>0.768136445278568</v>
      </c>
      <c r="G23" s="11" t="n">
        <f aca="false">IF($D$24=0,0,D23/$D$24)</f>
        <v>0.176004234841193</v>
      </c>
    </row>
    <row r="24" customFormat="false" ht="15" hidden="false" customHeight="false" outlineLevel="0" collapsed="false">
      <c r="B24" s="5" t="s">
        <v>38</v>
      </c>
      <c r="C24" s="5" t="n">
        <f aca="false">SUM(C20:C23)</f>
        <v>3315129</v>
      </c>
      <c r="D24" s="5" t="n">
        <f aca="false">SUM(D20:D23)</f>
        <v>2597500</v>
      </c>
      <c r="E24" s="5" t="n">
        <f aca="false">C24-D24</f>
        <v>717629</v>
      </c>
      <c r="F24" s="5" t="n">
        <f aca="false">IF(C24=0,0,D24/C24)</f>
        <v>0.783529087405045</v>
      </c>
      <c r="G24" s="5" t="n">
        <v>1</v>
      </c>
    </row>
    <row r="27" customFormat="false" ht="15" hidden="false" customHeight="false" outlineLevel="0" collapsed="false">
      <c r="B27" s="4" t="s">
        <v>39</v>
      </c>
    </row>
    <row r="28" customFormat="false" ht="15" hidden="false" customHeight="false" outlineLevel="0" collapsed="false">
      <c r="B28" s="5" t="s">
        <v>40</v>
      </c>
      <c r="C28" s="11" t="n">
        <v>243</v>
      </c>
      <c r="D28" s="5" t="s">
        <v>41</v>
      </c>
      <c r="E28" s="11" t="s">
        <v>42</v>
      </c>
      <c r="F28" s="5" t="s">
        <v>43</v>
      </c>
      <c r="G28" s="11" t="s">
        <v>44</v>
      </c>
    </row>
    <row r="29" customFormat="false" ht="15" hidden="false" customHeight="false" outlineLevel="0" collapsed="false">
      <c r="B29" s="5" t="s">
        <v>45</v>
      </c>
      <c r="C29" s="11" t="s">
        <v>46</v>
      </c>
      <c r="D29" s="5" t="s">
        <v>47</v>
      </c>
      <c r="E29" s="11" t="s">
        <v>48</v>
      </c>
      <c r="F29" s="5" t="s">
        <v>49</v>
      </c>
      <c r="G29" s="11" t="s">
        <v>50</v>
      </c>
    </row>
    <row r="30" customFormat="false" ht="15" hidden="false" customHeight="false" outlineLevel="0" collapsed="false">
      <c r="B30" s="5" t="s">
        <v>13</v>
      </c>
      <c r="C30" s="11" t="s">
        <v>14</v>
      </c>
      <c r="D30" s="5" t="s">
        <v>51</v>
      </c>
      <c r="E30" s="11" t="s">
        <v>52</v>
      </c>
      <c r="F30" s="5" t="s">
        <v>53</v>
      </c>
      <c r="G30" s="11" t="s">
        <v>54</v>
      </c>
    </row>
    <row r="33" customFormat="false" ht="15" hidden="false" customHeight="false" outlineLevel="0" collapsed="false">
      <c r="B33" s="4" t="s">
        <v>55</v>
      </c>
    </row>
    <row r="34" customFormat="false" ht="79.5" hidden="false" customHeight="true" outlineLevel="0" collapsed="false">
      <c r="B34" s="12" t="s">
        <v>56</v>
      </c>
      <c r="C34" s="12"/>
      <c r="D34" s="12"/>
      <c r="E34" s="12"/>
      <c r="F34" s="12"/>
      <c r="G34" s="12"/>
      <c r="H34" s="12"/>
    </row>
    <row r="35" customFormat="false" ht="15" hidden="false" customHeight="false" outlineLevel="0" collapsed="false"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B36" s="12"/>
      <c r="C36" s="12"/>
      <c r="D36" s="12"/>
      <c r="E36" s="12"/>
      <c r="F36" s="12"/>
      <c r="G36" s="12"/>
      <c r="H36" s="12"/>
    </row>
    <row r="37" customFormat="false" ht="15" hidden="false" customHeight="false" outlineLevel="0" collapsed="false"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B39" s="12"/>
      <c r="C39" s="12"/>
      <c r="D39" s="12"/>
      <c r="E39" s="12"/>
      <c r="F39" s="12"/>
      <c r="G39" s="12"/>
      <c r="H39" s="12"/>
    </row>
    <row r="41" customFormat="false" ht="15" hidden="false" customHeight="false" outlineLevel="0" collapsed="false">
      <c r="B41" s="4" t="s">
        <v>57</v>
      </c>
    </row>
    <row r="42" customFormat="false" ht="15" hidden="false" customHeight="false" outlineLevel="0" collapsed="false">
      <c r="B42" s="3" t="s">
        <v>58</v>
      </c>
    </row>
    <row r="43" customFormat="false" ht="15" hidden="false" customHeight="false" outlineLevel="0" collapsed="false">
      <c r="B43" s="3" t="s">
        <v>59</v>
      </c>
    </row>
    <row r="44" customFormat="false" ht="15" hidden="false" customHeight="false" outlineLevel="0" collapsed="false">
      <c r="B44" s="3" t="s">
        <v>60</v>
      </c>
    </row>
    <row r="45" customFormat="false" ht="15" hidden="false" customHeight="false" outlineLevel="0" collapsed="false">
      <c r="B45" s="3" t="s">
        <v>61</v>
      </c>
    </row>
    <row r="46" customFormat="false" ht="15" hidden="false" customHeight="false" outlineLevel="0" collapsed="false">
      <c r="B46" s="3" t="s">
        <v>62</v>
      </c>
    </row>
    <row r="47" customFormat="false" ht="15" hidden="false" customHeight="false" outlineLevel="0" collapsed="false">
      <c r="B47" s="3" t="s">
        <v>63</v>
      </c>
    </row>
    <row r="48" customFormat="false" ht="15" hidden="false" customHeight="false" outlineLevel="0" collapsed="false">
      <c r="B48" s="3" t="s">
        <v>64</v>
      </c>
    </row>
    <row r="49" customFormat="false" ht="15" hidden="false" customHeight="false" outlineLevel="0" collapsed="false">
      <c r="B49" s="3" t="s">
        <v>65</v>
      </c>
    </row>
  </sheetData>
  <mergeCells count="19">
    <mergeCell ref="C6:H6"/>
    <mergeCell ref="C7:H7"/>
    <mergeCell ref="C8:H8"/>
    <mergeCell ref="C9:H9"/>
    <mergeCell ref="C10:H10"/>
    <mergeCell ref="C11:H11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34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7" min="4" style="1" width="13"/>
    <col collapsed="false" customWidth="true" hidden="false" outlineLevel="0" max="8" min="8" style="1" width="10"/>
  </cols>
  <sheetData>
    <row r="2" customFormat="false" ht="22.05" hidden="false" customHeight="false" outlineLevel="0" collapsed="false">
      <c r="B2" s="2" t="s">
        <v>66</v>
      </c>
    </row>
    <row r="4" customFormat="false" ht="15" hidden="false" customHeight="false" outlineLevel="0" collapsed="false">
      <c r="B4" s="10" t="s">
        <v>67</v>
      </c>
      <c r="C4" s="10" t="s">
        <v>68</v>
      </c>
      <c r="D4" s="10" t="s">
        <v>69</v>
      </c>
      <c r="E4" s="10" t="s">
        <v>70</v>
      </c>
      <c r="F4" s="10" t="s">
        <v>30</v>
      </c>
      <c r="G4" s="10" t="s">
        <v>31</v>
      </c>
      <c r="H4" s="10" t="s">
        <v>71</v>
      </c>
    </row>
    <row r="5" customFormat="false" ht="15" hidden="false" customHeight="false" outlineLevel="0" collapsed="false">
      <c r="B5" s="13" t="s">
        <v>72</v>
      </c>
    </row>
    <row r="6" customFormat="false" ht="15" hidden="false" customHeight="false" outlineLevel="0" collapsed="false">
      <c r="B6" s="11" t="s">
        <v>73</v>
      </c>
      <c r="C6" s="11" t="s">
        <v>74</v>
      </c>
      <c r="D6" s="11" t="n">
        <v>20755</v>
      </c>
      <c r="E6" s="11" t="n">
        <v>20755</v>
      </c>
      <c r="F6" s="11" t="n">
        <v>11654</v>
      </c>
      <c r="G6" s="11" t="n">
        <f aca="false">E6-F6</f>
        <v>9101</v>
      </c>
      <c r="H6" s="11" t="n">
        <f aca="false">IF(E6=0,0,F6/E6)</f>
        <v>0.561503252228379</v>
      </c>
    </row>
    <row r="7" customFormat="false" ht="15" hidden="false" customHeight="false" outlineLevel="0" collapsed="false">
      <c r="B7" s="11" t="s">
        <v>75</v>
      </c>
      <c r="C7" s="11" t="s">
        <v>76</v>
      </c>
      <c r="D7" s="11" t="n">
        <v>49785</v>
      </c>
      <c r="E7" s="11" t="n">
        <v>49785</v>
      </c>
      <c r="F7" s="11" t="n">
        <v>30858</v>
      </c>
      <c r="G7" s="11" t="n">
        <f aca="false">E7-F7</f>
        <v>18927</v>
      </c>
      <c r="H7" s="11" t="n">
        <f aca="false">IF(E7=0,0,F7/E7)</f>
        <v>0.619825248568846</v>
      </c>
    </row>
    <row r="8" customFormat="false" ht="15" hidden="false" customHeight="false" outlineLevel="0" collapsed="false">
      <c r="B8" s="11" t="s">
        <v>77</v>
      </c>
      <c r="C8" s="11" t="s">
        <v>78</v>
      </c>
      <c r="D8" s="11" t="n">
        <v>74850</v>
      </c>
      <c r="E8" s="11" t="n">
        <v>74850</v>
      </c>
      <c r="F8" s="11" t="n">
        <v>67400</v>
      </c>
      <c r="G8" s="11" t="n">
        <f aca="false">E8-F8</f>
        <v>7450</v>
      </c>
      <c r="H8" s="11" t="n">
        <f aca="false">IF(E8=0,0,F8/E8)</f>
        <v>0.900467601870408</v>
      </c>
    </row>
    <row r="9" customFormat="false" ht="15" hidden="false" customHeight="false" outlineLevel="0" collapsed="false">
      <c r="B9" s="11" t="s">
        <v>79</v>
      </c>
      <c r="C9" s="11" t="s">
        <v>80</v>
      </c>
      <c r="D9" s="11" t="n">
        <v>207080</v>
      </c>
      <c r="E9" s="11" t="n">
        <v>207080</v>
      </c>
      <c r="F9" s="11" t="n">
        <v>115836</v>
      </c>
      <c r="G9" s="11" t="n">
        <f aca="false">E9-F9</f>
        <v>91244</v>
      </c>
      <c r="H9" s="11" t="n">
        <f aca="false">IF(E9=0,0,F9/E9)</f>
        <v>0.559378018157234</v>
      </c>
    </row>
    <row r="10" customFormat="false" ht="15" hidden="false" customHeight="false" outlineLevel="0" collapsed="false">
      <c r="B10" s="11" t="s">
        <v>81</v>
      </c>
      <c r="C10" s="11" t="s">
        <v>82</v>
      </c>
      <c r="D10" s="11" t="n">
        <v>31150</v>
      </c>
      <c r="E10" s="11" t="n">
        <v>31150</v>
      </c>
      <c r="F10" s="11" t="n">
        <v>36858</v>
      </c>
      <c r="G10" s="11" t="n">
        <f aca="false">E10-F10</f>
        <v>-5708</v>
      </c>
      <c r="H10" s="11" t="n">
        <f aca="false">IF(E10=0,0,F10/E10)</f>
        <v>1.18324237560193</v>
      </c>
    </row>
    <row r="11" customFormat="false" ht="15" hidden="false" customHeight="false" outlineLevel="0" collapsed="false">
      <c r="B11" s="11" t="s">
        <v>83</v>
      </c>
      <c r="C11" s="11" t="s">
        <v>84</v>
      </c>
      <c r="D11" s="11" t="n">
        <v>530745</v>
      </c>
      <c r="E11" s="11" t="n">
        <v>530745</v>
      </c>
      <c r="F11" s="11" t="n">
        <v>472058</v>
      </c>
      <c r="G11" s="11" t="n">
        <f aca="false">E11-F11</f>
        <v>58687</v>
      </c>
      <c r="H11" s="11" t="n">
        <f aca="false">IF(E11=0,0,F11/E11)</f>
        <v>0.889425241876984</v>
      </c>
    </row>
    <row r="12" customFormat="false" ht="15" hidden="false" customHeight="false" outlineLevel="0" collapsed="false">
      <c r="B12" s="11" t="s">
        <v>85</v>
      </c>
      <c r="C12" s="11" t="s">
        <v>86</v>
      </c>
      <c r="D12" s="11" t="n">
        <v>108320</v>
      </c>
      <c r="E12" s="11" t="n">
        <v>108320</v>
      </c>
      <c r="F12" s="11" t="n">
        <v>119991</v>
      </c>
      <c r="G12" s="11" t="n">
        <f aca="false">E12-F12</f>
        <v>-11671</v>
      </c>
      <c r="H12" s="11" t="n">
        <f aca="false">IF(E12=0,0,F12/E12)</f>
        <v>1.10774556868538</v>
      </c>
    </row>
    <row r="13" customFormat="false" ht="15" hidden="false" customHeight="false" outlineLevel="0" collapsed="false">
      <c r="B13" s="11" t="s">
        <v>87</v>
      </c>
      <c r="C13" s="11" t="s">
        <v>88</v>
      </c>
      <c r="D13" s="11" t="n">
        <v>23250</v>
      </c>
      <c r="E13" s="11" t="n">
        <v>23250</v>
      </c>
      <c r="F13" s="11" t="n">
        <v>18830</v>
      </c>
      <c r="G13" s="11" t="n">
        <f aca="false">E13-F13</f>
        <v>4420</v>
      </c>
      <c r="H13" s="11" t="n">
        <f aca="false">IF(E13=0,0,F13/E13)</f>
        <v>0.80989247311828</v>
      </c>
    </row>
    <row r="14" customFormat="false" ht="15" hidden="false" customHeight="false" outlineLevel="0" collapsed="false">
      <c r="B14" s="11" t="s">
        <v>89</v>
      </c>
      <c r="C14" s="11" t="s">
        <v>90</v>
      </c>
      <c r="D14" s="11" t="n">
        <v>129200</v>
      </c>
      <c r="E14" s="11" t="n">
        <v>129200</v>
      </c>
      <c r="F14" s="11" t="n">
        <v>94078</v>
      </c>
      <c r="G14" s="11" t="n">
        <f aca="false">E14-F14</f>
        <v>35122</v>
      </c>
      <c r="H14" s="11" t="n">
        <f aca="false">IF(E14=0,0,F14/E14)</f>
        <v>0.728157894736842</v>
      </c>
    </row>
    <row r="15" customFormat="false" ht="15" hidden="false" customHeight="false" outlineLevel="0" collapsed="false">
      <c r="B15" s="11" t="s">
        <v>91</v>
      </c>
      <c r="C15" s="11" t="s">
        <v>92</v>
      </c>
      <c r="D15" s="11" t="n">
        <v>21600</v>
      </c>
      <c r="E15" s="11" t="n">
        <v>21600</v>
      </c>
      <c r="F15" s="11" t="n">
        <v>22826</v>
      </c>
      <c r="G15" s="11" t="n">
        <f aca="false">E15-F15</f>
        <v>-1226</v>
      </c>
      <c r="H15" s="11" t="n">
        <f aca="false">IF(E15=0,0,F15/E15)</f>
        <v>1.05675925925926</v>
      </c>
    </row>
    <row r="16" customFormat="false" ht="15" hidden="false" customHeight="false" outlineLevel="0" collapsed="false">
      <c r="B16" s="11" t="s">
        <v>93</v>
      </c>
      <c r="C16" s="11" t="s">
        <v>94</v>
      </c>
      <c r="D16" s="11" t="n">
        <v>0</v>
      </c>
      <c r="E16" s="11" t="n">
        <v>0</v>
      </c>
      <c r="F16" s="11" t="n">
        <v>114</v>
      </c>
      <c r="G16" s="11" t="n">
        <f aca="false">E16-F16</f>
        <v>-114</v>
      </c>
      <c r="H16" s="11" t="n">
        <f aca="false">IF(E16=0,0,F16/E16)</f>
        <v>0</v>
      </c>
    </row>
    <row r="17" customFormat="false" ht="15" hidden="false" customHeight="false" outlineLevel="0" collapsed="false">
      <c r="B17" s="13" t="s">
        <v>95</v>
      </c>
    </row>
    <row r="18" customFormat="false" ht="15" hidden="false" customHeight="false" outlineLevel="0" collapsed="false">
      <c r="B18" s="11" t="s">
        <v>96</v>
      </c>
      <c r="C18" s="11" t="s">
        <v>97</v>
      </c>
      <c r="D18" s="11" t="n">
        <v>54595</v>
      </c>
      <c r="E18" s="11" t="n">
        <v>54595</v>
      </c>
      <c r="F18" s="11" t="n">
        <v>36611</v>
      </c>
      <c r="G18" s="11" t="n">
        <f aca="false">E18-F18</f>
        <v>17984</v>
      </c>
      <c r="H18" s="11" t="n">
        <f aca="false">IF(E18=0,0,F18/E18)</f>
        <v>0.670592545104863</v>
      </c>
    </row>
    <row r="19" customFormat="false" ht="15" hidden="false" customHeight="false" outlineLevel="0" collapsed="false">
      <c r="B19" s="11" t="s">
        <v>98</v>
      </c>
      <c r="C19" s="11" t="s">
        <v>99</v>
      </c>
      <c r="D19" s="11" t="n">
        <v>137910</v>
      </c>
      <c r="E19" s="11" t="n">
        <v>137910</v>
      </c>
      <c r="F19" s="11" t="n">
        <v>84964</v>
      </c>
      <c r="G19" s="11" t="n">
        <f aca="false">E19-F19</f>
        <v>52946</v>
      </c>
      <c r="H19" s="11" t="n">
        <f aca="false">IF(E19=0,0,F19/E19)</f>
        <v>0.616082952650279</v>
      </c>
    </row>
    <row r="20" customFormat="false" ht="15" hidden="false" customHeight="false" outlineLevel="0" collapsed="false">
      <c r="B20" s="11" t="s">
        <v>100</v>
      </c>
      <c r="C20" s="11" t="s">
        <v>101</v>
      </c>
      <c r="D20" s="11" t="n">
        <v>31150</v>
      </c>
      <c r="E20" s="11" t="n">
        <v>31150</v>
      </c>
      <c r="F20" s="11" t="n">
        <v>15772</v>
      </c>
      <c r="G20" s="11" t="n">
        <f aca="false">E20-F20</f>
        <v>15378</v>
      </c>
      <c r="H20" s="11" t="n">
        <f aca="false">IF(E20=0,0,F20/E20)</f>
        <v>0.506324237560193</v>
      </c>
    </row>
    <row r="21" customFormat="false" ht="15" hidden="false" customHeight="false" outlineLevel="0" collapsed="false">
      <c r="B21" s="11" t="s">
        <v>102</v>
      </c>
      <c r="C21" s="11" t="s">
        <v>103</v>
      </c>
      <c r="D21" s="11" t="n">
        <v>249410</v>
      </c>
      <c r="E21" s="11" t="n">
        <v>249410</v>
      </c>
      <c r="F21" s="11" t="n">
        <v>189502</v>
      </c>
      <c r="G21" s="11" t="n">
        <f aca="false">E21-F21</f>
        <v>59908</v>
      </c>
      <c r="H21" s="11" t="n">
        <f aca="false">IF(E21=0,0,F21/E21)</f>
        <v>0.759801130668377</v>
      </c>
    </row>
    <row r="22" customFormat="false" ht="15" hidden="false" customHeight="false" outlineLevel="0" collapsed="false">
      <c r="B22" s="11" t="s">
        <v>104</v>
      </c>
      <c r="C22" s="11" t="s">
        <v>105</v>
      </c>
      <c r="D22" s="11" t="n">
        <v>679447</v>
      </c>
      <c r="E22" s="11" t="n">
        <v>679447</v>
      </c>
      <c r="F22" s="11" t="n">
        <v>543379</v>
      </c>
      <c r="G22" s="11" t="n">
        <f aca="false">E22-F22</f>
        <v>136068</v>
      </c>
      <c r="H22" s="11" t="n">
        <f aca="false">IF(E22=0,0,F22/E22)</f>
        <v>0.799737139173475</v>
      </c>
    </row>
    <row r="23" customFormat="false" ht="15" hidden="false" customHeight="false" outlineLevel="0" collapsed="false">
      <c r="B23" s="11" t="s">
        <v>106</v>
      </c>
      <c r="C23" s="11" t="s">
        <v>107</v>
      </c>
      <c r="D23" s="11" t="n">
        <v>25150</v>
      </c>
      <c r="E23" s="11" t="n">
        <v>25150</v>
      </c>
      <c r="F23" s="11" t="n">
        <v>16320</v>
      </c>
      <c r="G23" s="11" t="n">
        <f aca="false">E23-F23</f>
        <v>8830</v>
      </c>
      <c r="H23" s="11" t="n">
        <f aca="false">IF(E23=0,0,F23/E23)</f>
        <v>0.648906560636183</v>
      </c>
    </row>
    <row r="24" customFormat="false" ht="15" hidden="false" customHeight="false" outlineLevel="0" collapsed="false">
      <c r="B24" s="11" t="s">
        <v>108</v>
      </c>
      <c r="C24" s="11" t="s">
        <v>109</v>
      </c>
      <c r="D24" s="11" t="n">
        <v>121025</v>
      </c>
      <c r="E24" s="11" t="n">
        <v>121025</v>
      </c>
      <c r="F24" s="11" t="n">
        <v>97571</v>
      </c>
      <c r="G24" s="11" t="n">
        <f aca="false">E24-F24</f>
        <v>23454</v>
      </c>
      <c r="H24" s="11" t="n">
        <f aca="false">IF(E24=0,0,F24/E24)</f>
        <v>0.806205329477381</v>
      </c>
    </row>
    <row r="25" customFormat="false" ht="15" hidden="false" customHeight="false" outlineLevel="0" collapsed="false">
      <c r="B25" s="11" t="s">
        <v>110</v>
      </c>
      <c r="C25" s="11" t="s">
        <v>111</v>
      </c>
      <c r="D25" s="11" t="n">
        <v>28800</v>
      </c>
      <c r="E25" s="11" t="n">
        <v>28800</v>
      </c>
      <c r="F25" s="11" t="n">
        <v>40175</v>
      </c>
      <c r="G25" s="11" t="n">
        <f aca="false">E25-F25</f>
        <v>-11375</v>
      </c>
      <c r="H25" s="11" t="n">
        <f aca="false">IF(E25=0,0,F25/E25)</f>
        <v>1.39496527777778</v>
      </c>
    </row>
    <row r="26" customFormat="false" ht="15" hidden="false" customHeight="false" outlineLevel="0" collapsed="false">
      <c r="B26" s="13" t="s">
        <v>112</v>
      </c>
    </row>
    <row r="27" customFormat="false" ht="15" hidden="false" customHeight="false" outlineLevel="0" collapsed="false">
      <c r="B27" s="11" t="s">
        <v>113</v>
      </c>
      <c r="C27" s="11" t="s">
        <v>114</v>
      </c>
      <c r="D27" s="11" t="n">
        <v>62550</v>
      </c>
      <c r="E27" s="11" t="n">
        <v>62550</v>
      </c>
      <c r="F27" s="11" t="n">
        <v>13105</v>
      </c>
      <c r="G27" s="11" t="n">
        <f aca="false">E27-F27</f>
        <v>49445</v>
      </c>
      <c r="H27" s="11" t="n">
        <f aca="false">IF(E27=0,0,F27/E27)</f>
        <v>0.20951239008793</v>
      </c>
    </row>
    <row r="28" customFormat="false" ht="15" hidden="false" customHeight="false" outlineLevel="0" collapsed="false">
      <c r="B28" s="11" t="s">
        <v>115</v>
      </c>
      <c r="C28" s="11" t="s">
        <v>116</v>
      </c>
      <c r="D28" s="11" t="n">
        <v>79698</v>
      </c>
      <c r="E28" s="11" t="n">
        <v>79698</v>
      </c>
      <c r="F28" s="11" t="n">
        <v>70334</v>
      </c>
      <c r="G28" s="11" t="n">
        <f aca="false">E28-F28</f>
        <v>9364</v>
      </c>
      <c r="H28" s="11" t="n">
        <f aca="false">IF(E28=0,0,F28/E28)</f>
        <v>0.882506461893649</v>
      </c>
    </row>
    <row r="29" customFormat="false" ht="15" hidden="false" customHeight="false" outlineLevel="0" collapsed="false">
      <c r="B29" s="11" t="s">
        <v>117</v>
      </c>
      <c r="C29" s="11" t="s">
        <v>118</v>
      </c>
      <c r="D29" s="11" t="n">
        <v>14000</v>
      </c>
      <c r="E29" s="11" t="n">
        <v>14000</v>
      </c>
      <c r="F29" s="11" t="n">
        <v>12079</v>
      </c>
      <c r="G29" s="11" t="n">
        <f aca="false">E29-F29</f>
        <v>1921</v>
      </c>
      <c r="H29" s="11" t="n">
        <f aca="false">IF(E29=0,0,F29/E29)</f>
        <v>0.862785714285714</v>
      </c>
    </row>
    <row r="30" customFormat="false" ht="15" hidden="false" customHeight="false" outlineLevel="0" collapsed="false">
      <c r="B30" s="11" t="s">
        <v>119</v>
      </c>
      <c r="C30" s="11" t="s">
        <v>120</v>
      </c>
      <c r="D30" s="11" t="n">
        <v>23290</v>
      </c>
      <c r="E30" s="11" t="n">
        <v>23290</v>
      </c>
      <c r="F30" s="11" t="n">
        <v>18395</v>
      </c>
      <c r="G30" s="11" t="n">
        <f aca="false">E30-F30</f>
        <v>4895</v>
      </c>
      <c r="H30" s="11" t="n">
        <f aca="false">IF(E30=0,0,F30/E30)</f>
        <v>0.789823958780593</v>
      </c>
    </row>
    <row r="31" customFormat="false" ht="15" hidden="false" customHeight="false" outlineLevel="0" collapsed="false">
      <c r="B31" s="11" t="s">
        <v>121</v>
      </c>
      <c r="C31" s="11" t="s">
        <v>122</v>
      </c>
      <c r="D31" s="11" t="n">
        <v>16200</v>
      </c>
      <c r="E31" s="11" t="n">
        <v>16200</v>
      </c>
      <c r="F31" s="11" t="n">
        <v>11617</v>
      </c>
      <c r="G31" s="11" t="n">
        <f aca="false">E31-F31</f>
        <v>4583</v>
      </c>
      <c r="H31" s="11" t="n">
        <f aca="false">IF(E31=0,0,F31/E31)</f>
        <v>0.717098765432099</v>
      </c>
    </row>
    <row r="32" customFormat="false" ht="15" hidden="false" customHeight="false" outlineLevel="0" collapsed="false">
      <c r="B32" s="13" t="s">
        <v>123</v>
      </c>
    </row>
    <row r="33" customFormat="false" ht="15" hidden="false" customHeight="false" outlineLevel="0" collapsed="false">
      <c r="B33" s="11" t="s">
        <v>124</v>
      </c>
      <c r="C33" s="11" t="s">
        <v>125</v>
      </c>
      <c r="D33" s="11" t="n">
        <v>503619</v>
      </c>
      <c r="E33" s="11" t="n">
        <v>503619</v>
      </c>
      <c r="F33" s="11" t="n">
        <v>381218</v>
      </c>
      <c r="G33" s="11" t="n">
        <f aca="false">E33-F33</f>
        <v>122401</v>
      </c>
      <c r="H33" s="11" t="n">
        <f aca="false">IF(E33=0,0,F33/E33)</f>
        <v>0.75695714419035</v>
      </c>
    </row>
    <row r="34" customFormat="false" ht="15" hidden="false" customHeight="false" outlineLevel="0" collapsed="false">
      <c r="B34" s="11" t="s">
        <v>126</v>
      </c>
      <c r="C34" s="11" t="s">
        <v>127</v>
      </c>
      <c r="D34" s="11" t="n">
        <v>91550</v>
      </c>
      <c r="E34" s="11" t="n">
        <v>91550</v>
      </c>
      <c r="F34" s="11" t="n">
        <v>75953</v>
      </c>
      <c r="G34" s="11" t="n">
        <f aca="false">E34-F34</f>
        <v>15597</v>
      </c>
      <c r="H34" s="11" t="n">
        <f aca="false">IF(E34=0,0,F34/E34)</f>
        <v>0.829634079737848</v>
      </c>
    </row>
    <row r="36" customFormat="false" ht="15" hidden="false" customHeight="false" outlineLevel="0" collapsed="false">
      <c r="B36" s="5" t="s">
        <v>128</v>
      </c>
      <c r="D36" s="5" t="n">
        <v>2597500</v>
      </c>
      <c r="E36" s="5" t="n">
        <v>2597500</v>
      </c>
      <c r="F36" s="5" t="n">
        <v>2597500</v>
      </c>
    </row>
    <row r="39" customFormat="false" ht="15" hidden="false" customHeight="false" outlineLevel="0" collapsed="false">
      <c r="B39" s="4" t="s">
        <v>57</v>
      </c>
    </row>
    <row r="40" customFormat="false" ht="15" hidden="false" customHeight="false" outlineLevel="0" collapsed="false">
      <c r="B40" s="3" t="s">
        <v>58</v>
      </c>
    </row>
    <row r="41" customFormat="false" ht="15" hidden="false" customHeight="false" outlineLevel="0" collapsed="false">
      <c r="B41" s="3" t="s">
        <v>59</v>
      </c>
    </row>
    <row r="42" customFormat="false" ht="15" hidden="false" customHeight="false" outlineLevel="0" collapsed="false">
      <c r="B42" s="3" t="s">
        <v>60</v>
      </c>
    </row>
    <row r="43" customFormat="false" ht="15" hidden="false" customHeight="false" outlineLevel="0" collapsed="false">
      <c r="B43" s="3" t="s">
        <v>61</v>
      </c>
    </row>
    <row r="44" customFormat="false" ht="15" hidden="false" customHeight="false" outlineLevel="0" collapsed="false">
      <c r="B44" s="3" t="s">
        <v>62</v>
      </c>
    </row>
    <row r="45" customFormat="false" ht="15" hidden="false" customHeight="false" outlineLevel="0" collapsed="false">
      <c r="B45" s="3" t="s">
        <v>63</v>
      </c>
    </row>
    <row r="46" customFormat="false" ht="15" hidden="false" customHeight="false" outlineLevel="0" collapsed="false">
      <c r="B46" s="3" t="s">
        <v>64</v>
      </c>
    </row>
    <row r="47" customFormat="false" ht="15" hidden="false" customHeight="false" outlineLevel="0" collapsed="false">
      <c r="B47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6" min="4" style="1" width="13"/>
    <col collapsed="false" customWidth="true" hidden="false" outlineLevel="0" max="8" min="7" style="1" width="10"/>
  </cols>
  <sheetData>
    <row r="2" customFormat="false" ht="22.05" hidden="false" customHeight="false" outlineLevel="0" collapsed="false">
      <c r="B2" s="2" t="s">
        <v>129</v>
      </c>
    </row>
    <row r="4" customFormat="false" ht="15" hidden="false" customHeight="false" outlineLevel="0" collapsed="false">
      <c r="B4" s="4" t="s">
        <v>130</v>
      </c>
    </row>
    <row r="5" customFormat="false" ht="15" hidden="false" customHeight="false" outlineLevel="0" collapsed="false">
      <c r="B5" s="14" t="s">
        <v>28</v>
      </c>
      <c r="C5" s="14" t="s">
        <v>131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</row>
    <row r="6" customFormat="false" ht="15" hidden="false" customHeight="false" outlineLevel="0" collapsed="false">
      <c r="B6" s="5" t="s">
        <v>34</v>
      </c>
      <c r="C6" s="11" t="n">
        <v>11</v>
      </c>
      <c r="D6" s="11" t="n">
        <v>1196735</v>
      </c>
      <c r="E6" s="11" t="n">
        <v>990503</v>
      </c>
      <c r="F6" s="11" t="n">
        <f aca="false">D6-E6</f>
        <v>206232</v>
      </c>
      <c r="G6" s="11" t="n">
        <f aca="false">IF(D6=0,0,E6/D6)</f>
        <v>0.827671121844017</v>
      </c>
      <c r="H6" s="11" t="n">
        <f aca="false">IF(2597500=0,0,E6/2597500)</f>
        <v>0.381329355149182</v>
      </c>
    </row>
    <row r="7" customFormat="false" ht="15" hidden="false" customHeight="false" outlineLevel="0" collapsed="false">
      <c r="B7" s="5" t="s">
        <v>35</v>
      </c>
      <c r="C7" s="11" t="n">
        <v>8</v>
      </c>
      <c r="D7" s="11" t="n">
        <v>1327487</v>
      </c>
      <c r="E7" s="11" t="n">
        <v>1024296</v>
      </c>
      <c r="F7" s="11" t="n">
        <f aca="false">D7-E7</f>
        <v>303191</v>
      </c>
      <c r="G7" s="11" t="n">
        <f aca="false">IF(D7=0,0,E7/D7)</f>
        <v>0.771605296323053</v>
      </c>
      <c r="H7" s="11" t="n">
        <f aca="false">IF(2597500=0,0,E7/2597500)</f>
        <v>0.39433917228104</v>
      </c>
    </row>
    <row r="8" customFormat="false" ht="15" hidden="false" customHeight="false" outlineLevel="0" collapsed="false">
      <c r="B8" s="5" t="s">
        <v>36</v>
      </c>
      <c r="C8" s="11" t="n">
        <v>5</v>
      </c>
      <c r="D8" s="11" t="n">
        <v>195738</v>
      </c>
      <c r="E8" s="11" t="n">
        <v>125530</v>
      </c>
      <c r="F8" s="11" t="n">
        <f aca="false">D8-E8</f>
        <v>70208</v>
      </c>
      <c r="G8" s="11" t="n">
        <f aca="false">IF(D8=0,0,E8/D8)</f>
        <v>0.641316453626787</v>
      </c>
      <c r="H8" s="11" t="n">
        <f aca="false">IF(2597500=0,0,E8/2597500)</f>
        <v>0.0483272377285852</v>
      </c>
    </row>
    <row r="9" customFormat="false" ht="15" hidden="false" customHeight="false" outlineLevel="0" collapsed="false">
      <c r="B9" s="5" t="s">
        <v>37</v>
      </c>
      <c r="C9" s="11" t="n">
        <v>2</v>
      </c>
      <c r="D9" s="11" t="n">
        <v>595169</v>
      </c>
      <c r="E9" s="11" t="n">
        <v>457171</v>
      </c>
      <c r="F9" s="11" t="n">
        <f aca="false">D9-E9</f>
        <v>137998</v>
      </c>
      <c r="G9" s="11" t="n">
        <f aca="false">IF(D9=0,0,E9/D9)</f>
        <v>0.768136445278568</v>
      </c>
      <c r="H9" s="11" t="n">
        <f aca="false">IF(2597500=0,0,E9/2597500)</f>
        <v>0.176004234841193</v>
      </c>
    </row>
    <row r="12" customFormat="false" ht="15" hidden="false" customHeight="false" outlineLevel="0" collapsed="false">
      <c r="B12" s="4" t="s">
        <v>132</v>
      </c>
    </row>
    <row r="13" customFormat="false" ht="15" hidden="false" customHeight="false" outlineLevel="0" collapsed="false">
      <c r="B13" s="14" t="s">
        <v>67</v>
      </c>
      <c r="C13" s="14" t="s">
        <v>68</v>
      </c>
      <c r="D13" s="14" t="s">
        <v>70</v>
      </c>
      <c r="E13" s="14" t="s">
        <v>30</v>
      </c>
      <c r="F13" s="14" t="s">
        <v>133</v>
      </c>
      <c r="G13" s="14" t="s">
        <v>134</v>
      </c>
    </row>
    <row r="14" customFormat="false" ht="15" hidden="false" customHeight="false" outlineLevel="0" collapsed="false">
      <c r="B14" s="11" t="s">
        <v>85</v>
      </c>
      <c r="C14" s="11" t="s">
        <v>86</v>
      </c>
      <c r="D14" s="11" t="n">
        <v>108320</v>
      </c>
      <c r="E14" s="11" t="n">
        <v>119991</v>
      </c>
      <c r="F14" s="11" t="n">
        <f aca="false">E14-D14</f>
        <v>11671</v>
      </c>
      <c r="G14" s="11" t="n">
        <f aca="false">IF(D14=0,0,F14/D14)</f>
        <v>0.107745568685377</v>
      </c>
    </row>
    <row r="15" customFormat="false" ht="15" hidden="false" customHeight="false" outlineLevel="0" collapsed="false">
      <c r="B15" s="11" t="s">
        <v>110</v>
      </c>
      <c r="C15" s="11" t="s">
        <v>111</v>
      </c>
      <c r="D15" s="11" t="n">
        <v>28800</v>
      </c>
      <c r="E15" s="11" t="n">
        <v>40175</v>
      </c>
      <c r="F15" s="11" t="n">
        <f aca="false">E15-D15</f>
        <v>11375</v>
      </c>
      <c r="G15" s="11" t="n">
        <f aca="false">IF(D15=0,0,F15/D15)</f>
        <v>0.394965277777778</v>
      </c>
    </row>
    <row r="16" customFormat="false" ht="15" hidden="false" customHeight="false" outlineLevel="0" collapsed="false">
      <c r="B16" s="11" t="s">
        <v>81</v>
      </c>
      <c r="C16" s="11" t="s">
        <v>82</v>
      </c>
      <c r="D16" s="11" t="n">
        <v>31150</v>
      </c>
      <c r="E16" s="11" t="n">
        <v>36858</v>
      </c>
      <c r="F16" s="11" t="n">
        <f aca="false">E16-D16</f>
        <v>5708</v>
      </c>
      <c r="G16" s="11" t="n">
        <f aca="false">IF(D16=0,0,F16/D16)</f>
        <v>0.183242375601926</v>
      </c>
    </row>
    <row r="17" customFormat="false" ht="15" hidden="false" customHeight="false" outlineLevel="0" collapsed="false">
      <c r="B17" s="11" t="s">
        <v>91</v>
      </c>
      <c r="C17" s="11" t="s">
        <v>92</v>
      </c>
      <c r="D17" s="11" t="n">
        <v>21600</v>
      </c>
      <c r="E17" s="11" t="n">
        <v>22826</v>
      </c>
      <c r="F17" s="11" t="n">
        <f aca="false">E17-D17</f>
        <v>1226</v>
      </c>
      <c r="G17" s="11" t="n">
        <f aca="false">IF(D17=0,0,F17/D17)</f>
        <v>0.0567592592592593</v>
      </c>
    </row>
    <row r="18" customFormat="false" ht="15" hidden="false" customHeight="false" outlineLevel="0" collapsed="false">
      <c r="B18" s="11" t="s">
        <v>93</v>
      </c>
      <c r="C18" s="11" t="s">
        <v>94</v>
      </c>
      <c r="D18" s="11" t="n">
        <v>0</v>
      </c>
      <c r="E18" s="11" t="n">
        <v>114</v>
      </c>
      <c r="F18" s="11" t="n">
        <f aca="false">E18-D18</f>
        <v>114</v>
      </c>
      <c r="G18" s="11" t="n">
        <f aca="false">IF(D18=0,0,F18/D18)</f>
        <v>0</v>
      </c>
    </row>
    <row r="21" customFormat="false" ht="15" hidden="false" customHeight="false" outlineLevel="0" collapsed="false">
      <c r="B21" s="4" t="s">
        <v>135</v>
      </c>
    </row>
    <row r="22" customFormat="false" ht="15" hidden="false" customHeight="false" outlineLevel="0" collapsed="false">
      <c r="B22" s="14" t="s">
        <v>67</v>
      </c>
      <c r="C22" s="14" t="s">
        <v>68</v>
      </c>
      <c r="D22" s="14" t="s">
        <v>70</v>
      </c>
      <c r="E22" s="14" t="s">
        <v>30</v>
      </c>
      <c r="F22" s="14" t="s">
        <v>136</v>
      </c>
      <c r="G22" s="14" t="s">
        <v>137</v>
      </c>
    </row>
    <row r="23" customFormat="false" ht="15" hidden="false" customHeight="false" outlineLevel="0" collapsed="false">
      <c r="B23" s="11" t="s">
        <v>104</v>
      </c>
      <c r="C23" s="11" t="s">
        <v>105</v>
      </c>
      <c r="D23" s="11" t="n">
        <v>679447</v>
      </c>
      <c r="E23" s="11" t="n">
        <v>543379</v>
      </c>
      <c r="F23" s="11" t="n">
        <f aca="false">D23-E23</f>
        <v>136068</v>
      </c>
      <c r="G23" s="11" t="n">
        <f aca="false">IF(D23=0,0,F23/D23)</f>
        <v>0.200262860826525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1" t="n">
        <v>503619</v>
      </c>
      <c r="E24" s="11" t="n">
        <v>381218</v>
      </c>
      <c r="F24" s="11" t="n">
        <f aca="false">D24-E24</f>
        <v>122401</v>
      </c>
      <c r="G24" s="11" t="n">
        <f aca="false">IF(D24=0,0,F24/D24)</f>
        <v>0.24304285580965</v>
      </c>
    </row>
    <row r="25" customFormat="false" ht="15" hidden="false" customHeight="false" outlineLevel="0" collapsed="false">
      <c r="B25" s="11" t="s">
        <v>79</v>
      </c>
      <c r="C25" s="11" t="s">
        <v>80</v>
      </c>
      <c r="D25" s="11" t="n">
        <v>207080</v>
      </c>
      <c r="E25" s="11" t="n">
        <v>115836</v>
      </c>
      <c r="F25" s="11" t="n">
        <f aca="false">D25-E25</f>
        <v>91244</v>
      </c>
      <c r="G25" s="11" t="n">
        <f aca="false">IF(D25=0,0,F25/D25)</f>
        <v>0.440621981842766</v>
      </c>
    </row>
    <row r="26" customFormat="false" ht="15" hidden="false" customHeight="false" outlineLevel="0" collapsed="false">
      <c r="B26" s="11" t="s">
        <v>102</v>
      </c>
      <c r="C26" s="11" t="s">
        <v>103</v>
      </c>
      <c r="D26" s="11" t="n">
        <v>249410</v>
      </c>
      <c r="E26" s="11" t="n">
        <v>189502</v>
      </c>
      <c r="F26" s="11" t="n">
        <f aca="false">D26-E26</f>
        <v>59908</v>
      </c>
      <c r="G26" s="11" t="n">
        <f aca="false">IF(D26=0,0,F26/D26)</f>
        <v>0.240198869331623</v>
      </c>
    </row>
    <row r="27" customFormat="false" ht="15" hidden="false" customHeight="false" outlineLevel="0" collapsed="false">
      <c r="B27" s="11" t="s">
        <v>83</v>
      </c>
      <c r="C27" s="11" t="s">
        <v>84</v>
      </c>
      <c r="D27" s="11" t="n">
        <v>530745</v>
      </c>
      <c r="E27" s="11" t="n">
        <v>472058</v>
      </c>
      <c r="F27" s="11" t="n">
        <f aca="false">D27-E27</f>
        <v>58687</v>
      </c>
      <c r="G27" s="11" t="n">
        <f aca="false">IF(D27=0,0,F27/D27)</f>
        <v>0.110574758123016</v>
      </c>
    </row>
    <row r="28" customFormat="false" ht="15" hidden="false" customHeight="false" outlineLevel="0" collapsed="false">
      <c r="B28" s="11" t="s">
        <v>98</v>
      </c>
      <c r="C28" s="11" t="s">
        <v>99</v>
      </c>
      <c r="D28" s="11" t="n">
        <v>137910</v>
      </c>
      <c r="E28" s="11" t="n">
        <v>84964</v>
      </c>
      <c r="F28" s="11" t="n">
        <f aca="false">D28-E28</f>
        <v>52946</v>
      </c>
      <c r="G28" s="11" t="n">
        <f aca="false">IF(D28=0,0,F28/D28)</f>
        <v>0.383917047349721</v>
      </c>
    </row>
    <row r="29" customFormat="false" ht="15" hidden="false" customHeight="false" outlineLevel="0" collapsed="false">
      <c r="B29" s="11" t="s">
        <v>113</v>
      </c>
      <c r="C29" s="11" t="s">
        <v>114</v>
      </c>
      <c r="D29" s="11" t="n">
        <v>62550</v>
      </c>
      <c r="E29" s="11" t="n">
        <v>13105</v>
      </c>
      <c r="F29" s="11" t="n">
        <f aca="false">D29-E29</f>
        <v>49445</v>
      </c>
      <c r="G29" s="11" t="n">
        <f aca="false">IF(D29=0,0,F29/D29)</f>
        <v>0.79048760991207</v>
      </c>
    </row>
    <row r="30" customFormat="false" ht="15" hidden="false" customHeight="false" outlineLevel="0" collapsed="false">
      <c r="B30" s="11" t="s">
        <v>89</v>
      </c>
      <c r="C30" s="11" t="s">
        <v>90</v>
      </c>
      <c r="D30" s="11" t="n">
        <v>129200</v>
      </c>
      <c r="E30" s="11" t="n">
        <v>94078</v>
      </c>
      <c r="F30" s="11" t="n">
        <f aca="false">D30-E30</f>
        <v>35122</v>
      </c>
      <c r="G30" s="11" t="n">
        <f aca="false">IF(D30=0,0,F30/D30)</f>
        <v>0.271842105263158</v>
      </c>
    </row>
    <row r="31" customFormat="false" ht="15" hidden="false" customHeight="false" outlineLevel="0" collapsed="false">
      <c r="B31" s="11" t="s">
        <v>108</v>
      </c>
      <c r="C31" s="11" t="s">
        <v>109</v>
      </c>
      <c r="D31" s="11" t="n">
        <v>121025</v>
      </c>
      <c r="E31" s="11" t="n">
        <v>97571</v>
      </c>
      <c r="F31" s="11" t="n">
        <f aca="false">D31-E31</f>
        <v>23454</v>
      </c>
      <c r="G31" s="11" t="n">
        <f aca="false">IF(D31=0,0,F31/D31)</f>
        <v>0.193794670522619</v>
      </c>
    </row>
    <row r="32" customFormat="false" ht="15" hidden="false" customHeight="false" outlineLevel="0" collapsed="false">
      <c r="B32" s="11" t="s">
        <v>75</v>
      </c>
      <c r="C32" s="11" t="s">
        <v>76</v>
      </c>
      <c r="D32" s="11" t="n">
        <v>49785</v>
      </c>
      <c r="E32" s="11" t="n">
        <v>30858</v>
      </c>
      <c r="F32" s="11" t="n">
        <f aca="false">D32-E32</f>
        <v>18927</v>
      </c>
      <c r="G32" s="11" t="n">
        <f aca="false">IF(D32=0,0,F32/D32)</f>
        <v>0.380174751431154</v>
      </c>
    </row>
    <row r="35" customFormat="false" ht="15" hidden="false" customHeight="false" outlineLevel="0" collapsed="false">
      <c r="B35" s="4" t="s">
        <v>57</v>
      </c>
    </row>
    <row r="36" customFormat="false" ht="15" hidden="false" customHeight="false" outlineLevel="0" collapsed="false">
      <c r="B36" s="3" t="s">
        <v>58</v>
      </c>
    </row>
    <row r="37" customFormat="false" ht="15" hidden="false" customHeight="false" outlineLevel="0" collapsed="false">
      <c r="B37" s="3" t="s">
        <v>59</v>
      </c>
    </row>
    <row r="38" customFormat="false" ht="15" hidden="false" customHeight="false" outlineLevel="0" collapsed="false">
      <c r="B38" s="3" t="s">
        <v>60</v>
      </c>
    </row>
    <row r="39" customFormat="false" ht="15" hidden="false" customHeight="false" outlineLevel="0" collapsed="false">
      <c r="B39" s="3" t="s">
        <v>61</v>
      </c>
    </row>
    <row r="40" customFormat="false" ht="15" hidden="false" customHeight="false" outlineLevel="0" collapsed="false">
      <c r="B40" s="3" t="s">
        <v>62</v>
      </c>
    </row>
    <row r="41" customFormat="false" ht="15" hidden="false" customHeight="false" outlineLevel="0" collapsed="false">
      <c r="B41" s="3" t="s">
        <v>63</v>
      </c>
    </row>
    <row r="42" customFormat="false" ht="15" hidden="false" customHeight="false" outlineLevel="0" collapsed="false">
      <c r="B42" s="3" t="s">
        <v>64</v>
      </c>
    </row>
    <row r="43" customFormat="false" ht="15" hidden="false" customHeight="false" outlineLevel="0" collapsed="false">
      <c r="B43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5" min="4" style="1" width="16"/>
    <col collapsed="false" customWidth="true" hidden="false" outlineLevel="0" max="6" min="6" style="1" width="13"/>
    <col collapsed="false" customWidth="true" hidden="false" outlineLevel="0" max="8" min="7" style="1" width="10"/>
  </cols>
  <sheetData>
    <row r="2" customFormat="false" ht="22.05" hidden="false" customHeight="false" outlineLevel="0" collapsed="false">
      <c r="B2" s="2" t="s">
        <v>138</v>
      </c>
    </row>
    <row r="3" customFormat="false" ht="15" hidden="false" customHeight="false" outlineLevel="0" collapsed="false">
      <c r="B3" s="3" t="s">
        <v>139</v>
      </c>
    </row>
    <row r="5" customFormat="false" ht="15" hidden="false" customHeight="false" outlineLevel="0" collapsed="false">
      <c r="B5" s="4" t="s">
        <v>140</v>
      </c>
    </row>
    <row r="6" customFormat="false" ht="15" hidden="false" customHeight="false" outlineLevel="0" collapsed="false">
      <c r="B6" s="14" t="s">
        <v>67</v>
      </c>
      <c r="C6" s="14" t="s">
        <v>68</v>
      </c>
      <c r="D6" s="14" t="s">
        <v>70</v>
      </c>
      <c r="E6" s="14" t="s">
        <v>30</v>
      </c>
      <c r="F6" s="14" t="s">
        <v>31</v>
      </c>
      <c r="G6" s="14" t="s">
        <v>71</v>
      </c>
      <c r="H6" s="14" t="s">
        <v>141</v>
      </c>
    </row>
    <row r="7" customFormat="false" ht="15" hidden="false" customHeight="false" outlineLevel="0" collapsed="false">
      <c r="B7" s="11" t="s">
        <v>96</v>
      </c>
      <c r="C7" s="11" t="s">
        <v>97</v>
      </c>
      <c r="D7" s="11" t="n">
        <v>54595</v>
      </c>
      <c r="E7" s="11" t="n">
        <v>36611</v>
      </c>
      <c r="F7" s="11" t="n">
        <f aca="false">D7-E7</f>
        <v>17984</v>
      </c>
      <c r="G7" s="11" t="n">
        <f aca="false">IF(D7=0,0,E7/D7)</f>
        <v>0.670592545104863</v>
      </c>
      <c r="H7" s="11" t="n">
        <f aca="false">IF(1024294=0,0,E7/1024294)</f>
        <v>0.0357426676325352</v>
      </c>
    </row>
    <row r="8" customFormat="false" ht="15" hidden="false" customHeight="false" outlineLevel="0" collapsed="false">
      <c r="B8" s="11" t="s">
        <v>98</v>
      </c>
      <c r="C8" s="11" t="s">
        <v>99</v>
      </c>
      <c r="D8" s="11" t="n">
        <v>137910</v>
      </c>
      <c r="E8" s="11" t="n">
        <v>84964</v>
      </c>
      <c r="F8" s="11" t="n">
        <f aca="false">D8-E8</f>
        <v>52946</v>
      </c>
      <c r="G8" s="11" t="n">
        <f aca="false">IF(D8=0,0,E8/D8)</f>
        <v>0.616082952650279</v>
      </c>
      <c r="H8" s="11" t="n">
        <f aca="false">IF(1024294=0,0,E8/1024294)</f>
        <v>0.0829488408601437</v>
      </c>
    </row>
    <row r="9" customFormat="false" ht="15" hidden="false" customHeight="false" outlineLevel="0" collapsed="false">
      <c r="B9" s="11" t="s">
        <v>100</v>
      </c>
      <c r="C9" s="11" t="s">
        <v>101</v>
      </c>
      <c r="D9" s="11" t="n">
        <v>31150</v>
      </c>
      <c r="E9" s="11" t="n">
        <v>15772</v>
      </c>
      <c r="F9" s="11" t="n">
        <f aca="false">D9-E9</f>
        <v>15378</v>
      </c>
      <c r="G9" s="11" t="n">
        <f aca="false">IF(D9=0,0,E9/D9)</f>
        <v>0.506324237560193</v>
      </c>
      <c r="H9" s="11" t="n">
        <f aca="false">IF(1024294=0,0,E9/1024294)</f>
        <v>0.0153979228619908</v>
      </c>
    </row>
    <row r="10" customFormat="false" ht="15" hidden="false" customHeight="false" outlineLevel="0" collapsed="false">
      <c r="B10" s="11" t="s">
        <v>102</v>
      </c>
      <c r="C10" s="11" t="s">
        <v>103</v>
      </c>
      <c r="D10" s="11" t="n">
        <v>249410</v>
      </c>
      <c r="E10" s="11" t="n">
        <v>189502</v>
      </c>
      <c r="F10" s="11" t="n">
        <f aca="false">D10-E10</f>
        <v>59908</v>
      </c>
      <c r="G10" s="11" t="n">
        <f aca="false">IF(D10=0,0,E10/D10)</f>
        <v>0.759801130668377</v>
      </c>
      <c r="H10" s="11" t="n">
        <f aca="false">IF(1024294=0,0,E10/1024294)</f>
        <v>0.185007429507544</v>
      </c>
    </row>
    <row r="11" customFormat="false" ht="15" hidden="false" customHeight="false" outlineLevel="0" collapsed="false">
      <c r="B11" s="11" t="s">
        <v>104</v>
      </c>
      <c r="C11" s="11" t="s">
        <v>105</v>
      </c>
      <c r="D11" s="11" t="n">
        <v>679447</v>
      </c>
      <c r="E11" s="11" t="n">
        <v>543379</v>
      </c>
      <c r="F11" s="11" t="n">
        <f aca="false">D11-E11</f>
        <v>136068</v>
      </c>
      <c r="G11" s="11" t="n">
        <f aca="false">IF(D11=0,0,E11/D11)</f>
        <v>0.799737139173475</v>
      </c>
      <c r="H11" s="11" t="n">
        <f aca="false">IF(1024294=0,0,E11/1024294)</f>
        <v>0.530491245677511</v>
      </c>
    </row>
    <row r="12" customFormat="false" ht="15" hidden="false" customHeight="false" outlineLevel="0" collapsed="false">
      <c r="B12" s="11" t="s">
        <v>106</v>
      </c>
      <c r="C12" s="11" t="s">
        <v>107</v>
      </c>
      <c r="D12" s="11" t="n">
        <v>25150</v>
      </c>
      <c r="E12" s="11" t="n">
        <v>16320</v>
      </c>
      <c r="F12" s="11" t="n">
        <f aca="false">D12-E12</f>
        <v>8830</v>
      </c>
      <c r="G12" s="11" t="n">
        <f aca="false">IF(D12=0,0,E12/D12)</f>
        <v>0.648906560636183</v>
      </c>
      <c r="H12" s="11" t="n">
        <f aca="false">IF(1024294=0,0,E12/1024294)</f>
        <v>0.0159329255077156</v>
      </c>
    </row>
    <row r="13" customFormat="false" ht="15" hidden="false" customHeight="false" outlineLevel="0" collapsed="false">
      <c r="B13" s="11" t="s">
        <v>108</v>
      </c>
      <c r="C13" s="11" t="s">
        <v>109</v>
      </c>
      <c r="D13" s="11" t="n">
        <v>121025</v>
      </c>
      <c r="E13" s="11" t="n">
        <v>97571</v>
      </c>
      <c r="F13" s="11" t="n">
        <f aca="false">D13-E13</f>
        <v>23454</v>
      </c>
      <c r="G13" s="11" t="n">
        <f aca="false">IF(D13=0,0,E13/D13)</f>
        <v>0.806205329477381</v>
      </c>
      <c r="H13" s="11" t="n">
        <f aca="false">IF(1024294=0,0,E13/1024294)</f>
        <v>0.0952568305584139</v>
      </c>
    </row>
    <row r="14" customFormat="false" ht="15" hidden="false" customHeight="false" outlineLevel="0" collapsed="false">
      <c r="B14" s="11" t="s">
        <v>110</v>
      </c>
      <c r="C14" s="11" t="s">
        <v>111</v>
      </c>
      <c r="D14" s="11" t="n">
        <v>28800</v>
      </c>
      <c r="E14" s="11" t="n">
        <v>40175</v>
      </c>
      <c r="F14" s="11" t="n">
        <f aca="false">D14-E14</f>
        <v>-11375</v>
      </c>
      <c r="G14" s="11" t="n">
        <f aca="false">IF(D14=0,0,E14/D14)</f>
        <v>1.39496527777778</v>
      </c>
      <c r="H14" s="11" t="n">
        <f aca="false">IF(1024294=0,0,E14/1024294)</f>
        <v>0.0392221373941466</v>
      </c>
    </row>
    <row r="15" customFormat="false" ht="15" hidden="false" customHeight="false" outlineLevel="0" collapsed="false">
      <c r="B15" s="5" t="s">
        <v>38</v>
      </c>
      <c r="C15" s="5" t="s">
        <v>142</v>
      </c>
      <c r="D15" s="5" t="n">
        <f aca="false">SUM(D7:D14)</f>
        <v>1327487</v>
      </c>
      <c r="E15" s="5" t="n">
        <f aca="false">SUM(E7:E14)</f>
        <v>1024294</v>
      </c>
      <c r="F15" s="5" t="n">
        <f aca="false">D15-E15</f>
        <v>303193</v>
      </c>
      <c r="G15" s="5" t="n">
        <f aca="false">IF(D15=0,0,E15/D15)</f>
        <v>0.771603789716961</v>
      </c>
      <c r="H15" s="5" t="n">
        <v>1</v>
      </c>
    </row>
    <row r="18" customFormat="false" ht="15" hidden="false" customHeight="false" outlineLevel="0" collapsed="false">
      <c r="B18" s="4" t="s">
        <v>143</v>
      </c>
    </row>
    <row r="19" customFormat="false" ht="15" hidden="false" customHeight="false" outlineLevel="0" collapsed="false">
      <c r="B19" s="14" t="s">
        <v>144</v>
      </c>
      <c r="C19" s="14" t="s">
        <v>145</v>
      </c>
      <c r="D19" s="14" t="s">
        <v>146</v>
      </c>
      <c r="E19" s="14" t="s">
        <v>147</v>
      </c>
    </row>
    <row r="20" customFormat="false" ht="15" hidden="false" customHeight="false" outlineLevel="0" collapsed="false">
      <c r="B20" s="11" t="s">
        <v>148</v>
      </c>
      <c r="C20" s="11" t="n">
        <v>223</v>
      </c>
      <c r="D20" s="11" t="n">
        <v>381559</v>
      </c>
      <c r="E20" s="11" t="n">
        <f aca="false">IF(1007272=0,0,D20/1007272)</f>
        <v>0.378804334876776</v>
      </c>
    </row>
    <row r="21" customFormat="false" ht="15" hidden="false" customHeight="false" outlineLevel="0" collapsed="false">
      <c r="B21" s="11" t="s">
        <v>149</v>
      </c>
      <c r="C21" s="11" t="n">
        <v>62</v>
      </c>
      <c r="D21" s="11" t="n">
        <v>223734</v>
      </c>
      <c r="E21" s="11" t="n">
        <f aca="false">IF(1007272=0,0,D21/1007272)</f>
        <v>0.222118752432312</v>
      </c>
    </row>
    <row r="22" customFormat="false" ht="15" hidden="false" customHeight="false" outlineLevel="0" collapsed="false">
      <c r="B22" s="11" t="s">
        <v>150</v>
      </c>
      <c r="C22" s="11" t="n">
        <v>55</v>
      </c>
      <c r="D22" s="11" t="n">
        <v>88009</v>
      </c>
      <c r="E22" s="11" t="n">
        <f aca="false">IF(1007272=0,0,D22/1007272)</f>
        <v>0.0873736190423242</v>
      </c>
    </row>
    <row r="23" customFormat="false" ht="15" hidden="false" customHeight="false" outlineLevel="0" collapsed="false">
      <c r="B23" s="11" t="s">
        <v>151</v>
      </c>
      <c r="C23" s="11" t="n">
        <v>2</v>
      </c>
      <c r="D23" s="11" t="n">
        <v>75297</v>
      </c>
      <c r="E23" s="11" t="n">
        <f aca="false">IF(1007272=0,0,D23/1007272)</f>
        <v>0.0747533933237497</v>
      </c>
    </row>
    <row r="24" customFormat="false" ht="15" hidden="false" customHeight="false" outlineLevel="0" collapsed="false">
      <c r="B24" s="11" t="s">
        <v>152</v>
      </c>
      <c r="C24" s="11" t="n">
        <v>15</v>
      </c>
      <c r="D24" s="11" t="n">
        <v>69481</v>
      </c>
      <c r="E24" s="11" t="n">
        <f aca="false">IF(1007272=0,0,D24/1007272)</f>
        <v>0.0689793819345718</v>
      </c>
    </row>
    <row r="25" customFormat="false" ht="15" hidden="false" customHeight="false" outlineLevel="0" collapsed="false">
      <c r="B25" s="11" t="s">
        <v>153</v>
      </c>
      <c r="C25" s="11" t="n">
        <v>5</v>
      </c>
      <c r="D25" s="11" t="n">
        <v>45601</v>
      </c>
      <c r="E25" s="11" t="n">
        <f aca="false">IF(1007272=0,0,D25/1007272)</f>
        <v>0.0452717835897354</v>
      </c>
    </row>
    <row r="26" customFormat="false" ht="15" hidden="false" customHeight="false" outlineLevel="0" collapsed="false">
      <c r="B26" s="11" t="s">
        <v>154</v>
      </c>
      <c r="C26" s="11" t="n">
        <v>26</v>
      </c>
      <c r="D26" s="11" t="n">
        <v>36697</v>
      </c>
      <c r="E26" s="11" t="n">
        <f aca="false">IF(1007272=0,0,D26/1007272)</f>
        <v>0.0364320660159321</v>
      </c>
    </row>
    <row r="27" customFormat="false" ht="15" hidden="false" customHeight="false" outlineLevel="0" collapsed="false">
      <c r="B27" s="11" t="s">
        <v>155</v>
      </c>
      <c r="C27" s="11" t="n">
        <v>42</v>
      </c>
      <c r="D27" s="11" t="n">
        <v>27600</v>
      </c>
      <c r="E27" s="11" t="n">
        <f aca="false">IF(1007272=0,0,D27/1007272)</f>
        <v>0.0274007418055898</v>
      </c>
    </row>
    <row r="28" customFormat="false" ht="15" hidden="false" customHeight="false" outlineLevel="0" collapsed="false">
      <c r="B28" s="11" t="s">
        <v>156</v>
      </c>
      <c r="C28" s="11" t="n">
        <v>2</v>
      </c>
      <c r="D28" s="11" t="n">
        <v>15782</v>
      </c>
      <c r="E28" s="11" t="n">
        <f aca="false">IF(1007272=0,0,D28/1007272)</f>
        <v>0.0156680618541963</v>
      </c>
    </row>
    <row r="29" customFormat="false" ht="15" hidden="false" customHeight="false" outlineLevel="0" collapsed="false">
      <c r="B29" s="11" t="s">
        <v>157</v>
      </c>
      <c r="C29" s="11" t="n">
        <v>20</v>
      </c>
      <c r="D29" s="11" t="n">
        <v>12079</v>
      </c>
      <c r="E29" s="11" t="n">
        <f aca="false">IF(1007272=0,0,D29/1007272)</f>
        <v>0.0119917956619463</v>
      </c>
    </row>
    <row r="30" customFormat="false" ht="15" hidden="false" customHeight="false" outlineLevel="0" collapsed="false">
      <c r="B30" s="11" t="s">
        <v>158</v>
      </c>
      <c r="C30" s="11" t="n">
        <v>1</v>
      </c>
      <c r="D30" s="11" t="n">
        <v>8250</v>
      </c>
      <c r="E30" s="11" t="n">
        <f aca="false">IF(1007272=0,0,D30/1007272)</f>
        <v>0.00819043912667085</v>
      </c>
    </row>
    <row r="31" customFormat="false" ht="15" hidden="false" customHeight="false" outlineLevel="0" collapsed="false">
      <c r="B31" s="11" t="s">
        <v>159</v>
      </c>
      <c r="C31" s="11" t="n">
        <v>5</v>
      </c>
      <c r="D31" s="11" t="n">
        <v>5338</v>
      </c>
      <c r="E31" s="11" t="n">
        <f aca="false">IF(1007272=0,0,D31/1007272)</f>
        <v>0.00529946231008109</v>
      </c>
    </row>
    <row r="32" customFormat="false" ht="15" hidden="false" customHeight="false" outlineLevel="0" collapsed="false">
      <c r="B32" s="11" t="s">
        <v>160</v>
      </c>
      <c r="C32" s="11" t="n">
        <v>2</v>
      </c>
      <c r="D32" s="11" t="n">
        <v>4290</v>
      </c>
      <c r="E32" s="11" t="n">
        <f aca="false">IF(1007272=0,0,D32/1007272)</f>
        <v>0.00425902834586884</v>
      </c>
    </row>
    <row r="33" customFormat="false" ht="15" hidden="false" customHeight="false" outlineLevel="0" collapsed="false">
      <c r="B33" s="11" t="s">
        <v>161</v>
      </c>
      <c r="C33" s="11" t="n">
        <v>1</v>
      </c>
      <c r="D33" s="11" t="n">
        <v>3050</v>
      </c>
      <c r="E33" s="11" t="n">
        <f aca="false">IF(1007272=0,0,D33/1007272)</f>
        <v>0.00302798052561771</v>
      </c>
    </row>
    <row r="34" customFormat="false" ht="15" hidden="false" customHeight="false" outlineLevel="0" collapsed="false">
      <c r="B34" s="11" t="s">
        <v>162</v>
      </c>
      <c r="C34" s="11" t="n">
        <v>1</v>
      </c>
      <c r="D34" s="11" t="n">
        <v>2594</v>
      </c>
      <c r="E34" s="11" t="n">
        <f aca="false">IF(1007272=0,0,D34/1007272)</f>
        <v>0.00257527261752536</v>
      </c>
    </row>
    <row r="35" customFormat="false" ht="15" hidden="false" customHeight="false" outlineLevel="0" collapsed="false">
      <c r="B35" s="11" t="s">
        <v>163</v>
      </c>
      <c r="C35" s="11" t="n">
        <v>5</v>
      </c>
      <c r="D35" s="11" t="n">
        <v>2139</v>
      </c>
      <c r="E35" s="11" t="n">
        <f aca="false">IF(1007272=0,0,D35/1007272)</f>
        <v>0.00212355748993321</v>
      </c>
    </row>
    <row r="36" customFormat="false" ht="15" hidden="false" customHeight="false" outlineLevel="0" collapsed="false">
      <c r="B36" s="11" t="s">
        <v>164</v>
      </c>
      <c r="C36" s="11" t="n">
        <v>5</v>
      </c>
      <c r="D36" s="11" t="n">
        <v>2071</v>
      </c>
      <c r="E36" s="11" t="n">
        <f aca="false">IF(1007272=0,0,D36/1007272)</f>
        <v>0.00205604841591943</v>
      </c>
    </row>
    <row r="37" customFormat="false" ht="15" hidden="false" customHeight="false" outlineLevel="0" collapsed="false">
      <c r="B37" s="11" t="s">
        <v>165</v>
      </c>
      <c r="C37" s="11" t="n">
        <v>1</v>
      </c>
      <c r="D37" s="11" t="n">
        <v>1525</v>
      </c>
      <c r="E37" s="11" t="n">
        <f aca="false">IF(1007272=0,0,D37/1007272)</f>
        <v>0.00151399026280885</v>
      </c>
    </row>
    <row r="38" customFormat="false" ht="15" hidden="false" customHeight="false" outlineLevel="0" collapsed="false">
      <c r="B38" s="11" t="s">
        <v>166</v>
      </c>
      <c r="C38" s="11" t="n">
        <v>6</v>
      </c>
      <c r="D38" s="11" t="n">
        <v>901</v>
      </c>
      <c r="E38" s="11" t="n">
        <f aca="false">IF(1007272=0,0,D38/1007272)</f>
        <v>0.000894495230682477</v>
      </c>
    </row>
    <row r="39" customFormat="false" ht="15" hidden="false" customHeight="false" outlineLevel="0" collapsed="false">
      <c r="B39" s="11" t="s">
        <v>167</v>
      </c>
      <c r="C39" s="11" t="n">
        <v>3</v>
      </c>
      <c r="D39" s="11" t="n">
        <v>853</v>
      </c>
      <c r="E39" s="11" t="n">
        <f aca="false">IF(1007272=0,0,D39/1007272)</f>
        <v>0.000846841766672756</v>
      </c>
    </row>
    <row r="40" customFormat="false" ht="15" hidden="false" customHeight="false" outlineLevel="0" collapsed="false">
      <c r="B40" s="11" t="s">
        <v>168</v>
      </c>
      <c r="C40" s="11" t="n">
        <v>1</v>
      </c>
      <c r="D40" s="11" t="n">
        <v>280</v>
      </c>
      <c r="E40" s="11" t="n">
        <f aca="false">IF(1007272=0,0,D40/1007272)</f>
        <v>0.000277978540056708</v>
      </c>
    </row>
    <row r="41" customFormat="false" ht="15" hidden="false" customHeight="false" outlineLevel="0" collapsed="false">
      <c r="B41" s="11" t="s">
        <v>169</v>
      </c>
      <c r="C41" s="11" t="n">
        <v>1</v>
      </c>
      <c r="D41" s="11" t="n">
        <v>126</v>
      </c>
      <c r="E41" s="11" t="n">
        <f aca="false">IF(1007272=0,0,D41/1007272)</f>
        <v>0.000125090343025518</v>
      </c>
    </row>
    <row r="42" customFormat="false" ht="15" hidden="false" customHeight="false" outlineLevel="0" collapsed="false">
      <c r="B42" s="11" t="s">
        <v>170</v>
      </c>
      <c r="C42" s="11" t="n">
        <v>1</v>
      </c>
      <c r="D42" s="11" t="n">
        <v>16</v>
      </c>
      <c r="E42" s="11" t="n">
        <f aca="false">IF(1007272=0,0,D42/1007272)</f>
        <v>1.58844880032404E-005</v>
      </c>
    </row>
    <row r="43" customFormat="false" ht="15" hidden="false" customHeight="false" outlineLevel="0" collapsed="false">
      <c r="B43" s="5" t="s">
        <v>38</v>
      </c>
      <c r="C43" s="5" t="n">
        <f aca="false">SUM(C20:C42)</f>
        <v>485</v>
      </c>
      <c r="D43" s="5" t="n">
        <f aca="false">SUM(D20:D42)</f>
        <v>1007272</v>
      </c>
      <c r="E43" s="5" t="n">
        <v>1</v>
      </c>
    </row>
    <row r="46" customFormat="false" ht="15" hidden="false" customHeight="false" outlineLevel="0" collapsed="false">
      <c r="B46" s="4" t="s">
        <v>57</v>
      </c>
    </row>
    <row r="47" customFormat="false" ht="15" hidden="false" customHeight="false" outlineLevel="0" collapsed="false">
      <c r="B47" s="3" t="s">
        <v>58</v>
      </c>
    </row>
    <row r="48" customFormat="false" ht="15" hidden="false" customHeight="false" outlineLevel="0" collapsed="false">
      <c r="B48" s="3" t="s">
        <v>59</v>
      </c>
    </row>
    <row r="49" customFormat="false" ht="15" hidden="false" customHeight="false" outlineLevel="0" collapsed="false">
      <c r="B49" s="3" t="s">
        <v>60</v>
      </c>
    </row>
    <row r="50" customFormat="false" ht="15" hidden="false" customHeight="false" outlineLevel="0" collapsed="false">
      <c r="B50" s="3" t="s">
        <v>61</v>
      </c>
    </row>
    <row r="51" customFormat="false" ht="15" hidden="false" customHeight="false" outlineLevel="0" collapsed="false">
      <c r="B51" s="3" t="s">
        <v>62</v>
      </c>
    </row>
    <row r="52" customFormat="false" ht="15" hidden="false" customHeight="false" outlineLevel="0" collapsed="false">
      <c r="B52" s="3" t="s">
        <v>63</v>
      </c>
    </row>
    <row r="53" customFormat="false" ht="15" hidden="false" customHeight="false" outlineLevel="0" collapsed="false">
      <c r="B53" s="3" t="s">
        <v>64</v>
      </c>
    </row>
    <row r="54" customFormat="false" ht="15" hidden="false" customHeight="false" outlineLevel="0" collapsed="false">
      <c r="B54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2"/>
  </cols>
  <sheetData>
    <row r="2" customFormat="false" ht="22.05" hidden="false" customHeight="false" outlineLevel="0" collapsed="false">
      <c r="B2" s="2" t="s">
        <v>171</v>
      </c>
    </row>
    <row r="4" customFormat="false" ht="15" hidden="false" customHeight="false" outlineLevel="0" collapsed="false">
      <c r="B4" s="14" t="s">
        <v>172</v>
      </c>
      <c r="C4" s="14" t="s">
        <v>173</v>
      </c>
      <c r="D4" s="14" t="s">
        <v>174</v>
      </c>
      <c r="E4" s="14" t="s">
        <v>175</v>
      </c>
      <c r="F4" s="14" t="s">
        <v>176</v>
      </c>
    </row>
    <row r="5" customFormat="false" ht="15" hidden="false" customHeight="false" outlineLevel="0" collapsed="false">
      <c r="B5" s="11" t="s">
        <v>177</v>
      </c>
      <c r="C5" s="11" t="n">
        <v>2936.5</v>
      </c>
      <c r="D5" s="11" t="n">
        <v>145718</v>
      </c>
      <c r="E5" s="11" t="n">
        <f aca="false">IF(C5=0,0,D5/C5)</f>
        <v>49.6230206027584</v>
      </c>
      <c r="F5" s="11" t="s">
        <v>178</v>
      </c>
    </row>
    <row r="6" customFormat="false" ht="15" hidden="false" customHeight="false" outlineLevel="0" collapsed="false">
      <c r="B6" s="11" t="s">
        <v>179</v>
      </c>
      <c r="C6" s="11" t="n">
        <v>2740.5</v>
      </c>
      <c r="D6" s="11" t="n">
        <v>100894</v>
      </c>
      <c r="E6" s="11" t="n">
        <f aca="false">IF(C6=0,0,D6/C6)</f>
        <v>36.8159095055647</v>
      </c>
      <c r="F6" s="11" t="s">
        <v>178</v>
      </c>
    </row>
    <row r="7" customFormat="false" ht="15" hidden="false" customHeight="false" outlineLevel="0" collapsed="false">
      <c r="B7" s="11" t="s">
        <v>180</v>
      </c>
      <c r="C7" s="11" t="n">
        <v>2176.5</v>
      </c>
      <c r="D7" s="11" t="n">
        <v>70857</v>
      </c>
      <c r="E7" s="11" t="n">
        <f aca="false">IF(C7=0,0,D7/C7)</f>
        <v>32.5554789800138</v>
      </c>
      <c r="F7" s="11" t="s">
        <v>181</v>
      </c>
    </row>
    <row r="8" customFormat="false" ht="15" hidden="false" customHeight="false" outlineLevel="0" collapsed="false">
      <c r="B8" s="11" t="s">
        <v>182</v>
      </c>
      <c r="C8" s="11" t="n">
        <v>1986.5</v>
      </c>
      <c r="D8" s="11" t="n">
        <v>68375</v>
      </c>
      <c r="E8" s="11" t="n">
        <f aca="false">IF(C8=0,0,D8/C8)</f>
        <v>34.4198338786811</v>
      </c>
      <c r="F8" s="11" t="s">
        <v>181</v>
      </c>
    </row>
    <row r="9" customFormat="false" ht="15" hidden="false" customHeight="false" outlineLevel="0" collapsed="false">
      <c r="B9" s="11" t="s">
        <v>183</v>
      </c>
      <c r="C9" s="11" t="n">
        <v>1775.5</v>
      </c>
      <c r="D9" s="11" t="n">
        <v>44668</v>
      </c>
      <c r="E9" s="11" t="n">
        <f aca="false">IF(C9=0,0,D9/C9)</f>
        <v>25.1579836665728</v>
      </c>
      <c r="F9" s="11" t="s">
        <v>181</v>
      </c>
    </row>
    <row r="10" customFormat="false" ht="15" hidden="false" customHeight="false" outlineLevel="0" collapsed="false">
      <c r="B10" s="11" t="s">
        <v>184</v>
      </c>
      <c r="C10" s="11" t="n">
        <v>1352</v>
      </c>
      <c r="D10" s="11" t="n">
        <v>51980</v>
      </c>
      <c r="E10" s="11" t="n">
        <f aca="false">IF(C10=0,0,D10/C10)</f>
        <v>38.4467455621302</v>
      </c>
      <c r="F10" s="11" t="s">
        <v>178</v>
      </c>
    </row>
    <row r="11" customFormat="false" ht="15" hidden="false" customHeight="false" outlineLevel="0" collapsed="false">
      <c r="B11" s="11" t="s">
        <v>185</v>
      </c>
      <c r="C11" s="11" t="n">
        <v>1103.5</v>
      </c>
      <c r="D11" s="11" t="n">
        <v>28221</v>
      </c>
      <c r="E11" s="11" t="n">
        <f aca="false">IF(C11=0,0,D11/C11)</f>
        <v>25.5740824648845</v>
      </c>
      <c r="F11" s="11" t="s">
        <v>181</v>
      </c>
    </row>
    <row r="12" customFormat="false" ht="15" hidden="false" customHeight="false" outlineLevel="0" collapsed="false">
      <c r="B12" s="11" t="s">
        <v>186</v>
      </c>
      <c r="C12" s="11" t="n">
        <v>1082.5</v>
      </c>
      <c r="D12" s="11" t="n">
        <v>46340</v>
      </c>
      <c r="E12" s="11" t="n">
        <f aca="false">IF(C12=0,0,D12/C12)</f>
        <v>42.8083140877598</v>
      </c>
      <c r="F12" s="11" t="s">
        <v>178</v>
      </c>
    </row>
    <row r="13" customFormat="false" ht="15" hidden="false" customHeight="false" outlineLevel="0" collapsed="false">
      <c r="B13" s="11" t="s">
        <v>187</v>
      </c>
      <c r="C13" s="11" t="n">
        <v>888</v>
      </c>
      <c r="D13" s="11" t="n">
        <v>15882</v>
      </c>
      <c r="E13" s="11" t="n">
        <f aca="false">IF(C13=0,0,D13/C13)</f>
        <v>17.8851351351351</v>
      </c>
      <c r="F13" s="11" t="s">
        <v>188</v>
      </c>
    </row>
    <row r="14" customFormat="false" ht="15" hidden="false" customHeight="false" outlineLevel="0" collapsed="false">
      <c r="B14" s="11" t="s">
        <v>189</v>
      </c>
      <c r="C14" s="11" t="n">
        <v>849</v>
      </c>
      <c r="D14" s="11" t="n">
        <v>17190</v>
      </c>
      <c r="E14" s="11" t="n">
        <f aca="false">IF(C14=0,0,D14/C14)</f>
        <v>20.2473498233216</v>
      </c>
      <c r="F14" s="11" t="s">
        <v>181</v>
      </c>
    </row>
    <row r="15" customFormat="false" ht="15" hidden="false" customHeight="false" outlineLevel="0" collapsed="false">
      <c r="B15" s="11" t="s">
        <v>190</v>
      </c>
      <c r="C15" s="11" t="n">
        <v>854.5</v>
      </c>
      <c r="D15" s="11" t="n">
        <v>28700</v>
      </c>
      <c r="E15" s="11" t="n">
        <f aca="false">IF(C15=0,0,D15/C15)</f>
        <v>33.5868929198362</v>
      </c>
      <c r="F15" s="11" t="s">
        <v>181</v>
      </c>
    </row>
    <row r="16" customFormat="false" ht="15" hidden="false" customHeight="false" outlineLevel="0" collapsed="false">
      <c r="B16" s="11" t="s">
        <v>191</v>
      </c>
      <c r="C16" s="11" t="n">
        <v>818.5</v>
      </c>
      <c r="D16" s="11" t="n">
        <v>18084</v>
      </c>
      <c r="E16" s="11" t="n">
        <f aca="false">IF(C16=0,0,D16/C16)</f>
        <v>22.094074526573</v>
      </c>
      <c r="F16" s="11" t="s">
        <v>181</v>
      </c>
    </row>
    <row r="17" customFormat="false" ht="15" hidden="false" customHeight="false" outlineLevel="0" collapsed="false">
      <c r="B17" s="11" t="s">
        <v>192</v>
      </c>
      <c r="C17" s="11" t="n">
        <v>681</v>
      </c>
      <c r="D17" s="11" t="n">
        <v>38467</v>
      </c>
      <c r="E17" s="11" t="n">
        <f aca="false">IF(C17=0,0,D17/C17)</f>
        <v>56.4860499265786</v>
      </c>
      <c r="F17" s="11" t="s">
        <v>178</v>
      </c>
    </row>
    <row r="18" customFormat="false" ht="15" hidden="false" customHeight="false" outlineLevel="0" collapsed="false">
      <c r="B18" s="11" t="s">
        <v>193</v>
      </c>
      <c r="C18" s="11" t="n">
        <v>660.5</v>
      </c>
      <c r="D18" s="11" t="n">
        <v>13698</v>
      </c>
      <c r="E18" s="11" t="n">
        <f aca="false">IF(C18=0,0,D18/C18)</f>
        <v>20.7388342165027</v>
      </c>
      <c r="F18" s="11" t="s">
        <v>181</v>
      </c>
    </row>
    <row r="19" customFormat="false" ht="15" hidden="false" customHeight="false" outlineLevel="0" collapsed="false">
      <c r="B19" s="11" t="s">
        <v>194</v>
      </c>
      <c r="C19" s="11" t="n">
        <v>638.5</v>
      </c>
      <c r="D19" s="11" t="n">
        <v>24106</v>
      </c>
      <c r="E19" s="11" t="n">
        <f aca="false">IF(C19=0,0,D19/C19)</f>
        <v>37.7541111981206</v>
      </c>
      <c r="F19" s="11" t="s">
        <v>178</v>
      </c>
    </row>
    <row r="20" customFormat="false" ht="15" hidden="false" customHeight="false" outlineLevel="0" collapsed="false">
      <c r="B20" s="11" t="s">
        <v>195</v>
      </c>
      <c r="C20" s="11" t="n">
        <v>605.5</v>
      </c>
      <c r="D20" s="11" t="n">
        <v>13502</v>
      </c>
      <c r="E20" s="11" t="n">
        <f aca="false">IF(C20=0,0,D20/C20)</f>
        <v>22.298926507019</v>
      </c>
      <c r="F20" s="11" t="s">
        <v>181</v>
      </c>
    </row>
    <row r="21" customFormat="false" ht="15" hidden="false" customHeight="false" outlineLevel="0" collapsed="false">
      <c r="B21" s="11" t="s">
        <v>196</v>
      </c>
      <c r="C21" s="11" t="n">
        <v>610.5</v>
      </c>
      <c r="D21" s="11" t="n">
        <v>20243</v>
      </c>
      <c r="E21" s="11" t="n">
        <f aca="false">IF(C21=0,0,D21/C21)</f>
        <v>33.1580671580672</v>
      </c>
      <c r="F21" s="11" t="s">
        <v>181</v>
      </c>
    </row>
    <row r="22" customFormat="false" ht="15" hidden="false" customHeight="false" outlineLevel="0" collapsed="false">
      <c r="B22" s="11" t="s">
        <v>197</v>
      </c>
      <c r="C22" s="11" t="n">
        <v>547</v>
      </c>
      <c r="D22" s="11" t="n">
        <v>26827</v>
      </c>
      <c r="E22" s="11" t="n">
        <f aca="false">IF(C22=0,0,D22/C22)</f>
        <v>49.0438756855576</v>
      </c>
      <c r="F22" s="11" t="s">
        <v>178</v>
      </c>
    </row>
    <row r="23" customFormat="false" ht="15" hidden="false" customHeight="false" outlineLevel="0" collapsed="false">
      <c r="B23" s="11" t="s">
        <v>198</v>
      </c>
      <c r="C23" s="11" t="n">
        <v>481.5</v>
      </c>
      <c r="D23" s="11" t="n">
        <v>23594</v>
      </c>
      <c r="E23" s="11" t="n">
        <f aca="false">IF(C23=0,0,D23/C23)</f>
        <v>49.0010384215992</v>
      </c>
      <c r="F23" s="11" t="s">
        <v>178</v>
      </c>
    </row>
    <row r="24" customFormat="false" ht="15" hidden="false" customHeight="false" outlineLevel="0" collapsed="false">
      <c r="B24" s="11" t="s">
        <v>199</v>
      </c>
      <c r="C24" s="11" t="n">
        <v>475.5</v>
      </c>
      <c r="D24" s="11" t="n">
        <v>13948</v>
      </c>
      <c r="E24" s="11" t="n">
        <f aca="false">IF(C24=0,0,D24/C24)</f>
        <v>29.3333333333333</v>
      </c>
      <c r="F24" s="11" t="s">
        <v>181</v>
      </c>
    </row>
    <row r="25" customFormat="false" ht="15" hidden="false" customHeight="false" outlineLevel="0" collapsed="false">
      <c r="B25" s="11" t="s">
        <v>200</v>
      </c>
      <c r="C25" s="11" t="n">
        <v>469.5</v>
      </c>
      <c r="D25" s="11" t="n">
        <v>27200</v>
      </c>
      <c r="E25" s="11" t="n">
        <f aca="false">IF(C25=0,0,D25/C25)</f>
        <v>57.9339723109691</v>
      </c>
      <c r="F25" s="11" t="s">
        <v>178</v>
      </c>
    </row>
    <row r="26" customFormat="false" ht="15" hidden="false" customHeight="false" outlineLevel="0" collapsed="false">
      <c r="B26" s="11" t="s">
        <v>201</v>
      </c>
      <c r="C26" s="11" t="n">
        <v>440.5</v>
      </c>
      <c r="D26" s="11" t="n">
        <v>11602</v>
      </c>
      <c r="E26" s="11" t="n">
        <f aca="false">IF(C26=0,0,D26/C26)</f>
        <v>26.3382519863791</v>
      </c>
      <c r="F26" s="11" t="s">
        <v>181</v>
      </c>
    </row>
    <row r="27" customFormat="false" ht="15" hidden="false" customHeight="false" outlineLevel="0" collapsed="false">
      <c r="B27" s="11" t="s">
        <v>202</v>
      </c>
      <c r="C27" s="11" t="n">
        <v>391</v>
      </c>
      <c r="D27" s="11" t="n">
        <v>16813</v>
      </c>
      <c r="E27" s="11" t="n">
        <f aca="false">IF(C27=0,0,D27/C27)</f>
        <v>43</v>
      </c>
      <c r="F27" s="11" t="s">
        <v>178</v>
      </c>
    </row>
    <row r="28" customFormat="false" ht="15" hidden="false" customHeight="false" outlineLevel="0" collapsed="false">
      <c r="B28" s="11" t="s">
        <v>203</v>
      </c>
      <c r="C28" s="11" t="n">
        <v>364.5</v>
      </c>
      <c r="D28" s="11" t="n">
        <v>14992</v>
      </c>
      <c r="E28" s="11" t="n">
        <f aca="false">IF(C28=0,0,D28/C28)</f>
        <v>41.1303155006859</v>
      </c>
      <c r="F28" s="11" t="s">
        <v>178</v>
      </c>
    </row>
    <row r="29" customFormat="false" ht="15" hidden="false" customHeight="false" outlineLevel="0" collapsed="false">
      <c r="B29" s="11" t="s">
        <v>204</v>
      </c>
      <c r="C29" s="11" t="n">
        <v>304</v>
      </c>
      <c r="D29" s="11" t="n">
        <v>7168</v>
      </c>
      <c r="E29" s="11" t="n">
        <f aca="false">IF(C29=0,0,D29/C29)</f>
        <v>23.5789473684211</v>
      </c>
      <c r="F29" s="11" t="s">
        <v>181</v>
      </c>
    </row>
    <row r="30" customFormat="false" ht="15" hidden="false" customHeight="false" outlineLevel="0" collapsed="false">
      <c r="B30" s="11" t="s">
        <v>205</v>
      </c>
      <c r="C30" s="11" t="n">
        <v>274.5</v>
      </c>
      <c r="D30" s="11" t="n">
        <v>4666</v>
      </c>
      <c r="E30" s="11" t="n">
        <f aca="false">IF(C30=0,0,D30/C30)</f>
        <v>16.9981785063752</v>
      </c>
      <c r="F30" s="11" t="s">
        <v>188</v>
      </c>
    </row>
    <row r="31" customFormat="false" ht="15" hidden="false" customHeight="false" outlineLevel="0" collapsed="false">
      <c r="B31" s="11" t="s">
        <v>206</v>
      </c>
      <c r="C31" s="11" t="n">
        <v>256</v>
      </c>
      <c r="D31" s="11" t="n">
        <v>4096</v>
      </c>
      <c r="E31" s="11" t="n">
        <f aca="false">IF(C31=0,0,D31/C31)</f>
        <v>16</v>
      </c>
      <c r="F31" s="11" t="s">
        <v>188</v>
      </c>
    </row>
    <row r="32" customFormat="false" ht="15" hidden="false" customHeight="false" outlineLevel="0" collapsed="false">
      <c r="B32" s="11" t="s">
        <v>207</v>
      </c>
      <c r="C32" s="11" t="n">
        <v>245</v>
      </c>
      <c r="D32" s="11" t="n">
        <v>15312</v>
      </c>
      <c r="E32" s="11" t="n">
        <f aca="false">IF(C32=0,0,D32/C32)</f>
        <v>62.4979591836735</v>
      </c>
      <c r="F32" s="11" t="s">
        <v>178</v>
      </c>
    </row>
    <row r="33" customFormat="false" ht="15" hidden="false" customHeight="false" outlineLevel="0" collapsed="false">
      <c r="B33" s="11" t="s">
        <v>208</v>
      </c>
      <c r="C33" s="11" t="n">
        <v>245</v>
      </c>
      <c r="D33" s="11" t="n">
        <v>6498</v>
      </c>
      <c r="E33" s="11" t="n">
        <f aca="false">IF(C33=0,0,D33/C33)</f>
        <v>26.5224489795918</v>
      </c>
      <c r="F33" s="11" t="s">
        <v>181</v>
      </c>
    </row>
    <row r="34" customFormat="false" ht="15" hidden="false" customHeight="false" outlineLevel="0" collapsed="false">
      <c r="B34" s="11" t="s">
        <v>209</v>
      </c>
      <c r="C34" s="11" t="n">
        <v>232</v>
      </c>
      <c r="D34" s="11" t="n">
        <v>6032</v>
      </c>
      <c r="E34" s="11" t="n">
        <f aca="false">IF(C34=0,0,D34/C34)</f>
        <v>26</v>
      </c>
      <c r="F34" s="11" t="s">
        <v>181</v>
      </c>
    </row>
    <row r="35" customFormat="false" ht="15" hidden="false" customHeight="false" outlineLevel="0" collapsed="false">
      <c r="B35" s="11" t="s">
        <v>210</v>
      </c>
      <c r="C35" s="11" t="n">
        <v>231</v>
      </c>
      <c r="D35" s="11" t="n">
        <v>7080</v>
      </c>
      <c r="E35" s="11" t="n">
        <f aca="false">IF(C35=0,0,D35/C35)</f>
        <v>30.6493506493506</v>
      </c>
      <c r="F35" s="11" t="s">
        <v>181</v>
      </c>
    </row>
    <row r="36" customFormat="false" ht="15" hidden="false" customHeight="false" outlineLevel="0" collapsed="false">
      <c r="B36" s="11" t="s">
        <v>211</v>
      </c>
      <c r="C36" s="11" t="n">
        <v>211.5</v>
      </c>
      <c r="D36" s="11" t="n">
        <v>5632</v>
      </c>
      <c r="E36" s="11" t="n">
        <f aca="false">IF(C36=0,0,D36/C36)</f>
        <v>26.628841607565</v>
      </c>
      <c r="F36" s="11" t="s">
        <v>181</v>
      </c>
    </row>
    <row r="37" customFormat="false" ht="15" hidden="false" customHeight="false" outlineLevel="0" collapsed="false">
      <c r="B37" s="11" t="s">
        <v>212</v>
      </c>
      <c r="C37" s="11" t="n">
        <v>195</v>
      </c>
      <c r="D37" s="11" t="n">
        <v>4680</v>
      </c>
      <c r="E37" s="11" t="n">
        <f aca="false">IF(C37=0,0,D37/C37)</f>
        <v>24</v>
      </c>
      <c r="F37" s="11" t="s">
        <v>181</v>
      </c>
    </row>
    <row r="38" customFormat="false" ht="15" hidden="false" customHeight="false" outlineLevel="0" collapsed="false">
      <c r="B38" s="11" t="s">
        <v>213</v>
      </c>
      <c r="C38" s="11" t="n">
        <v>188.5</v>
      </c>
      <c r="D38" s="11" t="n">
        <v>10106</v>
      </c>
      <c r="E38" s="11" t="n">
        <f aca="false">IF(C38=0,0,D38/C38)</f>
        <v>53.6127320954907</v>
      </c>
      <c r="F38" s="11" t="s">
        <v>178</v>
      </c>
    </row>
    <row r="39" customFormat="false" ht="15" hidden="false" customHeight="false" outlineLevel="0" collapsed="false">
      <c r="B39" s="11" t="s">
        <v>214</v>
      </c>
      <c r="C39" s="11" t="n">
        <v>179.5</v>
      </c>
      <c r="D39" s="11" t="n">
        <v>4912</v>
      </c>
      <c r="E39" s="11" t="n">
        <f aca="false">IF(C39=0,0,D39/C39)</f>
        <v>27.3649025069638</v>
      </c>
      <c r="F39" s="11" t="s">
        <v>181</v>
      </c>
    </row>
    <row r="40" customFormat="false" ht="15" hidden="false" customHeight="false" outlineLevel="0" collapsed="false">
      <c r="B40" s="11" t="s">
        <v>215</v>
      </c>
      <c r="C40" s="11" t="n">
        <v>155.5</v>
      </c>
      <c r="D40" s="11" t="n">
        <v>5675</v>
      </c>
      <c r="E40" s="11" t="n">
        <f aca="false">IF(C40=0,0,D40/C40)</f>
        <v>36.4951768488746</v>
      </c>
      <c r="F40" s="11" t="s">
        <v>178</v>
      </c>
    </row>
    <row r="41" customFormat="false" ht="15" hidden="false" customHeight="false" outlineLevel="0" collapsed="false">
      <c r="B41" s="11" t="s">
        <v>216</v>
      </c>
      <c r="C41" s="11" t="n">
        <v>159.5</v>
      </c>
      <c r="D41" s="11" t="n">
        <v>7249</v>
      </c>
      <c r="E41" s="11" t="n">
        <f aca="false">IF(C41=0,0,D41/C41)</f>
        <v>45.448275862069</v>
      </c>
      <c r="F41" s="11" t="s">
        <v>178</v>
      </c>
    </row>
    <row r="42" customFormat="false" ht="15" hidden="false" customHeight="false" outlineLevel="0" collapsed="false">
      <c r="B42" s="11" t="s">
        <v>217</v>
      </c>
      <c r="C42" s="11" t="n">
        <v>136</v>
      </c>
      <c r="D42" s="11" t="n">
        <v>4488</v>
      </c>
      <c r="E42" s="11" t="n">
        <f aca="false">IF(C42=0,0,D42/C42)</f>
        <v>33</v>
      </c>
      <c r="F42" s="11" t="s">
        <v>181</v>
      </c>
    </row>
    <row r="43" customFormat="false" ht="15" hidden="false" customHeight="false" outlineLevel="0" collapsed="false">
      <c r="B43" s="11" t="s">
        <v>218</v>
      </c>
      <c r="C43" s="11" t="n">
        <v>96</v>
      </c>
      <c r="D43" s="11" t="n">
        <v>1632</v>
      </c>
      <c r="E43" s="11" t="n">
        <f aca="false">IF(C43=0,0,D43/C43)</f>
        <v>17</v>
      </c>
      <c r="F43" s="11" t="s">
        <v>188</v>
      </c>
    </row>
    <row r="44" customFormat="false" ht="15" hidden="false" customHeight="false" outlineLevel="0" collapsed="false">
      <c r="B44" s="11" t="s">
        <v>219</v>
      </c>
      <c r="C44" s="11" t="n">
        <v>88</v>
      </c>
      <c r="D44" s="11" t="n">
        <v>1496</v>
      </c>
      <c r="E44" s="11" t="n">
        <f aca="false">IF(C44=0,0,D44/C44)</f>
        <v>17</v>
      </c>
      <c r="F44" s="11" t="s">
        <v>188</v>
      </c>
    </row>
    <row r="45" customFormat="false" ht="15" hidden="false" customHeight="false" outlineLevel="0" collapsed="false">
      <c r="B45" s="11" t="s">
        <v>220</v>
      </c>
      <c r="C45" s="11" t="n">
        <v>61.5</v>
      </c>
      <c r="D45" s="11" t="n">
        <v>2322</v>
      </c>
      <c r="E45" s="11" t="n">
        <f aca="false">IF(C45=0,0,D45/C45)</f>
        <v>37.7560975609756</v>
      </c>
      <c r="F45" s="11" t="s">
        <v>178</v>
      </c>
    </row>
    <row r="46" customFormat="false" ht="15" hidden="false" customHeight="false" outlineLevel="0" collapsed="false">
      <c r="B46" s="11" t="s">
        <v>221</v>
      </c>
      <c r="C46" s="11" t="n">
        <v>58</v>
      </c>
      <c r="D46" s="11" t="n">
        <v>3220</v>
      </c>
      <c r="E46" s="11" t="n">
        <f aca="false">IF(C46=0,0,D46/C46)</f>
        <v>55.5172413793103</v>
      </c>
      <c r="F46" s="11" t="s">
        <v>178</v>
      </c>
    </row>
    <row r="47" customFormat="false" ht="15" hidden="false" customHeight="false" outlineLevel="0" collapsed="false">
      <c r="B47" s="11" t="s">
        <v>222</v>
      </c>
      <c r="C47" s="11" t="n">
        <v>51</v>
      </c>
      <c r="D47" s="11" t="n">
        <v>1326</v>
      </c>
      <c r="E47" s="11" t="n">
        <f aca="false">IF(C47=0,0,D47/C47)</f>
        <v>26</v>
      </c>
      <c r="F47" s="11" t="s">
        <v>181</v>
      </c>
    </row>
    <row r="48" customFormat="false" ht="15" hidden="false" customHeight="false" outlineLevel="0" collapsed="false">
      <c r="B48" s="11" t="s">
        <v>223</v>
      </c>
      <c r="C48" s="11" t="n">
        <v>40</v>
      </c>
      <c r="D48" s="11" t="n">
        <v>1000</v>
      </c>
      <c r="E48" s="11" t="n">
        <f aca="false">IF(C48=0,0,D48/C48)</f>
        <v>25</v>
      </c>
      <c r="F48" s="11" t="s">
        <v>181</v>
      </c>
    </row>
    <row r="49" customFormat="false" ht="15" hidden="false" customHeight="false" outlineLevel="0" collapsed="false">
      <c r="B49" s="11" t="s">
        <v>224</v>
      </c>
      <c r="C49" s="11" t="n">
        <v>48</v>
      </c>
      <c r="D49" s="11" t="n">
        <v>1792</v>
      </c>
      <c r="E49" s="11" t="n">
        <f aca="false">IF(C49=0,0,D49/C49)</f>
        <v>37.3333333333333</v>
      </c>
      <c r="F49" s="11" t="s">
        <v>181</v>
      </c>
    </row>
    <row r="50" customFormat="false" ht="15" hidden="false" customHeight="false" outlineLevel="0" collapsed="false">
      <c r="B50" s="11" t="s">
        <v>225</v>
      </c>
      <c r="C50" s="11" t="n">
        <v>32</v>
      </c>
      <c r="D50" s="11" t="n">
        <v>960</v>
      </c>
      <c r="E50" s="11" t="n">
        <f aca="false">IF(C50=0,0,D50/C50)</f>
        <v>30</v>
      </c>
      <c r="F50" s="11" t="s">
        <v>181</v>
      </c>
    </row>
    <row r="51" customFormat="false" ht="15" hidden="false" customHeight="false" outlineLevel="0" collapsed="false">
      <c r="B51" s="11" t="s">
        <v>226</v>
      </c>
      <c r="C51" s="11" t="n">
        <v>24</v>
      </c>
      <c r="D51" s="11" t="n">
        <v>792</v>
      </c>
      <c r="E51" s="11" t="n">
        <f aca="false">IF(C51=0,0,D51/C51)</f>
        <v>33</v>
      </c>
      <c r="F51" s="11" t="s">
        <v>181</v>
      </c>
    </row>
    <row r="52" customFormat="false" ht="15" hidden="false" customHeight="false" outlineLevel="0" collapsed="false">
      <c r="B52" s="11" t="s">
        <v>227</v>
      </c>
      <c r="C52" s="11" t="n">
        <v>12</v>
      </c>
      <c r="D52" s="11" t="n">
        <v>456</v>
      </c>
      <c r="E52" s="11" t="n">
        <f aca="false">IF(C52=0,0,D52/C52)</f>
        <v>38</v>
      </c>
      <c r="F52" s="11" t="s">
        <v>178</v>
      </c>
    </row>
    <row r="53" customFormat="false" ht="15" hidden="false" customHeight="false" outlineLevel="0" collapsed="false">
      <c r="B53" s="11" t="s">
        <v>228</v>
      </c>
      <c r="C53" s="11" t="n">
        <v>8</v>
      </c>
      <c r="D53" s="11" t="n">
        <v>136</v>
      </c>
      <c r="E53" s="11" t="n">
        <f aca="false">IF(C53=0,0,D53/C53)</f>
        <v>17</v>
      </c>
      <c r="F53" s="11" t="s">
        <v>188</v>
      </c>
    </row>
    <row r="54" customFormat="false" ht="15" hidden="false" customHeight="false" outlineLevel="0" collapsed="false">
      <c r="B54" s="11" t="s">
        <v>229</v>
      </c>
      <c r="C54" s="11" t="n">
        <v>8</v>
      </c>
      <c r="D54" s="11" t="n">
        <v>240</v>
      </c>
      <c r="E54" s="11" t="n">
        <f aca="false">IF(C54=0,0,D54/C54)</f>
        <v>30</v>
      </c>
      <c r="F54" s="11" t="s">
        <v>181</v>
      </c>
    </row>
    <row r="55" customFormat="false" ht="15" hidden="false" customHeight="false" outlineLevel="0" collapsed="false">
      <c r="B55" s="11" t="s">
        <v>230</v>
      </c>
      <c r="C55" s="11" t="n">
        <v>8</v>
      </c>
      <c r="D55" s="11" t="n">
        <v>248</v>
      </c>
      <c r="E55" s="11" t="n">
        <f aca="false">IF(C55=0,0,D55/C55)</f>
        <v>31</v>
      </c>
      <c r="F55" s="11" t="s">
        <v>181</v>
      </c>
    </row>
    <row r="56" customFormat="false" ht="15" hidden="false" customHeight="false" outlineLevel="0" collapsed="false">
      <c r="B56" s="11" t="s">
        <v>231</v>
      </c>
      <c r="C56" s="11" t="n">
        <v>8</v>
      </c>
      <c r="D56" s="11" t="n">
        <v>264</v>
      </c>
      <c r="E56" s="11" t="n">
        <f aca="false">IF(C56=0,0,D56/C56)</f>
        <v>33</v>
      </c>
      <c r="F56" s="11" t="s">
        <v>181</v>
      </c>
    </row>
    <row r="57" customFormat="false" ht="15" hidden="false" customHeight="false" outlineLevel="0" collapsed="false">
      <c r="B57" s="11" t="s">
        <v>232</v>
      </c>
      <c r="C57" s="11" t="n">
        <v>1</v>
      </c>
      <c r="D57" s="11" t="n">
        <v>16</v>
      </c>
      <c r="E57" s="11" t="n">
        <f aca="false">IF(C57=0,0,D57/C57)</f>
        <v>16</v>
      </c>
      <c r="F57" s="11" t="s">
        <v>188</v>
      </c>
    </row>
    <row r="58" customFormat="false" ht="15" hidden="false" customHeight="false" outlineLevel="0" collapsed="false">
      <c r="B58" s="11" t="s">
        <v>233</v>
      </c>
      <c r="C58" s="11" t="n">
        <v>6</v>
      </c>
      <c r="D58" s="11" t="n">
        <v>333</v>
      </c>
      <c r="E58" s="11" t="n">
        <f aca="false">IF(C58=0,0,D58/C58)</f>
        <v>55.5</v>
      </c>
      <c r="F58" s="11" t="s">
        <v>234</v>
      </c>
    </row>
    <row r="59" customFormat="false" ht="15" hidden="false" customHeight="false" outlineLevel="0" collapsed="false">
      <c r="B59" s="11" t="s">
        <v>235</v>
      </c>
      <c r="C59" s="11" t="n">
        <v>5.5</v>
      </c>
      <c r="D59" s="11" t="n">
        <v>314</v>
      </c>
      <c r="E59" s="11" t="n">
        <f aca="false">IF(C59=0,0,D59/C59)</f>
        <v>57.0909090909091</v>
      </c>
      <c r="F59" s="11" t="s">
        <v>234</v>
      </c>
    </row>
    <row r="60" customFormat="false" ht="15" hidden="false" customHeight="false" outlineLevel="0" collapsed="false">
      <c r="B60" s="11" t="s">
        <v>236</v>
      </c>
      <c r="C60" s="11" t="n">
        <v>5.5</v>
      </c>
      <c r="D60" s="11" t="n">
        <v>165</v>
      </c>
      <c r="E60" s="11" t="n">
        <f aca="false">IF(C60=0,0,D60/C60)</f>
        <v>30</v>
      </c>
      <c r="F60" s="11" t="s">
        <v>234</v>
      </c>
    </row>
    <row r="61" customFormat="false" ht="15" hidden="false" customHeight="false" outlineLevel="0" collapsed="false">
      <c r="B61" s="11" t="s">
        <v>237</v>
      </c>
      <c r="C61" s="11" t="n">
        <v>5.5</v>
      </c>
      <c r="D61" s="11" t="n">
        <v>165</v>
      </c>
      <c r="E61" s="11" t="n">
        <f aca="false">IF(C61=0,0,D61/C61)</f>
        <v>30</v>
      </c>
      <c r="F61" s="11" t="s">
        <v>234</v>
      </c>
    </row>
    <row r="62" customFormat="false" ht="15" hidden="false" customHeight="false" outlineLevel="0" collapsed="false">
      <c r="B62" s="11" t="s">
        <v>238</v>
      </c>
      <c r="C62" s="11" t="n">
        <v>8.5</v>
      </c>
      <c r="D62" s="11" t="n">
        <v>472</v>
      </c>
      <c r="E62" s="11" t="n">
        <f aca="false">IF(C62=0,0,D62/C62)</f>
        <v>55.5294117647059</v>
      </c>
      <c r="F62" s="11" t="s">
        <v>234</v>
      </c>
    </row>
    <row r="65" customFormat="false" ht="15" hidden="false" customHeight="false" outlineLevel="0" collapsed="false">
      <c r="B65" s="4" t="s">
        <v>57</v>
      </c>
    </row>
    <row r="66" customFormat="false" ht="15" hidden="false" customHeight="false" outlineLevel="0" collapsed="false">
      <c r="B66" s="3" t="s">
        <v>58</v>
      </c>
    </row>
    <row r="67" customFormat="false" ht="15" hidden="false" customHeight="false" outlineLevel="0" collapsed="false">
      <c r="B67" s="3" t="s">
        <v>59</v>
      </c>
    </row>
    <row r="68" customFormat="false" ht="15" hidden="false" customHeight="false" outlineLevel="0" collapsed="false">
      <c r="B68" s="3" t="s">
        <v>60</v>
      </c>
    </row>
    <row r="69" customFormat="false" ht="15" hidden="false" customHeight="false" outlineLevel="0" collapsed="false">
      <c r="B69" s="3" t="s">
        <v>61</v>
      </c>
    </row>
    <row r="70" customFormat="false" ht="15" hidden="false" customHeight="false" outlineLevel="0" collapsed="false">
      <c r="B70" s="3" t="s">
        <v>62</v>
      </c>
    </row>
    <row r="71" customFormat="false" ht="15" hidden="false" customHeight="false" outlineLevel="0" collapsed="false">
      <c r="B71" s="3" t="s">
        <v>63</v>
      </c>
    </row>
    <row r="72" customFormat="false" ht="15" hidden="false" customHeight="false" outlineLevel="0" collapsed="false">
      <c r="B72" s="3" t="s">
        <v>64</v>
      </c>
    </row>
    <row r="73" customFormat="false" ht="15" hidden="false" customHeight="false" outlineLevel="0" collapsed="false">
      <c r="B73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6" min="5" style="1" width="13"/>
  </cols>
  <sheetData>
    <row r="2" customFormat="false" ht="22.05" hidden="false" customHeight="false" outlineLevel="0" collapsed="false">
      <c r="B2" s="2" t="s">
        <v>239</v>
      </c>
    </row>
    <row r="4" customFormat="false" ht="15" hidden="false" customHeight="false" outlineLevel="0" collapsed="false">
      <c r="B4" s="4" t="s">
        <v>240</v>
      </c>
    </row>
    <row r="5" customFormat="false" ht="15" hidden="false" customHeight="false" outlineLevel="0" collapsed="false">
      <c r="B5" s="14" t="s">
        <v>176</v>
      </c>
      <c r="C5" s="14" t="s">
        <v>241</v>
      </c>
      <c r="D5" s="14" t="s">
        <v>173</v>
      </c>
      <c r="E5" s="14" t="s">
        <v>174</v>
      </c>
      <c r="F5" s="14" t="s">
        <v>242</v>
      </c>
    </row>
    <row r="6" customFormat="false" ht="15" hidden="false" customHeight="false" outlineLevel="0" collapsed="false">
      <c r="B6" s="5" t="s">
        <v>181</v>
      </c>
      <c r="C6" s="11" t="n">
        <v>28</v>
      </c>
      <c r="D6" s="11" t="n">
        <v>14309.5</v>
      </c>
      <c r="E6" s="11" t="n">
        <v>402200</v>
      </c>
      <c r="F6" s="11" t="s">
        <v>243</v>
      </c>
    </row>
    <row r="7" customFormat="false" ht="15" hidden="false" customHeight="false" outlineLevel="0" collapsed="false">
      <c r="B7" s="5" t="s">
        <v>188</v>
      </c>
      <c r="C7" s="11" t="n">
        <v>7</v>
      </c>
      <c r="D7" s="11" t="n">
        <v>1611.5</v>
      </c>
      <c r="E7" s="11" t="n">
        <v>27924</v>
      </c>
      <c r="F7" s="11" t="s">
        <v>244</v>
      </c>
    </row>
    <row r="10" customFormat="false" ht="15" hidden="false" customHeight="false" outlineLevel="0" collapsed="false">
      <c r="B10" s="4" t="s">
        <v>245</v>
      </c>
    </row>
    <row r="11" customFormat="false" ht="15" hidden="false" customHeight="false" outlineLevel="0" collapsed="false">
      <c r="B11" s="5" t="s">
        <v>246</v>
      </c>
      <c r="C11" s="11" t="n">
        <v>34.82</v>
      </c>
    </row>
    <row r="12" customFormat="false" ht="15" hidden="false" customHeight="false" outlineLevel="0" collapsed="false">
      <c r="B12" s="5" t="s">
        <v>247</v>
      </c>
      <c r="C12" s="11" t="n">
        <v>0</v>
      </c>
    </row>
    <row r="13" customFormat="false" ht="15" hidden="false" customHeight="false" outlineLevel="0" collapsed="false">
      <c r="B13" s="5" t="s">
        <v>248</v>
      </c>
      <c r="C13" s="11" t="n">
        <v>1.033</v>
      </c>
    </row>
    <row r="14" customFormat="false" ht="15" hidden="false" customHeight="false" outlineLevel="0" collapsed="false">
      <c r="B14" s="5" t="s">
        <v>249</v>
      </c>
      <c r="C14" s="11" t="n">
        <v>16</v>
      </c>
    </row>
    <row r="15" customFormat="false" ht="15" hidden="false" customHeight="false" outlineLevel="0" collapsed="false">
      <c r="B15" s="5" t="s">
        <v>250</v>
      </c>
      <c r="C15" s="11" t="n">
        <v>62.5</v>
      </c>
    </row>
    <row r="16" customFormat="false" ht="15" hidden="false" customHeight="false" outlineLevel="0" collapsed="false">
      <c r="B16" s="5" t="s">
        <v>251</v>
      </c>
      <c r="C16" s="11" t="n">
        <v>491.7</v>
      </c>
    </row>
    <row r="19" customFormat="false" ht="15" hidden="false" customHeight="false" outlineLevel="0" collapsed="false">
      <c r="B19" s="4" t="s">
        <v>57</v>
      </c>
    </row>
    <row r="20" customFormat="false" ht="15" hidden="false" customHeight="false" outlineLevel="0" collapsed="false">
      <c r="B20" s="3" t="s">
        <v>58</v>
      </c>
    </row>
    <row r="21" customFormat="false" ht="15" hidden="false" customHeight="false" outlineLevel="0" collapsed="false">
      <c r="B21" s="3" t="s">
        <v>59</v>
      </c>
    </row>
    <row r="22" customFormat="false" ht="15" hidden="false" customHeight="false" outlineLevel="0" collapsed="false">
      <c r="B22" s="3" t="s">
        <v>60</v>
      </c>
    </row>
    <row r="23" customFormat="false" ht="15" hidden="false" customHeight="false" outlineLevel="0" collapsed="false">
      <c r="B23" s="3" t="s">
        <v>61</v>
      </c>
    </row>
    <row r="24" customFormat="false" ht="15" hidden="false" customHeight="false" outlineLevel="0" collapsed="false">
      <c r="B24" s="3" t="s">
        <v>62</v>
      </c>
    </row>
    <row r="25" customFormat="false" ht="15" hidden="false" customHeight="false" outlineLevel="0" collapsed="false">
      <c r="B25" s="3" t="s">
        <v>63</v>
      </c>
    </row>
    <row r="26" customFormat="false" ht="15" hidden="false" customHeight="false" outlineLevel="0" collapsed="false">
      <c r="B26" s="3" t="s">
        <v>64</v>
      </c>
    </row>
    <row r="27" customFormat="false" ht="15" hidden="false" customHeight="false" outlineLevel="0" collapsed="false">
      <c r="B27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5" min="5" style="1" width="13"/>
    <col collapsed="false" customWidth="true" hidden="false" outlineLevel="0" max="6" min="6" style="1" width="12"/>
  </cols>
  <sheetData>
    <row r="2" customFormat="false" ht="22.05" hidden="false" customHeight="false" outlineLevel="0" collapsed="false">
      <c r="B2" s="2" t="s">
        <v>252</v>
      </c>
    </row>
    <row r="4" customFormat="false" ht="15" hidden="false" customHeight="false" outlineLevel="0" collapsed="false">
      <c r="B4" s="14" t="s">
        <v>253</v>
      </c>
      <c r="C4" s="14" t="s">
        <v>67</v>
      </c>
      <c r="D4" s="14" t="s">
        <v>173</v>
      </c>
      <c r="E4" s="14" t="s">
        <v>254</v>
      </c>
      <c r="F4" s="14" t="s">
        <v>255</v>
      </c>
    </row>
    <row r="5" customFormat="false" ht="15" hidden="false" customHeight="false" outlineLevel="0" collapsed="false">
      <c r="B5" s="5" t="s">
        <v>74</v>
      </c>
      <c r="C5" s="11" t="s">
        <v>73</v>
      </c>
      <c r="D5" s="11" t="n">
        <v>200.5</v>
      </c>
      <c r="E5" s="11" t="s">
        <v>256</v>
      </c>
      <c r="F5" s="11" t="n">
        <v>0.83</v>
      </c>
    </row>
    <row r="6" customFormat="false" ht="15" hidden="false" customHeight="false" outlineLevel="0" collapsed="false">
      <c r="B6" s="5" t="s">
        <v>257</v>
      </c>
      <c r="C6" s="11" t="s">
        <v>75</v>
      </c>
      <c r="D6" s="11" t="n">
        <v>514</v>
      </c>
      <c r="E6" s="11" t="s">
        <v>258</v>
      </c>
      <c r="F6" s="11" t="n">
        <v>2.12</v>
      </c>
    </row>
    <row r="7" customFormat="false" ht="15" hidden="false" customHeight="false" outlineLevel="0" collapsed="false">
      <c r="B7" s="5" t="s">
        <v>259</v>
      </c>
      <c r="C7" s="11" t="s">
        <v>77</v>
      </c>
      <c r="D7" s="11" t="n">
        <v>1616</v>
      </c>
      <c r="E7" s="11" t="s">
        <v>260</v>
      </c>
      <c r="F7" s="11" t="n">
        <v>6.65</v>
      </c>
    </row>
    <row r="8" customFormat="false" ht="15" hidden="false" customHeight="false" outlineLevel="0" collapsed="false">
      <c r="B8" s="5" t="s">
        <v>261</v>
      </c>
      <c r="C8" s="11" t="s">
        <v>79</v>
      </c>
      <c r="D8" s="11" t="n">
        <v>2907.5</v>
      </c>
      <c r="E8" s="11" t="s">
        <v>262</v>
      </c>
      <c r="F8" s="11" t="n">
        <v>11.97</v>
      </c>
    </row>
    <row r="9" customFormat="false" ht="15" hidden="false" customHeight="false" outlineLevel="0" collapsed="false">
      <c r="B9" s="5" t="s">
        <v>263</v>
      </c>
      <c r="C9" s="11" t="s">
        <v>81</v>
      </c>
      <c r="D9" s="11" t="n">
        <v>920</v>
      </c>
      <c r="E9" s="11" t="s">
        <v>264</v>
      </c>
      <c r="F9" s="11" t="n">
        <v>3.79</v>
      </c>
    </row>
    <row r="10" customFormat="false" ht="15" hidden="false" customHeight="false" outlineLevel="0" collapsed="false">
      <c r="B10" s="5" t="s">
        <v>265</v>
      </c>
      <c r="C10" s="11" t="s">
        <v>83</v>
      </c>
      <c r="D10" s="11" t="n">
        <v>14973</v>
      </c>
      <c r="E10" s="11" t="s">
        <v>266</v>
      </c>
      <c r="F10" s="11" t="n">
        <v>61.62</v>
      </c>
    </row>
    <row r="11" customFormat="false" ht="15" hidden="false" customHeight="false" outlineLevel="0" collapsed="false">
      <c r="B11" s="5" t="s">
        <v>267</v>
      </c>
      <c r="C11" s="11" t="s">
        <v>85</v>
      </c>
      <c r="D11" s="11" t="n">
        <v>3202</v>
      </c>
      <c r="E11" s="11" t="s">
        <v>268</v>
      </c>
      <c r="F11" s="11" t="n">
        <v>13.18</v>
      </c>
    </row>
    <row r="12" customFormat="false" ht="15" hidden="false" customHeight="false" outlineLevel="0" collapsed="false">
      <c r="B12" s="5" t="s">
        <v>269</v>
      </c>
      <c r="C12" s="11" t="s">
        <v>87</v>
      </c>
      <c r="D12" s="11" t="n">
        <v>478</v>
      </c>
      <c r="E12" s="11" t="s">
        <v>270</v>
      </c>
      <c r="F12" s="11" t="n">
        <v>1.97</v>
      </c>
    </row>
    <row r="13" customFormat="false" ht="15" hidden="false" customHeight="false" outlineLevel="0" collapsed="false">
      <c r="B13" s="5" t="s">
        <v>271</v>
      </c>
      <c r="C13" s="11" t="s">
        <v>89</v>
      </c>
      <c r="D13" s="11" t="n">
        <v>2770</v>
      </c>
      <c r="E13" s="11" t="s">
        <v>272</v>
      </c>
      <c r="F13" s="11" t="n">
        <v>11.4</v>
      </c>
    </row>
    <row r="14" customFormat="false" ht="15" hidden="false" customHeight="false" outlineLevel="0" collapsed="false">
      <c r="B14" s="5" t="s">
        <v>273</v>
      </c>
      <c r="C14" s="11" t="s">
        <v>91</v>
      </c>
      <c r="D14" s="11" t="n">
        <v>561.5</v>
      </c>
      <c r="E14" s="11" t="s">
        <v>274</v>
      </c>
      <c r="F14" s="11" t="n">
        <v>2.31</v>
      </c>
    </row>
    <row r="15" customFormat="false" ht="15" hidden="false" customHeight="false" outlineLevel="0" collapsed="false">
      <c r="B15" s="5" t="s">
        <v>275</v>
      </c>
      <c r="C15" s="11" t="s">
        <v>93</v>
      </c>
      <c r="D15" s="11" t="n">
        <v>2</v>
      </c>
      <c r="E15" s="11" t="s">
        <v>276</v>
      </c>
      <c r="F15" s="11" t="n">
        <v>0.01</v>
      </c>
    </row>
    <row r="17" customFormat="false" ht="15" hidden="false" customHeight="false" outlineLevel="0" collapsed="false">
      <c r="B17" s="5" t="s">
        <v>38</v>
      </c>
      <c r="D17" s="5" t="n">
        <v>28144.5</v>
      </c>
    </row>
    <row r="19" customFormat="false" ht="15" hidden="false" customHeight="false" outlineLevel="0" collapsed="false">
      <c r="B19" s="4" t="s">
        <v>277</v>
      </c>
    </row>
    <row r="20" customFormat="false" ht="15" hidden="false" customHeight="false" outlineLevel="0" collapsed="false">
      <c r="B20" s="5" t="s">
        <v>278</v>
      </c>
      <c r="C20" s="11" t="s">
        <v>279</v>
      </c>
    </row>
    <row r="21" customFormat="false" ht="15" hidden="false" customHeight="false" outlineLevel="0" collapsed="false">
      <c r="B21" s="5" t="s">
        <v>280</v>
      </c>
      <c r="C21" s="11" t="s">
        <v>281</v>
      </c>
    </row>
    <row r="22" customFormat="false" ht="15" hidden="false" customHeight="false" outlineLevel="0" collapsed="false">
      <c r="B22" s="5" t="s">
        <v>282</v>
      </c>
      <c r="C22" s="11" t="s">
        <v>283</v>
      </c>
    </row>
    <row r="23" customFormat="false" ht="15" hidden="false" customHeight="false" outlineLevel="0" collapsed="false">
      <c r="B23" s="5" t="s">
        <v>284</v>
      </c>
      <c r="C23" s="11" t="s">
        <v>285</v>
      </c>
    </row>
    <row r="24" customFormat="false" ht="15" hidden="false" customHeight="false" outlineLevel="0" collapsed="false">
      <c r="B24" s="5" t="s">
        <v>286</v>
      </c>
      <c r="C24" s="11" t="s">
        <v>287</v>
      </c>
    </row>
    <row r="27" customFormat="false" ht="15" hidden="false" customHeight="false" outlineLevel="0" collapsed="false">
      <c r="B27" s="4" t="s">
        <v>57</v>
      </c>
    </row>
    <row r="28" customFormat="false" ht="15" hidden="false" customHeight="false" outlineLevel="0" collapsed="false">
      <c r="B28" s="3" t="s">
        <v>58</v>
      </c>
    </row>
    <row r="29" customFormat="false" ht="15" hidden="false" customHeight="false" outlineLevel="0" collapsed="false">
      <c r="B29" s="3" t="s">
        <v>59</v>
      </c>
    </row>
    <row r="30" customFormat="false" ht="15" hidden="false" customHeight="false" outlineLevel="0" collapsed="false">
      <c r="B30" s="3" t="s">
        <v>60</v>
      </c>
    </row>
    <row r="31" customFormat="false" ht="15" hidden="false" customHeight="false" outlineLevel="0" collapsed="false">
      <c r="B31" s="3" t="s">
        <v>61</v>
      </c>
    </row>
    <row r="32" customFormat="false" ht="15" hidden="false" customHeight="false" outlineLevel="0" collapsed="false">
      <c r="B32" s="3" t="s">
        <v>62</v>
      </c>
    </row>
    <row r="33" customFormat="false" ht="15" hidden="false" customHeight="false" outlineLevel="0" collapsed="false">
      <c r="B33" s="3" t="s">
        <v>63</v>
      </c>
    </row>
    <row r="34" customFormat="false" ht="15" hidden="false" customHeight="false" outlineLevel="0" collapsed="false">
      <c r="B34" s="3" t="s">
        <v>64</v>
      </c>
    </row>
    <row r="35" customFormat="false" ht="15" hidden="false" customHeight="false" outlineLevel="0" collapsed="false">
      <c r="B35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</cols>
  <sheetData>
    <row r="2" customFormat="false" ht="22.05" hidden="false" customHeight="false" outlineLevel="0" collapsed="false">
      <c r="B2" s="2" t="s">
        <v>288</v>
      </c>
    </row>
    <row r="3" customFormat="false" ht="15" hidden="false" customHeight="false" outlineLevel="0" collapsed="false">
      <c r="B3" s="3" t="s">
        <v>289</v>
      </c>
    </row>
    <row r="5" customFormat="false" ht="15" hidden="false" customHeight="false" outlineLevel="0" collapsed="false">
      <c r="B5" s="14" t="s">
        <v>290</v>
      </c>
      <c r="C5" s="14" t="s">
        <v>144</v>
      </c>
      <c r="D5" s="14" t="s">
        <v>145</v>
      </c>
      <c r="E5" s="14" t="s">
        <v>146</v>
      </c>
      <c r="F5" s="14" t="s">
        <v>147</v>
      </c>
      <c r="G5" s="14" t="s">
        <v>176</v>
      </c>
    </row>
    <row r="6" customFormat="false" ht="15" hidden="false" customHeight="false" outlineLevel="0" collapsed="false">
      <c r="B6" s="11" t="n">
        <v>1</v>
      </c>
      <c r="C6" s="11" t="s">
        <v>148</v>
      </c>
      <c r="D6" s="11" t="n">
        <v>223</v>
      </c>
      <c r="E6" s="11" t="n">
        <v>381559</v>
      </c>
      <c r="F6" s="11" t="s">
        <v>291</v>
      </c>
      <c r="G6" s="11" t="s">
        <v>292</v>
      </c>
    </row>
    <row r="7" customFormat="false" ht="15" hidden="false" customHeight="false" outlineLevel="0" collapsed="false">
      <c r="B7" s="11" t="n">
        <v>2</v>
      </c>
      <c r="C7" s="11" t="s">
        <v>149</v>
      </c>
      <c r="D7" s="11" t="n">
        <v>62</v>
      </c>
      <c r="E7" s="11" t="n">
        <v>223734</v>
      </c>
      <c r="F7" s="11" t="s">
        <v>293</v>
      </c>
      <c r="G7" s="11" t="s">
        <v>292</v>
      </c>
    </row>
    <row r="8" customFormat="false" ht="15" hidden="false" customHeight="false" outlineLevel="0" collapsed="false">
      <c r="B8" s="11" t="n">
        <v>3</v>
      </c>
      <c r="C8" s="11" t="s">
        <v>150</v>
      </c>
      <c r="D8" s="11" t="n">
        <v>55</v>
      </c>
      <c r="E8" s="11" t="n">
        <v>88009</v>
      </c>
      <c r="F8" s="11" t="s">
        <v>294</v>
      </c>
      <c r="G8" s="11" t="s">
        <v>292</v>
      </c>
    </row>
    <row r="9" customFormat="false" ht="15" hidden="false" customHeight="false" outlineLevel="0" collapsed="false">
      <c r="B9" s="11" t="n">
        <v>4</v>
      </c>
      <c r="C9" s="11" t="s">
        <v>151</v>
      </c>
      <c r="D9" s="11" t="n">
        <v>2</v>
      </c>
      <c r="E9" s="11" t="n">
        <v>75297</v>
      </c>
      <c r="F9" s="11" t="s">
        <v>295</v>
      </c>
      <c r="G9" s="11" t="s">
        <v>292</v>
      </c>
    </row>
    <row r="10" customFormat="false" ht="15" hidden="false" customHeight="false" outlineLevel="0" collapsed="false">
      <c r="B10" s="11" t="n">
        <v>5</v>
      </c>
      <c r="C10" s="11" t="s">
        <v>152</v>
      </c>
      <c r="D10" s="11" t="n">
        <v>15</v>
      </c>
      <c r="E10" s="11" t="n">
        <v>69481</v>
      </c>
      <c r="F10" s="11" t="s">
        <v>296</v>
      </c>
      <c r="G10" s="11" t="s">
        <v>292</v>
      </c>
    </row>
    <row r="11" customFormat="false" ht="15" hidden="false" customHeight="false" outlineLevel="0" collapsed="false">
      <c r="B11" s="11" t="n">
        <v>6</v>
      </c>
      <c r="C11" s="11" t="s">
        <v>153</v>
      </c>
      <c r="D11" s="11" t="n">
        <v>5</v>
      </c>
      <c r="E11" s="11" t="n">
        <v>45601</v>
      </c>
      <c r="F11" s="11" t="s">
        <v>297</v>
      </c>
      <c r="G11" s="11" t="s">
        <v>298</v>
      </c>
    </row>
    <row r="12" customFormat="false" ht="15" hidden="false" customHeight="false" outlineLevel="0" collapsed="false">
      <c r="B12" s="11" t="n">
        <v>7</v>
      </c>
      <c r="C12" s="11" t="s">
        <v>154</v>
      </c>
      <c r="D12" s="11" t="n">
        <v>26</v>
      </c>
      <c r="E12" s="11" t="n">
        <v>36697</v>
      </c>
      <c r="F12" s="11" t="s">
        <v>299</v>
      </c>
      <c r="G12" s="11" t="s">
        <v>298</v>
      </c>
    </row>
    <row r="13" customFormat="false" ht="15" hidden="false" customHeight="false" outlineLevel="0" collapsed="false">
      <c r="B13" s="11" t="n">
        <v>8</v>
      </c>
      <c r="C13" s="11" t="s">
        <v>155</v>
      </c>
      <c r="D13" s="11" t="n">
        <v>42</v>
      </c>
      <c r="E13" s="11" t="n">
        <v>27600</v>
      </c>
      <c r="F13" s="11" t="s">
        <v>300</v>
      </c>
      <c r="G13" s="11" t="s">
        <v>298</v>
      </c>
    </row>
    <row r="14" customFormat="false" ht="15" hidden="false" customHeight="false" outlineLevel="0" collapsed="false">
      <c r="B14" s="11" t="n">
        <v>9</v>
      </c>
      <c r="C14" s="11" t="s">
        <v>156</v>
      </c>
      <c r="D14" s="11" t="n">
        <v>2</v>
      </c>
      <c r="E14" s="11" t="n">
        <v>15782</v>
      </c>
      <c r="F14" s="11" t="s">
        <v>301</v>
      </c>
      <c r="G14" s="11" t="s">
        <v>298</v>
      </c>
    </row>
    <row r="15" customFormat="false" ht="15" hidden="false" customHeight="false" outlineLevel="0" collapsed="false">
      <c r="B15" s="11" t="n">
        <v>10</v>
      </c>
      <c r="C15" s="11" t="s">
        <v>157</v>
      </c>
      <c r="D15" s="11" t="n">
        <v>20</v>
      </c>
      <c r="E15" s="11" t="n">
        <v>12079</v>
      </c>
      <c r="F15" s="11" t="s">
        <v>302</v>
      </c>
      <c r="G15" s="11" t="s">
        <v>298</v>
      </c>
    </row>
    <row r="16" customFormat="false" ht="15" hidden="false" customHeight="false" outlineLevel="0" collapsed="false">
      <c r="B16" s="11" t="n">
        <v>11</v>
      </c>
      <c r="C16" s="11" t="s">
        <v>158</v>
      </c>
      <c r="D16" s="11" t="n">
        <v>1</v>
      </c>
      <c r="E16" s="11" t="n">
        <v>8250</v>
      </c>
      <c r="F16" s="11" t="s">
        <v>303</v>
      </c>
      <c r="G16" s="11" t="s">
        <v>304</v>
      </c>
    </row>
    <row r="17" customFormat="false" ht="15" hidden="false" customHeight="false" outlineLevel="0" collapsed="false">
      <c r="B17" s="11" t="n">
        <v>12</v>
      </c>
      <c r="C17" s="11" t="s">
        <v>159</v>
      </c>
      <c r="D17" s="11" t="n">
        <v>5</v>
      </c>
      <c r="E17" s="11" t="n">
        <v>5338</v>
      </c>
      <c r="F17" s="11" t="s">
        <v>305</v>
      </c>
      <c r="G17" s="11" t="s">
        <v>304</v>
      </c>
    </row>
    <row r="18" customFormat="false" ht="15" hidden="false" customHeight="false" outlineLevel="0" collapsed="false">
      <c r="B18" s="11" t="n">
        <v>13</v>
      </c>
      <c r="C18" s="11" t="s">
        <v>160</v>
      </c>
      <c r="D18" s="11" t="n">
        <v>2</v>
      </c>
      <c r="E18" s="11" t="n">
        <v>4290</v>
      </c>
      <c r="F18" s="11" t="s">
        <v>306</v>
      </c>
      <c r="G18" s="11" t="s">
        <v>304</v>
      </c>
    </row>
    <row r="19" customFormat="false" ht="15" hidden="false" customHeight="false" outlineLevel="0" collapsed="false">
      <c r="B19" s="11" t="n">
        <v>14</v>
      </c>
      <c r="C19" s="11" t="s">
        <v>161</v>
      </c>
      <c r="D19" s="11" t="n">
        <v>1</v>
      </c>
      <c r="E19" s="11" t="n">
        <v>3050</v>
      </c>
      <c r="F19" s="11" t="s">
        <v>307</v>
      </c>
      <c r="G19" s="11" t="s">
        <v>304</v>
      </c>
    </row>
    <row r="20" customFormat="false" ht="15" hidden="false" customHeight="false" outlineLevel="0" collapsed="false">
      <c r="B20" s="11" t="n">
        <v>15</v>
      </c>
      <c r="C20" s="11" t="s">
        <v>162</v>
      </c>
      <c r="D20" s="11" t="n">
        <v>1</v>
      </c>
      <c r="E20" s="11" t="n">
        <v>2594</v>
      </c>
      <c r="F20" s="11" t="s">
        <v>307</v>
      </c>
      <c r="G20" s="11" t="s">
        <v>304</v>
      </c>
    </row>
    <row r="21" customFormat="false" ht="15" hidden="false" customHeight="false" outlineLevel="0" collapsed="false">
      <c r="B21" s="11" t="n">
        <v>16</v>
      </c>
      <c r="C21" s="11" t="s">
        <v>163</v>
      </c>
      <c r="D21" s="11" t="n">
        <v>5</v>
      </c>
      <c r="E21" s="11" t="n">
        <v>2139</v>
      </c>
      <c r="F21" s="11" t="s">
        <v>308</v>
      </c>
      <c r="G21" s="11" t="s">
        <v>304</v>
      </c>
    </row>
    <row r="22" customFormat="false" ht="15" hidden="false" customHeight="false" outlineLevel="0" collapsed="false">
      <c r="B22" s="11" t="n">
        <v>17</v>
      </c>
      <c r="C22" s="11" t="s">
        <v>164</v>
      </c>
      <c r="D22" s="11" t="n">
        <v>5</v>
      </c>
      <c r="E22" s="11" t="n">
        <v>2071</v>
      </c>
      <c r="F22" s="11" t="s">
        <v>308</v>
      </c>
      <c r="G22" s="11" t="s">
        <v>304</v>
      </c>
    </row>
    <row r="23" customFormat="false" ht="15" hidden="false" customHeight="false" outlineLevel="0" collapsed="false">
      <c r="B23" s="11" t="n">
        <v>18</v>
      </c>
      <c r="C23" s="11" t="s">
        <v>165</v>
      </c>
      <c r="D23" s="11" t="n">
        <v>1</v>
      </c>
      <c r="E23" s="11" t="n">
        <v>1525</v>
      </c>
      <c r="F23" s="11" t="s">
        <v>308</v>
      </c>
      <c r="G23" s="11" t="s">
        <v>304</v>
      </c>
    </row>
    <row r="24" customFormat="false" ht="15" hidden="false" customHeight="false" outlineLevel="0" collapsed="false">
      <c r="B24" s="11" t="n">
        <v>19</v>
      </c>
      <c r="C24" s="11" t="s">
        <v>166</v>
      </c>
      <c r="D24" s="11" t="n">
        <v>6</v>
      </c>
      <c r="E24" s="11" t="n">
        <v>901</v>
      </c>
      <c r="F24" s="11" t="s">
        <v>309</v>
      </c>
      <c r="G24" s="11" t="s">
        <v>304</v>
      </c>
    </row>
    <row r="25" customFormat="false" ht="15" hidden="false" customHeight="false" outlineLevel="0" collapsed="false">
      <c r="B25" s="11" t="n">
        <v>20</v>
      </c>
      <c r="C25" s="11" t="s">
        <v>167</v>
      </c>
      <c r="D25" s="11" t="n">
        <v>3</v>
      </c>
      <c r="E25" s="11" t="n">
        <v>853</v>
      </c>
      <c r="F25" s="11" t="s">
        <v>309</v>
      </c>
      <c r="G25" s="11" t="s">
        <v>304</v>
      </c>
    </row>
    <row r="26" customFormat="false" ht="15" hidden="false" customHeight="false" outlineLevel="0" collapsed="false">
      <c r="B26" s="11" t="n">
        <v>21</v>
      </c>
      <c r="C26" s="11" t="s">
        <v>168</v>
      </c>
      <c r="D26" s="11" t="n">
        <v>1</v>
      </c>
      <c r="E26" s="11" t="n">
        <v>280</v>
      </c>
      <c r="F26" s="11" t="s">
        <v>276</v>
      </c>
      <c r="G26" s="11" t="s">
        <v>304</v>
      </c>
    </row>
    <row r="27" customFormat="false" ht="15" hidden="false" customHeight="false" outlineLevel="0" collapsed="false">
      <c r="B27" s="11" t="n">
        <v>22</v>
      </c>
      <c r="C27" s="11" t="s">
        <v>169</v>
      </c>
      <c r="D27" s="11" t="n">
        <v>1</v>
      </c>
      <c r="E27" s="11" t="n">
        <v>126</v>
      </c>
      <c r="F27" s="11" t="s">
        <v>276</v>
      </c>
      <c r="G27" s="11" t="s">
        <v>304</v>
      </c>
    </row>
    <row r="28" customFormat="false" ht="15" hidden="false" customHeight="false" outlineLevel="0" collapsed="false">
      <c r="B28" s="11" t="n">
        <v>23</v>
      </c>
      <c r="C28" s="11" t="s">
        <v>170</v>
      </c>
      <c r="D28" s="11" t="n">
        <v>1</v>
      </c>
      <c r="E28" s="11" t="n">
        <v>16</v>
      </c>
      <c r="F28" s="11" t="s">
        <v>276</v>
      </c>
      <c r="G28" s="11" t="s">
        <v>304</v>
      </c>
    </row>
    <row r="31" customFormat="false" ht="15" hidden="false" customHeight="false" outlineLevel="0" collapsed="false">
      <c r="B31" s="4" t="s">
        <v>57</v>
      </c>
    </row>
    <row r="32" customFormat="false" ht="15" hidden="false" customHeight="false" outlineLevel="0" collapsed="false">
      <c r="B32" s="3" t="s">
        <v>58</v>
      </c>
    </row>
    <row r="33" customFormat="false" ht="15" hidden="false" customHeight="false" outlineLevel="0" collapsed="false">
      <c r="B33" s="3" t="s">
        <v>59</v>
      </c>
    </row>
    <row r="34" customFormat="false" ht="15" hidden="false" customHeight="false" outlineLevel="0" collapsed="false">
      <c r="B34" s="3" t="s">
        <v>60</v>
      </c>
    </row>
    <row r="35" customFormat="false" ht="15" hidden="false" customHeight="false" outlineLevel="0" collapsed="false">
      <c r="B35" s="3" t="s">
        <v>61</v>
      </c>
    </row>
    <row r="36" customFormat="false" ht="15" hidden="false" customHeight="false" outlineLevel="0" collapsed="false">
      <c r="B36" s="3" t="s">
        <v>62</v>
      </c>
    </row>
    <row r="37" customFormat="false" ht="15" hidden="false" customHeight="false" outlineLevel="0" collapsed="false">
      <c r="B37" s="3" t="s">
        <v>63</v>
      </c>
    </row>
    <row r="38" customFormat="false" ht="15" hidden="false" customHeight="false" outlineLevel="0" collapsed="false">
      <c r="B38" s="3" t="s">
        <v>64</v>
      </c>
    </row>
    <row r="39" customFormat="false" ht="15" hidden="false" customHeight="false" outlineLevel="0" collapsed="false">
      <c r="B39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4"/>
    <col collapsed="false" customWidth="true" hidden="false" outlineLevel="0" max="8" min="3" style="1" width="13"/>
  </cols>
  <sheetData>
    <row r="2" customFormat="false" ht="22.05" hidden="false" customHeight="false" outlineLevel="0" collapsed="false">
      <c r="B2" s="2" t="s">
        <v>310</v>
      </c>
    </row>
    <row r="4" customFormat="false" ht="15" hidden="false" customHeight="false" outlineLevel="0" collapsed="false">
      <c r="B4" s="4" t="s">
        <v>311</v>
      </c>
    </row>
    <row r="5" customFormat="false" ht="15" hidden="false" customHeight="false" outlineLevel="0" collapsed="false">
      <c r="B5" s="5" t="s">
        <v>312</v>
      </c>
      <c r="C5" s="11" t="s">
        <v>313</v>
      </c>
    </row>
    <row r="6" customFormat="false" ht="15" hidden="false" customHeight="false" outlineLevel="0" collapsed="false">
      <c r="B6" s="5" t="s">
        <v>314</v>
      </c>
      <c r="C6" s="11" t="s">
        <v>315</v>
      </c>
    </row>
    <row r="7" customFormat="false" ht="15" hidden="false" customHeight="false" outlineLevel="0" collapsed="false">
      <c r="B7" s="5" t="s">
        <v>316</v>
      </c>
      <c r="C7" s="11" t="s">
        <v>19</v>
      </c>
    </row>
    <row r="8" customFormat="false" ht="15" hidden="false" customHeight="false" outlineLevel="0" collapsed="false">
      <c r="B8" s="5" t="s">
        <v>317</v>
      </c>
      <c r="C8" s="11" t="s">
        <v>318</v>
      </c>
    </row>
    <row r="9" customFormat="false" ht="15" hidden="false" customHeight="false" outlineLevel="0" collapsed="false">
      <c r="B9" s="5" t="s">
        <v>319</v>
      </c>
      <c r="C9" s="11" t="s">
        <v>320</v>
      </c>
    </row>
    <row r="12" customFormat="false" ht="15" hidden="false" customHeight="false" outlineLevel="0" collapsed="false">
      <c r="B12" s="4" t="s">
        <v>321</v>
      </c>
    </row>
    <row r="13" customFormat="false" ht="15" hidden="false" customHeight="false" outlineLevel="0" collapsed="false">
      <c r="B13" s="14" t="s">
        <v>322</v>
      </c>
      <c r="C13" s="14" t="s">
        <v>323</v>
      </c>
      <c r="D13" s="14" t="s">
        <v>324</v>
      </c>
      <c r="E13" s="14" t="s">
        <v>325</v>
      </c>
      <c r="F13" s="14" t="s">
        <v>326</v>
      </c>
      <c r="G13" s="14" t="s">
        <v>327</v>
      </c>
      <c r="H13" s="14" t="s">
        <v>328</v>
      </c>
    </row>
    <row r="14" customFormat="false" ht="15" hidden="false" customHeight="false" outlineLevel="0" collapsed="false">
      <c r="B14" s="11" t="n">
        <v>1</v>
      </c>
      <c r="C14" s="11" t="s">
        <v>329</v>
      </c>
      <c r="D14" s="11" t="n">
        <v>7667</v>
      </c>
      <c r="E14" s="11" t="n">
        <v>-383</v>
      </c>
      <c r="F14" s="11" t="n">
        <v>7667</v>
      </c>
      <c r="G14" s="11" t="n">
        <v>7667</v>
      </c>
      <c r="H14" s="11" t="s">
        <v>308</v>
      </c>
    </row>
    <row r="15" customFormat="false" ht="15" hidden="false" customHeight="false" outlineLevel="0" collapsed="false">
      <c r="B15" s="11" t="n">
        <v>2</v>
      </c>
      <c r="C15" s="11" t="s">
        <v>330</v>
      </c>
      <c r="D15" s="11" t="n">
        <v>68300</v>
      </c>
      <c r="E15" s="11" t="n">
        <v>-3415</v>
      </c>
      <c r="F15" s="11" t="n">
        <v>68300</v>
      </c>
      <c r="G15" s="11" t="n">
        <v>75967</v>
      </c>
      <c r="H15" s="11" t="s">
        <v>270</v>
      </c>
    </row>
    <row r="16" customFormat="false" ht="15" hidden="false" customHeight="false" outlineLevel="0" collapsed="false">
      <c r="B16" s="11" t="n">
        <v>3</v>
      </c>
      <c r="C16" s="11" t="s">
        <v>331</v>
      </c>
      <c r="D16" s="11" t="n">
        <v>499085</v>
      </c>
      <c r="E16" s="11" t="n">
        <v>-24954</v>
      </c>
      <c r="F16" s="11" t="n">
        <v>499085</v>
      </c>
      <c r="G16" s="11" t="n">
        <v>575052</v>
      </c>
      <c r="H16" s="11" t="s">
        <v>332</v>
      </c>
    </row>
    <row r="17" customFormat="false" ht="15" hidden="false" customHeight="false" outlineLevel="0" collapsed="false">
      <c r="B17" s="11" t="n">
        <v>4</v>
      </c>
      <c r="C17" s="11" t="s">
        <v>333</v>
      </c>
      <c r="D17" s="11" t="n">
        <v>89625</v>
      </c>
      <c r="E17" s="11" t="n">
        <v>-4481</v>
      </c>
      <c r="F17" s="11" t="n">
        <v>89625</v>
      </c>
      <c r="G17" s="11" t="n">
        <v>664677</v>
      </c>
      <c r="H17" s="11" t="s">
        <v>334</v>
      </c>
    </row>
    <row r="18" customFormat="false" ht="15" hidden="false" customHeight="false" outlineLevel="0" collapsed="false">
      <c r="B18" s="11" t="n">
        <v>5</v>
      </c>
      <c r="C18" s="11" t="s">
        <v>335</v>
      </c>
      <c r="D18" s="11" t="n">
        <v>448716</v>
      </c>
      <c r="E18" s="11" t="n">
        <v>-22436</v>
      </c>
      <c r="F18" s="11" t="n">
        <v>448716</v>
      </c>
      <c r="G18" s="11" t="n">
        <v>1113393</v>
      </c>
      <c r="H18" s="11" t="s">
        <v>336</v>
      </c>
    </row>
    <row r="19" customFormat="false" ht="15" hidden="false" customHeight="false" outlineLevel="0" collapsed="false">
      <c r="B19" s="11" t="n">
        <v>6</v>
      </c>
      <c r="C19" s="11" t="s">
        <v>337</v>
      </c>
      <c r="D19" s="11" t="n">
        <v>5007</v>
      </c>
      <c r="E19" s="11" t="n">
        <v>-250</v>
      </c>
      <c r="F19" s="11" t="n">
        <v>5007</v>
      </c>
      <c r="G19" s="11" t="n">
        <v>1118400</v>
      </c>
      <c r="H19" s="11" t="s">
        <v>338</v>
      </c>
    </row>
    <row r="20" customFormat="false" ht="15" hidden="false" customHeight="false" outlineLevel="0" collapsed="false">
      <c r="B20" s="11" t="n">
        <v>7</v>
      </c>
      <c r="C20" s="11" t="s">
        <v>339</v>
      </c>
      <c r="D20" s="11" t="n">
        <v>607368</v>
      </c>
      <c r="E20" s="11" t="n">
        <v>-30368</v>
      </c>
      <c r="F20" s="11" t="n">
        <v>607368</v>
      </c>
      <c r="G20" s="11" t="n">
        <v>1725768</v>
      </c>
      <c r="H20" s="11" t="s">
        <v>340</v>
      </c>
    </row>
    <row r="21" customFormat="false" ht="15" hidden="false" customHeight="false" outlineLevel="0" collapsed="false">
      <c r="B21" s="11" t="n">
        <v>8</v>
      </c>
      <c r="C21" s="11" t="s">
        <v>341</v>
      </c>
      <c r="D21" s="11" t="n">
        <v>101930</v>
      </c>
      <c r="E21" s="11" t="n">
        <v>-5096</v>
      </c>
      <c r="F21" s="11" t="n">
        <v>101930</v>
      </c>
      <c r="G21" s="11" t="n">
        <v>1827698</v>
      </c>
      <c r="H21" s="11" t="s">
        <v>342</v>
      </c>
    </row>
    <row r="22" customFormat="false" ht="15" hidden="false" customHeight="false" outlineLevel="0" collapsed="false">
      <c r="B22" s="11" t="n">
        <v>9</v>
      </c>
      <c r="C22" s="11" t="s">
        <v>343</v>
      </c>
      <c r="D22" s="11" t="n">
        <v>508416</v>
      </c>
      <c r="E22" s="11" t="n">
        <v>-25421</v>
      </c>
      <c r="F22" s="11" t="n">
        <v>508416</v>
      </c>
      <c r="G22" s="11" t="n">
        <v>2336114</v>
      </c>
      <c r="H22" s="11" t="s">
        <v>344</v>
      </c>
    </row>
    <row r="23" customFormat="false" ht="15" hidden="false" customHeight="false" outlineLevel="0" collapsed="false">
      <c r="B23" s="11" t="n">
        <v>10</v>
      </c>
      <c r="C23" s="11" t="s">
        <v>345</v>
      </c>
      <c r="D23" s="11" t="n">
        <v>75208</v>
      </c>
      <c r="E23" s="11" t="n">
        <v>-3760</v>
      </c>
      <c r="F23" s="11" t="n">
        <v>75208</v>
      </c>
      <c r="G23" s="11" t="n">
        <v>2411322</v>
      </c>
      <c r="H23" s="11" t="s">
        <v>346</v>
      </c>
    </row>
    <row r="24" customFormat="false" ht="15" hidden="false" customHeight="false" outlineLevel="0" collapsed="false">
      <c r="B24" s="11" t="n">
        <v>11</v>
      </c>
      <c r="C24" s="11" t="s">
        <v>347</v>
      </c>
      <c r="D24" s="11" t="n">
        <v>56120</v>
      </c>
      <c r="E24" s="11" t="n">
        <v>-2806</v>
      </c>
      <c r="F24" s="11" t="n">
        <v>56120</v>
      </c>
      <c r="G24" s="11" t="n">
        <v>2467442</v>
      </c>
      <c r="H24" s="11" t="s">
        <v>348</v>
      </c>
    </row>
    <row r="25" customFormat="false" ht="15" hidden="false" customHeight="false" outlineLevel="0" collapsed="false">
      <c r="B25" s="11" t="n">
        <v>12</v>
      </c>
      <c r="C25" s="11" t="s">
        <v>349</v>
      </c>
      <c r="D25" s="11" t="n">
        <v>55938</v>
      </c>
      <c r="E25" s="11" t="n">
        <v>-2797</v>
      </c>
      <c r="F25" s="11" t="n">
        <v>55938</v>
      </c>
      <c r="G25" s="11" t="n">
        <v>2523380</v>
      </c>
      <c r="H25" s="11" t="s">
        <v>350</v>
      </c>
    </row>
    <row r="26" customFormat="false" ht="15" hidden="false" customHeight="false" outlineLevel="0" collapsed="false">
      <c r="B26" s="11" t="n">
        <v>13</v>
      </c>
      <c r="C26" s="11" t="s">
        <v>351</v>
      </c>
      <c r="D26" s="11" t="n">
        <v>156090</v>
      </c>
      <c r="E26" s="11" t="n">
        <v>-7804</v>
      </c>
      <c r="F26" s="11" t="n">
        <v>156090</v>
      </c>
      <c r="G26" s="11" t="n">
        <v>2679470</v>
      </c>
      <c r="H26" s="11" t="s">
        <v>352</v>
      </c>
    </row>
    <row r="27" customFormat="false" ht="15" hidden="false" customHeight="false" outlineLevel="0" collapsed="false">
      <c r="B27" s="11" t="n">
        <v>14</v>
      </c>
      <c r="C27" s="11" t="s">
        <v>353</v>
      </c>
      <c r="D27" s="11" t="n">
        <v>71410</v>
      </c>
      <c r="E27" s="11" t="n">
        <v>-3570</v>
      </c>
      <c r="F27" s="11" t="n">
        <v>71410</v>
      </c>
      <c r="G27" s="11" t="n">
        <v>2750880</v>
      </c>
      <c r="H27" s="11" t="s">
        <v>354</v>
      </c>
    </row>
    <row r="28" customFormat="false" ht="15" hidden="false" customHeight="false" outlineLevel="0" collapsed="false">
      <c r="B28" s="11" t="n">
        <v>15</v>
      </c>
      <c r="C28" s="11" t="s">
        <v>355</v>
      </c>
      <c r="D28" s="11" t="n">
        <v>78695</v>
      </c>
      <c r="E28" s="11" t="n">
        <v>-3935</v>
      </c>
      <c r="F28" s="11" t="n">
        <v>78695</v>
      </c>
      <c r="G28" s="11" t="n">
        <v>2829575</v>
      </c>
      <c r="H28" s="11" t="s">
        <v>356</v>
      </c>
    </row>
    <row r="29" customFormat="false" ht="15" hidden="false" customHeight="false" outlineLevel="0" collapsed="false">
      <c r="B29" s="11" t="n">
        <v>16</v>
      </c>
      <c r="C29" s="11" t="s">
        <v>357</v>
      </c>
      <c r="D29" s="11" t="n">
        <v>135691</v>
      </c>
      <c r="E29" s="11" t="n">
        <v>-6785</v>
      </c>
      <c r="F29" s="11" t="n">
        <v>135691</v>
      </c>
      <c r="G29" s="11" t="n">
        <v>2965266</v>
      </c>
      <c r="H29" s="11" t="s">
        <v>358</v>
      </c>
    </row>
    <row r="30" customFormat="false" ht="15" hidden="false" customHeight="false" outlineLevel="0" collapsed="false">
      <c r="B30" s="11" t="n">
        <v>17</v>
      </c>
      <c r="C30" s="11" t="s">
        <v>359</v>
      </c>
      <c r="D30" s="11" t="n">
        <v>42086</v>
      </c>
      <c r="E30" s="11" t="n">
        <v>-2104</v>
      </c>
      <c r="F30" s="11" t="n">
        <v>42086</v>
      </c>
      <c r="G30" s="11" t="n">
        <v>3007352</v>
      </c>
      <c r="H30" s="11" t="s">
        <v>360</v>
      </c>
    </row>
    <row r="31" customFormat="false" ht="15" hidden="false" customHeight="false" outlineLevel="0" collapsed="false">
      <c r="B31" s="11" t="n">
        <v>18</v>
      </c>
      <c r="C31" s="11" t="s">
        <v>361</v>
      </c>
      <c r="D31" s="11" t="n">
        <v>58350</v>
      </c>
      <c r="E31" s="11" t="n">
        <v>-2918</v>
      </c>
      <c r="F31" s="11" t="n">
        <v>58350</v>
      </c>
      <c r="G31" s="11" t="n">
        <v>3065702</v>
      </c>
      <c r="H31" s="11" t="s">
        <v>362</v>
      </c>
    </row>
    <row r="32" customFormat="false" ht="15" hidden="false" customHeight="false" outlineLevel="0" collapsed="false">
      <c r="B32" s="11" t="n">
        <v>19</v>
      </c>
      <c r="C32" s="11" t="s">
        <v>363</v>
      </c>
      <c r="D32" s="11" t="n">
        <v>101275</v>
      </c>
      <c r="E32" s="11" t="n">
        <v>-5064</v>
      </c>
      <c r="F32" s="11" t="n">
        <v>101275</v>
      </c>
      <c r="G32" s="11" t="n">
        <v>3166977</v>
      </c>
      <c r="H32" s="11" t="s">
        <v>364</v>
      </c>
    </row>
    <row r="33" customFormat="false" ht="15" hidden="false" customHeight="false" outlineLevel="0" collapsed="false">
      <c r="B33" s="11" t="n">
        <v>20</v>
      </c>
      <c r="C33" s="11" t="s">
        <v>365</v>
      </c>
      <c r="D33" s="11" t="n">
        <v>84153</v>
      </c>
      <c r="E33" s="11" t="n">
        <v>-4208</v>
      </c>
      <c r="F33" s="11" t="n">
        <v>84153</v>
      </c>
      <c r="G33" s="11" t="n">
        <v>3251130</v>
      </c>
      <c r="H33" s="11" t="s">
        <v>366</v>
      </c>
    </row>
    <row r="34" customFormat="false" ht="15" hidden="false" customHeight="false" outlineLevel="0" collapsed="false">
      <c r="B34" s="11" t="n">
        <v>21</v>
      </c>
      <c r="C34" s="11" t="s">
        <v>367</v>
      </c>
      <c r="D34" s="11" t="n">
        <v>391998</v>
      </c>
      <c r="E34" s="11" t="n">
        <v>-19600</v>
      </c>
      <c r="F34" s="11" t="n">
        <v>391998</v>
      </c>
      <c r="G34" s="11" t="n">
        <v>3643128</v>
      </c>
      <c r="H34" s="11" t="s">
        <v>368</v>
      </c>
    </row>
    <row r="35" customFormat="false" ht="15" hidden="false" customHeight="false" outlineLevel="0" collapsed="false">
      <c r="B35" s="11" t="n">
        <v>22</v>
      </c>
      <c r="C35" s="11" t="s">
        <v>369</v>
      </c>
      <c r="D35" s="11" t="n">
        <v>91812</v>
      </c>
      <c r="E35" s="11" t="n">
        <v>-4591</v>
      </c>
      <c r="F35" s="11" t="n">
        <v>91812</v>
      </c>
      <c r="G35" s="11" t="n">
        <v>3734940</v>
      </c>
      <c r="H35" s="11" t="s">
        <v>370</v>
      </c>
    </row>
    <row r="36" customFormat="false" ht="15" hidden="false" customHeight="false" outlineLevel="0" collapsed="false">
      <c r="B36" s="11" t="n">
        <v>23</v>
      </c>
      <c r="C36" s="11" t="s">
        <v>371</v>
      </c>
      <c r="D36" s="11" t="n">
        <v>307814</v>
      </c>
      <c r="E36" s="11" t="n">
        <v>-15391</v>
      </c>
      <c r="F36" s="11" t="n">
        <v>307814</v>
      </c>
      <c r="G36" s="11" t="n">
        <v>4042754</v>
      </c>
      <c r="H36" s="11" t="s">
        <v>372</v>
      </c>
    </row>
    <row r="37" customFormat="false" ht="15" hidden="false" customHeight="false" outlineLevel="0" collapsed="false">
      <c r="B37" s="11" t="n">
        <v>24</v>
      </c>
      <c r="C37" s="11" t="s">
        <v>373</v>
      </c>
      <c r="D37" s="11" t="n">
        <v>33921</v>
      </c>
      <c r="E37" s="11" t="n">
        <v>-1696</v>
      </c>
      <c r="F37" s="11" t="n">
        <v>33921</v>
      </c>
      <c r="G37" s="11" t="n">
        <v>4076675</v>
      </c>
      <c r="H37" s="11" t="s">
        <v>374</v>
      </c>
    </row>
    <row r="38" customFormat="false" ht="15" hidden="false" customHeight="false" outlineLevel="0" collapsed="false">
      <c r="B38" s="11" t="n">
        <v>25</v>
      </c>
      <c r="C38" s="11" t="s">
        <v>375</v>
      </c>
      <c r="D38" s="11" t="n">
        <v>30400</v>
      </c>
      <c r="E38" s="11" t="n">
        <v>-1520</v>
      </c>
      <c r="F38" s="11" t="n">
        <v>30400</v>
      </c>
      <c r="G38" s="11" t="n">
        <v>4107075</v>
      </c>
      <c r="H38" s="11" t="s">
        <v>376</v>
      </c>
    </row>
    <row r="39" customFormat="false" ht="15" hidden="false" customHeight="false" outlineLevel="0" collapsed="false">
      <c r="B39" s="11" t="n">
        <v>26</v>
      </c>
      <c r="C39" s="11" t="s">
        <v>377</v>
      </c>
      <c r="D39" s="11" t="n">
        <v>207864</v>
      </c>
      <c r="E39" s="11" t="n">
        <v>-10393</v>
      </c>
      <c r="F39" s="11" t="n">
        <v>207864</v>
      </c>
      <c r="G39" s="11" t="n">
        <v>4314939</v>
      </c>
      <c r="H39" s="11" t="s">
        <v>378</v>
      </c>
    </row>
    <row r="40" customFormat="false" ht="15" hidden="false" customHeight="false" outlineLevel="0" collapsed="false">
      <c r="B40" s="11" t="n">
        <v>27</v>
      </c>
      <c r="C40" s="11" t="s">
        <v>379</v>
      </c>
      <c r="D40" s="11" t="n">
        <v>115149</v>
      </c>
      <c r="E40" s="11" t="n">
        <v>-5757</v>
      </c>
      <c r="F40" s="11" t="n">
        <v>115149</v>
      </c>
      <c r="G40" s="11" t="n">
        <v>4430088</v>
      </c>
      <c r="H40" s="11" t="s">
        <v>380</v>
      </c>
    </row>
    <row r="42" customFormat="false" ht="15" hidden="false" customHeight="false" outlineLevel="0" collapsed="false">
      <c r="B42" s="4" t="s">
        <v>57</v>
      </c>
    </row>
    <row r="43" customFormat="false" ht="15" hidden="false" customHeight="false" outlineLevel="0" collapsed="false">
      <c r="B43" s="3" t="s">
        <v>58</v>
      </c>
    </row>
    <row r="44" customFormat="false" ht="15" hidden="false" customHeight="false" outlineLevel="0" collapsed="false">
      <c r="B44" s="3" t="s">
        <v>59</v>
      </c>
    </row>
    <row r="45" customFormat="false" ht="15" hidden="false" customHeight="false" outlineLevel="0" collapsed="false">
      <c r="B45" s="3" t="s">
        <v>60</v>
      </c>
    </row>
    <row r="46" customFormat="false" ht="15" hidden="false" customHeight="false" outlineLevel="0" collapsed="false">
      <c r="B46" s="3" t="s">
        <v>61</v>
      </c>
    </row>
    <row r="47" customFormat="false" ht="15" hidden="false" customHeight="false" outlineLevel="0" collapsed="false">
      <c r="B47" s="3" t="s">
        <v>62</v>
      </c>
    </row>
    <row r="48" customFormat="false" ht="15" hidden="false" customHeight="false" outlineLevel="0" collapsed="false">
      <c r="B48" s="3" t="s">
        <v>63</v>
      </c>
    </row>
    <row r="49" customFormat="false" ht="15" hidden="false" customHeight="false" outlineLevel="0" collapsed="false">
      <c r="B49" s="3" t="s">
        <v>64</v>
      </c>
    </row>
    <row r="50" customFormat="false" ht="15" hidden="false" customHeight="false" outlineLevel="0" collapsed="false">
      <c r="B50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"/>
    <col collapsed="false" customWidth="true" hidden="false" outlineLevel="0" max="3" min="3" style="1" width="24"/>
    <col collapsed="false" customWidth="true" hidden="false" outlineLevel="0" max="4" min="4" style="1" width="80"/>
  </cols>
  <sheetData>
    <row r="2" customFormat="false" ht="22.05" hidden="false" customHeight="false" outlineLevel="0" collapsed="false">
      <c r="B2" s="2" t="s">
        <v>381</v>
      </c>
    </row>
    <row r="4" customFormat="false" ht="15" hidden="false" customHeight="false" outlineLevel="0" collapsed="false">
      <c r="B4" s="14" t="s">
        <v>290</v>
      </c>
      <c r="C4" s="14" t="s">
        <v>382</v>
      </c>
      <c r="D4" s="14" t="s">
        <v>383</v>
      </c>
    </row>
    <row r="5" customFormat="false" ht="23.85" hidden="false" customHeight="false" outlineLevel="0" collapsed="false">
      <c r="B5" s="11" t="n">
        <v>1</v>
      </c>
      <c r="C5" s="5" t="s">
        <v>384</v>
      </c>
      <c r="D5" s="15" t="s">
        <v>385</v>
      </c>
    </row>
    <row r="6" customFormat="false" ht="23.85" hidden="false" customHeight="false" outlineLevel="0" collapsed="false">
      <c r="B6" s="11" t="n">
        <v>2</v>
      </c>
      <c r="C6" s="5" t="s">
        <v>386</v>
      </c>
      <c r="D6" s="15" t="s">
        <v>387</v>
      </c>
    </row>
    <row r="7" customFormat="false" ht="23.85" hidden="false" customHeight="false" outlineLevel="0" collapsed="false">
      <c r="B7" s="11" t="n">
        <v>3</v>
      </c>
      <c r="C7" s="5" t="s">
        <v>388</v>
      </c>
      <c r="D7" s="15" t="s">
        <v>389</v>
      </c>
    </row>
    <row r="8" customFormat="false" ht="23.85" hidden="false" customHeight="false" outlineLevel="0" collapsed="false">
      <c r="B8" s="11" t="n">
        <v>4</v>
      </c>
      <c r="C8" s="5" t="s">
        <v>390</v>
      </c>
      <c r="D8" s="15" t="s">
        <v>391</v>
      </c>
    </row>
    <row r="9" customFormat="false" ht="23.85" hidden="false" customHeight="false" outlineLevel="0" collapsed="false">
      <c r="B9" s="11" t="n">
        <v>5</v>
      </c>
      <c r="C9" s="5" t="s">
        <v>392</v>
      </c>
      <c r="D9" s="15" t="s">
        <v>393</v>
      </c>
    </row>
    <row r="10" customFormat="false" ht="23.85" hidden="false" customHeight="false" outlineLevel="0" collapsed="false">
      <c r="B10" s="11" t="n">
        <v>6</v>
      </c>
      <c r="C10" s="5" t="s">
        <v>394</v>
      </c>
      <c r="D10" s="15" t="s">
        <v>395</v>
      </c>
    </row>
    <row r="11" customFormat="false" ht="23.85" hidden="false" customHeight="false" outlineLevel="0" collapsed="false">
      <c r="B11" s="11" t="n">
        <v>7</v>
      </c>
      <c r="C11" s="5" t="s">
        <v>396</v>
      </c>
      <c r="D11" s="15" t="s">
        <v>397</v>
      </c>
    </row>
    <row r="12" customFormat="false" ht="15" hidden="false" customHeight="false" outlineLevel="0" collapsed="false">
      <c r="B12" s="11" t="n">
        <v>8</v>
      </c>
      <c r="C12" s="5" t="s">
        <v>398</v>
      </c>
      <c r="D12" s="15" t="s">
        <v>399</v>
      </c>
    </row>
    <row r="13" customFormat="false" ht="15" hidden="false" customHeight="false" outlineLevel="0" collapsed="false">
      <c r="B13" s="11" t="n">
        <v>9</v>
      </c>
      <c r="C13" s="5" t="s">
        <v>400</v>
      </c>
      <c r="D13" s="15" t="s">
        <v>401</v>
      </c>
    </row>
    <row r="14" customFormat="false" ht="23.85" hidden="false" customHeight="false" outlineLevel="0" collapsed="false">
      <c r="B14" s="11" t="n">
        <v>10</v>
      </c>
      <c r="C14" s="5" t="s">
        <v>402</v>
      </c>
      <c r="D14" s="15" t="s">
        <v>403</v>
      </c>
    </row>
    <row r="17" customFormat="false" ht="15" hidden="false" customHeight="false" outlineLevel="0" collapsed="false">
      <c r="B17" s="4" t="s">
        <v>57</v>
      </c>
    </row>
    <row r="18" customFormat="false" ht="15" hidden="false" customHeight="false" outlineLevel="0" collapsed="false">
      <c r="B18" s="3" t="s">
        <v>58</v>
      </c>
    </row>
    <row r="19" customFormat="false" ht="15" hidden="false" customHeight="false" outlineLevel="0" collapsed="false">
      <c r="B19" s="3" t="s">
        <v>59</v>
      </c>
    </row>
    <row r="20" customFormat="false" ht="15" hidden="false" customHeight="false" outlineLevel="0" collapsed="false">
      <c r="B20" s="3" t="s">
        <v>60</v>
      </c>
    </row>
    <row r="21" customFormat="false" ht="15" hidden="false" customHeight="false" outlineLevel="0" collapsed="false">
      <c r="B21" s="3" t="s">
        <v>61</v>
      </c>
    </row>
    <row r="22" customFormat="false" ht="15" hidden="false" customHeight="false" outlineLevel="0" collapsed="false">
      <c r="B22" s="3" t="s">
        <v>62</v>
      </c>
    </row>
    <row r="23" customFormat="false" ht="15" hidden="false" customHeight="false" outlineLevel="0" collapsed="false">
      <c r="B23" s="3" t="s">
        <v>63</v>
      </c>
    </row>
    <row r="24" customFormat="false" ht="15" hidden="false" customHeight="false" outlineLevel="0" collapsed="false">
      <c r="B24" s="3" t="s">
        <v>64</v>
      </c>
    </row>
    <row r="25" customFormat="false" ht="15" hidden="false" customHeight="false" outlineLevel="0" collapsed="false">
      <c r="B25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0"/>
  </cols>
  <sheetData>
    <row r="2" customFormat="false" ht="22.05" hidden="false" customHeight="false" outlineLevel="0" collapsed="false">
      <c r="B2" s="2" t="s">
        <v>404</v>
      </c>
    </row>
    <row r="4" customFormat="false" ht="15" hidden="false" customHeight="false" outlineLevel="0" collapsed="false">
      <c r="B4" s="14" t="s">
        <v>405</v>
      </c>
      <c r="C4" s="14" t="s">
        <v>406</v>
      </c>
      <c r="D4" s="14" t="s">
        <v>407</v>
      </c>
      <c r="E4" s="14" t="s">
        <v>408</v>
      </c>
      <c r="F4" s="14" t="s">
        <v>13</v>
      </c>
    </row>
    <row r="5" customFormat="false" ht="15" hidden="false" customHeight="false" outlineLevel="0" collapsed="false">
      <c r="B5" s="5" t="s">
        <v>409</v>
      </c>
      <c r="C5" s="11" t="s">
        <v>410</v>
      </c>
      <c r="D5" s="11" t="s">
        <v>411</v>
      </c>
      <c r="E5" s="11" t="s">
        <v>412</v>
      </c>
      <c r="F5" s="5" t="s">
        <v>413</v>
      </c>
    </row>
    <row r="6" customFormat="false" ht="15" hidden="false" customHeight="false" outlineLevel="0" collapsed="false">
      <c r="B6" s="5" t="s">
        <v>278</v>
      </c>
      <c r="C6" s="11" t="s">
        <v>279</v>
      </c>
      <c r="D6" s="11" t="s">
        <v>414</v>
      </c>
      <c r="E6" s="11" t="s">
        <v>415</v>
      </c>
      <c r="F6" s="5" t="s">
        <v>413</v>
      </c>
    </row>
    <row r="7" customFormat="false" ht="15" hidden="false" customHeight="false" outlineLevel="0" collapsed="false">
      <c r="B7" s="5" t="s">
        <v>280</v>
      </c>
      <c r="C7" s="11" t="s">
        <v>281</v>
      </c>
      <c r="D7" s="11" t="s">
        <v>416</v>
      </c>
      <c r="E7" s="11" t="s">
        <v>417</v>
      </c>
      <c r="F7" s="5" t="s">
        <v>413</v>
      </c>
    </row>
    <row r="8" customFormat="false" ht="15" hidden="false" customHeight="false" outlineLevel="0" collapsed="false">
      <c r="B8" s="5" t="s">
        <v>418</v>
      </c>
      <c r="C8" s="11" t="s">
        <v>419</v>
      </c>
      <c r="D8" s="11" t="s">
        <v>420</v>
      </c>
      <c r="E8" s="11" t="s">
        <v>421</v>
      </c>
      <c r="F8" s="5" t="s">
        <v>413</v>
      </c>
    </row>
    <row r="9" customFormat="false" ht="15" hidden="false" customHeight="false" outlineLevel="0" collapsed="false">
      <c r="B9" s="5" t="s">
        <v>422</v>
      </c>
      <c r="C9" s="11" t="s">
        <v>423</v>
      </c>
      <c r="D9" s="11" t="s">
        <v>424</v>
      </c>
      <c r="E9" s="11" t="s">
        <v>425</v>
      </c>
      <c r="F9" s="16" t="s">
        <v>426</v>
      </c>
    </row>
    <row r="12" customFormat="false" ht="15" hidden="false" customHeight="false" outlineLevel="0" collapsed="false">
      <c r="B12" s="4" t="s">
        <v>57</v>
      </c>
    </row>
    <row r="13" customFormat="false" ht="15" hidden="false" customHeight="false" outlineLevel="0" collapsed="false">
      <c r="B13" s="3" t="s">
        <v>58</v>
      </c>
    </row>
    <row r="14" customFormat="false" ht="15" hidden="false" customHeight="false" outlineLevel="0" collapsed="false">
      <c r="B14" s="3" t="s">
        <v>59</v>
      </c>
    </row>
    <row r="15" customFormat="false" ht="15" hidden="false" customHeight="false" outlineLevel="0" collapsed="false">
      <c r="B15" s="3" t="s">
        <v>60</v>
      </c>
    </row>
    <row r="16" customFormat="false" ht="15" hidden="false" customHeight="false" outlineLevel="0" collapsed="false">
      <c r="B16" s="3" t="s">
        <v>61</v>
      </c>
    </row>
    <row r="17" customFormat="false" ht="15" hidden="false" customHeight="false" outlineLevel="0" collapsed="false">
      <c r="B17" s="3" t="s">
        <v>62</v>
      </c>
    </row>
    <row r="18" customFormat="false" ht="15" hidden="false" customHeight="false" outlineLevel="0" collapsed="false">
      <c r="B18" s="3" t="s">
        <v>63</v>
      </c>
    </row>
    <row r="19" customFormat="false" ht="15" hidden="false" customHeight="false" outlineLevel="0" collapsed="false">
      <c r="B19" s="3" t="s">
        <v>64</v>
      </c>
    </row>
    <row r="20" customFormat="false" ht="15" hidden="false" customHeight="false" outlineLevel="0" collapsed="false">
      <c r="B20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6" min="5" style="1" width="10"/>
  </cols>
  <sheetData>
    <row r="2" customFormat="false" ht="22.05" hidden="false" customHeight="false" outlineLevel="0" collapsed="false">
      <c r="B2" s="2" t="s">
        <v>427</v>
      </c>
    </row>
    <row r="4" customFormat="false" ht="15" hidden="false" customHeight="false" outlineLevel="0" collapsed="false">
      <c r="B4" s="14" t="s">
        <v>428</v>
      </c>
      <c r="C4" s="14" t="s">
        <v>429</v>
      </c>
      <c r="D4" s="14" t="s">
        <v>30</v>
      </c>
      <c r="E4" s="14" t="s">
        <v>430</v>
      </c>
      <c r="F4" s="14" t="s">
        <v>13</v>
      </c>
    </row>
    <row r="5" customFormat="false" ht="15" hidden="false" customHeight="false" outlineLevel="0" collapsed="false">
      <c r="B5" s="5" t="s">
        <v>431</v>
      </c>
      <c r="C5" s="11" t="s">
        <v>19</v>
      </c>
      <c r="D5" s="11" t="s">
        <v>19</v>
      </c>
      <c r="E5" s="11" t="s">
        <v>432</v>
      </c>
      <c r="F5" s="17" t="s">
        <v>433</v>
      </c>
    </row>
    <row r="6" customFormat="false" ht="15" hidden="false" customHeight="false" outlineLevel="0" collapsed="false">
      <c r="B6" s="5" t="s">
        <v>434</v>
      </c>
      <c r="C6" s="11" t="s">
        <v>19</v>
      </c>
      <c r="D6" s="11" t="s">
        <v>320</v>
      </c>
      <c r="E6" s="11" t="s">
        <v>432</v>
      </c>
      <c r="F6" s="16" t="s">
        <v>413</v>
      </c>
    </row>
    <row r="7" customFormat="false" ht="15" hidden="false" customHeight="false" outlineLevel="0" collapsed="false">
      <c r="B7" s="5" t="s">
        <v>435</v>
      </c>
      <c r="C7" s="11" t="s">
        <v>21</v>
      </c>
      <c r="D7" s="11" t="s">
        <v>21</v>
      </c>
      <c r="E7" s="11" t="s">
        <v>432</v>
      </c>
      <c r="F7" s="17" t="s">
        <v>433</v>
      </c>
    </row>
    <row r="8" customFormat="false" ht="15" hidden="false" customHeight="false" outlineLevel="0" collapsed="false">
      <c r="B8" s="5" t="s">
        <v>436</v>
      </c>
      <c r="C8" s="11" t="n">
        <v>58</v>
      </c>
      <c r="D8" s="11" t="n">
        <v>58</v>
      </c>
      <c r="E8" s="11" t="s">
        <v>432</v>
      </c>
      <c r="F8" s="17" t="s">
        <v>433</v>
      </c>
    </row>
    <row r="9" customFormat="false" ht="15" hidden="false" customHeight="false" outlineLevel="0" collapsed="false">
      <c r="B9" s="5" t="s">
        <v>437</v>
      </c>
      <c r="C9" s="11" t="s">
        <v>438</v>
      </c>
      <c r="D9" s="11" t="n">
        <v>23</v>
      </c>
      <c r="E9" s="11" t="s">
        <v>432</v>
      </c>
      <c r="F9" s="16" t="s">
        <v>413</v>
      </c>
    </row>
    <row r="12" customFormat="false" ht="15" hidden="false" customHeight="false" outlineLevel="0" collapsed="false">
      <c r="B12" s="4" t="s">
        <v>57</v>
      </c>
    </row>
    <row r="13" customFormat="false" ht="15" hidden="false" customHeight="false" outlineLevel="0" collapsed="false">
      <c r="B13" s="3" t="s">
        <v>58</v>
      </c>
    </row>
    <row r="14" customFormat="false" ht="15" hidden="false" customHeight="false" outlineLevel="0" collapsed="false">
      <c r="B14" s="3" t="s">
        <v>59</v>
      </c>
    </row>
    <row r="15" customFormat="false" ht="15" hidden="false" customHeight="false" outlineLevel="0" collapsed="false">
      <c r="B15" s="3" t="s">
        <v>60</v>
      </c>
    </row>
    <row r="16" customFormat="false" ht="15" hidden="false" customHeight="false" outlineLevel="0" collapsed="false">
      <c r="B16" s="3" t="s">
        <v>61</v>
      </c>
    </row>
    <row r="17" customFormat="false" ht="15" hidden="false" customHeight="false" outlineLevel="0" collapsed="false">
      <c r="B17" s="3" t="s">
        <v>62</v>
      </c>
    </row>
    <row r="18" customFormat="false" ht="15" hidden="false" customHeight="false" outlineLevel="0" collapsed="false">
      <c r="B18" s="3" t="s">
        <v>63</v>
      </c>
    </row>
    <row r="19" customFormat="false" ht="15" hidden="false" customHeight="false" outlineLevel="0" collapsed="false">
      <c r="B19" s="3" t="s">
        <v>64</v>
      </c>
    </row>
    <row r="20" customFormat="false" ht="15" hidden="false" customHeight="false" outlineLevel="0" collapsed="false">
      <c r="B20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30"/>
  </cols>
  <sheetData>
    <row r="2" customFormat="false" ht="22.05" hidden="false" customHeight="false" outlineLevel="0" collapsed="false">
      <c r="B2" s="2" t="s">
        <v>439</v>
      </c>
    </row>
    <row r="4" customFormat="false" ht="15" hidden="false" customHeight="false" outlineLevel="0" collapsed="false">
      <c r="B4" s="14" t="s">
        <v>290</v>
      </c>
      <c r="C4" s="14" t="s">
        <v>144</v>
      </c>
      <c r="D4" s="14" t="s">
        <v>145</v>
      </c>
      <c r="E4" s="14" t="s">
        <v>146</v>
      </c>
      <c r="F4" s="14" t="s">
        <v>147</v>
      </c>
      <c r="G4" s="14" t="s">
        <v>440</v>
      </c>
    </row>
    <row r="5" customFormat="false" ht="15" hidden="false" customHeight="false" outlineLevel="0" collapsed="false">
      <c r="B5" s="11" t="n">
        <v>1</v>
      </c>
      <c r="C5" s="11" t="s">
        <v>148</v>
      </c>
      <c r="D5" s="11" t="n">
        <v>223</v>
      </c>
      <c r="E5" s="11" t="n">
        <v>381559</v>
      </c>
      <c r="F5" s="11" t="s">
        <v>291</v>
      </c>
      <c r="G5" s="3" t="s">
        <v>441</v>
      </c>
    </row>
    <row r="6" customFormat="false" ht="15" hidden="false" customHeight="false" outlineLevel="0" collapsed="false">
      <c r="B6" s="11" t="n">
        <v>2</v>
      </c>
      <c r="C6" s="11" t="s">
        <v>149</v>
      </c>
      <c r="D6" s="11" t="n">
        <v>62</v>
      </c>
      <c r="E6" s="11" t="n">
        <v>223734</v>
      </c>
      <c r="F6" s="11" t="s">
        <v>293</v>
      </c>
      <c r="G6" s="3" t="s">
        <v>442</v>
      </c>
    </row>
    <row r="7" customFormat="false" ht="15" hidden="false" customHeight="false" outlineLevel="0" collapsed="false">
      <c r="B7" s="11" t="n">
        <v>3</v>
      </c>
      <c r="C7" s="11" t="s">
        <v>150</v>
      </c>
      <c r="D7" s="11" t="n">
        <v>55</v>
      </c>
      <c r="E7" s="11" t="n">
        <v>88009</v>
      </c>
      <c r="F7" s="11" t="s">
        <v>294</v>
      </c>
      <c r="G7" s="3" t="s">
        <v>443</v>
      </c>
    </row>
    <row r="8" customFormat="false" ht="15" hidden="false" customHeight="false" outlineLevel="0" collapsed="false">
      <c r="B8" s="11" t="n">
        <v>4</v>
      </c>
      <c r="C8" s="11" t="s">
        <v>151</v>
      </c>
      <c r="D8" s="11" t="n">
        <v>2</v>
      </c>
      <c r="E8" s="11" t="n">
        <v>75297</v>
      </c>
      <c r="F8" s="11" t="s">
        <v>295</v>
      </c>
      <c r="G8" s="3"/>
    </row>
    <row r="9" customFormat="false" ht="15" hidden="false" customHeight="false" outlineLevel="0" collapsed="false">
      <c r="B9" s="11" t="n">
        <v>5</v>
      </c>
      <c r="C9" s="11" t="s">
        <v>152</v>
      </c>
      <c r="D9" s="11" t="n">
        <v>15</v>
      </c>
      <c r="E9" s="11" t="n">
        <v>69481</v>
      </c>
      <c r="F9" s="11" t="s">
        <v>296</v>
      </c>
      <c r="G9" s="3" t="s">
        <v>444</v>
      </c>
    </row>
    <row r="10" customFormat="false" ht="15" hidden="false" customHeight="false" outlineLevel="0" collapsed="false">
      <c r="B10" s="11" t="n">
        <v>6</v>
      </c>
      <c r="C10" s="11" t="s">
        <v>153</v>
      </c>
      <c r="D10" s="11" t="n">
        <v>5</v>
      </c>
      <c r="E10" s="11" t="n">
        <v>45601</v>
      </c>
      <c r="F10" s="11" t="s">
        <v>297</v>
      </c>
      <c r="G10" s="3"/>
    </row>
    <row r="11" customFormat="false" ht="15" hidden="false" customHeight="false" outlineLevel="0" collapsed="false">
      <c r="B11" s="11" t="n">
        <v>7</v>
      </c>
      <c r="C11" s="11" t="s">
        <v>154</v>
      </c>
      <c r="D11" s="11" t="n">
        <v>26</v>
      </c>
      <c r="E11" s="11" t="n">
        <v>36697</v>
      </c>
      <c r="F11" s="11" t="s">
        <v>299</v>
      </c>
      <c r="G11" s="3" t="s">
        <v>445</v>
      </c>
    </row>
    <row r="12" customFormat="false" ht="15" hidden="false" customHeight="false" outlineLevel="0" collapsed="false">
      <c r="B12" s="11" t="n">
        <v>8</v>
      </c>
      <c r="C12" s="11" t="s">
        <v>155</v>
      </c>
      <c r="D12" s="11" t="n">
        <v>42</v>
      </c>
      <c r="E12" s="11" t="n">
        <v>27600</v>
      </c>
      <c r="F12" s="11" t="s">
        <v>300</v>
      </c>
      <c r="G12" s="3"/>
    </row>
    <row r="13" customFormat="false" ht="15" hidden="false" customHeight="false" outlineLevel="0" collapsed="false">
      <c r="B13" s="11" t="n">
        <v>9</v>
      </c>
      <c r="C13" s="11" t="s">
        <v>156</v>
      </c>
      <c r="D13" s="11" t="n">
        <v>2</v>
      </c>
      <c r="E13" s="11" t="n">
        <v>15782</v>
      </c>
      <c r="F13" s="11" t="s">
        <v>301</v>
      </c>
      <c r="G13" s="3"/>
    </row>
    <row r="14" customFormat="false" ht="15" hidden="false" customHeight="false" outlineLevel="0" collapsed="false">
      <c r="B14" s="11" t="n">
        <v>10</v>
      </c>
      <c r="C14" s="11" t="s">
        <v>157</v>
      </c>
      <c r="D14" s="11" t="n">
        <v>20</v>
      </c>
      <c r="E14" s="11" t="n">
        <v>12079</v>
      </c>
      <c r="F14" s="11" t="s">
        <v>302</v>
      </c>
      <c r="G14" s="3"/>
    </row>
    <row r="15" customFormat="false" ht="15" hidden="false" customHeight="false" outlineLevel="0" collapsed="false">
      <c r="B15" s="11" t="n">
        <v>11</v>
      </c>
      <c r="C15" s="11" t="s">
        <v>158</v>
      </c>
      <c r="D15" s="11" t="n">
        <v>1</v>
      </c>
      <c r="E15" s="11" t="n">
        <v>8250</v>
      </c>
      <c r="F15" s="11" t="s">
        <v>303</v>
      </c>
      <c r="G15" s="3"/>
    </row>
    <row r="16" customFormat="false" ht="15" hidden="false" customHeight="false" outlineLevel="0" collapsed="false">
      <c r="B16" s="11" t="n">
        <v>12</v>
      </c>
      <c r="C16" s="11" t="s">
        <v>159</v>
      </c>
      <c r="D16" s="11" t="n">
        <v>5</v>
      </c>
      <c r="E16" s="11" t="n">
        <v>5338</v>
      </c>
      <c r="F16" s="11" t="s">
        <v>305</v>
      </c>
      <c r="G16" s="3"/>
    </row>
    <row r="17" customFormat="false" ht="15" hidden="false" customHeight="false" outlineLevel="0" collapsed="false">
      <c r="B17" s="11" t="n">
        <v>13</v>
      </c>
      <c r="C17" s="11" t="s">
        <v>160</v>
      </c>
      <c r="D17" s="11" t="n">
        <v>2</v>
      </c>
      <c r="E17" s="11" t="n">
        <v>4290</v>
      </c>
      <c r="F17" s="11" t="s">
        <v>306</v>
      </c>
      <c r="G17" s="3"/>
    </row>
    <row r="18" customFormat="false" ht="15" hidden="false" customHeight="false" outlineLevel="0" collapsed="false">
      <c r="B18" s="11" t="n">
        <v>14</v>
      </c>
      <c r="C18" s="11" t="s">
        <v>161</v>
      </c>
      <c r="D18" s="11" t="n">
        <v>1</v>
      </c>
      <c r="E18" s="11" t="n">
        <v>3050</v>
      </c>
      <c r="F18" s="11" t="s">
        <v>307</v>
      </c>
      <c r="G18" s="3"/>
    </row>
    <row r="19" customFormat="false" ht="15" hidden="false" customHeight="false" outlineLevel="0" collapsed="false">
      <c r="B19" s="11" t="n">
        <v>15</v>
      </c>
      <c r="C19" s="11" t="s">
        <v>162</v>
      </c>
      <c r="D19" s="11" t="n">
        <v>1</v>
      </c>
      <c r="E19" s="11" t="n">
        <v>2594</v>
      </c>
      <c r="F19" s="11" t="s">
        <v>307</v>
      </c>
      <c r="G19" s="3"/>
    </row>
    <row r="20" customFormat="false" ht="15" hidden="false" customHeight="false" outlineLevel="0" collapsed="false">
      <c r="B20" s="11" t="n">
        <v>16</v>
      </c>
      <c r="C20" s="11" t="s">
        <v>163</v>
      </c>
      <c r="D20" s="11" t="n">
        <v>5</v>
      </c>
      <c r="E20" s="11" t="n">
        <v>2139</v>
      </c>
      <c r="F20" s="11" t="s">
        <v>308</v>
      </c>
      <c r="G20" s="3"/>
    </row>
    <row r="21" customFormat="false" ht="15" hidden="false" customHeight="false" outlineLevel="0" collapsed="false">
      <c r="B21" s="11" t="n">
        <v>17</v>
      </c>
      <c r="C21" s="11" t="s">
        <v>164</v>
      </c>
      <c r="D21" s="11" t="n">
        <v>5</v>
      </c>
      <c r="E21" s="11" t="n">
        <v>2071</v>
      </c>
      <c r="F21" s="11" t="s">
        <v>308</v>
      </c>
      <c r="G21" s="3"/>
    </row>
    <row r="22" customFormat="false" ht="15" hidden="false" customHeight="false" outlineLevel="0" collapsed="false">
      <c r="B22" s="11" t="n">
        <v>18</v>
      </c>
      <c r="C22" s="11" t="s">
        <v>165</v>
      </c>
      <c r="D22" s="11" t="n">
        <v>1</v>
      </c>
      <c r="E22" s="11" t="n">
        <v>1525</v>
      </c>
      <c r="F22" s="11" t="s">
        <v>308</v>
      </c>
      <c r="G22" s="3"/>
    </row>
    <row r="23" customFormat="false" ht="15" hidden="false" customHeight="false" outlineLevel="0" collapsed="false">
      <c r="B23" s="11" t="n">
        <v>19</v>
      </c>
      <c r="C23" s="11" t="s">
        <v>166</v>
      </c>
      <c r="D23" s="11" t="n">
        <v>6</v>
      </c>
      <c r="E23" s="11" t="n">
        <v>901</v>
      </c>
      <c r="F23" s="11" t="s">
        <v>309</v>
      </c>
      <c r="G23" s="3"/>
    </row>
    <row r="24" customFormat="false" ht="15" hidden="false" customHeight="false" outlineLevel="0" collapsed="false">
      <c r="B24" s="11" t="n">
        <v>20</v>
      </c>
      <c r="C24" s="11" t="s">
        <v>167</v>
      </c>
      <c r="D24" s="11" t="n">
        <v>3</v>
      </c>
      <c r="E24" s="11" t="n">
        <v>853</v>
      </c>
      <c r="F24" s="11" t="s">
        <v>309</v>
      </c>
      <c r="G24" s="3"/>
    </row>
    <row r="25" customFormat="false" ht="15" hidden="false" customHeight="false" outlineLevel="0" collapsed="false">
      <c r="B25" s="11" t="n">
        <v>21</v>
      </c>
      <c r="C25" s="11" t="s">
        <v>168</v>
      </c>
      <c r="D25" s="11" t="n">
        <v>1</v>
      </c>
      <c r="E25" s="11" t="n">
        <v>280</v>
      </c>
      <c r="F25" s="11" t="s">
        <v>276</v>
      </c>
      <c r="G25" s="3"/>
    </row>
    <row r="26" customFormat="false" ht="15" hidden="false" customHeight="false" outlineLevel="0" collapsed="false">
      <c r="B26" s="11" t="n">
        <v>22</v>
      </c>
      <c r="C26" s="11" t="s">
        <v>169</v>
      </c>
      <c r="D26" s="11" t="n">
        <v>1</v>
      </c>
      <c r="E26" s="11" t="n">
        <v>126</v>
      </c>
      <c r="F26" s="11" t="s">
        <v>276</v>
      </c>
      <c r="G26" s="3"/>
    </row>
    <row r="27" customFormat="false" ht="15" hidden="false" customHeight="false" outlineLevel="0" collapsed="false">
      <c r="B27" s="11" t="n">
        <v>23</v>
      </c>
      <c r="C27" s="11" t="s">
        <v>170</v>
      </c>
      <c r="D27" s="11" t="n">
        <v>1</v>
      </c>
      <c r="E27" s="11" t="n">
        <v>16</v>
      </c>
      <c r="F27" s="11" t="s">
        <v>276</v>
      </c>
      <c r="G27" s="3"/>
    </row>
    <row r="30" customFormat="false" ht="15" hidden="false" customHeight="false" outlineLevel="0" collapsed="false">
      <c r="B30" s="4" t="s">
        <v>57</v>
      </c>
    </row>
    <row r="31" customFormat="false" ht="15" hidden="false" customHeight="false" outlineLevel="0" collapsed="false">
      <c r="B31" s="3" t="s">
        <v>58</v>
      </c>
    </row>
    <row r="32" customFormat="false" ht="15" hidden="false" customHeight="false" outlineLevel="0" collapsed="false">
      <c r="B32" s="3" t="s">
        <v>59</v>
      </c>
    </row>
    <row r="33" customFormat="false" ht="15" hidden="false" customHeight="false" outlineLevel="0" collapsed="false">
      <c r="B33" s="3" t="s">
        <v>60</v>
      </c>
    </row>
    <row r="34" customFormat="false" ht="15" hidden="false" customHeight="false" outlineLevel="0" collapsed="false">
      <c r="B34" s="3" t="s">
        <v>61</v>
      </c>
    </row>
    <row r="35" customFormat="false" ht="15" hidden="false" customHeight="false" outlineLevel="0" collapsed="false">
      <c r="B35" s="3" t="s">
        <v>62</v>
      </c>
    </row>
    <row r="36" customFormat="false" ht="15" hidden="false" customHeight="false" outlineLevel="0" collapsed="false">
      <c r="B36" s="3" t="s">
        <v>63</v>
      </c>
    </row>
    <row r="37" customFormat="false" ht="15" hidden="false" customHeight="false" outlineLevel="0" collapsed="false">
      <c r="B37" s="3" t="s">
        <v>64</v>
      </c>
    </row>
    <row r="38" customFormat="false" ht="15" hidden="false" customHeight="false" outlineLevel="0" collapsed="false">
      <c r="B38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2026-04-27T21:53:30Z</dcterms:created>
  <dc:creator>openpyxl</dc:creator>
  <dc:description/>
  <dc:language>en-US</dc:language>
  <cp:lastModifiedBy/>
  <dcterms:modified xsi:type="dcterms:W3CDTF">2026-04-27T21:53:30Z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