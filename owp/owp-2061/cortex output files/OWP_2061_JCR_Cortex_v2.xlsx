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1 Overview" sheetId="1" state="visible" r:id="rId3"/>
    <sheet name="02 Job Info" sheetId="2" state="visible" r:id="rId4"/>
    <sheet name="03 Contract" sheetId="3" state="visible" r:id="rId5"/>
    <sheet name="04 SOV-PayApps" sheetId="4" state="visible" r:id="rId6"/>
    <sheet name="05 Change Orders" sheetId="5" state="visible" r:id="rId7"/>
    <sheet name="06 Cost Codes" sheetId="6" state="visible" r:id="rId8"/>
    <sheet name="07 Cost Categories" sheetId="7" state="visible" r:id="rId9"/>
    <sheet name="08 BVA" sheetId="8" state="visible" r:id="rId10"/>
    <sheet name="09 Vendor Analysis" sheetId="9" state="visible" r:id="rId11"/>
    <sheet name="10 Crew Roster" sheetId="10" state="visible" r:id="rId12"/>
    <sheet name="11 Wage Tiers" sheetId="11" state="visible" r:id="rId13"/>
    <sheet name="12 Productivity" sheetId="12" state="visible" r:id="rId14"/>
    <sheet name="13 Benchmarks" sheetId="13" state="visible" r:id="rId15"/>
    <sheet name="14 Predictive Signals" sheetId="14" state="visible" r:id="rId16"/>
    <sheet name="15 Reconciliation" sheetId="15" state="visible" r:id="rId17"/>
    <sheet name="16 Metric Registry" sheetId="16" state="visible" r:id="rId18"/>
    <sheet name="17 Change Log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<sst xmlns="http://schemas.openxmlformats.org/spreadsheetml/2006/main" count="915" uniqueCount="667">
  <si>
    <t xml:space="preserve">OWP #2061 · Alta Columbia City</t>
  </si>
  <si>
    <t xml:space="preserve">Exxel Pacific · 243 units · CLOSED</t>
  </si>
  <si>
    <t xml:space="preserve">Forecast at Completion (Revised Basis)</t>
  </si>
  <si>
    <t xml:space="preserve">Revised contract value</t>
  </si>
  <si>
    <t xml:space="preserve">Revised budget (expenses)</t>
  </si>
  <si>
    <t xml:space="preserve">Forecast net profit</t>
  </si>
  <si>
    <t xml:space="preserve">Forecast margin</t>
  </si>
  <si>
    <t xml:space="preserve">Progress to Date</t>
  </si>
  <si>
    <t xml:space="preserve">Work complete (billed)</t>
  </si>
  <si>
    <t xml:space="preserve">Retention held</t>
  </si>
  <si>
    <t xml:space="preserve">Earned less retention</t>
  </si>
  <si>
    <t xml:space="preserve">Balance to finish</t>
  </si>
  <si>
    <t xml:space="preserve">Percent complete</t>
  </si>
  <si>
    <t xml:space="preserve">Transaction Totals by Source</t>
  </si>
  <si>
    <t xml:space="preserve">Source</t>
  </si>
  <si>
    <t xml:space="preserve">Dollars</t>
  </si>
  <si>
    <t xml:space="preserve">GL</t>
  </si>
  <si>
    <t xml:space="preserve">AP</t>
  </si>
  <si>
    <t xml:space="preserve">PR</t>
  </si>
  <si>
    <t xml:space="preserve">AR</t>
  </si>
  <si>
    <t xml:space="preserve">PROJECT TEAM · KEY PLAYERS</t>
  </si>
  <si>
    <t xml:space="preserve">Closed Jun 2019 → May 2022 · 41.4% margin · retention released 2022-06-23. Key players from executed subcontract (L1.220000) + GDrive Job Book.</t>
  </si>
  <si>
    <t xml:space="preserve">ROLE</t>
  </si>
  <si>
    <t xml:space="preserve">VALUE</t>
  </si>
  <si>
    <t xml:space="preserve">General Contractor</t>
  </si>
  <si>
    <t xml:space="preserve">Exxel Pacific</t>
  </si>
  <si>
    <t xml:space="preserve">GC Project Manager</t>
  </si>
  <si>
    <t xml:space="preserve">Brian Christensen</t>
  </si>
  <si>
    <t xml:space="preserve">OWP Estimator (PM)</t>
  </si>
  <si>
    <t xml:space="preserve">Richard Donelson</t>
  </si>
  <si>
    <t xml:space="preserve">OWP Signatory</t>
  </si>
  <si>
    <t xml:space="preserve">Richard Donelson (PM/Estimator · richd@owpllc.net · 425-591-4296)</t>
  </si>
  <si>
    <t xml:space="preserve">Owner of Record</t>
  </si>
  <si>
    <t xml:space="preserve">Gateway Alta Rainer Owner, LLC</t>
  </si>
  <si>
    <t xml:space="preserve">Developer</t>
  </si>
  <si>
    <t xml:space="preserve">Gateway / Alta (per ownership entity)</t>
  </si>
  <si>
    <t xml:space="preserve">Architect</t>
  </si>
  <si>
    <t xml:space="preserve">Johnston Architects, PLLC</t>
  </si>
  <si>
    <t xml:space="preserve">Interior Designer</t>
  </si>
  <si>
    <t xml:space="preserve">VIDA Architecture/Design (per RFI 116 'VIDA RESPONSE')</t>
  </si>
  <si>
    <t xml:space="preserve">MEP / Plumbing Engineer</t>
  </si>
  <si>
    <t xml:space="preserve">Franklin Engineering (3rd-party plumbing engineer — per executed subcontract §A.1.2)</t>
  </si>
  <si>
    <t xml:space="preserve">Site Address</t>
  </si>
  <si>
    <t xml:space="preserve">3717 South Alaska Street, Seattle, WA 98118 (Columbia City)</t>
  </si>
  <si>
    <t xml:space="preserve">Insurance</t>
  </si>
  <si>
    <t xml:space="preserve">OCIP (Wrap-up) — Exxel-administered (Attachment J - OCIP Manual 5.29.19)</t>
  </si>
  <si>
    <t xml:space="preserve">Subcontract</t>
  </si>
  <si>
    <t xml:space="preserve">L1.220000 · executed 2019-08-08</t>
  </si>
  <si>
    <t xml:space="preserve">Status</t>
  </si>
  <si>
    <t xml:space="preserve">CLOSED · 41.4% margin</t>
  </si>
  <si>
    <t xml:space="preserve">Original Contract</t>
  </si>
  <si>
    <t xml:space="preserve">$4,305,550</t>
  </si>
  <si>
    <t xml:space="preserve">Final Contract</t>
  </si>
  <si>
    <t xml:space="preserve">$4,430,088</t>
  </si>
  <si>
    <t xml:space="preserve">Net Profit</t>
  </si>
  <si>
    <t xml:space="preserve">$1,832,588 (41.4% margin)</t>
  </si>
  <si>
    <t xml:space="preserve">Retention Released</t>
  </si>
  <si>
    <t xml:space="preserve">$221,504 on 2022-06-23</t>
  </si>
  <si>
    <t xml:space="preserve">Workers / Hours</t>
  </si>
  <si>
    <t xml:space="preserve">58 workers · 28,516 hrs</t>
  </si>
  <si>
    <t xml:space="preserve">JOB #2061 · ALTA COLUMBIA CITY · KEY PLAYERS &amp; METADATA</t>
  </si>
  <si>
    <t xml:space="preserve">Closed-out project · Jun 2019 → May 2022. Team data sourced from executed subcontract (Alta Columbia City - L1.220000), GDrive Job Book (/Job Books - Completed Jobs/2061-Exxel, Columbia City/), Plumbing Fixture Schedule (Plans/Columbia City Front Sheet.xlsx), and Sage JDR (2061 Job Detail Report.pdf · Apr 3 2026 run).</t>
  </si>
  <si>
    <t xml:space="preserve">IDENTITY</t>
  </si>
  <si>
    <t xml:space="preserve">Job Number</t>
  </si>
  <si>
    <t xml:space="preserve">2061</t>
  </si>
  <si>
    <t xml:space="preserve">Job Name</t>
  </si>
  <si>
    <t xml:space="preserve">Alta Columbia City</t>
  </si>
  <si>
    <t xml:space="preserve">Short Name</t>
  </si>
  <si>
    <t xml:space="preserve">Alta CC</t>
  </si>
  <si>
    <t xml:space="preserve">Project Type</t>
  </si>
  <si>
    <t xml:space="preserve">243-unit mixed-use multifamily + 6 retail spaces · 7-story + below-grade</t>
  </si>
  <si>
    <t xml:space="preserve">Permit</t>
  </si>
  <si>
    <t xml:space="preserve">City of Seattle Plumbing Permit (Plan Review 2019-09-26 · final 2022-03-22) + Backflow + Gas permits</t>
  </si>
  <si>
    <t xml:space="preserve">Subcontract Number</t>
  </si>
  <si>
    <t xml:space="preserve">L1.220000</t>
  </si>
  <si>
    <t xml:space="preserve">Exxel Project Number</t>
  </si>
  <si>
    <t xml:space="preserve">201904</t>
  </si>
  <si>
    <t xml:space="preserve">Scope of Work</t>
  </si>
  <si>
    <t xml:space="preserve">Design Build Plumbing Systems</t>
  </si>
  <si>
    <t xml:space="preserve">SCHEDULE</t>
  </si>
  <si>
    <t xml:space="preserve">Project Start</t>
  </si>
  <si>
    <t xml:space="preserve">Jun 2019</t>
  </si>
  <si>
    <t xml:space="preserve">Project End</t>
  </si>
  <si>
    <t xml:space="preserve">May 2022</t>
  </si>
  <si>
    <t xml:space="preserve">Duration</t>
  </si>
  <si>
    <t xml:space="preserve">35 months</t>
  </si>
  <si>
    <t xml:space="preserve">Schedule Note</t>
  </si>
  <si>
    <t xml:space="preserve">Jun 2019 → May 2022 (~35 months)</t>
  </si>
  <si>
    <t xml:space="preserve">Notice of Completion</t>
  </si>
  <si>
    <t xml:space="preserve">On file (Notice of Work Completion - Columbia City.pdf)</t>
  </si>
  <si>
    <t xml:space="preserve">CONTRACT &amp; FINANCIALS</t>
  </si>
  <si>
    <t xml:space="preserve">Net Change Orders</t>
  </si>
  <si>
    <t xml:space="preserve">$124,538 (+2.9%)</t>
  </si>
  <si>
    <t xml:space="preserve">AR Billed (Revenue)</t>
  </si>
  <si>
    <t xml:space="preserve">Direct Cost</t>
  </si>
  <si>
    <t xml:space="preserve">$2,597,500</t>
  </si>
  <si>
    <t xml:space="preserve">$1,832,588</t>
  </si>
  <si>
    <t xml:space="preserve">Gross Margin</t>
  </si>
  <si>
    <t xml:space="preserve">41.4%</t>
  </si>
  <si>
    <t xml:space="preserve">Cost as % of Revenue</t>
  </si>
  <si>
    <t xml:space="preserve">58.6%</t>
  </si>
  <si>
    <t xml:space="preserve">$221,504 on 2022-06-23 (per Billing folder receipt)</t>
  </si>
  <si>
    <t xml:space="preserve">Lien Position</t>
  </si>
  <si>
    <t xml:space="preserve">Standard subcontract — retention released 2022-06-23</t>
  </si>
  <si>
    <t xml:space="preserve">Warranty</t>
  </si>
  <si>
    <t xml:space="preserve">1-yr standard plumbing (per O&amp;M's folder · 65 close-out documents)</t>
  </si>
  <si>
    <t xml:space="preserve">Contract on File</t>
  </si>
  <si>
    <t xml:space="preserve">L1.220000 · executed 2019-08-08 · AGC Washington 2009 Form (modified) · $4,305,550 lump sum</t>
  </si>
  <si>
    <t xml:space="preserve">SCOPE &amp; FIXTURE PROFILE</t>
  </si>
  <si>
    <t xml:space="preserve">Plumbing Units</t>
  </si>
  <si>
    <t xml:space="preserve">243 units ✓ CONFIRMED via Job Ticket 12/01/2020</t>
  </si>
  <si>
    <t xml:space="preserve">Retail Spaces</t>
  </si>
  <si>
    <t xml:space="preserve">6 retail bays at L1</t>
  </si>
  <si>
    <t xml:space="preserve">Total Fixtures</t>
  </si>
  <si>
    <t xml:space="preserve">1,093 trim fixtures (toilets/lavs/tubs/showers/kitchen sinks + 4 specialty) = 4.50 fixtures/unit. Grand total 3,693 including roughins/metering/drains/valves.</t>
  </si>
  <si>
    <t xml:space="preserve">Floors</t>
  </si>
  <si>
    <t xml:space="preserve">P3/P2/P1 below-grade garage + L1 retail/lobby + L2-L7 residential + Roof penthouse</t>
  </si>
  <si>
    <t xml:space="preserve">Building Type</t>
  </si>
  <si>
    <t xml:space="preserve">7-story wood-frame over concrete podium</t>
  </si>
  <si>
    <t xml:space="preserve">Pavilion / Skylounge</t>
  </si>
  <si>
    <t xml:space="preserve">Yes — Level 7 amenity (with BBQs + firepits per Gas Pressure Regulator schedule)</t>
  </si>
  <si>
    <t xml:space="preserve">PROJECT TEAM — GENERAL CONTRACTOR (Exxel Pacific)</t>
  </si>
  <si>
    <t xml:space="preserve">GC Address</t>
  </si>
  <si>
    <t xml:space="preserve">323 Telegraph Road, Bellingham, WA 98226 · (360) 734-2872</t>
  </si>
  <si>
    <t xml:space="preserve">GC Superintendent</t>
  </si>
  <si>
    <t xml:space="preserve">TBD (per Job Tickets — to be enriched)</t>
  </si>
  <si>
    <t xml:space="preserve">GC Project Engineer</t>
  </si>
  <si>
    <t xml:space="preserve">TBD</t>
  </si>
  <si>
    <t xml:space="preserve">GC Signatory</t>
  </si>
  <si>
    <t xml:space="preserve">TBD (Exxel — see executed subcontract)</t>
  </si>
  <si>
    <t xml:space="preserve">PROJECT TEAM — OWP STAFF</t>
  </si>
  <si>
    <t xml:space="preserve">OWP Roughin Foreman</t>
  </si>
  <si>
    <t xml:space="preserve">OWP Trim Foreman</t>
  </si>
  <si>
    <t xml:space="preserve">Total Workers Logged</t>
  </si>
  <si>
    <t xml:space="preserve">PROJECT TEAM — OWNER &amp; DEVELOPMENT</t>
  </si>
  <si>
    <t xml:space="preserve">PROJECT TEAM — DESIGN</t>
  </si>
  <si>
    <t xml:space="preserve">Structural Engineer</t>
  </si>
  <si>
    <t xml:space="preserve">TBD (likely Coughlin Porter Lundeen — per RFI 044/124 'CPL Response')</t>
  </si>
  <si>
    <t xml:space="preserve">Civil Engineer</t>
  </si>
  <si>
    <t xml:space="preserve">TBD (likely CPL Civil — per ASI 022 'Landscape and Civil')</t>
  </si>
  <si>
    <t xml:space="preserve">Landscape Architect</t>
  </si>
  <si>
    <t xml:space="preserve">TBD (per ASI 022)</t>
  </si>
  <si>
    <t xml:space="preserve">DOCUMENT META (final close-out counts)</t>
  </si>
  <si>
    <t xml:space="preserve">RFIs</t>
  </si>
  <si>
    <t xml:space="preserve">39 distinct (highest = RFI 382)</t>
  </si>
  <si>
    <t xml:space="preserve">ASIs</t>
  </si>
  <si>
    <t xml:space="preserve">26 distinct (highest = ASI 034)</t>
  </si>
  <si>
    <t xml:space="preserve">Executed COs</t>
  </si>
  <si>
    <t xml:space="preserve">13 (CO #001 through SCO 17 — net +$124,538)</t>
  </si>
  <si>
    <t xml:space="preserve">CORs</t>
  </si>
  <si>
    <t xml:space="preserve">14 unique COR series (97 files include revisions)</t>
  </si>
  <si>
    <t xml:space="preserve">Submittals</t>
  </si>
  <si>
    <t xml:space="preserve">117 files (incl. UNIT FIXTURES, COMMON AREA, EQUIPMENT, METERING, SLEEVING, UNDERGROUND &amp; ROUGHIN sub-folders)</t>
  </si>
  <si>
    <t xml:space="preserve">POs</t>
  </si>
  <si>
    <t xml:space="preserve">290 POs (36 placed + 149 scheduled + 105 completed)</t>
  </si>
  <si>
    <t xml:space="preserve">Permits</t>
  </si>
  <si>
    <t xml:space="preserve">209 files (Plumbing + Backflow + Gas + Renewals)</t>
  </si>
  <si>
    <t xml:space="preserve">Pay Apps</t>
  </si>
  <si>
    <t xml:space="preserve">27 AR transactions in JDR (46 SOV files in Billing folder)</t>
  </si>
  <si>
    <t xml:space="preserve">Inspection Reports</t>
  </si>
  <si>
    <t xml:space="preserve">21 files</t>
  </si>
  <si>
    <t xml:space="preserve">Meeting Minutes</t>
  </si>
  <si>
    <t xml:space="preserve">125 files in Meetings-Schedules</t>
  </si>
  <si>
    <t xml:space="preserve">O&amp;M Documents</t>
  </si>
  <si>
    <t xml:space="preserve">65 files (close-out package)</t>
  </si>
  <si>
    <t xml:space="preserve">Vendor Quotes</t>
  </si>
  <si>
    <t xml:space="preserve">20 files</t>
  </si>
  <si>
    <t xml:space="preserve">Insurance Docs</t>
  </si>
  <si>
    <t xml:space="preserve">14 files (OCIP manual + 27 renewal certs + COIs)</t>
  </si>
  <si>
    <t xml:space="preserve">DATA SOURCES</t>
  </si>
  <si>
    <t xml:space="preserve">JDR PDF</t>
  </si>
  <si>
    <t xml:space="preserve">2061 Job Detail Report.pdf (Sage Timberline · Apr 3 2026 run)</t>
  </si>
  <si>
    <t xml:space="preserve">Parsed Data</t>
  </si>
  <si>
    <t xml:space="preserve">2061_data.json (3.0MB — full Sage extract: 5,605 line items, 27 cost codes, 58 workers)</t>
  </si>
  <si>
    <t xml:space="preserve">Dashboard Arrays</t>
  </si>
  <si>
    <t xml:space="preserve">2061_dashboard_arrays.json (16 arrays)</t>
  </si>
  <si>
    <t xml:space="preserve">Alta Columbia City - L1.220000 - One Way Plumbing Executed Subcontract.pdf</t>
  </si>
  <si>
    <t xml:space="preserve">Plumbing Fixture Schedule</t>
  </si>
  <si>
    <t xml:space="preserve">Plans/Columbia City Front Sheet.xlsx (9 tabs: PLMB FIXT., PUMPS, WATER HEATERS, MIXING VALVE, EXP. TANK, MISC EQUIP, GENERAL NOTES, GAS LOADS, GPR SCHED)</t>
  </si>
  <si>
    <t xml:space="preserve">GDrive Folder</t>
  </si>
  <si>
    <t xml:space="preserve">Job Book at /Job Books - Completed Jobs/2061-Exxel, Columbia City/ — fully accessible</t>
  </si>
  <si>
    <t xml:space="preserve">PROJECT NARRATIVE</t>
  </si>
  <si>
    <t xml:space="preserve">Margin profile</t>
  </si>
  <si>
    <t xml:space="preserve">OWP delivered 41.4% gross margin = $1,832,588 on a $4,430,088 closed contract — well above OWP's portfolio median (~32-36%). Direct cost absorbed only 58.6% of revenue.</t>
  </si>
  <si>
    <t xml:space="preserve">CO posture</t>
  </si>
  <si>
    <t xml:space="preserve">Net +$124,538 (+2.9%) additive — modest growth from $4.31M base. 13 executed COs + 14 unique COR series captured. Driven primarily by design clarification (ASI 008/011/012, multiple drainage updates).</t>
  </si>
  <si>
    <t xml:space="preserve">Vendor concentration</t>
  </si>
  <si>
    <t xml:space="preserve">Rosen Supply Kirkland top vendor at 37.9% of AP. Top 3 vendors dominate OWP's AP spend on this project.</t>
  </si>
  <si>
    <t xml:space="preserve">Closeout</t>
  </si>
  <si>
    <t xml:space="preserve">Retention $221,504 released June 23, 2022 (clean closeout). 65 O&amp;M documents filed. Notice of Work Completion on file.</t>
  </si>
  <si>
    <t xml:space="preserve">Owner-developer continuity</t>
  </si>
  <si>
    <t xml:space="preserve">Owner Gateway Alta Rainer Owner, LLC same Lake Union Partners adjacency as #2108 R&amp;G Apartments (also at the Rainier corridor) — Columbia City portfolio is a recurring relationship for OWP.</t>
  </si>
  <si>
    <t xml:space="preserve">VERIFIED FIXTURE SCHEDULE (per OWP Job Ticket 12/01/2020)</t>
  </si>
  <si>
    <t xml:space="preserve">Trim Fixture Summary</t>
  </si>
  <si>
    <t xml:space="preserve">Toilets</t>
  </si>
  <si>
    <t xml:space="preserve">1.16 per unit</t>
  </si>
  <si>
    <t xml:space="preserve">Lavatories</t>
  </si>
  <si>
    <t xml:space="preserve">Bathtubs</t>
  </si>
  <si>
    <t xml:space="preserve">0.99 per unit</t>
  </si>
  <si>
    <t xml:space="preserve">Showers</t>
  </si>
  <si>
    <t xml:space="preserve">0.15 per unit</t>
  </si>
  <si>
    <t xml:space="preserve">Kitchen sinks</t>
  </si>
  <si>
    <t xml:space="preserve">1.02 per unit</t>
  </si>
  <si>
    <t xml:space="preserve">Specialty</t>
  </si>
  <si>
    <t xml:space="preserve">0.02 per unit</t>
  </si>
  <si>
    <t xml:space="preserve">TRIM TOTAL</t>
  </si>
  <si>
    <t xml:space="preserve">4.50 per unit</t>
  </si>
  <si>
    <t xml:space="preserve">Subtotals by Category (incl. all roughins/drains/equipment)</t>
  </si>
  <si>
    <t xml:space="preserve">Resident unit fixtures + roughins</t>
  </si>
  <si>
    <t xml:space="preserve">Amenity / lobby / leasing area</t>
  </si>
  <si>
    <t xml:space="preserve">Building systems (drains, valves, equipment)</t>
  </si>
  <si>
    <t xml:space="preserve">Sub-metering system (NMT Versamag + Next Century)</t>
  </si>
  <si>
    <t xml:space="preserve">GRAND TOTAL (all components)</t>
  </si>
  <si>
    <t xml:space="preserve">DETAIL — Resident unit fixtures + roughins</t>
  </si>
  <si>
    <t xml:space="preserve">Item</t>
  </si>
  <si>
    <t xml:space="preserve">Qty</t>
  </si>
  <si>
    <t xml:space="preserve">Toilet (Sterling 402315 ADA, 1.6 gpf, Bemis 1500EC seat)</t>
  </si>
  <si>
    <t xml:space="preserve">Lavatory (Decolav 1402 undercounter, Moen 6190 chrome 1.2gpm)</t>
  </si>
  <si>
    <t xml:space="preserve">Bathtub (Maxx Rubix 60x32, Moen FP62365/T2193-EP, 1.75gpm)</t>
  </si>
  <si>
    <t xml:space="preserve">Shower 36" (Bestbath P3636, Moen FP62365/T2192-EP)</t>
  </si>
  <si>
    <t xml:space="preserve">Shower 38" ADA (Bestbath P3838B5T.V2, Moen FP62365/T2192-EP)</t>
  </si>
  <si>
    <t xml:space="preserve">Kitchen Sink Type B (Moen GS18192 stainless, Moen 7565 chrome)</t>
  </si>
  <si>
    <t xml:space="preserve">Kitchen Sink Type A ADA (Moen GS18195B, Moen 7565)</t>
  </si>
  <si>
    <t xml:space="preserve">Disposal (Moen GXP50C, 1/2 hp, w/pigtail)</t>
  </si>
  <si>
    <t xml:space="preserve">Dishwasher roughin (connect, FBO appliance)</t>
  </si>
  <si>
    <t xml:space="preserve">Washer roughin (recessed box w/valves)</t>
  </si>
  <si>
    <t xml:space="preserve">Icemaker roughin (recessed box w/valves)</t>
  </si>
  <si>
    <t xml:space="preserve">DETAIL — Amenity / lobby / leasing area</t>
  </si>
  <si>
    <t xml:space="preserve">Toilet (Sterling 402315 ADA)</t>
  </si>
  <si>
    <t xml:space="preserve">Lavatory (Kohler K-2330-G-&amp;, Watermark 37-2.18-AUT-DP3 sensor)</t>
  </si>
  <si>
    <t xml:space="preserve">Sink (Elkay ELGUAD2519PDBKO, Kohler K-72218-BL) — pavilion</t>
  </si>
  <si>
    <t xml:space="preserve">Sink (Elkay ELGUAD2519PDBKO, Kohler K-72218-BL) — sky lounge</t>
  </si>
  <si>
    <t xml:space="preserve">Sink (Elkay ELUHAD2115-4.5, Kohler K-72218-CP) — work room</t>
  </si>
  <si>
    <t xml:space="preserve">Lavatory ADA (ELUHAD131645PD undermount) — L2 lobby coffee station</t>
  </si>
  <si>
    <t xml:space="preserve">Faucet (Watermark 23-2-AUT-DP3 sensor) — coffee station cold water</t>
  </si>
  <si>
    <t xml:space="preserve">Coffee boiler (PF-12 Marco MIX UC3 w/Drip Tray) — coffee station</t>
  </si>
  <si>
    <t xml:space="preserve">Drinking fountain (Elkay EZSTLG8WSSK, dual w/bottle filler) — fitness</t>
  </si>
  <si>
    <t xml:space="preserve">Mop sink (Mustee 63 w/T&amp;S faucet) — janitor closet</t>
  </si>
  <si>
    <t xml:space="preserve">Faucet (T&amp;S B2187 wall-hung w/pre-rinse) — dog/bike wash</t>
  </si>
  <si>
    <t xml:space="preserve">DETAIL — Building systems (drains, valves, equipment)</t>
  </si>
  <si>
    <t xml:space="preserve">Hose bib (Woodford 24, garage/mech rooms)</t>
  </si>
  <si>
    <t xml:space="preserve">Hose bib (Woodford 65 frostproof, exterior walls)</t>
  </si>
  <si>
    <t xml:space="preserve">Yard hydrant (Woodford, rooftop)</t>
  </si>
  <si>
    <t xml:space="preserve">Hose bib (hot/cold, trash rooms)</t>
  </si>
  <si>
    <t xml:space="preserve">Water heater (Bock OptiTherm OT-500N-A gas-fired condensing)</t>
  </si>
  <si>
    <t xml:space="preserve">Hot water expansion tank (B&amp;G)</t>
  </si>
  <si>
    <t xml:space="preserve">Circulating pump (B&amp;G w/Tekmar control)</t>
  </si>
  <si>
    <t xml:space="preserve">Master mixing valve (Symmons or equal)</t>
  </si>
  <si>
    <t xml:space="preserve">Backflow valve 4" (Watts, domestic water)</t>
  </si>
  <si>
    <t xml:space="preserve">PRV 6" (Watts w/bypass)</t>
  </si>
  <si>
    <t xml:space="preserve">PRV 3" (Watts w/bypass)</t>
  </si>
  <si>
    <t xml:space="preserve">Irrigation backflow + PRV + meter + flow sensor (Watts)</t>
  </si>
  <si>
    <t xml:space="preserve">Trash chute water backflow</t>
  </si>
  <si>
    <t xml:space="preserve">Concrete sand/oil basin 36"x36" (Quality Concrete)</t>
  </si>
  <si>
    <t xml:space="preserve">Trench drain NDS w/cast iron grate — P3 ramp</t>
  </si>
  <si>
    <t xml:space="preserve">Trench drain NDS w/cast iron grate — P1 ramp</t>
  </si>
  <si>
    <t xml:space="preserve">Trench drain NDS w/SS grate — N+S courts</t>
  </si>
  <si>
    <t xml:space="preserve">Floor drain Watts FD33 (cast iron, garage on grade)</t>
  </si>
  <si>
    <t xml:space="preserve">Floor drain Watts FD33 (P2/P1 garage)</t>
  </si>
  <si>
    <t xml:space="preserve">Floor drain Watts FD33 (mech/trash rooms)</t>
  </si>
  <si>
    <t xml:space="preserve">Standpipe drain PVC (boiler + sprinkler mech rms)</t>
  </si>
  <si>
    <t xml:space="preserve">Hub drain PVC (HVAC condensate)</t>
  </si>
  <si>
    <t xml:space="preserve">Bio-retention planter drainage (interior planters)</t>
  </si>
  <si>
    <t xml:space="preserve">Exterior area drain Watts (P3/P1/L1)</t>
  </si>
  <si>
    <t xml:space="preserve">Overflow drain Watts (L1/L2)</t>
  </si>
  <si>
    <t xml:space="preserve">Overflow drain Watts (L3/L4 small roofs)</t>
  </si>
  <si>
    <t xml:space="preserve">Roof drain Watts RD25 w/overflow</t>
  </si>
  <si>
    <t xml:space="preserve">PVC perimeter foundation wall collector 6"</t>
  </si>
  <si>
    <t xml:space="preserve">PVC sub-slab drainage</t>
  </si>
  <si>
    <t xml:space="preserve">PVC sub-slab methane collection w/7 vent stacks</t>
  </si>
  <si>
    <t xml:space="preserve">Backwater valve</t>
  </si>
  <si>
    <t xml:space="preserve">Retail stub-out set (waste/vent/DCW @ 6 retail spaces — A,B,C1,C2,D,E)</t>
  </si>
  <si>
    <t xml:space="preserve">Retail gas supply (3 spaces — A, B, C, capped)</t>
  </si>
  <si>
    <t xml:space="preserve">DETAIL — Sub-metering system (NMT Versamag + Next Century)</t>
  </si>
  <si>
    <t xml:space="preserve">3/4" Meter spacer tube 7.5" (NMT)</t>
  </si>
  <si>
    <t xml:space="preserve">3/4" Polymer meter coupling (set of 2)</t>
  </si>
  <si>
    <t xml:space="preserve">3/4" NMT Versamag polymer hot water meter (1:10 pulse, CA approved)</t>
  </si>
  <si>
    <t xml:space="preserve">Next Century Pulse Transceiver (5-yr battery)</t>
  </si>
  <si>
    <t xml:space="preserve">High-power indoor repeater (w/PSU)</t>
  </si>
  <si>
    <t xml:space="preserve">Next Century Gateway</t>
  </si>
  <si>
    <t xml:space="preserve">Source / Provenance Note</t>
  </si>
  <si>
    <t xml:space="preserve">Unit count: 243 ✓ confirmed via OWP Job Ticket 12/01/2020 (243 disposals · 243 dishwashers · 243 washers · 243 icemakers · 243 water meters · 243 pulse transceivers all corroborate). OWP Master Project List (Schedule + Job Info tabs) shows 242 units — likely the earlier bid-stage figure that grew by 1 during scope development. The Job Ticket is the definitive source. Fixture schedule sourced from the same Job Ticket — full takeoff including resident-unit trim, amenity fixtures, building-system drains/valves/equipment, and the sub-metering system. Trim count = 1093 (4.50 per unit). Grand total 3,693 when including all roughins, drains, valves, and metering components.</t>
  </si>
  <si>
    <t xml:space="preserve">Contract Summary</t>
  </si>
  <si>
    <t xml:space="preserve">Original</t>
  </si>
  <si>
    <t xml:space="preserve">Revised</t>
  </si>
  <si>
    <t xml:space="preserve">Delta</t>
  </si>
  <si>
    <t xml:space="preserve">Base construction contract</t>
  </si>
  <si>
    <t xml:space="preserve">Executed change orders (net)</t>
  </si>
  <si>
    <t xml:space="preserve">Total contract value</t>
  </si>
  <si>
    <t xml:space="preserve">Executed Change Orders</t>
  </si>
  <si>
    <t xml:space="preserve">CO #</t>
  </si>
  <si>
    <t xml:space="preserve">Description</t>
  </si>
  <si>
    <t xml:space="preserve">Amount</t>
  </si>
  <si>
    <t xml:space="preserve">Statement of Values + Pay App History · Job #2061</t>
  </si>
  <si>
    <t xml:space="preserve">27 AR transactions parsed from JDR. 46 SOV files in GDrive Billing folder. Retention released 2022-06-23.</t>
  </si>
  <si>
    <t xml:space="preserve">STATEMENT OF VALUES — SUMMARY</t>
  </si>
  <si>
    <t xml:space="preserve">Retainage</t>
  </si>
  <si>
    <t xml:space="preserve">Net Paid</t>
  </si>
  <si>
    <t xml:space="preserve">PAY APPLICATION HISTORY</t>
  </si>
  <si>
    <t xml:space="preserve">Pay App #</t>
  </si>
  <si>
    <t xml:space="preserve">Date</t>
  </si>
  <si>
    <t xml:space="preserve">This Period</t>
  </si>
  <si>
    <t xml:space="preserve">Net</t>
  </si>
  <si>
    <t xml:space="preserve">Cumulative</t>
  </si>
  <si>
    <t xml:space="preserve">% Contract</t>
  </si>
  <si>
    <t xml:space="preserve">01/14/22</t>
  </si>
  <si>
    <t xml:space="preserve">0.2%</t>
  </si>
  <si>
    <t xml:space="preserve">01/20/20</t>
  </si>
  <si>
    <t xml:space="preserve">1.7%</t>
  </si>
  <si>
    <t xml:space="preserve">01/20/21</t>
  </si>
  <si>
    <t xml:space="preserve">13.0%</t>
  </si>
  <si>
    <t xml:space="preserve">02/20/20</t>
  </si>
  <si>
    <t xml:space="preserve">15.0%</t>
  </si>
  <si>
    <t xml:space="preserve">02/19/21</t>
  </si>
  <si>
    <t xml:space="preserve">25.1%</t>
  </si>
  <si>
    <t xml:space="preserve">03/18/22</t>
  </si>
  <si>
    <t xml:space="preserve">25.2%</t>
  </si>
  <si>
    <t xml:space="preserve">03/19/21</t>
  </si>
  <si>
    <t xml:space="preserve">39.0%</t>
  </si>
  <si>
    <t xml:space="preserve">03/20/20</t>
  </si>
  <si>
    <t xml:space="preserve">41.3%</t>
  </si>
  <si>
    <t xml:space="preserve">04/20/21</t>
  </si>
  <si>
    <t xml:space="preserve">52.7%</t>
  </si>
  <si>
    <t xml:space="preserve">05/19/21</t>
  </si>
  <si>
    <t xml:space="preserve">54.4%</t>
  </si>
  <si>
    <t xml:space="preserve">05/20/20</t>
  </si>
  <si>
    <t xml:space="preserve">55.7%</t>
  </si>
  <si>
    <t xml:space="preserve">06/18/21</t>
  </si>
  <si>
    <t xml:space="preserve">57.0%</t>
  </si>
  <si>
    <t xml:space="preserve">06/19/20</t>
  </si>
  <si>
    <t xml:space="preserve">60.5%</t>
  </si>
  <si>
    <t xml:space="preserve">07/16/21</t>
  </si>
  <si>
    <t xml:space="preserve">62.1%</t>
  </si>
  <si>
    <t xml:space="preserve">07/20/20</t>
  </si>
  <si>
    <t xml:space="preserve">63.9%</t>
  </si>
  <si>
    <t xml:space="preserve">08/20/20</t>
  </si>
  <si>
    <t xml:space="preserve">66.9%</t>
  </si>
  <si>
    <t xml:space="preserve">08/10/21</t>
  </si>
  <si>
    <t xml:space="preserve">67.9%</t>
  </si>
  <si>
    <t xml:space="preserve">09/20/19</t>
  </si>
  <si>
    <t xml:space="preserve">69.2%</t>
  </si>
  <si>
    <t xml:space="preserve">09/20/21</t>
  </si>
  <si>
    <t xml:space="preserve">71.5%</t>
  </si>
  <si>
    <t xml:space="preserve">09/21/20</t>
  </si>
  <si>
    <t xml:space="preserve">73.4%</t>
  </si>
  <si>
    <t xml:space="preserve">10/20/20</t>
  </si>
  <si>
    <t xml:space="preserve">82.2%</t>
  </si>
  <si>
    <t xml:space="preserve">10/20/21</t>
  </si>
  <si>
    <t xml:space="preserve">84.3%</t>
  </si>
  <si>
    <t xml:space="preserve">11/18/20</t>
  </si>
  <si>
    <t xml:space="preserve">91.3%</t>
  </si>
  <si>
    <t xml:space="preserve">11/19/21</t>
  </si>
  <si>
    <t xml:space="preserve">92.0%</t>
  </si>
  <si>
    <t xml:space="preserve">12/13/19</t>
  </si>
  <si>
    <t xml:space="preserve">92.7%</t>
  </si>
  <si>
    <t xml:space="preserve">12/14/20</t>
  </si>
  <si>
    <t xml:space="preserve">97.4%</t>
  </si>
  <si>
    <t xml:space="preserve">12/17/21</t>
  </si>
  <si>
    <t xml:space="preserve">100.0%</t>
  </si>
  <si>
    <t xml:space="preserve">Change Orders · Job #2061</t>
  </si>
  <si>
    <t xml:space="preserve">13 total events · net $124,538 (+2.9%). Source: GDrive Change Orders folder (17 SCO files + 97 COR files).</t>
  </si>
  <si>
    <t xml:space="preserve">Event ID</t>
  </si>
  <si>
    <t xml:space="preserve">Type</t>
  </si>
  <si>
    <t xml:space="preserve">Subject</t>
  </si>
  <si>
    <t xml:space="preserve">Originator</t>
  </si>
  <si>
    <t xml:space="preserve">Cost Impact</t>
  </si>
  <si>
    <t xml:space="preserve">CO-001</t>
  </si>
  <si>
    <t xml:space="preserve">CO</t>
  </si>
  <si>
    <t xml:space="preserve">2020-03</t>
  </si>
  <si>
    <t xml:space="preserve">Hazwoper Certifications</t>
  </si>
  <si>
    <t xml:space="preserve">GC (Exxel)</t>
  </si>
  <si>
    <t xml:space="preserve">CO-002</t>
  </si>
  <si>
    <t xml:space="preserve">2020-04</t>
  </si>
  <si>
    <t xml:space="preserve">Added Civil Items (Mostly Underground)</t>
  </si>
  <si>
    <t xml:space="preserve">Designer (Johnston)</t>
  </si>
  <si>
    <t xml:space="preserve">CO-003</t>
  </si>
  <si>
    <t xml:space="preserve">2020-05</t>
  </si>
  <si>
    <t xml:space="preserve">Added Roof Drains &amp; ASI-012 Roof Clarifications</t>
  </si>
  <si>
    <t xml:space="preserve">CO-004</t>
  </si>
  <si>
    <t xml:space="preserve">2020-09</t>
  </si>
  <si>
    <t xml:space="preserve">ASI 008 Narrative + Drainage adjustments</t>
  </si>
  <si>
    <t xml:space="preserve">CO-005</t>
  </si>
  <si>
    <t xml:space="preserve">2020-11</t>
  </si>
  <si>
    <t xml:space="preserve">Drainage adjustments (ASI 011)</t>
  </si>
  <si>
    <t xml:space="preserve">CO-006</t>
  </si>
  <si>
    <t xml:space="preserve">Bundle scope additions</t>
  </si>
  <si>
    <t xml:space="preserve">CO-007</t>
  </si>
  <si>
    <t xml:space="preserve">2020-12</t>
  </si>
  <si>
    <t xml:space="preserve">CO-008</t>
  </si>
  <si>
    <t xml:space="preserve">2021-01</t>
  </si>
  <si>
    <t xml:space="preserve">CO-009</t>
  </si>
  <si>
    <t xml:space="preserve">2021-02</t>
  </si>
  <si>
    <t xml:space="preserve">CO-010</t>
  </si>
  <si>
    <t xml:space="preserve">2021-03</t>
  </si>
  <si>
    <t xml:space="preserve">SCO-011</t>
  </si>
  <si>
    <t xml:space="preserve">2021-06</t>
  </si>
  <si>
    <t xml:space="preserve">Chlorine Flush &amp; Temp Drains</t>
  </si>
  <si>
    <t xml:space="preserve">Owner/GC</t>
  </si>
  <si>
    <t xml:space="preserve">SCO-012</t>
  </si>
  <si>
    <t xml:space="preserve">2021-07</t>
  </si>
  <si>
    <t xml:space="preserve">Sink Disposal Air Switches</t>
  </si>
  <si>
    <t xml:space="preserve">SCO-014</t>
  </si>
  <si>
    <t xml:space="preserve">2021-09</t>
  </si>
  <si>
    <t xml:space="preserve">Shower Valve Adjustment</t>
  </si>
  <si>
    <t xml:space="preserve">SCO-015</t>
  </si>
  <si>
    <t xml:space="preserve">2021-10</t>
  </si>
  <si>
    <t xml:space="preserve">Retail Gas and Water Meters (ASI 07)</t>
  </si>
  <si>
    <t xml:space="preserve">SCO-016</t>
  </si>
  <si>
    <t xml:space="preserve">2022-02</t>
  </si>
  <si>
    <t xml:space="preserve">OCIP Insurance Deduct</t>
  </si>
  <si>
    <t xml:space="preserve">SCO-017</t>
  </si>
  <si>
    <t xml:space="preserve">2022-03</t>
  </si>
  <si>
    <t xml:space="preserve">Skylounge Sink and Plaza Drain</t>
  </si>
  <si>
    <t xml:space="preserve">NET</t>
  </si>
  <si>
    <t xml:space="preserve">Total</t>
  </si>
  <si>
    <t xml:space="preserve">Net cost impact: $124,538 (CO dollar amounts in Budget Transfer xlsx, not itemized here)</t>
  </si>
  <si>
    <t xml:space="preserve">—</t>
  </si>
  <si>
    <t xml:space="preserve">META</t>
  </si>
  <si>
    <t xml:space="preserve">Total Events</t>
  </si>
  <si>
    <t xml:space="preserve">Net Cost Impact</t>
  </si>
  <si>
    <t xml:space="preserve">$124,538</t>
  </si>
  <si>
    <t xml:space="preserve">CORs (unique)</t>
  </si>
  <si>
    <t xml:space="preserve">RFIs (in folder)</t>
  </si>
  <si>
    <t xml:space="preserve">ASIs (in folder)</t>
  </si>
  <si>
    <t xml:space="preserve">Cost Code Detail (Revised Basis)</t>
  </si>
  <si>
    <t xml:space="preserve">Code</t>
  </si>
  <si>
    <t xml:space="preserve">Actual</t>
  </si>
  <si>
    <t xml:space="preserve">Variance</t>
  </si>
  <si>
    <t xml:space="preserve">Net Due</t>
  </si>
  <si>
    <t xml:space="preserve">% Complete</t>
  </si>
  <si>
    <t xml:space="preserve">100</t>
  </si>
  <si>
    <t xml:space="preserve">Supervision</t>
  </si>
  <si>
    <t xml:space="preserve">101</t>
  </si>
  <si>
    <t xml:space="preserve">Takeoff &amp; Purchase Labor</t>
  </si>
  <si>
    <t xml:space="preserve">110</t>
  </si>
  <si>
    <t xml:space="preserve">Underground Labor</t>
  </si>
  <si>
    <t xml:space="preserve">111</t>
  </si>
  <si>
    <t xml:space="preserve">Garage Labor</t>
  </si>
  <si>
    <t xml:space="preserve">112</t>
  </si>
  <si>
    <t xml:space="preserve">Canout Labor</t>
  </si>
  <si>
    <t xml:space="preserve">120</t>
  </si>
  <si>
    <t xml:space="preserve">Roughin Labor</t>
  </si>
  <si>
    <t xml:space="preserve">130</t>
  </si>
  <si>
    <t xml:space="preserve">Finish Labor</t>
  </si>
  <si>
    <t xml:space="preserve">140</t>
  </si>
  <si>
    <t xml:space="preserve">Gas Labor</t>
  </si>
  <si>
    <t xml:space="preserve">141</t>
  </si>
  <si>
    <t xml:space="preserve">Water Main/Insulation Lab</t>
  </si>
  <si>
    <t xml:space="preserve">142</t>
  </si>
  <si>
    <t xml:space="preserve">Mech Room Labor</t>
  </si>
  <si>
    <t xml:space="preserve">150</t>
  </si>
  <si>
    <t xml:space="preserve">Warranty Labor</t>
  </si>
  <si>
    <t xml:space="preserve">210</t>
  </si>
  <si>
    <t xml:space="preserve">Underground Material</t>
  </si>
  <si>
    <t xml:space="preserve">211</t>
  </si>
  <si>
    <t xml:space="preserve">Garage Material</t>
  </si>
  <si>
    <t xml:space="preserve">212</t>
  </si>
  <si>
    <t xml:space="preserve">Canout Material</t>
  </si>
  <si>
    <t xml:space="preserve">220</t>
  </si>
  <si>
    <t xml:space="preserve">Roughin Material</t>
  </si>
  <si>
    <t xml:space="preserve">230</t>
  </si>
  <si>
    <t xml:space="preserve">Finish Material</t>
  </si>
  <si>
    <t xml:space="preserve">240</t>
  </si>
  <si>
    <t xml:space="preserve">Gas Material</t>
  </si>
  <si>
    <t xml:space="preserve">241</t>
  </si>
  <si>
    <t xml:space="preserve">Water Main/Insulation Mat</t>
  </si>
  <si>
    <t xml:space="preserve">242</t>
  </si>
  <si>
    <t xml:space="preserve">Mech Room Material</t>
  </si>
  <si>
    <t xml:space="preserve">600</t>
  </si>
  <si>
    <t xml:space="preserve">Subcontractor</t>
  </si>
  <si>
    <t xml:space="preserve">601</t>
  </si>
  <si>
    <t xml:space="preserve">Engineering/Plans</t>
  </si>
  <si>
    <t xml:space="preserve">602</t>
  </si>
  <si>
    <t xml:space="preserve">Rental Equipment</t>
  </si>
  <si>
    <t xml:space="preserve">603</t>
  </si>
  <si>
    <t xml:space="preserve">Permits &amp; Licenses</t>
  </si>
  <si>
    <t xml:space="preserve">607</t>
  </si>
  <si>
    <t xml:space="preserve">Other Expenses</t>
  </si>
  <si>
    <t xml:space="preserve">995</t>
  </si>
  <si>
    <t xml:space="preserve">Payroll Burden</t>
  </si>
  <si>
    <t xml:space="preserve">998</t>
  </si>
  <si>
    <t xml:space="preserve">Payroll Taxes</t>
  </si>
  <si>
    <t xml:space="preserve">TOTAL</t>
  </si>
  <si>
    <t xml:space="preserve">Cost Category Rollup</t>
  </si>
  <si>
    <t xml:space="preserve">Category</t>
  </si>
  <si>
    <t xml:space="preserve"># Codes</t>
  </si>
  <si>
    <t xml:space="preserve">Revised Budget</t>
  </si>
  <si>
    <t xml:space="preserve">Labor</t>
  </si>
  <si>
    <t xml:space="preserve">Material</t>
  </si>
  <si>
    <t xml:space="preserve">Overhead</t>
  </si>
  <si>
    <t xml:space="preserve">Burden</t>
  </si>
  <si>
    <t xml:space="preserve">Budget vs Actual — Flag list</t>
  </si>
  <si>
    <t xml:space="preserve">Revised budget is canonical basis. Flags: OVER &gt;10%, CRITICAL &gt;50%, ON ±10%, UNDER &lt;-10%.</t>
  </si>
  <si>
    <t xml:space="preserve">% Var</t>
  </si>
  <si>
    <t xml:space="preserve">Vendor Spend (AP source)</t>
  </si>
  <si>
    <t xml:space="preserve">Vendor</t>
  </si>
  <si>
    <t xml:space="preserve">Spend ($)</t>
  </si>
  <si>
    <t xml:space="preserve">Invoices</t>
  </si>
  <si>
    <t xml:space="preserve">% of Total AP</t>
  </si>
  <si>
    <t xml:space="preserve">Rosen Supply Kirkland</t>
  </si>
  <si>
    <t xml:space="preserve">Keller Supply Company</t>
  </si>
  <si>
    <t xml:space="preserve">Consolidated Supply Co.</t>
  </si>
  <si>
    <t xml:space="preserve">California Hydronics Corp</t>
  </si>
  <si>
    <t xml:space="preserve">Franklin Engineering</t>
  </si>
  <si>
    <t xml:space="preserve">Submeter Solutions, Inc.</t>
  </si>
  <si>
    <t xml:space="preserve">Ferguson Enterprises, Inc. #3007</t>
  </si>
  <si>
    <t xml:space="preserve">Capital One Credit Card</t>
  </si>
  <si>
    <t xml:space="preserve">Best Bath Systems</t>
  </si>
  <si>
    <t xml:space="preserve">H&amp;E Equipment Services, Inc.</t>
  </si>
  <si>
    <t xml:space="preserve">Mechanical Resource Services, Inc.</t>
  </si>
  <si>
    <t xml:space="preserve">Beacon Building Products $Atlas</t>
  </si>
  <si>
    <t xml:space="preserve">Old Castle Infrastructure, Inc.</t>
  </si>
  <si>
    <t xml:space="preserve">Chemical Products Company</t>
  </si>
  <si>
    <t xml:space="preserve">Mechanical Sales, Inc.</t>
  </si>
  <si>
    <t xml:space="preserve">Core &amp; Main LP $HD Supply Waterworks</t>
  </si>
  <si>
    <t xml:space="preserve">Kele, Inc $ MI Controls</t>
  </si>
  <si>
    <t xml:space="preserve">Scan2Core, Inc.</t>
  </si>
  <si>
    <t xml:space="preserve">Bank of America CC</t>
  </si>
  <si>
    <t xml:space="preserve">DRSi</t>
  </si>
  <si>
    <t xml:space="preserve">A.R. Brown Backflow Testing</t>
  </si>
  <si>
    <t xml:space="preserve">Washington State Ferries</t>
  </si>
  <si>
    <t xml:space="preserve">Fastenal Company</t>
  </si>
  <si>
    <t xml:space="preserve">TOTAL AP</t>
  </si>
  <si>
    <t xml:space="preserve">Crew Roster (PR source)</t>
  </si>
  <si>
    <t xml:space="preserve">Worker</t>
  </si>
  <si>
    <t xml:space="preserve">Hours</t>
  </si>
  <si>
    <t xml:space="preserve">Labor $</t>
  </si>
  <si>
    <t xml:space="preserve">Avg $/hr</t>
  </si>
  <si>
    <t xml:space="preserve">Tier</t>
  </si>
  <si>
    <t xml:space="preserve">Cortes Mendiola, Victor H</t>
  </si>
  <si>
    <t xml:space="preserve">LEAD/SUPERVISOR</t>
  </si>
  <si>
    <t xml:space="preserve">Amaya Gonzalez, Edilberto A</t>
  </si>
  <si>
    <t xml:space="preserve">Barbosa, Michael S</t>
  </si>
  <si>
    <t xml:space="preserve">JOURNEYMAN</t>
  </si>
  <si>
    <t xml:space="preserve">Cortes Sepulveda, Jose R</t>
  </si>
  <si>
    <t xml:space="preserve">Escalante Escobar, Boanerge</t>
  </si>
  <si>
    <t xml:space="preserve">Lima Romero, Melvin A</t>
  </si>
  <si>
    <t xml:space="preserve">Cornejo Orellana, Carlos E</t>
  </si>
  <si>
    <t xml:space="preserve">Sepulveda Gonzalez, Alfredo</t>
  </si>
  <si>
    <t xml:space="preserve">Petermeyer, Matthew W</t>
  </si>
  <si>
    <t xml:space="preserve">APPRENTICE/HELPER</t>
  </si>
  <si>
    <t xml:space="preserve">Eliassen, Cory H</t>
  </si>
  <si>
    <t xml:space="preserve">Stahlschmidt, John P</t>
  </si>
  <si>
    <t xml:space="preserve">Garcia Perez, Ervey O</t>
  </si>
  <si>
    <t xml:space="preserve">Sanders, Allen O</t>
  </si>
  <si>
    <t xml:space="preserve">Boss, Benjamin T</t>
  </si>
  <si>
    <t xml:space="preserve">Barnhart, Thomas L</t>
  </si>
  <si>
    <t xml:space="preserve">Mendoza Morales, Jesus A</t>
  </si>
  <si>
    <t xml:space="preserve">Boss, Kyle A</t>
  </si>
  <si>
    <t xml:space="preserve">Anderson, Richard P</t>
  </si>
  <si>
    <t xml:space="preserve">Waites, Thaddeus Z</t>
  </si>
  <si>
    <t xml:space="preserve">Cruz Gonzalez, Julio C</t>
  </si>
  <si>
    <t xml:space="preserve">Gerard, Jeffrey S</t>
  </si>
  <si>
    <t xml:space="preserve">Romero Garza, Jesus I</t>
  </si>
  <si>
    <t xml:space="preserve">Ross, Kelli M</t>
  </si>
  <si>
    <t xml:space="preserve">McCabe, Thomas C</t>
  </si>
  <si>
    <t xml:space="preserve">Lopez, Maslin A</t>
  </si>
  <si>
    <t xml:space="preserve">Hawkins, Conor L</t>
  </si>
  <si>
    <t xml:space="preserve">Hansen, Paul W</t>
  </si>
  <si>
    <t xml:space="preserve">Games, Jordan M</t>
  </si>
  <si>
    <t xml:space="preserve">Donelson, Richard T</t>
  </si>
  <si>
    <t xml:space="preserve">Lucas Tzintzun, Rafael</t>
  </si>
  <si>
    <t xml:space="preserve">Ramos Herrera, Franklin J</t>
  </si>
  <si>
    <t xml:space="preserve">Trower-Kelly, Fidel D</t>
  </si>
  <si>
    <t xml:space="preserve">Esparza, Andy A</t>
  </si>
  <si>
    <t xml:space="preserve">Hubbard, Robert W</t>
  </si>
  <si>
    <t xml:space="preserve">Chevez, Herson G</t>
  </si>
  <si>
    <t xml:space="preserve">Paco Leyva, Orlando</t>
  </si>
  <si>
    <t xml:space="preserve">Balderas Ortiz, Ricardo I</t>
  </si>
  <si>
    <t xml:space="preserve">Lovo, German G</t>
  </si>
  <si>
    <t xml:space="preserve">Castro Urena, Yanely</t>
  </si>
  <si>
    <t xml:space="preserve">Avalos Soto, Veronica</t>
  </si>
  <si>
    <t xml:space="preserve">Martinez Reyes, Juan C</t>
  </si>
  <si>
    <t xml:space="preserve">Barnhart, Joseph N</t>
  </si>
  <si>
    <t xml:space="preserve">Gutierrez, Brian A</t>
  </si>
  <si>
    <t xml:space="preserve">Cruz Reyes, Jose</t>
  </si>
  <si>
    <t xml:space="preserve">Portillo Soriano, Walter A</t>
  </si>
  <si>
    <t xml:space="preserve">Silva Morales, Jair J</t>
  </si>
  <si>
    <t xml:space="preserve">Rivera, Eli P</t>
  </si>
  <si>
    <t xml:space="preserve">Gonzalez Hernandez, Josue</t>
  </si>
  <si>
    <t xml:space="preserve">Taylor, Evan R</t>
  </si>
  <si>
    <t xml:space="preserve">OT-ONLY</t>
  </si>
  <si>
    <t xml:space="preserve">Sandhu, Manveer S</t>
  </si>
  <si>
    <t xml:space="preserve">Hubbard, Justin A</t>
  </si>
  <si>
    <t xml:space="preserve">Wilson, Jr., Eric T</t>
  </si>
  <si>
    <t xml:space="preserve">Galdamez, Dagoberto A</t>
  </si>
  <si>
    <t xml:space="preserve">Eisenhauer, Tommy J</t>
  </si>
  <si>
    <t xml:space="preserve">Benites Portillo, Marvin E</t>
  </si>
  <si>
    <t xml:space="preserve">Fox, Tamron P</t>
  </si>
  <si>
    <t xml:space="preserve">Sanchez Becerra, Julian A</t>
  </si>
  <si>
    <t xml:space="preserve">Mackey, Cole J</t>
  </si>
  <si>
    <t xml:space="preserve">Wage Tier Distribution</t>
  </si>
  <si>
    <t xml:space="preserve"># Workers</t>
  </si>
  <si>
    <t xml:space="preserve">% of Hours</t>
  </si>
  <si>
    <t xml:space="preserve">Productivity Metrics</t>
  </si>
  <si>
    <t xml:space="preserve">Total labor hours (to date)</t>
  </si>
  <si>
    <t xml:space="preserve">Active workers</t>
  </si>
  <si>
    <t xml:space="preserve">Hours per unit (to date)</t>
  </si>
  <si>
    <t xml:space="preserve">Revenue per labor hour (billed)</t>
  </si>
  <si>
    <t xml:space="preserve">Portfolio Benchmarks (vs. closed jobs)</t>
  </si>
  <si>
    <t xml:space="preserve">Metric</t>
  </si>
  <si>
    <t xml:space="preserve">This Job</t>
  </si>
  <si>
    <t xml:space="preserve">Portfolio Median</t>
  </si>
  <si>
    <t xml:space="preserve">Forecast margin %</t>
  </si>
  <si>
    <t xml:space="preserve">Roughin labor share (code 120)</t>
  </si>
  <si>
    <t xml:space="preserve">Top vendor concentration</t>
  </si>
  <si>
    <t xml:space="preserve">Hours per unit</t>
  </si>
  <si>
    <t xml:space="preserve">Predictive Signals (closed project)</t>
  </si>
  <si>
    <t xml:space="preserve">Signal</t>
  </si>
  <si>
    <t xml:space="preserve">Notes</t>
  </si>
  <si>
    <t xml:space="preserve">Canout Labor (112) over revised</t>
  </si>
  <si>
    <t xml:space="preserve">⚠ WATCH</t>
  </si>
  <si>
    <t xml:space="preserve">Actual $36,858 vs revised $31,150 (+18%) — monitor</t>
  </si>
  <si>
    <t xml:space="preserve">Finish Labor (130) over revised</t>
  </si>
  <si>
    <t xml:space="preserve">Actual $119,991 vs revised $108,320 (+11%) — monitor</t>
  </si>
  <si>
    <t xml:space="preserve">Mech Room Material (242) over revised</t>
  </si>
  <si>
    <t xml:space="preserve">Actual $40,175 vs revised $28,800 (+39%) — monitor</t>
  </si>
  <si>
    <t xml:space="preserve">Top vendor concentration (Rosen Supply Kirklan)</t>
  </si>
  <si>
    <t xml:space="preserve">✓ OK</t>
  </si>
  <si>
    <t xml:space="preserve">38% of AP ($381,559) — acceptable</t>
  </si>
  <si>
    <t xml:space="preserve">Retention aging</t>
  </si>
  <si>
    <t xml:space="preserve">$221,504 held · 5.0% of billed · zero (closed)</t>
  </si>
  <si>
    <t xml:space="preserve">25.2% forecast margin — monitor</t>
  </si>
  <si>
    <t xml:space="preserve">Reconciliation · Job #2061</t>
  </si>
  <si>
    <t xml:space="preserve">Check</t>
  </si>
  <si>
    <t xml:space="preserve">Expected</t>
  </si>
  <si>
    <t xml:space="preserve">Original contract: META vs JDR</t>
  </si>
  <si>
    <t xml:space="preserve">TIES</t>
  </si>
  <si>
    <t xml:space="preserve">Final contract: META vs JDR</t>
  </si>
  <si>
    <t xml:space="preserve">Retainage: META vs JDR</t>
  </si>
  <si>
    <t xml:space="preserve">$221,504</t>
  </si>
  <si>
    <t xml:space="preserve">Direct cost: META vs derived</t>
  </si>
  <si>
    <t xml:space="preserve">$2,597,499.74</t>
  </si>
  <si>
    <t xml:space="preserve">Net profit: META vs derived</t>
  </si>
  <si>
    <t xml:space="preserve">$1,832,588.14</t>
  </si>
  <si>
    <t xml:space="preserve">Worker count vs JDR worker_wages</t>
  </si>
  <si>
    <t xml:space="preserve">$58</t>
  </si>
  <si>
    <t xml:space="preserve">Total labor hours vs JDR PR</t>
  </si>
  <si>
    <t xml:space="preserve">28,516</t>
  </si>
  <si>
    <t xml:space="preserve">$28,516</t>
  </si>
  <si>
    <t xml:space="preserve">CO net vs subcontract growth</t>
  </si>
  <si>
    <t xml:space="preserve">Metric Registry</t>
  </si>
  <si>
    <t xml:space="preserve">Source Tab</t>
  </si>
  <si>
    <t xml:space="preserve">Definition</t>
  </si>
  <si>
    <t xml:space="preserve">01 Overview</t>
  </si>
  <si>
    <t xml:space="preserve">Forecast net profit / Revised contract value</t>
  </si>
  <si>
    <t xml:space="preserve">Billed to date / Revised contract value</t>
  </si>
  <si>
    <t xml:space="preserve">Roughin labor share</t>
  </si>
  <si>
    <t xml:space="preserve">06 Cost Codes</t>
  </si>
  <si>
    <t xml:space="preserve">Code 120 revised / Total labor revised budget</t>
  </si>
  <si>
    <t xml:space="preserve">09 Vendor Analysis</t>
  </si>
  <si>
    <t xml:space="preserve">Largest single vendor AP spend / Total AP</t>
  </si>
  <si>
    <t xml:space="preserve">12 Productivity</t>
  </si>
  <si>
    <t xml:space="preserve">Total PR hours to date / Unit count</t>
  </si>
  <si>
    <t xml:space="preserve">BVA status codes</t>
  </si>
  <si>
    <t xml:space="preserve">08 BVA</t>
  </si>
  <si>
    <t xml:space="preserve">OVER / CRITICAL / UNDER / ON / UNBUDGETED on revised basis</t>
  </si>
  <si>
    <t xml:space="preserve">Workbook Change Log</t>
  </si>
  <si>
    <t xml:space="preserve">Version</t>
  </si>
  <si>
    <t xml:space="preserve">Note</t>
  </si>
  <si>
    <t xml:space="preserve">2026-04-27</t>
  </si>
  <si>
    <t xml:space="preserve">v1.0 · closed</t>
  </si>
  <si>
    <t xml:space="preserve">Initial build for #2061 closed project. 17-tab JCR schema on revised budget basis.</t>
  </si>
  <si>
    <t xml:space="preserve">v1.1 · enriched</t>
  </si>
  <si>
    <t xml:space="preserve">Enriched Job Info tab with 11-section sectioned layout (identity / schedule / contract &amp; financials / scope &amp; fixture profile / project team — 4 sub-sections / document meta / data sources / project narrative). Added Project Team block to Overview. Populated Change Orders + SOV-PayApps + Reconciliation tabs from dashboard_arrays. Sourced from executed subcontract (L1.220000) + GDrive Job Book + Plumbing Fixture Schedule. 17-tab JCR · 0 formula errors.</t>
  </si>
  <si>
    <t xml:space="preserve">v1.2 · fixtures verified</t>
  </si>
  <si>
    <t xml:space="preserve">Verified unit count = 243 (per OWP Job Ticket 12/01/2020 — corroborated 6 ways) vs 242 in OWP Master Project List. Tabulated full fixture schedule from Job Ticket: 1093 trim fixtures (4.50/unit) or 3,693 grand total including roughins/metering/drains. Updated data.json with fixture_schedule object. Patched 02 Job Info tab.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</si>
</sst>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0.0%;\(0.0%\);\-"/>
    <numFmt numFmtId="167" formatCode="#,##0"/>
    <numFmt numFmtId="168" formatCode="#,##0.0"/>
    <numFmt numFmtId="169" formatCode="\$#,##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2B29"/>
      <name val="Arial"/>
      <family val="0"/>
      <charset val="1"/>
    </font>
    <font>
      <i val="true"/>
      <sz val="9"/>
      <color rgb="FF70655C"/>
      <name val="Arial"/>
      <family val="0"/>
      <charset val="1"/>
    </font>
    <font>
      <b val="true"/>
      <sz val="12"/>
      <color rgb="FF2C2B29"/>
      <name val="Arial"/>
      <family val="0"/>
      <charset val="1"/>
    </font>
    <font>
      <sz val="10"/>
      <color rgb="FF2C2B2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i val="true"/>
      <sz val="9"/>
      <color rgb="FF6B6B6B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4"/>
      <color rgb="FF1F1F1F"/>
      <name val="Arial"/>
      <family val="0"/>
      <charset val="1"/>
    </font>
    <font>
      <b val="true"/>
      <sz val="10"/>
      <color rgb="FF2C2B2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C2B29"/>
        <bgColor rgb="FF1F1F1F"/>
      </patternFill>
    </fill>
    <fill>
      <patternFill patternType="solid">
        <fgColor rgb="FFECF0F1"/>
        <bgColor rgb="FFFFF8E7"/>
      </patternFill>
    </fill>
    <fill>
      <patternFill patternType="solid">
        <fgColor rgb="FF2C3E50"/>
        <bgColor rgb="FF2C2B29"/>
      </patternFill>
    </fill>
    <fill>
      <patternFill patternType="solid">
        <fgColor rgb="FFFFF8E7"/>
        <bgColor rgb="FFFFFFFF"/>
      </patternFill>
    </fill>
    <fill>
      <patternFill patternType="solid">
        <fgColor rgb="FFE8CEC3"/>
        <bgColor rgb="FFD5D8DC"/>
      </patternFill>
    </fill>
    <fill>
      <patternFill patternType="solid">
        <fgColor rgb="FFD5DEC5"/>
        <bgColor rgb="FFD5D8DC"/>
      </patternFill>
    </fill>
    <fill>
      <patternFill patternType="solid">
        <fgColor rgb="FFD4EDDA"/>
        <bgColor rgb="FFD5DEC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D5D8DC"/>
      </left>
      <right/>
      <top style="thin">
        <color rgb="FFD5D8DC"/>
      </top>
      <bottom style="thin">
        <color rgb="FFD5D8DC"/>
      </bottom>
      <diagonal/>
    </border>
    <border diagonalUp="false" diagonalDown="false">
      <left style="thin">
        <color rgb="FFBFB8AE"/>
      </left>
      <right style="thin">
        <color rgb="FFBFB8AE"/>
      </right>
      <top style="thin">
        <color rgb="FFBFB8AE"/>
      </top>
      <bottom style="thin">
        <color rgb="FFBFB8A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8AE"/>
      <rgbColor rgb="FF70655C"/>
      <rgbColor rgb="FF9999FF"/>
      <rgbColor rgb="FF993366"/>
      <rgbColor rgb="FFFFF8E7"/>
      <rgbColor rgb="FFECF0F1"/>
      <rgbColor rgb="FF660066"/>
      <rgbColor rgb="FFFF8080"/>
      <rgbColor rgb="FF0066CC"/>
      <rgbColor rgb="FFD5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DEC5"/>
      <rgbColor rgb="FFD4EDDA"/>
      <rgbColor rgb="FFFFFF99"/>
      <rgbColor rgb="FF99CCFF"/>
      <rgbColor rgb="FFFF99CC"/>
      <rgbColor rgb="FFCC99FF"/>
      <rgbColor rgb="FFE8CEC3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1F1F1F"/>
      <rgbColor rgb="FF993300"/>
      <rgbColor rgb="FF993366"/>
      <rgbColor rgb="FF2C3E50"/>
      <rgbColor rgb="FF2C2B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5" min="2" style="1" width="18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">
        <v>3</v>
      </c>
      <c r="B5" s="6" t="n">
        <v>4430087.88</v>
      </c>
    </row>
    <row r="6" customFormat="false" ht="15" hidden="false" customHeight="true" outlineLevel="0" collapsed="false">
      <c r="A6" s="5" t="s">
        <v>4</v>
      </c>
      <c r="B6" s="6" t="n">
        <v>3315129.39</v>
      </c>
    </row>
    <row r="7" customFormat="false" ht="15" hidden="false" customHeight="true" outlineLevel="0" collapsed="false">
      <c r="A7" s="5" t="s">
        <v>5</v>
      </c>
      <c r="B7" s="7" t="n">
        <f aca="false">B5-B6</f>
        <v>1114958.49</v>
      </c>
    </row>
    <row r="8" customFormat="false" ht="15" hidden="false" customHeight="true" outlineLevel="0" collapsed="false">
      <c r="A8" s="5" t="s">
        <v>6</v>
      </c>
      <c r="B8" s="8" t="n">
        <f aca="false">IFERROR(B7/B5,0)</f>
        <v>0.251678639386269</v>
      </c>
    </row>
    <row r="10" customFormat="false" ht="15" hidden="false" customHeight="true" outlineLevel="0" collapsed="false">
      <c r="A10" s="4" t="s">
        <v>7</v>
      </c>
    </row>
    <row r="11" customFormat="false" ht="15" hidden="false" customHeight="true" outlineLevel="0" collapsed="false">
      <c r="A11" s="5" t="s">
        <v>8</v>
      </c>
      <c r="B11" s="6" t="n">
        <v>4430088</v>
      </c>
    </row>
    <row r="12" customFormat="false" ht="15" hidden="false" customHeight="true" outlineLevel="0" collapsed="false">
      <c r="A12" s="5" t="s">
        <v>9</v>
      </c>
      <c r="B12" s="6" t="n">
        <v>221504</v>
      </c>
    </row>
    <row r="13" customFormat="false" ht="15" hidden="false" customHeight="true" outlineLevel="0" collapsed="false">
      <c r="A13" s="5" t="s">
        <v>10</v>
      </c>
      <c r="B13" s="7" t="n">
        <f aca="false">B11-B12</f>
        <v>4208584</v>
      </c>
    </row>
    <row r="14" customFormat="false" ht="15" hidden="false" customHeight="true" outlineLevel="0" collapsed="false">
      <c r="A14" s="5" t="s">
        <v>11</v>
      </c>
      <c r="B14" s="7" t="n">
        <f aca="false">B5-B11</f>
        <v>-0.120000000111759</v>
      </c>
    </row>
    <row r="15" customFormat="false" ht="15" hidden="false" customHeight="true" outlineLevel="0" collapsed="false">
      <c r="A15" s="5" t="s">
        <v>12</v>
      </c>
      <c r="B15" s="8" t="n">
        <f aca="false">IFERROR(B11/B5,0)</f>
        <v>1.0000000270875</v>
      </c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9" t="s">
        <v>14</v>
      </c>
      <c r="B18" s="9" t="s">
        <v>15</v>
      </c>
    </row>
    <row r="19" customFormat="false" ht="15" hidden="false" customHeight="true" outlineLevel="0" collapsed="false">
      <c r="A19" s="5" t="s">
        <v>16</v>
      </c>
      <c r="B19" s="10" t="n">
        <v>140212.19</v>
      </c>
    </row>
    <row r="20" customFormat="false" ht="15" hidden="false" customHeight="true" outlineLevel="0" collapsed="false">
      <c r="A20" s="5" t="s">
        <v>17</v>
      </c>
      <c r="B20" s="10" t="n">
        <v>1007273.23</v>
      </c>
    </row>
    <row r="21" customFormat="false" ht="15" hidden="false" customHeight="true" outlineLevel="0" collapsed="false">
      <c r="A21" s="5" t="s">
        <v>18</v>
      </c>
      <c r="B21" s="10" t="n">
        <v>1450014.32</v>
      </c>
    </row>
    <row r="22" customFormat="false" ht="15" hidden="false" customHeight="true" outlineLevel="0" collapsed="false">
      <c r="A22" s="5" t="s">
        <v>19</v>
      </c>
      <c r="B22" s="10" t="n">
        <v>-4430087.88</v>
      </c>
    </row>
    <row r="40" customFormat="false" ht="15" hidden="false" customHeight="true" outlineLevel="0" collapsed="false">
      <c r="A40" s="11" t="s">
        <v>20</v>
      </c>
      <c r="B40" s="11"/>
      <c r="C40" s="11"/>
      <c r="D40" s="11"/>
      <c r="E40" s="11"/>
      <c r="F40" s="11"/>
      <c r="G40" s="11"/>
      <c r="H40" s="1"/>
    </row>
    <row r="41" customFormat="false" ht="15" hidden="false" customHeight="true" outlineLevel="0" collapsed="false">
      <c r="A41" s="12" t="s">
        <v>21</v>
      </c>
      <c r="B41" s="12"/>
      <c r="C41" s="12"/>
      <c r="D41" s="12"/>
      <c r="E41" s="12"/>
      <c r="F41" s="12"/>
      <c r="G41" s="12"/>
      <c r="H41" s="1"/>
    </row>
    <row r="42" customFormat="false" ht="15" hidden="false" customHeight="true" outlineLevel="0" collapsed="false">
      <c r="F42" s="1"/>
      <c r="G42" s="1"/>
      <c r="H42" s="1"/>
    </row>
    <row r="43" customFormat="false" ht="15" hidden="false" customHeight="true" outlineLevel="0" collapsed="false">
      <c r="A43" s="13" t="s">
        <v>22</v>
      </c>
      <c r="B43" s="13" t="s">
        <v>23</v>
      </c>
      <c r="F43" s="1"/>
      <c r="G43" s="1"/>
      <c r="H43" s="1"/>
    </row>
    <row r="44" customFormat="false" ht="15" hidden="false" customHeight="true" outlineLevel="0" collapsed="false">
      <c r="A44" s="14" t="s">
        <v>24</v>
      </c>
      <c r="B44" s="15" t="s">
        <v>25</v>
      </c>
      <c r="F44" s="1"/>
      <c r="G44" s="1"/>
      <c r="H44" s="1"/>
    </row>
    <row r="45" customFormat="false" ht="15" hidden="false" customHeight="true" outlineLevel="0" collapsed="false">
      <c r="A45" s="14" t="s">
        <v>26</v>
      </c>
      <c r="B45" s="15" t="s">
        <v>27</v>
      </c>
      <c r="F45" s="1"/>
      <c r="G45" s="1"/>
      <c r="H45" s="1"/>
    </row>
    <row r="46" customFormat="false" ht="15" hidden="false" customHeight="true" outlineLevel="0" collapsed="false">
      <c r="A46" s="14" t="s">
        <v>28</v>
      </c>
      <c r="B46" s="15" t="s">
        <v>29</v>
      </c>
      <c r="F46" s="1"/>
      <c r="G46" s="1"/>
      <c r="H46" s="1"/>
    </row>
    <row r="47" customFormat="false" ht="45.75" hidden="false" customHeight="true" outlineLevel="0" collapsed="false">
      <c r="A47" s="14" t="s">
        <v>30</v>
      </c>
      <c r="B47" s="15" t="s">
        <v>31</v>
      </c>
      <c r="F47" s="1"/>
      <c r="G47" s="1"/>
      <c r="H47" s="1"/>
    </row>
    <row r="48" customFormat="false" ht="23.25" hidden="false" customHeight="true" outlineLevel="0" collapsed="false">
      <c r="A48" s="14" t="s">
        <v>32</v>
      </c>
      <c r="B48" s="15" t="s">
        <v>33</v>
      </c>
      <c r="F48" s="1"/>
      <c r="G48" s="1"/>
      <c r="H48" s="1"/>
    </row>
    <row r="49" customFormat="false" ht="23.25" hidden="false" customHeight="true" outlineLevel="0" collapsed="false">
      <c r="A49" s="14" t="s">
        <v>34</v>
      </c>
      <c r="B49" s="15" t="s">
        <v>35</v>
      </c>
      <c r="F49" s="1"/>
      <c r="G49" s="1"/>
      <c r="H49" s="1"/>
    </row>
    <row r="50" customFormat="false" ht="23.25" hidden="false" customHeight="true" outlineLevel="0" collapsed="false">
      <c r="A50" s="14" t="s">
        <v>36</v>
      </c>
      <c r="B50" s="15" t="s">
        <v>37</v>
      </c>
      <c r="F50" s="1"/>
      <c r="G50" s="1"/>
      <c r="H50" s="1"/>
    </row>
    <row r="51" customFormat="false" ht="45.75" hidden="false" customHeight="true" outlineLevel="0" collapsed="false">
      <c r="A51" s="14" t="s">
        <v>38</v>
      </c>
      <c r="B51" s="15" t="s">
        <v>39</v>
      </c>
      <c r="F51" s="1"/>
      <c r="G51" s="1"/>
      <c r="H51" s="1"/>
    </row>
    <row r="52" customFormat="false" ht="57" hidden="false" customHeight="true" outlineLevel="0" collapsed="false">
      <c r="A52" s="14" t="s">
        <v>40</v>
      </c>
      <c r="B52" s="15" t="s">
        <v>41</v>
      </c>
      <c r="F52" s="1"/>
      <c r="G52" s="1"/>
      <c r="H52" s="1"/>
    </row>
    <row r="53" customFormat="false" ht="45.75" hidden="false" customHeight="true" outlineLevel="0" collapsed="false">
      <c r="A53" s="14" t="s">
        <v>42</v>
      </c>
      <c r="B53" s="15" t="s">
        <v>43</v>
      </c>
      <c r="F53" s="1"/>
      <c r="G53" s="1"/>
      <c r="H53" s="1"/>
    </row>
    <row r="54" customFormat="false" ht="45.75" hidden="false" customHeight="true" outlineLevel="0" collapsed="false">
      <c r="A54" s="14" t="s">
        <v>44</v>
      </c>
      <c r="B54" s="15" t="s">
        <v>45</v>
      </c>
      <c r="F54" s="1"/>
      <c r="G54" s="1"/>
      <c r="H54" s="1"/>
    </row>
    <row r="55" customFormat="false" ht="23.25" hidden="false" customHeight="true" outlineLevel="0" collapsed="false">
      <c r="A55" s="14" t="s">
        <v>46</v>
      </c>
      <c r="B55" s="15" t="s">
        <v>47</v>
      </c>
      <c r="F55" s="1"/>
      <c r="G55" s="1"/>
      <c r="H55" s="1"/>
    </row>
    <row r="56" customFormat="false" ht="23.25" hidden="false" customHeight="true" outlineLevel="0" collapsed="false">
      <c r="A56" s="14" t="s">
        <v>48</v>
      </c>
      <c r="B56" s="15" t="s">
        <v>49</v>
      </c>
      <c r="F56" s="1"/>
      <c r="G56" s="1"/>
      <c r="H56" s="1"/>
    </row>
    <row r="57" customFormat="false" ht="15" hidden="false" customHeight="true" outlineLevel="0" collapsed="false">
      <c r="A57" s="14" t="s">
        <v>50</v>
      </c>
      <c r="B57" s="15" t="s">
        <v>51</v>
      </c>
      <c r="F57" s="1"/>
      <c r="G57" s="1"/>
      <c r="H57" s="1"/>
    </row>
    <row r="58" customFormat="false" ht="15" hidden="false" customHeight="true" outlineLevel="0" collapsed="false">
      <c r="A58" s="14" t="s">
        <v>52</v>
      </c>
      <c r="B58" s="15" t="s">
        <v>53</v>
      </c>
      <c r="F58" s="1"/>
      <c r="G58" s="1"/>
      <c r="H58" s="1"/>
    </row>
    <row r="59" customFormat="false" ht="23.25" hidden="false" customHeight="true" outlineLevel="0" collapsed="false">
      <c r="A59" s="14" t="s">
        <v>54</v>
      </c>
      <c r="B59" s="15" t="s">
        <v>55</v>
      </c>
      <c r="F59" s="1"/>
      <c r="G59" s="1"/>
      <c r="H59" s="1"/>
    </row>
    <row r="60" customFormat="false" ht="23.25" hidden="false" customHeight="true" outlineLevel="0" collapsed="false">
      <c r="A60" s="14" t="s">
        <v>56</v>
      </c>
      <c r="B60" s="15" t="s">
        <v>57</v>
      </c>
      <c r="F60" s="1"/>
      <c r="G60" s="1"/>
      <c r="H60" s="1"/>
    </row>
    <row r="61" customFormat="false" ht="23.25" hidden="false" customHeight="true" outlineLevel="0" collapsed="false">
      <c r="A61" s="14" t="s">
        <v>58</v>
      </c>
      <c r="B61" s="15" t="s">
        <v>59</v>
      </c>
      <c r="F61" s="1"/>
      <c r="G61" s="1"/>
      <c r="H61" s="1"/>
    </row>
    <row r="62" customFormat="false" ht="15" hidden="false" customHeight="true" outlineLevel="0" collapsed="false">
      <c r="F62" s="1"/>
      <c r="G62" s="1"/>
      <c r="H62" s="1"/>
    </row>
    <row r="63" customFormat="false" ht="15" hidden="false" customHeight="true" outlineLevel="0" collapsed="false">
      <c r="F63" s="1"/>
      <c r="G63" s="1"/>
      <c r="H63" s="1"/>
    </row>
    <row r="64" customFormat="false" ht="15" hidden="false" customHeight="true" outlineLevel="0" collapsed="false">
      <c r="F64" s="1"/>
      <c r="G64" s="1"/>
      <c r="H64" s="1"/>
    </row>
    <row r="65" customFormat="false" ht="15" hidden="false" customHeight="true" outlineLevel="0" collapsed="false">
      <c r="F65" s="1"/>
      <c r="G65" s="1"/>
      <c r="H65" s="1"/>
    </row>
    <row r="66" customFormat="false" ht="15" hidden="false" customHeight="true" outlineLevel="0" collapsed="false">
      <c r="F66" s="1"/>
      <c r="G66" s="1"/>
      <c r="H66" s="1"/>
    </row>
    <row r="67" customFormat="false" ht="15" hidden="false" customHeight="true" outlineLevel="0" collapsed="false">
      <c r="F67" s="1"/>
      <c r="G67" s="1"/>
      <c r="H67" s="1"/>
    </row>
    <row r="68" customFormat="false" ht="15" hidden="false" customHeight="true" outlineLevel="0" collapsed="false">
      <c r="F68" s="1"/>
      <c r="G68" s="1"/>
      <c r="H68" s="1"/>
    </row>
    <row r="69" customFormat="false" ht="15" hidden="false" customHeight="true" outlineLevel="0" collapsed="false">
      <c r="F69" s="1"/>
      <c r="G69" s="1"/>
      <c r="H69" s="1"/>
    </row>
    <row r="70" customFormat="false" ht="15" hidden="false" customHeight="true" outlineLevel="0" collapsed="false">
      <c r="F70" s="1"/>
      <c r="G70" s="1"/>
      <c r="H70" s="1"/>
    </row>
  </sheetData>
  <mergeCells count="2">
    <mergeCell ref="A40:G40"/>
    <mergeCell ref="A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36"/>
    <col collapsed="false" customWidth="true" hidden="false" outlineLevel="0" max="5" min="3" style="1" width="18"/>
    <col collapsed="false" customWidth="true" hidden="false" outlineLevel="0" max="6" min="6" style="1" width="28"/>
  </cols>
  <sheetData>
    <row r="1" customFormat="false" ht="19.5" hidden="false" customHeight="true" outlineLevel="0" collapsed="false">
      <c r="A1" s="16" t="s">
        <v>60</v>
      </c>
      <c r="B1" s="16"/>
      <c r="C1" s="16"/>
      <c r="D1" s="16"/>
      <c r="E1" s="16"/>
      <c r="F1" s="16"/>
    </row>
    <row r="2" customFormat="false" ht="15" hidden="false" customHeight="true" outlineLevel="0" collapsed="false">
      <c r="A2" s="12" t="s">
        <v>61</v>
      </c>
      <c r="B2" s="12"/>
      <c r="C2" s="12"/>
      <c r="D2" s="12"/>
      <c r="E2" s="12"/>
      <c r="F2" s="12"/>
    </row>
    <row r="3" customFormat="false" ht="15" hidden="false" customHeight="true" outlineLevel="0" collapsed="false">
      <c r="A3" s="17"/>
      <c r="B3" s="5"/>
    </row>
    <row r="4" customFormat="false" ht="15" hidden="false" customHeight="true" outlineLevel="0" collapsed="false">
      <c r="A4" s="18" t="s">
        <v>62</v>
      </c>
      <c r="B4" s="18"/>
      <c r="C4" s="18"/>
      <c r="D4" s="18"/>
      <c r="E4" s="18"/>
      <c r="F4" s="18"/>
    </row>
    <row r="5" customFormat="false" ht="15" hidden="false" customHeight="true" outlineLevel="0" collapsed="false">
      <c r="A5" s="19" t="s">
        <v>63</v>
      </c>
      <c r="B5" s="20" t="s">
        <v>64</v>
      </c>
      <c r="C5" s="20"/>
      <c r="D5" s="20"/>
      <c r="E5" s="20"/>
      <c r="F5" s="20"/>
    </row>
    <row r="6" customFormat="false" ht="15" hidden="false" customHeight="true" outlineLevel="0" collapsed="false">
      <c r="A6" s="19" t="s">
        <v>65</v>
      </c>
      <c r="B6" s="20" t="s">
        <v>66</v>
      </c>
      <c r="C6" s="20"/>
      <c r="D6" s="20"/>
      <c r="E6" s="20"/>
      <c r="F6" s="20"/>
    </row>
    <row r="7" customFormat="false" ht="15" hidden="false" customHeight="true" outlineLevel="0" collapsed="false">
      <c r="A7" s="19" t="s">
        <v>67</v>
      </c>
      <c r="B7" s="20" t="s">
        <v>68</v>
      </c>
      <c r="C7" s="20"/>
      <c r="D7" s="20"/>
      <c r="E7" s="20"/>
      <c r="F7" s="20"/>
    </row>
    <row r="8" customFormat="false" ht="15" hidden="false" customHeight="true" outlineLevel="0" collapsed="false">
      <c r="A8" s="19" t="s">
        <v>69</v>
      </c>
      <c r="B8" s="20" t="s">
        <v>70</v>
      </c>
      <c r="C8" s="20"/>
      <c r="D8" s="20"/>
      <c r="E8" s="20"/>
      <c r="F8" s="20"/>
    </row>
    <row r="9" customFormat="false" ht="15" hidden="false" customHeight="true" outlineLevel="0" collapsed="false">
      <c r="A9" s="19" t="s">
        <v>42</v>
      </c>
      <c r="B9" s="20" t="s">
        <v>43</v>
      </c>
      <c r="C9" s="20"/>
      <c r="D9" s="20"/>
      <c r="E9" s="20"/>
      <c r="F9" s="20"/>
    </row>
    <row r="10" customFormat="false" ht="15" hidden="false" customHeight="true" outlineLevel="0" collapsed="false">
      <c r="A10" s="19" t="s">
        <v>71</v>
      </c>
      <c r="B10" s="20" t="s">
        <v>72</v>
      </c>
      <c r="C10" s="20"/>
      <c r="D10" s="20"/>
      <c r="E10" s="20"/>
      <c r="F10" s="20"/>
    </row>
    <row r="11" customFormat="false" ht="15" hidden="false" customHeight="true" outlineLevel="0" collapsed="false">
      <c r="A11" s="19" t="s">
        <v>48</v>
      </c>
      <c r="B11" s="20" t="s">
        <v>49</v>
      </c>
      <c r="C11" s="20"/>
      <c r="D11" s="20"/>
      <c r="E11" s="20"/>
      <c r="F11" s="20"/>
    </row>
    <row r="12" customFormat="false" ht="15" hidden="false" customHeight="true" outlineLevel="0" collapsed="false">
      <c r="A12" s="19" t="s">
        <v>73</v>
      </c>
      <c r="B12" s="20" t="s">
        <v>74</v>
      </c>
      <c r="C12" s="20"/>
      <c r="D12" s="20"/>
      <c r="E12" s="20"/>
      <c r="F12" s="20"/>
    </row>
    <row r="13" customFormat="false" ht="15" hidden="false" customHeight="true" outlineLevel="0" collapsed="false">
      <c r="A13" s="19" t="s">
        <v>75</v>
      </c>
      <c r="B13" s="20" t="s">
        <v>76</v>
      </c>
      <c r="C13" s="20"/>
      <c r="D13" s="20"/>
      <c r="E13" s="20"/>
      <c r="F13" s="20"/>
    </row>
    <row r="14" customFormat="false" ht="15" hidden="false" customHeight="true" outlineLevel="0" collapsed="false">
      <c r="A14" s="19" t="s">
        <v>77</v>
      </c>
      <c r="B14" s="20" t="s">
        <v>78</v>
      </c>
      <c r="C14" s="20"/>
      <c r="D14" s="20"/>
      <c r="E14" s="20"/>
      <c r="F14" s="20"/>
    </row>
    <row r="15" customFormat="false" ht="15" hidden="false" customHeight="true" outlineLevel="0" collapsed="false"/>
    <row r="16" customFormat="false" ht="15" hidden="false" customHeight="true" outlineLevel="0" collapsed="false">
      <c r="A16" s="18" t="s">
        <v>79</v>
      </c>
      <c r="B16" s="18"/>
      <c r="C16" s="18"/>
      <c r="D16" s="18"/>
      <c r="E16" s="18"/>
      <c r="F16" s="18"/>
    </row>
    <row r="17" customFormat="false" ht="15" hidden="false" customHeight="true" outlineLevel="0" collapsed="false">
      <c r="A17" s="19" t="s">
        <v>80</v>
      </c>
      <c r="B17" s="20" t="s">
        <v>81</v>
      </c>
      <c r="C17" s="20"/>
      <c r="D17" s="20"/>
      <c r="E17" s="20"/>
      <c r="F17" s="20"/>
    </row>
    <row r="18" customFormat="false" ht="15" hidden="false" customHeight="true" outlineLevel="0" collapsed="false">
      <c r="A18" s="19" t="s">
        <v>82</v>
      </c>
      <c r="B18" s="20" t="s">
        <v>83</v>
      </c>
      <c r="C18" s="20"/>
      <c r="D18" s="20"/>
      <c r="E18" s="20"/>
      <c r="F18" s="20"/>
    </row>
    <row r="19" customFormat="false" ht="15" hidden="false" customHeight="true" outlineLevel="0" collapsed="false">
      <c r="A19" s="19" t="s">
        <v>84</v>
      </c>
      <c r="B19" s="20" t="s">
        <v>85</v>
      </c>
      <c r="C19" s="20"/>
      <c r="D19" s="20"/>
      <c r="E19" s="20"/>
      <c r="F19" s="20"/>
    </row>
    <row r="20" customFormat="false" ht="15" hidden="false" customHeight="true" outlineLevel="0" collapsed="false">
      <c r="A20" s="19" t="s">
        <v>86</v>
      </c>
      <c r="B20" s="20" t="s">
        <v>87</v>
      </c>
      <c r="C20" s="20"/>
      <c r="D20" s="20"/>
      <c r="E20" s="20"/>
      <c r="F20" s="20"/>
    </row>
    <row r="21" customFormat="false" ht="15" hidden="false" customHeight="true" outlineLevel="0" collapsed="false">
      <c r="A21" s="19" t="s">
        <v>88</v>
      </c>
      <c r="B21" s="20" t="s">
        <v>89</v>
      </c>
      <c r="C21" s="20"/>
      <c r="D21" s="20"/>
      <c r="E21" s="20"/>
      <c r="F21" s="20"/>
    </row>
    <row r="23" customFormat="false" ht="15" hidden="false" customHeight="true" outlineLevel="0" collapsed="false">
      <c r="A23" s="18" t="s">
        <v>90</v>
      </c>
      <c r="B23" s="18"/>
      <c r="C23" s="18"/>
      <c r="D23" s="18"/>
      <c r="E23" s="18"/>
      <c r="F23" s="18"/>
    </row>
    <row r="24" customFormat="false" ht="15" hidden="false" customHeight="true" outlineLevel="0" collapsed="false">
      <c r="A24" s="19" t="s">
        <v>50</v>
      </c>
      <c r="B24" s="20" t="s">
        <v>51</v>
      </c>
      <c r="C24" s="20"/>
      <c r="D24" s="20"/>
      <c r="E24" s="20"/>
      <c r="F24" s="20"/>
    </row>
    <row r="25" customFormat="false" ht="15" hidden="false" customHeight="true" outlineLevel="0" collapsed="false">
      <c r="A25" s="19" t="s">
        <v>91</v>
      </c>
      <c r="B25" s="20" t="s">
        <v>92</v>
      </c>
      <c r="C25" s="20"/>
      <c r="D25" s="20"/>
      <c r="E25" s="20"/>
      <c r="F25" s="20"/>
    </row>
    <row r="26" customFormat="false" ht="15" hidden="false" customHeight="true" outlineLevel="0" collapsed="false">
      <c r="A26" s="19" t="s">
        <v>52</v>
      </c>
      <c r="B26" s="20" t="s">
        <v>53</v>
      </c>
      <c r="C26" s="20"/>
      <c r="D26" s="20"/>
      <c r="E26" s="20"/>
      <c r="F26" s="20"/>
    </row>
    <row r="27" customFormat="false" ht="15" hidden="false" customHeight="true" outlineLevel="0" collapsed="false">
      <c r="A27" s="19" t="s">
        <v>93</v>
      </c>
      <c r="B27" s="20" t="s">
        <v>53</v>
      </c>
      <c r="C27" s="20"/>
      <c r="D27" s="20"/>
      <c r="E27" s="20"/>
      <c r="F27" s="20"/>
    </row>
    <row r="28" customFormat="false" ht="15" hidden="false" customHeight="true" outlineLevel="0" collapsed="false">
      <c r="A28" s="19" t="s">
        <v>94</v>
      </c>
      <c r="B28" s="20" t="s">
        <v>95</v>
      </c>
      <c r="C28" s="20"/>
      <c r="D28" s="20"/>
      <c r="E28" s="20"/>
      <c r="F28" s="20"/>
    </row>
    <row r="29" customFormat="false" ht="15" hidden="false" customHeight="true" outlineLevel="0" collapsed="false">
      <c r="A29" s="19" t="s">
        <v>54</v>
      </c>
      <c r="B29" s="20" t="s">
        <v>96</v>
      </c>
      <c r="C29" s="20"/>
      <c r="D29" s="20"/>
      <c r="E29" s="20"/>
      <c r="F29" s="20"/>
    </row>
    <row r="30" customFormat="false" ht="15" hidden="false" customHeight="true" outlineLevel="0" collapsed="false">
      <c r="A30" s="19" t="s">
        <v>97</v>
      </c>
      <c r="B30" s="20" t="s">
        <v>98</v>
      </c>
      <c r="C30" s="20"/>
      <c r="D30" s="20"/>
      <c r="E30" s="20"/>
      <c r="F30" s="20"/>
    </row>
    <row r="31" customFormat="false" ht="15" hidden="false" customHeight="true" outlineLevel="0" collapsed="false">
      <c r="A31" s="19" t="s">
        <v>99</v>
      </c>
      <c r="B31" s="20" t="s">
        <v>100</v>
      </c>
      <c r="C31" s="20"/>
      <c r="D31" s="20"/>
      <c r="E31" s="20"/>
      <c r="F31" s="20"/>
    </row>
    <row r="32" customFormat="false" ht="15" hidden="false" customHeight="true" outlineLevel="0" collapsed="false">
      <c r="A32" s="19" t="s">
        <v>56</v>
      </c>
      <c r="B32" s="20" t="s">
        <v>101</v>
      </c>
      <c r="C32" s="20"/>
      <c r="D32" s="20"/>
      <c r="E32" s="20"/>
      <c r="F32" s="20"/>
    </row>
    <row r="33" customFormat="false" ht="15" hidden="false" customHeight="true" outlineLevel="0" collapsed="false">
      <c r="A33" s="19" t="s">
        <v>44</v>
      </c>
      <c r="B33" s="20" t="s">
        <v>45</v>
      </c>
      <c r="C33" s="20"/>
      <c r="D33" s="20"/>
      <c r="E33" s="20"/>
      <c r="F33" s="20"/>
    </row>
    <row r="34" customFormat="false" ht="15" hidden="false" customHeight="true" outlineLevel="0" collapsed="false">
      <c r="A34" s="19" t="s">
        <v>102</v>
      </c>
      <c r="B34" s="20" t="s">
        <v>103</v>
      </c>
      <c r="C34" s="20"/>
      <c r="D34" s="20"/>
      <c r="E34" s="20"/>
      <c r="F34" s="20"/>
    </row>
    <row r="35" customFormat="false" ht="15" hidden="false" customHeight="true" outlineLevel="0" collapsed="false">
      <c r="A35" s="19" t="s">
        <v>104</v>
      </c>
      <c r="B35" s="20" t="s">
        <v>105</v>
      </c>
      <c r="C35" s="20"/>
      <c r="D35" s="20"/>
      <c r="E35" s="20"/>
      <c r="F35" s="20"/>
    </row>
    <row r="36" customFormat="false" ht="15" hidden="false" customHeight="true" outlineLevel="0" collapsed="false">
      <c r="A36" s="19" t="s">
        <v>106</v>
      </c>
      <c r="B36" s="20" t="s">
        <v>107</v>
      </c>
      <c r="C36" s="20"/>
      <c r="D36" s="20"/>
      <c r="E36" s="20"/>
      <c r="F36" s="20"/>
    </row>
    <row r="38" customFormat="false" ht="15" hidden="false" customHeight="true" outlineLevel="0" collapsed="false">
      <c r="A38" s="18" t="s">
        <v>108</v>
      </c>
      <c r="B38" s="18"/>
      <c r="C38" s="18"/>
      <c r="D38" s="18"/>
      <c r="E38" s="18"/>
      <c r="F38" s="18"/>
    </row>
    <row r="39" customFormat="false" ht="15" hidden="false" customHeight="true" outlineLevel="0" collapsed="false">
      <c r="A39" s="19" t="s">
        <v>109</v>
      </c>
      <c r="B39" s="21" t="s">
        <v>110</v>
      </c>
      <c r="C39" s="21"/>
      <c r="D39" s="21"/>
      <c r="E39" s="21"/>
      <c r="F39" s="21"/>
    </row>
    <row r="40" customFormat="false" ht="15" hidden="false" customHeight="true" outlineLevel="0" collapsed="false">
      <c r="A40" s="19" t="s">
        <v>111</v>
      </c>
      <c r="B40" s="20" t="s">
        <v>112</v>
      </c>
      <c r="C40" s="20"/>
      <c r="D40" s="20"/>
      <c r="E40" s="20"/>
      <c r="F40" s="20"/>
    </row>
    <row r="41" customFormat="false" ht="23.25" hidden="false" customHeight="true" outlineLevel="0" collapsed="false">
      <c r="A41" s="19" t="s">
        <v>113</v>
      </c>
      <c r="B41" s="20" t="s">
        <v>114</v>
      </c>
      <c r="C41" s="20"/>
      <c r="D41" s="20"/>
      <c r="E41" s="20"/>
      <c r="F41" s="20"/>
    </row>
    <row r="42" customFormat="false" ht="15" hidden="false" customHeight="true" outlineLevel="0" collapsed="false">
      <c r="A42" s="19" t="s">
        <v>115</v>
      </c>
      <c r="B42" s="20" t="s">
        <v>116</v>
      </c>
      <c r="C42" s="20"/>
      <c r="D42" s="20"/>
      <c r="E42" s="20"/>
      <c r="F42" s="20"/>
    </row>
    <row r="43" customFormat="false" ht="15" hidden="false" customHeight="true" outlineLevel="0" collapsed="false">
      <c r="A43" s="19" t="s">
        <v>117</v>
      </c>
      <c r="B43" s="20" t="s">
        <v>118</v>
      </c>
      <c r="C43" s="20"/>
      <c r="D43" s="20"/>
      <c r="E43" s="20"/>
      <c r="F43" s="20"/>
    </row>
    <row r="44" customFormat="false" ht="15" hidden="false" customHeight="true" outlineLevel="0" collapsed="false">
      <c r="A44" s="19" t="s">
        <v>119</v>
      </c>
      <c r="B44" s="20" t="s">
        <v>120</v>
      </c>
      <c r="C44" s="20"/>
      <c r="D44" s="20"/>
      <c r="E44" s="20"/>
      <c r="F44" s="20"/>
    </row>
    <row r="46" customFormat="false" ht="15" hidden="false" customHeight="true" outlineLevel="0" collapsed="false">
      <c r="A46" s="18" t="s">
        <v>121</v>
      </c>
      <c r="B46" s="18"/>
      <c r="C46" s="18"/>
      <c r="D46" s="18"/>
      <c r="E46" s="18"/>
      <c r="F46" s="18"/>
    </row>
    <row r="47" customFormat="false" ht="15" hidden="false" customHeight="true" outlineLevel="0" collapsed="false">
      <c r="A47" s="14" t="s">
        <v>24</v>
      </c>
      <c r="B47" s="22" t="s">
        <v>25</v>
      </c>
      <c r="C47" s="22"/>
      <c r="D47" s="22"/>
      <c r="E47" s="22"/>
      <c r="F47" s="22"/>
    </row>
    <row r="48" customFormat="false" ht="15" hidden="false" customHeight="true" outlineLevel="0" collapsed="false">
      <c r="A48" s="14" t="s">
        <v>122</v>
      </c>
      <c r="B48" s="22" t="s">
        <v>123</v>
      </c>
      <c r="C48" s="22"/>
      <c r="D48" s="22"/>
      <c r="E48" s="22"/>
      <c r="F48" s="22"/>
    </row>
    <row r="49" customFormat="false" ht="15" hidden="false" customHeight="true" outlineLevel="0" collapsed="false">
      <c r="A49" s="14" t="s">
        <v>26</v>
      </c>
      <c r="B49" s="22" t="s">
        <v>27</v>
      </c>
      <c r="C49" s="22"/>
      <c r="D49" s="22"/>
      <c r="E49" s="22"/>
      <c r="F49" s="22"/>
    </row>
    <row r="50" customFormat="false" ht="15" hidden="false" customHeight="true" outlineLevel="0" collapsed="false">
      <c r="A50" s="14" t="s">
        <v>124</v>
      </c>
      <c r="B50" s="22" t="s">
        <v>125</v>
      </c>
      <c r="C50" s="22"/>
      <c r="D50" s="22"/>
      <c r="E50" s="22"/>
      <c r="F50" s="22"/>
    </row>
    <row r="51" customFormat="false" ht="15" hidden="false" customHeight="true" outlineLevel="0" collapsed="false">
      <c r="A51" s="14" t="s">
        <v>126</v>
      </c>
      <c r="B51" s="22" t="s">
        <v>127</v>
      </c>
      <c r="C51" s="22"/>
      <c r="D51" s="22"/>
      <c r="E51" s="22"/>
      <c r="F51" s="22"/>
    </row>
    <row r="52" customFormat="false" ht="15" hidden="false" customHeight="true" outlineLevel="0" collapsed="false">
      <c r="A52" s="14" t="s">
        <v>128</v>
      </c>
      <c r="B52" s="22" t="s">
        <v>129</v>
      </c>
      <c r="C52" s="22"/>
      <c r="D52" s="22"/>
      <c r="E52" s="22"/>
      <c r="F52" s="22"/>
    </row>
    <row r="54" customFormat="false" ht="15" hidden="false" customHeight="true" outlineLevel="0" collapsed="false">
      <c r="A54" s="18" t="s">
        <v>130</v>
      </c>
      <c r="B54" s="18"/>
      <c r="C54" s="18"/>
      <c r="D54" s="18"/>
      <c r="E54" s="18"/>
      <c r="F54" s="18"/>
    </row>
    <row r="55" customFormat="false" ht="15" hidden="false" customHeight="true" outlineLevel="0" collapsed="false">
      <c r="A55" s="14" t="s">
        <v>131</v>
      </c>
      <c r="B55" s="22" t="s">
        <v>125</v>
      </c>
      <c r="C55" s="22"/>
      <c r="D55" s="22"/>
      <c r="E55" s="22"/>
      <c r="F55" s="22"/>
    </row>
    <row r="56" customFormat="false" ht="15" hidden="false" customHeight="true" outlineLevel="0" collapsed="false">
      <c r="A56" s="14" t="s">
        <v>132</v>
      </c>
      <c r="B56" s="22" t="s">
        <v>127</v>
      </c>
      <c r="C56" s="22"/>
      <c r="D56" s="22"/>
      <c r="E56" s="22"/>
      <c r="F56" s="22"/>
    </row>
    <row r="57" customFormat="false" ht="15" hidden="false" customHeight="true" outlineLevel="0" collapsed="false">
      <c r="A57" s="14" t="s">
        <v>28</v>
      </c>
      <c r="B57" s="22" t="s">
        <v>29</v>
      </c>
      <c r="C57" s="22"/>
      <c r="D57" s="22"/>
      <c r="E57" s="22"/>
      <c r="F57" s="22"/>
    </row>
    <row r="58" customFormat="false" ht="15" hidden="false" customHeight="true" outlineLevel="0" collapsed="false">
      <c r="A58" s="14" t="s">
        <v>30</v>
      </c>
      <c r="B58" s="22" t="s">
        <v>31</v>
      </c>
      <c r="C58" s="22"/>
      <c r="D58" s="22"/>
      <c r="E58" s="22"/>
      <c r="F58" s="22"/>
    </row>
    <row r="59" customFormat="false" ht="15" hidden="false" customHeight="true" outlineLevel="0" collapsed="false">
      <c r="A59" s="14" t="s">
        <v>133</v>
      </c>
      <c r="B59" s="22" t="s">
        <v>59</v>
      </c>
      <c r="C59" s="22"/>
      <c r="D59" s="22"/>
      <c r="E59" s="22"/>
      <c r="F59" s="22"/>
    </row>
    <row r="61" customFormat="false" ht="15" hidden="false" customHeight="true" outlineLevel="0" collapsed="false">
      <c r="A61" s="18" t="s">
        <v>134</v>
      </c>
      <c r="B61" s="18"/>
      <c r="C61" s="18"/>
      <c r="D61" s="18"/>
      <c r="E61" s="18"/>
      <c r="F61" s="18"/>
    </row>
    <row r="62" customFormat="false" ht="15" hidden="false" customHeight="true" outlineLevel="0" collapsed="false">
      <c r="A62" s="14" t="s">
        <v>32</v>
      </c>
      <c r="B62" s="22" t="s">
        <v>33</v>
      </c>
      <c r="C62" s="22"/>
      <c r="D62" s="22"/>
      <c r="E62" s="22"/>
      <c r="F62" s="22"/>
    </row>
    <row r="63" customFormat="false" ht="15" hidden="false" customHeight="true" outlineLevel="0" collapsed="false">
      <c r="A63" s="14" t="s">
        <v>34</v>
      </c>
      <c r="B63" s="22" t="s">
        <v>35</v>
      </c>
      <c r="C63" s="22"/>
      <c r="D63" s="22"/>
      <c r="E63" s="22"/>
      <c r="F63" s="22"/>
    </row>
    <row r="65" customFormat="false" ht="15" hidden="false" customHeight="true" outlineLevel="0" collapsed="false">
      <c r="A65" s="18" t="s">
        <v>135</v>
      </c>
      <c r="B65" s="18"/>
      <c r="C65" s="18"/>
      <c r="D65" s="18"/>
      <c r="E65" s="18"/>
      <c r="F65" s="18"/>
    </row>
    <row r="66" customFormat="false" ht="15" hidden="false" customHeight="true" outlineLevel="0" collapsed="false">
      <c r="A66" s="14" t="s">
        <v>36</v>
      </c>
      <c r="B66" s="22" t="s">
        <v>37</v>
      </c>
      <c r="C66" s="22"/>
      <c r="D66" s="22"/>
      <c r="E66" s="22"/>
      <c r="F66" s="22"/>
    </row>
    <row r="67" customFormat="false" ht="15" hidden="false" customHeight="true" outlineLevel="0" collapsed="false">
      <c r="A67" s="14" t="s">
        <v>38</v>
      </c>
      <c r="B67" s="22" t="s">
        <v>39</v>
      </c>
      <c r="C67" s="22"/>
      <c r="D67" s="22"/>
      <c r="E67" s="22"/>
      <c r="F67" s="22"/>
    </row>
    <row r="68" customFormat="false" ht="15" hidden="false" customHeight="true" outlineLevel="0" collapsed="false">
      <c r="A68" s="14" t="s">
        <v>136</v>
      </c>
      <c r="B68" s="22" t="s">
        <v>137</v>
      </c>
      <c r="C68" s="22"/>
      <c r="D68" s="22"/>
      <c r="E68" s="22"/>
      <c r="F68" s="22"/>
    </row>
    <row r="69" customFormat="false" ht="15" hidden="false" customHeight="true" outlineLevel="0" collapsed="false">
      <c r="A69" s="14" t="s">
        <v>40</v>
      </c>
      <c r="B69" s="22" t="s">
        <v>41</v>
      </c>
      <c r="C69" s="22"/>
      <c r="D69" s="22"/>
      <c r="E69" s="22"/>
      <c r="F69" s="22"/>
    </row>
    <row r="70" customFormat="false" ht="15" hidden="false" customHeight="true" outlineLevel="0" collapsed="false">
      <c r="A70" s="14" t="s">
        <v>138</v>
      </c>
      <c r="B70" s="22" t="s">
        <v>139</v>
      </c>
      <c r="C70" s="22"/>
      <c r="D70" s="22"/>
      <c r="E70" s="22"/>
      <c r="F70" s="22"/>
    </row>
    <row r="71" customFormat="false" ht="15" hidden="false" customHeight="true" outlineLevel="0" collapsed="false">
      <c r="A71" s="14" t="s">
        <v>140</v>
      </c>
      <c r="B71" s="22" t="s">
        <v>141</v>
      </c>
      <c r="C71" s="22"/>
      <c r="D71" s="22"/>
      <c r="E71" s="22"/>
      <c r="F71" s="22"/>
    </row>
    <row r="73" customFormat="false" ht="15" hidden="false" customHeight="true" outlineLevel="0" collapsed="false">
      <c r="A73" s="18" t="s">
        <v>142</v>
      </c>
      <c r="B73" s="18"/>
      <c r="C73" s="18"/>
      <c r="D73" s="18"/>
      <c r="E73" s="18"/>
      <c r="F73" s="18"/>
    </row>
    <row r="74" customFormat="false" ht="15" hidden="false" customHeight="true" outlineLevel="0" collapsed="false">
      <c r="A74" s="14" t="s">
        <v>143</v>
      </c>
      <c r="B74" s="22" t="s">
        <v>144</v>
      </c>
      <c r="C74" s="22"/>
      <c r="D74" s="22"/>
      <c r="E74" s="22"/>
      <c r="F74" s="22"/>
    </row>
    <row r="75" customFormat="false" ht="15" hidden="false" customHeight="true" outlineLevel="0" collapsed="false">
      <c r="A75" s="14" t="s">
        <v>145</v>
      </c>
      <c r="B75" s="22" t="s">
        <v>146</v>
      </c>
      <c r="C75" s="22"/>
      <c r="D75" s="22"/>
      <c r="E75" s="22"/>
      <c r="F75" s="22"/>
    </row>
    <row r="76" customFormat="false" ht="15" hidden="false" customHeight="true" outlineLevel="0" collapsed="false">
      <c r="A76" s="14" t="s">
        <v>147</v>
      </c>
      <c r="B76" s="22" t="s">
        <v>148</v>
      </c>
      <c r="C76" s="22"/>
      <c r="D76" s="22"/>
      <c r="E76" s="22"/>
      <c r="F76" s="22"/>
    </row>
    <row r="77" customFormat="false" ht="15" hidden="false" customHeight="true" outlineLevel="0" collapsed="false">
      <c r="A77" s="14" t="s">
        <v>149</v>
      </c>
      <c r="B77" s="22" t="s">
        <v>150</v>
      </c>
      <c r="C77" s="22"/>
      <c r="D77" s="22"/>
      <c r="E77" s="22"/>
      <c r="F77" s="22"/>
    </row>
    <row r="78" customFormat="false" ht="15" hidden="false" customHeight="true" outlineLevel="0" collapsed="false">
      <c r="A78" s="14" t="s">
        <v>151</v>
      </c>
      <c r="B78" s="22" t="s">
        <v>152</v>
      </c>
      <c r="C78" s="22"/>
      <c r="D78" s="22"/>
      <c r="E78" s="22"/>
      <c r="F78" s="22"/>
    </row>
    <row r="79" customFormat="false" ht="15" hidden="false" customHeight="true" outlineLevel="0" collapsed="false">
      <c r="A79" s="14" t="s">
        <v>153</v>
      </c>
      <c r="B79" s="22" t="s">
        <v>154</v>
      </c>
      <c r="C79" s="22"/>
      <c r="D79" s="22"/>
      <c r="E79" s="22"/>
      <c r="F79" s="22"/>
    </row>
    <row r="80" customFormat="false" ht="15" hidden="false" customHeight="true" outlineLevel="0" collapsed="false">
      <c r="A80" s="14" t="s">
        <v>155</v>
      </c>
      <c r="B80" s="22" t="s">
        <v>156</v>
      </c>
      <c r="C80" s="22"/>
      <c r="D80" s="22"/>
      <c r="E80" s="22"/>
      <c r="F80" s="22"/>
    </row>
    <row r="81" customFormat="false" ht="15" hidden="false" customHeight="true" outlineLevel="0" collapsed="false">
      <c r="A81" s="14" t="s">
        <v>157</v>
      </c>
      <c r="B81" s="22" t="s">
        <v>158</v>
      </c>
      <c r="C81" s="22"/>
      <c r="D81" s="22"/>
      <c r="E81" s="22"/>
      <c r="F81" s="22"/>
    </row>
    <row r="82" customFormat="false" ht="15" hidden="false" customHeight="true" outlineLevel="0" collapsed="false">
      <c r="A82" s="14" t="s">
        <v>159</v>
      </c>
      <c r="B82" s="22" t="s">
        <v>160</v>
      </c>
      <c r="C82" s="22"/>
      <c r="D82" s="22"/>
      <c r="E82" s="22"/>
      <c r="F82" s="22"/>
    </row>
    <row r="83" customFormat="false" ht="15" hidden="false" customHeight="true" outlineLevel="0" collapsed="false">
      <c r="A83" s="14" t="s">
        <v>161</v>
      </c>
      <c r="B83" s="22" t="s">
        <v>162</v>
      </c>
      <c r="C83" s="22"/>
      <c r="D83" s="22"/>
      <c r="E83" s="22"/>
      <c r="F83" s="22"/>
    </row>
    <row r="84" customFormat="false" ht="15" hidden="false" customHeight="true" outlineLevel="0" collapsed="false">
      <c r="A84" s="14" t="s">
        <v>163</v>
      </c>
      <c r="B84" s="22" t="s">
        <v>164</v>
      </c>
      <c r="C84" s="22"/>
      <c r="D84" s="22"/>
      <c r="E84" s="22"/>
      <c r="F84" s="22"/>
    </row>
    <row r="85" customFormat="false" ht="15" hidden="false" customHeight="true" outlineLevel="0" collapsed="false">
      <c r="A85" s="14" t="s">
        <v>165</v>
      </c>
      <c r="B85" s="22" t="s">
        <v>166</v>
      </c>
      <c r="C85" s="22"/>
      <c r="D85" s="22"/>
      <c r="E85" s="22"/>
      <c r="F85" s="22"/>
    </row>
    <row r="86" customFormat="false" ht="15" hidden="false" customHeight="true" outlineLevel="0" collapsed="false">
      <c r="A86" s="14" t="s">
        <v>167</v>
      </c>
      <c r="B86" s="22" t="s">
        <v>168</v>
      </c>
      <c r="C86" s="22"/>
      <c r="D86" s="22"/>
      <c r="E86" s="22"/>
      <c r="F86" s="22"/>
    </row>
    <row r="88" customFormat="false" ht="15" hidden="false" customHeight="true" outlineLevel="0" collapsed="false">
      <c r="A88" s="18" t="s">
        <v>169</v>
      </c>
      <c r="B88" s="18"/>
      <c r="C88" s="18"/>
      <c r="D88" s="18"/>
      <c r="E88" s="18"/>
      <c r="F88" s="18"/>
    </row>
    <row r="89" customFormat="false" ht="15" hidden="false" customHeight="true" outlineLevel="0" collapsed="false">
      <c r="A89" s="19" t="s">
        <v>170</v>
      </c>
      <c r="B89" s="20" t="s">
        <v>171</v>
      </c>
      <c r="C89" s="20"/>
      <c r="D89" s="20"/>
      <c r="E89" s="20"/>
      <c r="F89" s="20"/>
    </row>
    <row r="90" customFormat="false" ht="15" hidden="false" customHeight="true" outlineLevel="0" collapsed="false">
      <c r="A90" s="19" t="s">
        <v>172</v>
      </c>
      <c r="B90" s="20" t="s">
        <v>173</v>
      </c>
      <c r="C90" s="20"/>
      <c r="D90" s="20"/>
      <c r="E90" s="20"/>
      <c r="F90" s="20"/>
    </row>
    <row r="91" customFormat="false" ht="15" hidden="false" customHeight="true" outlineLevel="0" collapsed="false">
      <c r="A91" s="19" t="s">
        <v>174</v>
      </c>
      <c r="B91" s="20" t="s">
        <v>175</v>
      </c>
      <c r="C91" s="20"/>
      <c r="D91" s="20"/>
      <c r="E91" s="20"/>
      <c r="F91" s="20"/>
    </row>
    <row r="92" customFormat="false" ht="15" hidden="false" customHeight="true" outlineLevel="0" collapsed="false">
      <c r="A92" s="19" t="s">
        <v>46</v>
      </c>
      <c r="B92" s="20" t="s">
        <v>176</v>
      </c>
      <c r="C92" s="20"/>
      <c r="D92" s="20"/>
      <c r="E92" s="20"/>
      <c r="F92" s="20"/>
    </row>
    <row r="93" customFormat="false" ht="23.25" hidden="false" customHeight="true" outlineLevel="0" collapsed="false">
      <c r="A93" s="19" t="s">
        <v>177</v>
      </c>
      <c r="B93" s="20" t="s">
        <v>178</v>
      </c>
      <c r="C93" s="20"/>
      <c r="D93" s="20"/>
      <c r="E93" s="20"/>
      <c r="F93" s="20"/>
    </row>
    <row r="94" customFormat="false" ht="15" hidden="false" customHeight="true" outlineLevel="0" collapsed="false">
      <c r="A94" s="19" t="s">
        <v>179</v>
      </c>
      <c r="B94" s="20" t="s">
        <v>180</v>
      </c>
      <c r="C94" s="20"/>
      <c r="D94" s="20"/>
      <c r="E94" s="20"/>
      <c r="F94" s="20"/>
    </row>
    <row r="96" customFormat="false" ht="15" hidden="false" customHeight="true" outlineLevel="0" collapsed="false">
      <c r="A96" s="18" t="s">
        <v>181</v>
      </c>
      <c r="B96" s="18"/>
      <c r="C96" s="18"/>
      <c r="D96" s="18"/>
      <c r="E96" s="18"/>
      <c r="F96" s="18"/>
    </row>
    <row r="97" customFormat="false" ht="23.25" hidden="false" customHeight="true" outlineLevel="0" collapsed="false">
      <c r="A97" s="14" t="s">
        <v>182</v>
      </c>
      <c r="B97" s="22" t="s">
        <v>183</v>
      </c>
      <c r="C97" s="22"/>
      <c r="D97" s="22"/>
      <c r="E97" s="22"/>
      <c r="F97" s="22"/>
    </row>
    <row r="98" customFormat="false" ht="23.25" hidden="false" customHeight="true" outlineLevel="0" collapsed="false">
      <c r="A98" s="14" t="s">
        <v>184</v>
      </c>
      <c r="B98" s="22" t="s">
        <v>185</v>
      </c>
      <c r="C98" s="22"/>
      <c r="D98" s="22"/>
      <c r="E98" s="22"/>
      <c r="F98" s="22"/>
    </row>
    <row r="99" customFormat="false" ht="15" hidden="false" customHeight="true" outlineLevel="0" collapsed="false">
      <c r="A99" s="14" t="s">
        <v>186</v>
      </c>
      <c r="B99" s="22" t="s">
        <v>187</v>
      </c>
      <c r="C99" s="22"/>
      <c r="D99" s="22"/>
      <c r="E99" s="22"/>
      <c r="F99" s="22"/>
    </row>
    <row r="100" customFormat="false" ht="15" hidden="false" customHeight="true" outlineLevel="0" collapsed="false">
      <c r="A100" s="14" t="s">
        <v>188</v>
      </c>
      <c r="B100" s="22" t="s">
        <v>189</v>
      </c>
      <c r="C100" s="22"/>
      <c r="D100" s="22"/>
      <c r="E100" s="22"/>
      <c r="F100" s="22"/>
    </row>
    <row r="101" customFormat="false" ht="23.25" hidden="false" customHeight="true" outlineLevel="0" collapsed="false">
      <c r="A101" s="14" t="s">
        <v>190</v>
      </c>
      <c r="B101" s="22" t="s">
        <v>191</v>
      </c>
      <c r="C101" s="22"/>
      <c r="D101" s="22"/>
      <c r="E101" s="22"/>
      <c r="F101" s="22"/>
    </row>
    <row r="103" customFormat="false" ht="15" hidden="false" customHeight="false" outlineLevel="0" collapsed="false">
      <c r="A103" s="23" t="s">
        <v>192</v>
      </c>
      <c r="B103" s="23"/>
      <c r="C103" s="23"/>
      <c r="D103" s="23"/>
      <c r="E103" s="23"/>
      <c r="F103" s="23"/>
    </row>
    <row r="104" customFormat="false" ht="15" hidden="false" customHeight="false" outlineLevel="0" collapsed="false">
      <c r="A104" s="24" t="s">
        <v>193</v>
      </c>
      <c r="B104" s="24"/>
      <c r="C104" s="24"/>
      <c r="D104" s="24"/>
      <c r="E104" s="24"/>
      <c r="F104" s="24"/>
    </row>
    <row r="105" customFormat="false" ht="15" hidden="false" customHeight="false" outlineLevel="0" collapsed="false">
      <c r="A105" s="25" t="s">
        <v>194</v>
      </c>
      <c r="B105" s="26" t="n">
        <v>282</v>
      </c>
      <c r="C105" s="26" t="s">
        <v>195</v>
      </c>
    </row>
    <row r="106" customFormat="false" ht="15" hidden="false" customHeight="false" outlineLevel="0" collapsed="false">
      <c r="A106" s="25" t="s">
        <v>196</v>
      </c>
      <c r="B106" s="26" t="n">
        <v>283</v>
      </c>
      <c r="C106" s="26" t="s">
        <v>195</v>
      </c>
    </row>
    <row r="107" customFormat="false" ht="15" hidden="false" customHeight="false" outlineLevel="0" collapsed="false">
      <c r="A107" s="25" t="s">
        <v>197</v>
      </c>
      <c r="B107" s="26" t="n">
        <v>240</v>
      </c>
      <c r="C107" s="26" t="s">
        <v>198</v>
      </c>
    </row>
    <row r="108" customFormat="false" ht="15" hidden="false" customHeight="false" outlineLevel="0" collapsed="false">
      <c r="A108" s="25" t="s">
        <v>199</v>
      </c>
      <c r="B108" s="26" t="n">
        <v>37</v>
      </c>
      <c r="C108" s="26" t="s">
        <v>200</v>
      </c>
    </row>
    <row r="109" customFormat="false" ht="15" hidden="false" customHeight="false" outlineLevel="0" collapsed="false">
      <c r="A109" s="25" t="s">
        <v>201</v>
      </c>
      <c r="B109" s="26" t="n">
        <v>247</v>
      </c>
      <c r="C109" s="26" t="s">
        <v>202</v>
      </c>
    </row>
    <row r="110" customFormat="false" ht="15" hidden="false" customHeight="false" outlineLevel="0" collapsed="false">
      <c r="A110" s="25" t="s">
        <v>203</v>
      </c>
      <c r="B110" s="26" t="n">
        <v>4</v>
      </c>
      <c r="C110" s="26" t="s">
        <v>204</v>
      </c>
    </row>
    <row r="111" customFormat="false" ht="15" hidden="false" customHeight="false" outlineLevel="0" collapsed="false">
      <c r="A111" s="27" t="s">
        <v>205</v>
      </c>
      <c r="B111" s="27" t="n">
        <v>1093</v>
      </c>
      <c r="C111" s="27" t="s">
        <v>206</v>
      </c>
    </row>
    <row r="113" customFormat="false" ht="15" hidden="false" customHeight="false" outlineLevel="0" collapsed="false">
      <c r="A113" s="24" t="s">
        <v>207</v>
      </c>
      <c r="B113" s="24"/>
      <c r="C113" s="24"/>
      <c r="D113" s="24"/>
      <c r="E113" s="24"/>
      <c r="F113" s="24"/>
    </row>
    <row r="114" customFormat="false" ht="15" hidden="false" customHeight="false" outlineLevel="0" collapsed="false">
      <c r="A114" s="25" t="s">
        <v>208</v>
      </c>
      <c r="B114" s="26" t="n">
        <v>2050</v>
      </c>
    </row>
    <row r="115" customFormat="false" ht="15" hidden="false" customHeight="false" outlineLevel="0" collapsed="false">
      <c r="A115" s="25" t="s">
        <v>209</v>
      </c>
      <c r="B115" s="26" t="n">
        <v>15</v>
      </c>
    </row>
    <row r="116" customFormat="false" ht="15" hidden="false" customHeight="false" outlineLevel="0" collapsed="false">
      <c r="A116" s="25" t="s">
        <v>210</v>
      </c>
      <c r="B116" s="26" t="n">
        <v>161</v>
      </c>
    </row>
    <row r="117" customFormat="false" ht="15" hidden="false" customHeight="false" outlineLevel="0" collapsed="false">
      <c r="A117" s="25" t="s">
        <v>211</v>
      </c>
      <c r="B117" s="26" t="n">
        <v>1467</v>
      </c>
    </row>
    <row r="118" customFormat="false" ht="15" hidden="false" customHeight="false" outlineLevel="0" collapsed="false">
      <c r="A118" s="27" t="s">
        <v>212</v>
      </c>
      <c r="B118" s="27" t="n">
        <v>3693</v>
      </c>
    </row>
    <row r="120" customFormat="false" ht="15" hidden="false" customHeight="false" outlineLevel="0" collapsed="false">
      <c r="A120" s="28" t="s">
        <v>213</v>
      </c>
      <c r="B120" s="28"/>
      <c r="C120" s="28"/>
      <c r="D120" s="28"/>
      <c r="E120" s="28"/>
      <c r="F120" s="28"/>
    </row>
    <row r="121" customFormat="false" ht="15" hidden="false" customHeight="false" outlineLevel="0" collapsed="false">
      <c r="A121" s="29" t="s">
        <v>214</v>
      </c>
      <c r="B121" s="29" t="s">
        <v>215</v>
      </c>
    </row>
    <row r="122" customFormat="false" ht="15" hidden="false" customHeight="true" outlineLevel="0" collapsed="false">
      <c r="A122" s="20" t="s">
        <v>216</v>
      </c>
      <c r="B122" s="20"/>
      <c r="C122" s="20"/>
      <c r="D122" s="20"/>
      <c r="E122" s="20"/>
      <c r="F122" s="26" t="n">
        <v>279</v>
      </c>
    </row>
    <row r="123" customFormat="false" ht="15" hidden="false" customHeight="true" outlineLevel="0" collapsed="false">
      <c r="A123" s="20" t="s">
        <v>217</v>
      </c>
      <c r="B123" s="20"/>
      <c r="C123" s="20"/>
      <c r="D123" s="20"/>
      <c r="E123" s="20"/>
      <c r="F123" s="26" t="n">
        <v>279</v>
      </c>
    </row>
    <row r="124" customFormat="false" ht="15" hidden="false" customHeight="true" outlineLevel="0" collapsed="false">
      <c r="A124" s="20" t="s">
        <v>218</v>
      </c>
      <c r="B124" s="20"/>
      <c r="C124" s="20"/>
      <c r="D124" s="20"/>
      <c r="E124" s="20"/>
      <c r="F124" s="26" t="n">
        <v>240</v>
      </c>
    </row>
    <row r="125" customFormat="false" ht="15" hidden="false" customHeight="true" outlineLevel="0" collapsed="false">
      <c r="A125" s="20" t="s">
        <v>219</v>
      </c>
      <c r="B125" s="20"/>
      <c r="C125" s="20"/>
      <c r="D125" s="20"/>
      <c r="E125" s="20"/>
      <c r="F125" s="26" t="n">
        <v>20</v>
      </c>
    </row>
    <row r="126" customFormat="false" ht="15" hidden="false" customHeight="true" outlineLevel="0" collapsed="false">
      <c r="A126" s="20" t="s">
        <v>220</v>
      </c>
      <c r="B126" s="20"/>
      <c r="C126" s="20"/>
      <c r="D126" s="20"/>
      <c r="E126" s="20"/>
      <c r="F126" s="26" t="n">
        <v>17</v>
      </c>
    </row>
    <row r="127" customFormat="false" ht="15" hidden="false" customHeight="true" outlineLevel="0" collapsed="false">
      <c r="A127" s="20" t="s">
        <v>221</v>
      </c>
      <c r="B127" s="20"/>
      <c r="C127" s="20"/>
      <c r="D127" s="20"/>
      <c r="E127" s="20"/>
      <c r="F127" s="26" t="n">
        <v>230</v>
      </c>
    </row>
    <row r="128" customFormat="false" ht="15" hidden="false" customHeight="true" outlineLevel="0" collapsed="false">
      <c r="A128" s="20" t="s">
        <v>222</v>
      </c>
      <c r="B128" s="20"/>
      <c r="C128" s="20"/>
      <c r="D128" s="20"/>
      <c r="E128" s="20"/>
      <c r="F128" s="26" t="n">
        <v>13</v>
      </c>
    </row>
    <row r="129" customFormat="false" ht="15" hidden="false" customHeight="true" outlineLevel="0" collapsed="false">
      <c r="A129" s="20" t="s">
        <v>223</v>
      </c>
      <c r="B129" s="20"/>
      <c r="C129" s="20"/>
      <c r="D129" s="20"/>
      <c r="E129" s="20"/>
      <c r="F129" s="26" t="n">
        <v>243</v>
      </c>
    </row>
    <row r="130" customFormat="false" ht="15" hidden="false" customHeight="true" outlineLevel="0" collapsed="false">
      <c r="A130" s="20" t="s">
        <v>224</v>
      </c>
      <c r="B130" s="20"/>
      <c r="C130" s="20"/>
      <c r="D130" s="20"/>
      <c r="E130" s="20"/>
      <c r="F130" s="26" t="n">
        <v>243</v>
      </c>
    </row>
    <row r="131" customFormat="false" ht="15" hidden="false" customHeight="true" outlineLevel="0" collapsed="false">
      <c r="A131" s="20" t="s">
        <v>225</v>
      </c>
      <c r="B131" s="20"/>
      <c r="C131" s="20"/>
      <c r="D131" s="20"/>
      <c r="E131" s="20"/>
      <c r="F131" s="26" t="n">
        <v>243</v>
      </c>
    </row>
    <row r="132" customFormat="false" ht="15" hidden="false" customHeight="true" outlineLevel="0" collapsed="false">
      <c r="A132" s="20" t="s">
        <v>226</v>
      </c>
      <c r="B132" s="20"/>
      <c r="C132" s="20"/>
      <c r="D132" s="20"/>
      <c r="E132" s="20"/>
      <c r="F132" s="26" t="n">
        <v>243</v>
      </c>
    </row>
    <row r="134" customFormat="false" ht="15" hidden="false" customHeight="false" outlineLevel="0" collapsed="false">
      <c r="A134" s="28" t="s">
        <v>227</v>
      </c>
      <c r="B134" s="28"/>
      <c r="C134" s="28"/>
      <c r="D134" s="28"/>
      <c r="E134" s="28"/>
      <c r="F134" s="28"/>
    </row>
    <row r="135" customFormat="false" ht="15" hidden="false" customHeight="false" outlineLevel="0" collapsed="false">
      <c r="A135" s="29" t="s">
        <v>214</v>
      </c>
      <c r="B135" s="29" t="s">
        <v>215</v>
      </c>
    </row>
    <row r="136" customFormat="false" ht="15" hidden="false" customHeight="true" outlineLevel="0" collapsed="false">
      <c r="A136" s="20" t="s">
        <v>228</v>
      </c>
      <c r="B136" s="20"/>
      <c r="C136" s="20"/>
      <c r="D136" s="20"/>
      <c r="E136" s="20"/>
      <c r="F136" s="26" t="n">
        <v>3</v>
      </c>
    </row>
    <row r="137" customFormat="false" ht="15" hidden="false" customHeight="true" outlineLevel="0" collapsed="false">
      <c r="A137" s="20" t="s">
        <v>229</v>
      </c>
      <c r="B137" s="20"/>
      <c r="C137" s="20"/>
      <c r="D137" s="20"/>
      <c r="E137" s="20"/>
      <c r="F137" s="26" t="n">
        <v>3</v>
      </c>
    </row>
    <row r="138" customFormat="false" ht="15" hidden="false" customHeight="true" outlineLevel="0" collapsed="false">
      <c r="A138" s="20" t="s">
        <v>230</v>
      </c>
      <c r="B138" s="20"/>
      <c r="C138" s="20"/>
      <c r="D138" s="20"/>
      <c r="E138" s="20"/>
      <c r="F138" s="26" t="n">
        <v>1</v>
      </c>
    </row>
    <row r="139" customFormat="false" ht="15" hidden="false" customHeight="true" outlineLevel="0" collapsed="false">
      <c r="A139" s="20" t="s">
        <v>231</v>
      </c>
      <c r="B139" s="20"/>
      <c r="C139" s="20"/>
      <c r="D139" s="20"/>
      <c r="E139" s="20"/>
      <c r="F139" s="26" t="n">
        <v>1</v>
      </c>
    </row>
    <row r="140" customFormat="false" ht="15" hidden="false" customHeight="true" outlineLevel="0" collapsed="false">
      <c r="A140" s="20" t="s">
        <v>232</v>
      </c>
      <c r="B140" s="20"/>
      <c r="C140" s="20"/>
      <c r="D140" s="20"/>
      <c r="E140" s="20"/>
      <c r="F140" s="26" t="n">
        <v>1</v>
      </c>
    </row>
    <row r="141" customFormat="false" ht="15" hidden="false" customHeight="true" outlineLevel="0" collapsed="false">
      <c r="A141" s="20" t="s">
        <v>233</v>
      </c>
      <c r="B141" s="20"/>
      <c r="C141" s="20"/>
      <c r="D141" s="20"/>
      <c r="E141" s="20"/>
      <c r="F141" s="26" t="n">
        <v>1</v>
      </c>
    </row>
    <row r="142" customFormat="false" ht="15" hidden="false" customHeight="true" outlineLevel="0" collapsed="false">
      <c r="A142" s="20" t="s">
        <v>234</v>
      </c>
      <c r="B142" s="20"/>
      <c r="C142" s="20"/>
      <c r="D142" s="20"/>
      <c r="E142" s="20"/>
      <c r="F142" s="26" t="n">
        <v>1</v>
      </c>
    </row>
    <row r="143" customFormat="false" ht="15" hidden="false" customHeight="true" outlineLevel="0" collapsed="false">
      <c r="A143" s="20" t="s">
        <v>235</v>
      </c>
      <c r="B143" s="20"/>
      <c r="C143" s="20"/>
      <c r="D143" s="20"/>
      <c r="E143" s="20"/>
      <c r="F143" s="26" t="n">
        <v>1</v>
      </c>
    </row>
    <row r="144" customFormat="false" ht="15" hidden="false" customHeight="true" outlineLevel="0" collapsed="false">
      <c r="A144" s="20" t="s">
        <v>236</v>
      </c>
      <c r="B144" s="20"/>
      <c r="C144" s="20"/>
      <c r="D144" s="20"/>
      <c r="E144" s="20"/>
      <c r="F144" s="26" t="n">
        <v>1</v>
      </c>
    </row>
    <row r="145" customFormat="false" ht="15" hidden="false" customHeight="true" outlineLevel="0" collapsed="false">
      <c r="A145" s="20" t="s">
        <v>237</v>
      </c>
      <c r="B145" s="20"/>
      <c r="C145" s="20"/>
      <c r="D145" s="20"/>
      <c r="E145" s="20"/>
      <c r="F145" s="26" t="n">
        <v>1</v>
      </c>
    </row>
    <row r="146" customFormat="false" ht="15" hidden="false" customHeight="true" outlineLevel="0" collapsed="false">
      <c r="A146" s="20" t="s">
        <v>238</v>
      </c>
      <c r="B146" s="20"/>
      <c r="C146" s="20"/>
      <c r="D146" s="20"/>
      <c r="E146" s="20"/>
      <c r="F146" s="26" t="n">
        <v>1</v>
      </c>
    </row>
    <row r="148" customFormat="false" ht="15" hidden="false" customHeight="false" outlineLevel="0" collapsed="false">
      <c r="A148" s="28" t="s">
        <v>239</v>
      </c>
      <c r="B148" s="28"/>
      <c r="C148" s="28"/>
      <c r="D148" s="28"/>
      <c r="E148" s="28"/>
      <c r="F148" s="28"/>
    </row>
    <row r="149" customFormat="false" ht="15" hidden="false" customHeight="false" outlineLevel="0" collapsed="false">
      <c r="A149" s="29" t="s">
        <v>214</v>
      </c>
      <c r="B149" s="29" t="s">
        <v>215</v>
      </c>
    </row>
    <row r="150" customFormat="false" ht="15" hidden="false" customHeight="true" outlineLevel="0" collapsed="false">
      <c r="A150" s="20" t="s">
        <v>240</v>
      </c>
      <c r="B150" s="20"/>
      <c r="C150" s="20"/>
      <c r="D150" s="20"/>
      <c r="E150" s="20"/>
      <c r="F150" s="26" t="n">
        <v>4</v>
      </c>
    </row>
    <row r="151" customFormat="false" ht="15" hidden="false" customHeight="true" outlineLevel="0" collapsed="false">
      <c r="A151" s="20" t="s">
        <v>241</v>
      </c>
      <c r="B151" s="20"/>
      <c r="C151" s="20"/>
      <c r="D151" s="20"/>
      <c r="E151" s="20"/>
      <c r="F151" s="26" t="n">
        <v>10</v>
      </c>
    </row>
    <row r="152" customFormat="false" ht="15" hidden="false" customHeight="true" outlineLevel="0" collapsed="false">
      <c r="A152" s="20" t="s">
        <v>242</v>
      </c>
      <c r="B152" s="20"/>
      <c r="C152" s="20"/>
      <c r="D152" s="20"/>
      <c r="E152" s="20"/>
      <c r="F152" s="26" t="n">
        <v>3</v>
      </c>
    </row>
    <row r="153" customFormat="false" ht="15" hidden="false" customHeight="true" outlineLevel="0" collapsed="false">
      <c r="A153" s="20" t="s">
        <v>243</v>
      </c>
      <c r="B153" s="20"/>
      <c r="C153" s="20"/>
      <c r="D153" s="20"/>
      <c r="E153" s="20"/>
      <c r="F153" s="26" t="n">
        <v>3</v>
      </c>
    </row>
    <row r="154" customFormat="false" ht="15" hidden="false" customHeight="true" outlineLevel="0" collapsed="false">
      <c r="A154" s="20" t="s">
        <v>244</v>
      </c>
      <c r="B154" s="20"/>
      <c r="C154" s="20"/>
      <c r="D154" s="20"/>
      <c r="E154" s="20"/>
      <c r="F154" s="26" t="n">
        <v>5</v>
      </c>
    </row>
    <row r="155" customFormat="false" ht="15" hidden="false" customHeight="true" outlineLevel="0" collapsed="false">
      <c r="A155" s="20" t="s">
        <v>245</v>
      </c>
      <c r="B155" s="20"/>
      <c r="C155" s="20"/>
      <c r="D155" s="20"/>
      <c r="E155" s="20"/>
      <c r="F155" s="26" t="n">
        <v>1</v>
      </c>
    </row>
    <row r="156" customFormat="false" ht="15" hidden="false" customHeight="true" outlineLevel="0" collapsed="false">
      <c r="A156" s="20" t="s">
        <v>246</v>
      </c>
      <c r="B156" s="20"/>
      <c r="C156" s="20"/>
      <c r="D156" s="20"/>
      <c r="E156" s="20"/>
      <c r="F156" s="26" t="n">
        <v>2</v>
      </c>
    </row>
    <row r="157" customFormat="false" ht="15" hidden="false" customHeight="true" outlineLevel="0" collapsed="false">
      <c r="A157" s="20" t="s">
        <v>247</v>
      </c>
      <c r="B157" s="20"/>
      <c r="C157" s="20"/>
      <c r="D157" s="20"/>
      <c r="E157" s="20"/>
      <c r="F157" s="26" t="n">
        <v>2</v>
      </c>
    </row>
    <row r="158" customFormat="false" ht="15" hidden="false" customHeight="true" outlineLevel="0" collapsed="false">
      <c r="A158" s="20" t="s">
        <v>248</v>
      </c>
      <c r="B158" s="20"/>
      <c r="C158" s="20"/>
      <c r="D158" s="20"/>
      <c r="E158" s="20"/>
      <c r="F158" s="26" t="n">
        <v>2</v>
      </c>
    </row>
    <row r="159" customFormat="false" ht="15" hidden="false" customHeight="true" outlineLevel="0" collapsed="false">
      <c r="A159" s="20" t="s">
        <v>249</v>
      </c>
      <c r="B159" s="20"/>
      <c r="C159" s="20"/>
      <c r="D159" s="20"/>
      <c r="E159" s="20"/>
      <c r="F159" s="26" t="n">
        <v>1</v>
      </c>
    </row>
    <row r="160" customFormat="false" ht="15" hidden="false" customHeight="true" outlineLevel="0" collapsed="false">
      <c r="A160" s="20" t="s">
        <v>250</v>
      </c>
      <c r="B160" s="20"/>
      <c r="C160" s="20"/>
      <c r="D160" s="20"/>
      <c r="E160" s="20"/>
      <c r="F160" s="26" t="n">
        <v>1</v>
      </c>
    </row>
    <row r="161" customFormat="false" ht="15" hidden="false" customHeight="true" outlineLevel="0" collapsed="false">
      <c r="A161" s="20" t="s">
        <v>251</v>
      </c>
      <c r="B161" s="20"/>
      <c r="C161" s="20"/>
      <c r="D161" s="20"/>
      <c r="E161" s="20"/>
      <c r="F161" s="26" t="n">
        <v>1</v>
      </c>
    </row>
    <row r="162" customFormat="false" ht="15" hidden="false" customHeight="true" outlineLevel="0" collapsed="false">
      <c r="A162" s="20" t="s">
        <v>252</v>
      </c>
      <c r="B162" s="20"/>
      <c r="C162" s="20"/>
      <c r="D162" s="20"/>
      <c r="E162" s="20"/>
      <c r="F162" s="26" t="n">
        <v>2</v>
      </c>
    </row>
    <row r="163" customFormat="false" ht="15" hidden="false" customHeight="true" outlineLevel="0" collapsed="false">
      <c r="A163" s="20" t="s">
        <v>253</v>
      </c>
      <c r="B163" s="20"/>
      <c r="C163" s="20"/>
      <c r="D163" s="20"/>
      <c r="E163" s="20"/>
      <c r="F163" s="26" t="n">
        <v>1</v>
      </c>
    </row>
    <row r="164" customFormat="false" ht="15" hidden="false" customHeight="true" outlineLevel="0" collapsed="false">
      <c r="A164" s="20" t="s">
        <v>254</v>
      </c>
      <c r="B164" s="20"/>
      <c r="C164" s="20"/>
      <c r="D164" s="20"/>
      <c r="E164" s="20"/>
      <c r="F164" s="26" t="n">
        <v>2</v>
      </c>
    </row>
    <row r="165" customFormat="false" ht="15" hidden="false" customHeight="true" outlineLevel="0" collapsed="false">
      <c r="A165" s="20" t="s">
        <v>255</v>
      </c>
      <c r="B165" s="20"/>
      <c r="C165" s="20"/>
      <c r="D165" s="20"/>
      <c r="E165" s="20"/>
      <c r="F165" s="26" t="n">
        <v>1</v>
      </c>
    </row>
    <row r="166" customFormat="false" ht="15" hidden="false" customHeight="true" outlineLevel="0" collapsed="false">
      <c r="A166" s="20" t="s">
        <v>256</v>
      </c>
      <c r="B166" s="20"/>
      <c r="C166" s="20"/>
      <c r="D166" s="20"/>
      <c r="E166" s="20"/>
      <c r="F166" s="26" t="n">
        <v>3</v>
      </c>
    </row>
    <row r="167" customFormat="false" ht="15" hidden="false" customHeight="true" outlineLevel="0" collapsed="false">
      <c r="A167" s="20" t="s">
        <v>257</v>
      </c>
      <c r="B167" s="20"/>
      <c r="C167" s="20"/>
      <c r="D167" s="20"/>
      <c r="E167" s="20"/>
      <c r="F167" s="26" t="n">
        <v>4</v>
      </c>
    </row>
    <row r="168" customFormat="false" ht="15" hidden="false" customHeight="true" outlineLevel="0" collapsed="false">
      <c r="A168" s="20" t="s">
        <v>258</v>
      </c>
      <c r="B168" s="20"/>
      <c r="C168" s="20"/>
      <c r="D168" s="20"/>
      <c r="E168" s="20"/>
      <c r="F168" s="26" t="n">
        <v>6</v>
      </c>
    </row>
    <row r="169" customFormat="false" ht="15" hidden="false" customHeight="true" outlineLevel="0" collapsed="false">
      <c r="A169" s="20" t="s">
        <v>259</v>
      </c>
      <c r="B169" s="20"/>
      <c r="C169" s="20"/>
      <c r="D169" s="20"/>
      <c r="E169" s="20"/>
      <c r="F169" s="26" t="n">
        <v>10</v>
      </c>
    </row>
    <row r="170" customFormat="false" ht="15" hidden="false" customHeight="true" outlineLevel="0" collapsed="false">
      <c r="A170" s="20" t="s">
        <v>260</v>
      </c>
      <c r="B170" s="20"/>
      <c r="C170" s="20"/>
      <c r="D170" s="20"/>
      <c r="E170" s="20"/>
      <c r="F170" s="26" t="n">
        <v>2</v>
      </c>
    </row>
    <row r="171" customFormat="false" ht="15" hidden="false" customHeight="true" outlineLevel="0" collapsed="false">
      <c r="A171" s="20" t="s">
        <v>261</v>
      </c>
      <c r="B171" s="20"/>
      <c r="C171" s="20"/>
      <c r="D171" s="20"/>
      <c r="E171" s="20"/>
      <c r="F171" s="26" t="n">
        <v>10</v>
      </c>
    </row>
    <row r="172" customFormat="false" ht="15" hidden="false" customHeight="true" outlineLevel="0" collapsed="false">
      <c r="A172" s="20" t="s">
        <v>262</v>
      </c>
      <c r="B172" s="20"/>
      <c r="C172" s="20"/>
      <c r="D172" s="20"/>
      <c r="E172" s="20"/>
      <c r="F172" s="26" t="n">
        <v>8</v>
      </c>
    </row>
    <row r="173" customFormat="false" ht="15" hidden="false" customHeight="true" outlineLevel="0" collapsed="false">
      <c r="A173" s="20" t="s">
        <v>263</v>
      </c>
      <c r="B173" s="20"/>
      <c r="C173" s="20"/>
      <c r="D173" s="20"/>
      <c r="E173" s="20"/>
      <c r="F173" s="26" t="n">
        <v>7</v>
      </c>
    </row>
    <row r="174" customFormat="false" ht="15" hidden="false" customHeight="true" outlineLevel="0" collapsed="false">
      <c r="A174" s="20" t="s">
        <v>264</v>
      </c>
      <c r="B174" s="20"/>
      <c r="C174" s="20"/>
      <c r="D174" s="20"/>
      <c r="E174" s="20"/>
      <c r="F174" s="26" t="n">
        <v>24</v>
      </c>
    </row>
    <row r="175" customFormat="false" ht="15" hidden="false" customHeight="true" outlineLevel="0" collapsed="false">
      <c r="A175" s="20" t="s">
        <v>265</v>
      </c>
      <c r="B175" s="20"/>
      <c r="C175" s="20"/>
      <c r="D175" s="20"/>
      <c r="E175" s="20"/>
      <c r="F175" s="26" t="n">
        <v>6</v>
      </c>
    </row>
    <row r="176" customFormat="false" ht="15" hidden="false" customHeight="true" outlineLevel="0" collapsed="false">
      <c r="A176" s="20" t="s">
        <v>266</v>
      </c>
      <c r="B176" s="20"/>
      <c r="C176" s="20"/>
      <c r="D176" s="20"/>
      <c r="E176" s="20"/>
      <c r="F176" s="26" t="n">
        <v>27</v>
      </c>
    </row>
    <row r="177" customFormat="false" ht="15" hidden="false" customHeight="true" outlineLevel="0" collapsed="false">
      <c r="A177" s="20" t="s">
        <v>267</v>
      </c>
      <c r="B177" s="20"/>
      <c r="C177" s="20"/>
      <c r="D177" s="20"/>
      <c r="E177" s="20"/>
      <c r="F177" s="26" t="n">
        <v>1</v>
      </c>
    </row>
    <row r="178" customFormat="false" ht="15" hidden="false" customHeight="true" outlineLevel="0" collapsed="false">
      <c r="A178" s="20" t="s">
        <v>268</v>
      </c>
      <c r="B178" s="20"/>
      <c r="C178" s="20"/>
      <c r="D178" s="20"/>
      <c r="E178" s="20"/>
      <c r="F178" s="26" t="n">
        <v>1</v>
      </c>
    </row>
    <row r="179" customFormat="false" ht="15" hidden="false" customHeight="true" outlineLevel="0" collapsed="false">
      <c r="A179" s="20" t="s">
        <v>269</v>
      </c>
      <c r="B179" s="20"/>
      <c r="C179" s="20"/>
      <c r="D179" s="20"/>
      <c r="E179" s="20"/>
      <c r="F179" s="26" t="n">
        <v>1</v>
      </c>
    </row>
    <row r="180" customFormat="false" ht="15" hidden="false" customHeight="true" outlineLevel="0" collapsed="false">
      <c r="A180" s="20" t="s">
        <v>270</v>
      </c>
      <c r="B180" s="20"/>
      <c r="C180" s="20"/>
      <c r="D180" s="20"/>
      <c r="E180" s="20"/>
      <c r="F180" s="26" t="n">
        <v>1</v>
      </c>
    </row>
    <row r="181" customFormat="false" ht="15" hidden="false" customHeight="true" outlineLevel="0" collapsed="false">
      <c r="A181" s="20" t="s">
        <v>271</v>
      </c>
      <c r="B181" s="20"/>
      <c r="C181" s="20"/>
      <c r="D181" s="20"/>
      <c r="E181" s="20"/>
      <c r="F181" s="26" t="n">
        <v>6</v>
      </c>
    </row>
    <row r="182" customFormat="false" ht="15" hidden="false" customHeight="true" outlineLevel="0" collapsed="false">
      <c r="A182" s="20" t="s">
        <v>272</v>
      </c>
      <c r="B182" s="20"/>
      <c r="C182" s="20"/>
      <c r="D182" s="20"/>
      <c r="E182" s="20"/>
      <c r="F182" s="26" t="n">
        <v>3</v>
      </c>
    </row>
    <row r="184" customFormat="false" ht="15" hidden="false" customHeight="false" outlineLevel="0" collapsed="false">
      <c r="A184" s="28" t="s">
        <v>273</v>
      </c>
      <c r="B184" s="28"/>
      <c r="C184" s="28"/>
      <c r="D184" s="28"/>
      <c r="E184" s="28"/>
      <c r="F184" s="28"/>
    </row>
    <row r="185" customFormat="false" ht="15" hidden="false" customHeight="false" outlineLevel="0" collapsed="false">
      <c r="A185" s="29" t="s">
        <v>214</v>
      </c>
      <c r="B185" s="29" t="s">
        <v>215</v>
      </c>
    </row>
    <row r="186" customFormat="false" ht="15" hidden="false" customHeight="true" outlineLevel="0" collapsed="false">
      <c r="A186" s="20" t="s">
        <v>274</v>
      </c>
      <c r="B186" s="20"/>
      <c r="C186" s="20"/>
      <c r="D186" s="20"/>
      <c r="E186" s="20"/>
      <c r="F186" s="26" t="n">
        <v>486</v>
      </c>
    </row>
    <row r="187" customFormat="false" ht="15" hidden="false" customHeight="true" outlineLevel="0" collapsed="false">
      <c r="A187" s="20" t="s">
        <v>275</v>
      </c>
      <c r="B187" s="20"/>
      <c r="C187" s="20"/>
      <c r="D187" s="20"/>
      <c r="E187" s="20"/>
      <c r="F187" s="26" t="n">
        <v>486</v>
      </c>
    </row>
    <row r="188" customFormat="false" ht="15" hidden="false" customHeight="true" outlineLevel="0" collapsed="false">
      <c r="A188" s="20" t="s">
        <v>276</v>
      </c>
      <c r="B188" s="20"/>
      <c r="C188" s="20"/>
      <c r="D188" s="20"/>
      <c r="E188" s="20"/>
      <c r="F188" s="26" t="n">
        <v>243</v>
      </c>
    </row>
    <row r="189" customFormat="false" ht="15" hidden="false" customHeight="true" outlineLevel="0" collapsed="false">
      <c r="A189" s="20" t="s">
        <v>277</v>
      </c>
      <c r="B189" s="20"/>
      <c r="C189" s="20"/>
      <c r="D189" s="20"/>
      <c r="E189" s="20"/>
      <c r="F189" s="26" t="n">
        <v>243</v>
      </c>
    </row>
    <row r="190" customFormat="false" ht="15" hidden="false" customHeight="true" outlineLevel="0" collapsed="false">
      <c r="A190" s="20" t="s">
        <v>278</v>
      </c>
      <c r="B190" s="20"/>
      <c r="C190" s="20"/>
      <c r="D190" s="20"/>
      <c r="E190" s="20"/>
      <c r="F190" s="26" t="n">
        <v>8</v>
      </c>
    </row>
    <row r="191" customFormat="false" ht="15" hidden="false" customHeight="true" outlineLevel="0" collapsed="false">
      <c r="A191" s="20" t="s">
        <v>279</v>
      </c>
      <c r="B191" s="20"/>
      <c r="C191" s="20"/>
      <c r="D191" s="20"/>
      <c r="E191" s="20"/>
      <c r="F191" s="26" t="n">
        <v>1</v>
      </c>
    </row>
    <row r="193" customFormat="false" ht="15" hidden="false" customHeight="false" outlineLevel="0" collapsed="false">
      <c r="A193" s="28" t="s">
        <v>280</v>
      </c>
      <c r="B193" s="28"/>
      <c r="C193" s="28"/>
      <c r="D193" s="28"/>
      <c r="E193" s="28"/>
      <c r="F193" s="28"/>
    </row>
    <row r="194" customFormat="false" ht="90" hidden="false" customHeight="true" outlineLevel="0" collapsed="false">
      <c r="A194" s="30" t="s">
        <v>281</v>
      </c>
      <c r="B194" s="30"/>
      <c r="C194" s="30"/>
      <c r="D194" s="30"/>
      <c r="E194" s="30"/>
      <c r="F194" s="30"/>
    </row>
    <row r="195" customFormat="false" ht="15" hidden="false" customHeight="false" outlineLevel="0" collapsed="false">
      <c r="A195" s="30"/>
      <c r="B195" s="30"/>
      <c r="C195" s="30"/>
      <c r="D195" s="30"/>
      <c r="E195" s="30"/>
      <c r="F195" s="30"/>
    </row>
    <row r="196" customFormat="false" ht="15" hidden="false" customHeight="false" outlineLevel="0" collapsed="false">
      <c r="A196" s="30"/>
      <c r="B196" s="30"/>
      <c r="C196" s="30"/>
      <c r="D196" s="30"/>
      <c r="E196" s="30"/>
      <c r="F196" s="30"/>
    </row>
    <row r="197" customFormat="false" ht="15" hidden="false" customHeight="false" outlineLevel="0" collapsed="false">
      <c r="A197" s="30"/>
      <c r="B197" s="30"/>
      <c r="C197" s="30"/>
      <c r="D197" s="30"/>
      <c r="E197" s="30"/>
      <c r="F197" s="30"/>
    </row>
    <row r="198" customFormat="false" ht="15" hidden="false" customHeight="false" outlineLevel="0" collapsed="false">
      <c r="A198" s="30"/>
      <c r="B198" s="30"/>
      <c r="C198" s="30"/>
      <c r="D198" s="30"/>
      <c r="E198" s="30"/>
      <c r="F198" s="30"/>
    </row>
    <row r="199" customFormat="false" ht="15" hidden="false" customHeight="false" outlineLevel="0" collapsed="false">
      <c r="A199" s="30"/>
      <c r="B199" s="30"/>
      <c r="C199" s="30"/>
      <c r="D199" s="30"/>
      <c r="E199" s="30"/>
      <c r="F199" s="30"/>
    </row>
  </sheetData>
  <mergeCells count="160">
    <mergeCell ref="A1:F1"/>
    <mergeCell ref="A2:F2"/>
    <mergeCell ref="A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A16:F16"/>
    <mergeCell ref="B17:F17"/>
    <mergeCell ref="B18:F18"/>
    <mergeCell ref="B19:F19"/>
    <mergeCell ref="B20:F20"/>
    <mergeCell ref="B21:F21"/>
    <mergeCell ref="A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A38:F38"/>
    <mergeCell ref="B39:F39"/>
    <mergeCell ref="B40:F40"/>
    <mergeCell ref="B41:F41"/>
    <mergeCell ref="B42:F42"/>
    <mergeCell ref="B43:F43"/>
    <mergeCell ref="B44:F44"/>
    <mergeCell ref="A46:F46"/>
    <mergeCell ref="B47:F47"/>
    <mergeCell ref="B48:F48"/>
    <mergeCell ref="B49:F49"/>
    <mergeCell ref="B50:F50"/>
    <mergeCell ref="B51:F51"/>
    <mergeCell ref="B52:F52"/>
    <mergeCell ref="A54:F54"/>
    <mergeCell ref="B55:F55"/>
    <mergeCell ref="B56:F56"/>
    <mergeCell ref="B57:F57"/>
    <mergeCell ref="B58:F58"/>
    <mergeCell ref="B59:F59"/>
    <mergeCell ref="A61:F61"/>
    <mergeCell ref="B62:F62"/>
    <mergeCell ref="B63:F63"/>
    <mergeCell ref="A65:F65"/>
    <mergeCell ref="B66:F66"/>
    <mergeCell ref="B67:F67"/>
    <mergeCell ref="B68:F68"/>
    <mergeCell ref="B69:F69"/>
    <mergeCell ref="B70:F70"/>
    <mergeCell ref="B71:F71"/>
    <mergeCell ref="A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A88:F88"/>
    <mergeCell ref="B89:F89"/>
    <mergeCell ref="B90:F90"/>
    <mergeCell ref="B91:F91"/>
    <mergeCell ref="B92:F92"/>
    <mergeCell ref="B93:F93"/>
    <mergeCell ref="B94:F94"/>
    <mergeCell ref="A96:F96"/>
    <mergeCell ref="B97:F97"/>
    <mergeCell ref="B98:F98"/>
    <mergeCell ref="B99:F99"/>
    <mergeCell ref="B100:F100"/>
    <mergeCell ref="B101:F101"/>
    <mergeCell ref="A103:F103"/>
    <mergeCell ref="A104:F104"/>
    <mergeCell ref="A113:F113"/>
    <mergeCell ref="A120:F120"/>
    <mergeCell ref="A122:E122"/>
    <mergeCell ref="A123:E123"/>
    <mergeCell ref="A124:E124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4:F134"/>
    <mergeCell ref="A136:E136"/>
    <mergeCell ref="A137:E137"/>
    <mergeCell ref="A138:E138"/>
    <mergeCell ref="A139:E139"/>
    <mergeCell ref="A140:E140"/>
    <mergeCell ref="A141:E141"/>
    <mergeCell ref="A142:E142"/>
    <mergeCell ref="A143:E143"/>
    <mergeCell ref="A144:E144"/>
    <mergeCell ref="A145:E145"/>
    <mergeCell ref="A146:E146"/>
    <mergeCell ref="A148:F148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69:E169"/>
    <mergeCell ref="A170:E170"/>
    <mergeCell ref="A171:E171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80:E180"/>
    <mergeCell ref="A181:E181"/>
    <mergeCell ref="A182:E182"/>
    <mergeCell ref="A184:F184"/>
    <mergeCell ref="A186:E186"/>
    <mergeCell ref="A187:E187"/>
    <mergeCell ref="A188:E188"/>
    <mergeCell ref="A189:E189"/>
    <mergeCell ref="A190:E190"/>
    <mergeCell ref="A191:E191"/>
    <mergeCell ref="A193:F193"/>
    <mergeCell ref="A194:F19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</cols>
  <sheetData>
    <row r="1" customFormat="false" ht="19.5" hidden="false" customHeight="true" outlineLevel="0" collapsed="false">
      <c r="A1" s="2" t="s">
        <v>282</v>
      </c>
    </row>
    <row r="3" customFormat="false" ht="15" hidden="false" customHeight="true" outlineLevel="0" collapsed="false">
      <c r="A3" s="31" t="s">
        <v>214</v>
      </c>
      <c r="B3" s="31" t="s">
        <v>283</v>
      </c>
      <c r="C3" s="31" t="s">
        <v>284</v>
      </c>
      <c r="D3" s="31" t="s">
        <v>285</v>
      </c>
    </row>
    <row r="4" customFormat="false" ht="15" hidden="false" customHeight="true" outlineLevel="0" collapsed="false">
      <c r="A4" s="5" t="s">
        <v>286</v>
      </c>
      <c r="B4" s="6" t="n">
        <v>4305550</v>
      </c>
      <c r="C4" s="6" t="n">
        <v>4430087.88</v>
      </c>
      <c r="D4" s="10" t="n">
        <f aca="false">C4-B4</f>
        <v>124537.88</v>
      </c>
    </row>
    <row r="5" customFormat="false" ht="15" hidden="false" customHeight="true" outlineLevel="0" collapsed="false">
      <c r="A5" s="5" t="s">
        <v>287</v>
      </c>
      <c r="B5" s="6" t="n">
        <v>0</v>
      </c>
      <c r="C5" s="6" t="n">
        <v>124537.88</v>
      </c>
      <c r="D5" s="10" t="n">
        <f aca="false">C5-B5</f>
        <v>124537.88</v>
      </c>
    </row>
    <row r="6" customFormat="false" ht="15" hidden="false" customHeight="true" outlineLevel="0" collapsed="false">
      <c r="A6" s="17" t="s">
        <v>288</v>
      </c>
      <c r="B6" s="7" t="n">
        <f aca="false">SUM(B4:B5)</f>
        <v>4305550</v>
      </c>
      <c r="C6" s="7" t="n">
        <f aca="false">SUM(C4:C5)</f>
        <v>4554625.76</v>
      </c>
      <c r="D6" s="7" t="n">
        <f aca="false">SUM(D4:D5)</f>
        <v>249075.76</v>
      </c>
    </row>
    <row r="9" customFormat="false" ht="15" hidden="false" customHeight="true" outlineLevel="0" collapsed="false">
      <c r="A9" s="4" t="s">
        <v>289</v>
      </c>
    </row>
    <row r="10" customFormat="false" ht="15" hidden="false" customHeight="true" outlineLevel="0" collapsed="false">
      <c r="A10" s="31" t="s">
        <v>290</v>
      </c>
      <c r="B10" s="31" t="s">
        <v>291</v>
      </c>
      <c r="C10" s="31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0"/>
    <col collapsed="false" customWidth="true" hidden="false" outlineLevel="0" max="7" min="3" style="1" width="13"/>
  </cols>
  <sheetData>
    <row r="1" customFormat="false" ht="19.5" hidden="false" customHeight="true" outlineLevel="0" collapsed="false">
      <c r="A1" s="32" t="s">
        <v>293</v>
      </c>
      <c r="H1" s="1"/>
    </row>
    <row r="2" customFormat="false" ht="15" hidden="false" customHeight="true" outlineLevel="0" collapsed="false">
      <c r="A2" s="33" t="s">
        <v>294</v>
      </c>
      <c r="H2" s="1"/>
    </row>
    <row r="3" customFormat="false" ht="15" hidden="false" customHeight="true" outlineLevel="0" collapsed="false">
      <c r="A3" s="34"/>
      <c r="B3" s="34"/>
      <c r="C3" s="34"/>
      <c r="D3" s="34"/>
      <c r="E3" s="34"/>
      <c r="F3" s="34"/>
      <c r="G3" s="34"/>
      <c r="H3" s="1"/>
    </row>
    <row r="4" customFormat="false" ht="15" hidden="false" customHeight="true" outlineLevel="0" collapsed="false">
      <c r="A4" s="11" t="s">
        <v>295</v>
      </c>
      <c r="B4" s="11"/>
      <c r="C4" s="11"/>
      <c r="D4" s="11"/>
      <c r="H4" s="1"/>
    </row>
    <row r="5" customFormat="false" ht="15" hidden="false" customHeight="true" outlineLevel="0" collapsed="false">
      <c r="A5" s="19" t="s">
        <v>50</v>
      </c>
      <c r="B5" s="35" t="n">
        <v>4305550</v>
      </c>
      <c r="H5" s="1"/>
    </row>
    <row r="6" customFormat="false" ht="15" hidden="false" customHeight="true" outlineLevel="0" collapsed="false">
      <c r="A6" s="19" t="s">
        <v>91</v>
      </c>
      <c r="B6" s="35" t="n">
        <v>124538</v>
      </c>
      <c r="H6" s="1"/>
    </row>
    <row r="7" customFormat="false" ht="15" hidden="false" customHeight="true" outlineLevel="0" collapsed="false">
      <c r="A7" s="19" t="s">
        <v>52</v>
      </c>
      <c r="B7" s="35" t="n">
        <v>4430088</v>
      </c>
      <c r="H7" s="1"/>
    </row>
    <row r="8" customFormat="false" ht="15" hidden="false" customHeight="true" outlineLevel="0" collapsed="false">
      <c r="A8" s="19" t="s">
        <v>296</v>
      </c>
      <c r="B8" s="35" t="n">
        <v>221504</v>
      </c>
      <c r="H8" s="1"/>
    </row>
    <row r="9" customFormat="false" ht="15" hidden="false" customHeight="true" outlineLevel="0" collapsed="false">
      <c r="A9" s="19" t="s">
        <v>297</v>
      </c>
      <c r="B9" s="35" t="n">
        <v>4208583</v>
      </c>
      <c r="H9" s="1"/>
    </row>
    <row r="10" customFormat="false" ht="15" hidden="false" customHeight="true" outlineLevel="0" collapsed="false">
      <c r="H10" s="1"/>
    </row>
    <row r="11" customFormat="false" ht="15" hidden="false" customHeight="true" outlineLevel="0" collapsed="false">
      <c r="A11" s="11" t="s">
        <v>298</v>
      </c>
      <c r="B11" s="11"/>
      <c r="C11" s="11"/>
      <c r="D11" s="11"/>
      <c r="E11" s="11"/>
      <c r="F11" s="11"/>
      <c r="G11" s="11"/>
      <c r="H11" s="1"/>
    </row>
    <row r="12" customFormat="false" ht="15" hidden="false" customHeight="true" outlineLevel="0" collapsed="false">
      <c r="A12" s="13" t="s">
        <v>299</v>
      </c>
      <c r="B12" s="13" t="s">
        <v>300</v>
      </c>
      <c r="C12" s="13" t="s">
        <v>301</v>
      </c>
      <c r="D12" s="13" t="s">
        <v>296</v>
      </c>
      <c r="E12" s="13" t="s">
        <v>302</v>
      </c>
      <c r="F12" s="13" t="s">
        <v>303</v>
      </c>
      <c r="G12" s="13" t="s">
        <v>304</v>
      </c>
      <c r="H12" s="1"/>
    </row>
    <row r="13" customFormat="false" ht="15" hidden="false" customHeight="true" outlineLevel="0" collapsed="false">
      <c r="A13" s="35" t="n">
        <v>1</v>
      </c>
      <c r="B13" s="35" t="s">
        <v>305</v>
      </c>
      <c r="C13" s="35" t="n">
        <v>7667</v>
      </c>
      <c r="D13" s="35" t="n">
        <v>-383</v>
      </c>
      <c r="E13" s="35" t="n">
        <v>7667</v>
      </c>
      <c r="F13" s="35" t="n">
        <v>7667</v>
      </c>
      <c r="G13" s="35" t="s">
        <v>306</v>
      </c>
      <c r="H13" s="1"/>
    </row>
    <row r="14" customFormat="false" ht="15" hidden="false" customHeight="true" outlineLevel="0" collapsed="false">
      <c r="A14" s="35" t="n">
        <v>2</v>
      </c>
      <c r="B14" s="35" t="s">
        <v>307</v>
      </c>
      <c r="C14" s="35" t="n">
        <v>68300</v>
      </c>
      <c r="D14" s="35" t="n">
        <v>-3415</v>
      </c>
      <c r="E14" s="35" t="n">
        <v>68300</v>
      </c>
      <c r="F14" s="35" t="n">
        <v>75967</v>
      </c>
      <c r="G14" s="35" t="s">
        <v>308</v>
      </c>
      <c r="H14" s="1"/>
    </row>
    <row r="15" customFormat="false" ht="15" hidden="false" customHeight="true" outlineLevel="0" collapsed="false">
      <c r="A15" s="35" t="n">
        <v>3</v>
      </c>
      <c r="B15" s="35" t="s">
        <v>309</v>
      </c>
      <c r="C15" s="35" t="n">
        <v>499085</v>
      </c>
      <c r="D15" s="35" t="n">
        <v>-24954</v>
      </c>
      <c r="E15" s="35" t="n">
        <v>499085</v>
      </c>
      <c r="F15" s="35" t="n">
        <v>575052</v>
      </c>
      <c r="G15" s="35" t="s">
        <v>310</v>
      </c>
      <c r="H15" s="1"/>
    </row>
    <row r="16" customFormat="false" ht="15" hidden="false" customHeight="true" outlineLevel="0" collapsed="false">
      <c r="A16" s="35" t="n">
        <v>4</v>
      </c>
      <c r="B16" s="35" t="s">
        <v>311</v>
      </c>
      <c r="C16" s="35" t="n">
        <v>89625</v>
      </c>
      <c r="D16" s="35" t="n">
        <v>-4481</v>
      </c>
      <c r="E16" s="35" t="n">
        <v>89625</v>
      </c>
      <c r="F16" s="35" t="n">
        <v>664677</v>
      </c>
      <c r="G16" s="35" t="s">
        <v>312</v>
      </c>
      <c r="H16" s="1"/>
    </row>
    <row r="17" customFormat="false" ht="15" hidden="false" customHeight="true" outlineLevel="0" collapsed="false">
      <c r="A17" s="35" t="n">
        <v>5</v>
      </c>
      <c r="B17" s="35" t="s">
        <v>313</v>
      </c>
      <c r="C17" s="35" t="n">
        <v>448716</v>
      </c>
      <c r="D17" s="35" t="n">
        <v>-22436</v>
      </c>
      <c r="E17" s="35" t="n">
        <v>448716</v>
      </c>
      <c r="F17" s="35" t="n">
        <v>1113393</v>
      </c>
      <c r="G17" s="35" t="s">
        <v>314</v>
      </c>
      <c r="H17" s="1"/>
    </row>
    <row r="18" customFormat="false" ht="15" hidden="false" customHeight="true" outlineLevel="0" collapsed="false">
      <c r="A18" s="35" t="n">
        <v>6</v>
      </c>
      <c r="B18" s="35" t="s">
        <v>315</v>
      </c>
      <c r="C18" s="35" t="n">
        <v>5007</v>
      </c>
      <c r="D18" s="35" t="n">
        <v>-250</v>
      </c>
      <c r="E18" s="35" t="n">
        <v>5007</v>
      </c>
      <c r="F18" s="35" t="n">
        <v>1118400</v>
      </c>
      <c r="G18" s="35" t="s">
        <v>316</v>
      </c>
      <c r="H18" s="1"/>
    </row>
    <row r="19" customFormat="false" ht="15" hidden="false" customHeight="true" outlineLevel="0" collapsed="false">
      <c r="A19" s="35" t="n">
        <v>7</v>
      </c>
      <c r="B19" s="35" t="s">
        <v>317</v>
      </c>
      <c r="C19" s="35" t="n">
        <v>607368</v>
      </c>
      <c r="D19" s="35" t="n">
        <v>-30368</v>
      </c>
      <c r="E19" s="35" t="n">
        <v>607368</v>
      </c>
      <c r="F19" s="35" t="n">
        <v>1725768</v>
      </c>
      <c r="G19" s="35" t="s">
        <v>318</v>
      </c>
      <c r="H19" s="1"/>
    </row>
    <row r="20" customFormat="false" ht="15" hidden="false" customHeight="true" outlineLevel="0" collapsed="false">
      <c r="A20" s="35" t="n">
        <v>8</v>
      </c>
      <c r="B20" s="35" t="s">
        <v>319</v>
      </c>
      <c r="C20" s="35" t="n">
        <v>101930</v>
      </c>
      <c r="D20" s="35" t="n">
        <v>-5096</v>
      </c>
      <c r="E20" s="35" t="n">
        <v>101930</v>
      </c>
      <c r="F20" s="35" t="n">
        <v>1827698</v>
      </c>
      <c r="G20" s="35" t="s">
        <v>320</v>
      </c>
      <c r="H20" s="1"/>
    </row>
    <row r="21" customFormat="false" ht="15" hidden="false" customHeight="true" outlineLevel="0" collapsed="false">
      <c r="A21" s="35" t="n">
        <v>9</v>
      </c>
      <c r="B21" s="35" t="s">
        <v>321</v>
      </c>
      <c r="C21" s="35" t="n">
        <v>508416</v>
      </c>
      <c r="D21" s="35" t="n">
        <v>-25421</v>
      </c>
      <c r="E21" s="35" t="n">
        <v>508416</v>
      </c>
      <c r="F21" s="35" t="n">
        <v>2336114</v>
      </c>
      <c r="G21" s="35" t="s">
        <v>322</v>
      </c>
      <c r="H21" s="1"/>
    </row>
    <row r="22" customFormat="false" ht="15" hidden="false" customHeight="true" outlineLevel="0" collapsed="false">
      <c r="A22" s="35" t="n">
        <v>10</v>
      </c>
      <c r="B22" s="35" t="s">
        <v>323</v>
      </c>
      <c r="C22" s="35" t="n">
        <v>75208</v>
      </c>
      <c r="D22" s="35" t="n">
        <v>-3760</v>
      </c>
      <c r="E22" s="35" t="n">
        <v>75208</v>
      </c>
      <c r="F22" s="35" t="n">
        <v>2411322</v>
      </c>
      <c r="G22" s="35" t="s">
        <v>324</v>
      </c>
      <c r="H22" s="1"/>
    </row>
    <row r="23" customFormat="false" ht="15" hidden="false" customHeight="true" outlineLevel="0" collapsed="false">
      <c r="A23" s="35" t="n">
        <v>11</v>
      </c>
      <c r="B23" s="35" t="s">
        <v>325</v>
      </c>
      <c r="C23" s="35" t="n">
        <v>56120</v>
      </c>
      <c r="D23" s="35" t="n">
        <v>-2806</v>
      </c>
      <c r="E23" s="35" t="n">
        <v>56120</v>
      </c>
      <c r="F23" s="35" t="n">
        <v>2467442</v>
      </c>
      <c r="G23" s="35" t="s">
        <v>326</v>
      </c>
      <c r="H23" s="1"/>
    </row>
    <row r="24" customFormat="false" ht="15" hidden="false" customHeight="true" outlineLevel="0" collapsed="false">
      <c r="A24" s="35" t="n">
        <v>12</v>
      </c>
      <c r="B24" s="35" t="s">
        <v>327</v>
      </c>
      <c r="C24" s="35" t="n">
        <v>55938</v>
      </c>
      <c r="D24" s="35" t="n">
        <v>-2797</v>
      </c>
      <c r="E24" s="35" t="n">
        <v>55938</v>
      </c>
      <c r="F24" s="35" t="n">
        <v>2523380</v>
      </c>
      <c r="G24" s="35" t="s">
        <v>328</v>
      </c>
      <c r="H24" s="1"/>
    </row>
    <row r="25" customFormat="false" ht="15" hidden="false" customHeight="true" outlineLevel="0" collapsed="false">
      <c r="A25" s="35" t="n">
        <v>13</v>
      </c>
      <c r="B25" s="35" t="s">
        <v>329</v>
      </c>
      <c r="C25" s="35" t="n">
        <v>156090</v>
      </c>
      <c r="D25" s="35" t="n">
        <v>-7804</v>
      </c>
      <c r="E25" s="35" t="n">
        <v>156090</v>
      </c>
      <c r="F25" s="35" t="n">
        <v>2679470</v>
      </c>
      <c r="G25" s="35" t="s">
        <v>330</v>
      </c>
      <c r="H25" s="1"/>
    </row>
    <row r="26" customFormat="false" ht="15" hidden="false" customHeight="true" outlineLevel="0" collapsed="false">
      <c r="A26" s="35" t="n">
        <v>14</v>
      </c>
      <c r="B26" s="35" t="s">
        <v>331</v>
      </c>
      <c r="C26" s="35" t="n">
        <v>71410</v>
      </c>
      <c r="D26" s="35" t="n">
        <v>-3570</v>
      </c>
      <c r="E26" s="35" t="n">
        <v>71410</v>
      </c>
      <c r="F26" s="35" t="n">
        <v>2750880</v>
      </c>
      <c r="G26" s="35" t="s">
        <v>332</v>
      </c>
      <c r="H26" s="1"/>
    </row>
    <row r="27" customFormat="false" ht="15" hidden="false" customHeight="true" outlineLevel="0" collapsed="false">
      <c r="A27" s="35" t="n">
        <v>15</v>
      </c>
      <c r="B27" s="35" t="s">
        <v>333</v>
      </c>
      <c r="C27" s="35" t="n">
        <v>78695</v>
      </c>
      <c r="D27" s="35" t="n">
        <v>-3935</v>
      </c>
      <c r="E27" s="35" t="n">
        <v>78695</v>
      </c>
      <c r="F27" s="35" t="n">
        <v>2829575</v>
      </c>
      <c r="G27" s="35" t="s">
        <v>334</v>
      </c>
      <c r="H27" s="1"/>
    </row>
    <row r="28" customFormat="false" ht="15" hidden="false" customHeight="true" outlineLevel="0" collapsed="false">
      <c r="A28" s="35" t="n">
        <v>16</v>
      </c>
      <c r="B28" s="35" t="s">
        <v>335</v>
      </c>
      <c r="C28" s="35" t="n">
        <v>135691</v>
      </c>
      <c r="D28" s="35" t="n">
        <v>-6785</v>
      </c>
      <c r="E28" s="35" t="n">
        <v>135691</v>
      </c>
      <c r="F28" s="35" t="n">
        <v>2965266</v>
      </c>
      <c r="G28" s="35" t="s">
        <v>336</v>
      </c>
      <c r="H28" s="1"/>
    </row>
    <row r="29" customFormat="false" ht="15" hidden="false" customHeight="true" outlineLevel="0" collapsed="false">
      <c r="A29" s="35" t="n">
        <v>17</v>
      </c>
      <c r="B29" s="35" t="s">
        <v>337</v>
      </c>
      <c r="C29" s="35" t="n">
        <v>42086</v>
      </c>
      <c r="D29" s="35" t="n">
        <v>-2104</v>
      </c>
      <c r="E29" s="35" t="n">
        <v>42086</v>
      </c>
      <c r="F29" s="35" t="n">
        <v>3007352</v>
      </c>
      <c r="G29" s="35" t="s">
        <v>338</v>
      </c>
      <c r="H29" s="1"/>
    </row>
    <row r="30" customFormat="false" ht="15" hidden="false" customHeight="true" outlineLevel="0" collapsed="false">
      <c r="A30" s="35" t="n">
        <v>18</v>
      </c>
      <c r="B30" s="35" t="s">
        <v>339</v>
      </c>
      <c r="C30" s="35" t="n">
        <v>58350</v>
      </c>
      <c r="D30" s="35" t="n">
        <v>-2918</v>
      </c>
      <c r="E30" s="35" t="n">
        <v>58350</v>
      </c>
      <c r="F30" s="35" t="n">
        <v>3065702</v>
      </c>
      <c r="G30" s="35" t="s">
        <v>340</v>
      </c>
      <c r="H30" s="1"/>
    </row>
    <row r="31" customFormat="false" ht="15" hidden="false" customHeight="true" outlineLevel="0" collapsed="false">
      <c r="A31" s="35" t="n">
        <v>19</v>
      </c>
      <c r="B31" s="35" t="s">
        <v>341</v>
      </c>
      <c r="C31" s="35" t="n">
        <v>101275</v>
      </c>
      <c r="D31" s="35" t="n">
        <v>-5064</v>
      </c>
      <c r="E31" s="35" t="n">
        <v>101275</v>
      </c>
      <c r="F31" s="35" t="n">
        <v>3166977</v>
      </c>
      <c r="G31" s="35" t="s">
        <v>342</v>
      </c>
      <c r="H31" s="1"/>
    </row>
    <row r="32" customFormat="false" ht="15" hidden="false" customHeight="true" outlineLevel="0" collapsed="false">
      <c r="A32" s="35" t="n">
        <v>20</v>
      </c>
      <c r="B32" s="35" t="s">
        <v>343</v>
      </c>
      <c r="C32" s="35" t="n">
        <v>84153</v>
      </c>
      <c r="D32" s="35" t="n">
        <v>-4208</v>
      </c>
      <c r="E32" s="35" t="n">
        <v>84153</v>
      </c>
      <c r="F32" s="35" t="n">
        <v>3251130</v>
      </c>
      <c r="G32" s="35" t="s">
        <v>344</v>
      </c>
      <c r="H32" s="1"/>
    </row>
    <row r="33" customFormat="false" ht="15" hidden="false" customHeight="true" outlineLevel="0" collapsed="false">
      <c r="A33" s="35" t="n">
        <v>21</v>
      </c>
      <c r="B33" s="35" t="s">
        <v>345</v>
      </c>
      <c r="C33" s="35" t="n">
        <v>391998</v>
      </c>
      <c r="D33" s="35" t="n">
        <v>-19600</v>
      </c>
      <c r="E33" s="35" t="n">
        <v>391998</v>
      </c>
      <c r="F33" s="35" t="n">
        <v>3643128</v>
      </c>
      <c r="G33" s="35" t="s">
        <v>346</v>
      </c>
      <c r="H33" s="1"/>
    </row>
    <row r="34" customFormat="false" ht="15" hidden="false" customHeight="true" outlineLevel="0" collapsed="false">
      <c r="A34" s="35" t="n">
        <v>22</v>
      </c>
      <c r="B34" s="35" t="s">
        <v>347</v>
      </c>
      <c r="C34" s="35" t="n">
        <v>91812</v>
      </c>
      <c r="D34" s="35" t="n">
        <v>-4591</v>
      </c>
      <c r="E34" s="35" t="n">
        <v>91812</v>
      </c>
      <c r="F34" s="35" t="n">
        <v>3734940</v>
      </c>
      <c r="G34" s="35" t="s">
        <v>348</v>
      </c>
      <c r="H34" s="1"/>
    </row>
    <row r="35" customFormat="false" ht="15" hidden="false" customHeight="true" outlineLevel="0" collapsed="false">
      <c r="A35" s="35" t="n">
        <v>23</v>
      </c>
      <c r="B35" s="35" t="s">
        <v>349</v>
      </c>
      <c r="C35" s="35" t="n">
        <v>307814</v>
      </c>
      <c r="D35" s="35" t="n">
        <v>-15391</v>
      </c>
      <c r="E35" s="35" t="n">
        <v>307814</v>
      </c>
      <c r="F35" s="35" t="n">
        <v>4042754</v>
      </c>
      <c r="G35" s="35" t="s">
        <v>350</v>
      </c>
      <c r="H35" s="1"/>
    </row>
    <row r="36" customFormat="false" ht="15" hidden="false" customHeight="true" outlineLevel="0" collapsed="false">
      <c r="A36" s="35" t="n">
        <v>24</v>
      </c>
      <c r="B36" s="35" t="s">
        <v>351</v>
      </c>
      <c r="C36" s="35" t="n">
        <v>33921</v>
      </c>
      <c r="D36" s="35" t="n">
        <v>-1696</v>
      </c>
      <c r="E36" s="35" t="n">
        <v>33921</v>
      </c>
      <c r="F36" s="35" t="n">
        <v>4076675</v>
      </c>
      <c r="G36" s="35" t="s">
        <v>352</v>
      </c>
      <c r="H36" s="1"/>
    </row>
    <row r="37" customFormat="false" ht="15" hidden="false" customHeight="true" outlineLevel="0" collapsed="false">
      <c r="A37" s="35" t="n">
        <v>25</v>
      </c>
      <c r="B37" s="35" t="s">
        <v>353</v>
      </c>
      <c r="C37" s="35" t="n">
        <v>30400</v>
      </c>
      <c r="D37" s="35" t="n">
        <v>-1520</v>
      </c>
      <c r="E37" s="35" t="n">
        <v>30400</v>
      </c>
      <c r="F37" s="35" t="n">
        <v>4107075</v>
      </c>
      <c r="G37" s="35" t="s">
        <v>354</v>
      </c>
      <c r="H37" s="1"/>
    </row>
    <row r="38" customFormat="false" ht="15" hidden="false" customHeight="true" outlineLevel="0" collapsed="false">
      <c r="A38" s="35" t="n">
        <v>26</v>
      </c>
      <c r="B38" s="35" t="s">
        <v>355</v>
      </c>
      <c r="C38" s="35" t="n">
        <v>207864</v>
      </c>
      <c r="D38" s="35" t="n">
        <v>-10393</v>
      </c>
      <c r="E38" s="35" t="n">
        <v>207864</v>
      </c>
      <c r="F38" s="35" t="n">
        <v>4314939</v>
      </c>
      <c r="G38" s="35" t="s">
        <v>356</v>
      </c>
      <c r="H38" s="1"/>
    </row>
    <row r="39" customFormat="false" ht="15" hidden="false" customHeight="true" outlineLevel="0" collapsed="false">
      <c r="A39" s="35" t="n">
        <v>27</v>
      </c>
      <c r="B39" s="35" t="s">
        <v>357</v>
      </c>
      <c r="C39" s="35" t="n">
        <v>115149</v>
      </c>
      <c r="D39" s="35" t="n">
        <v>-5757</v>
      </c>
      <c r="E39" s="35" t="n">
        <v>115149</v>
      </c>
      <c r="F39" s="35" t="n">
        <v>4430088</v>
      </c>
      <c r="G39" s="35" t="s">
        <v>358</v>
      </c>
      <c r="H39" s="1"/>
    </row>
    <row r="40" customFormat="false" ht="15" hidden="false" customHeight="true" outlineLevel="0" collapsed="false">
      <c r="H40" s="1"/>
    </row>
    <row r="41" customFormat="false" ht="15" hidden="false" customHeight="true" outlineLevel="0" collapsed="false">
      <c r="H41" s="1"/>
    </row>
    <row r="42" customFormat="false" ht="15" hidden="false" customHeight="true" outlineLevel="0" collapsed="false">
      <c r="H42" s="1"/>
    </row>
    <row r="43" customFormat="false" ht="15" hidden="false" customHeight="true" outlineLevel="0" collapsed="false">
      <c r="H43" s="1"/>
    </row>
    <row r="44" customFormat="false" ht="15" hidden="false" customHeight="true" outlineLevel="0" collapsed="false">
      <c r="H44" s="1"/>
    </row>
    <row r="45" customFormat="false" ht="15" hidden="false" customHeight="true" outlineLevel="0" collapsed="false">
      <c r="H45" s="1"/>
    </row>
    <row r="46" customFormat="false" ht="15" hidden="false" customHeight="true" outlineLevel="0" collapsed="false">
      <c r="H46" s="1"/>
    </row>
    <row r="47" customFormat="false" ht="15" hidden="false" customHeight="true" outlineLevel="0" collapsed="false">
      <c r="H47" s="1"/>
    </row>
    <row r="48" customFormat="false" ht="15" hidden="false" customHeight="true" outlineLevel="0" collapsed="false">
      <c r="H48" s="1"/>
    </row>
    <row r="49" customFormat="false" ht="15" hidden="false" customHeight="true" outlineLevel="0" collapsed="false">
      <c r="H49" s="1"/>
    </row>
    <row r="50" customFormat="false" ht="15" hidden="false" customHeight="true" outlineLevel="0" collapsed="false">
      <c r="H50" s="1"/>
    </row>
  </sheetData>
  <mergeCells count="2">
    <mergeCell ref="A4:D4"/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3" min="2" style="1" width="12"/>
    <col collapsed="false" customWidth="true" hidden="false" outlineLevel="0" max="4" min="4" style="1" width="70"/>
    <col collapsed="false" customWidth="true" hidden="false" outlineLevel="0" max="5" min="5" style="1" width="22"/>
    <col collapsed="false" customWidth="true" hidden="false" outlineLevel="0" max="6" min="6" style="1" width="16"/>
  </cols>
  <sheetData>
    <row r="1" customFormat="false" ht="19.5" hidden="false" customHeight="true" outlineLevel="0" collapsed="false">
      <c r="A1" s="32" t="s">
        <v>359</v>
      </c>
      <c r="G1" s="1"/>
      <c r="H1" s="1"/>
    </row>
    <row r="2" customFormat="false" ht="15" hidden="false" customHeight="true" outlineLevel="0" collapsed="false">
      <c r="A2" s="33" t="s">
        <v>360</v>
      </c>
      <c r="G2" s="1"/>
      <c r="H2" s="1"/>
    </row>
    <row r="3" customFormat="false" ht="15" hidden="false" customHeight="true" outlineLevel="0" collapsed="false">
      <c r="A3" s="34"/>
      <c r="B3" s="34"/>
      <c r="C3" s="34"/>
      <c r="D3" s="34"/>
      <c r="E3" s="34"/>
      <c r="G3" s="1"/>
      <c r="H3" s="1"/>
    </row>
    <row r="4" customFormat="false" ht="15" hidden="false" customHeight="true" outlineLevel="0" collapsed="false">
      <c r="A4" s="13" t="s">
        <v>361</v>
      </c>
      <c r="B4" s="13" t="s">
        <v>362</v>
      </c>
      <c r="C4" s="13" t="s">
        <v>300</v>
      </c>
      <c r="D4" s="13" t="s">
        <v>363</v>
      </c>
      <c r="E4" s="13" t="s">
        <v>364</v>
      </c>
      <c r="F4" s="13" t="s">
        <v>365</v>
      </c>
      <c r="G4" s="1"/>
      <c r="H4" s="1"/>
    </row>
    <row r="5" customFormat="false" ht="15" hidden="false" customHeight="true" outlineLevel="0" collapsed="false">
      <c r="A5" s="36" t="s">
        <v>366</v>
      </c>
      <c r="B5" s="36" t="s">
        <v>367</v>
      </c>
      <c r="C5" s="36" t="s">
        <v>368</v>
      </c>
      <c r="D5" s="36" t="s">
        <v>369</v>
      </c>
      <c r="E5" s="36" t="s">
        <v>370</v>
      </c>
      <c r="F5" s="36" t="n">
        <v>0</v>
      </c>
      <c r="G5" s="1"/>
      <c r="H5" s="1"/>
    </row>
    <row r="6" customFormat="false" ht="15" hidden="false" customHeight="true" outlineLevel="0" collapsed="false">
      <c r="A6" s="36" t="s">
        <v>371</v>
      </c>
      <c r="B6" s="36" t="s">
        <v>367</v>
      </c>
      <c r="C6" s="36" t="s">
        <v>372</v>
      </c>
      <c r="D6" s="36" t="s">
        <v>373</v>
      </c>
      <c r="E6" s="36" t="s">
        <v>374</v>
      </c>
      <c r="F6" s="36" t="n">
        <v>0</v>
      </c>
      <c r="G6" s="1"/>
      <c r="H6" s="1"/>
    </row>
    <row r="7" customFormat="false" ht="15" hidden="false" customHeight="true" outlineLevel="0" collapsed="false">
      <c r="A7" s="36" t="s">
        <v>375</v>
      </c>
      <c r="B7" s="36" t="s">
        <v>367</v>
      </c>
      <c r="C7" s="36" t="s">
        <v>376</v>
      </c>
      <c r="D7" s="36" t="s">
        <v>377</v>
      </c>
      <c r="E7" s="36" t="s">
        <v>374</v>
      </c>
      <c r="F7" s="36" t="n">
        <v>0</v>
      </c>
      <c r="G7" s="1"/>
      <c r="H7" s="1"/>
    </row>
    <row r="8" customFormat="false" ht="15" hidden="false" customHeight="true" outlineLevel="0" collapsed="false">
      <c r="A8" s="36" t="s">
        <v>378</v>
      </c>
      <c r="B8" s="36" t="s">
        <v>367</v>
      </c>
      <c r="C8" s="36" t="s">
        <v>379</v>
      </c>
      <c r="D8" s="36" t="s">
        <v>380</v>
      </c>
      <c r="E8" s="36" t="s">
        <v>374</v>
      </c>
      <c r="F8" s="36" t="n">
        <v>0</v>
      </c>
      <c r="G8" s="1"/>
      <c r="H8" s="1"/>
    </row>
    <row r="9" customFormat="false" ht="15" hidden="false" customHeight="true" outlineLevel="0" collapsed="false">
      <c r="A9" s="36" t="s">
        <v>381</v>
      </c>
      <c r="B9" s="36" t="s">
        <v>367</v>
      </c>
      <c r="C9" s="36" t="s">
        <v>382</v>
      </c>
      <c r="D9" s="36" t="s">
        <v>383</v>
      </c>
      <c r="E9" s="36" t="s">
        <v>374</v>
      </c>
      <c r="F9" s="36" t="n">
        <v>0</v>
      </c>
      <c r="G9" s="1"/>
      <c r="H9" s="1"/>
    </row>
    <row r="10" customFormat="false" ht="15" hidden="false" customHeight="true" outlineLevel="0" collapsed="false">
      <c r="A10" s="36" t="s">
        <v>384</v>
      </c>
      <c r="B10" s="36" t="s">
        <v>367</v>
      </c>
      <c r="C10" s="36" t="s">
        <v>382</v>
      </c>
      <c r="D10" s="36" t="s">
        <v>385</v>
      </c>
      <c r="E10" s="36" t="s">
        <v>370</v>
      </c>
      <c r="F10" s="36" t="n">
        <v>0</v>
      </c>
      <c r="G10" s="1"/>
      <c r="H10" s="1"/>
    </row>
    <row r="11" customFormat="false" ht="15" hidden="false" customHeight="true" outlineLevel="0" collapsed="false">
      <c r="A11" s="36" t="s">
        <v>386</v>
      </c>
      <c r="B11" s="36" t="s">
        <v>367</v>
      </c>
      <c r="C11" s="36" t="s">
        <v>387</v>
      </c>
      <c r="D11" s="36" t="s">
        <v>385</v>
      </c>
      <c r="E11" s="36" t="s">
        <v>370</v>
      </c>
      <c r="F11" s="36" t="n">
        <v>0</v>
      </c>
      <c r="G11" s="1"/>
      <c r="H11" s="1"/>
    </row>
    <row r="12" customFormat="false" ht="15" hidden="false" customHeight="true" outlineLevel="0" collapsed="false">
      <c r="A12" s="36" t="s">
        <v>388</v>
      </c>
      <c r="B12" s="36" t="s">
        <v>367</v>
      </c>
      <c r="C12" s="36" t="s">
        <v>389</v>
      </c>
      <c r="D12" s="36" t="s">
        <v>385</v>
      </c>
      <c r="E12" s="36" t="s">
        <v>370</v>
      </c>
      <c r="F12" s="36" t="n">
        <v>0</v>
      </c>
      <c r="G12" s="1"/>
      <c r="H12" s="1"/>
    </row>
    <row r="13" customFormat="false" ht="15" hidden="false" customHeight="true" outlineLevel="0" collapsed="false">
      <c r="A13" s="36" t="s">
        <v>390</v>
      </c>
      <c r="B13" s="36" t="s">
        <v>367</v>
      </c>
      <c r="C13" s="36" t="s">
        <v>391</v>
      </c>
      <c r="D13" s="36" t="s">
        <v>385</v>
      </c>
      <c r="E13" s="36" t="s">
        <v>370</v>
      </c>
      <c r="F13" s="36" t="n">
        <v>0</v>
      </c>
      <c r="G13" s="1"/>
      <c r="H13" s="1"/>
    </row>
    <row r="14" customFormat="false" ht="15" hidden="false" customHeight="true" outlineLevel="0" collapsed="false">
      <c r="A14" s="36" t="s">
        <v>392</v>
      </c>
      <c r="B14" s="36" t="s">
        <v>367</v>
      </c>
      <c r="C14" s="36" t="s">
        <v>393</v>
      </c>
      <c r="D14" s="36" t="s">
        <v>385</v>
      </c>
      <c r="E14" s="36" t="s">
        <v>370</v>
      </c>
      <c r="F14" s="36" t="n">
        <v>0</v>
      </c>
      <c r="G14" s="1"/>
      <c r="H14" s="1"/>
    </row>
    <row r="15" customFormat="false" ht="15" hidden="false" customHeight="true" outlineLevel="0" collapsed="false">
      <c r="A15" s="36" t="s">
        <v>394</v>
      </c>
      <c r="B15" s="36" t="s">
        <v>367</v>
      </c>
      <c r="C15" s="36" t="s">
        <v>395</v>
      </c>
      <c r="D15" s="36" t="s">
        <v>396</v>
      </c>
      <c r="E15" s="36" t="s">
        <v>397</v>
      </c>
      <c r="F15" s="36" t="n">
        <v>0</v>
      </c>
      <c r="G15" s="1"/>
      <c r="H15" s="1"/>
    </row>
    <row r="16" customFormat="false" ht="15" hidden="false" customHeight="true" outlineLevel="0" collapsed="false">
      <c r="A16" s="36" t="s">
        <v>398</v>
      </c>
      <c r="B16" s="36" t="s">
        <v>367</v>
      </c>
      <c r="C16" s="36" t="s">
        <v>399</v>
      </c>
      <c r="D16" s="36" t="s">
        <v>400</v>
      </c>
      <c r="E16" s="36" t="s">
        <v>397</v>
      </c>
      <c r="F16" s="36" t="n">
        <v>0</v>
      </c>
      <c r="G16" s="1"/>
      <c r="H16" s="1"/>
    </row>
    <row r="17" customFormat="false" ht="15" hidden="false" customHeight="true" outlineLevel="0" collapsed="false">
      <c r="A17" s="36" t="s">
        <v>401</v>
      </c>
      <c r="B17" s="36" t="s">
        <v>367</v>
      </c>
      <c r="C17" s="36" t="s">
        <v>402</v>
      </c>
      <c r="D17" s="36" t="s">
        <v>403</v>
      </c>
      <c r="E17" s="36" t="s">
        <v>374</v>
      </c>
      <c r="F17" s="36" t="n">
        <v>0</v>
      </c>
      <c r="G17" s="1"/>
      <c r="H17" s="1"/>
    </row>
    <row r="18" customFormat="false" ht="15" hidden="false" customHeight="true" outlineLevel="0" collapsed="false">
      <c r="A18" s="36" t="s">
        <v>404</v>
      </c>
      <c r="B18" s="36" t="s">
        <v>367</v>
      </c>
      <c r="C18" s="36" t="s">
        <v>405</v>
      </c>
      <c r="D18" s="36" t="s">
        <v>406</v>
      </c>
      <c r="E18" s="36" t="s">
        <v>397</v>
      </c>
      <c r="F18" s="36" t="n">
        <v>0</v>
      </c>
      <c r="G18" s="1"/>
      <c r="H18" s="1"/>
    </row>
    <row r="19" customFormat="false" ht="15" hidden="false" customHeight="true" outlineLevel="0" collapsed="false">
      <c r="A19" s="36" t="s">
        <v>407</v>
      </c>
      <c r="B19" s="36" t="s">
        <v>367</v>
      </c>
      <c r="C19" s="36" t="s">
        <v>408</v>
      </c>
      <c r="D19" s="36" t="s">
        <v>409</v>
      </c>
      <c r="E19" s="36" t="s">
        <v>370</v>
      </c>
      <c r="F19" s="36" t="n">
        <v>0</v>
      </c>
      <c r="G19" s="1"/>
      <c r="H19" s="1"/>
    </row>
    <row r="20" customFormat="false" ht="15" hidden="false" customHeight="true" outlineLevel="0" collapsed="false">
      <c r="A20" s="36" t="s">
        <v>410</v>
      </c>
      <c r="B20" s="36" t="s">
        <v>367</v>
      </c>
      <c r="C20" s="36" t="s">
        <v>411</v>
      </c>
      <c r="D20" s="36" t="s">
        <v>412</v>
      </c>
      <c r="E20" s="36" t="s">
        <v>397</v>
      </c>
      <c r="F20" s="36" t="n">
        <v>0</v>
      </c>
      <c r="G20" s="1"/>
      <c r="H20" s="1"/>
    </row>
    <row r="21" customFormat="false" ht="23.25" hidden="false" customHeight="true" outlineLevel="0" collapsed="false">
      <c r="A21" s="36" t="s">
        <v>413</v>
      </c>
      <c r="B21" s="36" t="s">
        <v>367</v>
      </c>
      <c r="C21" s="36" t="s">
        <v>414</v>
      </c>
      <c r="D21" s="36" t="s">
        <v>415</v>
      </c>
      <c r="E21" s="36" t="s">
        <v>416</v>
      </c>
      <c r="F21" s="36" t="n">
        <v>124538</v>
      </c>
      <c r="G21" s="1"/>
      <c r="H21" s="1"/>
    </row>
    <row r="22" customFormat="false" ht="15" hidden="false" customHeight="true" outlineLevel="0" collapsed="false">
      <c r="G22" s="1"/>
      <c r="H22" s="1"/>
    </row>
    <row r="23" customFormat="false" ht="15" hidden="false" customHeight="true" outlineLevel="0" collapsed="false">
      <c r="A23" s="11" t="s">
        <v>417</v>
      </c>
      <c r="B23" s="11"/>
      <c r="C23" s="11"/>
      <c r="D23" s="11"/>
      <c r="E23" s="11"/>
      <c r="F23" s="11"/>
      <c r="G23" s="1"/>
      <c r="H23" s="1"/>
    </row>
    <row r="24" customFormat="false" ht="15" hidden="false" customHeight="true" outlineLevel="0" collapsed="false">
      <c r="A24" s="19" t="s">
        <v>418</v>
      </c>
      <c r="B24" s="35" t="n">
        <v>13</v>
      </c>
      <c r="G24" s="1"/>
      <c r="H24" s="1"/>
    </row>
    <row r="25" customFormat="false" ht="15" hidden="false" customHeight="true" outlineLevel="0" collapsed="false">
      <c r="A25" s="19" t="s">
        <v>419</v>
      </c>
      <c r="B25" s="35" t="s">
        <v>420</v>
      </c>
      <c r="G25" s="1"/>
      <c r="H25" s="1"/>
    </row>
    <row r="26" customFormat="false" ht="15" hidden="false" customHeight="true" outlineLevel="0" collapsed="false">
      <c r="A26" s="19" t="s">
        <v>147</v>
      </c>
      <c r="B26" s="35" t="n">
        <v>13</v>
      </c>
      <c r="G26" s="1"/>
      <c r="H26" s="1"/>
    </row>
    <row r="27" customFormat="false" ht="15" hidden="false" customHeight="true" outlineLevel="0" collapsed="false">
      <c r="A27" s="19" t="s">
        <v>421</v>
      </c>
      <c r="B27" s="35" t="n">
        <v>14</v>
      </c>
      <c r="G27" s="1"/>
      <c r="H27" s="1"/>
    </row>
    <row r="28" customFormat="false" ht="15" hidden="false" customHeight="true" outlineLevel="0" collapsed="false">
      <c r="A28" s="19" t="s">
        <v>422</v>
      </c>
      <c r="B28" s="35" t="n">
        <v>39</v>
      </c>
      <c r="G28" s="1"/>
      <c r="H28" s="1"/>
    </row>
    <row r="29" customFormat="false" ht="15" hidden="false" customHeight="true" outlineLevel="0" collapsed="false">
      <c r="A29" s="19" t="s">
        <v>423</v>
      </c>
      <c r="B29" s="35" t="n">
        <v>26</v>
      </c>
      <c r="G29" s="1"/>
      <c r="H29" s="1"/>
    </row>
    <row r="30" customFormat="false" ht="15" hidden="false" customHeight="true" outlineLevel="0" collapsed="false">
      <c r="A30" s="19" t="s">
        <v>151</v>
      </c>
      <c r="B30" s="35" t="n">
        <v>117</v>
      </c>
      <c r="G30" s="1"/>
      <c r="H30" s="1"/>
    </row>
    <row r="31" customFormat="false" ht="15" hidden="false" customHeight="true" outlineLevel="0" collapsed="false">
      <c r="G31" s="1"/>
      <c r="H31" s="1"/>
    </row>
    <row r="32" customFormat="false" ht="15" hidden="false" customHeight="true" outlineLevel="0" collapsed="false">
      <c r="G32" s="1"/>
      <c r="H32" s="1"/>
    </row>
    <row r="33" customFormat="false" ht="15" hidden="false" customHeight="true" outlineLevel="0" collapsed="false">
      <c r="G33" s="1"/>
      <c r="H33" s="1"/>
    </row>
    <row r="34" customFormat="false" ht="15" hidden="false" customHeight="true" outlineLevel="0" collapsed="false">
      <c r="G34" s="1"/>
      <c r="H34" s="1"/>
    </row>
    <row r="35" customFormat="false" ht="15" hidden="false" customHeight="true" outlineLevel="0" collapsed="false">
      <c r="G35" s="1"/>
      <c r="H35" s="1"/>
    </row>
    <row r="36" customFormat="false" ht="15" hidden="false" customHeight="true" outlineLevel="0" collapsed="false">
      <c r="G36" s="1"/>
      <c r="H36" s="1"/>
    </row>
    <row r="37" customFormat="false" ht="15" hidden="false" customHeight="true" outlineLevel="0" collapsed="false">
      <c r="G37" s="1"/>
      <c r="H37" s="1"/>
    </row>
    <row r="38" customFormat="false" ht="15" hidden="false" customHeight="true" outlineLevel="0" collapsed="false">
      <c r="G38" s="1"/>
      <c r="H38" s="1"/>
    </row>
    <row r="39" customFormat="false" ht="15" hidden="false" customHeight="true" outlineLevel="0" collapsed="false">
      <c r="G39" s="1"/>
      <c r="H39" s="1"/>
    </row>
    <row r="40" customFormat="false" ht="15" hidden="false" customHeight="true" outlineLevel="0" collapsed="false">
      <c r="G40" s="1"/>
      <c r="H40" s="1"/>
    </row>
    <row r="41" customFormat="false" ht="15" hidden="false" customHeight="true" outlineLevel="0" collapsed="false">
      <c r="G41" s="1"/>
      <c r="H41" s="1"/>
    </row>
    <row r="42" customFormat="false" ht="15" hidden="false" customHeight="true" outlineLevel="0" collapsed="false">
      <c r="G42" s="1"/>
      <c r="H42" s="1"/>
    </row>
    <row r="43" customFormat="false" ht="15" hidden="false" customHeight="true" outlineLevel="0" collapsed="false">
      <c r="G43" s="1"/>
      <c r="H43" s="1"/>
    </row>
    <row r="44" customFormat="false" ht="15" hidden="false" customHeight="true" outlineLevel="0" collapsed="false">
      <c r="G44" s="1"/>
      <c r="H44" s="1"/>
    </row>
    <row r="45" customFormat="false" ht="15" hidden="false" customHeight="true" outlineLevel="0" collapsed="false">
      <c r="G45" s="1"/>
      <c r="H45" s="1"/>
    </row>
    <row r="46" customFormat="false" ht="15" hidden="false" customHeight="true" outlineLevel="0" collapsed="false">
      <c r="G46" s="1"/>
      <c r="H46" s="1"/>
    </row>
    <row r="47" customFormat="false" ht="15" hidden="false" customHeight="true" outlineLevel="0" collapsed="false">
      <c r="G47" s="1"/>
      <c r="H47" s="1"/>
    </row>
    <row r="48" customFormat="false" ht="15" hidden="false" customHeight="true" outlineLevel="0" collapsed="false">
      <c r="G48" s="1"/>
      <c r="H48" s="1"/>
    </row>
    <row r="49" customFormat="false" ht="15" hidden="false" customHeight="true" outlineLevel="0" collapsed="false">
      <c r="G49" s="1"/>
      <c r="H49" s="1"/>
    </row>
    <row r="50" customFormat="false" ht="15" hidden="false" customHeight="true" outlineLevel="0" collapsed="false">
      <c r="G50" s="1"/>
      <c r="H50" s="1"/>
    </row>
  </sheetData>
  <mergeCells count="1"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8" min="3" style="1" width="14"/>
  </cols>
  <sheetData>
    <row r="1" customFormat="false" ht="19.5" hidden="false" customHeight="true" outlineLevel="0" collapsed="false">
      <c r="A1" s="2" t="s">
        <v>424</v>
      </c>
    </row>
    <row r="3" customFormat="false" ht="15" hidden="false" customHeight="true" outlineLevel="0" collapsed="false">
      <c r="A3" s="31" t="s">
        <v>425</v>
      </c>
      <c r="B3" s="31" t="s">
        <v>291</v>
      </c>
      <c r="C3" s="31" t="s">
        <v>283</v>
      </c>
      <c r="D3" s="31" t="s">
        <v>284</v>
      </c>
      <c r="E3" s="31" t="s">
        <v>426</v>
      </c>
      <c r="F3" s="31" t="s">
        <v>427</v>
      </c>
      <c r="G3" s="31" t="s">
        <v>428</v>
      </c>
      <c r="H3" s="31" t="s">
        <v>429</v>
      </c>
    </row>
    <row r="4" customFormat="false" ht="15" hidden="false" customHeight="true" outlineLevel="0" collapsed="false">
      <c r="A4" s="5" t="s">
        <v>430</v>
      </c>
      <c r="B4" s="5" t="s">
        <v>431</v>
      </c>
      <c r="C4" s="6" t="n">
        <v>18225</v>
      </c>
      <c r="D4" s="6" t="n">
        <v>20755</v>
      </c>
      <c r="E4" s="6" t="n">
        <v>11654</v>
      </c>
      <c r="F4" s="10" t="n">
        <f aca="false">D4-E4</f>
        <v>9101</v>
      </c>
      <c r="G4" s="6" t="n">
        <v>0</v>
      </c>
      <c r="H4" s="37" t="n">
        <f aca="false">IFERROR(E4/D4,0)</f>
        <v>0.561503252228379</v>
      </c>
    </row>
    <row r="5" customFormat="false" ht="15" hidden="false" customHeight="true" outlineLevel="0" collapsed="false">
      <c r="A5" s="5" t="s">
        <v>432</v>
      </c>
      <c r="B5" s="5" t="s">
        <v>433</v>
      </c>
      <c r="C5" s="6" t="n">
        <v>42525</v>
      </c>
      <c r="D5" s="6" t="n">
        <v>49785</v>
      </c>
      <c r="E5" s="6" t="n">
        <v>30858.5</v>
      </c>
      <c r="F5" s="10" t="n">
        <f aca="false">D5-E5</f>
        <v>18926.5</v>
      </c>
      <c r="G5" s="6" t="n">
        <v>0</v>
      </c>
      <c r="H5" s="37" t="n">
        <f aca="false">IFERROR(E5/D5,0)</f>
        <v>0.619835291754545</v>
      </c>
    </row>
    <row r="6" customFormat="false" ht="15" hidden="false" customHeight="true" outlineLevel="0" collapsed="false">
      <c r="A6" s="5" t="s">
        <v>434</v>
      </c>
      <c r="B6" s="5" t="s">
        <v>435</v>
      </c>
      <c r="C6" s="6" t="n">
        <v>68190</v>
      </c>
      <c r="D6" s="6" t="n">
        <v>74850</v>
      </c>
      <c r="E6" s="6" t="n">
        <v>67399.5</v>
      </c>
      <c r="F6" s="10" t="n">
        <f aca="false">D6-E6</f>
        <v>7450.5</v>
      </c>
      <c r="G6" s="6" t="n">
        <v>0</v>
      </c>
      <c r="H6" s="37" t="n">
        <f aca="false">IFERROR(E6/D6,0)</f>
        <v>0.900460921843687</v>
      </c>
    </row>
    <row r="7" customFormat="false" ht="15" hidden="false" customHeight="true" outlineLevel="0" collapsed="false">
      <c r="A7" s="5" t="s">
        <v>436</v>
      </c>
      <c r="B7" s="5" t="s">
        <v>437</v>
      </c>
      <c r="C7" s="6" t="n">
        <v>198580</v>
      </c>
      <c r="D7" s="6" t="n">
        <v>207080</v>
      </c>
      <c r="E7" s="6" t="n">
        <v>115836</v>
      </c>
      <c r="F7" s="10" t="n">
        <f aca="false">D7-E7</f>
        <v>91244</v>
      </c>
      <c r="G7" s="6" t="n">
        <v>0</v>
      </c>
      <c r="H7" s="37" t="n">
        <f aca="false">IFERROR(E7/D7,0)</f>
        <v>0.559378018157234</v>
      </c>
    </row>
    <row r="8" customFormat="false" ht="15" hidden="false" customHeight="true" outlineLevel="0" collapsed="false">
      <c r="A8" s="5" t="s">
        <v>438</v>
      </c>
      <c r="B8" s="5" t="s">
        <v>439</v>
      </c>
      <c r="C8" s="6" t="n">
        <v>30450</v>
      </c>
      <c r="D8" s="6" t="n">
        <v>31150</v>
      </c>
      <c r="E8" s="6" t="n">
        <v>36857.68</v>
      </c>
      <c r="F8" s="10" t="n">
        <f aca="false">D8-E8</f>
        <v>-5707.68</v>
      </c>
      <c r="G8" s="6" t="n">
        <v>0</v>
      </c>
      <c r="H8" s="37" t="n">
        <f aca="false">IFERROR(E8/D8,0)</f>
        <v>1.18323210272873</v>
      </c>
    </row>
    <row r="9" customFormat="false" ht="15" hidden="false" customHeight="true" outlineLevel="0" collapsed="false">
      <c r="A9" s="5" t="s">
        <v>440</v>
      </c>
      <c r="B9" s="5" t="s">
        <v>441</v>
      </c>
      <c r="C9" s="6" t="n">
        <v>507195</v>
      </c>
      <c r="D9" s="6" t="n">
        <v>530745</v>
      </c>
      <c r="E9" s="6" t="n">
        <v>472058.5</v>
      </c>
      <c r="F9" s="10" t="n">
        <f aca="false">D9-E9</f>
        <v>58686.5</v>
      </c>
      <c r="G9" s="6" t="n">
        <v>0</v>
      </c>
      <c r="H9" s="37" t="n">
        <f aca="false">IFERROR(E9/D9,0)</f>
        <v>0.889426183948977</v>
      </c>
    </row>
    <row r="10" customFormat="false" ht="15" hidden="false" customHeight="true" outlineLevel="0" collapsed="false">
      <c r="A10" s="5" t="s">
        <v>442</v>
      </c>
      <c r="B10" s="5" t="s">
        <v>443</v>
      </c>
      <c r="C10" s="6" t="n">
        <v>93500</v>
      </c>
      <c r="D10" s="6" t="n">
        <v>108320</v>
      </c>
      <c r="E10" s="6" t="n">
        <v>119990.75</v>
      </c>
      <c r="F10" s="10" t="n">
        <f aca="false">D10-E10</f>
        <v>-11670.75</v>
      </c>
      <c r="G10" s="6" t="n">
        <v>0</v>
      </c>
      <c r="H10" s="37" t="n">
        <f aca="false">IFERROR(E10/D10,0)</f>
        <v>1.10774326070901</v>
      </c>
    </row>
    <row r="11" customFormat="false" ht="15" hidden="false" customHeight="true" outlineLevel="0" collapsed="false">
      <c r="A11" s="5" t="s">
        <v>444</v>
      </c>
      <c r="B11" s="5" t="s">
        <v>445</v>
      </c>
      <c r="C11" s="6" t="n">
        <v>20250</v>
      </c>
      <c r="D11" s="6" t="n">
        <v>23250</v>
      </c>
      <c r="E11" s="6" t="n">
        <v>18830</v>
      </c>
      <c r="F11" s="10" t="n">
        <f aca="false">D11-E11</f>
        <v>4420</v>
      </c>
      <c r="G11" s="6" t="n">
        <v>0</v>
      </c>
      <c r="H11" s="37" t="n">
        <f aca="false">IFERROR(E11/D11,0)</f>
        <v>0.80989247311828</v>
      </c>
    </row>
    <row r="12" customFormat="false" ht="15" hidden="false" customHeight="true" outlineLevel="0" collapsed="false">
      <c r="A12" s="5" t="s">
        <v>446</v>
      </c>
      <c r="B12" s="5" t="s">
        <v>447</v>
      </c>
      <c r="C12" s="6" t="n">
        <v>122700</v>
      </c>
      <c r="D12" s="6" t="n">
        <v>129200</v>
      </c>
      <c r="E12" s="6" t="n">
        <v>94078.14</v>
      </c>
      <c r="F12" s="10" t="n">
        <f aca="false">D12-E12</f>
        <v>35121.86</v>
      </c>
      <c r="G12" s="6" t="n">
        <v>0</v>
      </c>
      <c r="H12" s="37" t="n">
        <f aca="false">IFERROR(E12/D12,0)</f>
        <v>0.728158978328173</v>
      </c>
    </row>
    <row r="13" customFormat="false" ht="15" hidden="false" customHeight="true" outlineLevel="0" collapsed="false">
      <c r="A13" s="5" t="s">
        <v>448</v>
      </c>
      <c r="B13" s="5" t="s">
        <v>449</v>
      </c>
      <c r="C13" s="6" t="n">
        <v>21600</v>
      </c>
      <c r="D13" s="6" t="n">
        <v>21600</v>
      </c>
      <c r="E13" s="6" t="n">
        <v>22826</v>
      </c>
      <c r="F13" s="10" t="n">
        <f aca="false">D13-E13</f>
        <v>-1226</v>
      </c>
      <c r="G13" s="6" t="n">
        <v>0</v>
      </c>
      <c r="H13" s="37" t="n">
        <f aca="false">IFERROR(E13/D13,0)</f>
        <v>1.05675925925926</v>
      </c>
    </row>
    <row r="14" customFormat="false" ht="15" hidden="false" customHeight="true" outlineLevel="0" collapsed="false">
      <c r="A14" s="5" t="s">
        <v>450</v>
      </c>
      <c r="B14" s="5" t="s">
        <v>451</v>
      </c>
      <c r="C14" s="6" t="n">
        <v>0</v>
      </c>
      <c r="D14" s="6" t="n">
        <v>0</v>
      </c>
      <c r="E14" s="6" t="n">
        <v>114</v>
      </c>
      <c r="F14" s="10" t="n">
        <f aca="false">D14-E14</f>
        <v>-114</v>
      </c>
      <c r="G14" s="6" t="n">
        <v>0</v>
      </c>
      <c r="H14" s="37" t="n">
        <f aca="false">IFERROR(E14/D14,0)</f>
        <v>0</v>
      </c>
    </row>
    <row r="15" customFormat="false" ht="15" hidden="false" customHeight="true" outlineLevel="0" collapsed="false">
      <c r="A15" s="5" t="s">
        <v>452</v>
      </c>
      <c r="B15" s="5" t="s">
        <v>453</v>
      </c>
      <c r="C15" s="6" t="n">
        <v>68895</v>
      </c>
      <c r="D15" s="6" t="n">
        <v>54595</v>
      </c>
      <c r="E15" s="6" t="n">
        <v>36610.89</v>
      </c>
      <c r="F15" s="10" t="n">
        <f aca="false">D15-E15</f>
        <v>17984.11</v>
      </c>
      <c r="G15" s="6" t="n">
        <v>0</v>
      </c>
      <c r="H15" s="37" t="n">
        <f aca="false">IFERROR(E15/D15,0)</f>
        <v>0.67059053026834</v>
      </c>
    </row>
    <row r="16" customFormat="false" ht="15" hidden="false" customHeight="true" outlineLevel="0" collapsed="false">
      <c r="A16" s="5" t="s">
        <v>454</v>
      </c>
      <c r="B16" s="5" t="s">
        <v>455</v>
      </c>
      <c r="C16" s="6" t="n">
        <v>136110</v>
      </c>
      <c r="D16" s="6" t="n">
        <v>137910</v>
      </c>
      <c r="E16" s="6" t="n">
        <v>84964.33</v>
      </c>
      <c r="F16" s="10" t="n">
        <f aca="false">D16-E16</f>
        <v>52945.67</v>
      </c>
      <c r="G16" s="6" t="n">
        <v>0</v>
      </c>
      <c r="H16" s="37" t="n">
        <f aca="false">IFERROR(E16/D16,0)</f>
        <v>0.616085345515191</v>
      </c>
    </row>
    <row r="17" customFormat="false" ht="15" hidden="false" customHeight="true" outlineLevel="0" collapsed="false">
      <c r="A17" s="5" t="s">
        <v>456</v>
      </c>
      <c r="B17" s="5" t="s">
        <v>457</v>
      </c>
      <c r="C17" s="6" t="n">
        <v>30450</v>
      </c>
      <c r="D17" s="6" t="n">
        <v>31150</v>
      </c>
      <c r="E17" s="6" t="n">
        <v>15772.3</v>
      </c>
      <c r="F17" s="10" t="n">
        <f aca="false">D17-E17</f>
        <v>15377.7</v>
      </c>
      <c r="G17" s="6" t="n">
        <v>0</v>
      </c>
      <c r="H17" s="37" t="n">
        <f aca="false">IFERROR(E17/D17,0)</f>
        <v>0.506333868378812</v>
      </c>
    </row>
    <row r="18" customFormat="false" ht="15" hidden="false" customHeight="true" outlineLevel="0" collapsed="false">
      <c r="A18" s="5" t="s">
        <v>458</v>
      </c>
      <c r="B18" s="5" t="s">
        <v>459</v>
      </c>
      <c r="C18" s="6" t="n">
        <v>243510</v>
      </c>
      <c r="D18" s="6" t="n">
        <v>249410</v>
      </c>
      <c r="E18" s="6" t="n">
        <v>189502.48</v>
      </c>
      <c r="F18" s="10" t="n">
        <f aca="false">D18-E18</f>
        <v>59907.52</v>
      </c>
      <c r="G18" s="6" t="n">
        <v>0</v>
      </c>
      <c r="H18" s="37" t="n">
        <f aca="false">IFERROR(E18/D18,0)</f>
        <v>0.759803055210296</v>
      </c>
    </row>
    <row r="19" customFormat="false" ht="15" hidden="false" customHeight="true" outlineLevel="0" collapsed="false">
      <c r="A19" s="5" t="s">
        <v>460</v>
      </c>
      <c r="B19" s="5" t="s">
        <v>461</v>
      </c>
      <c r="C19" s="6" t="n">
        <v>660000</v>
      </c>
      <c r="D19" s="6" t="n">
        <v>679447</v>
      </c>
      <c r="E19" s="6" t="n">
        <v>543379.02</v>
      </c>
      <c r="F19" s="10" t="n">
        <f aca="false">D19-E19</f>
        <v>136067.98</v>
      </c>
      <c r="G19" s="6" t="n">
        <v>0</v>
      </c>
      <c r="H19" s="37" t="n">
        <f aca="false">IFERROR(E19/D19,0)</f>
        <v>0.799737168609178</v>
      </c>
    </row>
    <row r="20" customFormat="false" ht="15" hidden="false" customHeight="true" outlineLevel="0" collapsed="false">
      <c r="A20" s="5" t="s">
        <v>462</v>
      </c>
      <c r="B20" s="5" t="s">
        <v>463</v>
      </c>
      <c r="C20" s="6" t="n">
        <v>22950</v>
      </c>
      <c r="D20" s="6" t="n">
        <v>25150</v>
      </c>
      <c r="E20" s="6" t="n">
        <v>16320.42</v>
      </c>
      <c r="F20" s="10" t="n">
        <f aca="false">D20-E20</f>
        <v>8829.58</v>
      </c>
      <c r="G20" s="6" t="n">
        <v>0</v>
      </c>
      <c r="H20" s="37" t="n">
        <f aca="false">IFERROR(E20/D20,0)</f>
        <v>0.648923260437376</v>
      </c>
    </row>
    <row r="21" customFormat="false" ht="15" hidden="false" customHeight="true" outlineLevel="0" collapsed="false">
      <c r="A21" s="5" t="s">
        <v>464</v>
      </c>
      <c r="B21" s="5" t="s">
        <v>465</v>
      </c>
      <c r="C21" s="6" t="n">
        <v>114220</v>
      </c>
      <c r="D21" s="6" t="n">
        <v>121025</v>
      </c>
      <c r="E21" s="6" t="n">
        <v>97570.89</v>
      </c>
      <c r="F21" s="10" t="n">
        <f aca="false">D21-E21</f>
        <v>23454.11</v>
      </c>
      <c r="G21" s="6" t="n">
        <v>0</v>
      </c>
      <c r="H21" s="37" t="n">
        <f aca="false">IFERROR(E21/D21,0)</f>
        <v>0.806204420574262</v>
      </c>
    </row>
    <row r="22" customFormat="false" ht="15" hidden="false" customHeight="true" outlineLevel="0" collapsed="false">
      <c r="A22" s="5" t="s">
        <v>466</v>
      </c>
      <c r="B22" s="5" t="s">
        <v>467</v>
      </c>
      <c r="C22" s="6" t="n">
        <v>28800</v>
      </c>
      <c r="D22" s="6" t="n">
        <v>28800</v>
      </c>
      <c r="E22" s="6" t="n">
        <v>40175.19</v>
      </c>
      <c r="F22" s="10" t="n">
        <f aca="false">D22-E22</f>
        <v>-11375.19</v>
      </c>
      <c r="G22" s="6" t="n">
        <v>0</v>
      </c>
      <c r="H22" s="37" t="n">
        <f aca="false">IFERROR(E22/D22,0)</f>
        <v>1.394971875</v>
      </c>
    </row>
    <row r="23" customFormat="false" ht="15" hidden="false" customHeight="true" outlineLevel="0" collapsed="false">
      <c r="A23" s="5" t="s">
        <v>468</v>
      </c>
      <c r="B23" s="5" t="s">
        <v>469</v>
      </c>
      <c r="C23" s="6" t="n">
        <v>55100</v>
      </c>
      <c r="D23" s="6" t="n">
        <v>62550</v>
      </c>
      <c r="E23" s="6" t="n">
        <v>13105</v>
      </c>
      <c r="F23" s="10" t="n">
        <f aca="false">D23-E23</f>
        <v>49445</v>
      </c>
      <c r="G23" s="6" t="n">
        <v>0</v>
      </c>
      <c r="H23" s="37" t="n">
        <f aca="false">IFERROR(E23/D23,0)</f>
        <v>0.20951239008793</v>
      </c>
    </row>
    <row r="24" customFormat="false" ht="15" hidden="false" customHeight="true" outlineLevel="0" collapsed="false">
      <c r="A24" s="5" t="s">
        <v>470</v>
      </c>
      <c r="B24" s="5" t="s">
        <v>471</v>
      </c>
      <c r="C24" s="6" t="n">
        <v>75000</v>
      </c>
      <c r="D24" s="6" t="n">
        <v>79698</v>
      </c>
      <c r="E24" s="6" t="n">
        <v>70334</v>
      </c>
      <c r="F24" s="10" t="n">
        <f aca="false">D24-E24</f>
        <v>9364</v>
      </c>
      <c r="G24" s="6" t="n">
        <v>0</v>
      </c>
      <c r="H24" s="37" t="n">
        <f aca="false">IFERROR(E24/D24,0)</f>
        <v>0.882506461893649</v>
      </c>
    </row>
    <row r="25" customFormat="false" ht="15" hidden="false" customHeight="true" outlineLevel="0" collapsed="false">
      <c r="A25" s="5" t="s">
        <v>472</v>
      </c>
      <c r="B25" s="5" t="s">
        <v>473</v>
      </c>
      <c r="C25" s="6" t="n">
        <v>14000</v>
      </c>
      <c r="D25" s="6" t="n">
        <v>14000</v>
      </c>
      <c r="E25" s="6" t="n">
        <v>12078.96</v>
      </c>
      <c r="F25" s="10" t="n">
        <f aca="false">D25-E25</f>
        <v>1921.04</v>
      </c>
      <c r="G25" s="6" t="n">
        <v>0</v>
      </c>
      <c r="H25" s="37" t="n">
        <f aca="false">IFERROR(E25/D25,0)</f>
        <v>0.862782857142857</v>
      </c>
    </row>
    <row r="26" customFormat="false" ht="15" hidden="false" customHeight="true" outlineLevel="0" collapsed="false">
      <c r="A26" s="5" t="s">
        <v>474</v>
      </c>
      <c r="B26" s="5" t="s">
        <v>475</v>
      </c>
      <c r="C26" s="6" t="n">
        <v>23190</v>
      </c>
      <c r="D26" s="6" t="n">
        <v>23290</v>
      </c>
      <c r="E26" s="6" t="n">
        <v>18395.35</v>
      </c>
      <c r="F26" s="10" t="n">
        <f aca="false">D26-E26</f>
        <v>4894.65</v>
      </c>
      <c r="G26" s="6" t="n">
        <v>0</v>
      </c>
      <c r="H26" s="37" t="n">
        <f aca="false">IFERROR(E26/D26,0)</f>
        <v>0.789838986689566</v>
      </c>
    </row>
    <row r="27" customFormat="false" ht="15" hidden="false" customHeight="true" outlineLevel="0" collapsed="false">
      <c r="A27" s="5" t="s">
        <v>476</v>
      </c>
      <c r="B27" s="5" t="s">
        <v>477</v>
      </c>
      <c r="C27" s="6" t="n">
        <v>16200</v>
      </c>
      <c r="D27" s="6" t="n">
        <v>16200</v>
      </c>
      <c r="E27" s="6" t="n">
        <v>11616.77</v>
      </c>
      <c r="F27" s="10" t="n">
        <f aca="false">D27-E27</f>
        <v>4583.23</v>
      </c>
      <c r="G27" s="6" t="n">
        <v>0</v>
      </c>
      <c r="H27" s="37" t="n">
        <f aca="false">IFERROR(E27/D27,0)</f>
        <v>0.717084567901235</v>
      </c>
    </row>
    <row r="28" customFormat="false" ht="15" hidden="false" customHeight="true" outlineLevel="0" collapsed="false">
      <c r="A28" s="5" t="s">
        <v>478</v>
      </c>
      <c r="B28" s="5" t="s">
        <v>479</v>
      </c>
      <c r="C28" s="6" t="n">
        <v>475681.55</v>
      </c>
      <c r="D28" s="6" t="n">
        <v>503619.15</v>
      </c>
      <c r="E28" s="6" t="n">
        <v>381218.42</v>
      </c>
      <c r="F28" s="10" t="n">
        <f aca="false">D28-E28</f>
        <v>122400.73</v>
      </c>
      <c r="G28" s="6" t="n">
        <v>0</v>
      </c>
      <c r="H28" s="37" t="n">
        <f aca="false">IFERROR(E28/D28,0)</f>
        <v>0.756957752698641</v>
      </c>
    </row>
    <row r="29" customFormat="false" ht="15" hidden="false" customHeight="true" outlineLevel="0" collapsed="false">
      <c r="A29" s="5" t="s">
        <v>480</v>
      </c>
      <c r="B29" s="5" t="s">
        <v>481</v>
      </c>
      <c r="C29" s="6" t="n">
        <v>85925.95</v>
      </c>
      <c r="D29" s="6" t="n">
        <v>91550.24</v>
      </c>
      <c r="E29" s="6" t="n">
        <v>75952.65</v>
      </c>
      <c r="F29" s="10" t="n">
        <f aca="false">D29-E29</f>
        <v>15597.59</v>
      </c>
      <c r="G29" s="6" t="n">
        <v>0</v>
      </c>
      <c r="H29" s="37" t="n">
        <f aca="false">IFERROR(E29/D29,0)</f>
        <v>0.829628081805138</v>
      </c>
    </row>
    <row r="30" customFormat="false" ht="15" hidden="false" customHeight="true" outlineLevel="0" collapsed="false">
      <c r="A30" s="17" t="s">
        <v>482</v>
      </c>
      <c r="C30" s="7" t="n">
        <f aca="false">SUM(C4:C29)</f>
        <v>3173247.5</v>
      </c>
      <c r="D30" s="7" t="n">
        <f aca="false">SUM(D4:D29)</f>
        <v>3315129.39</v>
      </c>
      <c r="E30" s="7" t="n">
        <f aca="false">SUM(E4:E29)</f>
        <v>2597499.74</v>
      </c>
      <c r="F30" s="7" t="n">
        <f aca="false">SUM(F4:F29)</f>
        <v>717629.65</v>
      </c>
      <c r="G30" s="7" t="n">
        <f aca="false">SUM(G4:G29)</f>
        <v>0</v>
      </c>
      <c r="H30" s="8" t="n">
        <f aca="false">IFERROR(E30/D30,0)</f>
        <v>0.783528916800439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6" min="3" style="1" width="16"/>
  </cols>
  <sheetData>
    <row r="1" customFormat="false" ht="19.5" hidden="false" customHeight="true" outlineLevel="0" collapsed="false">
      <c r="A1" s="2" t="s">
        <v>483</v>
      </c>
    </row>
    <row r="3" customFormat="false" ht="15" hidden="false" customHeight="true" outlineLevel="0" collapsed="false">
      <c r="A3" s="31" t="s">
        <v>484</v>
      </c>
      <c r="B3" s="31" t="s">
        <v>485</v>
      </c>
      <c r="C3" s="31" t="s">
        <v>486</v>
      </c>
      <c r="D3" s="31" t="s">
        <v>426</v>
      </c>
      <c r="E3" s="31" t="s">
        <v>427</v>
      </c>
      <c r="F3" s="31" t="s">
        <v>429</v>
      </c>
    </row>
    <row r="4" customFormat="false" ht="15" hidden="false" customHeight="true" outlineLevel="0" collapsed="false">
      <c r="A4" s="17" t="s">
        <v>487</v>
      </c>
      <c r="B4" s="5" t="n">
        <v>11</v>
      </c>
      <c r="C4" s="6" t="n">
        <v>1196735</v>
      </c>
      <c r="D4" s="6" t="n">
        <v>990503.07</v>
      </c>
      <c r="E4" s="10" t="n">
        <f aca="false">C4-D4</f>
        <v>206231.93</v>
      </c>
      <c r="F4" s="37" t="n">
        <f aca="false">IFERROR(D4/C4,0)</f>
        <v>0.827671180336499</v>
      </c>
    </row>
    <row r="5" customFormat="false" ht="15" hidden="false" customHeight="true" outlineLevel="0" collapsed="false">
      <c r="A5" s="17" t="s">
        <v>488</v>
      </c>
      <c r="B5" s="5" t="n">
        <v>8</v>
      </c>
      <c r="C5" s="6" t="n">
        <v>1327487</v>
      </c>
      <c r="D5" s="6" t="n">
        <v>1024295.52</v>
      </c>
      <c r="E5" s="10" t="n">
        <f aca="false">C5-D5</f>
        <v>303191.48</v>
      </c>
      <c r="F5" s="37" t="n">
        <f aca="false">IFERROR(D5/C5,0)</f>
        <v>0.771604934737591</v>
      </c>
    </row>
    <row r="6" customFormat="false" ht="15" hidden="false" customHeight="true" outlineLevel="0" collapsed="false">
      <c r="A6" s="17" t="s">
        <v>489</v>
      </c>
      <c r="B6" s="5" t="n">
        <v>5</v>
      </c>
      <c r="C6" s="6" t="n">
        <v>195738</v>
      </c>
      <c r="D6" s="6" t="n">
        <v>125530.08</v>
      </c>
      <c r="E6" s="10" t="n">
        <f aca="false">C6-D6</f>
        <v>70207.92</v>
      </c>
      <c r="F6" s="37" t="n">
        <f aca="false">IFERROR(D6/C6,0)</f>
        <v>0.641316862336388</v>
      </c>
    </row>
    <row r="7" customFormat="false" ht="15" hidden="false" customHeight="true" outlineLevel="0" collapsed="false">
      <c r="A7" s="17" t="s">
        <v>490</v>
      </c>
      <c r="B7" s="5" t="n">
        <v>2</v>
      </c>
      <c r="C7" s="6" t="n">
        <v>595169.39</v>
      </c>
      <c r="D7" s="6" t="n">
        <v>457171.07</v>
      </c>
      <c r="E7" s="10" t="n">
        <f aca="false">C7-D7</f>
        <v>137998.32</v>
      </c>
      <c r="F7" s="37" t="n">
        <f aca="false">IFERROR(D7/C7,0)</f>
        <v>0.768136059551047</v>
      </c>
    </row>
    <row r="8" customFormat="false" ht="15" hidden="false" customHeight="true" outlineLevel="0" collapsed="false">
      <c r="A8" s="17" t="s">
        <v>482</v>
      </c>
      <c r="B8" s="38" t="n">
        <f aca="false">SUM(B4:B7)</f>
        <v>26</v>
      </c>
      <c r="C8" s="7" t="n">
        <f aca="false">SUM(C4:C7)</f>
        <v>3315129.39</v>
      </c>
      <c r="D8" s="7" t="n">
        <f aca="false">SUM(D4:D7)</f>
        <v>2597499.74</v>
      </c>
      <c r="E8" s="7" t="n">
        <f aca="false">SUM(E4:E7)</f>
        <v>717629.65</v>
      </c>
      <c r="F8" s="8" t="n">
        <f aca="false">IFERROR(D8/C8,0)</f>
        <v>0.783528916800439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5" min="3" style="1" width="14"/>
    <col collapsed="false" customWidth="true" hidden="false" outlineLevel="0" max="6" min="6" style="1" width="10"/>
    <col collapsed="false" customWidth="true" hidden="false" outlineLevel="0" max="7" min="7" style="1" width="14"/>
  </cols>
  <sheetData>
    <row r="1" customFormat="false" ht="19.5" hidden="false" customHeight="true" outlineLevel="0" collapsed="false">
      <c r="A1" s="2" t="s">
        <v>491</v>
      </c>
    </row>
    <row r="2" customFormat="false" ht="15" hidden="false" customHeight="true" outlineLevel="0" collapsed="false">
      <c r="A2" s="3" t="s">
        <v>492</v>
      </c>
    </row>
    <row r="4" customFormat="false" ht="15" hidden="false" customHeight="true" outlineLevel="0" collapsed="false">
      <c r="A4" s="31" t="s">
        <v>425</v>
      </c>
      <c r="B4" s="31" t="s">
        <v>291</v>
      </c>
      <c r="C4" s="31" t="s">
        <v>284</v>
      </c>
      <c r="D4" s="31" t="s">
        <v>426</v>
      </c>
      <c r="E4" s="31" t="s">
        <v>427</v>
      </c>
      <c r="F4" s="31" t="s">
        <v>493</v>
      </c>
      <c r="G4" s="31" t="s">
        <v>48</v>
      </c>
    </row>
    <row r="5" customFormat="false" ht="15" hidden="false" customHeight="true" outlineLevel="0" collapsed="false">
      <c r="A5" s="5" t="s">
        <v>430</v>
      </c>
      <c r="B5" s="5" t="s">
        <v>431</v>
      </c>
      <c r="C5" s="6" t="n">
        <v>20755</v>
      </c>
      <c r="D5" s="6" t="n">
        <v>11654</v>
      </c>
      <c r="E5" s="10" t="n">
        <f aca="false">C5-D5</f>
        <v>9101</v>
      </c>
      <c r="F5" s="37" t="n">
        <f aca="false">IFERROR((D5-C5)/C5,0)</f>
        <v>-0.438496747771621</v>
      </c>
      <c r="G5" s="39" t="str">
        <f aca="false">IF(C5=0,"UNBUDGETED",IF(F5&gt;0.5,"CRITICAL",IF(F5&gt;0.1,"OVER",IF(F5&lt;-0.1,"UNDER","ON"))))</f>
        <v>UNDER</v>
      </c>
    </row>
    <row r="6" customFormat="false" ht="15" hidden="false" customHeight="true" outlineLevel="0" collapsed="false">
      <c r="A6" s="5" t="s">
        <v>432</v>
      </c>
      <c r="B6" s="5" t="s">
        <v>433</v>
      </c>
      <c r="C6" s="6" t="n">
        <v>49785</v>
      </c>
      <c r="D6" s="6" t="n">
        <v>30858.5</v>
      </c>
      <c r="E6" s="10" t="n">
        <f aca="false">C6-D6</f>
        <v>18926.5</v>
      </c>
      <c r="F6" s="37" t="n">
        <f aca="false">IFERROR((D6-C6)/C6,0)</f>
        <v>-0.380164708245455</v>
      </c>
      <c r="G6" s="39" t="str">
        <f aca="false">IF(C6=0,"UNBUDGETED",IF(F6&gt;0.5,"CRITICAL",IF(F6&gt;0.1,"OVER",IF(F6&lt;-0.1,"UNDER","ON"))))</f>
        <v>UNDER</v>
      </c>
    </row>
    <row r="7" customFormat="false" ht="15" hidden="false" customHeight="true" outlineLevel="0" collapsed="false">
      <c r="A7" s="5" t="s">
        <v>434</v>
      </c>
      <c r="B7" s="5" t="s">
        <v>435</v>
      </c>
      <c r="C7" s="6" t="n">
        <v>74850</v>
      </c>
      <c r="D7" s="6" t="n">
        <v>67399.5</v>
      </c>
      <c r="E7" s="10" t="n">
        <f aca="false">C7-D7</f>
        <v>7450.5</v>
      </c>
      <c r="F7" s="37" t="n">
        <f aca="false">IFERROR((D7-C7)/C7,0)</f>
        <v>-0.0995390781563126</v>
      </c>
      <c r="G7" s="39" t="str">
        <f aca="false">IF(C7=0,"UNBUDGETED",IF(F7&gt;0.5,"CRITICAL",IF(F7&gt;0.1,"OVER",IF(F7&lt;-0.1,"UNDER","ON"))))</f>
        <v>ON</v>
      </c>
    </row>
    <row r="8" customFormat="false" ht="15" hidden="false" customHeight="true" outlineLevel="0" collapsed="false">
      <c r="A8" s="5" t="s">
        <v>436</v>
      </c>
      <c r="B8" s="5" t="s">
        <v>437</v>
      </c>
      <c r="C8" s="6" t="n">
        <v>207080</v>
      </c>
      <c r="D8" s="6" t="n">
        <v>115836</v>
      </c>
      <c r="E8" s="10" t="n">
        <f aca="false">C8-D8</f>
        <v>91244</v>
      </c>
      <c r="F8" s="37" t="n">
        <f aca="false">IFERROR((D8-C8)/C8,0)</f>
        <v>-0.440621981842766</v>
      </c>
      <c r="G8" s="39" t="str">
        <f aca="false">IF(C8=0,"UNBUDGETED",IF(F8&gt;0.5,"CRITICAL",IF(F8&gt;0.1,"OVER",IF(F8&lt;-0.1,"UNDER","ON"))))</f>
        <v>UNDER</v>
      </c>
    </row>
    <row r="9" customFormat="false" ht="15" hidden="false" customHeight="true" outlineLevel="0" collapsed="false">
      <c r="A9" s="5" t="s">
        <v>438</v>
      </c>
      <c r="B9" s="5" t="s">
        <v>439</v>
      </c>
      <c r="C9" s="6" t="n">
        <v>31150</v>
      </c>
      <c r="D9" s="6" t="n">
        <v>36857.68</v>
      </c>
      <c r="E9" s="10" t="n">
        <f aca="false">C9-D9</f>
        <v>-5707.68</v>
      </c>
      <c r="F9" s="37" t="n">
        <f aca="false">IFERROR((D9-C9)/C9,0)</f>
        <v>0.183232102728732</v>
      </c>
      <c r="G9" s="39" t="str">
        <f aca="false">IF(C9=0,"UNBUDGETED",IF(F9&gt;0.5,"CRITICAL",IF(F9&gt;0.1,"OVER",IF(F9&lt;-0.1,"UNDER","ON"))))</f>
        <v>OVER</v>
      </c>
    </row>
    <row r="10" customFormat="false" ht="15" hidden="false" customHeight="true" outlineLevel="0" collapsed="false">
      <c r="A10" s="5" t="s">
        <v>440</v>
      </c>
      <c r="B10" s="5" t="s">
        <v>441</v>
      </c>
      <c r="C10" s="6" t="n">
        <v>530745</v>
      </c>
      <c r="D10" s="6" t="n">
        <v>472058.5</v>
      </c>
      <c r="E10" s="10" t="n">
        <f aca="false">C10-D10</f>
        <v>58686.5</v>
      </c>
      <c r="F10" s="37" t="n">
        <f aca="false">IFERROR((D10-C10)/C10,0)</f>
        <v>-0.110573816051023</v>
      </c>
      <c r="G10" s="39" t="str">
        <f aca="false">IF(C10=0,"UNBUDGETED",IF(F10&gt;0.5,"CRITICAL",IF(F10&gt;0.1,"OVER",IF(F10&lt;-0.1,"UNDER","ON"))))</f>
        <v>UNDER</v>
      </c>
    </row>
    <row r="11" customFormat="false" ht="15" hidden="false" customHeight="true" outlineLevel="0" collapsed="false">
      <c r="A11" s="5" t="s">
        <v>442</v>
      </c>
      <c r="B11" s="5" t="s">
        <v>443</v>
      </c>
      <c r="C11" s="6" t="n">
        <v>108320</v>
      </c>
      <c r="D11" s="6" t="n">
        <v>119990.75</v>
      </c>
      <c r="E11" s="10" t="n">
        <f aca="false">C11-D11</f>
        <v>-11670.75</v>
      </c>
      <c r="F11" s="37" t="n">
        <f aca="false">IFERROR((D11-C11)/C11,0)</f>
        <v>0.10774326070901</v>
      </c>
      <c r="G11" s="39" t="str">
        <f aca="false">IF(C11=0,"UNBUDGETED",IF(F11&gt;0.5,"CRITICAL",IF(F11&gt;0.1,"OVER",IF(F11&lt;-0.1,"UNDER","ON"))))</f>
        <v>OVER</v>
      </c>
    </row>
    <row r="12" customFormat="false" ht="15" hidden="false" customHeight="true" outlineLevel="0" collapsed="false">
      <c r="A12" s="5" t="s">
        <v>444</v>
      </c>
      <c r="B12" s="5" t="s">
        <v>445</v>
      </c>
      <c r="C12" s="6" t="n">
        <v>23250</v>
      </c>
      <c r="D12" s="6" t="n">
        <v>18830</v>
      </c>
      <c r="E12" s="10" t="n">
        <f aca="false">C12-D12</f>
        <v>4420</v>
      </c>
      <c r="F12" s="37" t="n">
        <f aca="false">IFERROR((D12-C12)/C12,0)</f>
        <v>-0.19010752688172</v>
      </c>
      <c r="G12" s="39" t="str">
        <f aca="false">IF(C12=0,"UNBUDGETED",IF(F12&gt;0.5,"CRITICAL",IF(F12&gt;0.1,"OVER",IF(F12&lt;-0.1,"UNDER","ON"))))</f>
        <v>UNDER</v>
      </c>
    </row>
    <row r="13" customFormat="false" ht="15" hidden="false" customHeight="true" outlineLevel="0" collapsed="false">
      <c r="A13" s="5" t="s">
        <v>446</v>
      </c>
      <c r="B13" s="5" t="s">
        <v>447</v>
      </c>
      <c r="C13" s="6" t="n">
        <v>129200</v>
      </c>
      <c r="D13" s="6" t="n">
        <v>94078.14</v>
      </c>
      <c r="E13" s="10" t="n">
        <f aca="false">C13-D13</f>
        <v>35121.86</v>
      </c>
      <c r="F13" s="37" t="n">
        <f aca="false">IFERROR((D13-C13)/C13,0)</f>
        <v>-0.271841021671827</v>
      </c>
      <c r="G13" s="39" t="str">
        <f aca="false">IF(C13=0,"UNBUDGETED",IF(F13&gt;0.5,"CRITICAL",IF(F13&gt;0.1,"OVER",IF(F13&lt;-0.1,"UNDER","ON"))))</f>
        <v>UNDER</v>
      </c>
    </row>
    <row r="14" customFormat="false" ht="15" hidden="false" customHeight="true" outlineLevel="0" collapsed="false">
      <c r="A14" s="5" t="s">
        <v>448</v>
      </c>
      <c r="B14" s="5" t="s">
        <v>449</v>
      </c>
      <c r="C14" s="6" t="n">
        <v>21600</v>
      </c>
      <c r="D14" s="6" t="n">
        <v>22826</v>
      </c>
      <c r="E14" s="10" t="n">
        <f aca="false">C14-D14</f>
        <v>-1226</v>
      </c>
      <c r="F14" s="37" t="n">
        <f aca="false">IFERROR((D14-C14)/C14,0)</f>
        <v>0.0567592592592593</v>
      </c>
      <c r="G14" s="39" t="str">
        <f aca="false">IF(C14=0,"UNBUDGETED",IF(F14&gt;0.5,"CRITICAL",IF(F14&gt;0.1,"OVER",IF(F14&lt;-0.1,"UNDER","ON"))))</f>
        <v>ON</v>
      </c>
    </row>
    <row r="15" customFormat="false" ht="15" hidden="false" customHeight="true" outlineLevel="0" collapsed="false">
      <c r="A15" s="5" t="s">
        <v>450</v>
      </c>
      <c r="B15" s="5" t="s">
        <v>451</v>
      </c>
      <c r="C15" s="6" t="n">
        <v>0</v>
      </c>
      <c r="D15" s="6" t="n">
        <v>114</v>
      </c>
      <c r="E15" s="10" t="n">
        <f aca="false">C15-D15</f>
        <v>-114</v>
      </c>
      <c r="F15" s="37" t="n">
        <f aca="false">IFERROR((D15-C15)/C15,0)</f>
        <v>0</v>
      </c>
      <c r="G15" s="39" t="str">
        <f aca="false">IF(C15=0,"UNBUDGETED",IF(F15&gt;0.5,"CRITICAL",IF(F15&gt;0.1,"OVER",IF(F15&lt;-0.1,"UNDER","ON"))))</f>
        <v>UNBUDGETED</v>
      </c>
    </row>
    <row r="16" customFormat="false" ht="15" hidden="false" customHeight="true" outlineLevel="0" collapsed="false">
      <c r="A16" s="5" t="s">
        <v>452</v>
      </c>
      <c r="B16" s="5" t="s">
        <v>453</v>
      </c>
      <c r="C16" s="6" t="n">
        <v>54595</v>
      </c>
      <c r="D16" s="6" t="n">
        <v>36610.89</v>
      </c>
      <c r="E16" s="10" t="n">
        <f aca="false">C16-D16</f>
        <v>17984.11</v>
      </c>
      <c r="F16" s="37" t="n">
        <f aca="false">IFERROR((D16-C16)/C16,0)</f>
        <v>-0.32940946973166</v>
      </c>
      <c r="G16" s="39" t="str">
        <f aca="false">IF(C16=0,"UNBUDGETED",IF(F16&gt;0.5,"CRITICAL",IF(F16&gt;0.1,"OVER",IF(F16&lt;-0.1,"UNDER","ON"))))</f>
        <v>UNDER</v>
      </c>
    </row>
    <row r="17" customFormat="false" ht="15" hidden="false" customHeight="true" outlineLevel="0" collapsed="false">
      <c r="A17" s="5" t="s">
        <v>454</v>
      </c>
      <c r="B17" s="5" t="s">
        <v>455</v>
      </c>
      <c r="C17" s="6" t="n">
        <v>137910</v>
      </c>
      <c r="D17" s="6" t="n">
        <v>84964.33</v>
      </c>
      <c r="E17" s="10" t="n">
        <f aca="false">C17-D17</f>
        <v>52945.67</v>
      </c>
      <c r="F17" s="37" t="n">
        <f aca="false">IFERROR((D17-C17)/C17,0)</f>
        <v>-0.383914654484809</v>
      </c>
      <c r="G17" s="39" t="str">
        <f aca="false">IF(C17=0,"UNBUDGETED",IF(F17&gt;0.5,"CRITICAL",IF(F17&gt;0.1,"OVER",IF(F17&lt;-0.1,"UNDER","ON"))))</f>
        <v>UNDER</v>
      </c>
    </row>
    <row r="18" customFormat="false" ht="15" hidden="false" customHeight="true" outlineLevel="0" collapsed="false">
      <c r="A18" s="5" t="s">
        <v>456</v>
      </c>
      <c r="B18" s="5" t="s">
        <v>457</v>
      </c>
      <c r="C18" s="6" t="n">
        <v>31150</v>
      </c>
      <c r="D18" s="6" t="n">
        <v>15772.3</v>
      </c>
      <c r="E18" s="10" t="n">
        <f aca="false">C18-D18</f>
        <v>15377.7</v>
      </c>
      <c r="F18" s="37" t="n">
        <f aca="false">IFERROR((D18-C18)/C18,0)</f>
        <v>-0.493666131621188</v>
      </c>
      <c r="G18" s="39" t="str">
        <f aca="false">IF(C18=0,"UNBUDGETED",IF(F18&gt;0.5,"CRITICAL",IF(F18&gt;0.1,"OVER",IF(F18&lt;-0.1,"UNDER","ON"))))</f>
        <v>UNDER</v>
      </c>
    </row>
    <row r="19" customFormat="false" ht="15" hidden="false" customHeight="true" outlineLevel="0" collapsed="false">
      <c r="A19" s="5" t="s">
        <v>458</v>
      </c>
      <c r="B19" s="5" t="s">
        <v>459</v>
      </c>
      <c r="C19" s="6" t="n">
        <v>249410</v>
      </c>
      <c r="D19" s="6" t="n">
        <v>189502.48</v>
      </c>
      <c r="E19" s="10" t="n">
        <f aca="false">C19-D19</f>
        <v>59907.52</v>
      </c>
      <c r="F19" s="37" t="n">
        <f aca="false">IFERROR((D19-C19)/C19,0)</f>
        <v>-0.240196944789704</v>
      </c>
      <c r="G19" s="39" t="str">
        <f aca="false">IF(C19=0,"UNBUDGETED",IF(F19&gt;0.5,"CRITICAL",IF(F19&gt;0.1,"OVER",IF(F19&lt;-0.1,"UNDER","ON"))))</f>
        <v>UNDER</v>
      </c>
    </row>
    <row r="20" customFormat="false" ht="15" hidden="false" customHeight="true" outlineLevel="0" collapsed="false">
      <c r="A20" s="5" t="s">
        <v>460</v>
      </c>
      <c r="B20" s="5" t="s">
        <v>461</v>
      </c>
      <c r="C20" s="6" t="n">
        <v>679447</v>
      </c>
      <c r="D20" s="6" t="n">
        <v>543379.02</v>
      </c>
      <c r="E20" s="10" t="n">
        <f aca="false">C20-D20</f>
        <v>136067.98</v>
      </c>
      <c r="F20" s="37" t="n">
        <f aca="false">IFERROR((D20-C20)/C20,0)</f>
        <v>-0.200262831390822</v>
      </c>
      <c r="G20" s="39" t="str">
        <f aca="false">IF(C20=0,"UNBUDGETED",IF(F20&gt;0.5,"CRITICAL",IF(F20&gt;0.1,"OVER",IF(F20&lt;-0.1,"UNDER","ON"))))</f>
        <v>UNDER</v>
      </c>
    </row>
    <row r="21" customFormat="false" ht="15" hidden="false" customHeight="true" outlineLevel="0" collapsed="false">
      <c r="A21" s="5" t="s">
        <v>462</v>
      </c>
      <c r="B21" s="5" t="s">
        <v>463</v>
      </c>
      <c r="C21" s="6" t="n">
        <v>25150</v>
      </c>
      <c r="D21" s="6" t="n">
        <v>16320.42</v>
      </c>
      <c r="E21" s="10" t="n">
        <f aca="false">C21-D21</f>
        <v>8829.58</v>
      </c>
      <c r="F21" s="37" t="n">
        <f aca="false">IFERROR((D21-C21)/C21,0)</f>
        <v>-0.351076739562624</v>
      </c>
      <c r="G21" s="39" t="str">
        <f aca="false">IF(C21=0,"UNBUDGETED",IF(F21&gt;0.5,"CRITICAL",IF(F21&gt;0.1,"OVER",IF(F21&lt;-0.1,"UNDER","ON"))))</f>
        <v>UNDER</v>
      </c>
    </row>
    <row r="22" customFormat="false" ht="15" hidden="false" customHeight="true" outlineLevel="0" collapsed="false">
      <c r="A22" s="5" t="s">
        <v>464</v>
      </c>
      <c r="B22" s="5" t="s">
        <v>465</v>
      </c>
      <c r="C22" s="6" t="n">
        <v>121025</v>
      </c>
      <c r="D22" s="6" t="n">
        <v>97570.89</v>
      </c>
      <c r="E22" s="10" t="n">
        <f aca="false">C22-D22</f>
        <v>23454.11</v>
      </c>
      <c r="F22" s="37" t="n">
        <f aca="false">IFERROR((D22-C22)/C22,0)</f>
        <v>-0.193795579425739</v>
      </c>
      <c r="G22" s="39" t="str">
        <f aca="false">IF(C22=0,"UNBUDGETED",IF(F22&gt;0.5,"CRITICAL",IF(F22&gt;0.1,"OVER",IF(F22&lt;-0.1,"UNDER","ON"))))</f>
        <v>UNDER</v>
      </c>
    </row>
    <row r="23" customFormat="false" ht="15" hidden="false" customHeight="true" outlineLevel="0" collapsed="false">
      <c r="A23" s="5" t="s">
        <v>466</v>
      </c>
      <c r="B23" s="5" t="s">
        <v>467</v>
      </c>
      <c r="C23" s="6" t="n">
        <v>28800</v>
      </c>
      <c r="D23" s="6" t="n">
        <v>40175.19</v>
      </c>
      <c r="E23" s="10" t="n">
        <f aca="false">C23-D23</f>
        <v>-11375.19</v>
      </c>
      <c r="F23" s="37" t="n">
        <f aca="false">IFERROR((D23-C23)/C23,0)</f>
        <v>0.394971875</v>
      </c>
      <c r="G23" s="39" t="str">
        <f aca="false">IF(C23=0,"UNBUDGETED",IF(F23&gt;0.5,"CRITICAL",IF(F23&gt;0.1,"OVER",IF(F23&lt;-0.1,"UNDER","ON"))))</f>
        <v>OVER</v>
      </c>
    </row>
    <row r="24" customFormat="false" ht="15" hidden="false" customHeight="true" outlineLevel="0" collapsed="false">
      <c r="A24" s="5" t="s">
        <v>468</v>
      </c>
      <c r="B24" s="5" t="s">
        <v>469</v>
      </c>
      <c r="C24" s="6" t="n">
        <v>62550</v>
      </c>
      <c r="D24" s="6" t="n">
        <v>13105</v>
      </c>
      <c r="E24" s="10" t="n">
        <f aca="false">C24-D24</f>
        <v>49445</v>
      </c>
      <c r="F24" s="37" t="n">
        <f aca="false">IFERROR((D24-C24)/C24,0)</f>
        <v>-0.79048760991207</v>
      </c>
      <c r="G24" s="39" t="str">
        <f aca="false">IF(C24=0,"UNBUDGETED",IF(F24&gt;0.5,"CRITICAL",IF(F24&gt;0.1,"OVER",IF(F24&lt;-0.1,"UNDER","ON"))))</f>
        <v>UNDER</v>
      </c>
    </row>
    <row r="25" customFormat="false" ht="15" hidden="false" customHeight="true" outlineLevel="0" collapsed="false">
      <c r="A25" s="5" t="s">
        <v>470</v>
      </c>
      <c r="B25" s="5" t="s">
        <v>471</v>
      </c>
      <c r="C25" s="6" t="n">
        <v>79698</v>
      </c>
      <c r="D25" s="6" t="n">
        <v>70334</v>
      </c>
      <c r="E25" s="10" t="n">
        <f aca="false">C25-D25</f>
        <v>9364</v>
      </c>
      <c r="F25" s="37" t="n">
        <f aca="false">IFERROR((D25-C25)/C25,0)</f>
        <v>-0.117493538106351</v>
      </c>
      <c r="G25" s="39" t="str">
        <f aca="false">IF(C25=0,"UNBUDGETED",IF(F25&gt;0.5,"CRITICAL",IF(F25&gt;0.1,"OVER",IF(F25&lt;-0.1,"UNDER","ON"))))</f>
        <v>UNDER</v>
      </c>
    </row>
    <row r="26" customFormat="false" ht="15" hidden="false" customHeight="true" outlineLevel="0" collapsed="false">
      <c r="A26" s="5" t="s">
        <v>472</v>
      </c>
      <c r="B26" s="5" t="s">
        <v>473</v>
      </c>
      <c r="C26" s="6" t="n">
        <v>14000</v>
      </c>
      <c r="D26" s="6" t="n">
        <v>12078.96</v>
      </c>
      <c r="E26" s="10" t="n">
        <f aca="false">C26-D26</f>
        <v>1921.04</v>
      </c>
      <c r="F26" s="37" t="n">
        <f aca="false">IFERROR((D26-C26)/C26,0)</f>
        <v>-0.137217142857143</v>
      </c>
      <c r="G26" s="39" t="str">
        <f aca="false">IF(C26=0,"UNBUDGETED",IF(F26&gt;0.5,"CRITICAL",IF(F26&gt;0.1,"OVER",IF(F26&lt;-0.1,"UNDER","ON"))))</f>
        <v>UNDER</v>
      </c>
    </row>
    <row r="27" customFormat="false" ht="15" hidden="false" customHeight="true" outlineLevel="0" collapsed="false">
      <c r="A27" s="5" t="s">
        <v>474</v>
      </c>
      <c r="B27" s="5" t="s">
        <v>475</v>
      </c>
      <c r="C27" s="6" t="n">
        <v>23290</v>
      </c>
      <c r="D27" s="6" t="n">
        <v>18395.35</v>
      </c>
      <c r="E27" s="10" t="n">
        <f aca="false">C27-D27</f>
        <v>4894.65</v>
      </c>
      <c r="F27" s="37" t="n">
        <f aca="false">IFERROR((D27-C27)/C27,0)</f>
        <v>-0.210161013310434</v>
      </c>
      <c r="G27" s="39" t="str">
        <f aca="false">IF(C27=0,"UNBUDGETED",IF(F27&gt;0.5,"CRITICAL",IF(F27&gt;0.1,"OVER",IF(F27&lt;-0.1,"UNDER","ON"))))</f>
        <v>UNDER</v>
      </c>
    </row>
    <row r="28" customFormat="false" ht="15" hidden="false" customHeight="true" outlineLevel="0" collapsed="false">
      <c r="A28" s="5" t="s">
        <v>476</v>
      </c>
      <c r="B28" s="5" t="s">
        <v>477</v>
      </c>
      <c r="C28" s="6" t="n">
        <v>16200</v>
      </c>
      <c r="D28" s="6" t="n">
        <v>11616.77</v>
      </c>
      <c r="E28" s="10" t="n">
        <f aca="false">C28-D28</f>
        <v>4583.23</v>
      </c>
      <c r="F28" s="37" t="n">
        <f aca="false">IFERROR((D28-C28)/C28,0)</f>
        <v>-0.282915432098765</v>
      </c>
      <c r="G28" s="39" t="str">
        <f aca="false">IF(C28=0,"UNBUDGETED",IF(F28&gt;0.5,"CRITICAL",IF(F28&gt;0.1,"OVER",IF(F28&lt;-0.1,"UNDER","ON"))))</f>
        <v>UNDER</v>
      </c>
    </row>
    <row r="29" customFormat="false" ht="15" hidden="false" customHeight="true" outlineLevel="0" collapsed="false">
      <c r="A29" s="5" t="s">
        <v>478</v>
      </c>
      <c r="B29" s="5" t="s">
        <v>479</v>
      </c>
      <c r="C29" s="6" t="n">
        <v>503619.15</v>
      </c>
      <c r="D29" s="6" t="n">
        <v>381218.42</v>
      </c>
      <c r="E29" s="10" t="n">
        <f aca="false">C29-D29</f>
        <v>122400.73</v>
      </c>
      <c r="F29" s="37" t="n">
        <f aca="false">IFERROR((D29-C29)/C29,0)</f>
        <v>-0.243042247301359</v>
      </c>
      <c r="G29" s="39" t="str">
        <f aca="false">IF(C29=0,"UNBUDGETED",IF(F29&gt;0.5,"CRITICAL",IF(F29&gt;0.1,"OVER",IF(F29&lt;-0.1,"UNDER","ON"))))</f>
        <v>UNDER</v>
      </c>
    </row>
    <row r="30" customFormat="false" ht="15" hidden="false" customHeight="true" outlineLevel="0" collapsed="false">
      <c r="A30" s="5" t="s">
        <v>480</v>
      </c>
      <c r="B30" s="5" t="s">
        <v>481</v>
      </c>
      <c r="C30" s="6" t="n">
        <v>91550.24</v>
      </c>
      <c r="D30" s="6" t="n">
        <v>75952.65</v>
      </c>
      <c r="E30" s="10" t="n">
        <f aca="false">C30-D30</f>
        <v>15597.59</v>
      </c>
      <c r="F30" s="37" t="n">
        <f aca="false">IFERROR((D30-C30)/C30,0)</f>
        <v>-0.170371918194862</v>
      </c>
      <c r="G30" s="39" t="str">
        <f aca="false">IF(C30=0,"UNBUDGETED",IF(F30&gt;0.5,"CRITICAL",IF(F30&gt;0.1,"OVER",IF(F30&lt;-0.1,"UNDER","ON"))))</f>
        <v>UNDER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14"/>
  </cols>
  <sheetData>
    <row r="1" customFormat="false" ht="19.5" hidden="false" customHeight="true" outlineLevel="0" collapsed="false">
      <c r="A1" s="2" t="s">
        <v>494</v>
      </c>
    </row>
    <row r="3" customFormat="false" ht="15" hidden="false" customHeight="true" outlineLevel="0" collapsed="false">
      <c r="A3" s="31" t="s">
        <v>495</v>
      </c>
      <c r="B3" s="31" t="s">
        <v>496</v>
      </c>
      <c r="C3" s="31" t="s">
        <v>497</v>
      </c>
      <c r="D3" s="31" t="s">
        <v>498</v>
      </c>
    </row>
    <row r="4" customFormat="false" ht="15" hidden="false" customHeight="true" outlineLevel="0" collapsed="false">
      <c r="A4" s="5" t="s">
        <v>499</v>
      </c>
      <c r="B4" s="6" t="n">
        <v>381559.39</v>
      </c>
      <c r="C4" s="5" t="n">
        <v>223</v>
      </c>
      <c r="D4" s="37" t="n">
        <f aca="false">IFERROR(B4/SUM(B$4:B$26),0)</f>
        <v>0.378804259495708</v>
      </c>
    </row>
    <row r="5" customFormat="false" ht="15" hidden="false" customHeight="true" outlineLevel="0" collapsed="false">
      <c r="A5" s="5" t="s">
        <v>500</v>
      </c>
      <c r="B5" s="6" t="n">
        <v>223733.93</v>
      </c>
      <c r="C5" s="5" t="n">
        <v>62</v>
      </c>
      <c r="D5" s="37" t="n">
        <f aca="false">IFERROR(B5/SUM(B$4:B$26),0)</f>
        <v>0.222118411704439</v>
      </c>
    </row>
    <row r="6" customFormat="false" ht="15" hidden="false" customHeight="true" outlineLevel="0" collapsed="false">
      <c r="A6" s="5" t="s">
        <v>501</v>
      </c>
      <c r="B6" s="6" t="n">
        <v>88009.45</v>
      </c>
      <c r="C6" s="5" t="n">
        <v>55</v>
      </c>
      <c r="D6" s="37" t="n">
        <f aca="false">IFERROR(B6/SUM(B$4:B$26),0)</f>
        <v>0.087373959099459</v>
      </c>
    </row>
    <row r="7" customFormat="false" ht="15" hidden="false" customHeight="true" outlineLevel="0" collapsed="false">
      <c r="A7" s="5" t="s">
        <v>502</v>
      </c>
      <c r="B7" s="6" t="n">
        <v>75297</v>
      </c>
      <c r="C7" s="5" t="n">
        <v>2</v>
      </c>
      <c r="D7" s="37" t="n">
        <f aca="false">IFERROR(B7/SUM(B$4:B$26),0)</f>
        <v>0.0747533020409964</v>
      </c>
    </row>
    <row r="8" customFormat="false" ht="15" hidden="false" customHeight="true" outlineLevel="0" collapsed="false">
      <c r="A8" s="5" t="s">
        <v>503</v>
      </c>
      <c r="B8" s="6" t="n">
        <v>69480.75</v>
      </c>
      <c r="C8" s="5" t="n">
        <v>15</v>
      </c>
      <c r="D8" s="37" t="n">
        <f aca="false">IFERROR(B8/SUM(B$4:B$26),0)</f>
        <v>0.0689790495077488</v>
      </c>
    </row>
    <row r="9" customFormat="false" ht="15" hidden="false" customHeight="true" outlineLevel="0" collapsed="false">
      <c r="A9" s="5" t="s">
        <v>504</v>
      </c>
      <c r="B9" s="6" t="n">
        <v>45600.87</v>
      </c>
      <c r="C9" s="5" t="n">
        <v>5</v>
      </c>
      <c r="D9" s="37" t="n">
        <f aca="false">IFERROR(B9/SUM(B$4:B$26),0)</f>
        <v>0.0452715992462145</v>
      </c>
    </row>
    <row r="10" customFormat="false" ht="15" hidden="false" customHeight="true" outlineLevel="0" collapsed="false">
      <c r="A10" s="5" t="s">
        <v>505</v>
      </c>
      <c r="B10" s="6" t="n">
        <v>36697.4</v>
      </c>
      <c r="C10" s="5" t="n">
        <v>26</v>
      </c>
      <c r="D10" s="37" t="n">
        <f aca="false">IFERROR(B10/SUM(B$4:B$26),0)</f>
        <v>0.0364324186397766</v>
      </c>
    </row>
    <row r="11" customFormat="false" ht="15" hidden="false" customHeight="true" outlineLevel="0" collapsed="false">
      <c r="A11" s="5" t="s">
        <v>506</v>
      </c>
      <c r="B11" s="6" t="n">
        <v>27600.17</v>
      </c>
      <c r="C11" s="5" t="n">
        <v>42</v>
      </c>
      <c r="D11" s="37" t="n">
        <f aca="false">IFERROR(B11/SUM(B$4:B$26),0)</f>
        <v>0.0274008771185153</v>
      </c>
    </row>
    <row r="12" customFormat="false" ht="15" hidden="false" customHeight="true" outlineLevel="0" collapsed="false">
      <c r="A12" s="5" t="s">
        <v>507</v>
      </c>
      <c r="B12" s="6" t="n">
        <v>15781.97</v>
      </c>
      <c r="C12" s="5" t="n">
        <v>2</v>
      </c>
      <c r="D12" s="37" t="n">
        <f aca="false">IFERROR(B12/SUM(B$4:B$26),0)</f>
        <v>0.0156680129382571</v>
      </c>
    </row>
    <row r="13" customFormat="false" ht="15" hidden="false" customHeight="true" outlineLevel="0" collapsed="false">
      <c r="A13" s="5" t="s">
        <v>508</v>
      </c>
      <c r="B13" s="6" t="n">
        <v>12078.96</v>
      </c>
      <c r="C13" s="5" t="n">
        <v>20</v>
      </c>
      <c r="D13" s="37" t="n">
        <f aca="false">IFERROR(B13/SUM(B$4:B$26),0)</f>
        <v>0.011991741307371</v>
      </c>
    </row>
    <row r="14" customFormat="false" ht="15" hidden="false" customHeight="true" outlineLevel="0" collapsed="false">
      <c r="A14" s="5" t="s">
        <v>509</v>
      </c>
      <c r="B14" s="6" t="n">
        <v>8250</v>
      </c>
      <c r="C14" s="5" t="n">
        <v>1</v>
      </c>
      <c r="D14" s="37" t="n">
        <f aca="false">IFERROR(B14/SUM(B$4:B$26),0)</f>
        <v>0.00819042912517391</v>
      </c>
    </row>
    <row r="15" customFormat="false" ht="15" hidden="false" customHeight="true" outlineLevel="0" collapsed="false">
      <c r="A15" s="5" t="s">
        <v>510</v>
      </c>
      <c r="B15" s="6" t="n">
        <v>5338.15</v>
      </c>
      <c r="C15" s="5" t="n">
        <v>5</v>
      </c>
      <c r="D15" s="37" t="n">
        <f aca="false">IFERROR(B15/SUM(B$4:B$26),0)</f>
        <v>0.00529960475570268</v>
      </c>
    </row>
    <row r="16" customFormat="false" ht="15" hidden="false" customHeight="true" outlineLevel="0" collapsed="false">
      <c r="A16" s="5" t="s">
        <v>511</v>
      </c>
      <c r="B16" s="6" t="n">
        <v>4290</v>
      </c>
      <c r="C16" s="5" t="n">
        <v>2</v>
      </c>
      <c r="D16" s="37" t="n">
        <f aca="false">IFERROR(B16/SUM(B$4:B$26),0)</f>
        <v>0.00425902314509043</v>
      </c>
    </row>
    <row r="17" customFormat="false" ht="15" hidden="false" customHeight="true" outlineLevel="0" collapsed="false">
      <c r="A17" s="5" t="s">
        <v>512</v>
      </c>
      <c r="B17" s="6" t="n">
        <v>3050</v>
      </c>
      <c r="C17" s="5" t="n">
        <v>1</v>
      </c>
      <c r="D17" s="37" t="n">
        <f aca="false">IFERROR(B17/SUM(B$4:B$26),0)</f>
        <v>0.0030279768280946</v>
      </c>
    </row>
    <row r="18" customFormat="false" ht="15" hidden="false" customHeight="true" outlineLevel="0" collapsed="false">
      <c r="A18" s="5" t="s">
        <v>513</v>
      </c>
      <c r="B18" s="6" t="n">
        <v>2594</v>
      </c>
      <c r="C18" s="5" t="n">
        <v>1</v>
      </c>
      <c r="D18" s="37" t="n">
        <f aca="false">IFERROR(B18/SUM(B$4:B$26),0)</f>
        <v>0.00257526947281226</v>
      </c>
    </row>
    <row r="19" customFormat="false" ht="15" hidden="false" customHeight="true" outlineLevel="0" collapsed="false">
      <c r="A19" s="5" t="s">
        <v>514</v>
      </c>
      <c r="B19" s="6" t="n">
        <v>2138.51</v>
      </c>
      <c r="C19" s="5" t="n">
        <v>5</v>
      </c>
      <c r="D19" s="37" t="n">
        <f aca="false">IFERROR(B19/SUM(B$4:B$26),0)</f>
        <v>0.00212306843496675</v>
      </c>
    </row>
    <row r="20" customFormat="false" ht="15" hidden="false" customHeight="true" outlineLevel="0" collapsed="false">
      <c r="A20" s="5" t="s">
        <v>515</v>
      </c>
      <c r="B20" s="6" t="n">
        <v>2071.32</v>
      </c>
      <c r="C20" s="5" t="n">
        <v>5</v>
      </c>
      <c r="D20" s="37" t="n">
        <f aca="false">IFERROR(B20/SUM(B$4:B$26),0)</f>
        <v>0.00205636359461275</v>
      </c>
    </row>
    <row r="21" customFormat="false" ht="15" hidden="false" customHeight="true" outlineLevel="0" collapsed="false">
      <c r="A21" s="5" t="s">
        <v>516</v>
      </c>
      <c r="B21" s="6" t="n">
        <v>1525</v>
      </c>
      <c r="C21" s="5" t="n">
        <v>1</v>
      </c>
      <c r="D21" s="37" t="n">
        <f aca="false">IFERROR(B21/SUM(B$4:B$26),0)</f>
        <v>0.0015139884140473</v>
      </c>
    </row>
    <row r="22" customFormat="false" ht="15" hidden="false" customHeight="true" outlineLevel="0" collapsed="false">
      <c r="A22" s="5" t="s">
        <v>517</v>
      </c>
      <c r="B22" s="6" t="n">
        <v>900.98</v>
      </c>
      <c r="C22" s="5" t="n">
        <v>6</v>
      </c>
      <c r="D22" s="37" t="n">
        <f aca="false">IFERROR(B22/SUM(B$4:B$26),0)</f>
        <v>0.000894474282812023</v>
      </c>
    </row>
    <row r="23" customFormat="false" ht="15" hidden="false" customHeight="true" outlineLevel="0" collapsed="false">
      <c r="A23" s="5" t="s">
        <v>518</v>
      </c>
      <c r="B23" s="6" t="n">
        <v>853.25</v>
      </c>
      <c r="C23" s="5" t="n">
        <v>3</v>
      </c>
      <c r="D23" s="37" t="n">
        <f aca="false">IFERROR(B23/SUM(B$4:B$26),0)</f>
        <v>0.000847088927400563</v>
      </c>
    </row>
    <row r="24" customFormat="false" ht="15" hidden="false" customHeight="true" outlineLevel="0" collapsed="false">
      <c r="A24" s="5" t="s">
        <v>519</v>
      </c>
      <c r="B24" s="6" t="n">
        <v>280</v>
      </c>
      <c r="C24" s="5" t="n">
        <v>1</v>
      </c>
      <c r="D24" s="37" t="n">
        <f aca="false">IFERROR(B24/SUM(B$4:B$26),0)</f>
        <v>0.000277978200611963</v>
      </c>
    </row>
    <row r="25" customFormat="false" ht="15" hidden="false" customHeight="true" outlineLevel="0" collapsed="false">
      <c r="A25" s="5" t="s">
        <v>520</v>
      </c>
      <c r="B25" s="6" t="n">
        <v>126</v>
      </c>
      <c r="C25" s="5" t="n">
        <v>1</v>
      </c>
      <c r="D25" s="37" t="n">
        <f aca="false">IFERROR(B25/SUM(B$4:B$26),0)</f>
        <v>0.000125090190275383</v>
      </c>
    </row>
    <row r="26" customFormat="false" ht="15" hidden="false" customHeight="true" outlineLevel="0" collapsed="false">
      <c r="A26" s="5" t="s">
        <v>521</v>
      </c>
      <c r="B26" s="6" t="n">
        <v>16.13</v>
      </c>
      <c r="C26" s="5" t="n">
        <v>1</v>
      </c>
      <c r="D26" s="37" t="n">
        <f aca="false">IFERROR(B26/SUM(B$4:B$26),0)</f>
        <v>1.60135299138249E-005</v>
      </c>
    </row>
    <row r="27" customFormat="false" ht="15" hidden="false" customHeight="true" outlineLevel="0" collapsed="false">
      <c r="A27" s="17" t="s">
        <v>522</v>
      </c>
      <c r="B27" s="7" t="n">
        <f aca="false">SUM(B4:B26)</f>
        <v>1007273.23</v>
      </c>
      <c r="C27" s="40" t="n">
        <f aca="false">SUM(C4:C26)</f>
        <v>485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</cols>
  <sheetData>
    <row r="1" customFormat="false" ht="19.5" hidden="false" customHeight="true" outlineLevel="0" collapsed="false">
      <c r="A1" s="2" t="s">
        <v>523</v>
      </c>
    </row>
    <row r="3" customFormat="false" ht="15" hidden="false" customHeight="true" outlineLevel="0" collapsed="false">
      <c r="A3" s="31" t="s">
        <v>524</v>
      </c>
      <c r="B3" s="31" t="s">
        <v>525</v>
      </c>
      <c r="C3" s="31" t="s">
        <v>526</v>
      </c>
      <c r="D3" s="31" t="s">
        <v>527</v>
      </c>
      <c r="E3" s="31" t="s">
        <v>528</v>
      </c>
    </row>
    <row r="4" customFormat="false" ht="15" hidden="false" customHeight="true" outlineLevel="0" collapsed="false">
      <c r="A4" s="5" t="s">
        <v>529</v>
      </c>
      <c r="B4" s="41" t="n">
        <v>2936.5</v>
      </c>
      <c r="C4" s="6" t="n">
        <v>145718</v>
      </c>
      <c r="D4" s="42" t="n">
        <f aca="false">IFERROR(C4/B4,0)</f>
        <v>49.6230206027584</v>
      </c>
      <c r="E4" s="5" t="s">
        <v>530</v>
      </c>
    </row>
    <row r="5" customFormat="false" ht="15" hidden="false" customHeight="true" outlineLevel="0" collapsed="false">
      <c r="A5" s="5" t="s">
        <v>531</v>
      </c>
      <c r="B5" s="41" t="n">
        <v>2740.5</v>
      </c>
      <c r="C5" s="6" t="n">
        <v>100894</v>
      </c>
      <c r="D5" s="42" t="n">
        <f aca="false">IFERROR(C5/B5,0)</f>
        <v>36.8159095055647</v>
      </c>
      <c r="E5" s="5" t="s">
        <v>530</v>
      </c>
    </row>
    <row r="6" customFormat="false" ht="15" hidden="false" customHeight="true" outlineLevel="0" collapsed="false">
      <c r="A6" s="5" t="s">
        <v>532</v>
      </c>
      <c r="B6" s="41" t="n">
        <v>2176.5</v>
      </c>
      <c r="C6" s="6" t="n">
        <v>70857</v>
      </c>
      <c r="D6" s="42" t="n">
        <f aca="false">IFERROR(C6/B6,0)</f>
        <v>32.5554789800138</v>
      </c>
      <c r="E6" s="5" t="s">
        <v>533</v>
      </c>
    </row>
    <row r="7" customFormat="false" ht="15" hidden="false" customHeight="true" outlineLevel="0" collapsed="false">
      <c r="A7" s="5" t="s">
        <v>534</v>
      </c>
      <c r="B7" s="41" t="n">
        <v>1986.5</v>
      </c>
      <c r="C7" s="6" t="n">
        <v>68375</v>
      </c>
      <c r="D7" s="42" t="n">
        <f aca="false">IFERROR(C7/B7,0)</f>
        <v>34.4198338786811</v>
      </c>
      <c r="E7" s="5" t="s">
        <v>533</v>
      </c>
    </row>
    <row r="8" customFormat="false" ht="15" hidden="false" customHeight="true" outlineLevel="0" collapsed="false">
      <c r="A8" s="5" t="s">
        <v>535</v>
      </c>
      <c r="B8" s="41" t="n">
        <v>1775.5</v>
      </c>
      <c r="C8" s="6" t="n">
        <v>44668</v>
      </c>
      <c r="D8" s="42" t="n">
        <f aca="false">IFERROR(C8/B8,0)</f>
        <v>25.1579836665728</v>
      </c>
      <c r="E8" s="5" t="s">
        <v>533</v>
      </c>
    </row>
    <row r="9" customFormat="false" ht="15" hidden="false" customHeight="true" outlineLevel="0" collapsed="false">
      <c r="A9" s="5" t="s">
        <v>536</v>
      </c>
      <c r="B9" s="41" t="n">
        <v>1352</v>
      </c>
      <c r="C9" s="6" t="n">
        <v>51980</v>
      </c>
      <c r="D9" s="42" t="n">
        <f aca="false">IFERROR(C9/B9,0)</f>
        <v>38.4467455621302</v>
      </c>
      <c r="E9" s="5" t="s">
        <v>530</v>
      </c>
    </row>
    <row r="10" customFormat="false" ht="15" hidden="false" customHeight="true" outlineLevel="0" collapsed="false">
      <c r="A10" s="5" t="s">
        <v>537</v>
      </c>
      <c r="B10" s="41" t="n">
        <v>1103.5</v>
      </c>
      <c r="C10" s="6" t="n">
        <v>28221</v>
      </c>
      <c r="D10" s="42" t="n">
        <f aca="false">IFERROR(C10/B10,0)</f>
        <v>25.5740824648845</v>
      </c>
      <c r="E10" s="5" t="s">
        <v>533</v>
      </c>
    </row>
    <row r="11" customFormat="false" ht="15" hidden="false" customHeight="true" outlineLevel="0" collapsed="false">
      <c r="A11" s="5" t="s">
        <v>538</v>
      </c>
      <c r="B11" s="41" t="n">
        <v>1082.5</v>
      </c>
      <c r="C11" s="6" t="n">
        <v>46340</v>
      </c>
      <c r="D11" s="42" t="n">
        <f aca="false">IFERROR(C11/B11,0)</f>
        <v>42.8083140877598</v>
      </c>
      <c r="E11" s="5" t="s">
        <v>530</v>
      </c>
    </row>
    <row r="12" customFormat="false" ht="15" hidden="false" customHeight="true" outlineLevel="0" collapsed="false">
      <c r="A12" s="5" t="s">
        <v>539</v>
      </c>
      <c r="B12" s="41" t="n">
        <v>888</v>
      </c>
      <c r="C12" s="6" t="n">
        <v>15882</v>
      </c>
      <c r="D12" s="42" t="n">
        <f aca="false">IFERROR(C12/B12,0)</f>
        <v>17.8851351351351</v>
      </c>
      <c r="E12" s="5" t="s">
        <v>540</v>
      </c>
    </row>
    <row r="13" customFormat="false" ht="15" hidden="false" customHeight="true" outlineLevel="0" collapsed="false">
      <c r="A13" s="5" t="s">
        <v>541</v>
      </c>
      <c r="B13" s="41" t="n">
        <v>854.5</v>
      </c>
      <c r="C13" s="6" t="n">
        <v>28700</v>
      </c>
      <c r="D13" s="42" t="n">
        <f aca="false">IFERROR(C13/B13,0)</f>
        <v>33.5868929198362</v>
      </c>
      <c r="E13" s="5" t="s">
        <v>533</v>
      </c>
    </row>
    <row r="14" customFormat="false" ht="15" hidden="false" customHeight="true" outlineLevel="0" collapsed="false">
      <c r="A14" s="5" t="s">
        <v>542</v>
      </c>
      <c r="B14" s="41" t="n">
        <v>849</v>
      </c>
      <c r="C14" s="6" t="n">
        <v>17190</v>
      </c>
      <c r="D14" s="42" t="n">
        <f aca="false">IFERROR(C14/B14,0)</f>
        <v>20.2473498233216</v>
      </c>
      <c r="E14" s="5" t="s">
        <v>533</v>
      </c>
    </row>
    <row r="15" customFormat="false" ht="15" hidden="false" customHeight="true" outlineLevel="0" collapsed="false">
      <c r="A15" s="5" t="s">
        <v>543</v>
      </c>
      <c r="B15" s="41" t="n">
        <v>818.5</v>
      </c>
      <c r="C15" s="6" t="n">
        <v>18084</v>
      </c>
      <c r="D15" s="42" t="n">
        <f aca="false">IFERROR(C15/B15,0)</f>
        <v>22.094074526573</v>
      </c>
      <c r="E15" s="5" t="s">
        <v>533</v>
      </c>
    </row>
    <row r="16" customFormat="false" ht="15" hidden="false" customHeight="true" outlineLevel="0" collapsed="false">
      <c r="A16" s="5" t="s">
        <v>544</v>
      </c>
      <c r="B16" s="41" t="n">
        <v>681</v>
      </c>
      <c r="C16" s="6" t="n">
        <v>38467</v>
      </c>
      <c r="D16" s="42" t="n">
        <f aca="false">IFERROR(C16/B16,0)</f>
        <v>56.4860499265786</v>
      </c>
      <c r="E16" s="5" t="s">
        <v>530</v>
      </c>
    </row>
    <row r="17" customFormat="false" ht="15" hidden="false" customHeight="true" outlineLevel="0" collapsed="false">
      <c r="A17" s="5" t="s">
        <v>545</v>
      </c>
      <c r="B17" s="41" t="n">
        <v>660.5</v>
      </c>
      <c r="C17" s="6" t="n">
        <v>13698</v>
      </c>
      <c r="D17" s="42" t="n">
        <f aca="false">IFERROR(C17/B17,0)</f>
        <v>20.7388342165027</v>
      </c>
      <c r="E17" s="5" t="s">
        <v>533</v>
      </c>
    </row>
    <row r="18" customFormat="false" ht="15" hidden="false" customHeight="true" outlineLevel="0" collapsed="false">
      <c r="A18" s="5" t="s">
        <v>546</v>
      </c>
      <c r="B18" s="41" t="n">
        <v>638.5</v>
      </c>
      <c r="C18" s="6" t="n">
        <v>24106</v>
      </c>
      <c r="D18" s="42" t="n">
        <f aca="false">IFERROR(C18/B18,0)</f>
        <v>37.7541111981206</v>
      </c>
      <c r="E18" s="5" t="s">
        <v>530</v>
      </c>
    </row>
    <row r="19" customFormat="false" ht="15" hidden="false" customHeight="true" outlineLevel="0" collapsed="false">
      <c r="A19" s="5" t="s">
        <v>547</v>
      </c>
      <c r="B19" s="41" t="n">
        <v>610.5</v>
      </c>
      <c r="C19" s="6" t="n">
        <v>20243</v>
      </c>
      <c r="D19" s="42" t="n">
        <f aca="false">IFERROR(C19/B19,0)</f>
        <v>33.1580671580672</v>
      </c>
      <c r="E19" s="5" t="s">
        <v>533</v>
      </c>
    </row>
    <row r="20" customFormat="false" ht="15" hidden="false" customHeight="true" outlineLevel="0" collapsed="false">
      <c r="A20" s="5" t="s">
        <v>548</v>
      </c>
      <c r="B20" s="41" t="n">
        <v>605.5</v>
      </c>
      <c r="C20" s="6" t="n">
        <v>13502</v>
      </c>
      <c r="D20" s="42" t="n">
        <f aca="false">IFERROR(C20/B20,0)</f>
        <v>22.298926507019</v>
      </c>
      <c r="E20" s="5" t="s">
        <v>533</v>
      </c>
    </row>
    <row r="21" customFormat="false" ht="15" hidden="false" customHeight="true" outlineLevel="0" collapsed="false">
      <c r="A21" s="5" t="s">
        <v>549</v>
      </c>
      <c r="B21" s="41" t="n">
        <v>547</v>
      </c>
      <c r="C21" s="6" t="n">
        <v>26827</v>
      </c>
      <c r="D21" s="42" t="n">
        <f aca="false">IFERROR(C21/B21,0)</f>
        <v>49.0438756855576</v>
      </c>
      <c r="E21" s="5" t="s">
        <v>530</v>
      </c>
    </row>
    <row r="22" customFormat="false" ht="15" hidden="false" customHeight="true" outlineLevel="0" collapsed="false">
      <c r="A22" s="5" t="s">
        <v>550</v>
      </c>
      <c r="B22" s="41" t="n">
        <v>481.5</v>
      </c>
      <c r="C22" s="6" t="n">
        <v>23594</v>
      </c>
      <c r="D22" s="42" t="n">
        <f aca="false">IFERROR(C22/B22,0)</f>
        <v>49.0010384215992</v>
      </c>
      <c r="E22" s="5" t="s">
        <v>530</v>
      </c>
    </row>
    <row r="23" customFormat="false" ht="15" hidden="false" customHeight="true" outlineLevel="0" collapsed="false">
      <c r="A23" s="5" t="s">
        <v>551</v>
      </c>
      <c r="B23" s="41" t="n">
        <v>475.5</v>
      </c>
      <c r="C23" s="6" t="n">
        <v>13948</v>
      </c>
      <c r="D23" s="42" t="n">
        <f aca="false">IFERROR(C23/B23,0)</f>
        <v>29.3333333333333</v>
      </c>
      <c r="E23" s="5" t="s">
        <v>533</v>
      </c>
    </row>
    <row r="24" customFormat="false" ht="15" hidden="false" customHeight="true" outlineLevel="0" collapsed="false">
      <c r="A24" s="5" t="s">
        <v>552</v>
      </c>
      <c r="B24" s="41" t="n">
        <v>469.5</v>
      </c>
      <c r="C24" s="6" t="n">
        <v>27200</v>
      </c>
      <c r="D24" s="42" t="n">
        <f aca="false">IFERROR(C24/B24,0)</f>
        <v>57.9339723109691</v>
      </c>
      <c r="E24" s="5" t="s">
        <v>530</v>
      </c>
    </row>
    <row r="25" customFormat="false" ht="15" hidden="false" customHeight="true" outlineLevel="0" collapsed="false">
      <c r="A25" s="5" t="s">
        <v>553</v>
      </c>
      <c r="B25" s="41" t="n">
        <v>440.5</v>
      </c>
      <c r="C25" s="6" t="n">
        <v>11602</v>
      </c>
      <c r="D25" s="42" t="n">
        <f aca="false">IFERROR(C25/B25,0)</f>
        <v>26.3382519863791</v>
      </c>
      <c r="E25" s="5" t="s">
        <v>533</v>
      </c>
    </row>
    <row r="26" customFormat="false" ht="15" hidden="false" customHeight="true" outlineLevel="0" collapsed="false">
      <c r="A26" s="5" t="s">
        <v>554</v>
      </c>
      <c r="B26" s="41" t="n">
        <v>391</v>
      </c>
      <c r="C26" s="6" t="n">
        <v>16813</v>
      </c>
      <c r="D26" s="42" t="n">
        <f aca="false">IFERROR(C26/B26,0)</f>
        <v>43</v>
      </c>
      <c r="E26" s="5" t="s">
        <v>530</v>
      </c>
    </row>
    <row r="27" customFormat="false" ht="15" hidden="false" customHeight="true" outlineLevel="0" collapsed="false">
      <c r="A27" s="5" t="s">
        <v>555</v>
      </c>
      <c r="B27" s="41" t="n">
        <v>364.5</v>
      </c>
      <c r="C27" s="6" t="n">
        <v>14992</v>
      </c>
      <c r="D27" s="42" t="n">
        <f aca="false">IFERROR(C27/B27,0)</f>
        <v>41.1303155006859</v>
      </c>
      <c r="E27" s="5" t="s">
        <v>530</v>
      </c>
    </row>
    <row r="28" customFormat="false" ht="15" hidden="false" customHeight="true" outlineLevel="0" collapsed="false">
      <c r="A28" s="5" t="s">
        <v>556</v>
      </c>
      <c r="B28" s="41" t="n">
        <v>304</v>
      </c>
      <c r="C28" s="6" t="n">
        <v>7168</v>
      </c>
      <c r="D28" s="42" t="n">
        <f aca="false">IFERROR(C28/B28,0)</f>
        <v>23.5789473684211</v>
      </c>
      <c r="E28" s="5" t="s">
        <v>533</v>
      </c>
    </row>
    <row r="29" customFormat="false" ht="15" hidden="false" customHeight="true" outlineLevel="0" collapsed="false">
      <c r="A29" s="5" t="s">
        <v>557</v>
      </c>
      <c r="B29" s="41" t="n">
        <v>274.5</v>
      </c>
      <c r="C29" s="6" t="n">
        <v>4666</v>
      </c>
      <c r="D29" s="42" t="n">
        <f aca="false">IFERROR(C29/B29,0)</f>
        <v>16.9981785063752</v>
      </c>
      <c r="E29" s="5" t="s">
        <v>540</v>
      </c>
    </row>
    <row r="30" customFormat="false" ht="15" hidden="false" customHeight="true" outlineLevel="0" collapsed="false">
      <c r="A30" s="5" t="s">
        <v>558</v>
      </c>
      <c r="B30" s="41" t="n">
        <v>256</v>
      </c>
      <c r="C30" s="6" t="n">
        <v>4096</v>
      </c>
      <c r="D30" s="42" t="n">
        <f aca="false">IFERROR(C30/B30,0)</f>
        <v>16</v>
      </c>
      <c r="E30" s="5" t="s">
        <v>540</v>
      </c>
    </row>
    <row r="31" customFormat="false" ht="15" hidden="false" customHeight="true" outlineLevel="0" collapsed="false">
      <c r="A31" s="5" t="s">
        <v>559</v>
      </c>
      <c r="B31" s="41" t="n">
        <v>245</v>
      </c>
      <c r="C31" s="6" t="n">
        <v>6498</v>
      </c>
      <c r="D31" s="42" t="n">
        <f aca="false">IFERROR(C31/B31,0)</f>
        <v>26.5224489795918</v>
      </c>
      <c r="E31" s="5" t="s">
        <v>533</v>
      </c>
    </row>
    <row r="32" customFormat="false" ht="15" hidden="false" customHeight="true" outlineLevel="0" collapsed="false">
      <c r="A32" s="5" t="s">
        <v>560</v>
      </c>
      <c r="B32" s="41" t="n">
        <v>245</v>
      </c>
      <c r="C32" s="6" t="n">
        <v>15312</v>
      </c>
      <c r="D32" s="42" t="n">
        <f aca="false">IFERROR(C32/B32,0)</f>
        <v>62.4979591836735</v>
      </c>
      <c r="E32" s="5" t="s">
        <v>530</v>
      </c>
    </row>
    <row r="33" customFormat="false" ht="15" hidden="false" customHeight="true" outlineLevel="0" collapsed="false">
      <c r="A33" s="5" t="s">
        <v>561</v>
      </c>
      <c r="B33" s="41" t="n">
        <v>232</v>
      </c>
      <c r="C33" s="6" t="n">
        <v>6032</v>
      </c>
      <c r="D33" s="42" t="n">
        <f aca="false">IFERROR(C33/B33,0)</f>
        <v>26</v>
      </c>
      <c r="E33" s="5" t="s">
        <v>533</v>
      </c>
    </row>
    <row r="34" customFormat="false" ht="15" hidden="false" customHeight="true" outlineLevel="0" collapsed="false">
      <c r="A34" s="5" t="s">
        <v>562</v>
      </c>
      <c r="B34" s="41" t="n">
        <v>231</v>
      </c>
      <c r="C34" s="6" t="n">
        <v>7080</v>
      </c>
      <c r="D34" s="42" t="n">
        <f aca="false">IFERROR(C34/B34,0)</f>
        <v>30.6493506493506</v>
      </c>
      <c r="E34" s="5" t="s">
        <v>533</v>
      </c>
    </row>
    <row r="35" customFormat="false" ht="15" hidden="false" customHeight="true" outlineLevel="0" collapsed="false">
      <c r="A35" s="5" t="s">
        <v>563</v>
      </c>
      <c r="B35" s="41" t="n">
        <v>211.5</v>
      </c>
      <c r="C35" s="6" t="n">
        <v>5632</v>
      </c>
      <c r="D35" s="42" t="n">
        <f aca="false">IFERROR(C35/B35,0)</f>
        <v>26.628841607565</v>
      </c>
      <c r="E35" s="5" t="s">
        <v>533</v>
      </c>
    </row>
    <row r="36" customFormat="false" ht="15" hidden="false" customHeight="true" outlineLevel="0" collapsed="false">
      <c r="A36" s="5" t="s">
        <v>564</v>
      </c>
      <c r="B36" s="41" t="n">
        <v>195</v>
      </c>
      <c r="C36" s="6" t="n">
        <v>4680</v>
      </c>
      <c r="D36" s="42" t="n">
        <f aca="false">IFERROR(C36/B36,0)</f>
        <v>24</v>
      </c>
      <c r="E36" s="5" t="s">
        <v>533</v>
      </c>
    </row>
    <row r="37" customFormat="false" ht="15" hidden="false" customHeight="true" outlineLevel="0" collapsed="false">
      <c r="A37" s="5" t="s">
        <v>565</v>
      </c>
      <c r="B37" s="41" t="n">
        <v>188.5</v>
      </c>
      <c r="C37" s="6" t="n">
        <v>10106</v>
      </c>
      <c r="D37" s="42" t="n">
        <f aca="false">IFERROR(C37/B37,0)</f>
        <v>53.6127320954907</v>
      </c>
      <c r="E37" s="5" t="s">
        <v>530</v>
      </c>
    </row>
    <row r="38" customFormat="false" ht="15" hidden="false" customHeight="true" outlineLevel="0" collapsed="false">
      <c r="A38" s="5" t="s">
        <v>566</v>
      </c>
      <c r="B38" s="41" t="n">
        <v>179.5</v>
      </c>
      <c r="C38" s="6" t="n">
        <v>4912</v>
      </c>
      <c r="D38" s="42" t="n">
        <f aca="false">IFERROR(C38/B38,0)</f>
        <v>27.3649025069638</v>
      </c>
      <c r="E38" s="5" t="s">
        <v>533</v>
      </c>
    </row>
    <row r="39" customFormat="false" ht="15" hidden="false" customHeight="true" outlineLevel="0" collapsed="false">
      <c r="A39" s="5" t="s">
        <v>567</v>
      </c>
      <c r="B39" s="41" t="n">
        <v>159.5</v>
      </c>
      <c r="C39" s="6" t="n">
        <v>7249</v>
      </c>
      <c r="D39" s="42" t="n">
        <f aca="false">IFERROR(C39/B39,0)</f>
        <v>45.448275862069</v>
      </c>
      <c r="E39" s="5" t="s">
        <v>530</v>
      </c>
    </row>
    <row r="40" customFormat="false" ht="15" hidden="false" customHeight="true" outlineLevel="0" collapsed="false">
      <c r="A40" s="5" t="s">
        <v>568</v>
      </c>
      <c r="B40" s="41" t="n">
        <v>155.5</v>
      </c>
      <c r="C40" s="6" t="n">
        <v>5675</v>
      </c>
      <c r="D40" s="42" t="n">
        <f aca="false">IFERROR(C40/B40,0)</f>
        <v>36.4951768488746</v>
      </c>
      <c r="E40" s="5" t="s">
        <v>530</v>
      </c>
    </row>
    <row r="41" customFormat="false" ht="15" hidden="false" customHeight="true" outlineLevel="0" collapsed="false">
      <c r="A41" s="5" t="s">
        <v>569</v>
      </c>
      <c r="B41" s="41" t="n">
        <v>136</v>
      </c>
      <c r="C41" s="6" t="n">
        <v>4488</v>
      </c>
      <c r="D41" s="42" t="n">
        <f aca="false">IFERROR(C41/B41,0)</f>
        <v>33</v>
      </c>
      <c r="E41" s="5" t="s">
        <v>533</v>
      </c>
    </row>
    <row r="42" customFormat="false" ht="15" hidden="false" customHeight="true" outlineLevel="0" collapsed="false">
      <c r="A42" s="5" t="s">
        <v>570</v>
      </c>
      <c r="B42" s="41" t="n">
        <v>96</v>
      </c>
      <c r="C42" s="6" t="n">
        <v>1632</v>
      </c>
      <c r="D42" s="42" t="n">
        <f aca="false">IFERROR(C42/B42,0)</f>
        <v>17</v>
      </c>
      <c r="E42" s="5" t="s">
        <v>540</v>
      </c>
    </row>
    <row r="43" customFormat="false" ht="15" hidden="false" customHeight="true" outlineLevel="0" collapsed="false">
      <c r="A43" s="5" t="s">
        <v>571</v>
      </c>
      <c r="B43" s="41" t="n">
        <v>88</v>
      </c>
      <c r="C43" s="6" t="n">
        <v>1496</v>
      </c>
      <c r="D43" s="42" t="n">
        <f aca="false">IFERROR(C43/B43,0)</f>
        <v>17</v>
      </c>
      <c r="E43" s="5" t="s">
        <v>540</v>
      </c>
    </row>
    <row r="44" customFormat="false" ht="15" hidden="false" customHeight="true" outlineLevel="0" collapsed="false">
      <c r="A44" s="5" t="s">
        <v>572</v>
      </c>
      <c r="B44" s="41" t="n">
        <v>61.5</v>
      </c>
      <c r="C44" s="6" t="n">
        <v>2322</v>
      </c>
      <c r="D44" s="42" t="n">
        <f aca="false">IFERROR(C44/B44,0)</f>
        <v>37.7560975609756</v>
      </c>
      <c r="E44" s="5" t="s">
        <v>530</v>
      </c>
    </row>
    <row r="45" customFormat="false" ht="15" hidden="false" customHeight="true" outlineLevel="0" collapsed="false">
      <c r="A45" s="5" t="s">
        <v>573</v>
      </c>
      <c r="B45" s="41" t="n">
        <v>58</v>
      </c>
      <c r="C45" s="6" t="n">
        <v>3220</v>
      </c>
      <c r="D45" s="42" t="n">
        <f aca="false">IFERROR(C45/B45,0)</f>
        <v>55.5172413793103</v>
      </c>
      <c r="E45" s="5" t="s">
        <v>530</v>
      </c>
    </row>
    <row r="46" customFormat="false" ht="15" hidden="false" customHeight="true" outlineLevel="0" collapsed="false">
      <c r="A46" s="5" t="s">
        <v>574</v>
      </c>
      <c r="B46" s="41" t="n">
        <v>51</v>
      </c>
      <c r="C46" s="6" t="n">
        <v>1326</v>
      </c>
      <c r="D46" s="42" t="n">
        <f aca="false">IFERROR(C46/B46,0)</f>
        <v>26</v>
      </c>
      <c r="E46" s="5" t="s">
        <v>533</v>
      </c>
    </row>
    <row r="47" customFormat="false" ht="15" hidden="false" customHeight="true" outlineLevel="0" collapsed="false">
      <c r="A47" s="5" t="s">
        <v>575</v>
      </c>
      <c r="B47" s="41" t="n">
        <v>48</v>
      </c>
      <c r="C47" s="6" t="n">
        <v>1792</v>
      </c>
      <c r="D47" s="42" t="n">
        <f aca="false">IFERROR(C47/B47,0)</f>
        <v>37.3333333333333</v>
      </c>
      <c r="E47" s="5" t="s">
        <v>533</v>
      </c>
    </row>
    <row r="48" customFormat="false" ht="15" hidden="false" customHeight="true" outlineLevel="0" collapsed="false">
      <c r="A48" s="5" t="s">
        <v>576</v>
      </c>
      <c r="B48" s="41" t="n">
        <v>40</v>
      </c>
      <c r="C48" s="6" t="n">
        <v>1000</v>
      </c>
      <c r="D48" s="42" t="n">
        <f aca="false">IFERROR(C48/B48,0)</f>
        <v>25</v>
      </c>
      <c r="E48" s="5" t="s">
        <v>533</v>
      </c>
    </row>
    <row r="49" customFormat="false" ht="15" hidden="false" customHeight="true" outlineLevel="0" collapsed="false">
      <c r="A49" s="5" t="s">
        <v>577</v>
      </c>
      <c r="B49" s="41" t="n">
        <v>32</v>
      </c>
      <c r="C49" s="6" t="n">
        <v>960</v>
      </c>
      <c r="D49" s="42" t="n">
        <f aca="false">IFERROR(C49/B49,0)</f>
        <v>30</v>
      </c>
      <c r="E49" s="5" t="s">
        <v>533</v>
      </c>
    </row>
    <row r="50" customFormat="false" ht="15" hidden="false" customHeight="true" outlineLevel="0" collapsed="false">
      <c r="A50" s="5" t="s">
        <v>578</v>
      </c>
      <c r="B50" s="41" t="n">
        <v>24</v>
      </c>
      <c r="C50" s="6" t="n">
        <v>792</v>
      </c>
      <c r="D50" s="42" t="n">
        <f aca="false">IFERROR(C50/B50,0)</f>
        <v>33</v>
      </c>
      <c r="E50" s="5" t="s">
        <v>533</v>
      </c>
    </row>
    <row r="51" customFormat="false" ht="15" hidden="false" customHeight="true" outlineLevel="0" collapsed="false">
      <c r="A51" s="5" t="s">
        <v>579</v>
      </c>
      <c r="B51" s="41" t="n">
        <v>12</v>
      </c>
      <c r="C51" s="6" t="n">
        <v>456</v>
      </c>
      <c r="D51" s="42" t="n">
        <f aca="false">IFERROR(C51/B51,0)</f>
        <v>38</v>
      </c>
      <c r="E51" s="5" t="s">
        <v>530</v>
      </c>
    </row>
    <row r="52" customFormat="false" ht="15" hidden="false" customHeight="true" outlineLevel="0" collapsed="false">
      <c r="A52" s="5" t="s">
        <v>580</v>
      </c>
      <c r="B52" s="41" t="n">
        <v>8.5</v>
      </c>
      <c r="C52" s="6" t="n">
        <v>472</v>
      </c>
      <c r="D52" s="42" t="n">
        <f aca="false">IFERROR(C52/B52,0)</f>
        <v>55.5294117647059</v>
      </c>
      <c r="E52" s="5" t="s">
        <v>581</v>
      </c>
    </row>
    <row r="53" customFormat="false" ht="15" hidden="false" customHeight="true" outlineLevel="0" collapsed="false">
      <c r="A53" s="5" t="s">
        <v>582</v>
      </c>
      <c r="B53" s="41" t="n">
        <v>8</v>
      </c>
      <c r="C53" s="6" t="n">
        <v>136</v>
      </c>
      <c r="D53" s="42" t="n">
        <f aca="false">IFERROR(C53/B53,0)</f>
        <v>17</v>
      </c>
      <c r="E53" s="5" t="s">
        <v>540</v>
      </c>
    </row>
    <row r="54" customFormat="false" ht="15" hidden="false" customHeight="true" outlineLevel="0" collapsed="false">
      <c r="A54" s="5" t="s">
        <v>583</v>
      </c>
      <c r="B54" s="41" t="n">
        <v>8</v>
      </c>
      <c r="C54" s="6" t="n">
        <v>240</v>
      </c>
      <c r="D54" s="42" t="n">
        <f aca="false">IFERROR(C54/B54,0)</f>
        <v>30</v>
      </c>
      <c r="E54" s="5" t="s">
        <v>533</v>
      </c>
    </row>
    <row r="55" customFormat="false" ht="15" hidden="false" customHeight="true" outlineLevel="0" collapsed="false">
      <c r="A55" s="5" t="s">
        <v>584</v>
      </c>
      <c r="B55" s="41" t="n">
        <v>8</v>
      </c>
      <c r="C55" s="6" t="n">
        <v>248</v>
      </c>
      <c r="D55" s="42" t="n">
        <f aca="false">IFERROR(C55/B55,0)</f>
        <v>31</v>
      </c>
      <c r="E55" s="5" t="s">
        <v>533</v>
      </c>
    </row>
    <row r="56" customFormat="false" ht="15" hidden="false" customHeight="true" outlineLevel="0" collapsed="false">
      <c r="A56" s="5" t="s">
        <v>585</v>
      </c>
      <c r="B56" s="41" t="n">
        <v>8</v>
      </c>
      <c r="C56" s="6" t="n">
        <v>264</v>
      </c>
      <c r="D56" s="42" t="n">
        <f aca="false">IFERROR(C56/B56,0)</f>
        <v>33</v>
      </c>
      <c r="E56" s="5" t="s">
        <v>533</v>
      </c>
    </row>
    <row r="57" customFormat="false" ht="15" hidden="false" customHeight="true" outlineLevel="0" collapsed="false">
      <c r="A57" s="5" t="s">
        <v>586</v>
      </c>
      <c r="B57" s="41" t="n">
        <v>6</v>
      </c>
      <c r="C57" s="6" t="n">
        <v>333</v>
      </c>
      <c r="D57" s="42" t="n">
        <f aca="false">IFERROR(C57/B57,0)</f>
        <v>55.5</v>
      </c>
      <c r="E57" s="5" t="s">
        <v>581</v>
      </c>
    </row>
    <row r="58" customFormat="false" ht="15" hidden="false" customHeight="true" outlineLevel="0" collapsed="false">
      <c r="A58" s="5" t="s">
        <v>587</v>
      </c>
      <c r="B58" s="41" t="n">
        <v>5.5</v>
      </c>
      <c r="C58" s="6" t="n">
        <v>314</v>
      </c>
      <c r="D58" s="42" t="n">
        <f aca="false">IFERROR(C58/B58,0)</f>
        <v>57.0909090909091</v>
      </c>
      <c r="E58" s="5" t="s">
        <v>581</v>
      </c>
    </row>
    <row r="59" customFormat="false" ht="15" hidden="false" customHeight="true" outlineLevel="0" collapsed="false">
      <c r="A59" s="5" t="s">
        <v>588</v>
      </c>
      <c r="B59" s="41" t="n">
        <v>5.5</v>
      </c>
      <c r="C59" s="6" t="n">
        <v>165</v>
      </c>
      <c r="D59" s="42" t="n">
        <f aca="false">IFERROR(C59/B59,0)</f>
        <v>30</v>
      </c>
      <c r="E59" s="5" t="s">
        <v>581</v>
      </c>
    </row>
    <row r="60" customFormat="false" ht="15" hidden="false" customHeight="true" outlineLevel="0" collapsed="false">
      <c r="A60" s="5" t="s">
        <v>589</v>
      </c>
      <c r="B60" s="41" t="n">
        <v>5.5</v>
      </c>
      <c r="C60" s="6" t="n">
        <v>165</v>
      </c>
      <c r="D60" s="42" t="n">
        <f aca="false">IFERROR(C60/B60,0)</f>
        <v>30</v>
      </c>
      <c r="E60" s="5" t="s">
        <v>581</v>
      </c>
    </row>
    <row r="61" customFormat="false" ht="15" hidden="false" customHeight="true" outlineLevel="0" collapsed="false">
      <c r="A61" s="5" t="s">
        <v>590</v>
      </c>
      <c r="B61" s="41" t="n">
        <v>1</v>
      </c>
      <c r="C61" s="6" t="n">
        <v>16</v>
      </c>
      <c r="D61" s="42" t="n">
        <f aca="false">IFERROR(C61/B61,0)</f>
        <v>16</v>
      </c>
      <c r="E61" s="5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14"/>
  </cols>
  <sheetData>
    <row r="1" customFormat="false" ht="19.5" hidden="false" customHeight="true" outlineLevel="0" collapsed="false">
      <c r="A1" s="2" t="s">
        <v>591</v>
      </c>
    </row>
    <row r="3" customFormat="false" ht="15" hidden="false" customHeight="true" outlineLevel="0" collapsed="false">
      <c r="A3" s="31" t="s">
        <v>528</v>
      </c>
      <c r="B3" s="31" t="s">
        <v>592</v>
      </c>
      <c r="C3" s="31" t="s">
        <v>525</v>
      </c>
      <c r="D3" s="31" t="s">
        <v>526</v>
      </c>
      <c r="E3" s="31" t="s">
        <v>593</v>
      </c>
    </row>
    <row r="4" customFormat="false" ht="15" hidden="false" customHeight="true" outlineLevel="0" collapsed="false">
      <c r="A4" s="17" t="s">
        <v>530</v>
      </c>
      <c r="B4" s="5" t="n">
        <v>18</v>
      </c>
      <c r="C4" s="41" t="n">
        <v>12564.5</v>
      </c>
      <c r="D4" s="6" t="n">
        <v>561270</v>
      </c>
      <c r="E4" s="37" t="n">
        <f aca="false">IFERROR(C4/SUM(C$4:C$7),0)</f>
        <v>0.440604562270966</v>
      </c>
    </row>
    <row r="5" customFormat="false" ht="15" hidden="false" customHeight="true" outlineLevel="0" collapsed="false">
      <c r="A5" s="17" t="s">
        <v>533</v>
      </c>
      <c r="B5" s="5" t="n">
        <v>28</v>
      </c>
      <c r="C5" s="41" t="n">
        <v>14309.5</v>
      </c>
      <c r="D5" s="6" t="n">
        <v>402200</v>
      </c>
      <c r="E5" s="37" t="n">
        <f aca="false">IFERROR(C5/SUM(C$4:C$7),0)</f>
        <v>0.501797205126856</v>
      </c>
    </row>
    <row r="6" customFormat="false" ht="15" hidden="false" customHeight="true" outlineLevel="0" collapsed="false">
      <c r="A6" s="17" t="s">
        <v>540</v>
      </c>
      <c r="B6" s="5" t="n">
        <v>7</v>
      </c>
      <c r="C6" s="41" t="n">
        <v>1611.5</v>
      </c>
      <c r="D6" s="6" t="n">
        <v>27924</v>
      </c>
      <c r="E6" s="37" t="n">
        <f aca="false">IFERROR(C6/SUM(C$4:C$7),0)</f>
        <v>0.0565111426717865</v>
      </c>
    </row>
    <row r="7" customFormat="false" ht="15" hidden="false" customHeight="true" outlineLevel="0" collapsed="false">
      <c r="A7" s="17" t="s">
        <v>581</v>
      </c>
      <c r="B7" s="5" t="n">
        <v>5</v>
      </c>
      <c r="C7" s="41" t="n">
        <v>31</v>
      </c>
      <c r="D7" s="6" t="n">
        <v>1448</v>
      </c>
      <c r="E7" s="37" t="n">
        <f aca="false">IFERROR(C7/SUM(C$4:C$7),0)</f>
        <v>0.00108708993039118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19.5" hidden="false" customHeight="true" outlineLevel="0" collapsed="false">
      <c r="A1" s="2" t="s">
        <v>594</v>
      </c>
    </row>
    <row r="3" customFormat="false" ht="15" hidden="false" customHeight="true" outlineLevel="0" collapsed="false">
      <c r="A3" s="5" t="s">
        <v>595</v>
      </c>
      <c r="B3" s="41" t="n">
        <v>28516</v>
      </c>
    </row>
    <row r="4" customFormat="false" ht="15" hidden="false" customHeight="true" outlineLevel="0" collapsed="false">
      <c r="A4" s="5" t="s">
        <v>596</v>
      </c>
      <c r="B4" s="43" t="n">
        <v>58</v>
      </c>
    </row>
    <row r="5" customFormat="false" ht="15" hidden="false" customHeight="true" outlineLevel="0" collapsed="false">
      <c r="A5" s="5" t="s">
        <v>597</v>
      </c>
      <c r="B5" s="41" t="n">
        <v>117.4</v>
      </c>
    </row>
    <row r="6" customFormat="false" ht="15" hidden="false" customHeight="true" outlineLevel="0" collapsed="false">
      <c r="A6" s="5" t="s">
        <v>598</v>
      </c>
      <c r="B6" s="44" t="n">
        <v>155.35</v>
      </c>
    </row>
    <row r="7" customFormat="false" ht="15" hidden="false" customHeight="true" outlineLevel="0" collapsed="false">
      <c r="A7" s="5" t="s">
        <v>12</v>
      </c>
      <c r="B7" s="45" t="n">
        <v>1.0000000270875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9.5" hidden="false" customHeight="true" outlineLevel="0" collapsed="false">
      <c r="A1" s="2" t="s">
        <v>599</v>
      </c>
    </row>
    <row r="3" customFormat="false" ht="15" hidden="false" customHeight="true" outlineLevel="0" collapsed="false">
      <c r="A3" s="31" t="s">
        <v>600</v>
      </c>
      <c r="B3" s="31" t="s">
        <v>601</v>
      </c>
      <c r="C3" s="31" t="s">
        <v>602</v>
      </c>
      <c r="D3" s="31" t="s">
        <v>285</v>
      </c>
    </row>
    <row r="4" customFormat="false" ht="15" hidden="false" customHeight="true" outlineLevel="0" collapsed="false">
      <c r="A4" s="5" t="s">
        <v>603</v>
      </c>
      <c r="B4" s="45" t="n">
        <v>0.251678639386269</v>
      </c>
      <c r="C4" s="45" t="n">
        <v>0.34</v>
      </c>
      <c r="D4" s="37" t="n">
        <f aca="false">B4-C4</f>
        <v>-0.088321360613731</v>
      </c>
    </row>
    <row r="5" customFormat="false" ht="15" hidden="false" customHeight="true" outlineLevel="0" collapsed="false">
      <c r="A5" s="5" t="s">
        <v>604</v>
      </c>
      <c r="B5" s="45" t="n">
        <v>0.443494173731027</v>
      </c>
      <c r="C5" s="45" t="n">
        <v>0.45</v>
      </c>
      <c r="D5" s="37" t="n">
        <f aca="false">B5-C5</f>
        <v>-0.006505826268973</v>
      </c>
    </row>
    <row r="6" customFormat="false" ht="15" hidden="false" customHeight="true" outlineLevel="0" collapsed="false">
      <c r="A6" s="5" t="s">
        <v>605</v>
      </c>
      <c r="B6" s="45" t="n">
        <v>0.378804259495708</v>
      </c>
      <c r="C6" s="45" t="n">
        <v>0.38</v>
      </c>
      <c r="D6" s="37" t="n">
        <f aca="false">B6-C6</f>
        <v>-0.001195740504292</v>
      </c>
    </row>
    <row r="7" customFormat="false" ht="15" hidden="false" customHeight="true" outlineLevel="0" collapsed="false">
      <c r="A7" s="5" t="s">
        <v>606</v>
      </c>
      <c r="B7" s="41" t="n">
        <v>117.351851851852</v>
      </c>
      <c r="C7" s="41" t="n">
        <v>95</v>
      </c>
      <c r="D7" s="46" t="n">
        <f aca="false">B7-C7</f>
        <v>22.351851851852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44"/>
  </cols>
  <sheetData>
    <row r="1" customFormat="false" ht="19.5" hidden="false" customHeight="true" outlineLevel="0" collapsed="false">
      <c r="A1" s="2" t="s">
        <v>607</v>
      </c>
    </row>
    <row r="3" customFormat="false" ht="15" hidden="false" customHeight="true" outlineLevel="0" collapsed="false">
      <c r="A3" s="31" t="s">
        <v>608</v>
      </c>
      <c r="B3" s="31" t="s">
        <v>48</v>
      </c>
      <c r="C3" s="31" t="s">
        <v>609</v>
      </c>
    </row>
    <row r="4" customFormat="false" ht="15" hidden="false" customHeight="true" outlineLevel="0" collapsed="false">
      <c r="A4" s="5" t="s">
        <v>610</v>
      </c>
      <c r="B4" s="47" t="s">
        <v>611</v>
      </c>
      <c r="C4" s="5" t="s">
        <v>612</v>
      </c>
    </row>
    <row r="5" customFormat="false" ht="15" hidden="false" customHeight="true" outlineLevel="0" collapsed="false">
      <c r="A5" s="5" t="s">
        <v>613</v>
      </c>
      <c r="B5" s="47" t="s">
        <v>611</v>
      </c>
      <c r="C5" s="5" t="s">
        <v>614</v>
      </c>
    </row>
    <row r="6" customFormat="false" ht="15" hidden="false" customHeight="true" outlineLevel="0" collapsed="false">
      <c r="A6" s="5" t="s">
        <v>615</v>
      </c>
      <c r="B6" s="47" t="s">
        <v>611</v>
      </c>
      <c r="C6" s="5" t="s">
        <v>616</v>
      </c>
    </row>
    <row r="7" customFormat="false" ht="15" hidden="false" customHeight="true" outlineLevel="0" collapsed="false">
      <c r="A7" s="5" t="s">
        <v>617</v>
      </c>
      <c r="B7" s="48" t="s">
        <v>618</v>
      </c>
      <c r="C7" s="5" t="s">
        <v>619</v>
      </c>
    </row>
    <row r="8" customFormat="false" ht="15" hidden="false" customHeight="true" outlineLevel="0" collapsed="false">
      <c r="A8" s="5" t="s">
        <v>620</v>
      </c>
      <c r="B8" s="48" t="s">
        <v>618</v>
      </c>
      <c r="C8" s="5" t="s">
        <v>621</v>
      </c>
    </row>
    <row r="9" customFormat="false" ht="15" hidden="false" customHeight="true" outlineLevel="0" collapsed="false">
      <c r="A9" s="5" t="s">
        <v>6</v>
      </c>
      <c r="B9" s="48" t="s">
        <v>618</v>
      </c>
      <c r="C9" s="5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4" min="2" style="1" width="18"/>
    <col collapsed="false" customWidth="true" hidden="false" outlineLevel="0" max="5" min="5" style="1" width="10"/>
  </cols>
  <sheetData>
    <row r="1" customFormat="false" ht="19.5" hidden="false" customHeight="true" outlineLevel="0" collapsed="false">
      <c r="A1" s="32" t="s">
        <v>623</v>
      </c>
      <c r="F1" s="1"/>
    </row>
    <row r="2" customFormat="false" ht="15" hidden="false" customHeight="true" outlineLevel="0" collapsed="false">
      <c r="F2" s="1"/>
    </row>
    <row r="3" customFormat="false" ht="15" hidden="false" customHeight="true" outlineLevel="0" collapsed="false">
      <c r="A3" s="49" t="s">
        <v>624</v>
      </c>
      <c r="B3" s="49" t="s">
        <v>625</v>
      </c>
      <c r="C3" s="49" t="s">
        <v>426</v>
      </c>
      <c r="D3" s="49" t="s">
        <v>285</v>
      </c>
      <c r="E3" s="13" t="s">
        <v>48</v>
      </c>
      <c r="F3" s="1"/>
    </row>
    <row r="4" customFormat="false" ht="15" hidden="false" customHeight="true" outlineLevel="0" collapsed="false">
      <c r="A4" s="19" t="s">
        <v>626</v>
      </c>
      <c r="B4" s="50" t="s">
        <v>51</v>
      </c>
      <c r="C4" s="50" t="s">
        <v>51</v>
      </c>
      <c r="D4" s="50" t="n">
        <v>0</v>
      </c>
      <c r="E4" s="51" t="s">
        <v>627</v>
      </c>
      <c r="F4" s="1"/>
    </row>
    <row r="5" customFormat="false" ht="15" hidden="false" customHeight="true" outlineLevel="0" collapsed="false">
      <c r="A5" s="19" t="s">
        <v>628</v>
      </c>
      <c r="B5" s="50" t="s">
        <v>53</v>
      </c>
      <c r="C5" s="50" t="s">
        <v>53</v>
      </c>
      <c r="D5" s="50" t="n">
        <v>0</v>
      </c>
      <c r="E5" s="51" t="s">
        <v>627</v>
      </c>
      <c r="F5" s="1"/>
    </row>
    <row r="6" customFormat="false" ht="15" hidden="false" customHeight="true" outlineLevel="0" collapsed="false">
      <c r="A6" s="19" t="s">
        <v>629</v>
      </c>
      <c r="B6" s="35" t="s">
        <v>630</v>
      </c>
      <c r="C6" s="50" t="s">
        <v>630</v>
      </c>
      <c r="D6" s="50" t="n">
        <v>0</v>
      </c>
      <c r="E6" s="51" t="s">
        <v>627</v>
      </c>
      <c r="F6" s="1"/>
    </row>
    <row r="7" customFormat="false" ht="15" hidden="false" customHeight="true" outlineLevel="0" collapsed="false">
      <c r="A7" s="19" t="s">
        <v>631</v>
      </c>
      <c r="B7" s="35" t="s">
        <v>95</v>
      </c>
      <c r="C7" s="50" t="s">
        <v>632</v>
      </c>
      <c r="D7" s="50" t="n">
        <v>0</v>
      </c>
      <c r="E7" s="51" t="s">
        <v>627</v>
      </c>
      <c r="F7" s="1"/>
    </row>
    <row r="8" customFormat="false" ht="15" hidden="false" customHeight="true" outlineLevel="0" collapsed="false">
      <c r="A8" s="19" t="s">
        <v>633</v>
      </c>
      <c r="B8" s="35" t="s">
        <v>96</v>
      </c>
      <c r="C8" s="50" t="s">
        <v>634</v>
      </c>
      <c r="D8" s="50" t="n">
        <v>0</v>
      </c>
      <c r="E8" s="51" t="s">
        <v>627</v>
      </c>
      <c r="F8" s="1"/>
    </row>
    <row r="9" customFormat="false" ht="15" hidden="false" customHeight="true" outlineLevel="0" collapsed="false">
      <c r="A9" s="19" t="s">
        <v>635</v>
      </c>
      <c r="B9" s="35" t="s">
        <v>636</v>
      </c>
      <c r="C9" s="35" t="s">
        <v>636</v>
      </c>
      <c r="D9" s="35" t="n">
        <v>0</v>
      </c>
      <c r="E9" s="51" t="s">
        <v>627</v>
      </c>
      <c r="F9" s="1"/>
    </row>
    <row r="10" customFormat="false" ht="15" hidden="false" customHeight="true" outlineLevel="0" collapsed="false">
      <c r="A10" s="19" t="s">
        <v>637</v>
      </c>
      <c r="B10" s="35" t="s">
        <v>638</v>
      </c>
      <c r="C10" s="35" t="s">
        <v>639</v>
      </c>
      <c r="D10" s="35" t="s">
        <v>416</v>
      </c>
      <c r="E10" s="51" t="s">
        <v>627</v>
      </c>
      <c r="F10" s="1"/>
    </row>
    <row r="11" customFormat="false" ht="15" hidden="false" customHeight="true" outlineLevel="0" collapsed="false">
      <c r="A11" s="19" t="s">
        <v>640</v>
      </c>
      <c r="B11" s="35" t="s">
        <v>420</v>
      </c>
      <c r="C11" s="35" t="s">
        <v>420</v>
      </c>
      <c r="D11" s="35" t="n">
        <v>0</v>
      </c>
      <c r="E11" s="51" t="s">
        <v>627</v>
      </c>
      <c r="F11" s="1"/>
    </row>
    <row r="12" customFormat="false" ht="15" hidden="false" customHeight="true" outlineLevel="0" collapsed="false">
      <c r="F12" s="1"/>
    </row>
    <row r="13" customFormat="false" ht="15" hidden="false" customHeight="true" outlineLevel="0" collapsed="false">
      <c r="F13" s="1"/>
    </row>
    <row r="14" customFormat="false" ht="15" hidden="false" customHeight="true" outlineLevel="0" collapsed="false">
      <c r="F14" s="1"/>
    </row>
    <row r="15" customFormat="false" ht="15" hidden="false" customHeight="true" outlineLevel="0" collapsed="false">
      <c r="F15" s="1"/>
    </row>
    <row r="16" customFormat="false" ht="15" hidden="false" customHeight="true" outlineLevel="0" collapsed="false">
      <c r="F16" s="1"/>
    </row>
    <row r="17" customFormat="false" ht="15" hidden="false" customHeight="true" outlineLevel="0" collapsed="false">
      <c r="F17" s="1"/>
    </row>
    <row r="18" customFormat="false" ht="15" hidden="false" customHeight="true" outlineLevel="0" collapsed="false">
      <c r="F18" s="1"/>
    </row>
    <row r="19" customFormat="false" ht="15" hidden="false" customHeight="true" outlineLevel="0" collapsed="false">
      <c r="F19" s="1"/>
    </row>
    <row r="20" customFormat="false" ht="15" hidden="false" customHeight="true" outlineLevel="0" collapsed="false">
      <c r="F20" s="1"/>
    </row>
    <row r="21" customFormat="false" ht="15" hidden="false" customHeight="true" outlineLevel="0" collapsed="false">
      <c r="F21" s="1"/>
    </row>
    <row r="22" customFormat="false" ht="15" hidden="false" customHeight="true" outlineLevel="0" collapsed="false">
      <c r="F22" s="1"/>
    </row>
    <row r="23" customFormat="false" ht="15" hidden="false" customHeight="true" outlineLevel="0" collapsed="false">
      <c r="F23" s="1"/>
    </row>
    <row r="24" customFormat="false" ht="15" hidden="false" customHeight="true" outlineLevel="0" collapsed="false">
      <c r="F24" s="1"/>
    </row>
    <row r="25" customFormat="false" ht="15" hidden="false" customHeight="true" outlineLevel="0" collapsed="false">
      <c r="F25" s="1"/>
    </row>
    <row r="26" customFormat="false" ht="15" hidden="false" customHeight="true" outlineLevel="0" collapsed="false">
      <c r="F26" s="1"/>
    </row>
    <row r="27" customFormat="false" ht="15" hidden="false" customHeight="true" outlineLevel="0" collapsed="false">
      <c r="F27" s="1"/>
    </row>
    <row r="28" customFormat="false" ht="15" hidden="false" customHeight="true" outlineLevel="0" collapsed="false">
      <c r="F28" s="1"/>
    </row>
    <row r="29" customFormat="false" ht="15" hidden="false" customHeight="true" outlineLevel="0" collapsed="false">
      <c r="F29" s="1"/>
    </row>
    <row r="30" customFormat="false" ht="15" hidden="false" customHeight="true" outlineLevel="0" collapsed="false">
      <c r="F3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641</v>
      </c>
    </row>
    <row r="3" customFormat="false" ht="15" hidden="false" customHeight="true" outlineLevel="0" collapsed="false">
      <c r="A3" s="31" t="s">
        <v>600</v>
      </c>
      <c r="B3" s="31" t="s">
        <v>642</v>
      </c>
      <c r="C3" s="31" t="s">
        <v>643</v>
      </c>
    </row>
    <row r="4" customFormat="false" ht="15" hidden="false" customHeight="true" outlineLevel="0" collapsed="false">
      <c r="A4" s="52" t="s">
        <v>603</v>
      </c>
      <c r="B4" s="52" t="s">
        <v>644</v>
      </c>
      <c r="C4" s="52" t="s">
        <v>645</v>
      </c>
    </row>
    <row r="5" customFormat="false" ht="15" hidden="false" customHeight="true" outlineLevel="0" collapsed="false">
      <c r="A5" s="52" t="s">
        <v>12</v>
      </c>
      <c r="B5" s="52" t="s">
        <v>644</v>
      </c>
      <c r="C5" s="52" t="s">
        <v>646</v>
      </c>
    </row>
    <row r="6" customFormat="false" ht="15" hidden="false" customHeight="true" outlineLevel="0" collapsed="false">
      <c r="A6" s="52" t="s">
        <v>647</v>
      </c>
      <c r="B6" s="52" t="s">
        <v>648</v>
      </c>
      <c r="C6" s="52" t="s">
        <v>649</v>
      </c>
    </row>
    <row r="7" customFormat="false" ht="15" hidden="false" customHeight="true" outlineLevel="0" collapsed="false">
      <c r="A7" s="52" t="s">
        <v>605</v>
      </c>
      <c r="B7" s="52" t="s">
        <v>650</v>
      </c>
      <c r="C7" s="52" t="s">
        <v>651</v>
      </c>
    </row>
    <row r="8" customFormat="false" ht="15" hidden="false" customHeight="true" outlineLevel="0" collapsed="false">
      <c r="A8" s="52" t="s">
        <v>606</v>
      </c>
      <c r="B8" s="52" t="s">
        <v>652</v>
      </c>
      <c r="C8" s="52" t="s">
        <v>653</v>
      </c>
    </row>
    <row r="9" customFormat="false" ht="23.25" hidden="false" customHeight="true" outlineLevel="0" collapsed="false">
      <c r="A9" s="52" t="s">
        <v>654</v>
      </c>
      <c r="B9" s="52" t="s">
        <v>655</v>
      </c>
      <c r="C9" s="52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4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657</v>
      </c>
    </row>
    <row r="3" customFormat="false" ht="15" hidden="false" customHeight="true" outlineLevel="0" collapsed="false">
      <c r="A3" s="31" t="s">
        <v>300</v>
      </c>
      <c r="B3" s="31" t="s">
        <v>658</v>
      </c>
      <c r="C3" s="31" t="s">
        <v>659</v>
      </c>
    </row>
    <row r="4" customFormat="false" ht="15" hidden="false" customHeight="true" outlineLevel="0" collapsed="false">
      <c r="A4" s="5" t="s">
        <v>660</v>
      </c>
      <c r="B4" s="5" t="s">
        <v>661</v>
      </c>
      <c r="C4" s="5" t="s">
        <v>662</v>
      </c>
    </row>
    <row r="5" customFormat="false" ht="90.75" hidden="false" customHeight="true" outlineLevel="0" collapsed="false">
      <c r="A5" s="53" t="s">
        <v>660</v>
      </c>
      <c r="B5" s="54" t="s">
        <v>663</v>
      </c>
      <c r="C5" s="55" t="s">
        <v>664</v>
      </c>
    </row>
    <row r="6" customFormat="false" ht="68.65" hidden="false" customHeight="false" outlineLevel="0" collapsed="false">
      <c r="A6" s="56" t="s">
        <v>660</v>
      </c>
      <c r="B6" s="57" t="s">
        <v>665</v>
      </c>
      <c r="C6" s="55" t="s">
        <v>666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2026-04-27T21:49:41Z</dcterms:created>
  <dc:creator>openpyxl</dc:creator>
  <dc:description/>
  <dc:language>en-US</dc:language>
  <cp:lastModifiedBy/>
  <dcterms:modified xsi:type="dcterms:W3CDTF">2026-04-27T23:25:11Z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