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% complete\"/>
    </mc:Choice>
  </mc:AlternateContent>
  <xr:revisionPtr revIDLastSave="0" documentId="13_ncr:1_{D823C60E-97B1-4EB5-80BF-F3F5F5DE4EFC}" xr6:coauthVersionLast="47" xr6:coauthVersionMax="47" xr10:uidLastSave="{00000000-0000-0000-0000-000000000000}"/>
  <bookViews>
    <workbookView xWindow="41370" yWindow="4290" windowWidth="26610" windowHeight="20760" tabRatio="925" firstSheet="72" activeTab="87" xr2:uid="{00000000-000D-0000-FFFF-FFFF00000000}"/>
  </bookViews>
  <sheets>
    <sheet name="2001-BROADWAY" sheetId="142" r:id="rId1"/>
    <sheet name="2002-WEDGEWOOD" sheetId="143" r:id="rId2"/>
    <sheet name="2003-EVANSTON" sheetId="144" r:id="rId3"/>
    <sheet name="2005-KAVELLA" sheetId="145" r:id="rId4"/>
    <sheet name="2006-BELLA LAGO" sheetId="146" r:id="rId5"/>
    <sheet name="2008-TAYLOR" sheetId="147" r:id="rId6"/>
    <sheet name="2009-GREENWOOD" sheetId="148" r:id="rId7"/>
    <sheet name="2010-OLD TOWN" sheetId="149" r:id="rId8"/>
    <sheet name="2011-BARRETT" sheetId="150" r:id="rId9"/>
    <sheet name="2012-8TH AVE" sheetId="151" r:id="rId10"/>
    <sheet name="2013-63RD" sheetId="152" r:id="rId11"/>
    <sheet name="2014-PIKE" sheetId="120" r:id="rId12"/>
    <sheet name="2015-ROOSTER" sheetId="121" r:id="rId13"/>
    <sheet name="2016-SEDONA" sheetId="122" r:id="rId14"/>
    <sheet name="2017-STONE" sheetId="123" r:id="rId15"/>
    <sheet name="2018-ASTRO" sheetId="124" r:id="rId16"/>
    <sheet name="2019-REPUBLICAN" sheetId="125" r:id="rId17"/>
    <sheet name="2020-BELLEVUE" sheetId="126" r:id="rId18"/>
    <sheet name="2021-ADMIRAL" sheetId="127" r:id="rId19"/>
    <sheet name="2022-INTERLAKE" sheetId="128" r:id="rId20"/>
    <sheet name="2023-LEGACY" sheetId="129" r:id="rId21"/>
    <sheet name="2024-MGB" sheetId="130" r:id="rId22"/>
    <sheet name="2025-CORA" sheetId="131" r:id="rId23"/>
    <sheet name="2026-BOREN" sheetId="132" r:id="rId24"/>
    <sheet name="2027-BROADWAY" sheetId="133" r:id="rId25"/>
    <sheet name="2028-RESERVE FIRE" sheetId="134" r:id="rId26"/>
    <sheet name="2029-PARSONAGE" sheetId="135" r:id="rId27"/>
    <sheet name="2030-EAST UNION" sheetId="136" r:id="rId28"/>
    <sheet name="2031-GATEWAY FLATS" sheetId="137" r:id="rId29"/>
    <sheet name="2031-GATEWAY MIDRISE" sheetId="138" r:id="rId30"/>
    <sheet name="2032-LUNA" sheetId="139" r:id="rId31"/>
    <sheet name="2033-VUECREST" sheetId="140" r:id="rId32"/>
    <sheet name="2034-PARK LANE" sheetId="141" r:id="rId33"/>
    <sheet name="2035-162 TEN" sheetId="109" r:id="rId34"/>
    <sheet name="2036-WESTRIDGE" sheetId="110" r:id="rId35"/>
    <sheet name="2037-UNIVERSITY" sheetId="111" r:id="rId36"/>
    <sheet name="2038-2 JOHN" sheetId="112" r:id="rId37"/>
    <sheet name="2039-RAVELLO" sheetId="113" r:id="rId38"/>
    <sheet name="2040-65TH" sheetId="114" r:id="rId39"/>
    <sheet name="2041-CAL LUNA" sheetId="115" r:id="rId40"/>
    <sheet name="2042-METROLINE" sheetId="116" r:id="rId41"/>
    <sheet name="2043-AEGIS" sheetId="117" r:id="rId42"/>
    <sheet name="2044-66TH" sheetId="118" r:id="rId43"/>
    <sheet name="2045-NOTCH" sheetId="119" r:id="rId44"/>
    <sheet name="2046-4218 ROOSEVELT" sheetId="108" r:id="rId45"/>
    <sheet name="2047-GREENLAKE" sheetId="107" r:id="rId46"/>
    <sheet name="2048-BALLANGER" sheetId="106" r:id="rId47"/>
    <sheet name="2049-RESERVE 2" sheetId="105" r:id="rId48"/>
    <sheet name="2050-MADISON" sheetId="104" r:id="rId49"/>
    <sheet name="2051-VAIL" sheetId="103" r:id="rId50"/>
    <sheet name="2052-5-ROY" sheetId="102" r:id="rId51"/>
    <sheet name="2053-PARKSIDE" sheetId="101" r:id="rId52"/>
    <sheet name="2054-800 5TH" sheetId="100" r:id="rId53"/>
    <sheet name="2057-K PLAZA" sheetId="99" r:id="rId54"/>
    <sheet name="2058 HOWELL" sheetId="98" r:id="rId55"/>
    <sheet name=" 2055 DOCKSIDE" sheetId="73" r:id="rId56"/>
    <sheet name="2056 ACME FARMS " sheetId="74" r:id="rId57"/>
    <sheet name="2059 MEEKER" sheetId="81" r:id="rId58"/>
    <sheet name="2060 MARINA" sheetId="80" r:id="rId59"/>
    <sheet name="2061 COLUMBIA CITY" sheetId="82" r:id="rId60"/>
    <sheet name="2063 ARIA FLATS" sheetId="72" r:id="rId61"/>
    <sheet name="2064 Melody" sheetId="84" r:id="rId62"/>
    <sheet name="2066 FIRESIDE" sheetId="86" r:id="rId63"/>
    <sheet name="2067 EDMONDS" sheetId="88" r:id="rId64"/>
    <sheet name="2069 THEORY" sheetId="87" r:id="rId65"/>
    <sheet name="2071 DEXTER" sheetId="89" r:id="rId66"/>
    <sheet name="2074 BUDDHA JEWEL" sheetId="90" r:id="rId67"/>
    <sheet name="2075 ROCKEFELLER" sheetId="91" r:id="rId68"/>
    <sheet name="2076 YESLER" sheetId="92" r:id="rId69"/>
    <sheet name="2077 SHORELINE" sheetId="155" r:id="rId70"/>
    <sheet name="2078 LAKE STREET" sheetId="93" r:id="rId71"/>
    <sheet name="2079 CROWN HILL" sheetId="94" r:id="rId72"/>
    <sheet name="2080 REDMOND GRAND" sheetId="156" r:id="rId73"/>
    <sheet name="2081 400 QUEEN ANNE" sheetId="95" r:id="rId74"/>
    <sheet name="2082 NORTHGATE" sheetId="157" r:id="rId75"/>
    <sheet name="2084 GRE WILLOWS" sheetId="162" r:id="rId76"/>
    <sheet name="2085 BASALT" sheetId="153" r:id="rId77"/>
    <sheet name="2086 LIZA" sheetId="158" r:id="rId78"/>
    <sheet name="2087 ROOSEVELT NORTHGATE" sheetId="163" r:id="rId79"/>
    <sheet name="2088 GRIDLINE" sheetId="159" r:id="rId80"/>
    <sheet name="2089 MARKET" sheetId="164" r:id="rId81"/>
    <sheet name="2090 CHRONICLE" sheetId="160" r:id="rId82"/>
    <sheet name="2092 REED" sheetId="166" r:id="rId83"/>
    <sheet name="2093 Symphony" sheetId="165" r:id="rId84"/>
    <sheet name="2094 CARRICK" sheetId="161" r:id="rId85"/>
    <sheet name="2101 Bella" sheetId="167" r:id="rId86"/>
    <sheet name="2097 MARYSVILLE " sheetId="168" r:id="rId87"/>
    <sheet name="2099 Koz Republican" sheetId="169" r:id="rId88"/>
  </sheets>
  <definedNames>
    <definedName name="_xlnm.Print_Area" localSheetId="55">' 2055 DOCKSIDE'!$A$1:$K$41</definedName>
    <definedName name="_xlnm.Print_Area" localSheetId="0">'2001-BROADWAY'!$A$1:$K$42</definedName>
    <definedName name="_xlnm.Print_Area" localSheetId="1">'2002-WEDGEWOOD'!$A$1:$K$42</definedName>
    <definedName name="_xlnm.Print_Area" localSheetId="2">'2003-EVANSTON'!$A$1:$K$42</definedName>
    <definedName name="_xlnm.Print_Area" localSheetId="3">'2005-KAVELLA'!$A$1:$K$41</definedName>
    <definedName name="_xlnm.Print_Area" localSheetId="4">'2006-BELLA LAGO'!$A$1:$K$41</definedName>
    <definedName name="_xlnm.Print_Area" localSheetId="5">'2008-TAYLOR'!$A$1:$K$41</definedName>
    <definedName name="_xlnm.Print_Area" localSheetId="6">'2009-GREENWOOD'!$A$1:$K$41</definedName>
    <definedName name="_xlnm.Print_Area" localSheetId="7">'2010-OLD TOWN'!$A$1:$K$41</definedName>
    <definedName name="_xlnm.Print_Area" localSheetId="8">'2011-BARRETT'!$A$1:$K$41</definedName>
    <definedName name="_xlnm.Print_Area" localSheetId="9">'2012-8TH AVE'!$A$1:$K$41</definedName>
    <definedName name="_xlnm.Print_Area" localSheetId="10">'2013-63RD'!$A$1:$K$41</definedName>
    <definedName name="_xlnm.Print_Area" localSheetId="11">'2014-PIKE'!$A$1:$K$42</definedName>
    <definedName name="_xlnm.Print_Area" localSheetId="12">'2015-ROOSTER'!$A$1:$K$42</definedName>
    <definedName name="_xlnm.Print_Area" localSheetId="13">'2016-SEDONA'!$A$1:$K$42</definedName>
    <definedName name="_xlnm.Print_Area" localSheetId="14">'2017-STONE'!$A$1:$K$41</definedName>
    <definedName name="_xlnm.Print_Area" localSheetId="15">'2018-ASTRO'!$A$1:$K$41</definedName>
    <definedName name="_xlnm.Print_Area" localSheetId="16">'2019-REPUBLICAN'!$A$1:$K$41</definedName>
    <definedName name="_xlnm.Print_Area" localSheetId="17">'2020-BELLEVUE'!$A$1:$K$41</definedName>
    <definedName name="_xlnm.Print_Area" localSheetId="18">'2021-ADMIRAL'!$A$1:$K$41</definedName>
    <definedName name="_xlnm.Print_Area" localSheetId="19">'2022-INTERLAKE'!$A$1:$K$41</definedName>
    <definedName name="_xlnm.Print_Area" localSheetId="20">'2023-LEGACY'!$A$1:$K$41</definedName>
    <definedName name="_xlnm.Print_Area" localSheetId="21">'2024-MGB'!$A$1:$K$41</definedName>
    <definedName name="_xlnm.Print_Area" localSheetId="22">'2025-CORA'!$A$1:$K$42</definedName>
    <definedName name="_xlnm.Print_Area" localSheetId="23">'2026-BOREN'!$A$1:$K$42</definedName>
    <definedName name="_xlnm.Print_Area" localSheetId="24">'2027-BROADWAY'!$A$1:$K$42</definedName>
    <definedName name="_xlnm.Print_Area" localSheetId="25">'2028-RESERVE FIRE'!$A$1:$K$41</definedName>
    <definedName name="_xlnm.Print_Area" localSheetId="26">'2029-PARSONAGE'!$A$1:$K$41</definedName>
    <definedName name="_xlnm.Print_Area" localSheetId="27">'2030-EAST UNION'!$A$1:$K$41</definedName>
    <definedName name="_xlnm.Print_Area" localSheetId="28">'2031-GATEWAY FLATS'!$A$1:$K$41</definedName>
    <definedName name="_xlnm.Print_Area" localSheetId="29">'2031-GATEWAY MIDRISE'!$A$1:$K$41</definedName>
    <definedName name="_xlnm.Print_Area" localSheetId="30">'2032-LUNA'!$A$1:$K$41</definedName>
    <definedName name="_xlnm.Print_Area" localSheetId="31">'2033-VUECREST'!$A$1:$K$41</definedName>
    <definedName name="_xlnm.Print_Area" localSheetId="32">'2034-PARK LANE'!$A$1:$K$41</definedName>
    <definedName name="_xlnm.Print_Area" localSheetId="33">'2035-162 TEN'!$A$1:$K$42</definedName>
    <definedName name="_xlnm.Print_Area" localSheetId="34">'2036-WESTRIDGE'!$A$1:$K$42</definedName>
    <definedName name="_xlnm.Print_Area" localSheetId="35">'2037-UNIVERSITY'!$A$1:$K$42</definedName>
    <definedName name="_xlnm.Print_Area" localSheetId="36">'2038-2 JOHN'!$A$1:$K$41</definedName>
    <definedName name="_xlnm.Print_Area" localSheetId="37">'2039-RAVELLO'!$A$1:$K$41</definedName>
    <definedName name="_xlnm.Print_Area" localSheetId="38">'2040-65TH'!$A$1:$K$41</definedName>
    <definedName name="_xlnm.Print_Area" localSheetId="39">'2041-CAL LUNA'!$A$1:$K$41</definedName>
    <definedName name="_xlnm.Print_Area" localSheetId="40">'2042-METROLINE'!$A$1:$K$41</definedName>
    <definedName name="_xlnm.Print_Area" localSheetId="41">'2043-AEGIS'!$A$1:$K$41</definedName>
    <definedName name="_xlnm.Print_Area" localSheetId="42">'2044-66TH'!$A$1:$K$41</definedName>
    <definedName name="_xlnm.Print_Area" localSheetId="43">'2045-NOTCH'!$A$1:$K$41</definedName>
    <definedName name="_xlnm.Print_Area" localSheetId="44">'2046-4218 ROOSEVELT'!$A$1:$K$42</definedName>
    <definedName name="_xlnm.Print_Area" localSheetId="45">'2047-GREENLAKE'!$A$1:$K$42</definedName>
    <definedName name="_xlnm.Print_Area" localSheetId="46">'2048-BALLANGER'!$A$1:$K$42</definedName>
    <definedName name="_xlnm.Print_Area" localSheetId="47">'2049-RESERVE 2'!$A$1:$K$41</definedName>
    <definedName name="_xlnm.Print_Area" localSheetId="48">'2050-MADISON'!$A$1:$K$41</definedName>
    <definedName name="_xlnm.Print_Area" localSheetId="49">'2051-VAIL'!$A$1:$K$41</definedName>
    <definedName name="_xlnm.Print_Area" localSheetId="50">'2052-5-ROY'!$A$1:$K$41</definedName>
    <definedName name="_xlnm.Print_Area" localSheetId="51">'2053-PARKSIDE'!$A$1:$K$41</definedName>
    <definedName name="_xlnm.Print_Area" localSheetId="52">'2054-800 5TH'!$A$1:$K$41</definedName>
    <definedName name="_xlnm.Print_Area" localSheetId="56">'2056 ACME FARMS '!$A$1:$K$41</definedName>
    <definedName name="_xlnm.Print_Area" localSheetId="53">'2057-K PLAZA'!$A$1:$K$41</definedName>
    <definedName name="_xlnm.Print_Area" localSheetId="54">'2058 HOWELL'!$A$1:$K$41</definedName>
    <definedName name="_xlnm.Print_Area" localSheetId="57">'2059 MEEKER'!$A$1:$K$41</definedName>
    <definedName name="_xlnm.Print_Area" localSheetId="58">'2060 MARINA'!$A$1:$K$41</definedName>
    <definedName name="_xlnm.Print_Area" localSheetId="59">'2061 COLUMBIA CITY'!$A$1:$K$41</definedName>
    <definedName name="_xlnm.Print_Area" localSheetId="60">'2063 ARIA FLATS'!$A$1:$K$41</definedName>
    <definedName name="_xlnm.Print_Area" localSheetId="61">'2064 Melody'!$A$1:$K$41</definedName>
    <definedName name="_xlnm.Print_Area" localSheetId="62">'2066 FIRESIDE'!$A$1:$K$41</definedName>
    <definedName name="_xlnm.Print_Area" localSheetId="63">'2067 EDMONDS'!$A$1:$K$41</definedName>
    <definedName name="_xlnm.Print_Area" localSheetId="64">'2069 THEORY'!$A$1:$K$36</definedName>
    <definedName name="_xlnm.Print_Area" localSheetId="65">'2071 DEXTER'!$A$1:$K$40</definedName>
    <definedName name="_xlnm.Print_Area" localSheetId="66">'2074 BUDDHA JEWEL'!$A$1:$K$41</definedName>
    <definedName name="_xlnm.Print_Area" localSheetId="67">'2075 ROCKEFELLER'!$A$1:$K$41</definedName>
    <definedName name="_xlnm.Print_Area" localSheetId="68">'2076 YESLER'!$A$1:$K$41</definedName>
    <definedName name="_xlnm.Print_Area" localSheetId="69">'2077 SHORELINE'!$A$1:$K$36</definedName>
    <definedName name="_xlnm.Print_Area" localSheetId="70">'2078 LAKE STREET'!$A$1:$K$41</definedName>
    <definedName name="_xlnm.Print_Area" localSheetId="71">'2079 CROWN HILL'!$A$1:$K$36</definedName>
    <definedName name="_xlnm.Print_Area" localSheetId="72">'2080 REDMOND GRAND'!$A$1:$K$36</definedName>
    <definedName name="_xlnm.Print_Area" localSheetId="73">'2081 400 QUEEN ANNE'!$A$1:$K$41</definedName>
    <definedName name="_xlnm.Print_Area" localSheetId="74">'2082 NORTHGATE'!$A$1:$K$36</definedName>
    <definedName name="_xlnm.Print_Area" localSheetId="75">'2084 GRE WILLOWS'!$A$1:$K$36</definedName>
    <definedName name="_xlnm.Print_Area" localSheetId="76">'2085 BASALT'!$A$1:$K$36</definedName>
    <definedName name="_xlnm.Print_Area" localSheetId="77">'2086 LIZA'!$A$1:$K$36</definedName>
    <definedName name="_xlnm.Print_Area" localSheetId="78">'2087 ROOSEVELT NORTHGATE'!$A$1:$K$36</definedName>
    <definedName name="_xlnm.Print_Area" localSheetId="79">'2088 GRIDLINE'!$A$1:$K$36</definedName>
    <definedName name="_xlnm.Print_Area" localSheetId="80">'2089 MARKET'!$A$1:$K$36</definedName>
    <definedName name="_xlnm.Print_Area" localSheetId="81">'2090 CHRONICLE'!$A$1:$K$36</definedName>
    <definedName name="_xlnm.Print_Area" localSheetId="82">'2092 REED'!$A$1:$K$36</definedName>
    <definedName name="_xlnm.Print_Area" localSheetId="83">'2093 Symphony'!$A$1:$K$36</definedName>
    <definedName name="_xlnm.Print_Area" localSheetId="84">'2094 CARRICK'!$A$1:$K$36</definedName>
    <definedName name="_xlnm.Print_Area" localSheetId="86">'2097 MARYSVILLE '!$A$1:$K$71</definedName>
    <definedName name="_xlnm.Print_Area" localSheetId="87">'2099 Koz Republican'!$A$1:$K$36</definedName>
    <definedName name="_xlnm.Print_Area" localSheetId="85">'2101 Bella'!$A$1:$K$36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69" l="1"/>
  <c r="F7" i="169"/>
  <c r="H7" i="169" s="1"/>
  <c r="G7" i="169"/>
  <c r="I7" i="169"/>
  <c r="D8" i="169"/>
  <c r="F8" i="169"/>
  <c r="G8" i="169"/>
  <c r="H8" i="169"/>
  <c r="I8" i="169"/>
  <c r="J8" i="169"/>
  <c r="F10" i="169"/>
  <c r="G10" i="169"/>
  <c r="F12" i="169"/>
  <c r="G12" i="169"/>
  <c r="A16" i="169"/>
  <c r="B16" i="169"/>
  <c r="C16" i="169"/>
  <c r="D16" i="169"/>
  <c r="F16" i="169"/>
  <c r="H16" i="169"/>
  <c r="I16" i="169"/>
  <c r="A17" i="169"/>
  <c r="B17" i="169"/>
  <c r="C17" i="169"/>
  <c r="F17" i="169"/>
  <c r="H17" i="169"/>
  <c r="I17" i="169"/>
  <c r="J17" i="169"/>
  <c r="F18" i="169"/>
  <c r="G18" i="169"/>
  <c r="A19" i="169"/>
  <c r="B19" i="169"/>
  <c r="C19" i="169"/>
  <c r="D19" i="169"/>
  <c r="F19" i="169" s="1"/>
  <c r="I19" i="169"/>
  <c r="A20" i="169"/>
  <c r="B20" i="169"/>
  <c r="C20" i="169"/>
  <c r="F20" i="169"/>
  <c r="H20" i="169"/>
  <c r="I20" i="169"/>
  <c r="J20" i="169"/>
  <c r="G21" i="169"/>
  <c r="A22" i="169"/>
  <c r="B22" i="169"/>
  <c r="C22" i="169"/>
  <c r="D22" i="169"/>
  <c r="F22" i="169"/>
  <c r="H22" i="169"/>
  <c r="I22" i="169"/>
  <c r="J22" i="169"/>
  <c r="A23" i="169"/>
  <c r="B23" i="169"/>
  <c r="C23" i="169"/>
  <c r="F23" i="169"/>
  <c r="H23" i="169"/>
  <c r="I23" i="169"/>
  <c r="J23" i="169"/>
  <c r="F24" i="169"/>
  <c r="G24" i="169"/>
  <c r="A25" i="169"/>
  <c r="B25" i="169"/>
  <c r="C25" i="169"/>
  <c r="D25" i="169"/>
  <c r="F25" i="169"/>
  <c r="H25" i="169"/>
  <c r="I25" i="169"/>
  <c r="J25" i="169"/>
  <c r="A26" i="169"/>
  <c r="B26" i="169"/>
  <c r="C26" i="169"/>
  <c r="F26" i="169"/>
  <c r="F27" i="169" s="1"/>
  <c r="H26" i="169"/>
  <c r="I26" i="169"/>
  <c r="J26" i="169" s="1"/>
  <c r="G27" i="169"/>
  <c r="A28" i="169"/>
  <c r="B28" i="169"/>
  <c r="C28" i="169"/>
  <c r="D28" i="169"/>
  <c r="D33" i="169" s="1"/>
  <c r="F33" i="169" s="1"/>
  <c r="F28" i="169"/>
  <c r="H28" i="169"/>
  <c r="I28" i="169"/>
  <c r="J28" i="169"/>
  <c r="A29" i="169"/>
  <c r="B29" i="169"/>
  <c r="C29" i="169"/>
  <c r="F29" i="169"/>
  <c r="F30" i="169" s="1"/>
  <c r="H29" i="169"/>
  <c r="I29" i="169"/>
  <c r="J29" i="169" s="1"/>
  <c r="G30" i="169"/>
  <c r="A33" i="169"/>
  <c r="B33" i="169"/>
  <c r="C33" i="169"/>
  <c r="G33" i="169"/>
  <c r="I33" i="169"/>
  <c r="A34" i="169"/>
  <c r="B34" i="169"/>
  <c r="C34" i="169"/>
  <c r="H34" i="169" s="1"/>
  <c r="J34" i="169" s="1"/>
  <c r="D34" i="169"/>
  <c r="F34" i="169"/>
  <c r="G34" i="169"/>
  <c r="I34" i="169"/>
  <c r="G35" i="169"/>
  <c r="C7" i="168"/>
  <c r="G7" i="168"/>
  <c r="D7" i="168" s="1"/>
  <c r="F7" i="168" s="1"/>
  <c r="I7" i="168"/>
  <c r="C8" i="168"/>
  <c r="D8" i="168"/>
  <c r="F8" i="168"/>
  <c r="G8" i="168"/>
  <c r="G12" i="168" s="1"/>
  <c r="H8" i="168"/>
  <c r="I8" i="168"/>
  <c r="J8" i="168"/>
  <c r="G10" i="168"/>
  <c r="A16" i="168"/>
  <c r="B16" i="168"/>
  <c r="C16" i="168"/>
  <c r="D16" i="168"/>
  <c r="F16" i="168"/>
  <c r="H16" i="168"/>
  <c r="I16" i="168"/>
  <c r="A17" i="168"/>
  <c r="B17" i="168"/>
  <c r="C17" i="168"/>
  <c r="F17" i="168"/>
  <c r="H17" i="168"/>
  <c r="I17" i="168"/>
  <c r="J17" i="168"/>
  <c r="F18" i="168"/>
  <c r="G18" i="168"/>
  <c r="D20" i="168"/>
  <c r="F20" i="168"/>
  <c r="H20" i="168"/>
  <c r="I20" i="168"/>
  <c r="J20" i="168"/>
  <c r="F21" i="168"/>
  <c r="H21" i="168"/>
  <c r="I21" i="168"/>
  <c r="J21" i="168"/>
  <c r="F22" i="168"/>
  <c r="G22" i="168"/>
  <c r="D23" i="168"/>
  <c r="F23" i="168"/>
  <c r="H23" i="168"/>
  <c r="I23" i="168"/>
  <c r="J23" i="168"/>
  <c r="F24" i="168"/>
  <c r="H24" i="168"/>
  <c r="I24" i="168"/>
  <c r="J24" i="168"/>
  <c r="F25" i="168"/>
  <c r="G25" i="168"/>
  <c r="D26" i="168"/>
  <c r="F26" i="168"/>
  <c r="H26" i="168"/>
  <c r="I26" i="168"/>
  <c r="J26" i="168"/>
  <c r="F27" i="168"/>
  <c r="F28" i="168" s="1"/>
  <c r="H27" i="168"/>
  <c r="I27" i="168"/>
  <c r="J27" i="168"/>
  <c r="G28" i="168"/>
  <c r="D29" i="168"/>
  <c r="F29" i="168"/>
  <c r="H29" i="168" s="1"/>
  <c r="I29" i="168"/>
  <c r="J29" i="168"/>
  <c r="F30" i="168"/>
  <c r="H30" i="168"/>
  <c r="I30" i="168"/>
  <c r="J30" i="168"/>
  <c r="F31" i="168"/>
  <c r="G31" i="168"/>
  <c r="D32" i="168"/>
  <c r="F32" i="168"/>
  <c r="H32" i="168" s="1"/>
  <c r="I32" i="168"/>
  <c r="J32" i="168"/>
  <c r="F33" i="168"/>
  <c r="H33" i="168"/>
  <c r="I33" i="168"/>
  <c r="J33" i="168"/>
  <c r="F34" i="168"/>
  <c r="G34" i="168"/>
  <c r="D35" i="168"/>
  <c r="F35" i="168"/>
  <c r="H35" i="168"/>
  <c r="I35" i="168"/>
  <c r="J35" i="168"/>
  <c r="F36" i="168"/>
  <c r="F37" i="168" s="1"/>
  <c r="H36" i="168"/>
  <c r="I36" i="168"/>
  <c r="J36" i="168" s="1"/>
  <c r="G37" i="168"/>
  <c r="D38" i="168"/>
  <c r="F38" i="168" s="1"/>
  <c r="I38" i="168"/>
  <c r="J38" i="168"/>
  <c r="F39" i="168"/>
  <c r="H39" i="168"/>
  <c r="I39" i="168"/>
  <c r="J39" i="168"/>
  <c r="G40" i="168"/>
  <c r="D41" i="168"/>
  <c r="F41" i="168" s="1"/>
  <c r="I41" i="168"/>
  <c r="J41" i="168"/>
  <c r="F42" i="168"/>
  <c r="H42" i="168"/>
  <c r="I42" i="168"/>
  <c r="J42" i="168"/>
  <c r="G43" i="168"/>
  <c r="D45" i="168"/>
  <c r="F45" i="168"/>
  <c r="H45" i="168"/>
  <c r="I45" i="168"/>
  <c r="J45" i="168"/>
  <c r="F46" i="168"/>
  <c r="H46" i="168"/>
  <c r="J46" i="168" s="1"/>
  <c r="I46" i="168"/>
  <c r="F47" i="168"/>
  <c r="G47" i="168"/>
  <c r="D48" i="168"/>
  <c r="F48" i="168"/>
  <c r="H48" i="168"/>
  <c r="I48" i="168"/>
  <c r="J48" i="168"/>
  <c r="F49" i="168"/>
  <c r="H49" i="168"/>
  <c r="I49" i="168"/>
  <c r="J49" i="168"/>
  <c r="F50" i="168"/>
  <c r="G50" i="168"/>
  <c r="D51" i="168"/>
  <c r="F51" i="168"/>
  <c r="H51" i="168"/>
  <c r="I51" i="168"/>
  <c r="J51" i="168"/>
  <c r="F52" i="168"/>
  <c r="H52" i="168"/>
  <c r="I52" i="168"/>
  <c r="J52" i="168"/>
  <c r="F53" i="168"/>
  <c r="G53" i="168"/>
  <c r="D54" i="168"/>
  <c r="F54" i="168"/>
  <c r="H54" i="168"/>
  <c r="I54" i="168"/>
  <c r="J54" i="168"/>
  <c r="F55" i="168"/>
  <c r="H55" i="168" s="1"/>
  <c r="J55" i="168" s="1"/>
  <c r="I55" i="168"/>
  <c r="G56" i="168"/>
  <c r="D57" i="168"/>
  <c r="F57" i="168"/>
  <c r="H57" i="168"/>
  <c r="I57" i="168"/>
  <c r="J57" i="168"/>
  <c r="F58" i="168"/>
  <c r="H58" i="168"/>
  <c r="I58" i="168"/>
  <c r="J58" i="168"/>
  <c r="F59" i="168"/>
  <c r="G59" i="168"/>
  <c r="D60" i="168"/>
  <c r="F60" i="168"/>
  <c r="H60" i="168"/>
  <c r="I60" i="168"/>
  <c r="J60" i="168"/>
  <c r="F61" i="168"/>
  <c r="H61" i="168"/>
  <c r="I61" i="168"/>
  <c r="J61" i="168"/>
  <c r="F62" i="168"/>
  <c r="G62" i="168"/>
  <c r="D63" i="168"/>
  <c r="F63" i="168"/>
  <c r="F65" i="168" s="1"/>
  <c r="H63" i="168"/>
  <c r="I63" i="168"/>
  <c r="J63" i="168"/>
  <c r="F64" i="168"/>
  <c r="H64" i="168" s="1"/>
  <c r="I64" i="168"/>
  <c r="J64" i="168" s="1"/>
  <c r="G65" i="168"/>
  <c r="D66" i="168"/>
  <c r="F66" i="168"/>
  <c r="H66" i="168"/>
  <c r="I66" i="168"/>
  <c r="J66" i="168"/>
  <c r="F67" i="168"/>
  <c r="F68" i="168" s="1"/>
  <c r="H67" i="168"/>
  <c r="I67" i="168"/>
  <c r="J67" i="168"/>
  <c r="G68" i="168"/>
  <c r="D70" i="168"/>
  <c r="F70" i="168"/>
  <c r="H70" i="168"/>
  <c r="I70" i="168"/>
  <c r="J70" i="168"/>
  <c r="F71" i="168"/>
  <c r="H71" i="168"/>
  <c r="I71" i="168"/>
  <c r="J71" i="168"/>
  <c r="F72" i="168"/>
  <c r="G72" i="168"/>
  <c r="D73" i="168"/>
  <c r="F73" i="168"/>
  <c r="F75" i="168" s="1"/>
  <c r="H73" i="168"/>
  <c r="I73" i="168"/>
  <c r="J73" i="168"/>
  <c r="F74" i="168"/>
  <c r="H74" i="168"/>
  <c r="I74" i="168"/>
  <c r="J74" i="168" s="1"/>
  <c r="G75" i="168"/>
  <c r="D76" i="168"/>
  <c r="F76" i="168"/>
  <c r="H76" i="168"/>
  <c r="I76" i="168"/>
  <c r="J76" i="168"/>
  <c r="F77" i="168"/>
  <c r="F78" i="168" s="1"/>
  <c r="H77" i="168"/>
  <c r="I77" i="168"/>
  <c r="J77" i="168" s="1"/>
  <c r="G78" i="168"/>
  <c r="D79" i="168"/>
  <c r="F79" i="168"/>
  <c r="H79" i="168"/>
  <c r="I79" i="168"/>
  <c r="J79" i="168"/>
  <c r="F80" i="168"/>
  <c r="H80" i="168"/>
  <c r="I80" i="168"/>
  <c r="J80" i="168"/>
  <c r="F81" i="168"/>
  <c r="G81" i="168"/>
  <c r="D82" i="168"/>
  <c r="F82" i="168"/>
  <c r="F84" i="168" s="1"/>
  <c r="H82" i="168"/>
  <c r="I82" i="168"/>
  <c r="J82" i="168"/>
  <c r="F83" i="168"/>
  <c r="H83" i="168"/>
  <c r="I83" i="168"/>
  <c r="J83" i="168"/>
  <c r="G84" i="168"/>
  <c r="D85" i="168"/>
  <c r="F85" i="168"/>
  <c r="H85" i="168"/>
  <c r="I85" i="168"/>
  <c r="J85" i="168"/>
  <c r="F86" i="168"/>
  <c r="F87" i="168" s="1"/>
  <c r="H86" i="168"/>
  <c r="J86" i="168" s="1"/>
  <c r="I86" i="168"/>
  <c r="G87" i="168"/>
  <c r="D88" i="168"/>
  <c r="F88" i="168"/>
  <c r="H88" i="168"/>
  <c r="I88" i="168"/>
  <c r="J88" i="168"/>
  <c r="F89" i="168"/>
  <c r="H89" i="168"/>
  <c r="I89" i="168"/>
  <c r="J89" i="168"/>
  <c r="F90" i="168"/>
  <c r="G90" i="168"/>
  <c r="D91" i="168"/>
  <c r="F91" i="168"/>
  <c r="H91" i="168" s="1"/>
  <c r="I91" i="168"/>
  <c r="J91" i="168"/>
  <c r="F92" i="168"/>
  <c r="H92" i="168" s="1"/>
  <c r="J92" i="168" s="1"/>
  <c r="I92" i="168"/>
  <c r="G93" i="168"/>
  <c r="A95" i="168"/>
  <c r="B95" i="168"/>
  <c r="C95" i="168"/>
  <c r="I95" i="168" s="1"/>
  <c r="D95" i="168"/>
  <c r="F95" i="168"/>
  <c r="H95" i="168"/>
  <c r="J95" i="168"/>
  <c r="A96" i="168"/>
  <c r="B96" i="168"/>
  <c r="C96" i="168"/>
  <c r="F96" i="168"/>
  <c r="H96" i="168"/>
  <c r="I96" i="168"/>
  <c r="J96" i="168"/>
  <c r="F97" i="168"/>
  <c r="G97" i="168"/>
  <c r="A100" i="168"/>
  <c r="B100" i="168"/>
  <c r="C100" i="168"/>
  <c r="D100" i="168"/>
  <c r="F100" i="168"/>
  <c r="H100" i="168" s="1"/>
  <c r="G100" i="168"/>
  <c r="I100" i="168" s="1"/>
  <c r="J100" i="168"/>
  <c r="A101" i="168"/>
  <c r="B101" i="168"/>
  <c r="C101" i="168"/>
  <c r="D101" i="168"/>
  <c r="F101" i="168"/>
  <c r="G101" i="168"/>
  <c r="H101" i="168"/>
  <c r="I101" i="168"/>
  <c r="J101" i="168"/>
  <c r="A104" i="168"/>
  <c r="B104" i="168"/>
  <c r="C104" i="168"/>
  <c r="D104" i="168"/>
  <c r="F104" i="168"/>
  <c r="G104" i="168"/>
  <c r="H104" i="168"/>
  <c r="I104" i="168"/>
  <c r="J104" i="168"/>
  <c r="A105" i="168"/>
  <c r="B105" i="168"/>
  <c r="C105" i="168"/>
  <c r="D105" i="168"/>
  <c r="F105" i="168"/>
  <c r="F106" i="168" s="1"/>
  <c r="G105" i="168"/>
  <c r="G106" i="168" s="1"/>
  <c r="H105" i="168"/>
  <c r="I105" i="168"/>
  <c r="J105" i="168"/>
  <c r="G7" i="167"/>
  <c r="D7" i="167" s="1"/>
  <c r="F7" i="167" s="1"/>
  <c r="I7" i="167"/>
  <c r="D8" i="167"/>
  <c r="F8" i="167"/>
  <c r="H8" i="167" s="1"/>
  <c r="G8" i="167"/>
  <c r="I8" i="167" s="1"/>
  <c r="J8" i="167" s="1"/>
  <c r="G10" i="167"/>
  <c r="A16" i="167"/>
  <c r="B16" i="167"/>
  <c r="C16" i="167"/>
  <c r="D16" i="167"/>
  <c r="F16" i="167"/>
  <c r="H16" i="167"/>
  <c r="I16" i="167"/>
  <c r="A17" i="167"/>
  <c r="B17" i="167"/>
  <c r="C17" i="167"/>
  <c r="F17" i="167"/>
  <c r="H17" i="167"/>
  <c r="I17" i="167"/>
  <c r="J17" i="167"/>
  <c r="F18" i="167"/>
  <c r="G18" i="167"/>
  <c r="A22" i="167"/>
  <c r="B22" i="167"/>
  <c r="C22" i="167"/>
  <c r="D22" i="167"/>
  <c r="F22" i="167"/>
  <c r="H22" i="167"/>
  <c r="I22" i="167"/>
  <c r="A23" i="167"/>
  <c r="B23" i="167"/>
  <c r="C23" i="167"/>
  <c r="F23" i="167"/>
  <c r="H23" i="167"/>
  <c r="J23" i="167"/>
  <c r="F24" i="167"/>
  <c r="G24" i="167"/>
  <c r="A33" i="167"/>
  <c r="B33" i="167"/>
  <c r="C33" i="167"/>
  <c r="D33" i="167"/>
  <c r="F33" i="167"/>
  <c r="G33" i="167"/>
  <c r="H33" i="167"/>
  <c r="I33" i="167"/>
  <c r="J33" i="167"/>
  <c r="A34" i="167"/>
  <c r="B34" i="167"/>
  <c r="C34" i="167"/>
  <c r="D34" i="167"/>
  <c r="F34" i="167"/>
  <c r="F35" i="167" s="1"/>
  <c r="G34" i="167"/>
  <c r="G35" i="167" s="1"/>
  <c r="H34" i="167"/>
  <c r="I34" i="167"/>
  <c r="J34" i="167"/>
  <c r="D7" i="166"/>
  <c r="F7" i="166" s="1"/>
  <c r="G7" i="166"/>
  <c r="G10" i="166" s="1"/>
  <c r="I7" i="166"/>
  <c r="D8" i="166"/>
  <c r="F8" i="166"/>
  <c r="H8" i="166" s="1"/>
  <c r="G8" i="166"/>
  <c r="I8" i="166"/>
  <c r="J8" i="166" s="1"/>
  <c r="G12" i="166"/>
  <c r="A16" i="166"/>
  <c r="B16" i="166"/>
  <c r="C16" i="166"/>
  <c r="D16" i="166"/>
  <c r="F16" i="166"/>
  <c r="H16" i="166" s="1"/>
  <c r="I16" i="166"/>
  <c r="A17" i="166"/>
  <c r="B17" i="166"/>
  <c r="C17" i="166"/>
  <c r="H17" i="166" s="1"/>
  <c r="F17" i="166"/>
  <c r="F18" i="166"/>
  <c r="G18" i="166"/>
  <c r="A19" i="166"/>
  <c r="B19" i="166"/>
  <c r="C19" i="166"/>
  <c r="I19" i="166" s="1"/>
  <c r="J19" i="166" s="1"/>
  <c r="D19" i="166"/>
  <c r="F19" i="166"/>
  <c r="H19" i="166"/>
  <c r="A20" i="166"/>
  <c r="B20" i="166"/>
  <c r="C20" i="166"/>
  <c r="I20" i="166" s="1"/>
  <c r="F20" i="166"/>
  <c r="H20" i="166" s="1"/>
  <c r="F21" i="166"/>
  <c r="G21" i="166"/>
  <c r="A22" i="166"/>
  <c r="B22" i="166"/>
  <c r="C22" i="166"/>
  <c r="D22" i="166"/>
  <c r="F22" i="166" s="1"/>
  <c r="H22" i="166" s="1"/>
  <c r="I22" i="166"/>
  <c r="A23" i="166"/>
  <c r="B23" i="166"/>
  <c r="C23" i="166"/>
  <c r="H23" i="166" s="1"/>
  <c r="F23" i="166"/>
  <c r="F24" i="166" s="1"/>
  <c r="I23" i="166"/>
  <c r="J23" i="166" s="1"/>
  <c r="G24" i="166"/>
  <c r="A25" i="166"/>
  <c r="B25" i="166"/>
  <c r="C25" i="166"/>
  <c r="I25" i="166" s="1"/>
  <c r="D25" i="166"/>
  <c r="F25" i="166" s="1"/>
  <c r="H25" i="166" s="1"/>
  <c r="A26" i="166"/>
  <c r="B26" i="166"/>
  <c r="F26" i="166"/>
  <c r="F27" i="166" s="1"/>
  <c r="G27" i="166"/>
  <c r="A28" i="166"/>
  <c r="B28" i="166"/>
  <c r="C28" i="166"/>
  <c r="D28" i="166"/>
  <c r="F28" i="166"/>
  <c r="H28" i="166" s="1"/>
  <c r="I28" i="166"/>
  <c r="J28" i="166" s="1"/>
  <c r="A29" i="166"/>
  <c r="B29" i="166"/>
  <c r="C29" i="166"/>
  <c r="I29" i="166" s="1"/>
  <c r="F29" i="166"/>
  <c r="H29" i="166" s="1"/>
  <c r="G30" i="166"/>
  <c r="A33" i="166"/>
  <c r="B33" i="166"/>
  <c r="C33" i="166"/>
  <c r="D33" i="166"/>
  <c r="F33" i="166" s="1"/>
  <c r="H33" i="166" s="1"/>
  <c r="G33" i="166"/>
  <c r="I33" i="166" s="1"/>
  <c r="J33" i="166" s="1"/>
  <c r="A34" i="166"/>
  <c r="B34" i="166"/>
  <c r="C34" i="166"/>
  <c r="I34" i="166" s="1"/>
  <c r="D34" i="166"/>
  <c r="F34" i="166" s="1"/>
  <c r="G34" i="166"/>
  <c r="G7" i="165"/>
  <c r="D7" i="165" s="1"/>
  <c r="F7" i="165" s="1"/>
  <c r="D8" i="165"/>
  <c r="F8" i="165"/>
  <c r="G8" i="165"/>
  <c r="H8" i="165"/>
  <c r="I8" i="165"/>
  <c r="J8" i="165"/>
  <c r="G10" i="165"/>
  <c r="G12" i="165"/>
  <c r="A16" i="165"/>
  <c r="B16" i="165"/>
  <c r="C16" i="165"/>
  <c r="D16" i="165"/>
  <c r="F16" i="165"/>
  <c r="H16" i="165"/>
  <c r="I16" i="165"/>
  <c r="A17" i="165"/>
  <c r="B17" i="165"/>
  <c r="C17" i="165"/>
  <c r="F17" i="165"/>
  <c r="H17" i="165"/>
  <c r="I17" i="165"/>
  <c r="J17" i="165"/>
  <c r="F18" i="165"/>
  <c r="G18" i="165"/>
  <c r="A19" i="165"/>
  <c r="B19" i="165"/>
  <c r="C19" i="165"/>
  <c r="D19" i="165"/>
  <c r="F19" i="165" s="1"/>
  <c r="I19" i="165"/>
  <c r="A20" i="165"/>
  <c r="B20" i="165"/>
  <c r="C20" i="165"/>
  <c r="F20" i="165"/>
  <c r="H20" i="165"/>
  <c r="I20" i="165"/>
  <c r="J20" i="165"/>
  <c r="G21" i="165"/>
  <c r="A22" i="165"/>
  <c r="B22" i="165"/>
  <c r="C22" i="165"/>
  <c r="D22" i="165"/>
  <c r="F22" i="165"/>
  <c r="H22" i="165"/>
  <c r="I22" i="165"/>
  <c r="J22" i="165"/>
  <c r="A23" i="165"/>
  <c r="B23" i="165"/>
  <c r="C23" i="165"/>
  <c r="F23" i="165"/>
  <c r="F24" i="165" s="1"/>
  <c r="H23" i="165"/>
  <c r="I23" i="165"/>
  <c r="J23" i="165"/>
  <c r="G24" i="165"/>
  <c r="A25" i="165"/>
  <c r="B25" i="165"/>
  <c r="C25" i="165"/>
  <c r="D25" i="165"/>
  <c r="F25" i="165"/>
  <c r="H25" i="165"/>
  <c r="I25" i="165"/>
  <c r="J25" i="165"/>
  <c r="A26" i="165"/>
  <c r="B26" i="165"/>
  <c r="C26" i="165"/>
  <c r="F26" i="165"/>
  <c r="H26" i="165"/>
  <c r="I26" i="165"/>
  <c r="J26" i="165"/>
  <c r="F27" i="165"/>
  <c r="G27" i="165"/>
  <c r="A28" i="165"/>
  <c r="B28" i="165"/>
  <c r="C28" i="165"/>
  <c r="D28" i="165"/>
  <c r="D33" i="165" s="1"/>
  <c r="F33" i="165" s="1"/>
  <c r="F28" i="165"/>
  <c r="H28" i="165"/>
  <c r="I28" i="165"/>
  <c r="J28" i="165"/>
  <c r="A29" i="165"/>
  <c r="B29" i="165"/>
  <c r="C29" i="165"/>
  <c r="I29" i="165" s="1"/>
  <c r="J29" i="165" s="1"/>
  <c r="F29" i="165"/>
  <c r="F30" i="165" s="1"/>
  <c r="H29" i="165"/>
  <c r="G30" i="165"/>
  <c r="A33" i="165"/>
  <c r="B33" i="165"/>
  <c r="C33" i="165"/>
  <c r="G33" i="165"/>
  <c r="I33" i="165"/>
  <c r="A34" i="165"/>
  <c r="B34" i="165"/>
  <c r="C34" i="165"/>
  <c r="D34" i="165"/>
  <c r="F34" i="165"/>
  <c r="G34" i="165"/>
  <c r="H34" i="165"/>
  <c r="I34" i="165"/>
  <c r="J34" i="165"/>
  <c r="G35" i="165"/>
  <c r="G7" i="164"/>
  <c r="D7" i="164" s="1"/>
  <c r="F7" i="164" s="1"/>
  <c r="D8" i="164"/>
  <c r="F8" i="164"/>
  <c r="G8" i="164"/>
  <c r="H8" i="164"/>
  <c r="I8" i="164"/>
  <c r="J8" i="164"/>
  <c r="G12" i="164"/>
  <c r="A16" i="164"/>
  <c r="B16" i="164"/>
  <c r="C16" i="164"/>
  <c r="D16" i="164"/>
  <c r="F16" i="164"/>
  <c r="H16" i="164"/>
  <c r="I16" i="164"/>
  <c r="A17" i="164"/>
  <c r="B17" i="164"/>
  <c r="C17" i="164"/>
  <c r="F17" i="164"/>
  <c r="H17" i="164"/>
  <c r="I17" i="164"/>
  <c r="J17" i="164"/>
  <c r="F18" i="164"/>
  <c r="G18" i="164"/>
  <c r="A19" i="164"/>
  <c r="B19" i="164"/>
  <c r="C19" i="164"/>
  <c r="I19" i="164" s="1"/>
  <c r="D19" i="164"/>
  <c r="F19" i="164" s="1"/>
  <c r="A20" i="164"/>
  <c r="B20" i="164"/>
  <c r="C20" i="164"/>
  <c r="F20" i="164"/>
  <c r="H20" i="164"/>
  <c r="I20" i="164"/>
  <c r="J20" i="164"/>
  <c r="G21" i="164"/>
  <c r="A22" i="164"/>
  <c r="B22" i="164"/>
  <c r="C22" i="164"/>
  <c r="D22" i="164"/>
  <c r="F22" i="164"/>
  <c r="H22" i="164"/>
  <c r="I22" i="164"/>
  <c r="J22" i="164"/>
  <c r="A23" i="164"/>
  <c r="B23" i="164"/>
  <c r="C23" i="164"/>
  <c r="F23" i="164"/>
  <c r="H23" i="164"/>
  <c r="I23" i="164"/>
  <c r="J23" i="164"/>
  <c r="F24" i="164"/>
  <c r="G24" i="164"/>
  <c r="A25" i="164"/>
  <c r="B25" i="164"/>
  <c r="C25" i="164"/>
  <c r="D25" i="164"/>
  <c r="F25" i="164"/>
  <c r="H25" i="164"/>
  <c r="I25" i="164"/>
  <c r="J25" i="164"/>
  <c r="A26" i="164"/>
  <c r="B26" i="164"/>
  <c r="C26" i="164"/>
  <c r="F26" i="164"/>
  <c r="H26" i="164"/>
  <c r="I26" i="164"/>
  <c r="J26" i="164"/>
  <c r="F27" i="164"/>
  <c r="G27" i="164"/>
  <c r="A28" i="164"/>
  <c r="B28" i="164"/>
  <c r="C28" i="164"/>
  <c r="D28" i="164"/>
  <c r="D33" i="164" s="1"/>
  <c r="F33" i="164" s="1"/>
  <c r="I28" i="164"/>
  <c r="A29" i="164"/>
  <c r="B29" i="164"/>
  <c r="C29" i="164"/>
  <c r="F29" i="164"/>
  <c r="H29" i="164"/>
  <c r="I29" i="164"/>
  <c r="J29" i="164" s="1"/>
  <c r="G30" i="164"/>
  <c r="A33" i="164"/>
  <c r="B33" i="164"/>
  <c r="C33" i="164"/>
  <c r="G33" i="164"/>
  <c r="I33" i="164"/>
  <c r="A34" i="164"/>
  <c r="B34" i="164"/>
  <c r="C34" i="164"/>
  <c r="D34" i="164"/>
  <c r="F34" i="164"/>
  <c r="G34" i="164"/>
  <c r="H34" i="164"/>
  <c r="I34" i="164"/>
  <c r="J34" i="164"/>
  <c r="G35" i="164"/>
  <c r="G7" i="163"/>
  <c r="D7" i="163" s="1"/>
  <c r="F7" i="163" s="1"/>
  <c r="D8" i="163"/>
  <c r="F8" i="163"/>
  <c r="G8" i="163"/>
  <c r="H8" i="163"/>
  <c r="I8" i="163"/>
  <c r="J8" i="163"/>
  <c r="G10" i="163"/>
  <c r="G12" i="163"/>
  <c r="A16" i="163"/>
  <c r="B16" i="163"/>
  <c r="C16" i="163"/>
  <c r="D16" i="163"/>
  <c r="F16" i="163"/>
  <c r="H16" i="163" s="1"/>
  <c r="I16" i="163"/>
  <c r="A17" i="163"/>
  <c r="B17" i="163"/>
  <c r="C17" i="163"/>
  <c r="F17" i="163"/>
  <c r="H17" i="163"/>
  <c r="I17" i="163"/>
  <c r="J17" i="163"/>
  <c r="F18" i="163"/>
  <c r="G18" i="163"/>
  <c r="A19" i="163"/>
  <c r="B19" i="163"/>
  <c r="C19" i="163"/>
  <c r="I19" i="163" s="1"/>
  <c r="D19" i="163"/>
  <c r="F19" i="163"/>
  <c r="H19" i="163" s="1"/>
  <c r="A20" i="163"/>
  <c r="B20" i="163"/>
  <c r="C20" i="163"/>
  <c r="F20" i="163"/>
  <c r="H20" i="163"/>
  <c r="I20" i="163"/>
  <c r="J20" i="163"/>
  <c r="F21" i="163"/>
  <c r="G21" i="163"/>
  <c r="A22" i="163"/>
  <c r="B22" i="163"/>
  <c r="C22" i="163"/>
  <c r="D22" i="163"/>
  <c r="F22" i="163"/>
  <c r="H22" i="163"/>
  <c r="I22" i="163"/>
  <c r="J22" i="163"/>
  <c r="A23" i="163"/>
  <c r="B23" i="163"/>
  <c r="C23" i="163"/>
  <c r="F23" i="163"/>
  <c r="H23" i="163" s="1"/>
  <c r="J23" i="163" s="1"/>
  <c r="I23" i="163"/>
  <c r="F24" i="163"/>
  <c r="G24" i="163"/>
  <c r="A25" i="163"/>
  <c r="B25" i="163"/>
  <c r="C25" i="163"/>
  <c r="D25" i="163"/>
  <c r="F25" i="163"/>
  <c r="H25" i="163"/>
  <c r="I25" i="163"/>
  <c r="J25" i="163"/>
  <c r="A26" i="163"/>
  <c r="B26" i="163"/>
  <c r="C26" i="163"/>
  <c r="F26" i="163"/>
  <c r="H26" i="163"/>
  <c r="I26" i="163"/>
  <c r="J26" i="163"/>
  <c r="F27" i="163"/>
  <c r="G27" i="163"/>
  <c r="A28" i="163"/>
  <c r="B28" i="163"/>
  <c r="C28" i="163"/>
  <c r="D28" i="163"/>
  <c r="D33" i="163" s="1"/>
  <c r="F33" i="163" s="1"/>
  <c r="F28" i="163"/>
  <c r="H28" i="163"/>
  <c r="I28" i="163"/>
  <c r="J28" i="163"/>
  <c r="A29" i="163"/>
  <c r="B29" i="163"/>
  <c r="C29" i="163"/>
  <c r="F29" i="163"/>
  <c r="F30" i="163" s="1"/>
  <c r="H29" i="163"/>
  <c r="I29" i="163"/>
  <c r="J29" i="163" s="1"/>
  <c r="G30" i="163"/>
  <c r="A33" i="163"/>
  <c r="B33" i="163"/>
  <c r="C33" i="163"/>
  <c r="G33" i="163"/>
  <c r="I33" i="163"/>
  <c r="A34" i="163"/>
  <c r="B34" i="163"/>
  <c r="C34" i="163"/>
  <c r="D34" i="163"/>
  <c r="F34" i="163"/>
  <c r="G34" i="163"/>
  <c r="H34" i="163"/>
  <c r="I34" i="163"/>
  <c r="J34" i="163"/>
  <c r="G35" i="163"/>
  <c r="G7" i="162"/>
  <c r="D7" i="162" s="1"/>
  <c r="F7" i="162" s="1"/>
  <c r="D8" i="162"/>
  <c r="F8" i="162"/>
  <c r="G8" i="162"/>
  <c r="H8" i="162"/>
  <c r="I8" i="162"/>
  <c r="J8" i="162"/>
  <c r="G10" i="162"/>
  <c r="G12" i="162"/>
  <c r="A16" i="162"/>
  <c r="B16" i="162"/>
  <c r="C16" i="162"/>
  <c r="D16" i="162"/>
  <c r="F16" i="162"/>
  <c r="H16" i="162"/>
  <c r="I16" i="162"/>
  <c r="A17" i="162"/>
  <c r="B17" i="162"/>
  <c r="C17" i="162"/>
  <c r="F17" i="162"/>
  <c r="H17" i="162" s="1"/>
  <c r="J17" i="162" s="1"/>
  <c r="I17" i="162"/>
  <c r="G18" i="162"/>
  <c r="A19" i="162"/>
  <c r="B19" i="162"/>
  <c r="C19" i="162"/>
  <c r="D19" i="162"/>
  <c r="F19" i="162"/>
  <c r="H19" i="162"/>
  <c r="J19" i="162" s="1"/>
  <c r="I19" i="162"/>
  <c r="A20" i="162"/>
  <c r="B20" i="162"/>
  <c r="C20" i="162"/>
  <c r="F20" i="162"/>
  <c r="H20" i="162"/>
  <c r="I20" i="162"/>
  <c r="J20" i="162"/>
  <c r="F21" i="162"/>
  <c r="G21" i="162"/>
  <c r="A22" i="162"/>
  <c r="B22" i="162"/>
  <c r="C22" i="162"/>
  <c r="D22" i="162"/>
  <c r="F22" i="162"/>
  <c r="H22" i="162"/>
  <c r="I22" i="162"/>
  <c r="J22" i="162"/>
  <c r="A23" i="162"/>
  <c r="B23" i="162"/>
  <c r="C23" i="162"/>
  <c r="F23" i="162"/>
  <c r="H23" i="162"/>
  <c r="I23" i="162"/>
  <c r="J23" i="162"/>
  <c r="F24" i="162"/>
  <c r="G24" i="162"/>
  <c r="A25" i="162"/>
  <c r="B25" i="162"/>
  <c r="C25" i="162"/>
  <c r="D25" i="162"/>
  <c r="F25" i="162"/>
  <c r="H25" i="162"/>
  <c r="I25" i="162"/>
  <c r="J25" i="162"/>
  <c r="A26" i="162"/>
  <c r="B26" i="162"/>
  <c r="C26" i="162"/>
  <c r="F26" i="162"/>
  <c r="H26" i="162"/>
  <c r="I26" i="162"/>
  <c r="J26" i="162" s="1"/>
  <c r="F27" i="162"/>
  <c r="G27" i="162"/>
  <c r="A28" i="162"/>
  <c r="B28" i="162"/>
  <c r="C28" i="162"/>
  <c r="D28" i="162"/>
  <c r="D33" i="162" s="1"/>
  <c r="F33" i="162" s="1"/>
  <c r="F28" i="162"/>
  <c r="H28" i="162"/>
  <c r="I28" i="162"/>
  <c r="J28" i="162"/>
  <c r="A29" i="162"/>
  <c r="B29" i="162"/>
  <c r="C29" i="162"/>
  <c r="F29" i="162"/>
  <c r="F30" i="162" s="1"/>
  <c r="H29" i="162"/>
  <c r="I29" i="162"/>
  <c r="J29" i="162" s="1"/>
  <c r="G30" i="162"/>
  <c r="A33" i="162"/>
  <c r="B33" i="162"/>
  <c r="C33" i="162"/>
  <c r="G33" i="162"/>
  <c r="I33" i="162"/>
  <c r="A34" i="162"/>
  <c r="B34" i="162"/>
  <c r="C34" i="162"/>
  <c r="D34" i="162"/>
  <c r="F34" i="162"/>
  <c r="G34" i="162"/>
  <c r="H34" i="162"/>
  <c r="I34" i="162"/>
  <c r="J34" i="162"/>
  <c r="G35" i="162"/>
  <c r="G34" i="161"/>
  <c r="G35" i="161" s="1"/>
  <c r="D34" i="161"/>
  <c r="F34" i="161" s="1"/>
  <c r="C34" i="161"/>
  <c r="B34" i="161"/>
  <c r="A34" i="161"/>
  <c r="G33" i="161"/>
  <c r="I33" i="161" s="1"/>
  <c r="C33" i="161"/>
  <c r="B33" i="161"/>
  <c r="A33" i="161"/>
  <c r="G30" i="161"/>
  <c r="F29" i="161"/>
  <c r="H29" i="161" s="1"/>
  <c r="C29" i="161"/>
  <c r="I29" i="161" s="1"/>
  <c r="J29" i="161" s="1"/>
  <c r="B29" i="161"/>
  <c r="A29" i="161"/>
  <c r="I28" i="161"/>
  <c r="J28" i="161" s="1"/>
  <c r="H28" i="161"/>
  <c r="F28" i="161"/>
  <c r="D28" i="161"/>
  <c r="C28" i="161"/>
  <c r="B28" i="161"/>
  <c r="A28" i="161"/>
  <c r="G27" i="161"/>
  <c r="F26" i="161"/>
  <c r="B26" i="161"/>
  <c r="A26" i="161"/>
  <c r="D25" i="161"/>
  <c r="F25" i="161" s="1"/>
  <c r="H25" i="161" s="1"/>
  <c r="C25" i="161"/>
  <c r="C26" i="161" s="1"/>
  <c r="I26" i="161" s="1"/>
  <c r="B25" i="161"/>
  <c r="A25" i="161"/>
  <c r="G24" i="161"/>
  <c r="F23" i="161"/>
  <c r="H23" i="161" s="1"/>
  <c r="C23" i="161"/>
  <c r="I23" i="161" s="1"/>
  <c r="J23" i="161" s="1"/>
  <c r="B23" i="161"/>
  <c r="A23" i="161"/>
  <c r="I22" i="161"/>
  <c r="D22" i="161"/>
  <c r="F22" i="161" s="1"/>
  <c r="H22" i="161" s="1"/>
  <c r="J22" i="161" s="1"/>
  <c r="C22" i="161"/>
  <c r="B22" i="161"/>
  <c r="A22" i="161"/>
  <c r="G21" i="161"/>
  <c r="F20" i="161"/>
  <c r="H20" i="161" s="1"/>
  <c r="C20" i="161"/>
  <c r="I20" i="161" s="1"/>
  <c r="J20" i="161" s="1"/>
  <c r="B20" i="161"/>
  <c r="A20" i="161"/>
  <c r="D19" i="161"/>
  <c r="D33" i="161" s="1"/>
  <c r="F33" i="161" s="1"/>
  <c r="H33" i="161" s="1"/>
  <c r="C19" i="161"/>
  <c r="I19" i="161" s="1"/>
  <c r="B19" i="161"/>
  <c r="A19" i="161"/>
  <c r="G18" i="161"/>
  <c r="F17" i="161"/>
  <c r="F18" i="161" s="1"/>
  <c r="C17" i="161"/>
  <c r="I17" i="161" s="1"/>
  <c r="B17" i="161"/>
  <c r="A17" i="161"/>
  <c r="F16" i="161"/>
  <c r="H16" i="161" s="1"/>
  <c r="D16" i="161"/>
  <c r="C16" i="161"/>
  <c r="I16" i="161" s="1"/>
  <c r="B16" i="161"/>
  <c r="A16" i="161"/>
  <c r="G8" i="161"/>
  <c r="G10" i="161" s="1"/>
  <c r="D8" i="161"/>
  <c r="F8" i="161" s="1"/>
  <c r="G7" i="161"/>
  <c r="I7" i="161" s="1"/>
  <c r="D7" i="161"/>
  <c r="F7" i="161" s="1"/>
  <c r="G7" i="160"/>
  <c r="D7" i="160" s="1"/>
  <c r="F7" i="160" s="1"/>
  <c r="I7" i="160"/>
  <c r="D8" i="160"/>
  <c r="F8" i="160"/>
  <c r="G8" i="160"/>
  <c r="H8" i="160"/>
  <c r="I8" i="160"/>
  <c r="J8" i="160"/>
  <c r="G10" i="160"/>
  <c r="G12" i="160"/>
  <c r="A16" i="160"/>
  <c r="B16" i="160"/>
  <c r="C16" i="160"/>
  <c r="D16" i="160"/>
  <c r="F16" i="160"/>
  <c r="H16" i="160"/>
  <c r="I16" i="160"/>
  <c r="A17" i="160"/>
  <c r="B17" i="160"/>
  <c r="C17" i="160"/>
  <c r="F17" i="160"/>
  <c r="H17" i="160"/>
  <c r="I17" i="160"/>
  <c r="J17" i="160"/>
  <c r="F18" i="160"/>
  <c r="G18" i="160"/>
  <c r="A19" i="160"/>
  <c r="B19" i="160"/>
  <c r="C19" i="160"/>
  <c r="D19" i="160"/>
  <c r="F19" i="160"/>
  <c r="H19" i="160"/>
  <c r="I19" i="160"/>
  <c r="J19" i="160"/>
  <c r="A20" i="160"/>
  <c r="B20" i="160"/>
  <c r="C20" i="160"/>
  <c r="F20" i="160"/>
  <c r="H20" i="160"/>
  <c r="I20" i="160"/>
  <c r="J20" i="160"/>
  <c r="F21" i="160"/>
  <c r="G21" i="160"/>
  <c r="A22" i="160"/>
  <c r="B22" i="160"/>
  <c r="C22" i="160"/>
  <c r="D22" i="160"/>
  <c r="F22" i="160"/>
  <c r="H22" i="160"/>
  <c r="I22" i="160"/>
  <c r="J22" i="160"/>
  <c r="A23" i="160"/>
  <c r="B23" i="160"/>
  <c r="C23" i="160"/>
  <c r="F23" i="160"/>
  <c r="H23" i="160"/>
  <c r="I23" i="160"/>
  <c r="J23" i="160"/>
  <c r="F24" i="160"/>
  <c r="G24" i="160"/>
  <c r="A25" i="160"/>
  <c r="B25" i="160"/>
  <c r="C25" i="160"/>
  <c r="D25" i="160"/>
  <c r="F25" i="160" s="1"/>
  <c r="I25" i="160"/>
  <c r="A26" i="160"/>
  <c r="B26" i="160"/>
  <c r="C26" i="160"/>
  <c r="F26" i="160"/>
  <c r="H26" i="160"/>
  <c r="I26" i="160"/>
  <c r="J26" i="160"/>
  <c r="G27" i="160"/>
  <c r="A28" i="160"/>
  <c r="B28" i="160"/>
  <c r="C28" i="160"/>
  <c r="D28" i="160"/>
  <c r="D33" i="160" s="1"/>
  <c r="F33" i="160" s="1"/>
  <c r="F28" i="160"/>
  <c r="H28" i="160"/>
  <c r="I28" i="160"/>
  <c r="J28" i="160"/>
  <c r="A29" i="160"/>
  <c r="B29" i="160"/>
  <c r="C29" i="160"/>
  <c r="F29" i="160"/>
  <c r="F30" i="160" s="1"/>
  <c r="H29" i="160"/>
  <c r="I29" i="160"/>
  <c r="J29" i="160" s="1"/>
  <c r="G30" i="160"/>
  <c r="A33" i="160"/>
  <c r="B33" i="160"/>
  <c r="C33" i="160"/>
  <c r="G33" i="160"/>
  <c r="I33" i="160"/>
  <c r="A34" i="160"/>
  <c r="B34" i="160"/>
  <c r="C34" i="160"/>
  <c r="D34" i="160"/>
  <c r="F34" i="160"/>
  <c r="G34" i="160"/>
  <c r="H34" i="160"/>
  <c r="I34" i="160"/>
  <c r="J34" i="160"/>
  <c r="G35" i="160"/>
  <c r="G7" i="159"/>
  <c r="D7" i="159" s="1"/>
  <c r="F7" i="159" s="1"/>
  <c r="D8" i="159"/>
  <c r="F8" i="159"/>
  <c r="G8" i="159"/>
  <c r="H8" i="159"/>
  <c r="I8" i="159"/>
  <c r="J8" i="159"/>
  <c r="G10" i="159"/>
  <c r="G12" i="159"/>
  <c r="A16" i="159"/>
  <c r="B16" i="159"/>
  <c r="C16" i="159"/>
  <c r="D16" i="159"/>
  <c r="F16" i="159"/>
  <c r="H16" i="159"/>
  <c r="I16" i="159"/>
  <c r="A17" i="159"/>
  <c r="B17" i="159"/>
  <c r="C17" i="159"/>
  <c r="F17" i="159"/>
  <c r="F18" i="159" s="1"/>
  <c r="I17" i="159"/>
  <c r="G18" i="159"/>
  <c r="A19" i="159"/>
  <c r="B19" i="159"/>
  <c r="C19" i="159"/>
  <c r="D19" i="159"/>
  <c r="F19" i="159" s="1"/>
  <c r="I19" i="159"/>
  <c r="A20" i="159"/>
  <c r="B20" i="159"/>
  <c r="C20" i="159"/>
  <c r="F20" i="159"/>
  <c r="H20" i="159"/>
  <c r="I20" i="159"/>
  <c r="J20" i="159"/>
  <c r="G21" i="159"/>
  <c r="A22" i="159"/>
  <c r="B22" i="159"/>
  <c r="C22" i="159"/>
  <c r="D22" i="159"/>
  <c r="F22" i="159"/>
  <c r="H22" i="159"/>
  <c r="I22" i="159"/>
  <c r="J22" i="159"/>
  <c r="A23" i="159"/>
  <c r="B23" i="159"/>
  <c r="C23" i="159"/>
  <c r="F23" i="159"/>
  <c r="H23" i="159"/>
  <c r="I23" i="159"/>
  <c r="J23" i="159"/>
  <c r="F24" i="159"/>
  <c r="G24" i="159"/>
  <c r="A25" i="159"/>
  <c r="B25" i="159"/>
  <c r="C25" i="159"/>
  <c r="D25" i="159"/>
  <c r="F25" i="159"/>
  <c r="H25" i="159"/>
  <c r="I25" i="159"/>
  <c r="J25" i="159"/>
  <c r="A26" i="159"/>
  <c r="B26" i="159"/>
  <c r="C26" i="159"/>
  <c r="F26" i="159"/>
  <c r="H26" i="159"/>
  <c r="I26" i="159"/>
  <c r="J26" i="159"/>
  <c r="F27" i="159"/>
  <c r="G27" i="159"/>
  <c r="A28" i="159"/>
  <c r="B28" i="159"/>
  <c r="C28" i="159"/>
  <c r="D28" i="159"/>
  <c r="D33" i="159" s="1"/>
  <c r="F33" i="159" s="1"/>
  <c r="F28" i="159"/>
  <c r="H28" i="159"/>
  <c r="I28" i="159"/>
  <c r="J28" i="159"/>
  <c r="A29" i="159"/>
  <c r="B29" i="159"/>
  <c r="C29" i="159"/>
  <c r="F29" i="159"/>
  <c r="F30" i="159" s="1"/>
  <c r="H29" i="159"/>
  <c r="I29" i="159"/>
  <c r="J29" i="159" s="1"/>
  <c r="G30" i="159"/>
  <c r="A33" i="159"/>
  <c r="B33" i="159"/>
  <c r="C33" i="159"/>
  <c r="G33" i="159"/>
  <c r="I33" i="159"/>
  <c r="A34" i="159"/>
  <c r="B34" i="159"/>
  <c r="C34" i="159"/>
  <c r="D34" i="159"/>
  <c r="F34" i="159"/>
  <c r="G34" i="159"/>
  <c r="H34" i="159"/>
  <c r="I34" i="159"/>
  <c r="J34" i="159"/>
  <c r="G35" i="159"/>
  <c r="G7" i="158"/>
  <c r="D7" i="158" s="1"/>
  <c r="F7" i="158" s="1"/>
  <c r="I7" i="158"/>
  <c r="D8" i="158"/>
  <c r="F8" i="158"/>
  <c r="G8" i="158"/>
  <c r="H8" i="158"/>
  <c r="I8" i="158"/>
  <c r="J8" i="158"/>
  <c r="G10" i="158"/>
  <c r="G12" i="158"/>
  <c r="A16" i="158"/>
  <c r="B16" i="158"/>
  <c r="C16" i="158"/>
  <c r="D16" i="158"/>
  <c r="F16" i="158"/>
  <c r="H16" i="158"/>
  <c r="I16" i="158"/>
  <c r="A17" i="158"/>
  <c r="B17" i="158"/>
  <c r="C17" i="158"/>
  <c r="F17" i="158"/>
  <c r="H17" i="158"/>
  <c r="I17" i="158"/>
  <c r="J17" i="158"/>
  <c r="F18" i="158"/>
  <c r="G18" i="158"/>
  <c r="A19" i="158"/>
  <c r="B19" i="158"/>
  <c r="C19" i="158"/>
  <c r="D19" i="158"/>
  <c r="F19" i="158"/>
  <c r="H19" i="158"/>
  <c r="I19" i="158"/>
  <c r="J19" i="158"/>
  <c r="A20" i="158"/>
  <c r="B20" i="158"/>
  <c r="C20" i="158"/>
  <c r="F20" i="158"/>
  <c r="H20" i="158"/>
  <c r="I20" i="158"/>
  <c r="J20" i="158"/>
  <c r="F21" i="158"/>
  <c r="G21" i="158"/>
  <c r="A22" i="158"/>
  <c r="B22" i="158"/>
  <c r="C22" i="158"/>
  <c r="D22" i="158"/>
  <c r="F22" i="158"/>
  <c r="H22" i="158"/>
  <c r="I22" i="158"/>
  <c r="J22" i="158"/>
  <c r="A23" i="158"/>
  <c r="B23" i="158"/>
  <c r="C23" i="158"/>
  <c r="F23" i="158"/>
  <c r="H23" i="158"/>
  <c r="I23" i="158"/>
  <c r="J23" i="158" s="1"/>
  <c r="F24" i="158"/>
  <c r="G24" i="158"/>
  <c r="A25" i="158"/>
  <c r="B25" i="158"/>
  <c r="C25" i="158"/>
  <c r="D25" i="158"/>
  <c r="F25" i="158"/>
  <c r="H25" i="158"/>
  <c r="I25" i="158"/>
  <c r="J25" i="158"/>
  <c r="A26" i="158"/>
  <c r="B26" i="158"/>
  <c r="C26" i="158"/>
  <c r="F26" i="158"/>
  <c r="H26" i="158"/>
  <c r="I26" i="158"/>
  <c r="J26" i="158"/>
  <c r="F27" i="158"/>
  <c r="G27" i="158"/>
  <c r="A28" i="158"/>
  <c r="B28" i="158"/>
  <c r="C28" i="158"/>
  <c r="H28" i="158" s="1"/>
  <c r="D28" i="158"/>
  <c r="D33" i="158" s="1"/>
  <c r="F33" i="158" s="1"/>
  <c r="F28" i="158"/>
  <c r="A29" i="158"/>
  <c r="B29" i="158"/>
  <c r="C29" i="158"/>
  <c r="F29" i="158"/>
  <c r="F30" i="158" s="1"/>
  <c r="H29" i="158"/>
  <c r="I29" i="158"/>
  <c r="J29" i="158" s="1"/>
  <c r="G30" i="158"/>
  <c r="A33" i="158"/>
  <c r="B33" i="158"/>
  <c r="C33" i="158"/>
  <c r="G33" i="158"/>
  <c r="I33" i="158"/>
  <c r="A34" i="158"/>
  <c r="B34" i="158"/>
  <c r="C34" i="158"/>
  <c r="H34" i="158" s="1"/>
  <c r="D34" i="158"/>
  <c r="F34" i="158"/>
  <c r="G34" i="158"/>
  <c r="I34" i="158"/>
  <c r="G35" i="158"/>
  <c r="G7" i="157"/>
  <c r="D7" i="157" s="1"/>
  <c r="F7" i="157" s="1"/>
  <c r="I7" i="157"/>
  <c r="A8" i="157"/>
  <c r="C8" i="157"/>
  <c r="D8" i="157"/>
  <c r="F8" i="157"/>
  <c r="G8" i="157"/>
  <c r="H8" i="157"/>
  <c r="I8" i="157"/>
  <c r="J8" i="157"/>
  <c r="G10" i="157"/>
  <c r="G12" i="157"/>
  <c r="A16" i="157"/>
  <c r="B16" i="157"/>
  <c r="C16" i="157"/>
  <c r="D16" i="157"/>
  <c r="F16" i="157"/>
  <c r="H16" i="157"/>
  <c r="I16" i="157"/>
  <c r="A17" i="157"/>
  <c r="B17" i="157"/>
  <c r="C17" i="157"/>
  <c r="F17" i="157"/>
  <c r="H17" i="157"/>
  <c r="I17" i="157"/>
  <c r="J17" i="157"/>
  <c r="F18" i="157"/>
  <c r="G18" i="157"/>
  <c r="A19" i="157"/>
  <c r="B19" i="157"/>
  <c r="C19" i="157"/>
  <c r="D19" i="157"/>
  <c r="F19" i="157"/>
  <c r="H19" i="157"/>
  <c r="I19" i="157"/>
  <c r="J19" i="157"/>
  <c r="A20" i="157"/>
  <c r="B20" i="157"/>
  <c r="C20" i="157"/>
  <c r="F20" i="157"/>
  <c r="H20" i="157"/>
  <c r="I20" i="157"/>
  <c r="J20" i="157"/>
  <c r="F21" i="157"/>
  <c r="G21" i="157"/>
  <c r="A22" i="157"/>
  <c r="B22" i="157"/>
  <c r="C22" i="157"/>
  <c r="D22" i="157"/>
  <c r="F22" i="157"/>
  <c r="H22" i="157"/>
  <c r="I22" i="157"/>
  <c r="J22" i="157"/>
  <c r="A23" i="157"/>
  <c r="B23" i="157"/>
  <c r="C23" i="157"/>
  <c r="F23" i="157"/>
  <c r="F24" i="157" s="1"/>
  <c r="H23" i="157"/>
  <c r="I23" i="157"/>
  <c r="J23" i="157" s="1"/>
  <c r="G24" i="157"/>
  <c r="A25" i="157"/>
  <c r="B25" i="157"/>
  <c r="D25" i="157"/>
  <c r="F25" i="157"/>
  <c r="H25" i="157"/>
  <c r="I25" i="157"/>
  <c r="J25" i="157"/>
  <c r="A26" i="157"/>
  <c r="B26" i="157"/>
  <c r="F26" i="157"/>
  <c r="H26" i="157"/>
  <c r="I26" i="157"/>
  <c r="J26" i="157"/>
  <c r="F27" i="157"/>
  <c r="G27" i="157"/>
  <c r="A28" i="157"/>
  <c r="B28" i="157"/>
  <c r="C28" i="157"/>
  <c r="D28" i="157"/>
  <c r="D33" i="157" s="1"/>
  <c r="F33" i="157" s="1"/>
  <c r="F28" i="157"/>
  <c r="H28" i="157"/>
  <c r="I28" i="157"/>
  <c r="J28" i="157"/>
  <c r="A29" i="157"/>
  <c r="B29" i="157"/>
  <c r="C29" i="157"/>
  <c r="F29" i="157"/>
  <c r="F30" i="157" s="1"/>
  <c r="H29" i="157"/>
  <c r="I29" i="157"/>
  <c r="J29" i="157" s="1"/>
  <c r="G30" i="157"/>
  <c r="A33" i="157"/>
  <c r="B33" i="157"/>
  <c r="C33" i="157"/>
  <c r="G33" i="157"/>
  <c r="I33" i="157"/>
  <c r="A34" i="157"/>
  <c r="B34" i="157"/>
  <c r="C34" i="157"/>
  <c r="D34" i="157"/>
  <c r="F34" i="157"/>
  <c r="G34" i="157"/>
  <c r="H34" i="157"/>
  <c r="I34" i="157"/>
  <c r="J34" i="157"/>
  <c r="G35" i="157"/>
  <c r="G7" i="156"/>
  <c r="D7" i="156" s="1"/>
  <c r="F7" i="156" s="1"/>
  <c r="A8" i="156"/>
  <c r="D8" i="156"/>
  <c r="F8" i="156"/>
  <c r="G8" i="156"/>
  <c r="H8" i="156"/>
  <c r="I8" i="156"/>
  <c r="J8" i="156"/>
  <c r="G10" i="156"/>
  <c r="G12" i="156"/>
  <c r="A16" i="156"/>
  <c r="B16" i="156"/>
  <c r="C16" i="156"/>
  <c r="D16" i="156"/>
  <c r="F16" i="156"/>
  <c r="H16" i="156"/>
  <c r="I16" i="156"/>
  <c r="A17" i="156"/>
  <c r="B17" i="156"/>
  <c r="C17" i="156"/>
  <c r="F17" i="156"/>
  <c r="H17" i="156"/>
  <c r="I17" i="156"/>
  <c r="J17" i="156"/>
  <c r="F18" i="156"/>
  <c r="G18" i="156"/>
  <c r="A19" i="156"/>
  <c r="B19" i="156"/>
  <c r="C19" i="156"/>
  <c r="D19" i="156"/>
  <c r="F19" i="156"/>
  <c r="H19" i="156"/>
  <c r="I19" i="156"/>
  <c r="J19" i="156"/>
  <c r="A20" i="156"/>
  <c r="B20" i="156"/>
  <c r="C20" i="156"/>
  <c r="F20" i="156"/>
  <c r="H20" i="156"/>
  <c r="I20" i="156"/>
  <c r="J20" i="156"/>
  <c r="F21" i="156"/>
  <c r="G21" i="156"/>
  <c r="A22" i="156"/>
  <c r="B22" i="156"/>
  <c r="C22" i="156"/>
  <c r="D22" i="156"/>
  <c r="F22" i="156"/>
  <c r="H22" i="156"/>
  <c r="I22" i="156"/>
  <c r="J22" i="156"/>
  <c r="A23" i="156"/>
  <c r="B23" i="156"/>
  <c r="C23" i="156"/>
  <c r="F23" i="156"/>
  <c r="F24" i="156" s="1"/>
  <c r="H23" i="156"/>
  <c r="J23" i="156" s="1"/>
  <c r="I23" i="156"/>
  <c r="G24" i="156"/>
  <c r="A25" i="156"/>
  <c r="B25" i="156"/>
  <c r="C25" i="156"/>
  <c r="D25" i="156"/>
  <c r="F25" i="156"/>
  <c r="H25" i="156"/>
  <c r="I25" i="156"/>
  <c r="J25" i="156"/>
  <c r="A26" i="156"/>
  <c r="B26" i="156"/>
  <c r="C26" i="156"/>
  <c r="I26" i="156" s="1"/>
  <c r="F26" i="156"/>
  <c r="F27" i="156"/>
  <c r="G27" i="156"/>
  <c r="A28" i="156"/>
  <c r="B28" i="156"/>
  <c r="C28" i="156"/>
  <c r="D28" i="156"/>
  <c r="D33" i="156" s="1"/>
  <c r="F33" i="156" s="1"/>
  <c r="F28" i="156"/>
  <c r="H28" i="156"/>
  <c r="I28" i="156"/>
  <c r="J28" i="156"/>
  <c r="A29" i="156"/>
  <c r="B29" i="156"/>
  <c r="C29" i="156"/>
  <c r="I29" i="156" s="1"/>
  <c r="J29" i="156" s="1"/>
  <c r="F29" i="156"/>
  <c r="F30" i="156" s="1"/>
  <c r="H29" i="156"/>
  <c r="G30" i="156"/>
  <c r="A33" i="156"/>
  <c r="B33" i="156"/>
  <c r="C33" i="156"/>
  <c r="G33" i="156"/>
  <c r="I33" i="156"/>
  <c r="A34" i="156"/>
  <c r="B34" i="156"/>
  <c r="C34" i="156"/>
  <c r="D34" i="156"/>
  <c r="F34" i="156"/>
  <c r="G34" i="156"/>
  <c r="H34" i="156"/>
  <c r="I34" i="156"/>
  <c r="J34" i="156"/>
  <c r="G35" i="156"/>
  <c r="G7" i="155"/>
  <c r="D7" i="155" s="1"/>
  <c r="F7" i="155" s="1"/>
  <c r="A8" i="155"/>
  <c r="D8" i="155"/>
  <c r="F8" i="155"/>
  <c r="G8" i="155"/>
  <c r="H8" i="155"/>
  <c r="I8" i="155"/>
  <c r="J8" i="155"/>
  <c r="A16" i="155"/>
  <c r="B16" i="155"/>
  <c r="C16" i="155"/>
  <c r="D16" i="155"/>
  <c r="F16" i="155"/>
  <c r="H16" i="155"/>
  <c r="I16" i="155"/>
  <c r="A17" i="155"/>
  <c r="B17" i="155"/>
  <c r="C17" i="155"/>
  <c r="F17" i="155"/>
  <c r="H17" i="155"/>
  <c r="I17" i="155"/>
  <c r="J17" i="155"/>
  <c r="F18" i="155"/>
  <c r="G18" i="155"/>
  <c r="A19" i="155"/>
  <c r="B19" i="155"/>
  <c r="C19" i="155"/>
  <c r="D19" i="155"/>
  <c r="F19" i="155"/>
  <c r="H19" i="155"/>
  <c r="I19" i="155"/>
  <c r="J19" i="155"/>
  <c r="A20" i="155"/>
  <c r="B20" i="155"/>
  <c r="C20" i="155"/>
  <c r="F20" i="155"/>
  <c r="H20" i="155"/>
  <c r="I20" i="155"/>
  <c r="J20" i="155"/>
  <c r="F21" i="155"/>
  <c r="G21" i="155"/>
  <c r="A22" i="155"/>
  <c r="B22" i="155"/>
  <c r="C22" i="155"/>
  <c r="D22" i="155"/>
  <c r="F22" i="155"/>
  <c r="H22" i="155"/>
  <c r="I22" i="155"/>
  <c r="J22" i="155"/>
  <c r="A23" i="155"/>
  <c r="B23" i="155"/>
  <c r="C23" i="155"/>
  <c r="F23" i="155"/>
  <c r="F24" i="155" s="1"/>
  <c r="H23" i="155"/>
  <c r="I23" i="155"/>
  <c r="J23" i="155"/>
  <c r="G24" i="155"/>
  <c r="A25" i="155"/>
  <c r="B25" i="155"/>
  <c r="C25" i="155"/>
  <c r="D25" i="155"/>
  <c r="F25" i="155"/>
  <c r="H25" i="155"/>
  <c r="I25" i="155"/>
  <c r="J25" i="155"/>
  <c r="A26" i="155"/>
  <c r="B26" i="155"/>
  <c r="C26" i="155"/>
  <c r="F26" i="155"/>
  <c r="H26" i="155"/>
  <c r="I26" i="155"/>
  <c r="J26" i="155"/>
  <c r="F27" i="155"/>
  <c r="G27" i="155"/>
  <c r="A28" i="155"/>
  <c r="B28" i="155"/>
  <c r="C28" i="155"/>
  <c r="D28" i="155"/>
  <c r="D33" i="155" s="1"/>
  <c r="F33" i="155" s="1"/>
  <c r="H33" i="155" s="1"/>
  <c r="J33" i="155" s="1"/>
  <c r="F28" i="155"/>
  <c r="H28" i="155"/>
  <c r="I28" i="155"/>
  <c r="J28" i="155"/>
  <c r="A29" i="155"/>
  <c r="B29" i="155"/>
  <c r="C29" i="155"/>
  <c r="I29" i="155" s="1"/>
  <c r="J29" i="155" s="1"/>
  <c r="F29" i="155"/>
  <c r="F30" i="155" s="1"/>
  <c r="H29" i="155"/>
  <c r="G30" i="155"/>
  <c r="A33" i="155"/>
  <c r="B33" i="155"/>
  <c r="C33" i="155"/>
  <c r="G33" i="155"/>
  <c r="I33" i="155"/>
  <c r="A34" i="155"/>
  <c r="B34" i="155"/>
  <c r="C34" i="155"/>
  <c r="D34" i="155"/>
  <c r="F34" i="155" s="1"/>
  <c r="G34" i="155"/>
  <c r="I34" i="155"/>
  <c r="G35" i="155"/>
  <c r="G34" i="153"/>
  <c r="G35" i="153" s="1"/>
  <c r="D34" i="153"/>
  <c r="F34" i="153" s="1"/>
  <c r="C34" i="153"/>
  <c r="B34" i="153"/>
  <c r="A34" i="153"/>
  <c r="G33" i="153"/>
  <c r="I33" i="153" s="1"/>
  <c r="C33" i="153"/>
  <c r="B33" i="153"/>
  <c r="A33" i="153"/>
  <c r="G30" i="153"/>
  <c r="F29" i="153"/>
  <c r="C29" i="153"/>
  <c r="I29" i="153" s="1"/>
  <c r="B29" i="153"/>
  <c r="A29" i="153"/>
  <c r="I28" i="153"/>
  <c r="D28" i="153"/>
  <c r="F28" i="153" s="1"/>
  <c r="H28" i="153" s="1"/>
  <c r="C28" i="153"/>
  <c r="B28" i="153"/>
  <c r="A28" i="153"/>
  <c r="G27" i="153"/>
  <c r="F26" i="153"/>
  <c r="H26" i="153" s="1"/>
  <c r="C26" i="153"/>
  <c r="I26" i="153" s="1"/>
  <c r="B26" i="153"/>
  <c r="A26" i="153"/>
  <c r="D25" i="153"/>
  <c r="F25" i="153" s="1"/>
  <c r="H25" i="153" s="1"/>
  <c r="C25" i="153"/>
  <c r="I25" i="153" s="1"/>
  <c r="J25" i="153" s="1"/>
  <c r="B25" i="153"/>
  <c r="A25" i="153"/>
  <c r="G24" i="153"/>
  <c r="F23" i="153"/>
  <c r="F24" i="153" s="1"/>
  <c r="C23" i="153"/>
  <c r="I23" i="153" s="1"/>
  <c r="B23" i="153"/>
  <c r="A23" i="153"/>
  <c r="D22" i="153"/>
  <c r="F22" i="153" s="1"/>
  <c r="H22" i="153" s="1"/>
  <c r="C22" i="153"/>
  <c r="I22" i="153" s="1"/>
  <c r="B22" i="153"/>
  <c r="A22" i="153"/>
  <c r="G21" i="153"/>
  <c r="F20" i="153"/>
  <c r="C20" i="153"/>
  <c r="I20" i="153" s="1"/>
  <c r="B20" i="153"/>
  <c r="A20" i="153"/>
  <c r="D19" i="153"/>
  <c r="D33" i="153" s="1"/>
  <c r="F33" i="153" s="1"/>
  <c r="H33" i="153" s="1"/>
  <c r="C19" i="153"/>
  <c r="I19" i="153" s="1"/>
  <c r="B19" i="153"/>
  <c r="A19" i="153"/>
  <c r="G18" i="153"/>
  <c r="F17" i="153"/>
  <c r="F18" i="153" s="1"/>
  <c r="C17" i="153"/>
  <c r="I17" i="153" s="1"/>
  <c r="B17" i="153"/>
  <c r="A17" i="153"/>
  <c r="I16" i="153"/>
  <c r="F16" i="153"/>
  <c r="H16" i="153" s="1"/>
  <c r="D16" i="153"/>
  <c r="C16" i="153"/>
  <c r="B16" i="153"/>
  <c r="A16" i="153"/>
  <c r="G12" i="153"/>
  <c r="G10" i="153"/>
  <c r="I8" i="153"/>
  <c r="G8" i="153"/>
  <c r="D8" i="153"/>
  <c r="F8" i="153" s="1"/>
  <c r="G7" i="153"/>
  <c r="I7" i="153" s="1"/>
  <c r="D7" i="153"/>
  <c r="F7" i="153" s="1"/>
  <c r="H33" i="169" l="1"/>
  <c r="J33" i="169" s="1"/>
  <c r="F35" i="169"/>
  <c r="F21" i="169"/>
  <c r="H19" i="169"/>
  <c r="J19" i="169" s="1"/>
  <c r="F10" i="168"/>
  <c r="H7" i="168"/>
  <c r="F12" i="168"/>
  <c r="F40" i="168"/>
  <c r="H38" i="168"/>
  <c r="H41" i="168"/>
  <c r="F43" i="168"/>
  <c r="F56" i="168"/>
  <c r="F93" i="168"/>
  <c r="G102" i="168"/>
  <c r="F102" i="168"/>
  <c r="F10" i="167"/>
  <c r="H7" i="167"/>
  <c r="F12" i="167"/>
  <c r="G12" i="167"/>
  <c r="J29" i="166"/>
  <c r="J22" i="166"/>
  <c r="J25" i="166"/>
  <c r="J20" i="166"/>
  <c r="H34" i="166"/>
  <c r="J34" i="166" s="1"/>
  <c r="F35" i="166"/>
  <c r="H7" i="166"/>
  <c r="F12" i="166"/>
  <c r="F30" i="166"/>
  <c r="I17" i="166"/>
  <c r="J17" i="166" s="1"/>
  <c r="G35" i="166"/>
  <c r="C26" i="166"/>
  <c r="F10" i="166"/>
  <c r="H33" i="165"/>
  <c r="J33" i="165" s="1"/>
  <c r="F35" i="165"/>
  <c r="F21" i="165"/>
  <c r="H19" i="165"/>
  <c r="J19" i="165" s="1"/>
  <c r="H7" i="165"/>
  <c r="F10" i="165"/>
  <c r="F12" i="165"/>
  <c r="I7" i="165"/>
  <c r="H33" i="164"/>
  <c r="J33" i="164" s="1"/>
  <c r="F35" i="164"/>
  <c r="F21" i="164"/>
  <c r="H19" i="164"/>
  <c r="J19" i="164" s="1"/>
  <c r="F12" i="164"/>
  <c r="H7" i="164"/>
  <c r="F10" i="164"/>
  <c r="F28" i="164"/>
  <c r="H28" i="164" s="1"/>
  <c r="J28" i="164" s="1"/>
  <c r="G10" i="164"/>
  <c r="I7" i="164"/>
  <c r="H33" i="163"/>
  <c r="J33" i="163" s="1"/>
  <c r="F35" i="163"/>
  <c r="J19" i="163"/>
  <c r="H7" i="163"/>
  <c r="F10" i="163"/>
  <c r="F12" i="163"/>
  <c r="I7" i="163"/>
  <c r="H33" i="162"/>
  <c r="J33" i="162" s="1"/>
  <c r="F35" i="162"/>
  <c r="F12" i="162"/>
  <c r="F10" i="162"/>
  <c r="H7" i="162"/>
  <c r="I7" i="162"/>
  <c r="F18" i="162"/>
  <c r="H8" i="161"/>
  <c r="F10" i="161"/>
  <c r="F27" i="161"/>
  <c r="J33" i="161"/>
  <c r="F12" i="161"/>
  <c r="H7" i="161"/>
  <c r="F35" i="161"/>
  <c r="H34" i="161"/>
  <c r="H17" i="161"/>
  <c r="J17" i="161" s="1"/>
  <c r="F24" i="161"/>
  <c r="F30" i="161"/>
  <c r="F19" i="161"/>
  <c r="H19" i="161" s="1"/>
  <c r="J19" i="161" s="1"/>
  <c r="I25" i="161"/>
  <c r="J25" i="161" s="1"/>
  <c r="H26" i="161"/>
  <c r="J26" i="161" s="1"/>
  <c r="G12" i="161"/>
  <c r="F21" i="161"/>
  <c r="I34" i="161"/>
  <c r="J34" i="161" s="1"/>
  <c r="I8" i="161"/>
  <c r="J8" i="161" s="1"/>
  <c r="H33" i="160"/>
  <c r="J33" i="160" s="1"/>
  <c r="F35" i="160"/>
  <c r="H25" i="160"/>
  <c r="J25" i="160" s="1"/>
  <c r="F27" i="160"/>
  <c r="F10" i="160"/>
  <c r="F12" i="160"/>
  <c r="H7" i="160"/>
  <c r="H19" i="159"/>
  <c r="J19" i="159" s="1"/>
  <c r="F21" i="159"/>
  <c r="F35" i="159"/>
  <c r="H33" i="159"/>
  <c r="J33" i="159" s="1"/>
  <c r="H7" i="159"/>
  <c r="F10" i="159"/>
  <c r="F12" i="159"/>
  <c r="H17" i="159"/>
  <c r="J17" i="159" s="1"/>
  <c r="I7" i="159"/>
  <c r="H33" i="158"/>
  <c r="J33" i="158" s="1"/>
  <c r="F35" i="158"/>
  <c r="J34" i="158"/>
  <c r="H7" i="158"/>
  <c r="F12" i="158"/>
  <c r="F10" i="158"/>
  <c r="I28" i="158"/>
  <c r="J28" i="158" s="1"/>
  <c r="F35" i="157"/>
  <c r="H33" i="157"/>
  <c r="J33" i="157" s="1"/>
  <c r="F10" i="157"/>
  <c r="H7" i="157"/>
  <c r="F12" i="157"/>
  <c r="H33" i="156"/>
  <c r="J33" i="156" s="1"/>
  <c r="F35" i="156"/>
  <c r="F10" i="156"/>
  <c r="F12" i="156"/>
  <c r="H7" i="156"/>
  <c r="H26" i="156"/>
  <c r="J26" i="156" s="1"/>
  <c r="I7" i="156"/>
  <c r="H34" i="155"/>
  <c r="J34" i="155" s="1"/>
  <c r="F35" i="155"/>
  <c r="F12" i="155"/>
  <c r="H7" i="155"/>
  <c r="F10" i="155"/>
  <c r="G10" i="155"/>
  <c r="I7" i="155"/>
  <c r="G12" i="155"/>
  <c r="F12" i="153"/>
  <c r="H7" i="153"/>
  <c r="H8" i="153"/>
  <c r="F10" i="153"/>
  <c r="J8" i="153"/>
  <c r="J26" i="153"/>
  <c r="F30" i="153"/>
  <c r="J22" i="153"/>
  <c r="J28" i="153"/>
  <c r="J33" i="153"/>
  <c r="F35" i="153"/>
  <c r="H34" i="153"/>
  <c r="H17" i="153"/>
  <c r="J17" i="153" s="1"/>
  <c r="H23" i="153"/>
  <c r="J23" i="153" s="1"/>
  <c r="H29" i="153"/>
  <c r="J29" i="153" s="1"/>
  <c r="F19" i="153"/>
  <c r="H19" i="153" s="1"/>
  <c r="J19" i="153" s="1"/>
  <c r="H20" i="153"/>
  <c r="J20" i="153" s="1"/>
  <c r="F27" i="153"/>
  <c r="I34" i="153"/>
  <c r="J34" i="153" s="1"/>
  <c r="H26" i="166" l="1"/>
  <c r="I26" i="166"/>
  <c r="J26" i="166" s="1"/>
  <c r="F30" i="164"/>
  <c r="F21" i="153"/>
  <c r="G34" i="152" l="1"/>
  <c r="D34" i="152"/>
  <c r="F34" i="152" s="1"/>
  <c r="C34" i="152"/>
  <c r="B34" i="152"/>
  <c r="A34" i="152"/>
  <c r="G33" i="152"/>
  <c r="C33" i="152"/>
  <c r="B33" i="152"/>
  <c r="A33" i="152"/>
  <c r="G30" i="152"/>
  <c r="F29" i="152"/>
  <c r="C29" i="152"/>
  <c r="H29" i="152" s="1"/>
  <c r="B29" i="152"/>
  <c r="A29" i="152"/>
  <c r="D28" i="152"/>
  <c r="C28" i="152"/>
  <c r="I28" i="152" s="1"/>
  <c r="B28" i="152"/>
  <c r="A28" i="152"/>
  <c r="G27" i="152"/>
  <c r="F26" i="152"/>
  <c r="C26" i="152"/>
  <c r="I26" i="152" s="1"/>
  <c r="B26" i="152"/>
  <c r="A26" i="152"/>
  <c r="I25" i="152"/>
  <c r="D25" i="152"/>
  <c r="F25" i="152" s="1"/>
  <c r="H25" i="152" s="1"/>
  <c r="B25" i="152"/>
  <c r="A25" i="152"/>
  <c r="G24" i="152"/>
  <c r="F23" i="152"/>
  <c r="C23" i="152"/>
  <c r="I23" i="152" s="1"/>
  <c r="B23" i="152"/>
  <c r="A23" i="152"/>
  <c r="D22" i="152"/>
  <c r="F22" i="152" s="1"/>
  <c r="C22" i="152"/>
  <c r="I22" i="152" s="1"/>
  <c r="B22" i="152"/>
  <c r="A22" i="152"/>
  <c r="G21" i="152"/>
  <c r="F20" i="152"/>
  <c r="C20" i="152"/>
  <c r="I20" i="152" s="1"/>
  <c r="B20" i="152"/>
  <c r="A20" i="152"/>
  <c r="D19" i="152"/>
  <c r="F19" i="152" s="1"/>
  <c r="F21" i="152" s="1"/>
  <c r="C19" i="152"/>
  <c r="I19" i="152" s="1"/>
  <c r="B19" i="152"/>
  <c r="A19" i="152"/>
  <c r="G18" i="152"/>
  <c r="F17" i="152"/>
  <c r="C17" i="152"/>
  <c r="I17" i="152" s="1"/>
  <c r="B17" i="152"/>
  <c r="A17" i="152"/>
  <c r="D16" i="152"/>
  <c r="F16" i="152" s="1"/>
  <c r="C16" i="152"/>
  <c r="I16" i="152" s="1"/>
  <c r="B16" i="152"/>
  <c r="A16" i="152"/>
  <c r="G8" i="152"/>
  <c r="D8" i="152"/>
  <c r="F8" i="152" s="1"/>
  <c r="C8" i="152"/>
  <c r="B8" i="152"/>
  <c r="A8" i="152"/>
  <c r="G7" i="152"/>
  <c r="I7" i="152" s="1"/>
  <c r="G34" i="151"/>
  <c r="D34" i="151"/>
  <c r="F34" i="151" s="1"/>
  <c r="C34" i="151"/>
  <c r="B34" i="151"/>
  <c r="A34" i="151"/>
  <c r="G33" i="151"/>
  <c r="C33" i="151"/>
  <c r="B33" i="151"/>
  <c r="A33" i="151"/>
  <c r="G30" i="151"/>
  <c r="F29" i="151"/>
  <c r="C29" i="151"/>
  <c r="I29" i="151" s="1"/>
  <c r="B29" i="151"/>
  <c r="A29" i="151"/>
  <c r="D28" i="151"/>
  <c r="F28" i="151" s="1"/>
  <c r="C28" i="151"/>
  <c r="I28" i="151" s="1"/>
  <c r="B28" i="151"/>
  <c r="A28" i="151"/>
  <c r="G27" i="151"/>
  <c r="F26" i="151"/>
  <c r="C26" i="151"/>
  <c r="I26" i="151" s="1"/>
  <c r="B26" i="151"/>
  <c r="A26" i="151"/>
  <c r="I25" i="151"/>
  <c r="D25" i="151"/>
  <c r="F25" i="151" s="1"/>
  <c r="H25" i="151" s="1"/>
  <c r="B25" i="151"/>
  <c r="A25" i="151"/>
  <c r="G24" i="151"/>
  <c r="F23" i="151"/>
  <c r="C23" i="151"/>
  <c r="I23" i="151" s="1"/>
  <c r="B23" i="151"/>
  <c r="A23" i="151"/>
  <c r="D22" i="151"/>
  <c r="F22" i="151" s="1"/>
  <c r="C22" i="151"/>
  <c r="I22" i="151" s="1"/>
  <c r="B22" i="151"/>
  <c r="A22" i="151"/>
  <c r="G21" i="151"/>
  <c r="F20" i="151"/>
  <c r="C20" i="151"/>
  <c r="I20" i="151" s="1"/>
  <c r="B20" i="151"/>
  <c r="A20" i="151"/>
  <c r="D19" i="151"/>
  <c r="F19" i="151" s="1"/>
  <c r="C19" i="151"/>
  <c r="I19" i="151" s="1"/>
  <c r="B19" i="151"/>
  <c r="A19" i="151"/>
  <c r="G18" i="151"/>
  <c r="F17" i="151"/>
  <c r="C17" i="151"/>
  <c r="I17" i="151" s="1"/>
  <c r="B17" i="151"/>
  <c r="A17" i="151"/>
  <c r="D16" i="151"/>
  <c r="F16" i="151" s="1"/>
  <c r="C16" i="151"/>
  <c r="I16" i="151" s="1"/>
  <c r="B16" i="151"/>
  <c r="A16" i="151"/>
  <c r="G8" i="151"/>
  <c r="D8" i="151"/>
  <c r="F8" i="151" s="1"/>
  <c r="C8" i="151"/>
  <c r="B8" i="151"/>
  <c r="G7" i="151"/>
  <c r="G34" i="150"/>
  <c r="D34" i="150"/>
  <c r="F34" i="150" s="1"/>
  <c r="C34" i="150"/>
  <c r="B34" i="150"/>
  <c r="A34" i="150"/>
  <c r="G33" i="150"/>
  <c r="C33" i="150"/>
  <c r="B33" i="150"/>
  <c r="A33" i="150"/>
  <c r="G30" i="150"/>
  <c r="F29" i="150"/>
  <c r="C29" i="150"/>
  <c r="I29" i="150" s="1"/>
  <c r="B29" i="150"/>
  <c r="A29" i="150"/>
  <c r="D28" i="150"/>
  <c r="F28" i="150" s="1"/>
  <c r="C28" i="150"/>
  <c r="I28" i="150" s="1"/>
  <c r="B28" i="150"/>
  <c r="A28" i="150"/>
  <c r="G27" i="150"/>
  <c r="F26" i="150"/>
  <c r="C26" i="150"/>
  <c r="I26" i="150" s="1"/>
  <c r="B26" i="150"/>
  <c r="A26" i="150"/>
  <c r="I25" i="150"/>
  <c r="D25" i="150"/>
  <c r="F25" i="150" s="1"/>
  <c r="H25" i="150" s="1"/>
  <c r="B25" i="150"/>
  <c r="A25" i="150"/>
  <c r="G24" i="150"/>
  <c r="F23" i="150"/>
  <c r="C23" i="150"/>
  <c r="I23" i="150" s="1"/>
  <c r="B23" i="150"/>
  <c r="A23" i="150"/>
  <c r="D22" i="150"/>
  <c r="F22" i="150" s="1"/>
  <c r="C22" i="150"/>
  <c r="I22" i="150" s="1"/>
  <c r="B22" i="150"/>
  <c r="A22" i="150"/>
  <c r="G21" i="150"/>
  <c r="F20" i="150"/>
  <c r="C20" i="150"/>
  <c r="I20" i="150" s="1"/>
  <c r="B20" i="150"/>
  <c r="A20" i="150"/>
  <c r="D19" i="150"/>
  <c r="F19" i="150" s="1"/>
  <c r="C19" i="150"/>
  <c r="I19" i="150" s="1"/>
  <c r="B19" i="150"/>
  <c r="A19" i="150"/>
  <c r="G18" i="150"/>
  <c r="F17" i="150"/>
  <c r="C17" i="150"/>
  <c r="I17" i="150" s="1"/>
  <c r="B17" i="150"/>
  <c r="A17" i="150"/>
  <c r="D16" i="150"/>
  <c r="F16" i="150" s="1"/>
  <c r="C16" i="150"/>
  <c r="I16" i="150" s="1"/>
  <c r="B16" i="150"/>
  <c r="A16" i="150"/>
  <c r="G8" i="150"/>
  <c r="D8" i="150"/>
  <c r="F8" i="150" s="1"/>
  <c r="C8" i="150"/>
  <c r="B8" i="150"/>
  <c r="A8" i="150"/>
  <c r="G7" i="150"/>
  <c r="I7" i="150" s="1"/>
  <c r="G34" i="149"/>
  <c r="D34" i="149"/>
  <c r="F34" i="149" s="1"/>
  <c r="C34" i="149"/>
  <c r="B34" i="149"/>
  <c r="A34" i="149"/>
  <c r="G33" i="149"/>
  <c r="C33" i="149"/>
  <c r="B33" i="149"/>
  <c r="A33" i="149"/>
  <c r="G30" i="149"/>
  <c r="F29" i="149"/>
  <c r="C29" i="149"/>
  <c r="I29" i="149" s="1"/>
  <c r="B29" i="149"/>
  <c r="A29" i="149"/>
  <c r="D28" i="149"/>
  <c r="C28" i="149"/>
  <c r="B28" i="149"/>
  <c r="A28" i="149"/>
  <c r="G27" i="149"/>
  <c r="F26" i="149"/>
  <c r="C26" i="149"/>
  <c r="I26" i="149" s="1"/>
  <c r="B26" i="149"/>
  <c r="A26" i="149"/>
  <c r="I25" i="149"/>
  <c r="D25" i="149"/>
  <c r="F25" i="149" s="1"/>
  <c r="B25" i="149"/>
  <c r="A25" i="149"/>
  <c r="G24" i="149"/>
  <c r="F23" i="149"/>
  <c r="F24" i="149" s="1"/>
  <c r="C23" i="149"/>
  <c r="I23" i="149" s="1"/>
  <c r="B23" i="149"/>
  <c r="A23" i="149"/>
  <c r="D22" i="149"/>
  <c r="F22" i="149" s="1"/>
  <c r="C22" i="149"/>
  <c r="I22" i="149" s="1"/>
  <c r="B22" i="149"/>
  <c r="A22" i="149"/>
  <c r="G21" i="149"/>
  <c r="F20" i="149"/>
  <c r="C20" i="149"/>
  <c r="I20" i="149" s="1"/>
  <c r="B20" i="149"/>
  <c r="A20" i="149"/>
  <c r="D19" i="149"/>
  <c r="F19" i="149" s="1"/>
  <c r="C19" i="149"/>
  <c r="I19" i="149" s="1"/>
  <c r="B19" i="149"/>
  <c r="A19" i="149"/>
  <c r="G18" i="149"/>
  <c r="F17" i="149"/>
  <c r="C17" i="149"/>
  <c r="I17" i="149" s="1"/>
  <c r="B17" i="149"/>
  <c r="A17" i="149"/>
  <c r="D16" i="149"/>
  <c r="F16" i="149" s="1"/>
  <c r="C16" i="149"/>
  <c r="I16" i="149" s="1"/>
  <c r="B16" i="149"/>
  <c r="A16" i="149"/>
  <c r="G8" i="149"/>
  <c r="D8" i="149"/>
  <c r="F8" i="149" s="1"/>
  <c r="C8" i="149"/>
  <c r="B8" i="149"/>
  <c r="A8" i="149"/>
  <c r="G7" i="149"/>
  <c r="D7" i="149" s="1"/>
  <c r="F7" i="149" s="1"/>
  <c r="G34" i="148"/>
  <c r="D34" i="148"/>
  <c r="F34" i="148" s="1"/>
  <c r="C34" i="148"/>
  <c r="B34" i="148"/>
  <c r="A34" i="148"/>
  <c r="G33" i="148"/>
  <c r="C33" i="148"/>
  <c r="B33" i="148"/>
  <c r="A33" i="148"/>
  <c r="G30" i="148"/>
  <c r="F29" i="148"/>
  <c r="C29" i="148"/>
  <c r="I29" i="148" s="1"/>
  <c r="B29" i="148"/>
  <c r="A29" i="148"/>
  <c r="D28" i="148"/>
  <c r="C28" i="148"/>
  <c r="I28" i="148" s="1"/>
  <c r="B28" i="148"/>
  <c r="A28" i="148"/>
  <c r="G27" i="148"/>
  <c r="F26" i="148"/>
  <c r="C26" i="148"/>
  <c r="I26" i="148" s="1"/>
  <c r="B26" i="148"/>
  <c r="A26" i="148"/>
  <c r="I25" i="148"/>
  <c r="D25" i="148"/>
  <c r="F25" i="148" s="1"/>
  <c r="H25" i="148" s="1"/>
  <c r="B25" i="148"/>
  <c r="A25" i="148"/>
  <c r="G24" i="148"/>
  <c r="F23" i="148"/>
  <c r="C23" i="148"/>
  <c r="I23" i="148" s="1"/>
  <c r="B23" i="148"/>
  <c r="A23" i="148"/>
  <c r="D22" i="148"/>
  <c r="F22" i="148" s="1"/>
  <c r="C22" i="148"/>
  <c r="B22" i="148"/>
  <c r="A22" i="148"/>
  <c r="G21" i="148"/>
  <c r="F20" i="148"/>
  <c r="C20" i="148"/>
  <c r="I20" i="148" s="1"/>
  <c r="B20" i="148"/>
  <c r="A20" i="148"/>
  <c r="D19" i="148"/>
  <c r="F19" i="148" s="1"/>
  <c r="C19" i="148"/>
  <c r="I19" i="148" s="1"/>
  <c r="B19" i="148"/>
  <c r="A19" i="148"/>
  <c r="G18" i="148"/>
  <c r="F17" i="148"/>
  <c r="C17" i="148"/>
  <c r="I17" i="148" s="1"/>
  <c r="B17" i="148"/>
  <c r="A17" i="148"/>
  <c r="D16" i="148"/>
  <c r="F16" i="148" s="1"/>
  <c r="F18" i="148" s="1"/>
  <c r="C16" i="148"/>
  <c r="I16" i="148" s="1"/>
  <c r="B16" i="148"/>
  <c r="A16" i="148"/>
  <c r="G8" i="148"/>
  <c r="D8" i="148"/>
  <c r="F8" i="148" s="1"/>
  <c r="C8" i="148"/>
  <c r="B8" i="148"/>
  <c r="A8" i="148"/>
  <c r="G7" i="148"/>
  <c r="G34" i="147"/>
  <c r="D34" i="147"/>
  <c r="F34" i="147" s="1"/>
  <c r="C34" i="147"/>
  <c r="B34" i="147"/>
  <c r="A34" i="147"/>
  <c r="G33" i="147"/>
  <c r="C33" i="147"/>
  <c r="B33" i="147"/>
  <c r="A33" i="147"/>
  <c r="G30" i="147"/>
  <c r="F29" i="147"/>
  <c r="C29" i="147"/>
  <c r="I29" i="147" s="1"/>
  <c r="B29" i="147"/>
  <c r="A29" i="147"/>
  <c r="D28" i="147"/>
  <c r="F28" i="147" s="1"/>
  <c r="H28" i="147" s="1"/>
  <c r="C28" i="147"/>
  <c r="I28" i="147" s="1"/>
  <c r="B28" i="147"/>
  <c r="A28" i="147"/>
  <c r="G27" i="147"/>
  <c r="F26" i="147"/>
  <c r="C26" i="147"/>
  <c r="I26" i="147" s="1"/>
  <c r="B26" i="147"/>
  <c r="A26" i="147"/>
  <c r="I25" i="147"/>
  <c r="D25" i="147"/>
  <c r="F25" i="147" s="1"/>
  <c r="H25" i="147" s="1"/>
  <c r="B25" i="147"/>
  <c r="A25" i="147"/>
  <c r="G24" i="147"/>
  <c r="F23" i="147"/>
  <c r="C23" i="147"/>
  <c r="I23" i="147" s="1"/>
  <c r="B23" i="147"/>
  <c r="A23" i="147"/>
  <c r="D22" i="147"/>
  <c r="F22" i="147" s="1"/>
  <c r="C22" i="147"/>
  <c r="I22" i="147" s="1"/>
  <c r="B22" i="147"/>
  <c r="A22" i="147"/>
  <c r="G21" i="147"/>
  <c r="F20" i="147"/>
  <c r="C20" i="147"/>
  <c r="I20" i="147" s="1"/>
  <c r="B20" i="147"/>
  <c r="A20" i="147"/>
  <c r="D19" i="147"/>
  <c r="F19" i="147" s="1"/>
  <c r="C19" i="147"/>
  <c r="I19" i="147" s="1"/>
  <c r="B19" i="147"/>
  <c r="A19" i="147"/>
  <c r="G18" i="147"/>
  <c r="F17" i="147"/>
  <c r="C17" i="147"/>
  <c r="I17" i="147" s="1"/>
  <c r="B17" i="147"/>
  <c r="A17" i="147"/>
  <c r="D16" i="147"/>
  <c r="F16" i="147" s="1"/>
  <c r="C16" i="147"/>
  <c r="B16" i="147"/>
  <c r="A16" i="147"/>
  <c r="G8" i="147"/>
  <c r="D8" i="147"/>
  <c r="F8" i="147" s="1"/>
  <c r="C8" i="147"/>
  <c r="B8" i="147"/>
  <c r="G7" i="147"/>
  <c r="G34" i="146"/>
  <c r="D34" i="146"/>
  <c r="F34" i="146" s="1"/>
  <c r="C34" i="146"/>
  <c r="B34" i="146"/>
  <c r="A34" i="146"/>
  <c r="G33" i="146"/>
  <c r="C33" i="146"/>
  <c r="B33" i="146"/>
  <c r="A33" i="146"/>
  <c r="G30" i="146"/>
  <c r="F29" i="146"/>
  <c r="C29" i="146"/>
  <c r="I29" i="146" s="1"/>
  <c r="B29" i="146"/>
  <c r="A29" i="146"/>
  <c r="D28" i="146"/>
  <c r="F28" i="146" s="1"/>
  <c r="C28" i="146"/>
  <c r="I28" i="146" s="1"/>
  <c r="B28" i="146"/>
  <c r="A28" i="146"/>
  <c r="G27" i="146"/>
  <c r="F26" i="146"/>
  <c r="C26" i="146"/>
  <c r="I26" i="146" s="1"/>
  <c r="B26" i="146"/>
  <c r="A26" i="146"/>
  <c r="I25" i="146"/>
  <c r="D25" i="146"/>
  <c r="F25" i="146" s="1"/>
  <c r="B25" i="146"/>
  <c r="A25" i="146"/>
  <c r="F23" i="146"/>
  <c r="C23" i="146"/>
  <c r="I23" i="146" s="1"/>
  <c r="B23" i="146"/>
  <c r="A23" i="146"/>
  <c r="D22" i="146"/>
  <c r="C22" i="146"/>
  <c r="I22" i="146" s="1"/>
  <c r="B22" i="146"/>
  <c r="A22" i="146"/>
  <c r="G21" i="146"/>
  <c r="F20" i="146"/>
  <c r="C20" i="146"/>
  <c r="I20" i="146" s="1"/>
  <c r="B20" i="146"/>
  <c r="A20" i="146"/>
  <c r="D19" i="146"/>
  <c r="F19" i="146" s="1"/>
  <c r="C19" i="146"/>
  <c r="I19" i="146" s="1"/>
  <c r="B19" i="146"/>
  <c r="A19" i="146"/>
  <c r="G18" i="146"/>
  <c r="F17" i="146"/>
  <c r="C17" i="146"/>
  <c r="I17" i="146" s="1"/>
  <c r="B17" i="146"/>
  <c r="A17" i="146"/>
  <c r="D16" i="146"/>
  <c r="F16" i="146" s="1"/>
  <c r="C16" i="146"/>
  <c r="I16" i="146" s="1"/>
  <c r="B16" i="146"/>
  <c r="A16" i="146"/>
  <c r="G8" i="146"/>
  <c r="D8" i="146"/>
  <c r="F8" i="146" s="1"/>
  <c r="C8" i="146"/>
  <c r="A8" i="146"/>
  <c r="G7" i="146"/>
  <c r="G34" i="145"/>
  <c r="D34" i="145"/>
  <c r="F34" i="145" s="1"/>
  <c r="C34" i="145"/>
  <c r="B34" i="145"/>
  <c r="A34" i="145"/>
  <c r="G33" i="145"/>
  <c r="C33" i="145"/>
  <c r="B33" i="145"/>
  <c r="A33" i="145"/>
  <c r="G30" i="145"/>
  <c r="F29" i="145"/>
  <c r="C29" i="145"/>
  <c r="I29" i="145" s="1"/>
  <c r="B29" i="145"/>
  <c r="A29" i="145"/>
  <c r="D28" i="145"/>
  <c r="F28" i="145" s="1"/>
  <c r="H28" i="145" s="1"/>
  <c r="C28" i="145"/>
  <c r="I28" i="145" s="1"/>
  <c r="B28" i="145"/>
  <c r="A28" i="145"/>
  <c r="G27" i="145"/>
  <c r="F26" i="145"/>
  <c r="C26" i="145"/>
  <c r="I26" i="145" s="1"/>
  <c r="B26" i="145"/>
  <c r="A26" i="145"/>
  <c r="I25" i="145"/>
  <c r="D25" i="145"/>
  <c r="F25" i="145" s="1"/>
  <c r="H25" i="145" s="1"/>
  <c r="J25" i="145" s="1"/>
  <c r="B25" i="145"/>
  <c r="A25" i="145"/>
  <c r="G24" i="145"/>
  <c r="F23" i="145"/>
  <c r="C23" i="145"/>
  <c r="I23" i="145" s="1"/>
  <c r="B23" i="145"/>
  <c r="A23" i="145"/>
  <c r="D22" i="145"/>
  <c r="F22" i="145" s="1"/>
  <c r="C22" i="145"/>
  <c r="I22" i="145" s="1"/>
  <c r="B22" i="145"/>
  <c r="A22" i="145"/>
  <c r="G21" i="145"/>
  <c r="F20" i="145"/>
  <c r="C20" i="145"/>
  <c r="I20" i="145" s="1"/>
  <c r="B20" i="145"/>
  <c r="A20" i="145"/>
  <c r="D19" i="145"/>
  <c r="D33" i="145" s="1"/>
  <c r="F33" i="145" s="1"/>
  <c r="H33" i="145" s="1"/>
  <c r="C19" i="145"/>
  <c r="I19" i="145" s="1"/>
  <c r="B19" i="145"/>
  <c r="A19" i="145"/>
  <c r="G18" i="145"/>
  <c r="F17" i="145"/>
  <c r="C17" i="145"/>
  <c r="I17" i="145" s="1"/>
  <c r="B17" i="145"/>
  <c r="A17" i="145"/>
  <c r="D16" i="145"/>
  <c r="F16" i="145" s="1"/>
  <c r="C16" i="145"/>
  <c r="I16" i="145" s="1"/>
  <c r="B16" i="145"/>
  <c r="A16" i="145"/>
  <c r="G8" i="145"/>
  <c r="D8" i="145"/>
  <c r="F8" i="145" s="1"/>
  <c r="C8" i="145"/>
  <c r="B8" i="145"/>
  <c r="G7" i="145"/>
  <c r="D7" i="145" s="1"/>
  <c r="F7" i="145" s="1"/>
  <c r="G34" i="144"/>
  <c r="D34" i="144"/>
  <c r="F34" i="144" s="1"/>
  <c r="C34" i="144"/>
  <c r="B34" i="144"/>
  <c r="A34" i="144"/>
  <c r="G33" i="144"/>
  <c r="C33" i="144"/>
  <c r="B33" i="144"/>
  <c r="A33" i="144"/>
  <c r="F29" i="144"/>
  <c r="C29" i="144"/>
  <c r="I29" i="144" s="1"/>
  <c r="B29" i="144"/>
  <c r="A29" i="144"/>
  <c r="D28" i="144"/>
  <c r="F28" i="144" s="1"/>
  <c r="C28" i="144"/>
  <c r="I28" i="144" s="1"/>
  <c r="B28" i="144"/>
  <c r="A28" i="144"/>
  <c r="G27" i="144"/>
  <c r="F26" i="144"/>
  <c r="C26" i="144"/>
  <c r="I26" i="144" s="1"/>
  <c r="B26" i="144"/>
  <c r="A26" i="144"/>
  <c r="I25" i="144"/>
  <c r="D25" i="144"/>
  <c r="F25" i="144" s="1"/>
  <c r="H25" i="144" s="1"/>
  <c r="B25" i="144"/>
  <c r="A25" i="144"/>
  <c r="G24" i="144"/>
  <c r="F23" i="144"/>
  <c r="C23" i="144"/>
  <c r="I23" i="144" s="1"/>
  <c r="B23" i="144"/>
  <c r="A23" i="144"/>
  <c r="D22" i="144"/>
  <c r="F22" i="144" s="1"/>
  <c r="C22" i="144"/>
  <c r="I22" i="144" s="1"/>
  <c r="B22" i="144"/>
  <c r="A22" i="144"/>
  <c r="G21" i="144"/>
  <c r="F20" i="144"/>
  <c r="C20" i="144"/>
  <c r="I20" i="144" s="1"/>
  <c r="B20" i="144"/>
  <c r="A20" i="144"/>
  <c r="D19" i="144"/>
  <c r="F19" i="144" s="1"/>
  <c r="C19" i="144"/>
  <c r="I19" i="144" s="1"/>
  <c r="B19" i="144"/>
  <c r="A19" i="144"/>
  <c r="G18" i="144"/>
  <c r="F17" i="144"/>
  <c r="C17" i="144"/>
  <c r="I17" i="144" s="1"/>
  <c r="B17" i="144"/>
  <c r="A17" i="144"/>
  <c r="D16" i="144"/>
  <c r="F16" i="144" s="1"/>
  <c r="C16" i="144"/>
  <c r="I16" i="144" s="1"/>
  <c r="B16" i="144"/>
  <c r="A16" i="144"/>
  <c r="G8" i="144"/>
  <c r="D8" i="144"/>
  <c r="F8" i="144" s="1"/>
  <c r="C8" i="144"/>
  <c r="B8" i="144"/>
  <c r="G7" i="144"/>
  <c r="I7" i="144" s="1"/>
  <c r="G34" i="143"/>
  <c r="D34" i="143"/>
  <c r="F34" i="143" s="1"/>
  <c r="C34" i="143"/>
  <c r="B34" i="143"/>
  <c r="A34" i="143"/>
  <c r="G33" i="143"/>
  <c r="C33" i="143"/>
  <c r="B33" i="143"/>
  <c r="A33" i="143"/>
  <c r="F29" i="143"/>
  <c r="C29" i="143"/>
  <c r="I29" i="143" s="1"/>
  <c r="B29" i="143"/>
  <c r="A29" i="143"/>
  <c r="D28" i="143"/>
  <c r="F28" i="143" s="1"/>
  <c r="C28" i="143"/>
  <c r="I28" i="143" s="1"/>
  <c r="B28" i="143"/>
  <c r="A28" i="143"/>
  <c r="G27" i="143"/>
  <c r="F26" i="143"/>
  <c r="C26" i="143"/>
  <c r="I26" i="143" s="1"/>
  <c r="B26" i="143"/>
  <c r="A26" i="143"/>
  <c r="I25" i="143"/>
  <c r="D25" i="143"/>
  <c r="F25" i="143" s="1"/>
  <c r="H25" i="143" s="1"/>
  <c r="B25" i="143"/>
  <c r="A25" i="143"/>
  <c r="G24" i="143"/>
  <c r="F23" i="143"/>
  <c r="C23" i="143"/>
  <c r="I23" i="143" s="1"/>
  <c r="B23" i="143"/>
  <c r="A23" i="143"/>
  <c r="D22" i="143"/>
  <c r="F22" i="143" s="1"/>
  <c r="C22" i="143"/>
  <c r="I22" i="143" s="1"/>
  <c r="B22" i="143"/>
  <c r="A22" i="143"/>
  <c r="F20" i="143"/>
  <c r="C20" i="143"/>
  <c r="I20" i="143" s="1"/>
  <c r="B20" i="143"/>
  <c r="A20" i="143"/>
  <c r="D19" i="143"/>
  <c r="F19" i="143" s="1"/>
  <c r="C19" i="143"/>
  <c r="I19" i="143" s="1"/>
  <c r="B19" i="143"/>
  <c r="A19" i="143"/>
  <c r="G18" i="143"/>
  <c r="F17" i="143"/>
  <c r="C17" i="143"/>
  <c r="I17" i="143" s="1"/>
  <c r="B17" i="143"/>
  <c r="A17" i="143"/>
  <c r="D16" i="143"/>
  <c r="F16" i="143" s="1"/>
  <c r="C16" i="143"/>
  <c r="I16" i="143" s="1"/>
  <c r="B16" i="143"/>
  <c r="A16" i="143"/>
  <c r="G8" i="143"/>
  <c r="D8" i="143"/>
  <c r="F8" i="143" s="1"/>
  <c r="C8" i="143"/>
  <c r="B8" i="143"/>
  <c r="A8" i="143"/>
  <c r="G7" i="143"/>
  <c r="D7" i="143" s="1"/>
  <c r="F7" i="143" s="1"/>
  <c r="G34" i="142"/>
  <c r="D34" i="142"/>
  <c r="F34" i="142" s="1"/>
  <c r="C34" i="142"/>
  <c r="B34" i="142"/>
  <c r="A34" i="142"/>
  <c r="G33" i="142"/>
  <c r="C33" i="142"/>
  <c r="B33" i="142"/>
  <c r="A33" i="142"/>
  <c r="G30" i="142"/>
  <c r="F29" i="142"/>
  <c r="C29" i="142"/>
  <c r="I29" i="142" s="1"/>
  <c r="B29" i="142"/>
  <c r="A29" i="142"/>
  <c r="D28" i="142"/>
  <c r="F28" i="142" s="1"/>
  <c r="C28" i="142"/>
  <c r="I28" i="142" s="1"/>
  <c r="B28" i="142"/>
  <c r="A28" i="142"/>
  <c r="G27" i="142"/>
  <c r="F26" i="142"/>
  <c r="C26" i="142"/>
  <c r="H26" i="142" s="1"/>
  <c r="D39" i="142" s="1"/>
  <c r="B26" i="142"/>
  <c r="A26" i="142"/>
  <c r="I25" i="142"/>
  <c r="D25" i="142"/>
  <c r="F25" i="142" s="1"/>
  <c r="H25" i="142" s="1"/>
  <c r="B25" i="142"/>
  <c r="A25" i="142"/>
  <c r="G24" i="142"/>
  <c r="F23" i="142"/>
  <c r="C23" i="142"/>
  <c r="H23" i="142" s="1"/>
  <c r="B23" i="142"/>
  <c r="A23" i="142"/>
  <c r="D22" i="142"/>
  <c r="F22" i="142" s="1"/>
  <c r="C22" i="142"/>
  <c r="I22" i="142" s="1"/>
  <c r="B22" i="142"/>
  <c r="A22" i="142"/>
  <c r="G21" i="142"/>
  <c r="F20" i="142"/>
  <c r="C20" i="142"/>
  <c r="I20" i="142" s="1"/>
  <c r="B20" i="142"/>
  <c r="A20" i="142"/>
  <c r="D19" i="142"/>
  <c r="F19" i="142" s="1"/>
  <c r="C19" i="142"/>
  <c r="I19" i="142" s="1"/>
  <c r="B19" i="142"/>
  <c r="A19" i="142"/>
  <c r="G18" i="142"/>
  <c r="F17" i="142"/>
  <c r="C17" i="142"/>
  <c r="I17" i="142" s="1"/>
  <c r="B17" i="142"/>
  <c r="A17" i="142"/>
  <c r="D16" i="142"/>
  <c r="F16" i="142" s="1"/>
  <c r="C16" i="142"/>
  <c r="I16" i="142" s="1"/>
  <c r="B16" i="142"/>
  <c r="A16" i="142"/>
  <c r="G8" i="142"/>
  <c r="D8" i="142"/>
  <c r="F8" i="142" s="1"/>
  <c r="C8" i="142"/>
  <c r="A8" i="142"/>
  <c r="G7" i="142"/>
  <c r="D7" i="142" s="1"/>
  <c r="F7" i="142" s="1"/>
  <c r="H7" i="142" s="1"/>
  <c r="H29" i="147" l="1"/>
  <c r="H23" i="151"/>
  <c r="H19" i="147"/>
  <c r="G10" i="152"/>
  <c r="H16" i="142"/>
  <c r="H29" i="143"/>
  <c r="F24" i="145"/>
  <c r="F30" i="145"/>
  <c r="I33" i="144"/>
  <c r="I29" i="152"/>
  <c r="J29" i="152" s="1"/>
  <c r="I33" i="152"/>
  <c r="H23" i="144"/>
  <c r="J23" i="144" s="1"/>
  <c r="H19" i="142"/>
  <c r="H16" i="143"/>
  <c r="I34" i="143"/>
  <c r="H17" i="143"/>
  <c r="J17" i="143" s="1"/>
  <c r="H34" i="143"/>
  <c r="D38" i="143" s="1"/>
  <c r="F24" i="144"/>
  <c r="D7" i="144"/>
  <c r="F7" i="144" s="1"/>
  <c r="F12" i="144" s="1"/>
  <c r="H28" i="144"/>
  <c r="J28" i="144" s="1"/>
  <c r="H17" i="144"/>
  <c r="J17" i="144" s="1"/>
  <c r="H29" i="144"/>
  <c r="J29" i="144" s="1"/>
  <c r="I34" i="145"/>
  <c r="H22" i="145"/>
  <c r="J22" i="145" s="1"/>
  <c r="H16" i="146"/>
  <c r="H19" i="146"/>
  <c r="H23" i="146"/>
  <c r="J23" i="146" s="1"/>
  <c r="J29" i="147"/>
  <c r="J25" i="147"/>
  <c r="H17" i="147"/>
  <c r="I8" i="147"/>
  <c r="J25" i="148"/>
  <c r="H22" i="148"/>
  <c r="I33" i="148"/>
  <c r="H20" i="148"/>
  <c r="J20" i="148" s="1"/>
  <c r="H8" i="148"/>
  <c r="D40" i="148" s="1"/>
  <c r="F18" i="149"/>
  <c r="I33" i="149"/>
  <c r="D33" i="149"/>
  <c r="F33" i="149" s="1"/>
  <c r="H33" i="149" s="1"/>
  <c r="H34" i="149"/>
  <c r="D38" i="149" s="1"/>
  <c r="H17" i="149"/>
  <c r="J17" i="149" s="1"/>
  <c r="F24" i="150"/>
  <c r="D33" i="150"/>
  <c r="F33" i="150" s="1"/>
  <c r="H33" i="150" s="1"/>
  <c r="J33" i="150" s="1"/>
  <c r="H28" i="150"/>
  <c r="J28" i="150" s="1"/>
  <c r="H17" i="150"/>
  <c r="J17" i="150" s="1"/>
  <c r="H34" i="150"/>
  <c r="D38" i="150" s="1"/>
  <c r="F18" i="147"/>
  <c r="F18" i="144"/>
  <c r="F18" i="145"/>
  <c r="H17" i="145"/>
  <c r="J17" i="145" s="1"/>
  <c r="H34" i="142"/>
  <c r="D38" i="142" s="1"/>
  <c r="F30" i="147"/>
  <c r="H34" i="144"/>
  <c r="D38" i="144" s="1"/>
  <c r="I34" i="152"/>
  <c r="F28" i="149"/>
  <c r="F30" i="149" s="1"/>
  <c r="F30" i="146"/>
  <c r="F30" i="150"/>
  <c r="H28" i="149"/>
  <c r="I7" i="145"/>
  <c r="J25" i="143"/>
  <c r="F27" i="147"/>
  <c r="F27" i="143"/>
  <c r="G10" i="147"/>
  <c r="G10" i="146"/>
  <c r="G35" i="149"/>
  <c r="I8" i="146"/>
  <c r="G35" i="147"/>
  <c r="F24" i="142"/>
  <c r="H22" i="142"/>
  <c r="J22" i="142" s="1"/>
  <c r="G35" i="151"/>
  <c r="G35" i="148"/>
  <c r="I33" i="145"/>
  <c r="J33" i="145" s="1"/>
  <c r="I33" i="151"/>
  <c r="G35" i="152"/>
  <c r="I34" i="149"/>
  <c r="G35" i="150"/>
  <c r="G35" i="142"/>
  <c r="I34" i="150"/>
  <c r="J34" i="150" s="1"/>
  <c r="G35" i="143"/>
  <c r="G35" i="145"/>
  <c r="G12" i="149"/>
  <c r="D33" i="143"/>
  <c r="F33" i="143" s="1"/>
  <c r="F35" i="143" s="1"/>
  <c r="F21" i="150"/>
  <c r="D33" i="146"/>
  <c r="F33" i="146" s="1"/>
  <c r="H33" i="146" s="1"/>
  <c r="J19" i="142"/>
  <c r="I33" i="143"/>
  <c r="F19" i="145"/>
  <c r="H19" i="145" s="1"/>
  <c r="J19" i="145" s="1"/>
  <c r="G10" i="144"/>
  <c r="F21" i="142"/>
  <c r="D33" i="142"/>
  <c r="F33" i="142" s="1"/>
  <c r="H33" i="142" s="1"/>
  <c r="F21" i="146"/>
  <c r="G10" i="149"/>
  <c r="F21" i="151"/>
  <c r="G12" i="143"/>
  <c r="D33" i="148"/>
  <c r="F33" i="148" s="1"/>
  <c r="H33" i="148" s="1"/>
  <c r="I33" i="150"/>
  <c r="G12" i="144"/>
  <c r="G12" i="145"/>
  <c r="G12" i="152"/>
  <c r="I8" i="149"/>
  <c r="G12" i="151"/>
  <c r="I8" i="148"/>
  <c r="I8" i="152"/>
  <c r="I8" i="151"/>
  <c r="H7" i="143"/>
  <c r="F12" i="143"/>
  <c r="I7" i="143"/>
  <c r="G12" i="147"/>
  <c r="G10" i="145"/>
  <c r="G10" i="150"/>
  <c r="F10" i="149"/>
  <c r="F10" i="142"/>
  <c r="H16" i="147"/>
  <c r="D7" i="152"/>
  <c r="F7" i="152" s="1"/>
  <c r="F12" i="152" s="1"/>
  <c r="G12" i="150"/>
  <c r="I7" i="147"/>
  <c r="H16" i="149"/>
  <c r="J25" i="151"/>
  <c r="I26" i="142"/>
  <c r="J26" i="142" s="1"/>
  <c r="H26" i="150"/>
  <c r="D39" i="150" s="1"/>
  <c r="H26" i="149"/>
  <c r="D39" i="149" s="1"/>
  <c r="H26" i="146"/>
  <c r="D39" i="146" s="1"/>
  <c r="J25" i="152"/>
  <c r="J25" i="144"/>
  <c r="J25" i="150"/>
  <c r="J23" i="151"/>
  <c r="H16" i="152"/>
  <c r="H23" i="145"/>
  <c r="J23" i="145" s="1"/>
  <c r="H34" i="148"/>
  <c r="D38" i="148" s="1"/>
  <c r="H22" i="149"/>
  <c r="J22" i="149" s="1"/>
  <c r="H23" i="152"/>
  <c r="J23" i="152" s="1"/>
  <c r="H34" i="145"/>
  <c r="D38" i="145" s="1"/>
  <c r="H28" i="146"/>
  <c r="J28" i="146" s="1"/>
  <c r="H34" i="147"/>
  <c r="D38" i="147" s="1"/>
  <c r="H29" i="148"/>
  <c r="J29" i="148" s="1"/>
  <c r="I34" i="148"/>
  <c r="H20" i="152"/>
  <c r="J20" i="152" s="1"/>
  <c r="H17" i="142"/>
  <c r="J17" i="142" s="1"/>
  <c r="H19" i="143"/>
  <c r="J19" i="143" s="1"/>
  <c r="I34" i="147"/>
  <c r="H19" i="149"/>
  <c r="J19" i="149" s="1"/>
  <c r="H23" i="143"/>
  <c r="H22" i="144"/>
  <c r="J22" i="144" s="1"/>
  <c r="H16" i="150"/>
  <c r="H19" i="150"/>
  <c r="J19" i="150" s="1"/>
  <c r="H19" i="151"/>
  <c r="J19" i="151" s="1"/>
  <c r="J19" i="147"/>
  <c r="H19" i="144"/>
  <c r="J19" i="144" s="1"/>
  <c r="I34" i="144"/>
  <c r="H20" i="149"/>
  <c r="J20" i="149" s="1"/>
  <c r="H23" i="150"/>
  <c r="J23" i="150" s="1"/>
  <c r="H16" i="151"/>
  <c r="H22" i="151"/>
  <c r="J22" i="151" s="1"/>
  <c r="H28" i="142"/>
  <c r="J28" i="142" s="1"/>
  <c r="J17" i="147"/>
  <c r="J29" i="151"/>
  <c r="H34" i="151"/>
  <c r="D38" i="151" s="1"/>
  <c r="H28" i="143"/>
  <c r="J28" i="143" s="1"/>
  <c r="H8" i="147"/>
  <c r="D40" i="147" s="1"/>
  <c r="I33" i="147"/>
  <c r="H17" i="151"/>
  <c r="J17" i="151" s="1"/>
  <c r="H29" i="151"/>
  <c r="H34" i="152"/>
  <c r="D38" i="152" s="1"/>
  <c r="H8" i="144"/>
  <c r="D40" i="144" s="1"/>
  <c r="H22" i="143"/>
  <c r="J22" i="143" s="1"/>
  <c r="F24" i="143"/>
  <c r="G10" i="142"/>
  <c r="I8" i="142"/>
  <c r="H22" i="147"/>
  <c r="J22" i="147" s="1"/>
  <c r="H28" i="151"/>
  <c r="J28" i="151" s="1"/>
  <c r="F30" i="151"/>
  <c r="H8" i="142"/>
  <c r="D40" i="142" s="1"/>
  <c r="F18" i="143"/>
  <c r="G35" i="144"/>
  <c r="H20" i="142"/>
  <c r="J20" i="142" s="1"/>
  <c r="J23" i="143"/>
  <c r="H26" i="143"/>
  <c r="F18" i="152"/>
  <c r="D33" i="152"/>
  <c r="F33" i="152" s="1"/>
  <c r="H33" i="152" s="1"/>
  <c r="J33" i="152" s="1"/>
  <c r="F28" i="152"/>
  <c r="I33" i="142"/>
  <c r="H20" i="143"/>
  <c r="J20" i="143" s="1"/>
  <c r="F12" i="142"/>
  <c r="F18" i="142"/>
  <c r="J29" i="143"/>
  <c r="H16" i="144"/>
  <c r="D33" i="144"/>
  <c r="F33" i="144" s="1"/>
  <c r="H33" i="144" s="1"/>
  <c r="J33" i="144" s="1"/>
  <c r="F12" i="145"/>
  <c r="H16" i="145"/>
  <c r="H8" i="149"/>
  <c r="D40" i="149" s="1"/>
  <c r="H23" i="147"/>
  <c r="J23" i="147" s="1"/>
  <c r="F24" i="147"/>
  <c r="G35" i="146"/>
  <c r="I34" i="146"/>
  <c r="J25" i="142"/>
  <c r="H25" i="146"/>
  <c r="J25" i="146" s="1"/>
  <c r="F27" i="146"/>
  <c r="F21" i="148"/>
  <c r="H19" i="148"/>
  <c r="J19" i="148" s="1"/>
  <c r="H8" i="150"/>
  <c r="D40" i="150" s="1"/>
  <c r="I23" i="142"/>
  <c r="J23" i="142" s="1"/>
  <c r="F30" i="142"/>
  <c r="H29" i="142"/>
  <c r="J29" i="142" s="1"/>
  <c r="J28" i="145"/>
  <c r="F22" i="146"/>
  <c r="I33" i="146"/>
  <c r="H16" i="148"/>
  <c r="F18" i="150"/>
  <c r="D7" i="148"/>
  <c r="F7" i="148" s="1"/>
  <c r="F10" i="148" s="1"/>
  <c r="G12" i="148"/>
  <c r="I7" i="148"/>
  <c r="G10" i="148"/>
  <c r="J19" i="146"/>
  <c r="F21" i="147"/>
  <c r="F27" i="148"/>
  <c r="F27" i="151"/>
  <c r="H26" i="151"/>
  <c r="D39" i="151" s="1"/>
  <c r="G12" i="146"/>
  <c r="I7" i="146"/>
  <c r="D7" i="146"/>
  <c r="F7" i="146" s="1"/>
  <c r="F27" i="149"/>
  <c r="H25" i="149"/>
  <c r="J25" i="149" s="1"/>
  <c r="H22" i="152"/>
  <c r="J22" i="152" s="1"/>
  <c r="F24" i="152"/>
  <c r="G12" i="142"/>
  <c r="F27" i="142"/>
  <c r="I34" i="142"/>
  <c r="F10" i="143"/>
  <c r="H8" i="143"/>
  <c r="D40" i="143" s="1"/>
  <c r="H26" i="145"/>
  <c r="D39" i="145" s="1"/>
  <c r="F27" i="145"/>
  <c r="F24" i="148"/>
  <c r="H23" i="148"/>
  <c r="J23" i="148" s="1"/>
  <c r="F12" i="149"/>
  <c r="H7" i="149"/>
  <c r="F24" i="151"/>
  <c r="H19" i="152"/>
  <c r="J19" i="152" s="1"/>
  <c r="F27" i="152"/>
  <c r="G10" i="143"/>
  <c r="I8" i="143"/>
  <c r="F21" i="144"/>
  <c r="H20" i="144"/>
  <c r="J20" i="144" s="1"/>
  <c r="H26" i="144"/>
  <c r="F27" i="144"/>
  <c r="F10" i="145"/>
  <c r="H8" i="145"/>
  <c r="D40" i="145" s="1"/>
  <c r="F21" i="145"/>
  <c r="H20" i="145"/>
  <c r="J20" i="145" s="1"/>
  <c r="H17" i="146"/>
  <c r="J17" i="146" s="1"/>
  <c r="F18" i="146"/>
  <c r="J28" i="147"/>
  <c r="H29" i="149"/>
  <c r="J29" i="149" s="1"/>
  <c r="H34" i="146"/>
  <c r="D38" i="146" s="1"/>
  <c r="H22" i="150"/>
  <c r="J22" i="150" s="1"/>
  <c r="H26" i="147"/>
  <c r="D39" i="147" s="1"/>
  <c r="F28" i="148"/>
  <c r="H28" i="148" s="1"/>
  <c r="J28" i="148" s="1"/>
  <c r="F21" i="149"/>
  <c r="H20" i="150"/>
  <c r="J20" i="150" s="1"/>
  <c r="F27" i="150"/>
  <c r="F18" i="151"/>
  <c r="D33" i="151"/>
  <c r="F33" i="151" s="1"/>
  <c r="H33" i="151" s="1"/>
  <c r="J33" i="151" s="1"/>
  <c r="H17" i="152"/>
  <c r="J17" i="152" s="1"/>
  <c r="D33" i="147"/>
  <c r="F33" i="147" s="1"/>
  <c r="H33" i="147" s="1"/>
  <c r="H17" i="148"/>
  <c r="J17" i="148" s="1"/>
  <c r="I34" i="151"/>
  <c r="I8" i="144"/>
  <c r="I8" i="145"/>
  <c r="H29" i="145"/>
  <c r="J29" i="145" s="1"/>
  <c r="H20" i="146"/>
  <c r="J20" i="146" s="1"/>
  <c r="H23" i="149"/>
  <c r="J23" i="149" s="1"/>
  <c r="D7" i="150"/>
  <c r="F7" i="150" s="1"/>
  <c r="F10" i="150" s="1"/>
  <c r="I8" i="150"/>
  <c r="H29" i="150"/>
  <c r="J29" i="150" s="1"/>
  <c r="H20" i="151"/>
  <c r="J20" i="151" s="1"/>
  <c r="H26" i="152"/>
  <c r="H8" i="146"/>
  <c r="D40" i="146" s="1"/>
  <c r="H29" i="146"/>
  <c r="J29" i="146" s="1"/>
  <c r="H20" i="147"/>
  <c r="J20" i="147" s="1"/>
  <c r="H26" i="148"/>
  <c r="D39" i="148" s="1"/>
  <c r="I7" i="149"/>
  <c r="H8" i="151"/>
  <c r="D40" i="151" s="1"/>
  <c r="I7" i="142"/>
  <c r="I16" i="147"/>
  <c r="I22" i="148"/>
  <c r="I28" i="149"/>
  <c r="D7" i="151"/>
  <c r="F7" i="151" s="1"/>
  <c r="F10" i="151" s="1"/>
  <c r="H7" i="145"/>
  <c r="D7" i="147"/>
  <c r="F7" i="147" s="1"/>
  <c r="F10" i="147" s="1"/>
  <c r="H8" i="152"/>
  <c r="G10" i="151"/>
  <c r="I7" i="151"/>
  <c r="J33" i="149" l="1"/>
  <c r="J34" i="142"/>
  <c r="J34" i="143"/>
  <c r="H7" i="144"/>
  <c r="F10" i="144"/>
  <c r="J34" i="144"/>
  <c r="J34" i="147"/>
  <c r="J8" i="148"/>
  <c r="J22" i="148"/>
  <c r="J33" i="148"/>
  <c r="J34" i="149"/>
  <c r="J28" i="149"/>
  <c r="J8" i="143"/>
  <c r="J26" i="150"/>
  <c r="J34" i="148"/>
  <c r="J34" i="152"/>
  <c r="J34" i="151"/>
  <c r="F30" i="148"/>
  <c r="J33" i="147"/>
  <c r="H33" i="143"/>
  <c r="J33" i="143" s="1"/>
  <c r="J33" i="142"/>
  <c r="F10" i="152"/>
  <c r="J33" i="146"/>
  <c r="H7" i="152"/>
  <c r="J26" i="147"/>
  <c r="J26" i="146"/>
  <c r="J26" i="149"/>
  <c r="J8" i="149"/>
  <c r="J8" i="150"/>
  <c r="J8" i="146"/>
  <c r="J8" i="147"/>
  <c r="J34" i="145"/>
  <c r="D39" i="144"/>
  <c r="J26" i="144"/>
  <c r="J34" i="146"/>
  <c r="D39" i="143"/>
  <c r="J26" i="143"/>
  <c r="J26" i="151"/>
  <c r="J8" i="145"/>
  <c r="J26" i="148"/>
  <c r="J8" i="151"/>
  <c r="D40" i="152"/>
  <c r="J8" i="152"/>
  <c r="F12" i="147"/>
  <c r="H7" i="147"/>
  <c r="H7" i="146"/>
  <c r="F12" i="146"/>
  <c r="J8" i="144"/>
  <c r="D39" i="152"/>
  <c r="J26" i="152"/>
  <c r="F10" i="146"/>
  <c r="F12" i="148"/>
  <c r="H7" i="148"/>
  <c r="J26" i="145"/>
  <c r="H22" i="146"/>
  <c r="J22" i="146" s="1"/>
  <c r="F24" i="146"/>
  <c r="F12" i="150"/>
  <c r="H7" i="150"/>
  <c r="F12" i="151"/>
  <c r="H7" i="151"/>
  <c r="H28" i="152"/>
  <c r="J28" i="152" s="1"/>
  <c r="F30" i="152"/>
  <c r="J8" i="142"/>
  <c r="B8" i="127" l="1"/>
  <c r="B8" i="128"/>
  <c r="B8" i="130"/>
  <c r="B8" i="131"/>
  <c r="C26" i="132"/>
  <c r="B8" i="132"/>
  <c r="C8" i="132"/>
  <c r="C26" i="133"/>
  <c r="B8" i="133"/>
  <c r="C8" i="133"/>
  <c r="A8" i="133"/>
  <c r="C26" i="135"/>
  <c r="A8" i="135"/>
  <c r="B8" i="135"/>
  <c r="C8" i="135"/>
  <c r="B8" i="136"/>
  <c r="A8" i="136"/>
  <c r="C26" i="136"/>
  <c r="B8" i="137"/>
  <c r="C26" i="137"/>
  <c r="C8" i="137"/>
  <c r="B8" i="138"/>
  <c r="C26" i="139"/>
  <c r="B8" i="139"/>
  <c r="C26" i="140" l="1"/>
  <c r="B8" i="140"/>
  <c r="C8" i="140"/>
  <c r="A8" i="140"/>
  <c r="C8" i="141"/>
  <c r="C26" i="141"/>
  <c r="B8" i="141"/>
  <c r="G34" i="141"/>
  <c r="D34" i="141"/>
  <c r="F34" i="141" s="1"/>
  <c r="C34" i="141"/>
  <c r="B34" i="141"/>
  <c r="A34" i="141"/>
  <c r="G33" i="141"/>
  <c r="C33" i="141"/>
  <c r="B33" i="141"/>
  <c r="A33" i="141"/>
  <c r="G30" i="141"/>
  <c r="F29" i="141"/>
  <c r="C29" i="141"/>
  <c r="I29" i="141" s="1"/>
  <c r="B29" i="141"/>
  <c r="A29" i="141"/>
  <c r="D28" i="141"/>
  <c r="D33" i="141" s="1"/>
  <c r="F33" i="141" s="1"/>
  <c r="C28" i="141"/>
  <c r="I28" i="141" s="1"/>
  <c r="B28" i="141"/>
  <c r="A28" i="141"/>
  <c r="G27" i="141"/>
  <c r="I26" i="141"/>
  <c r="F26" i="141"/>
  <c r="H26" i="141" s="1"/>
  <c r="D39" i="141" s="1"/>
  <c r="B26" i="141"/>
  <c r="A26" i="141"/>
  <c r="I25" i="141"/>
  <c r="D25" i="141"/>
  <c r="F25" i="141" s="1"/>
  <c r="H25" i="141" s="1"/>
  <c r="B25" i="141"/>
  <c r="A25" i="141"/>
  <c r="G24" i="141"/>
  <c r="I23" i="141"/>
  <c r="F23" i="141"/>
  <c r="C23" i="141"/>
  <c r="B23" i="141"/>
  <c r="A23" i="141"/>
  <c r="D22" i="141"/>
  <c r="F22" i="141" s="1"/>
  <c r="C22" i="141"/>
  <c r="I22" i="141" s="1"/>
  <c r="B22" i="141"/>
  <c r="A22" i="141"/>
  <c r="G21" i="141"/>
  <c r="F20" i="141"/>
  <c r="H20" i="141" s="1"/>
  <c r="C20" i="141"/>
  <c r="I20" i="141" s="1"/>
  <c r="B20" i="141"/>
  <c r="A20" i="141"/>
  <c r="D19" i="141"/>
  <c r="F19" i="141" s="1"/>
  <c r="C19" i="141"/>
  <c r="I19" i="141" s="1"/>
  <c r="B19" i="141"/>
  <c r="A19" i="141"/>
  <c r="G18" i="141"/>
  <c r="F17" i="141"/>
  <c r="C17" i="141"/>
  <c r="I17" i="141" s="1"/>
  <c r="B17" i="141"/>
  <c r="A17" i="141"/>
  <c r="D16" i="141"/>
  <c r="F16" i="141" s="1"/>
  <c r="C16" i="141"/>
  <c r="I16" i="141" s="1"/>
  <c r="B16" i="141"/>
  <c r="A16" i="141"/>
  <c r="G8" i="141"/>
  <c r="D8" i="141"/>
  <c r="F8" i="141" s="1"/>
  <c r="A8" i="141"/>
  <c r="G7" i="141"/>
  <c r="D7" i="141" s="1"/>
  <c r="F7" i="141" s="1"/>
  <c r="G34" i="140"/>
  <c r="D34" i="140"/>
  <c r="F34" i="140" s="1"/>
  <c r="C34" i="140"/>
  <c r="B34" i="140"/>
  <c r="A34" i="140"/>
  <c r="G33" i="140"/>
  <c r="C33" i="140"/>
  <c r="B33" i="140"/>
  <c r="A33" i="140"/>
  <c r="G30" i="140"/>
  <c r="F29" i="140"/>
  <c r="C29" i="140"/>
  <c r="I29" i="140" s="1"/>
  <c r="B29" i="140"/>
  <c r="A29" i="140"/>
  <c r="D28" i="140"/>
  <c r="C28" i="140"/>
  <c r="I28" i="140" s="1"/>
  <c r="B28" i="140"/>
  <c r="A28" i="140"/>
  <c r="G27" i="140"/>
  <c r="I26" i="140"/>
  <c r="F26" i="140"/>
  <c r="B26" i="140"/>
  <c r="A26" i="140"/>
  <c r="I25" i="140"/>
  <c r="D25" i="140"/>
  <c r="F25" i="140" s="1"/>
  <c r="B25" i="140"/>
  <c r="A25" i="140"/>
  <c r="G24" i="140"/>
  <c r="F23" i="140"/>
  <c r="C23" i="140"/>
  <c r="I23" i="140" s="1"/>
  <c r="B23" i="140"/>
  <c r="A23" i="140"/>
  <c r="D22" i="140"/>
  <c r="F22" i="140" s="1"/>
  <c r="C22" i="140"/>
  <c r="I22" i="140" s="1"/>
  <c r="B22" i="140"/>
  <c r="A22" i="140"/>
  <c r="G21" i="140"/>
  <c r="I20" i="140"/>
  <c r="F20" i="140"/>
  <c r="H20" i="140" s="1"/>
  <c r="C20" i="140"/>
  <c r="B20" i="140"/>
  <c r="A20" i="140"/>
  <c r="D19" i="140"/>
  <c r="F19" i="140" s="1"/>
  <c r="F21" i="140" s="1"/>
  <c r="C19" i="140"/>
  <c r="I19" i="140" s="1"/>
  <c r="B19" i="140"/>
  <c r="A19" i="140"/>
  <c r="G18" i="140"/>
  <c r="F17" i="140"/>
  <c r="C17" i="140"/>
  <c r="I17" i="140" s="1"/>
  <c r="B17" i="140"/>
  <c r="A17" i="140"/>
  <c r="D16" i="140"/>
  <c r="F16" i="140" s="1"/>
  <c r="H16" i="140" s="1"/>
  <c r="C16" i="140"/>
  <c r="I16" i="140" s="1"/>
  <c r="B16" i="140"/>
  <c r="A16" i="140"/>
  <c r="G8" i="140"/>
  <c r="D8" i="140"/>
  <c r="F8" i="140" s="1"/>
  <c r="G7" i="140"/>
  <c r="D7" i="140" s="1"/>
  <c r="F7" i="140" s="1"/>
  <c r="G34" i="139"/>
  <c r="F34" i="139"/>
  <c r="H34" i="139" s="1"/>
  <c r="D38" i="139" s="1"/>
  <c r="D34" i="139"/>
  <c r="C34" i="139"/>
  <c r="B34" i="139"/>
  <c r="A34" i="139"/>
  <c r="G33" i="139"/>
  <c r="I33" i="139" s="1"/>
  <c r="C33" i="139"/>
  <c r="B33" i="139"/>
  <c r="A33" i="139"/>
  <c r="G30" i="139"/>
  <c r="F29" i="139"/>
  <c r="C29" i="139"/>
  <c r="I29" i="139" s="1"/>
  <c r="B29" i="139"/>
  <c r="A29" i="139"/>
  <c r="D28" i="139"/>
  <c r="C28" i="139"/>
  <c r="I28" i="139" s="1"/>
  <c r="B28" i="139"/>
  <c r="A28" i="139"/>
  <c r="G27" i="139"/>
  <c r="I26" i="139"/>
  <c r="F26" i="139"/>
  <c r="H26" i="139" s="1"/>
  <c r="D39" i="139" s="1"/>
  <c r="B26" i="139"/>
  <c r="A26" i="139"/>
  <c r="I25" i="139"/>
  <c r="D25" i="139"/>
  <c r="F25" i="139" s="1"/>
  <c r="B25" i="139"/>
  <c r="A25" i="139"/>
  <c r="G24" i="139"/>
  <c r="F23" i="139"/>
  <c r="C23" i="139"/>
  <c r="I23" i="139" s="1"/>
  <c r="B23" i="139"/>
  <c r="A23" i="139"/>
  <c r="D22" i="139"/>
  <c r="F22" i="139" s="1"/>
  <c r="C22" i="139"/>
  <c r="I22" i="139" s="1"/>
  <c r="B22" i="139"/>
  <c r="A22" i="139"/>
  <c r="G21" i="139"/>
  <c r="F20" i="139"/>
  <c r="H20" i="139" s="1"/>
  <c r="C20" i="139"/>
  <c r="I20" i="139" s="1"/>
  <c r="B20" i="139"/>
  <c r="A20" i="139"/>
  <c r="D19" i="139"/>
  <c r="F19" i="139" s="1"/>
  <c r="F21" i="139" s="1"/>
  <c r="C19" i="139"/>
  <c r="I19" i="139" s="1"/>
  <c r="B19" i="139"/>
  <c r="A19" i="139"/>
  <c r="G18" i="139"/>
  <c r="F17" i="139"/>
  <c r="C17" i="139"/>
  <c r="B17" i="139"/>
  <c r="A17" i="139"/>
  <c r="D16" i="139"/>
  <c r="F16" i="139" s="1"/>
  <c r="H16" i="139" s="1"/>
  <c r="C16" i="139"/>
  <c r="I16" i="139" s="1"/>
  <c r="B16" i="139"/>
  <c r="A16" i="139"/>
  <c r="G8" i="139"/>
  <c r="I8" i="139" s="1"/>
  <c r="D8" i="139"/>
  <c r="F8" i="139" s="1"/>
  <c r="H8" i="139" s="1"/>
  <c r="A8" i="139"/>
  <c r="G7" i="139"/>
  <c r="I7" i="139" s="1"/>
  <c r="G34" i="138"/>
  <c r="G35" i="138" s="1"/>
  <c r="D34" i="138"/>
  <c r="F34" i="138" s="1"/>
  <c r="C34" i="138"/>
  <c r="B34" i="138"/>
  <c r="A34" i="138"/>
  <c r="G33" i="138"/>
  <c r="C33" i="138"/>
  <c r="B33" i="138"/>
  <c r="A33" i="138"/>
  <c r="G30" i="138"/>
  <c r="F29" i="138"/>
  <c r="C29" i="138"/>
  <c r="I29" i="138" s="1"/>
  <c r="B29" i="138"/>
  <c r="A29" i="138"/>
  <c r="D28" i="138"/>
  <c r="C28" i="138"/>
  <c r="I28" i="138" s="1"/>
  <c r="B28" i="138"/>
  <c r="A28" i="138"/>
  <c r="G27" i="138"/>
  <c r="F26" i="138"/>
  <c r="C26" i="138"/>
  <c r="I26" i="138" s="1"/>
  <c r="B26" i="138"/>
  <c r="A26" i="138"/>
  <c r="I25" i="138"/>
  <c r="D25" i="138"/>
  <c r="F25" i="138" s="1"/>
  <c r="B25" i="138"/>
  <c r="A25" i="138"/>
  <c r="G24" i="138"/>
  <c r="F23" i="138"/>
  <c r="C23" i="138"/>
  <c r="I23" i="138" s="1"/>
  <c r="B23" i="138"/>
  <c r="A23" i="138"/>
  <c r="D22" i="138"/>
  <c r="F22" i="138" s="1"/>
  <c r="C22" i="138"/>
  <c r="I22" i="138" s="1"/>
  <c r="B22" i="138"/>
  <c r="A22" i="138"/>
  <c r="G21" i="138"/>
  <c r="F20" i="138"/>
  <c r="C20" i="138"/>
  <c r="I20" i="138" s="1"/>
  <c r="B20" i="138"/>
  <c r="A20" i="138"/>
  <c r="D19" i="138"/>
  <c r="F19" i="138" s="1"/>
  <c r="C19" i="138"/>
  <c r="I19" i="138" s="1"/>
  <c r="B19" i="138"/>
  <c r="A19" i="138"/>
  <c r="G18" i="138"/>
  <c r="F17" i="138"/>
  <c r="C17" i="138"/>
  <c r="I17" i="138" s="1"/>
  <c r="B17" i="138"/>
  <c r="A17" i="138"/>
  <c r="D16" i="138"/>
  <c r="F16" i="138" s="1"/>
  <c r="C16" i="138"/>
  <c r="I16" i="138" s="1"/>
  <c r="B16" i="138"/>
  <c r="A16" i="138"/>
  <c r="G8" i="138"/>
  <c r="D8" i="138"/>
  <c r="F8" i="138" s="1"/>
  <c r="H8" i="138" s="1"/>
  <c r="D40" i="138" s="1"/>
  <c r="C8" i="138"/>
  <c r="A8" i="138"/>
  <c r="G7" i="138"/>
  <c r="G34" i="137"/>
  <c r="D34" i="137"/>
  <c r="F34" i="137" s="1"/>
  <c r="C34" i="137"/>
  <c r="B34" i="137"/>
  <c r="A34" i="137"/>
  <c r="G33" i="137"/>
  <c r="C33" i="137"/>
  <c r="B33" i="137"/>
  <c r="A33" i="137"/>
  <c r="F29" i="137"/>
  <c r="C29" i="137"/>
  <c r="I29" i="137" s="1"/>
  <c r="B29" i="137"/>
  <c r="A29" i="137"/>
  <c r="D28" i="137"/>
  <c r="F28" i="137" s="1"/>
  <c r="C28" i="137"/>
  <c r="I28" i="137" s="1"/>
  <c r="B28" i="137"/>
  <c r="A28" i="137"/>
  <c r="G27" i="137"/>
  <c r="I26" i="137"/>
  <c r="F26" i="137"/>
  <c r="B26" i="137"/>
  <c r="A26" i="137"/>
  <c r="I25" i="137"/>
  <c r="D25" i="137"/>
  <c r="F25" i="137" s="1"/>
  <c r="H25" i="137" s="1"/>
  <c r="J25" i="137" s="1"/>
  <c r="B25" i="137"/>
  <c r="A25" i="137"/>
  <c r="G24" i="137"/>
  <c r="F23" i="137"/>
  <c r="C23" i="137"/>
  <c r="B23" i="137"/>
  <c r="A23" i="137"/>
  <c r="D22" i="137"/>
  <c r="F22" i="137" s="1"/>
  <c r="C22" i="137"/>
  <c r="I22" i="137" s="1"/>
  <c r="B22" i="137"/>
  <c r="A22" i="137"/>
  <c r="G21" i="137"/>
  <c r="F20" i="137"/>
  <c r="C20" i="137"/>
  <c r="I20" i="137" s="1"/>
  <c r="B20" i="137"/>
  <c r="A20" i="137"/>
  <c r="D19" i="137"/>
  <c r="F19" i="137" s="1"/>
  <c r="C19" i="137"/>
  <c r="I19" i="137" s="1"/>
  <c r="B19" i="137"/>
  <c r="A19" i="137"/>
  <c r="G18" i="137"/>
  <c r="F17" i="137"/>
  <c r="C17" i="137"/>
  <c r="I17" i="137" s="1"/>
  <c r="B17" i="137"/>
  <c r="A17" i="137"/>
  <c r="D16" i="137"/>
  <c r="F16" i="137" s="1"/>
  <c r="C16" i="137"/>
  <c r="I16" i="137" s="1"/>
  <c r="B16" i="137"/>
  <c r="A16" i="137"/>
  <c r="G8" i="137"/>
  <c r="I8" i="137" s="1"/>
  <c r="D8" i="137"/>
  <c r="F8" i="137" s="1"/>
  <c r="A8" i="137"/>
  <c r="G7" i="137"/>
  <c r="G34" i="136"/>
  <c r="D34" i="136"/>
  <c r="F34" i="136" s="1"/>
  <c r="C34" i="136"/>
  <c r="B34" i="136"/>
  <c r="A34" i="136"/>
  <c r="G33" i="136"/>
  <c r="C33" i="136"/>
  <c r="B33" i="136"/>
  <c r="A33" i="136"/>
  <c r="G30" i="136"/>
  <c r="F29" i="136"/>
  <c r="C29" i="136"/>
  <c r="I29" i="136" s="1"/>
  <c r="B29" i="136"/>
  <c r="A29" i="136"/>
  <c r="D28" i="136"/>
  <c r="F28" i="136" s="1"/>
  <c r="F30" i="136" s="1"/>
  <c r="C28" i="136"/>
  <c r="I28" i="136" s="1"/>
  <c r="B28" i="136"/>
  <c r="A28" i="136"/>
  <c r="G27" i="136"/>
  <c r="I26" i="136"/>
  <c r="F26" i="136"/>
  <c r="B26" i="136"/>
  <c r="A26" i="136"/>
  <c r="I25" i="136"/>
  <c r="D25" i="136"/>
  <c r="F25" i="136" s="1"/>
  <c r="H25" i="136" s="1"/>
  <c r="B25" i="136"/>
  <c r="A25" i="136"/>
  <c r="G24" i="136"/>
  <c r="F23" i="136"/>
  <c r="C23" i="136"/>
  <c r="I23" i="136" s="1"/>
  <c r="B23" i="136"/>
  <c r="A23" i="136"/>
  <c r="D22" i="136"/>
  <c r="F22" i="136" s="1"/>
  <c r="C22" i="136"/>
  <c r="I22" i="136" s="1"/>
  <c r="B22" i="136"/>
  <c r="A22" i="136"/>
  <c r="G21" i="136"/>
  <c r="F20" i="136"/>
  <c r="C20" i="136"/>
  <c r="I20" i="136" s="1"/>
  <c r="B20" i="136"/>
  <c r="A20" i="136"/>
  <c r="D19" i="136"/>
  <c r="F19" i="136" s="1"/>
  <c r="C19" i="136"/>
  <c r="I19" i="136" s="1"/>
  <c r="B19" i="136"/>
  <c r="A19" i="136"/>
  <c r="G18" i="136"/>
  <c r="F17" i="136"/>
  <c r="C17" i="136"/>
  <c r="I17" i="136" s="1"/>
  <c r="B17" i="136"/>
  <c r="A17" i="136"/>
  <c r="D16" i="136"/>
  <c r="F16" i="136" s="1"/>
  <c r="C16" i="136"/>
  <c r="I16" i="136" s="1"/>
  <c r="B16" i="136"/>
  <c r="A16" i="136"/>
  <c r="G8" i="136"/>
  <c r="I8" i="136" s="1"/>
  <c r="D8" i="136"/>
  <c r="F8" i="136" s="1"/>
  <c r="G7" i="136"/>
  <c r="I7" i="136" s="1"/>
  <c r="G34" i="135"/>
  <c r="D34" i="135"/>
  <c r="F34" i="135" s="1"/>
  <c r="C34" i="135"/>
  <c r="B34" i="135"/>
  <c r="A34" i="135"/>
  <c r="G33" i="135"/>
  <c r="C33" i="135"/>
  <c r="B33" i="135"/>
  <c r="A33" i="135"/>
  <c r="G30" i="135"/>
  <c r="F29" i="135"/>
  <c r="C29" i="135"/>
  <c r="I29" i="135" s="1"/>
  <c r="B29" i="135"/>
  <c r="A29" i="135"/>
  <c r="D28" i="135"/>
  <c r="F28" i="135" s="1"/>
  <c r="F30" i="135" s="1"/>
  <c r="C28" i="135"/>
  <c r="I28" i="135" s="1"/>
  <c r="B28" i="135"/>
  <c r="A28" i="135"/>
  <c r="G27" i="135"/>
  <c r="I26" i="135"/>
  <c r="F26" i="135"/>
  <c r="H26" i="135" s="1"/>
  <c r="D39" i="135" s="1"/>
  <c r="B26" i="135"/>
  <c r="A26" i="135"/>
  <c r="I25" i="135"/>
  <c r="D25" i="135"/>
  <c r="F25" i="135" s="1"/>
  <c r="B25" i="135"/>
  <c r="A25" i="135"/>
  <c r="G24" i="135"/>
  <c r="F23" i="135"/>
  <c r="C23" i="135"/>
  <c r="I23" i="135" s="1"/>
  <c r="B23" i="135"/>
  <c r="A23" i="135"/>
  <c r="D22" i="135"/>
  <c r="F22" i="135" s="1"/>
  <c r="C22" i="135"/>
  <c r="I22" i="135" s="1"/>
  <c r="B22" i="135"/>
  <c r="A22" i="135"/>
  <c r="G21" i="135"/>
  <c r="F20" i="135"/>
  <c r="C20" i="135"/>
  <c r="I20" i="135" s="1"/>
  <c r="B20" i="135"/>
  <c r="A20" i="135"/>
  <c r="D19" i="135"/>
  <c r="F19" i="135" s="1"/>
  <c r="C19" i="135"/>
  <c r="I19" i="135" s="1"/>
  <c r="B19" i="135"/>
  <c r="A19" i="135"/>
  <c r="G18" i="135"/>
  <c r="F17" i="135"/>
  <c r="C17" i="135"/>
  <c r="I17" i="135" s="1"/>
  <c r="B17" i="135"/>
  <c r="A17" i="135"/>
  <c r="D16" i="135"/>
  <c r="F16" i="135" s="1"/>
  <c r="C16" i="135"/>
  <c r="I16" i="135" s="1"/>
  <c r="B16" i="135"/>
  <c r="A16" i="135"/>
  <c r="G8" i="135"/>
  <c r="I8" i="135" s="1"/>
  <c r="D8" i="135"/>
  <c r="F8" i="135" s="1"/>
  <c r="H8" i="135" s="1"/>
  <c r="D40" i="135" s="1"/>
  <c r="G7" i="135"/>
  <c r="G34" i="134"/>
  <c r="D34" i="134"/>
  <c r="F34" i="134" s="1"/>
  <c r="H34" i="134" s="1"/>
  <c r="D38" i="134" s="1"/>
  <c r="C34" i="134"/>
  <c r="B34" i="134"/>
  <c r="A34" i="134"/>
  <c r="G33" i="134"/>
  <c r="C33" i="134"/>
  <c r="B33" i="134"/>
  <c r="A33" i="134"/>
  <c r="G30" i="134"/>
  <c r="F29" i="134"/>
  <c r="C29" i="134"/>
  <c r="I29" i="134" s="1"/>
  <c r="B29" i="134"/>
  <c r="A29" i="134"/>
  <c r="D28" i="134"/>
  <c r="F28" i="134" s="1"/>
  <c r="C28" i="134"/>
  <c r="I28" i="134" s="1"/>
  <c r="B28" i="134"/>
  <c r="A28" i="134"/>
  <c r="G27" i="134"/>
  <c r="I26" i="134"/>
  <c r="F26" i="134"/>
  <c r="H26" i="134" s="1"/>
  <c r="D39" i="134" s="1"/>
  <c r="B26" i="134"/>
  <c r="A26" i="134"/>
  <c r="I25" i="134"/>
  <c r="D25" i="134"/>
  <c r="F25" i="134" s="1"/>
  <c r="B25" i="134"/>
  <c r="A25" i="134"/>
  <c r="G24" i="134"/>
  <c r="F23" i="134"/>
  <c r="C23" i="134"/>
  <c r="I23" i="134" s="1"/>
  <c r="B23" i="134"/>
  <c r="A23" i="134"/>
  <c r="I22" i="134"/>
  <c r="D22" i="134"/>
  <c r="F22" i="134" s="1"/>
  <c r="H22" i="134" s="1"/>
  <c r="C22" i="134"/>
  <c r="B22" i="134"/>
  <c r="A22" i="134"/>
  <c r="G21" i="134"/>
  <c r="F20" i="134"/>
  <c r="C20" i="134"/>
  <c r="I20" i="134" s="1"/>
  <c r="B20" i="134"/>
  <c r="A20" i="134"/>
  <c r="D19" i="134"/>
  <c r="F19" i="134" s="1"/>
  <c r="C19" i="134"/>
  <c r="I19" i="134" s="1"/>
  <c r="B19" i="134"/>
  <c r="A19" i="134"/>
  <c r="G18" i="134"/>
  <c r="F17" i="134"/>
  <c r="C17" i="134"/>
  <c r="B17" i="134"/>
  <c r="A17" i="134"/>
  <c r="I16" i="134"/>
  <c r="D16" i="134"/>
  <c r="F16" i="134" s="1"/>
  <c r="C16" i="134"/>
  <c r="B16" i="134"/>
  <c r="A16" i="134"/>
  <c r="G8" i="134"/>
  <c r="D8" i="134"/>
  <c r="F8" i="134" s="1"/>
  <c r="H8" i="134" s="1"/>
  <c r="D40" i="134" s="1"/>
  <c r="G7" i="134"/>
  <c r="I7" i="134" s="1"/>
  <c r="G34" i="133"/>
  <c r="D34" i="133"/>
  <c r="F34" i="133" s="1"/>
  <c r="C34" i="133"/>
  <c r="B34" i="133"/>
  <c r="A34" i="133"/>
  <c r="G33" i="133"/>
  <c r="C33" i="133"/>
  <c r="B33" i="133"/>
  <c r="A33" i="133"/>
  <c r="F29" i="133"/>
  <c r="C29" i="133"/>
  <c r="I29" i="133" s="1"/>
  <c r="B29" i="133"/>
  <c r="A29" i="133"/>
  <c r="D28" i="133"/>
  <c r="F28" i="133" s="1"/>
  <c r="C28" i="133"/>
  <c r="I28" i="133" s="1"/>
  <c r="B28" i="133"/>
  <c r="A28" i="133"/>
  <c r="G27" i="133"/>
  <c r="I26" i="133"/>
  <c r="F26" i="133"/>
  <c r="H26" i="133" s="1"/>
  <c r="D39" i="133" s="1"/>
  <c r="B26" i="133"/>
  <c r="A26" i="133"/>
  <c r="I25" i="133"/>
  <c r="D25" i="133"/>
  <c r="F25" i="133" s="1"/>
  <c r="B25" i="133"/>
  <c r="A25" i="133"/>
  <c r="G24" i="133"/>
  <c r="F23" i="133"/>
  <c r="C23" i="133"/>
  <c r="I23" i="133" s="1"/>
  <c r="B23" i="133"/>
  <c r="A23" i="133"/>
  <c r="D22" i="133"/>
  <c r="F22" i="133" s="1"/>
  <c r="C22" i="133"/>
  <c r="I22" i="133" s="1"/>
  <c r="B22" i="133"/>
  <c r="A22" i="133"/>
  <c r="G21" i="133"/>
  <c r="F20" i="133"/>
  <c r="C20" i="133"/>
  <c r="I20" i="133" s="1"/>
  <c r="B20" i="133"/>
  <c r="A20" i="133"/>
  <c r="D19" i="133"/>
  <c r="F19" i="133" s="1"/>
  <c r="H19" i="133" s="1"/>
  <c r="C19" i="133"/>
  <c r="I19" i="133" s="1"/>
  <c r="B19" i="133"/>
  <c r="A19" i="133"/>
  <c r="G18" i="133"/>
  <c r="F17" i="133"/>
  <c r="C17" i="133"/>
  <c r="I17" i="133" s="1"/>
  <c r="B17" i="133"/>
  <c r="A17" i="133"/>
  <c r="D16" i="133"/>
  <c r="F16" i="133" s="1"/>
  <c r="C16" i="133"/>
  <c r="I16" i="133" s="1"/>
  <c r="B16" i="133"/>
  <c r="A16" i="133"/>
  <c r="G8" i="133"/>
  <c r="D8" i="133"/>
  <c r="F8" i="133" s="1"/>
  <c r="H8" i="133" s="1"/>
  <c r="D40" i="133" s="1"/>
  <c r="G7" i="133"/>
  <c r="I7" i="133" s="1"/>
  <c r="G34" i="132"/>
  <c r="D34" i="132"/>
  <c r="F34" i="132" s="1"/>
  <c r="C34" i="132"/>
  <c r="B34" i="132"/>
  <c r="A34" i="132"/>
  <c r="G33" i="132"/>
  <c r="C33" i="132"/>
  <c r="B33" i="132"/>
  <c r="A33" i="132"/>
  <c r="F29" i="132"/>
  <c r="C29" i="132"/>
  <c r="B29" i="132"/>
  <c r="A29" i="132"/>
  <c r="D28" i="132"/>
  <c r="C28" i="132"/>
  <c r="I28" i="132" s="1"/>
  <c r="B28" i="132"/>
  <c r="A28" i="132"/>
  <c r="G27" i="132"/>
  <c r="I26" i="132"/>
  <c r="F26" i="132"/>
  <c r="H26" i="132" s="1"/>
  <c r="D39" i="132" s="1"/>
  <c r="B26" i="132"/>
  <c r="A26" i="132"/>
  <c r="I25" i="132"/>
  <c r="D25" i="132"/>
  <c r="F25" i="132" s="1"/>
  <c r="B25" i="132"/>
  <c r="A25" i="132"/>
  <c r="G24" i="132"/>
  <c r="F23" i="132"/>
  <c r="C23" i="132"/>
  <c r="I23" i="132" s="1"/>
  <c r="B23" i="132"/>
  <c r="A23" i="132"/>
  <c r="F22" i="132"/>
  <c r="D22" i="132"/>
  <c r="C22" i="132"/>
  <c r="B22" i="132"/>
  <c r="A22" i="132"/>
  <c r="F20" i="132"/>
  <c r="C20" i="132"/>
  <c r="I20" i="132" s="1"/>
  <c r="B20" i="132"/>
  <c r="A20" i="132"/>
  <c r="I19" i="132"/>
  <c r="D19" i="132"/>
  <c r="F19" i="132" s="1"/>
  <c r="H19" i="132" s="1"/>
  <c r="J19" i="132" s="1"/>
  <c r="C19" i="132"/>
  <c r="B19" i="132"/>
  <c r="A19" i="132"/>
  <c r="G18" i="132"/>
  <c r="F17" i="132"/>
  <c r="C17" i="132"/>
  <c r="I17" i="132" s="1"/>
  <c r="B17" i="132"/>
  <c r="A17" i="132"/>
  <c r="I16" i="132"/>
  <c r="D16" i="132"/>
  <c r="F16" i="132" s="1"/>
  <c r="H16" i="132" s="1"/>
  <c r="C16" i="132"/>
  <c r="B16" i="132"/>
  <c r="A16" i="132"/>
  <c r="G8" i="132"/>
  <c r="I8" i="132" s="1"/>
  <c r="D8" i="132"/>
  <c r="F8" i="132" s="1"/>
  <c r="H8" i="132" s="1"/>
  <c r="G7" i="132"/>
  <c r="D7" i="132" s="1"/>
  <c r="F7" i="132" s="1"/>
  <c r="G34" i="131"/>
  <c r="D34" i="131"/>
  <c r="F34" i="131" s="1"/>
  <c r="C34" i="131"/>
  <c r="B34" i="131"/>
  <c r="A34" i="131"/>
  <c r="G33" i="131"/>
  <c r="C33" i="131"/>
  <c r="B33" i="131"/>
  <c r="A33" i="131"/>
  <c r="G30" i="131"/>
  <c r="F29" i="131"/>
  <c r="C29" i="131"/>
  <c r="B29" i="131"/>
  <c r="A29" i="131"/>
  <c r="I28" i="131"/>
  <c r="D28" i="131"/>
  <c r="C28" i="131"/>
  <c r="B28" i="131"/>
  <c r="A28" i="131"/>
  <c r="G27" i="131"/>
  <c r="F26" i="131"/>
  <c r="C26" i="131"/>
  <c r="I26" i="131" s="1"/>
  <c r="B26" i="131"/>
  <c r="A26" i="131"/>
  <c r="I25" i="131"/>
  <c r="D25" i="131"/>
  <c r="F25" i="131" s="1"/>
  <c r="H25" i="131" s="1"/>
  <c r="B25" i="131"/>
  <c r="A25" i="131"/>
  <c r="G24" i="131"/>
  <c r="F23" i="131"/>
  <c r="C23" i="131"/>
  <c r="I23" i="131" s="1"/>
  <c r="B23" i="131"/>
  <c r="A23" i="131"/>
  <c r="D22" i="131"/>
  <c r="F22" i="131" s="1"/>
  <c r="C22" i="131"/>
  <c r="I22" i="131" s="1"/>
  <c r="B22" i="131"/>
  <c r="A22" i="131"/>
  <c r="G21" i="131"/>
  <c r="F20" i="131"/>
  <c r="C20" i="131"/>
  <c r="I20" i="131" s="1"/>
  <c r="B20" i="131"/>
  <c r="A20" i="131"/>
  <c r="D19" i="131"/>
  <c r="F19" i="131" s="1"/>
  <c r="C19" i="131"/>
  <c r="I19" i="131" s="1"/>
  <c r="B19" i="131"/>
  <c r="A19" i="131"/>
  <c r="G18" i="131"/>
  <c r="F17" i="131"/>
  <c r="C17" i="131"/>
  <c r="I17" i="131" s="1"/>
  <c r="B17" i="131"/>
  <c r="A17" i="131"/>
  <c r="D16" i="131"/>
  <c r="F16" i="131" s="1"/>
  <c r="C16" i="131"/>
  <c r="I16" i="131" s="1"/>
  <c r="B16" i="131"/>
  <c r="A16" i="131"/>
  <c r="G8" i="131"/>
  <c r="D8" i="131"/>
  <c r="F8" i="131" s="1"/>
  <c r="C8" i="131"/>
  <c r="A8" i="131"/>
  <c r="G7" i="131"/>
  <c r="D7" i="131" s="1"/>
  <c r="F7" i="131" s="1"/>
  <c r="G34" i="130"/>
  <c r="G35" i="130" s="1"/>
  <c r="D34" i="130"/>
  <c r="F34" i="130" s="1"/>
  <c r="C34" i="130"/>
  <c r="B34" i="130"/>
  <c r="A34" i="130"/>
  <c r="G33" i="130"/>
  <c r="I33" i="130" s="1"/>
  <c r="C33" i="130"/>
  <c r="B33" i="130"/>
  <c r="A33" i="130"/>
  <c r="G30" i="130"/>
  <c r="F29" i="130"/>
  <c r="C29" i="130"/>
  <c r="I29" i="130" s="1"/>
  <c r="B29" i="130"/>
  <c r="A29" i="130"/>
  <c r="D28" i="130"/>
  <c r="F28" i="130" s="1"/>
  <c r="C28" i="130"/>
  <c r="I28" i="130" s="1"/>
  <c r="B28" i="130"/>
  <c r="A28" i="130"/>
  <c r="G27" i="130"/>
  <c r="F26" i="130"/>
  <c r="C26" i="130"/>
  <c r="I26" i="130" s="1"/>
  <c r="B26" i="130"/>
  <c r="A26" i="130"/>
  <c r="I25" i="130"/>
  <c r="D25" i="130"/>
  <c r="F25" i="130" s="1"/>
  <c r="H25" i="130" s="1"/>
  <c r="B25" i="130"/>
  <c r="A25" i="130"/>
  <c r="G24" i="130"/>
  <c r="F23" i="130"/>
  <c r="C23" i="130"/>
  <c r="I23" i="130" s="1"/>
  <c r="B23" i="130"/>
  <c r="A23" i="130"/>
  <c r="D22" i="130"/>
  <c r="F22" i="130" s="1"/>
  <c r="C22" i="130"/>
  <c r="I22" i="130" s="1"/>
  <c r="B22" i="130"/>
  <c r="A22" i="130"/>
  <c r="G21" i="130"/>
  <c r="F20" i="130"/>
  <c r="C20" i="130"/>
  <c r="I20" i="130" s="1"/>
  <c r="B20" i="130"/>
  <c r="A20" i="130"/>
  <c r="D19" i="130"/>
  <c r="C19" i="130"/>
  <c r="I19" i="130" s="1"/>
  <c r="B19" i="130"/>
  <c r="A19" i="130"/>
  <c r="G18" i="130"/>
  <c r="F17" i="130"/>
  <c r="C17" i="130"/>
  <c r="I17" i="130" s="1"/>
  <c r="B17" i="130"/>
  <c r="A17" i="130"/>
  <c r="D16" i="130"/>
  <c r="F16" i="130" s="1"/>
  <c r="C16" i="130"/>
  <c r="I16" i="130" s="1"/>
  <c r="B16" i="130"/>
  <c r="A16" i="130"/>
  <c r="G8" i="130"/>
  <c r="D8" i="130"/>
  <c r="F8" i="130" s="1"/>
  <c r="C8" i="130"/>
  <c r="A8" i="130"/>
  <c r="G7" i="130"/>
  <c r="G34" i="129"/>
  <c r="D34" i="129"/>
  <c r="F34" i="129" s="1"/>
  <c r="C34" i="129"/>
  <c r="B34" i="129"/>
  <c r="A34" i="129"/>
  <c r="G33" i="129"/>
  <c r="C33" i="129"/>
  <c r="B33" i="129"/>
  <c r="A33" i="129"/>
  <c r="G30" i="129"/>
  <c r="F29" i="129"/>
  <c r="C29" i="129"/>
  <c r="I29" i="129" s="1"/>
  <c r="B29" i="129"/>
  <c r="A29" i="129"/>
  <c r="D28" i="129"/>
  <c r="F28" i="129" s="1"/>
  <c r="H28" i="129" s="1"/>
  <c r="C28" i="129"/>
  <c r="I28" i="129" s="1"/>
  <c r="B28" i="129"/>
  <c r="A28" i="129"/>
  <c r="G27" i="129"/>
  <c r="F26" i="129"/>
  <c r="C26" i="129"/>
  <c r="I26" i="129" s="1"/>
  <c r="B26" i="129"/>
  <c r="A26" i="129"/>
  <c r="I25" i="129"/>
  <c r="D25" i="129"/>
  <c r="F25" i="129" s="1"/>
  <c r="B25" i="129"/>
  <c r="A25" i="129"/>
  <c r="G24" i="129"/>
  <c r="I23" i="129"/>
  <c r="F23" i="129"/>
  <c r="C23" i="129"/>
  <c r="B23" i="129"/>
  <c r="A23" i="129"/>
  <c r="D22" i="129"/>
  <c r="C22" i="129"/>
  <c r="I22" i="129" s="1"/>
  <c r="B22" i="129"/>
  <c r="A22" i="129"/>
  <c r="G21" i="129"/>
  <c r="I20" i="129"/>
  <c r="F20" i="129"/>
  <c r="C20" i="129"/>
  <c r="B20" i="129"/>
  <c r="A20" i="129"/>
  <c r="I19" i="129"/>
  <c r="D19" i="129"/>
  <c r="F19" i="129" s="1"/>
  <c r="C19" i="129"/>
  <c r="B19" i="129"/>
  <c r="A19" i="129"/>
  <c r="G18" i="129"/>
  <c r="F17" i="129"/>
  <c r="H17" i="129" s="1"/>
  <c r="C17" i="129"/>
  <c r="I17" i="129" s="1"/>
  <c r="B17" i="129"/>
  <c r="A17" i="129"/>
  <c r="D16" i="129"/>
  <c r="F16" i="129" s="1"/>
  <c r="C16" i="129"/>
  <c r="I16" i="129" s="1"/>
  <c r="B16" i="129"/>
  <c r="A16" i="129"/>
  <c r="G8" i="129"/>
  <c r="D8" i="129"/>
  <c r="F8" i="129" s="1"/>
  <c r="C8" i="129"/>
  <c r="B8" i="129"/>
  <c r="G7" i="129"/>
  <c r="D7" i="129" s="1"/>
  <c r="F7" i="129" s="1"/>
  <c r="G34" i="128"/>
  <c r="D34" i="128"/>
  <c r="F34" i="128" s="1"/>
  <c r="C34" i="128"/>
  <c r="B34" i="128"/>
  <c r="A34" i="128"/>
  <c r="G33" i="128"/>
  <c r="C33" i="128"/>
  <c r="B33" i="128"/>
  <c r="A33" i="128"/>
  <c r="G30" i="128"/>
  <c r="F29" i="128"/>
  <c r="C29" i="128"/>
  <c r="I29" i="128" s="1"/>
  <c r="B29" i="128"/>
  <c r="A29" i="128"/>
  <c r="D28" i="128"/>
  <c r="F28" i="128" s="1"/>
  <c r="C28" i="128"/>
  <c r="I28" i="128" s="1"/>
  <c r="B28" i="128"/>
  <c r="A28" i="128"/>
  <c r="G27" i="128"/>
  <c r="F26" i="128"/>
  <c r="C26" i="128"/>
  <c r="I26" i="128" s="1"/>
  <c r="B26" i="128"/>
  <c r="A26" i="128"/>
  <c r="I25" i="128"/>
  <c r="D25" i="128"/>
  <c r="F25" i="128" s="1"/>
  <c r="B25" i="128"/>
  <c r="A25" i="128"/>
  <c r="G24" i="128"/>
  <c r="F23" i="128"/>
  <c r="C23" i="128"/>
  <c r="I23" i="128" s="1"/>
  <c r="B23" i="128"/>
  <c r="A23" i="128"/>
  <c r="D22" i="128"/>
  <c r="F22" i="128" s="1"/>
  <c r="C22" i="128"/>
  <c r="I22" i="128" s="1"/>
  <c r="B22" i="128"/>
  <c r="A22" i="128"/>
  <c r="G21" i="128"/>
  <c r="I20" i="128"/>
  <c r="F20" i="128"/>
  <c r="C20" i="128"/>
  <c r="B20" i="128"/>
  <c r="A20" i="128"/>
  <c r="D19" i="128"/>
  <c r="F19" i="128" s="1"/>
  <c r="C19" i="128"/>
  <c r="I19" i="128" s="1"/>
  <c r="B19" i="128"/>
  <c r="A19" i="128"/>
  <c r="G18" i="128"/>
  <c r="F17" i="128"/>
  <c r="C17" i="128"/>
  <c r="I17" i="128" s="1"/>
  <c r="B17" i="128"/>
  <c r="A17" i="128"/>
  <c r="D16" i="128"/>
  <c r="F16" i="128" s="1"/>
  <c r="C16" i="128"/>
  <c r="I16" i="128" s="1"/>
  <c r="B16" i="128"/>
  <c r="A16" i="128"/>
  <c r="G8" i="128"/>
  <c r="D8" i="128"/>
  <c r="F8" i="128" s="1"/>
  <c r="C8" i="128"/>
  <c r="A8" i="128"/>
  <c r="G7" i="128"/>
  <c r="G34" i="127"/>
  <c r="D34" i="127"/>
  <c r="F34" i="127" s="1"/>
  <c r="C34" i="127"/>
  <c r="B34" i="127"/>
  <c r="A34" i="127"/>
  <c r="G33" i="127"/>
  <c r="C33" i="127"/>
  <c r="B33" i="127"/>
  <c r="A33" i="127"/>
  <c r="G30" i="127"/>
  <c r="I29" i="127"/>
  <c r="F29" i="127"/>
  <c r="H29" i="127" s="1"/>
  <c r="C29" i="127"/>
  <c r="B29" i="127"/>
  <c r="A29" i="127"/>
  <c r="D28" i="127"/>
  <c r="C28" i="127"/>
  <c r="I28" i="127" s="1"/>
  <c r="B28" i="127"/>
  <c r="A28" i="127"/>
  <c r="G27" i="127"/>
  <c r="F26" i="127"/>
  <c r="C26" i="127"/>
  <c r="I26" i="127" s="1"/>
  <c r="B26" i="127"/>
  <c r="A26" i="127"/>
  <c r="I25" i="127"/>
  <c r="D25" i="127"/>
  <c r="F25" i="127" s="1"/>
  <c r="H25" i="127" s="1"/>
  <c r="B25" i="127"/>
  <c r="A25" i="127"/>
  <c r="G24" i="127"/>
  <c r="F23" i="127"/>
  <c r="C23" i="127"/>
  <c r="I23" i="127" s="1"/>
  <c r="B23" i="127"/>
  <c r="A23" i="127"/>
  <c r="D22" i="127"/>
  <c r="F22" i="127" s="1"/>
  <c r="C22" i="127"/>
  <c r="I22" i="127" s="1"/>
  <c r="B22" i="127"/>
  <c r="A22" i="127"/>
  <c r="G21" i="127"/>
  <c r="F20" i="127"/>
  <c r="C20" i="127"/>
  <c r="I20" i="127" s="1"/>
  <c r="B20" i="127"/>
  <c r="A20" i="127"/>
  <c r="F19" i="127"/>
  <c r="D19" i="127"/>
  <c r="C19" i="127"/>
  <c r="I19" i="127" s="1"/>
  <c r="B19" i="127"/>
  <c r="A19" i="127"/>
  <c r="G18" i="127"/>
  <c r="F17" i="127"/>
  <c r="C17" i="127"/>
  <c r="B17" i="127"/>
  <c r="A17" i="127"/>
  <c r="D16" i="127"/>
  <c r="F16" i="127" s="1"/>
  <c r="C16" i="127"/>
  <c r="I16" i="127" s="1"/>
  <c r="B16" i="127"/>
  <c r="A16" i="127"/>
  <c r="G8" i="127"/>
  <c r="I8" i="127" s="1"/>
  <c r="D8" i="127"/>
  <c r="F8" i="127" s="1"/>
  <c r="H8" i="127" s="1"/>
  <c r="D40" i="127" s="1"/>
  <c r="C8" i="127"/>
  <c r="A8" i="127"/>
  <c r="G7" i="127"/>
  <c r="D7" i="127" s="1"/>
  <c r="F7" i="127" s="1"/>
  <c r="G34" i="126"/>
  <c r="D34" i="126"/>
  <c r="F34" i="126" s="1"/>
  <c r="C34" i="126"/>
  <c r="B34" i="126"/>
  <c r="A34" i="126"/>
  <c r="G33" i="126"/>
  <c r="C33" i="126"/>
  <c r="B33" i="126"/>
  <c r="A33" i="126"/>
  <c r="G30" i="126"/>
  <c r="F29" i="126"/>
  <c r="C29" i="126"/>
  <c r="I29" i="126" s="1"/>
  <c r="B29" i="126"/>
  <c r="A29" i="126"/>
  <c r="D28" i="126"/>
  <c r="C28" i="126"/>
  <c r="I28" i="126" s="1"/>
  <c r="B28" i="126"/>
  <c r="A28" i="126"/>
  <c r="G27" i="126"/>
  <c r="F26" i="126"/>
  <c r="C26" i="126"/>
  <c r="I26" i="126" s="1"/>
  <c r="B26" i="126"/>
  <c r="A26" i="126"/>
  <c r="I25" i="126"/>
  <c r="D25" i="126"/>
  <c r="F25" i="126" s="1"/>
  <c r="H25" i="126" s="1"/>
  <c r="J25" i="126" s="1"/>
  <c r="B25" i="126"/>
  <c r="A25" i="126"/>
  <c r="G24" i="126"/>
  <c r="F23" i="126"/>
  <c r="C23" i="126"/>
  <c r="I23" i="126" s="1"/>
  <c r="B23" i="126"/>
  <c r="A23" i="126"/>
  <c r="D22" i="126"/>
  <c r="F22" i="126" s="1"/>
  <c r="F24" i="126" s="1"/>
  <c r="C22" i="126"/>
  <c r="I22" i="126" s="1"/>
  <c r="B22" i="126"/>
  <c r="A22" i="126"/>
  <c r="G21" i="126"/>
  <c r="F20" i="126"/>
  <c r="C20" i="126"/>
  <c r="I20" i="126" s="1"/>
  <c r="B20" i="126"/>
  <c r="A20" i="126"/>
  <c r="D19" i="126"/>
  <c r="F19" i="126" s="1"/>
  <c r="C19" i="126"/>
  <c r="I19" i="126" s="1"/>
  <c r="B19" i="126"/>
  <c r="A19" i="126"/>
  <c r="G18" i="126"/>
  <c r="F17" i="126"/>
  <c r="H17" i="126" s="1"/>
  <c r="C17" i="126"/>
  <c r="I17" i="126" s="1"/>
  <c r="B17" i="126"/>
  <c r="A17" i="126"/>
  <c r="D16" i="126"/>
  <c r="F16" i="126" s="1"/>
  <c r="C16" i="126"/>
  <c r="I16" i="126" s="1"/>
  <c r="B16" i="126"/>
  <c r="A16" i="126"/>
  <c r="G8" i="126"/>
  <c r="D8" i="126"/>
  <c r="F8" i="126" s="1"/>
  <c r="C8" i="126"/>
  <c r="B8" i="126"/>
  <c r="A8" i="126"/>
  <c r="G7" i="126"/>
  <c r="G34" i="125"/>
  <c r="D34" i="125"/>
  <c r="F34" i="125" s="1"/>
  <c r="C34" i="125"/>
  <c r="B34" i="125"/>
  <c r="A34" i="125"/>
  <c r="G33" i="125"/>
  <c r="C33" i="125"/>
  <c r="B33" i="125"/>
  <c r="A33" i="125"/>
  <c r="G30" i="125"/>
  <c r="F29" i="125"/>
  <c r="C29" i="125"/>
  <c r="B29" i="125"/>
  <c r="A29" i="125"/>
  <c r="D28" i="125"/>
  <c r="C28" i="125"/>
  <c r="I28" i="125" s="1"/>
  <c r="B28" i="125"/>
  <c r="A28" i="125"/>
  <c r="G27" i="125"/>
  <c r="F26" i="125"/>
  <c r="C26" i="125"/>
  <c r="I26" i="125" s="1"/>
  <c r="B26" i="125"/>
  <c r="A26" i="125"/>
  <c r="I25" i="125"/>
  <c r="D25" i="125"/>
  <c r="F25" i="125" s="1"/>
  <c r="B25" i="125"/>
  <c r="A25" i="125"/>
  <c r="G24" i="125"/>
  <c r="F23" i="125"/>
  <c r="C23" i="125"/>
  <c r="I23" i="125" s="1"/>
  <c r="B23" i="125"/>
  <c r="A23" i="125"/>
  <c r="D22" i="125"/>
  <c r="F22" i="125" s="1"/>
  <c r="C22" i="125"/>
  <c r="I22" i="125" s="1"/>
  <c r="B22" i="125"/>
  <c r="A22" i="125"/>
  <c r="G21" i="125"/>
  <c r="F20" i="125"/>
  <c r="C20" i="125"/>
  <c r="B20" i="125"/>
  <c r="A20" i="125"/>
  <c r="D19" i="125"/>
  <c r="F19" i="125" s="1"/>
  <c r="C19" i="125"/>
  <c r="I19" i="125" s="1"/>
  <c r="B19" i="125"/>
  <c r="A19" i="125"/>
  <c r="G18" i="125"/>
  <c r="F17" i="125"/>
  <c r="C17" i="125"/>
  <c r="B17" i="125"/>
  <c r="A17" i="125"/>
  <c r="D16" i="125"/>
  <c r="F16" i="125" s="1"/>
  <c r="C16" i="125"/>
  <c r="I16" i="125" s="1"/>
  <c r="B16" i="125"/>
  <c r="A16" i="125"/>
  <c r="G8" i="125"/>
  <c r="D8" i="125"/>
  <c r="F8" i="125" s="1"/>
  <c r="C8" i="125"/>
  <c r="B8" i="125"/>
  <c r="G7" i="125"/>
  <c r="G34" i="124"/>
  <c r="D34" i="124"/>
  <c r="F34" i="124" s="1"/>
  <c r="C34" i="124"/>
  <c r="B34" i="124"/>
  <c r="A34" i="124"/>
  <c r="G33" i="124"/>
  <c r="C33" i="124"/>
  <c r="B33" i="124"/>
  <c r="A33" i="124"/>
  <c r="G30" i="124"/>
  <c r="F29" i="124"/>
  <c r="C29" i="124"/>
  <c r="I29" i="124" s="1"/>
  <c r="B29" i="124"/>
  <c r="A29" i="124"/>
  <c r="D28" i="124"/>
  <c r="F28" i="124" s="1"/>
  <c r="C28" i="124"/>
  <c r="I28" i="124" s="1"/>
  <c r="B28" i="124"/>
  <c r="A28" i="124"/>
  <c r="G27" i="124"/>
  <c r="F26" i="124"/>
  <c r="C26" i="124"/>
  <c r="I26" i="124" s="1"/>
  <c r="B26" i="124"/>
  <c r="A26" i="124"/>
  <c r="I25" i="124"/>
  <c r="D25" i="124"/>
  <c r="F25" i="124" s="1"/>
  <c r="H25" i="124" s="1"/>
  <c r="J25" i="124" s="1"/>
  <c r="B25" i="124"/>
  <c r="A25" i="124"/>
  <c r="F23" i="124"/>
  <c r="C23" i="124"/>
  <c r="I23" i="124" s="1"/>
  <c r="B23" i="124"/>
  <c r="A23" i="124"/>
  <c r="D22" i="124"/>
  <c r="F22" i="124" s="1"/>
  <c r="C22" i="124"/>
  <c r="I22" i="124" s="1"/>
  <c r="B22" i="124"/>
  <c r="A22" i="124"/>
  <c r="G21" i="124"/>
  <c r="F20" i="124"/>
  <c r="C20" i="124"/>
  <c r="I20" i="124" s="1"/>
  <c r="B20" i="124"/>
  <c r="A20" i="124"/>
  <c r="D19" i="124"/>
  <c r="C19" i="124"/>
  <c r="I19" i="124" s="1"/>
  <c r="B19" i="124"/>
  <c r="A19" i="124"/>
  <c r="G18" i="124"/>
  <c r="F17" i="124"/>
  <c r="C17" i="124"/>
  <c r="I17" i="124" s="1"/>
  <c r="B17" i="124"/>
  <c r="A17" i="124"/>
  <c r="I16" i="124"/>
  <c r="D16" i="124"/>
  <c r="F16" i="124" s="1"/>
  <c r="C16" i="124"/>
  <c r="B16" i="124"/>
  <c r="A16" i="124"/>
  <c r="G8" i="124"/>
  <c r="D8" i="124"/>
  <c r="F8" i="124" s="1"/>
  <c r="H8" i="124" s="1"/>
  <c r="D40" i="124" s="1"/>
  <c r="C8" i="124"/>
  <c r="A8" i="124"/>
  <c r="G7" i="124"/>
  <c r="D7" i="124" s="1"/>
  <c r="F7" i="124" s="1"/>
  <c r="G34" i="123"/>
  <c r="D34" i="123"/>
  <c r="F34" i="123" s="1"/>
  <c r="C34" i="123"/>
  <c r="B34" i="123"/>
  <c r="A34" i="123"/>
  <c r="G33" i="123"/>
  <c r="C33" i="123"/>
  <c r="B33" i="123"/>
  <c r="A33" i="123"/>
  <c r="G30" i="123"/>
  <c r="F29" i="123"/>
  <c r="C29" i="123"/>
  <c r="I29" i="123" s="1"/>
  <c r="B29" i="123"/>
  <c r="A29" i="123"/>
  <c r="D28" i="123"/>
  <c r="C28" i="123"/>
  <c r="I28" i="123" s="1"/>
  <c r="B28" i="123"/>
  <c r="A28" i="123"/>
  <c r="G27" i="123"/>
  <c r="F26" i="123"/>
  <c r="C26" i="123"/>
  <c r="I26" i="123" s="1"/>
  <c r="B26" i="123"/>
  <c r="A26" i="123"/>
  <c r="I25" i="123"/>
  <c r="F25" i="123"/>
  <c r="H25" i="123" s="1"/>
  <c r="D25" i="123"/>
  <c r="B25" i="123"/>
  <c r="A25" i="123"/>
  <c r="G24" i="123"/>
  <c r="F23" i="123"/>
  <c r="C23" i="123"/>
  <c r="H23" i="123" s="1"/>
  <c r="B23" i="123"/>
  <c r="A23" i="123"/>
  <c r="D22" i="123"/>
  <c r="F22" i="123" s="1"/>
  <c r="C22" i="123"/>
  <c r="I22" i="123" s="1"/>
  <c r="B22" i="123"/>
  <c r="A22" i="123"/>
  <c r="G21" i="123"/>
  <c r="F20" i="123"/>
  <c r="H20" i="123" s="1"/>
  <c r="C20" i="123"/>
  <c r="I20" i="123" s="1"/>
  <c r="B20" i="123"/>
  <c r="A20" i="123"/>
  <c r="D19" i="123"/>
  <c r="F19" i="123" s="1"/>
  <c r="C19" i="123"/>
  <c r="I19" i="123" s="1"/>
  <c r="B19" i="123"/>
  <c r="A19" i="123"/>
  <c r="G18" i="123"/>
  <c r="F17" i="123"/>
  <c r="C17" i="123"/>
  <c r="I17" i="123" s="1"/>
  <c r="B17" i="123"/>
  <c r="A17" i="123"/>
  <c r="D16" i="123"/>
  <c r="F16" i="123" s="1"/>
  <c r="C16" i="123"/>
  <c r="I16" i="123" s="1"/>
  <c r="B16" i="123"/>
  <c r="A16" i="123"/>
  <c r="G8" i="123"/>
  <c r="F8" i="123"/>
  <c r="D8" i="123"/>
  <c r="C8" i="123"/>
  <c r="B8" i="123"/>
  <c r="G7" i="123"/>
  <c r="G34" i="122"/>
  <c r="D34" i="122"/>
  <c r="F34" i="122" s="1"/>
  <c r="C34" i="122"/>
  <c r="B34" i="122"/>
  <c r="A34" i="122"/>
  <c r="G33" i="122"/>
  <c r="C33" i="122"/>
  <c r="B33" i="122"/>
  <c r="A33" i="122"/>
  <c r="F29" i="122"/>
  <c r="C29" i="122"/>
  <c r="I29" i="122" s="1"/>
  <c r="B29" i="122"/>
  <c r="A29" i="122"/>
  <c r="D28" i="122"/>
  <c r="D33" i="122" s="1"/>
  <c r="F33" i="122" s="1"/>
  <c r="C28" i="122"/>
  <c r="I28" i="122" s="1"/>
  <c r="B28" i="122"/>
  <c r="A28" i="122"/>
  <c r="G27" i="122"/>
  <c r="I26" i="122"/>
  <c r="F26" i="122"/>
  <c r="C26" i="122"/>
  <c r="B26" i="122"/>
  <c r="A26" i="122"/>
  <c r="I25" i="122"/>
  <c r="D25" i="122"/>
  <c r="F25" i="122" s="1"/>
  <c r="H25" i="122" s="1"/>
  <c r="B25" i="122"/>
  <c r="A25" i="122"/>
  <c r="G24" i="122"/>
  <c r="F23" i="122"/>
  <c r="C23" i="122"/>
  <c r="I23" i="122" s="1"/>
  <c r="B23" i="122"/>
  <c r="A23" i="122"/>
  <c r="D22" i="122"/>
  <c r="F22" i="122" s="1"/>
  <c r="C22" i="122"/>
  <c r="I22" i="122" s="1"/>
  <c r="B22" i="122"/>
  <c r="A22" i="122"/>
  <c r="G21" i="122"/>
  <c r="F20" i="122"/>
  <c r="C20" i="122"/>
  <c r="I20" i="122" s="1"/>
  <c r="B20" i="122"/>
  <c r="A20" i="122"/>
  <c r="D19" i="122"/>
  <c r="F19" i="122" s="1"/>
  <c r="C19" i="122"/>
  <c r="I19" i="122" s="1"/>
  <c r="B19" i="122"/>
  <c r="A19" i="122"/>
  <c r="G18" i="122"/>
  <c r="F17" i="122"/>
  <c r="C17" i="122"/>
  <c r="I17" i="122" s="1"/>
  <c r="B17" i="122"/>
  <c r="A17" i="122"/>
  <c r="D16" i="122"/>
  <c r="F16" i="122" s="1"/>
  <c r="C16" i="122"/>
  <c r="I16" i="122" s="1"/>
  <c r="B16" i="122"/>
  <c r="A16" i="122"/>
  <c r="G8" i="122"/>
  <c r="D8" i="122"/>
  <c r="F8" i="122" s="1"/>
  <c r="C8" i="122"/>
  <c r="B8" i="122"/>
  <c r="G7" i="122"/>
  <c r="G34" i="121"/>
  <c r="D34" i="121"/>
  <c r="F34" i="121" s="1"/>
  <c r="C34" i="121"/>
  <c r="B34" i="121"/>
  <c r="A34" i="121"/>
  <c r="G33" i="121"/>
  <c r="G35" i="121" s="1"/>
  <c r="C33" i="121"/>
  <c r="B33" i="121"/>
  <c r="A33" i="121"/>
  <c r="F29" i="121"/>
  <c r="C29" i="121"/>
  <c r="I29" i="121" s="1"/>
  <c r="B29" i="121"/>
  <c r="A29" i="121"/>
  <c r="D28" i="121"/>
  <c r="D33" i="121" s="1"/>
  <c r="F33" i="121" s="1"/>
  <c r="H33" i="121" s="1"/>
  <c r="C28" i="121"/>
  <c r="I28" i="121" s="1"/>
  <c r="B28" i="121"/>
  <c r="A28" i="121"/>
  <c r="G27" i="121"/>
  <c r="F26" i="121"/>
  <c r="C26" i="121"/>
  <c r="I26" i="121" s="1"/>
  <c r="B26" i="121"/>
  <c r="A26" i="121"/>
  <c r="I25" i="121"/>
  <c r="D25" i="121"/>
  <c r="F25" i="121" s="1"/>
  <c r="B25" i="121"/>
  <c r="A25" i="121"/>
  <c r="G24" i="121"/>
  <c r="F23" i="121"/>
  <c r="C23" i="121"/>
  <c r="I23" i="121" s="1"/>
  <c r="B23" i="121"/>
  <c r="A23" i="121"/>
  <c r="D22" i="121"/>
  <c r="F22" i="121" s="1"/>
  <c r="C22" i="121"/>
  <c r="I22" i="121" s="1"/>
  <c r="B22" i="121"/>
  <c r="A22" i="121"/>
  <c r="F20" i="121"/>
  <c r="C20" i="121"/>
  <c r="I20" i="121" s="1"/>
  <c r="B20" i="121"/>
  <c r="A20" i="121"/>
  <c r="D19" i="121"/>
  <c r="F19" i="121" s="1"/>
  <c r="C19" i="121"/>
  <c r="I19" i="121" s="1"/>
  <c r="B19" i="121"/>
  <c r="A19" i="121"/>
  <c r="G18" i="121"/>
  <c r="F17" i="121"/>
  <c r="C17" i="121"/>
  <c r="I17" i="121" s="1"/>
  <c r="B17" i="121"/>
  <c r="A17" i="121"/>
  <c r="D16" i="121"/>
  <c r="F16" i="121" s="1"/>
  <c r="C16" i="121"/>
  <c r="I16" i="121" s="1"/>
  <c r="B16" i="121"/>
  <c r="A16" i="121"/>
  <c r="G8" i="121"/>
  <c r="I8" i="121" s="1"/>
  <c r="D8" i="121"/>
  <c r="F8" i="121" s="1"/>
  <c r="C8" i="121"/>
  <c r="B8" i="121"/>
  <c r="A8" i="121"/>
  <c r="G7" i="121"/>
  <c r="G34" i="120"/>
  <c r="D34" i="120"/>
  <c r="F34" i="120" s="1"/>
  <c r="C34" i="120"/>
  <c r="B34" i="120"/>
  <c r="A34" i="120"/>
  <c r="G33" i="120"/>
  <c r="C33" i="120"/>
  <c r="B33" i="120"/>
  <c r="A33" i="120"/>
  <c r="G30" i="120"/>
  <c r="F29" i="120"/>
  <c r="C29" i="120"/>
  <c r="I29" i="120" s="1"/>
  <c r="B29" i="120"/>
  <c r="A29" i="120"/>
  <c r="D28" i="120"/>
  <c r="C28" i="120"/>
  <c r="I28" i="120" s="1"/>
  <c r="B28" i="120"/>
  <c r="A28" i="120"/>
  <c r="G27" i="120"/>
  <c r="F26" i="120"/>
  <c r="C26" i="120"/>
  <c r="I26" i="120" s="1"/>
  <c r="B26" i="120"/>
  <c r="A26" i="120"/>
  <c r="I25" i="120"/>
  <c r="D25" i="120"/>
  <c r="F25" i="120" s="1"/>
  <c r="H25" i="120" s="1"/>
  <c r="J25" i="120" s="1"/>
  <c r="B25" i="120"/>
  <c r="A25" i="120"/>
  <c r="G24" i="120"/>
  <c r="F23" i="120"/>
  <c r="C23" i="120"/>
  <c r="I23" i="120" s="1"/>
  <c r="B23" i="120"/>
  <c r="A23" i="120"/>
  <c r="D22" i="120"/>
  <c r="F22" i="120" s="1"/>
  <c r="C22" i="120"/>
  <c r="I22" i="120" s="1"/>
  <c r="B22" i="120"/>
  <c r="A22" i="120"/>
  <c r="G21" i="120"/>
  <c r="F20" i="120"/>
  <c r="C20" i="120"/>
  <c r="B20" i="120"/>
  <c r="A20" i="120"/>
  <c r="D19" i="120"/>
  <c r="F19" i="120" s="1"/>
  <c r="C19" i="120"/>
  <c r="I19" i="120" s="1"/>
  <c r="B19" i="120"/>
  <c r="A19" i="120"/>
  <c r="G18" i="120"/>
  <c r="F17" i="120"/>
  <c r="C17" i="120"/>
  <c r="B17" i="120"/>
  <c r="A17" i="120"/>
  <c r="D16" i="120"/>
  <c r="F16" i="120" s="1"/>
  <c r="C16" i="120"/>
  <c r="I16" i="120" s="1"/>
  <c r="B16" i="120"/>
  <c r="A16" i="120"/>
  <c r="G8" i="120"/>
  <c r="D8" i="120"/>
  <c r="F8" i="120" s="1"/>
  <c r="C8" i="120"/>
  <c r="A8" i="120"/>
  <c r="G7" i="120"/>
  <c r="D7" i="120" s="1"/>
  <c r="F7" i="120" s="1"/>
  <c r="B8" i="110"/>
  <c r="A8" i="110"/>
  <c r="B8" i="111"/>
  <c r="B8" i="112"/>
  <c r="A8" i="113"/>
  <c r="B8" i="114"/>
  <c r="J29" i="127" l="1"/>
  <c r="I33" i="137"/>
  <c r="I33" i="129"/>
  <c r="H16" i="133"/>
  <c r="H29" i="126"/>
  <c r="J29" i="126" s="1"/>
  <c r="H23" i="120"/>
  <c r="F27" i="123"/>
  <c r="H19" i="126"/>
  <c r="H20" i="127"/>
  <c r="G35" i="137"/>
  <c r="H22" i="128"/>
  <c r="I34" i="128"/>
  <c r="I34" i="129"/>
  <c r="H29" i="134"/>
  <c r="I8" i="120"/>
  <c r="G35" i="136"/>
  <c r="F21" i="141"/>
  <c r="F18" i="132"/>
  <c r="H20" i="134"/>
  <c r="J20" i="134" s="1"/>
  <c r="I33" i="126"/>
  <c r="I33" i="134"/>
  <c r="H17" i="121"/>
  <c r="D33" i="132"/>
  <c r="F33" i="132" s="1"/>
  <c r="H33" i="132" s="1"/>
  <c r="H26" i="138"/>
  <c r="D39" i="138" s="1"/>
  <c r="G35" i="135"/>
  <c r="H20" i="124"/>
  <c r="H26" i="130"/>
  <c r="D39" i="130" s="1"/>
  <c r="D33" i="131"/>
  <c r="F33" i="131" s="1"/>
  <c r="I33" i="125"/>
  <c r="F18" i="131"/>
  <c r="J25" i="136"/>
  <c r="H8" i="122"/>
  <c r="D33" i="124"/>
  <c r="F33" i="124" s="1"/>
  <c r="D33" i="120"/>
  <c r="F33" i="120" s="1"/>
  <c r="H33" i="120" s="1"/>
  <c r="F21" i="133"/>
  <c r="H34" i="124"/>
  <c r="D38" i="124" s="1"/>
  <c r="H22" i="132"/>
  <c r="H20" i="120"/>
  <c r="I34" i="122"/>
  <c r="H23" i="141"/>
  <c r="I8" i="122"/>
  <c r="J8" i="122" s="1"/>
  <c r="G35" i="120"/>
  <c r="H34" i="133"/>
  <c r="D38" i="133" s="1"/>
  <c r="H22" i="124"/>
  <c r="I33" i="138"/>
  <c r="H19" i="128"/>
  <c r="I22" i="132"/>
  <c r="J22" i="132" s="1"/>
  <c r="G35" i="139"/>
  <c r="F24" i="140"/>
  <c r="F24" i="122"/>
  <c r="H8" i="140"/>
  <c r="D40" i="140" s="1"/>
  <c r="H26" i="140"/>
  <c r="D39" i="140" s="1"/>
  <c r="H17" i="120"/>
  <c r="F24" i="120"/>
  <c r="F21" i="120"/>
  <c r="F18" i="120"/>
  <c r="I34" i="120"/>
  <c r="H16" i="120"/>
  <c r="H29" i="120"/>
  <c r="J29" i="120" s="1"/>
  <c r="H19" i="120"/>
  <c r="J19" i="120" s="1"/>
  <c r="H34" i="120"/>
  <c r="D38" i="120" s="1"/>
  <c r="I20" i="120"/>
  <c r="J20" i="120" s="1"/>
  <c r="I33" i="120"/>
  <c r="J33" i="120" s="1"/>
  <c r="H29" i="121"/>
  <c r="F28" i="121"/>
  <c r="H28" i="121" s="1"/>
  <c r="F24" i="121"/>
  <c r="I34" i="121"/>
  <c r="I33" i="121"/>
  <c r="J33" i="121" s="1"/>
  <c r="G12" i="121"/>
  <c r="G10" i="121"/>
  <c r="D7" i="121"/>
  <c r="F7" i="121" s="1"/>
  <c r="F12" i="121" s="1"/>
  <c r="H26" i="121"/>
  <c r="H22" i="121"/>
  <c r="J22" i="121" s="1"/>
  <c r="J29" i="121"/>
  <c r="H19" i="121"/>
  <c r="J19" i="121" s="1"/>
  <c r="H20" i="121"/>
  <c r="J20" i="121" s="1"/>
  <c r="J17" i="121"/>
  <c r="J28" i="121"/>
  <c r="J25" i="122"/>
  <c r="F27" i="122"/>
  <c r="G35" i="122"/>
  <c r="G10" i="122"/>
  <c r="D7" i="122"/>
  <c r="F7" i="122" s="1"/>
  <c r="F10" i="122" s="1"/>
  <c r="I33" i="122"/>
  <c r="J33" i="122" s="1"/>
  <c r="H20" i="122"/>
  <c r="H33" i="122"/>
  <c r="H22" i="122"/>
  <c r="J22" i="122" s="1"/>
  <c r="H34" i="122"/>
  <c r="D38" i="122" s="1"/>
  <c r="H29" i="122"/>
  <c r="J29" i="122" s="1"/>
  <c r="J20" i="122"/>
  <c r="I33" i="123"/>
  <c r="J25" i="123"/>
  <c r="I34" i="123"/>
  <c r="J34" i="123" s="1"/>
  <c r="D33" i="123"/>
  <c r="F33" i="123" s="1"/>
  <c r="H33" i="123" s="1"/>
  <c r="J33" i="123" s="1"/>
  <c r="G35" i="123"/>
  <c r="G12" i="123"/>
  <c r="I8" i="123"/>
  <c r="D7" i="123"/>
  <c r="F7" i="123" s="1"/>
  <c r="F10" i="123" s="1"/>
  <c r="H22" i="123"/>
  <c r="J22" i="123" s="1"/>
  <c r="H34" i="123"/>
  <c r="D38" i="123" s="1"/>
  <c r="H8" i="123"/>
  <c r="D40" i="123" s="1"/>
  <c r="H29" i="123"/>
  <c r="J29" i="123" s="1"/>
  <c r="H26" i="124"/>
  <c r="D39" i="124" s="1"/>
  <c r="F30" i="124"/>
  <c r="F27" i="124"/>
  <c r="J22" i="124"/>
  <c r="G35" i="124"/>
  <c r="I33" i="124"/>
  <c r="G12" i="124"/>
  <c r="F10" i="124"/>
  <c r="F18" i="124"/>
  <c r="G10" i="124"/>
  <c r="H16" i="124"/>
  <c r="J20" i="124"/>
  <c r="H33" i="124"/>
  <c r="H29" i="124"/>
  <c r="J29" i="124" s="1"/>
  <c r="I34" i="124"/>
  <c r="J34" i="124" s="1"/>
  <c r="H17" i="125"/>
  <c r="J17" i="125" s="1"/>
  <c r="H20" i="125"/>
  <c r="H29" i="125"/>
  <c r="I34" i="125"/>
  <c r="D33" i="125"/>
  <c r="F33" i="125" s="1"/>
  <c r="H33" i="125" s="1"/>
  <c r="J33" i="125" s="1"/>
  <c r="F21" i="125"/>
  <c r="G12" i="125"/>
  <c r="F18" i="125"/>
  <c r="H26" i="125"/>
  <c r="D39" i="125" s="1"/>
  <c r="H23" i="125"/>
  <c r="J23" i="125" s="1"/>
  <c r="I17" i="125"/>
  <c r="I20" i="125"/>
  <c r="I8" i="125"/>
  <c r="H34" i="125"/>
  <c r="H16" i="125"/>
  <c r="H19" i="125"/>
  <c r="J19" i="125" s="1"/>
  <c r="G10" i="126"/>
  <c r="F27" i="126"/>
  <c r="F21" i="126"/>
  <c r="G35" i="126"/>
  <c r="G12" i="126"/>
  <c r="I8" i="126"/>
  <c r="D7" i="126"/>
  <c r="F7" i="126" s="1"/>
  <c r="F12" i="126" s="1"/>
  <c r="F10" i="126"/>
  <c r="H26" i="126"/>
  <c r="J17" i="126"/>
  <c r="H23" i="126"/>
  <c r="J19" i="126"/>
  <c r="F21" i="127"/>
  <c r="F27" i="127"/>
  <c r="J25" i="127"/>
  <c r="G35" i="127"/>
  <c r="G10" i="127"/>
  <c r="J8" i="127"/>
  <c r="H22" i="127"/>
  <c r="J22" i="127"/>
  <c r="I33" i="127"/>
  <c r="H34" i="127"/>
  <c r="D38" i="127" s="1"/>
  <c r="F27" i="128"/>
  <c r="F30" i="128"/>
  <c r="G35" i="128"/>
  <c r="F24" i="128"/>
  <c r="I33" i="128"/>
  <c r="F21" i="128"/>
  <c r="D33" i="128"/>
  <c r="F33" i="128" s="1"/>
  <c r="H33" i="128" s="1"/>
  <c r="G12" i="128"/>
  <c r="I8" i="128"/>
  <c r="D7" i="128"/>
  <c r="F7" i="128" s="1"/>
  <c r="F18" i="128"/>
  <c r="F10" i="128"/>
  <c r="G10" i="128"/>
  <c r="H20" i="128"/>
  <c r="J20" i="128" s="1"/>
  <c r="H28" i="128"/>
  <c r="J28" i="128" s="1"/>
  <c r="H34" i="128"/>
  <c r="D38" i="128" s="1"/>
  <c r="H16" i="128"/>
  <c r="F18" i="129"/>
  <c r="H8" i="129"/>
  <c r="D40" i="129" s="1"/>
  <c r="D33" i="129"/>
  <c r="F33" i="129" s="1"/>
  <c r="H33" i="129" s="1"/>
  <c r="J28" i="129"/>
  <c r="H25" i="129"/>
  <c r="J25" i="129" s="1"/>
  <c r="F27" i="129"/>
  <c r="G35" i="129"/>
  <c r="F22" i="129"/>
  <c r="F24" i="129" s="1"/>
  <c r="F21" i="129"/>
  <c r="I7" i="129"/>
  <c r="H26" i="129"/>
  <c r="H34" i="129"/>
  <c r="D38" i="129" s="1"/>
  <c r="J17" i="129"/>
  <c r="H19" i="129"/>
  <c r="J19" i="129" s="1"/>
  <c r="J26" i="130"/>
  <c r="H34" i="130"/>
  <c r="D38" i="130" s="1"/>
  <c r="I8" i="130"/>
  <c r="F24" i="130"/>
  <c r="H22" i="130"/>
  <c r="D33" i="130"/>
  <c r="F33" i="130" s="1"/>
  <c r="F19" i="130"/>
  <c r="G12" i="130"/>
  <c r="J25" i="130"/>
  <c r="H17" i="130"/>
  <c r="J17" i="130" s="1"/>
  <c r="H23" i="130"/>
  <c r="H33" i="130"/>
  <c r="J33" i="130" s="1"/>
  <c r="H19" i="130"/>
  <c r="J19" i="130" s="1"/>
  <c r="H16" i="130"/>
  <c r="H29" i="131"/>
  <c r="F28" i="131"/>
  <c r="H28" i="131" s="1"/>
  <c r="J28" i="131" s="1"/>
  <c r="F30" i="131"/>
  <c r="I7" i="131"/>
  <c r="F10" i="131"/>
  <c r="G10" i="131"/>
  <c r="G12" i="131"/>
  <c r="H16" i="131"/>
  <c r="H34" i="131"/>
  <c r="D38" i="131" s="1"/>
  <c r="I29" i="131"/>
  <c r="H17" i="131"/>
  <c r="J17" i="131" s="1"/>
  <c r="H23" i="131"/>
  <c r="H20" i="131"/>
  <c r="J20" i="131" s="1"/>
  <c r="F24" i="132"/>
  <c r="I34" i="132"/>
  <c r="J34" i="132" s="1"/>
  <c r="F28" i="132"/>
  <c r="H28" i="132" s="1"/>
  <c r="J28" i="132" s="1"/>
  <c r="H25" i="132"/>
  <c r="J25" i="132" s="1"/>
  <c r="F27" i="132"/>
  <c r="J26" i="132"/>
  <c r="H34" i="132"/>
  <c r="D38" i="132" s="1"/>
  <c r="H20" i="132"/>
  <c r="J20" i="132" s="1"/>
  <c r="H23" i="132"/>
  <c r="H17" i="132"/>
  <c r="J17" i="132" s="1"/>
  <c r="I33" i="132"/>
  <c r="F27" i="133"/>
  <c r="I34" i="133"/>
  <c r="I33" i="133"/>
  <c r="G35" i="133"/>
  <c r="G10" i="133"/>
  <c r="F18" i="133"/>
  <c r="J26" i="133"/>
  <c r="H29" i="133"/>
  <c r="H23" i="133"/>
  <c r="J23" i="133" s="1"/>
  <c r="H17" i="133"/>
  <c r="J17" i="133" s="1"/>
  <c r="H20" i="133"/>
  <c r="J20" i="133" s="1"/>
  <c r="H28" i="133"/>
  <c r="J28" i="133" s="1"/>
  <c r="J26" i="134"/>
  <c r="J29" i="134"/>
  <c r="I34" i="134"/>
  <c r="J34" i="134" s="1"/>
  <c r="G35" i="134"/>
  <c r="G10" i="134"/>
  <c r="I8" i="134"/>
  <c r="J8" i="134" s="1"/>
  <c r="D7" i="134"/>
  <c r="F7" i="134" s="1"/>
  <c r="F10" i="134" s="1"/>
  <c r="F21" i="135"/>
  <c r="J8" i="135"/>
  <c r="G10" i="135"/>
  <c r="H19" i="135"/>
  <c r="J19" i="135" s="1"/>
  <c r="D33" i="135"/>
  <c r="F33" i="135" s="1"/>
  <c r="H33" i="135" s="1"/>
  <c r="G12" i="135"/>
  <c r="D7" i="135"/>
  <c r="F7" i="135" s="1"/>
  <c r="H7" i="135" s="1"/>
  <c r="I7" i="135"/>
  <c r="J26" i="135"/>
  <c r="H16" i="135"/>
  <c r="H22" i="135"/>
  <c r="J22" i="135" s="1"/>
  <c r="H29" i="135"/>
  <c r="J29" i="135" s="1"/>
  <c r="H20" i="135"/>
  <c r="J20" i="135" s="1"/>
  <c r="I33" i="135"/>
  <c r="F24" i="136"/>
  <c r="I34" i="136"/>
  <c r="I33" i="136"/>
  <c r="F21" i="136"/>
  <c r="D33" i="136"/>
  <c r="F33" i="136" s="1"/>
  <c r="H33" i="136" s="1"/>
  <c r="F18" i="136"/>
  <c r="H17" i="136"/>
  <c r="J17" i="136" s="1"/>
  <c r="H29" i="136"/>
  <c r="J29" i="136" s="1"/>
  <c r="H20" i="136"/>
  <c r="J20" i="136" s="1"/>
  <c r="H23" i="136"/>
  <c r="H16" i="136"/>
  <c r="H19" i="136"/>
  <c r="J19" i="136" s="1"/>
  <c r="F18" i="137"/>
  <c r="H23" i="137"/>
  <c r="F24" i="137"/>
  <c r="G12" i="137"/>
  <c r="G10" i="137"/>
  <c r="I34" i="137"/>
  <c r="F21" i="137"/>
  <c r="D33" i="137"/>
  <c r="F33" i="137" s="1"/>
  <c r="H33" i="137" s="1"/>
  <c r="J33" i="137" s="1"/>
  <c r="H17" i="137"/>
  <c r="J17" i="137" s="1"/>
  <c r="H29" i="137"/>
  <c r="J29" i="137" s="1"/>
  <c r="H20" i="137"/>
  <c r="J20" i="137" s="1"/>
  <c r="I23" i="137"/>
  <c r="J23" i="137" s="1"/>
  <c r="H16" i="137"/>
  <c r="H19" i="137"/>
  <c r="J19" i="137" s="1"/>
  <c r="F21" i="138"/>
  <c r="G10" i="138"/>
  <c r="F24" i="138"/>
  <c r="D33" i="138"/>
  <c r="F33" i="138" s="1"/>
  <c r="H16" i="138"/>
  <c r="H22" i="138"/>
  <c r="J22" i="138" s="1"/>
  <c r="H20" i="138"/>
  <c r="J20" i="138" s="1"/>
  <c r="I8" i="138"/>
  <c r="J8" i="138" s="1"/>
  <c r="H33" i="138"/>
  <c r="H29" i="138"/>
  <c r="J29" i="138" s="1"/>
  <c r="J20" i="139"/>
  <c r="J26" i="139"/>
  <c r="F24" i="139"/>
  <c r="D33" i="139"/>
  <c r="F33" i="139" s="1"/>
  <c r="H33" i="139" s="1"/>
  <c r="J33" i="139" s="1"/>
  <c r="J8" i="139"/>
  <c r="G10" i="139"/>
  <c r="G12" i="139"/>
  <c r="D7" i="139"/>
  <c r="F7" i="139" s="1"/>
  <c r="F10" i="139" s="1"/>
  <c r="H29" i="139"/>
  <c r="J29" i="139" s="1"/>
  <c r="H22" i="139"/>
  <c r="J22" i="139" s="1"/>
  <c r="H23" i="140"/>
  <c r="G35" i="140"/>
  <c r="G10" i="140"/>
  <c r="D33" i="140"/>
  <c r="F33" i="140" s="1"/>
  <c r="H33" i="140" s="1"/>
  <c r="G12" i="140"/>
  <c r="I7" i="140"/>
  <c r="J26" i="140"/>
  <c r="I8" i="140"/>
  <c r="J8" i="140" s="1"/>
  <c r="H22" i="140"/>
  <c r="J22" i="140" s="1"/>
  <c r="H29" i="140"/>
  <c r="J29" i="140" s="1"/>
  <c r="J20" i="140"/>
  <c r="I33" i="140"/>
  <c r="H8" i="141"/>
  <c r="D40" i="141" s="1"/>
  <c r="I8" i="141"/>
  <c r="J8" i="141" s="1"/>
  <c r="J26" i="141"/>
  <c r="J25" i="141"/>
  <c r="G35" i="141"/>
  <c r="I33" i="141"/>
  <c r="G10" i="141"/>
  <c r="H16" i="141"/>
  <c r="J20" i="141"/>
  <c r="H33" i="141"/>
  <c r="J23" i="141"/>
  <c r="H34" i="141"/>
  <c r="D38" i="141" s="1"/>
  <c r="H22" i="141"/>
  <c r="J22" i="141" s="1"/>
  <c r="J29" i="141"/>
  <c r="H29" i="141"/>
  <c r="H7" i="140"/>
  <c r="F12" i="140"/>
  <c r="F10" i="140"/>
  <c r="F12" i="122"/>
  <c r="H8" i="121"/>
  <c r="D40" i="121" s="1"/>
  <c r="F12" i="120"/>
  <c r="H7" i="120"/>
  <c r="H7" i="141"/>
  <c r="F12" i="141"/>
  <c r="F10" i="141"/>
  <c r="H25" i="121"/>
  <c r="J25" i="121" s="1"/>
  <c r="F27" i="121"/>
  <c r="D40" i="122"/>
  <c r="F27" i="125"/>
  <c r="H25" i="125"/>
  <c r="J25" i="125" s="1"/>
  <c r="F21" i="134"/>
  <c r="H19" i="134"/>
  <c r="J19" i="134" s="1"/>
  <c r="H19" i="123"/>
  <c r="J19" i="123" s="1"/>
  <c r="F21" i="123"/>
  <c r="J34" i="120"/>
  <c r="F12" i="124"/>
  <c r="H7" i="124"/>
  <c r="H22" i="125"/>
  <c r="J22" i="125" s="1"/>
  <c r="F24" i="125"/>
  <c r="H16" i="121"/>
  <c r="F18" i="121"/>
  <c r="H16" i="123"/>
  <c r="F18" i="123"/>
  <c r="F24" i="123"/>
  <c r="H16" i="122"/>
  <c r="F18" i="122"/>
  <c r="F10" i="120"/>
  <c r="H8" i="120"/>
  <c r="D40" i="120" s="1"/>
  <c r="F35" i="121"/>
  <c r="H19" i="122"/>
  <c r="J19" i="122" s="1"/>
  <c r="F21" i="122"/>
  <c r="J20" i="123"/>
  <c r="J26" i="124"/>
  <c r="H16" i="126"/>
  <c r="F18" i="126"/>
  <c r="F12" i="127"/>
  <c r="H7" i="127"/>
  <c r="F10" i="127"/>
  <c r="H28" i="130"/>
  <c r="J28" i="130" s="1"/>
  <c r="F30" i="130"/>
  <c r="H19" i="131"/>
  <c r="J19" i="131" s="1"/>
  <c r="F21" i="131"/>
  <c r="F18" i="138"/>
  <c r="H17" i="138"/>
  <c r="J17" i="138" s="1"/>
  <c r="F28" i="120"/>
  <c r="H23" i="121"/>
  <c r="I8" i="124"/>
  <c r="J8" i="124" s="1"/>
  <c r="H8" i="125"/>
  <c r="D40" i="125" s="1"/>
  <c r="G35" i="125"/>
  <c r="H22" i="126"/>
  <c r="J22" i="126" s="1"/>
  <c r="H34" i="126"/>
  <c r="D38" i="126" s="1"/>
  <c r="H8" i="128"/>
  <c r="D40" i="128" s="1"/>
  <c r="J22" i="130"/>
  <c r="J25" i="131"/>
  <c r="I33" i="131"/>
  <c r="G10" i="132"/>
  <c r="I8" i="133"/>
  <c r="J8" i="133" s="1"/>
  <c r="H28" i="135"/>
  <c r="J28" i="135" s="1"/>
  <c r="G12" i="136"/>
  <c r="F27" i="136"/>
  <c r="H26" i="136"/>
  <c r="F27" i="137"/>
  <c r="H26" i="137"/>
  <c r="H23" i="138"/>
  <c r="H25" i="139"/>
  <c r="J25" i="139" s="1"/>
  <c r="F27" i="139"/>
  <c r="F28" i="139"/>
  <c r="H34" i="140"/>
  <c r="D38" i="140" s="1"/>
  <c r="H23" i="122"/>
  <c r="J23" i="122" s="1"/>
  <c r="I29" i="132"/>
  <c r="H29" i="132"/>
  <c r="I34" i="140"/>
  <c r="I17" i="120"/>
  <c r="J17" i="120" s="1"/>
  <c r="F28" i="122"/>
  <c r="H28" i="122" s="1"/>
  <c r="J28" i="122" s="1"/>
  <c r="I23" i="123"/>
  <c r="J23" i="123" s="1"/>
  <c r="F28" i="123"/>
  <c r="F19" i="124"/>
  <c r="D7" i="125"/>
  <c r="F7" i="125" s="1"/>
  <c r="F10" i="125" s="1"/>
  <c r="I29" i="125"/>
  <c r="H20" i="126"/>
  <c r="J20" i="126" s="1"/>
  <c r="H19" i="127"/>
  <c r="J19" i="127" s="1"/>
  <c r="G12" i="132"/>
  <c r="J29" i="133"/>
  <c r="D33" i="134"/>
  <c r="F33" i="134" s="1"/>
  <c r="H33" i="134" s="1"/>
  <c r="J33" i="134" s="1"/>
  <c r="H34" i="135"/>
  <c r="D38" i="135" s="1"/>
  <c r="F18" i="140"/>
  <c r="H17" i="140"/>
  <c r="J17" i="140" s="1"/>
  <c r="G10" i="123"/>
  <c r="H26" i="120"/>
  <c r="I7" i="121"/>
  <c r="H34" i="121"/>
  <c r="D38" i="121" s="1"/>
  <c r="I7" i="122"/>
  <c r="G12" i="122"/>
  <c r="H17" i="122"/>
  <c r="J17" i="122" s="1"/>
  <c r="I7" i="123"/>
  <c r="H17" i="123"/>
  <c r="J17" i="123" s="1"/>
  <c r="H23" i="124"/>
  <c r="J23" i="124" s="1"/>
  <c r="H8" i="126"/>
  <c r="D40" i="126" s="1"/>
  <c r="H16" i="127"/>
  <c r="F18" i="127"/>
  <c r="F12" i="129"/>
  <c r="H7" i="129"/>
  <c r="F27" i="130"/>
  <c r="H28" i="134"/>
  <c r="I34" i="135"/>
  <c r="G10" i="120"/>
  <c r="J28" i="134"/>
  <c r="H22" i="120"/>
  <c r="J22" i="120" s="1"/>
  <c r="H28" i="124"/>
  <c r="J28" i="124" s="1"/>
  <c r="G10" i="125"/>
  <c r="G12" i="127"/>
  <c r="I7" i="127"/>
  <c r="F24" i="127"/>
  <c r="H16" i="129"/>
  <c r="J33" i="129"/>
  <c r="F21" i="130"/>
  <c r="H20" i="130"/>
  <c r="J20" i="130" s="1"/>
  <c r="F27" i="131"/>
  <c r="J22" i="134"/>
  <c r="F10" i="135"/>
  <c r="F18" i="135"/>
  <c r="H17" i="135"/>
  <c r="J17" i="135" s="1"/>
  <c r="F24" i="135"/>
  <c r="J33" i="138"/>
  <c r="H19" i="139"/>
  <c r="J19" i="139" s="1"/>
  <c r="F28" i="141"/>
  <c r="H25" i="134"/>
  <c r="J25" i="134" s="1"/>
  <c r="F27" i="134"/>
  <c r="H34" i="136"/>
  <c r="D38" i="136" s="1"/>
  <c r="H34" i="137"/>
  <c r="D38" i="137" s="1"/>
  <c r="H26" i="122"/>
  <c r="H26" i="123"/>
  <c r="I7" i="124"/>
  <c r="H17" i="124"/>
  <c r="J17" i="124" s="1"/>
  <c r="F28" i="125"/>
  <c r="H28" i="125" s="1"/>
  <c r="J28" i="125" s="1"/>
  <c r="J20" i="127"/>
  <c r="H23" i="127"/>
  <c r="J19" i="128"/>
  <c r="J22" i="128"/>
  <c r="H25" i="128"/>
  <c r="F18" i="130"/>
  <c r="H26" i="131"/>
  <c r="G35" i="132"/>
  <c r="J19" i="133"/>
  <c r="H7" i="134"/>
  <c r="F12" i="134"/>
  <c r="H16" i="134"/>
  <c r="F18" i="134"/>
  <c r="H23" i="135"/>
  <c r="D7" i="136"/>
  <c r="F7" i="136" s="1"/>
  <c r="F10" i="136" s="1"/>
  <c r="D7" i="137"/>
  <c r="F7" i="137" s="1"/>
  <c r="F10" i="137" s="1"/>
  <c r="I7" i="137"/>
  <c r="D7" i="138"/>
  <c r="F7" i="138" s="1"/>
  <c r="G12" i="138"/>
  <c r="I7" i="138"/>
  <c r="H25" i="138"/>
  <c r="J25" i="138" s="1"/>
  <c r="F27" i="138"/>
  <c r="F28" i="138"/>
  <c r="I7" i="141"/>
  <c r="G12" i="141"/>
  <c r="H19" i="141"/>
  <c r="J19" i="141" s="1"/>
  <c r="J23" i="120"/>
  <c r="H22" i="131"/>
  <c r="J22" i="131" s="1"/>
  <c r="F27" i="120"/>
  <c r="F24" i="124"/>
  <c r="I7" i="125"/>
  <c r="I17" i="127"/>
  <c r="H17" i="127"/>
  <c r="F12" i="128"/>
  <c r="H7" i="128"/>
  <c r="J25" i="128"/>
  <c r="H8" i="130"/>
  <c r="D40" i="130" s="1"/>
  <c r="G35" i="131"/>
  <c r="I34" i="131"/>
  <c r="J34" i="131" s="1"/>
  <c r="F12" i="135"/>
  <c r="H19" i="138"/>
  <c r="J19" i="138" s="1"/>
  <c r="D40" i="139"/>
  <c r="I7" i="120"/>
  <c r="D33" i="126"/>
  <c r="F33" i="126" s="1"/>
  <c r="H33" i="126" s="1"/>
  <c r="J33" i="126" s="1"/>
  <c r="F12" i="132"/>
  <c r="F10" i="132"/>
  <c r="H22" i="133"/>
  <c r="J22" i="133" s="1"/>
  <c r="F24" i="133"/>
  <c r="G12" i="120"/>
  <c r="F24" i="131"/>
  <c r="I7" i="126"/>
  <c r="F28" i="126"/>
  <c r="F10" i="129"/>
  <c r="I34" i="130"/>
  <c r="J34" i="130" s="1"/>
  <c r="H7" i="132"/>
  <c r="H25" i="133"/>
  <c r="J25" i="133" s="1"/>
  <c r="F24" i="134"/>
  <c r="H8" i="136"/>
  <c r="D40" i="136" s="1"/>
  <c r="H22" i="136"/>
  <c r="J22" i="136" s="1"/>
  <c r="H28" i="136"/>
  <c r="J28" i="136" s="1"/>
  <c r="J33" i="136"/>
  <c r="H8" i="137"/>
  <c r="D40" i="137" s="1"/>
  <c r="H22" i="137"/>
  <c r="J22" i="137" s="1"/>
  <c r="H28" i="137"/>
  <c r="J28" i="137" s="1"/>
  <c r="I17" i="139"/>
  <c r="H17" i="139"/>
  <c r="H23" i="139"/>
  <c r="H25" i="140"/>
  <c r="J25" i="140" s="1"/>
  <c r="F27" i="140"/>
  <c r="F27" i="141"/>
  <c r="I34" i="141"/>
  <c r="D33" i="127"/>
  <c r="F33" i="127" s="1"/>
  <c r="H33" i="127" s="1"/>
  <c r="F28" i="127"/>
  <c r="H29" i="128"/>
  <c r="J29" i="128" s="1"/>
  <c r="G12" i="129"/>
  <c r="G10" i="129"/>
  <c r="I8" i="129"/>
  <c r="J8" i="129" s="1"/>
  <c r="H20" i="129"/>
  <c r="J20" i="129" s="1"/>
  <c r="J29" i="129"/>
  <c r="F12" i="131"/>
  <c r="H7" i="131"/>
  <c r="I7" i="132"/>
  <c r="I17" i="134"/>
  <c r="H17" i="134"/>
  <c r="H23" i="134"/>
  <c r="F30" i="134"/>
  <c r="J8" i="137"/>
  <c r="H34" i="138"/>
  <c r="D38" i="138" s="1"/>
  <c r="F18" i="139"/>
  <c r="H19" i="140"/>
  <c r="J19" i="140" s="1"/>
  <c r="F28" i="140"/>
  <c r="F24" i="141"/>
  <c r="J8" i="132"/>
  <c r="D40" i="132"/>
  <c r="J23" i="128"/>
  <c r="F30" i="129"/>
  <c r="H29" i="129"/>
  <c r="H33" i="131"/>
  <c r="H25" i="135"/>
  <c r="J25" i="135" s="1"/>
  <c r="F27" i="135"/>
  <c r="G10" i="136"/>
  <c r="J26" i="138"/>
  <c r="F18" i="141"/>
  <c r="H17" i="141"/>
  <c r="J17" i="141" s="1"/>
  <c r="H23" i="128"/>
  <c r="G12" i="134"/>
  <c r="H29" i="130"/>
  <c r="J29" i="130" s="1"/>
  <c r="D7" i="133"/>
  <c r="F7" i="133" s="1"/>
  <c r="I34" i="126"/>
  <c r="J34" i="126" s="1"/>
  <c r="H26" i="127"/>
  <c r="I7" i="128"/>
  <c r="H17" i="128"/>
  <c r="J17" i="128" s="1"/>
  <c r="H23" i="129"/>
  <c r="D7" i="130"/>
  <c r="F7" i="130" s="1"/>
  <c r="F10" i="130" s="1"/>
  <c r="H8" i="131"/>
  <c r="D40" i="131" s="1"/>
  <c r="I8" i="131"/>
  <c r="G12" i="133"/>
  <c r="D33" i="133"/>
  <c r="F33" i="133" s="1"/>
  <c r="H33" i="133" s="1"/>
  <c r="I34" i="138"/>
  <c r="I34" i="139"/>
  <c r="J34" i="139" s="1"/>
  <c r="I34" i="127"/>
  <c r="H26" i="128"/>
  <c r="G10" i="130"/>
  <c r="I7" i="130"/>
  <c r="B8" i="115"/>
  <c r="B8" i="118"/>
  <c r="C26" i="110"/>
  <c r="C26" i="111"/>
  <c r="I26" i="111" s="1"/>
  <c r="C26" i="112"/>
  <c r="I26" i="112" s="1"/>
  <c r="C26" i="113"/>
  <c r="C26" i="114"/>
  <c r="I26" i="114" s="1"/>
  <c r="C26" i="115"/>
  <c r="I26" i="115" s="1"/>
  <c r="C26" i="116"/>
  <c r="I26" i="116" s="1"/>
  <c r="C26" i="117"/>
  <c r="I26" i="117" s="1"/>
  <c r="C26" i="118"/>
  <c r="I26" i="118" s="1"/>
  <c r="C26" i="119"/>
  <c r="I26" i="119" s="1"/>
  <c r="C8" i="110"/>
  <c r="C8" i="111"/>
  <c r="C8" i="112"/>
  <c r="C8" i="113"/>
  <c r="C8" i="114"/>
  <c r="C8" i="115"/>
  <c r="C8" i="116"/>
  <c r="C8" i="117"/>
  <c r="C8" i="118"/>
  <c r="C8" i="119"/>
  <c r="G34" i="119"/>
  <c r="D34" i="119"/>
  <c r="F34" i="119" s="1"/>
  <c r="C34" i="119"/>
  <c r="B34" i="119"/>
  <c r="A34" i="119"/>
  <c r="G33" i="119"/>
  <c r="C33" i="119"/>
  <c r="B33" i="119"/>
  <c r="A33" i="119"/>
  <c r="G30" i="119"/>
  <c r="F29" i="119"/>
  <c r="C29" i="119"/>
  <c r="I29" i="119" s="1"/>
  <c r="B29" i="119"/>
  <c r="A29" i="119"/>
  <c r="D28" i="119"/>
  <c r="F28" i="119" s="1"/>
  <c r="F30" i="119" s="1"/>
  <c r="C28" i="119"/>
  <c r="I28" i="119" s="1"/>
  <c r="B28" i="119"/>
  <c r="A28" i="119"/>
  <c r="G27" i="119"/>
  <c r="F26" i="119"/>
  <c r="B26" i="119"/>
  <c r="A26" i="119"/>
  <c r="I25" i="119"/>
  <c r="D25" i="119"/>
  <c r="F25" i="119" s="1"/>
  <c r="B25" i="119"/>
  <c r="A25" i="119"/>
  <c r="G24" i="119"/>
  <c r="F23" i="119"/>
  <c r="F24" i="119" s="1"/>
  <c r="C23" i="119"/>
  <c r="I23" i="119" s="1"/>
  <c r="B23" i="119"/>
  <c r="A23" i="119"/>
  <c r="D22" i="119"/>
  <c r="F22" i="119" s="1"/>
  <c r="C22" i="119"/>
  <c r="I22" i="119" s="1"/>
  <c r="B22" i="119"/>
  <c r="A22" i="119"/>
  <c r="G21" i="119"/>
  <c r="F20" i="119"/>
  <c r="C20" i="119"/>
  <c r="I20" i="119" s="1"/>
  <c r="B20" i="119"/>
  <c r="A20" i="119"/>
  <c r="D19" i="119"/>
  <c r="F19" i="119" s="1"/>
  <c r="C19" i="119"/>
  <c r="I19" i="119" s="1"/>
  <c r="B19" i="119"/>
  <c r="A19" i="119"/>
  <c r="G18" i="119"/>
  <c r="F17" i="119"/>
  <c r="C17" i="119"/>
  <c r="I17" i="119" s="1"/>
  <c r="B17" i="119"/>
  <c r="A17" i="119"/>
  <c r="D16" i="119"/>
  <c r="F16" i="119" s="1"/>
  <c r="C16" i="119"/>
  <c r="I16" i="119" s="1"/>
  <c r="B16" i="119"/>
  <c r="A16" i="119"/>
  <c r="G8" i="119"/>
  <c r="D8" i="119"/>
  <c r="F8" i="119" s="1"/>
  <c r="A8" i="119"/>
  <c r="G7" i="119"/>
  <c r="I7" i="119" s="1"/>
  <c r="G34" i="118"/>
  <c r="D34" i="118"/>
  <c r="F34" i="118" s="1"/>
  <c r="C34" i="118"/>
  <c r="B34" i="118"/>
  <c r="A34" i="118"/>
  <c r="G33" i="118"/>
  <c r="I33" i="118" s="1"/>
  <c r="C33" i="118"/>
  <c r="B33" i="118"/>
  <c r="A33" i="118"/>
  <c r="G30" i="118"/>
  <c r="F29" i="118"/>
  <c r="C29" i="118"/>
  <c r="I29" i="118" s="1"/>
  <c r="B29" i="118"/>
  <c r="A29" i="118"/>
  <c r="D28" i="118"/>
  <c r="F28" i="118" s="1"/>
  <c r="C28" i="118"/>
  <c r="I28" i="118" s="1"/>
  <c r="B28" i="118"/>
  <c r="A28" i="118"/>
  <c r="G27" i="118"/>
  <c r="F26" i="118"/>
  <c r="B26" i="118"/>
  <c r="A26" i="118"/>
  <c r="I25" i="118"/>
  <c r="D25" i="118"/>
  <c r="F25" i="118" s="1"/>
  <c r="B25" i="118"/>
  <c r="A25" i="118"/>
  <c r="G24" i="118"/>
  <c r="F23" i="118"/>
  <c r="C23" i="118"/>
  <c r="I23" i="118" s="1"/>
  <c r="B23" i="118"/>
  <c r="A23" i="118"/>
  <c r="F22" i="118"/>
  <c r="D22" i="118"/>
  <c r="C22" i="118"/>
  <c r="I22" i="118" s="1"/>
  <c r="B22" i="118"/>
  <c r="A22" i="118"/>
  <c r="G21" i="118"/>
  <c r="F20" i="118"/>
  <c r="C20" i="118"/>
  <c r="I20" i="118" s="1"/>
  <c r="B20" i="118"/>
  <c r="A20" i="118"/>
  <c r="D19" i="118"/>
  <c r="F19" i="118" s="1"/>
  <c r="C19" i="118"/>
  <c r="I19" i="118" s="1"/>
  <c r="B19" i="118"/>
  <c r="A19" i="118"/>
  <c r="G18" i="118"/>
  <c r="F17" i="118"/>
  <c r="C17" i="118"/>
  <c r="I17" i="118" s="1"/>
  <c r="B17" i="118"/>
  <c r="A17" i="118"/>
  <c r="D16" i="118"/>
  <c r="F16" i="118" s="1"/>
  <c r="C16" i="118"/>
  <c r="I16" i="118" s="1"/>
  <c r="B16" i="118"/>
  <c r="A16" i="118"/>
  <c r="G8" i="118"/>
  <c r="I8" i="118" s="1"/>
  <c r="D8" i="118"/>
  <c r="F8" i="118" s="1"/>
  <c r="G7" i="118"/>
  <c r="I7" i="118" s="1"/>
  <c r="G34" i="117"/>
  <c r="D34" i="117"/>
  <c r="F34" i="117" s="1"/>
  <c r="C34" i="117"/>
  <c r="B34" i="117"/>
  <c r="A34" i="117"/>
  <c r="G33" i="117"/>
  <c r="C33" i="117"/>
  <c r="B33" i="117"/>
  <c r="A33" i="117"/>
  <c r="G30" i="117"/>
  <c r="F29" i="117"/>
  <c r="C29" i="117"/>
  <c r="I29" i="117" s="1"/>
  <c r="B29" i="117"/>
  <c r="A29" i="117"/>
  <c r="D28" i="117"/>
  <c r="F28" i="117" s="1"/>
  <c r="C28" i="117"/>
  <c r="I28" i="117" s="1"/>
  <c r="B28" i="117"/>
  <c r="A28" i="117"/>
  <c r="G27" i="117"/>
  <c r="F26" i="117"/>
  <c r="B26" i="117"/>
  <c r="A26" i="117"/>
  <c r="I25" i="117"/>
  <c r="D25" i="117"/>
  <c r="F25" i="117" s="1"/>
  <c r="B25" i="117"/>
  <c r="A25" i="117"/>
  <c r="G24" i="117"/>
  <c r="F23" i="117"/>
  <c r="C23" i="117"/>
  <c r="I23" i="117" s="1"/>
  <c r="B23" i="117"/>
  <c r="A23" i="117"/>
  <c r="D22" i="117"/>
  <c r="F22" i="117" s="1"/>
  <c r="C22" i="117"/>
  <c r="I22" i="117" s="1"/>
  <c r="B22" i="117"/>
  <c r="A22" i="117"/>
  <c r="G21" i="117"/>
  <c r="F20" i="117"/>
  <c r="C20" i="117"/>
  <c r="I20" i="117" s="1"/>
  <c r="B20" i="117"/>
  <c r="A20" i="117"/>
  <c r="D19" i="117"/>
  <c r="F19" i="117" s="1"/>
  <c r="C19" i="117"/>
  <c r="I19" i="117" s="1"/>
  <c r="B19" i="117"/>
  <c r="A19" i="117"/>
  <c r="G18" i="117"/>
  <c r="F17" i="117"/>
  <c r="C17" i="117"/>
  <c r="I17" i="117" s="1"/>
  <c r="B17" i="117"/>
  <c r="A17" i="117"/>
  <c r="D16" i="117"/>
  <c r="F16" i="117" s="1"/>
  <c r="C16" i="117"/>
  <c r="I16" i="117" s="1"/>
  <c r="B16" i="117"/>
  <c r="A16" i="117"/>
  <c r="G8" i="117"/>
  <c r="D8" i="117"/>
  <c r="F8" i="117" s="1"/>
  <c r="A8" i="117"/>
  <c r="G7" i="117"/>
  <c r="G34" i="116"/>
  <c r="D34" i="116"/>
  <c r="F34" i="116" s="1"/>
  <c r="C34" i="116"/>
  <c r="B34" i="116"/>
  <c r="A34" i="116"/>
  <c r="G33" i="116"/>
  <c r="C33" i="116"/>
  <c r="B33" i="116"/>
  <c r="A33" i="116"/>
  <c r="G30" i="116"/>
  <c r="F29" i="116"/>
  <c r="C29" i="116"/>
  <c r="I29" i="116" s="1"/>
  <c r="B29" i="116"/>
  <c r="A29" i="116"/>
  <c r="D28" i="116"/>
  <c r="F28" i="116" s="1"/>
  <c r="C28" i="116"/>
  <c r="I28" i="116" s="1"/>
  <c r="B28" i="116"/>
  <c r="A28" i="116"/>
  <c r="G27" i="116"/>
  <c r="F26" i="116"/>
  <c r="B26" i="116"/>
  <c r="A26" i="116"/>
  <c r="I25" i="116"/>
  <c r="D25" i="116"/>
  <c r="F25" i="116" s="1"/>
  <c r="H25" i="116" s="1"/>
  <c r="B25" i="116"/>
  <c r="A25" i="116"/>
  <c r="G24" i="116"/>
  <c r="F23" i="116"/>
  <c r="C23" i="116"/>
  <c r="I23" i="116" s="1"/>
  <c r="B23" i="116"/>
  <c r="A23" i="116"/>
  <c r="D22" i="116"/>
  <c r="F22" i="116" s="1"/>
  <c r="F24" i="116" s="1"/>
  <c r="C22" i="116"/>
  <c r="I22" i="116" s="1"/>
  <c r="B22" i="116"/>
  <c r="A22" i="116"/>
  <c r="G21" i="116"/>
  <c r="F20" i="116"/>
  <c r="C20" i="116"/>
  <c r="I20" i="116" s="1"/>
  <c r="B20" i="116"/>
  <c r="A20" i="116"/>
  <c r="D19" i="116"/>
  <c r="F19" i="116" s="1"/>
  <c r="H19" i="116" s="1"/>
  <c r="C19" i="116"/>
  <c r="I19" i="116" s="1"/>
  <c r="B19" i="116"/>
  <c r="A19" i="116"/>
  <c r="G18" i="116"/>
  <c r="F17" i="116"/>
  <c r="C17" i="116"/>
  <c r="I17" i="116" s="1"/>
  <c r="B17" i="116"/>
  <c r="A17" i="116"/>
  <c r="D16" i="116"/>
  <c r="F16" i="116" s="1"/>
  <c r="C16" i="116"/>
  <c r="I16" i="116" s="1"/>
  <c r="B16" i="116"/>
  <c r="A16" i="116"/>
  <c r="G8" i="116"/>
  <c r="D8" i="116"/>
  <c r="F8" i="116" s="1"/>
  <c r="A8" i="116"/>
  <c r="G7" i="116"/>
  <c r="G34" i="115"/>
  <c r="D34" i="115"/>
  <c r="F34" i="115" s="1"/>
  <c r="C34" i="115"/>
  <c r="I34" i="115" s="1"/>
  <c r="B34" i="115"/>
  <c r="A34" i="115"/>
  <c r="G33" i="115"/>
  <c r="C33" i="115"/>
  <c r="B33" i="115"/>
  <c r="A33" i="115"/>
  <c r="G30" i="115"/>
  <c r="F29" i="115"/>
  <c r="C29" i="115"/>
  <c r="I29" i="115" s="1"/>
  <c r="B29" i="115"/>
  <c r="A29" i="115"/>
  <c r="D28" i="115"/>
  <c r="F28" i="115" s="1"/>
  <c r="C28" i="115"/>
  <c r="I28" i="115" s="1"/>
  <c r="B28" i="115"/>
  <c r="A28" i="115"/>
  <c r="G27" i="115"/>
  <c r="F26" i="115"/>
  <c r="H26" i="115" s="1"/>
  <c r="D39" i="115" s="1"/>
  <c r="B26" i="115"/>
  <c r="A26" i="115"/>
  <c r="I25" i="115"/>
  <c r="D25" i="115"/>
  <c r="F25" i="115" s="1"/>
  <c r="H25" i="115" s="1"/>
  <c r="B25" i="115"/>
  <c r="A25" i="115"/>
  <c r="G24" i="115"/>
  <c r="F23" i="115"/>
  <c r="C23" i="115"/>
  <c r="I23" i="115" s="1"/>
  <c r="B23" i="115"/>
  <c r="A23" i="115"/>
  <c r="D22" i="115"/>
  <c r="F22" i="115" s="1"/>
  <c r="C22" i="115"/>
  <c r="I22" i="115" s="1"/>
  <c r="B22" i="115"/>
  <c r="A22" i="115"/>
  <c r="G21" i="115"/>
  <c r="F20" i="115"/>
  <c r="C20" i="115"/>
  <c r="I20" i="115" s="1"/>
  <c r="B20" i="115"/>
  <c r="A20" i="115"/>
  <c r="D19" i="115"/>
  <c r="D33" i="115" s="1"/>
  <c r="F33" i="115" s="1"/>
  <c r="C19" i="115"/>
  <c r="I19" i="115" s="1"/>
  <c r="B19" i="115"/>
  <c r="A19" i="115"/>
  <c r="G18" i="115"/>
  <c r="F17" i="115"/>
  <c r="C17" i="115"/>
  <c r="I17" i="115" s="1"/>
  <c r="B17" i="115"/>
  <c r="A17" i="115"/>
  <c r="D16" i="115"/>
  <c r="F16" i="115" s="1"/>
  <c r="C16" i="115"/>
  <c r="I16" i="115" s="1"/>
  <c r="B16" i="115"/>
  <c r="A16" i="115"/>
  <c r="G8" i="115"/>
  <c r="D8" i="115"/>
  <c r="F8" i="115" s="1"/>
  <c r="A8" i="115"/>
  <c r="G7" i="115"/>
  <c r="I7" i="115" s="1"/>
  <c r="G34" i="114"/>
  <c r="D34" i="114"/>
  <c r="F34" i="114" s="1"/>
  <c r="C34" i="114"/>
  <c r="B34" i="114"/>
  <c r="A34" i="114"/>
  <c r="G33" i="114"/>
  <c r="C33" i="114"/>
  <c r="B33" i="114"/>
  <c r="A33" i="114"/>
  <c r="G30" i="114"/>
  <c r="F29" i="114"/>
  <c r="C29" i="114"/>
  <c r="I29" i="114" s="1"/>
  <c r="B29" i="114"/>
  <c r="A29" i="114"/>
  <c r="D28" i="114"/>
  <c r="C28" i="114"/>
  <c r="I28" i="114" s="1"/>
  <c r="B28" i="114"/>
  <c r="A28" i="114"/>
  <c r="G27" i="114"/>
  <c r="F26" i="114"/>
  <c r="H26" i="114" s="1"/>
  <c r="D39" i="114" s="1"/>
  <c r="B26" i="114"/>
  <c r="A26" i="114"/>
  <c r="I25" i="114"/>
  <c r="D25" i="114"/>
  <c r="F25" i="114" s="1"/>
  <c r="H25" i="114" s="1"/>
  <c r="B25" i="114"/>
  <c r="A25" i="114"/>
  <c r="G24" i="114"/>
  <c r="F23" i="114"/>
  <c r="C23" i="114"/>
  <c r="I23" i="114" s="1"/>
  <c r="B23" i="114"/>
  <c r="A23" i="114"/>
  <c r="D22" i="114"/>
  <c r="F22" i="114" s="1"/>
  <c r="C22" i="114"/>
  <c r="I22" i="114" s="1"/>
  <c r="B22" i="114"/>
  <c r="A22" i="114"/>
  <c r="G21" i="114"/>
  <c r="F20" i="114"/>
  <c r="C20" i="114"/>
  <c r="I20" i="114" s="1"/>
  <c r="B20" i="114"/>
  <c r="A20" i="114"/>
  <c r="D19" i="114"/>
  <c r="F19" i="114" s="1"/>
  <c r="C19" i="114"/>
  <c r="I19" i="114" s="1"/>
  <c r="B19" i="114"/>
  <c r="A19" i="114"/>
  <c r="G18" i="114"/>
  <c r="F17" i="114"/>
  <c r="C17" i="114"/>
  <c r="I17" i="114" s="1"/>
  <c r="B17" i="114"/>
  <c r="A17" i="114"/>
  <c r="D16" i="114"/>
  <c r="F16" i="114" s="1"/>
  <c r="C16" i="114"/>
  <c r="I16" i="114" s="1"/>
  <c r="B16" i="114"/>
  <c r="A16" i="114"/>
  <c r="G8" i="114"/>
  <c r="D8" i="114"/>
  <c r="F8" i="114" s="1"/>
  <c r="G7" i="114"/>
  <c r="I7" i="114" s="1"/>
  <c r="G34" i="113"/>
  <c r="D34" i="113"/>
  <c r="F34" i="113" s="1"/>
  <c r="C34" i="113"/>
  <c r="B34" i="113"/>
  <c r="A34" i="113"/>
  <c r="G33" i="113"/>
  <c r="C33" i="113"/>
  <c r="B33" i="113"/>
  <c r="A33" i="113"/>
  <c r="G30" i="113"/>
  <c r="F29" i="113"/>
  <c r="C29" i="113"/>
  <c r="I29" i="113" s="1"/>
  <c r="B29" i="113"/>
  <c r="A29" i="113"/>
  <c r="D28" i="113"/>
  <c r="C28" i="113"/>
  <c r="I28" i="113" s="1"/>
  <c r="B28" i="113"/>
  <c r="A28" i="113"/>
  <c r="G27" i="113"/>
  <c r="I26" i="113"/>
  <c r="F26" i="113"/>
  <c r="H26" i="113" s="1"/>
  <c r="D39" i="113" s="1"/>
  <c r="B26" i="113"/>
  <c r="A26" i="113"/>
  <c r="I25" i="113"/>
  <c r="D25" i="113"/>
  <c r="F25" i="113" s="1"/>
  <c r="H25" i="113" s="1"/>
  <c r="B25" i="113"/>
  <c r="A25" i="113"/>
  <c r="F23" i="113"/>
  <c r="F24" i="113" s="1"/>
  <c r="C23" i="113"/>
  <c r="I23" i="113" s="1"/>
  <c r="B23" i="113"/>
  <c r="A23" i="113"/>
  <c r="D22" i="113"/>
  <c r="F22" i="113" s="1"/>
  <c r="C22" i="113"/>
  <c r="I22" i="113" s="1"/>
  <c r="B22" i="113"/>
  <c r="A22" i="113"/>
  <c r="G21" i="113"/>
  <c r="F20" i="113"/>
  <c r="C20" i="113"/>
  <c r="I20" i="113" s="1"/>
  <c r="B20" i="113"/>
  <c r="A20" i="113"/>
  <c r="F19" i="113"/>
  <c r="D19" i="113"/>
  <c r="C19" i="113"/>
  <c r="I19" i="113" s="1"/>
  <c r="B19" i="113"/>
  <c r="A19" i="113"/>
  <c r="G18" i="113"/>
  <c r="F17" i="113"/>
  <c r="C17" i="113"/>
  <c r="I17" i="113" s="1"/>
  <c r="B17" i="113"/>
  <c r="A17" i="113"/>
  <c r="D16" i="113"/>
  <c r="F16" i="113" s="1"/>
  <c r="C16" i="113"/>
  <c r="I16" i="113" s="1"/>
  <c r="B16" i="113"/>
  <c r="A16" i="113"/>
  <c r="G8" i="113"/>
  <c r="D8" i="113"/>
  <c r="F8" i="113" s="1"/>
  <c r="G7" i="113"/>
  <c r="I7" i="113" s="1"/>
  <c r="G34" i="112"/>
  <c r="D34" i="112"/>
  <c r="F34" i="112" s="1"/>
  <c r="C34" i="112"/>
  <c r="B34" i="112"/>
  <c r="A34" i="112"/>
  <c r="G33" i="112"/>
  <c r="C33" i="112"/>
  <c r="B33" i="112"/>
  <c r="A33" i="112"/>
  <c r="G30" i="112"/>
  <c r="F29" i="112"/>
  <c r="C29" i="112"/>
  <c r="I29" i="112" s="1"/>
  <c r="B29" i="112"/>
  <c r="A29" i="112"/>
  <c r="D28" i="112"/>
  <c r="C28" i="112"/>
  <c r="I28" i="112" s="1"/>
  <c r="B28" i="112"/>
  <c r="A28" i="112"/>
  <c r="G27" i="112"/>
  <c r="F26" i="112"/>
  <c r="B26" i="112"/>
  <c r="A26" i="112"/>
  <c r="I25" i="112"/>
  <c r="D25" i="112"/>
  <c r="F25" i="112" s="1"/>
  <c r="H25" i="112" s="1"/>
  <c r="B25" i="112"/>
  <c r="A25" i="112"/>
  <c r="G24" i="112"/>
  <c r="F23" i="112"/>
  <c r="C23" i="112"/>
  <c r="I23" i="112" s="1"/>
  <c r="B23" i="112"/>
  <c r="A23" i="112"/>
  <c r="D22" i="112"/>
  <c r="F22" i="112" s="1"/>
  <c r="C22" i="112"/>
  <c r="I22" i="112" s="1"/>
  <c r="B22" i="112"/>
  <c r="A22" i="112"/>
  <c r="G21" i="112"/>
  <c r="F20" i="112"/>
  <c r="C20" i="112"/>
  <c r="I20" i="112" s="1"/>
  <c r="B20" i="112"/>
  <c r="A20" i="112"/>
  <c r="D19" i="112"/>
  <c r="F19" i="112" s="1"/>
  <c r="C19" i="112"/>
  <c r="I19" i="112" s="1"/>
  <c r="B19" i="112"/>
  <c r="A19" i="112"/>
  <c r="G18" i="112"/>
  <c r="F17" i="112"/>
  <c r="C17" i="112"/>
  <c r="I17" i="112" s="1"/>
  <c r="B17" i="112"/>
  <c r="A17" i="112"/>
  <c r="D16" i="112"/>
  <c r="F16" i="112" s="1"/>
  <c r="C16" i="112"/>
  <c r="I16" i="112" s="1"/>
  <c r="B16" i="112"/>
  <c r="A16" i="112"/>
  <c r="G8" i="112"/>
  <c r="D8" i="112"/>
  <c r="F8" i="112" s="1"/>
  <c r="G7" i="112"/>
  <c r="I7" i="112" s="1"/>
  <c r="G34" i="111"/>
  <c r="D34" i="111"/>
  <c r="F34" i="111" s="1"/>
  <c r="C34" i="111"/>
  <c r="B34" i="111"/>
  <c r="A34" i="111"/>
  <c r="G33" i="111"/>
  <c r="C33" i="111"/>
  <c r="B33" i="111"/>
  <c r="A33" i="111"/>
  <c r="F29" i="111"/>
  <c r="C29" i="111"/>
  <c r="H29" i="111" s="1"/>
  <c r="B29" i="111"/>
  <c r="A29" i="111"/>
  <c r="D28" i="111"/>
  <c r="C28" i="111"/>
  <c r="I28" i="111" s="1"/>
  <c r="B28" i="111"/>
  <c r="A28" i="111"/>
  <c r="G27" i="111"/>
  <c r="F26" i="111"/>
  <c r="B26" i="111"/>
  <c r="A26" i="111"/>
  <c r="I25" i="111"/>
  <c r="D25" i="111"/>
  <c r="F25" i="111" s="1"/>
  <c r="H25" i="111" s="1"/>
  <c r="B25" i="111"/>
  <c r="A25" i="111"/>
  <c r="G24" i="111"/>
  <c r="F23" i="111"/>
  <c r="C23" i="111"/>
  <c r="I23" i="111" s="1"/>
  <c r="B23" i="111"/>
  <c r="A23" i="111"/>
  <c r="D22" i="111"/>
  <c r="F22" i="111" s="1"/>
  <c r="C22" i="111"/>
  <c r="I22" i="111" s="1"/>
  <c r="B22" i="111"/>
  <c r="A22" i="111"/>
  <c r="G21" i="111"/>
  <c r="F20" i="111"/>
  <c r="C20" i="111"/>
  <c r="I20" i="111" s="1"/>
  <c r="B20" i="111"/>
  <c r="A20" i="111"/>
  <c r="D19" i="111"/>
  <c r="F19" i="111" s="1"/>
  <c r="C19" i="111"/>
  <c r="I19" i="111" s="1"/>
  <c r="B19" i="111"/>
  <c r="A19" i="111"/>
  <c r="G18" i="111"/>
  <c r="F17" i="111"/>
  <c r="C17" i="111"/>
  <c r="I17" i="111" s="1"/>
  <c r="B17" i="111"/>
  <c r="A17" i="111"/>
  <c r="D16" i="111"/>
  <c r="F16" i="111" s="1"/>
  <c r="C16" i="111"/>
  <c r="I16" i="111" s="1"/>
  <c r="B16" i="111"/>
  <c r="A16" i="111"/>
  <c r="G8" i="111"/>
  <c r="D8" i="111"/>
  <c r="F8" i="111" s="1"/>
  <c r="G7" i="111"/>
  <c r="G34" i="110"/>
  <c r="D34" i="110"/>
  <c r="F34" i="110" s="1"/>
  <c r="C34" i="110"/>
  <c r="B34" i="110"/>
  <c r="A34" i="110"/>
  <c r="G33" i="110"/>
  <c r="C33" i="110"/>
  <c r="B33" i="110"/>
  <c r="A33" i="110"/>
  <c r="F29" i="110"/>
  <c r="C29" i="110"/>
  <c r="I29" i="110" s="1"/>
  <c r="B29" i="110"/>
  <c r="A29" i="110"/>
  <c r="D28" i="110"/>
  <c r="F28" i="110" s="1"/>
  <c r="C28" i="110"/>
  <c r="I28" i="110" s="1"/>
  <c r="B28" i="110"/>
  <c r="A28" i="110"/>
  <c r="G27" i="110"/>
  <c r="I26" i="110"/>
  <c r="F26" i="110"/>
  <c r="B26" i="110"/>
  <c r="A26" i="110"/>
  <c r="I25" i="110"/>
  <c r="D25" i="110"/>
  <c r="F25" i="110" s="1"/>
  <c r="H25" i="110" s="1"/>
  <c r="B25" i="110"/>
  <c r="A25" i="110"/>
  <c r="G24" i="110"/>
  <c r="F23" i="110"/>
  <c r="C23" i="110"/>
  <c r="I23" i="110" s="1"/>
  <c r="B23" i="110"/>
  <c r="A23" i="110"/>
  <c r="D22" i="110"/>
  <c r="F22" i="110" s="1"/>
  <c r="C22" i="110"/>
  <c r="I22" i="110" s="1"/>
  <c r="B22" i="110"/>
  <c r="A22" i="110"/>
  <c r="F20" i="110"/>
  <c r="C20" i="110"/>
  <c r="I20" i="110" s="1"/>
  <c r="B20" i="110"/>
  <c r="A20" i="110"/>
  <c r="D19" i="110"/>
  <c r="F19" i="110" s="1"/>
  <c r="C19" i="110"/>
  <c r="I19" i="110" s="1"/>
  <c r="B19" i="110"/>
  <c r="A19" i="110"/>
  <c r="G18" i="110"/>
  <c r="F17" i="110"/>
  <c r="C17" i="110"/>
  <c r="I17" i="110" s="1"/>
  <c r="B17" i="110"/>
  <c r="A17" i="110"/>
  <c r="D16" i="110"/>
  <c r="F16" i="110" s="1"/>
  <c r="C16" i="110"/>
  <c r="I16" i="110" s="1"/>
  <c r="B16" i="110"/>
  <c r="A16" i="110"/>
  <c r="G8" i="110"/>
  <c r="D8" i="110"/>
  <c r="F8" i="110" s="1"/>
  <c r="G7" i="110"/>
  <c r="I7" i="110" s="1"/>
  <c r="G34" i="109"/>
  <c r="D34" i="109"/>
  <c r="F34" i="109" s="1"/>
  <c r="C34" i="109"/>
  <c r="B34" i="109"/>
  <c r="A34" i="109"/>
  <c r="G33" i="109"/>
  <c r="C33" i="109"/>
  <c r="B33" i="109"/>
  <c r="A33" i="109"/>
  <c r="G30" i="109"/>
  <c r="F29" i="109"/>
  <c r="C29" i="109"/>
  <c r="I29" i="109" s="1"/>
  <c r="B29" i="109"/>
  <c r="A29" i="109"/>
  <c r="D28" i="109"/>
  <c r="C28" i="109"/>
  <c r="I28" i="109" s="1"/>
  <c r="B28" i="109"/>
  <c r="A28" i="109"/>
  <c r="G27" i="109"/>
  <c r="F26" i="109"/>
  <c r="C26" i="109"/>
  <c r="I26" i="109" s="1"/>
  <c r="B26" i="109"/>
  <c r="A26" i="109"/>
  <c r="I25" i="109"/>
  <c r="D25" i="109"/>
  <c r="F25" i="109" s="1"/>
  <c r="B25" i="109"/>
  <c r="A25" i="109"/>
  <c r="G24" i="109"/>
  <c r="F23" i="109"/>
  <c r="C23" i="109"/>
  <c r="I23" i="109" s="1"/>
  <c r="B23" i="109"/>
  <c r="A23" i="109"/>
  <c r="D22" i="109"/>
  <c r="F22" i="109" s="1"/>
  <c r="C22" i="109"/>
  <c r="I22" i="109" s="1"/>
  <c r="B22" i="109"/>
  <c r="A22" i="109"/>
  <c r="G21" i="109"/>
  <c r="F20" i="109"/>
  <c r="C20" i="109"/>
  <c r="I20" i="109" s="1"/>
  <c r="B20" i="109"/>
  <c r="A20" i="109"/>
  <c r="D19" i="109"/>
  <c r="F19" i="109" s="1"/>
  <c r="C19" i="109"/>
  <c r="I19" i="109" s="1"/>
  <c r="B19" i="109"/>
  <c r="A19" i="109"/>
  <c r="G18" i="109"/>
  <c r="F17" i="109"/>
  <c r="C17" i="109"/>
  <c r="I17" i="109" s="1"/>
  <c r="B17" i="109"/>
  <c r="A17" i="109"/>
  <c r="D16" i="109"/>
  <c r="F16" i="109" s="1"/>
  <c r="C16" i="109"/>
  <c r="I16" i="109" s="1"/>
  <c r="B16" i="109"/>
  <c r="A16" i="109"/>
  <c r="G8" i="109"/>
  <c r="D8" i="109"/>
  <c r="F8" i="109" s="1"/>
  <c r="C8" i="109"/>
  <c r="A8" i="109"/>
  <c r="G7" i="109"/>
  <c r="D7" i="109" s="1"/>
  <c r="F7" i="109" s="1"/>
  <c r="C26" i="108"/>
  <c r="C8" i="108"/>
  <c r="C26" i="101"/>
  <c r="C8" i="101"/>
  <c r="J17" i="134" l="1"/>
  <c r="J26" i="137"/>
  <c r="D39" i="137"/>
  <c r="I8" i="114"/>
  <c r="J26" i="129"/>
  <c r="D39" i="129"/>
  <c r="J26" i="136"/>
  <c r="D39" i="136"/>
  <c r="F27" i="114"/>
  <c r="J29" i="131"/>
  <c r="H7" i="122"/>
  <c r="H28" i="110"/>
  <c r="I8" i="113"/>
  <c r="J33" i="124"/>
  <c r="J34" i="128"/>
  <c r="J26" i="131"/>
  <c r="D39" i="131"/>
  <c r="I8" i="112"/>
  <c r="D33" i="113"/>
  <c r="F33" i="113" s="1"/>
  <c r="H33" i="113" s="1"/>
  <c r="H26" i="112"/>
  <c r="D39" i="112" s="1"/>
  <c r="J26" i="127"/>
  <c r="D39" i="127"/>
  <c r="H17" i="119"/>
  <c r="J17" i="119" s="1"/>
  <c r="H19" i="119"/>
  <c r="J19" i="119" s="1"/>
  <c r="J34" i="133"/>
  <c r="J26" i="128"/>
  <c r="D39" i="128"/>
  <c r="F12" i="139"/>
  <c r="I8" i="111"/>
  <c r="J33" i="135"/>
  <c r="D33" i="112"/>
  <c r="F33" i="112" s="1"/>
  <c r="H33" i="112" s="1"/>
  <c r="I33" i="119"/>
  <c r="H7" i="139"/>
  <c r="J33" i="132"/>
  <c r="J33" i="128"/>
  <c r="J34" i="125"/>
  <c r="H22" i="116"/>
  <c r="J33" i="133"/>
  <c r="J20" i="125"/>
  <c r="I8" i="117"/>
  <c r="H26" i="111"/>
  <c r="D39" i="111" s="1"/>
  <c r="J26" i="120"/>
  <c r="D39" i="120"/>
  <c r="J8" i="120"/>
  <c r="H7" i="121"/>
  <c r="F10" i="121"/>
  <c r="J26" i="121"/>
  <c r="D39" i="121"/>
  <c r="J8" i="121"/>
  <c r="J34" i="122"/>
  <c r="J26" i="122"/>
  <c r="D39" i="122"/>
  <c r="J8" i="123"/>
  <c r="H7" i="123"/>
  <c r="F12" i="123"/>
  <c r="J26" i="123"/>
  <c r="D39" i="123"/>
  <c r="J26" i="125"/>
  <c r="D38" i="125"/>
  <c r="J8" i="125"/>
  <c r="J29" i="125"/>
  <c r="J26" i="126"/>
  <c r="D39" i="126"/>
  <c r="H7" i="126"/>
  <c r="J23" i="126"/>
  <c r="J34" i="127"/>
  <c r="J33" i="127"/>
  <c r="J8" i="128"/>
  <c r="H22" i="129"/>
  <c r="J22" i="129" s="1"/>
  <c r="J34" i="129"/>
  <c r="J8" i="130"/>
  <c r="J23" i="130"/>
  <c r="J8" i="131"/>
  <c r="J23" i="131"/>
  <c r="J23" i="132"/>
  <c r="J23" i="136"/>
  <c r="J34" i="138"/>
  <c r="J23" i="138"/>
  <c r="J23" i="140"/>
  <c r="J33" i="140"/>
  <c r="J34" i="141"/>
  <c r="J33" i="141"/>
  <c r="F30" i="141"/>
  <c r="H28" i="141"/>
  <c r="J28" i="141" s="1"/>
  <c r="F30" i="123"/>
  <c r="H28" i="123"/>
  <c r="J28" i="123" s="1"/>
  <c r="H28" i="139"/>
  <c r="J28" i="139" s="1"/>
  <c r="F30" i="139"/>
  <c r="F21" i="124"/>
  <c r="H19" i="124"/>
  <c r="J19" i="124" s="1"/>
  <c r="F30" i="125"/>
  <c r="J8" i="136"/>
  <c r="J23" i="139"/>
  <c r="H28" i="138"/>
  <c r="J28" i="138" s="1"/>
  <c r="F30" i="138"/>
  <c r="J33" i="131"/>
  <c r="J34" i="121"/>
  <c r="H7" i="133"/>
  <c r="F12" i="133"/>
  <c r="H28" i="120"/>
  <c r="J28" i="120" s="1"/>
  <c r="F30" i="120"/>
  <c r="J17" i="139"/>
  <c r="J17" i="127"/>
  <c r="J23" i="127"/>
  <c r="J34" i="140"/>
  <c r="H28" i="126"/>
  <c r="J28" i="126" s="1"/>
  <c r="F30" i="126"/>
  <c r="H28" i="140"/>
  <c r="J28" i="140" s="1"/>
  <c r="F30" i="140"/>
  <c r="J23" i="134"/>
  <c r="J23" i="135"/>
  <c r="J34" i="135"/>
  <c r="H28" i="127"/>
  <c r="J28" i="127" s="1"/>
  <c r="F30" i="127"/>
  <c r="H7" i="138"/>
  <c r="F12" i="138"/>
  <c r="F10" i="138"/>
  <c r="J34" i="137"/>
  <c r="F10" i="133"/>
  <c r="J34" i="136"/>
  <c r="J8" i="126"/>
  <c r="F12" i="130"/>
  <c r="H7" i="130"/>
  <c r="H7" i="137"/>
  <c r="F12" i="137"/>
  <c r="J29" i="132"/>
  <c r="J23" i="129"/>
  <c r="H7" i="136"/>
  <c r="F12" i="136"/>
  <c r="F12" i="125"/>
  <c r="H7" i="125"/>
  <c r="J23" i="121"/>
  <c r="F12" i="109"/>
  <c r="I34" i="109"/>
  <c r="F24" i="109"/>
  <c r="D33" i="109"/>
  <c r="F33" i="109" s="1"/>
  <c r="H33" i="109" s="1"/>
  <c r="G35" i="109"/>
  <c r="I33" i="109"/>
  <c r="H20" i="109"/>
  <c r="F18" i="110"/>
  <c r="J25" i="110"/>
  <c r="H20" i="110"/>
  <c r="H17" i="111"/>
  <c r="J17" i="111" s="1"/>
  <c r="I29" i="111"/>
  <c r="J29" i="111" s="1"/>
  <c r="F27" i="112"/>
  <c r="F24" i="112"/>
  <c r="I33" i="112"/>
  <c r="H19" i="113"/>
  <c r="J19" i="113" s="1"/>
  <c r="H29" i="113"/>
  <c r="J29" i="113" s="1"/>
  <c r="I33" i="113"/>
  <c r="J33" i="113" s="1"/>
  <c r="H17" i="113"/>
  <c r="J17" i="113" s="1"/>
  <c r="I34" i="113"/>
  <c r="H29" i="114"/>
  <c r="J29" i="114" s="1"/>
  <c r="I33" i="114"/>
  <c r="H22" i="114"/>
  <c r="J22" i="114" s="1"/>
  <c r="H26" i="109"/>
  <c r="I8" i="109"/>
  <c r="H29" i="109"/>
  <c r="J29" i="109" s="1"/>
  <c r="H19" i="109"/>
  <c r="J19" i="109" s="1"/>
  <c r="H22" i="109"/>
  <c r="J22" i="109" s="1"/>
  <c r="H16" i="109"/>
  <c r="H29" i="115"/>
  <c r="H34" i="115"/>
  <c r="D38" i="115" s="1"/>
  <c r="G35" i="116"/>
  <c r="H23" i="116"/>
  <c r="H17" i="116"/>
  <c r="J17" i="116" s="1"/>
  <c r="H28" i="116"/>
  <c r="J28" i="116" s="1"/>
  <c r="F18" i="117"/>
  <c r="H19" i="117"/>
  <c r="J19" i="117" s="1"/>
  <c r="H16" i="117"/>
  <c r="H26" i="118"/>
  <c r="H16" i="118"/>
  <c r="H28" i="118"/>
  <c r="J28" i="118" s="1"/>
  <c r="H22" i="118"/>
  <c r="J22" i="118" s="1"/>
  <c r="F18" i="115"/>
  <c r="H23" i="117"/>
  <c r="F24" i="111"/>
  <c r="J26" i="111"/>
  <c r="J26" i="114"/>
  <c r="J26" i="113"/>
  <c r="F30" i="116"/>
  <c r="D33" i="117"/>
  <c r="F33" i="117" s="1"/>
  <c r="F30" i="117"/>
  <c r="D33" i="118"/>
  <c r="F33" i="118" s="1"/>
  <c r="H33" i="118" s="1"/>
  <c r="J33" i="118" s="1"/>
  <c r="F30" i="118"/>
  <c r="J25" i="112"/>
  <c r="J25" i="116"/>
  <c r="J25" i="113"/>
  <c r="F27" i="111"/>
  <c r="F27" i="116"/>
  <c r="F27" i="113"/>
  <c r="I34" i="114"/>
  <c r="D7" i="112"/>
  <c r="F7" i="112" s="1"/>
  <c r="H7" i="112" s="1"/>
  <c r="F24" i="115"/>
  <c r="G35" i="119"/>
  <c r="G35" i="118"/>
  <c r="G10" i="117"/>
  <c r="I34" i="119"/>
  <c r="G10" i="116"/>
  <c r="G10" i="118"/>
  <c r="I34" i="111"/>
  <c r="I34" i="112"/>
  <c r="G35" i="115"/>
  <c r="I33" i="116"/>
  <c r="F21" i="119"/>
  <c r="G10" i="110"/>
  <c r="F21" i="116"/>
  <c r="D7" i="119"/>
  <c r="F7" i="119" s="1"/>
  <c r="H7" i="119" s="1"/>
  <c r="D33" i="110"/>
  <c r="F33" i="110" s="1"/>
  <c r="H33" i="110" s="1"/>
  <c r="G12" i="116"/>
  <c r="G10" i="119"/>
  <c r="F21" i="117"/>
  <c r="D7" i="114"/>
  <c r="F7" i="114" s="1"/>
  <c r="F12" i="114" s="1"/>
  <c r="D33" i="114"/>
  <c r="F33" i="114" s="1"/>
  <c r="H33" i="114" s="1"/>
  <c r="G35" i="117"/>
  <c r="D7" i="110"/>
  <c r="F7" i="110" s="1"/>
  <c r="H7" i="110" s="1"/>
  <c r="D33" i="119"/>
  <c r="F33" i="119" s="1"/>
  <c r="I8" i="110"/>
  <c r="I8" i="116"/>
  <c r="I8" i="119"/>
  <c r="G12" i="111"/>
  <c r="D7" i="115"/>
  <c r="F7" i="115" s="1"/>
  <c r="H7" i="115" s="1"/>
  <c r="G10" i="114"/>
  <c r="G10" i="112"/>
  <c r="D7" i="113"/>
  <c r="F7" i="113" s="1"/>
  <c r="F10" i="113" s="1"/>
  <c r="G10" i="115"/>
  <c r="D7" i="118"/>
  <c r="F7" i="118" s="1"/>
  <c r="F12" i="118" s="1"/>
  <c r="I7" i="111"/>
  <c r="G12" i="115"/>
  <c r="I7" i="116"/>
  <c r="G10" i="111"/>
  <c r="G10" i="113"/>
  <c r="H26" i="119"/>
  <c r="J26" i="115"/>
  <c r="H26" i="117"/>
  <c r="J25" i="111"/>
  <c r="J25" i="114"/>
  <c r="H8" i="110"/>
  <c r="D40" i="110" s="1"/>
  <c r="H22" i="112"/>
  <c r="J22" i="112" s="1"/>
  <c r="H20" i="115"/>
  <c r="J20" i="115" s="1"/>
  <c r="I33" i="117"/>
  <c r="H29" i="119"/>
  <c r="J29" i="119" s="1"/>
  <c r="H19" i="110"/>
  <c r="J19" i="110" s="1"/>
  <c r="H23" i="110"/>
  <c r="H17" i="115"/>
  <c r="J17" i="115" s="1"/>
  <c r="H19" i="118"/>
  <c r="J19" i="118" s="1"/>
  <c r="H19" i="112"/>
  <c r="J19" i="112" s="1"/>
  <c r="I33" i="110"/>
  <c r="H22" i="111"/>
  <c r="J22" i="111" s="1"/>
  <c r="H16" i="112"/>
  <c r="H29" i="112"/>
  <c r="J29" i="112" s="1"/>
  <c r="H17" i="114"/>
  <c r="J17" i="114" s="1"/>
  <c r="H28" i="117"/>
  <c r="J28" i="117" s="1"/>
  <c r="H23" i="119"/>
  <c r="J23" i="117"/>
  <c r="H22" i="117"/>
  <c r="I33" i="111"/>
  <c r="H17" i="110"/>
  <c r="J17" i="110" s="1"/>
  <c r="H16" i="111"/>
  <c r="J22" i="116"/>
  <c r="H23" i="118"/>
  <c r="J19" i="116"/>
  <c r="H23" i="111"/>
  <c r="H17" i="112"/>
  <c r="J17" i="112" s="1"/>
  <c r="H33" i="115"/>
  <c r="H22" i="115"/>
  <c r="J22" i="115" s="1"/>
  <c r="H29" i="110"/>
  <c r="J29" i="110" s="1"/>
  <c r="H22" i="119"/>
  <c r="J22" i="119" s="1"/>
  <c r="H22" i="113"/>
  <c r="J22" i="113" s="1"/>
  <c r="H19" i="114"/>
  <c r="J19" i="114" s="1"/>
  <c r="I34" i="116"/>
  <c r="H8" i="112"/>
  <c r="D40" i="112" s="1"/>
  <c r="H25" i="109"/>
  <c r="J25" i="109" s="1"/>
  <c r="F27" i="109"/>
  <c r="H8" i="115"/>
  <c r="D40" i="115" s="1"/>
  <c r="H28" i="115"/>
  <c r="J28" i="115" s="1"/>
  <c r="F30" i="115"/>
  <c r="H34" i="118"/>
  <c r="D38" i="118" s="1"/>
  <c r="H7" i="109"/>
  <c r="J28" i="110"/>
  <c r="F21" i="112"/>
  <c r="H20" i="112"/>
  <c r="J20" i="112" s="1"/>
  <c r="F21" i="113"/>
  <c r="H20" i="113"/>
  <c r="J20" i="113" s="1"/>
  <c r="H16" i="119"/>
  <c r="F18" i="119"/>
  <c r="H8" i="111"/>
  <c r="D40" i="111" s="1"/>
  <c r="F28" i="109"/>
  <c r="H22" i="110"/>
  <c r="J22" i="110" s="1"/>
  <c r="F18" i="112"/>
  <c r="H8" i="114"/>
  <c r="D40" i="114" s="1"/>
  <c r="J25" i="115"/>
  <c r="D33" i="111"/>
  <c r="F33" i="111" s="1"/>
  <c r="H33" i="111" s="1"/>
  <c r="H8" i="113"/>
  <c r="D40" i="113" s="1"/>
  <c r="J29" i="115"/>
  <c r="H25" i="117"/>
  <c r="J25" i="117" s="1"/>
  <c r="F27" i="117"/>
  <c r="I7" i="109"/>
  <c r="G12" i="109"/>
  <c r="H34" i="114"/>
  <c r="J22" i="117"/>
  <c r="J20" i="109"/>
  <c r="H16" i="110"/>
  <c r="H34" i="110"/>
  <c r="D38" i="110" s="1"/>
  <c r="H19" i="111"/>
  <c r="J19" i="111" s="1"/>
  <c r="F21" i="111"/>
  <c r="G35" i="114"/>
  <c r="H16" i="115"/>
  <c r="H16" i="116"/>
  <c r="F18" i="116"/>
  <c r="F21" i="118"/>
  <c r="H8" i="119"/>
  <c r="D40" i="119" s="1"/>
  <c r="H25" i="118"/>
  <c r="J25" i="118" s="1"/>
  <c r="F27" i="118"/>
  <c r="F18" i="109"/>
  <c r="H17" i="109"/>
  <c r="J17" i="109" s="1"/>
  <c r="F21" i="109"/>
  <c r="H23" i="109"/>
  <c r="H34" i="111"/>
  <c r="H34" i="113"/>
  <c r="F21" i="114"/>
  <c r="H20" i="114"/>
  <c r="J20" i="114" s="1"/>
  <c r="H8" i="116"/>
  <c r="D40" i="116" s="1"/>
  <c r="F10" i="109"/>
  <c r="H8" i="109"/>
  <c r="D40" i="109" s="1"/>
  <c r="G35" i="110"/>
  <c r="I34" i="110"/>
  <c r="G35" i="111"/>
  <c r="H34" i="112"/>
  <c r="G35" i="113"/>
  <c r="F18" i="114"/>
  <c r="H16" i="114"/>
  <c r="F18" i="118"/>
  <c r="H25" i="119"/>
  <c r="J25" i="119" s="1"/>
  <c r="F27" i="119"/>
  <c r="H34" i="109"/>
  <c r="D38" i="109" s="1"/>
  <c r="H34" i="117"/>
  <c r="D38" i="117" s="1"/>
  <c r="F27" i="110"/>
  <c r="H26" i="110"/>
  <c r="G10" i="109"/>
  <c r="J20" i="110"/>
  <c r="J20" i="111"/>
  <c r="J23" i="111"/>
  <c r="G35" i="112"/>
  <c r="F18" i="113"/>
  <c r="H16" i="113"/>
  <c r="F24" i="114"/>
  <c r="H34" i="119"/>
  <c r="D38" i="119" s="1"/>
  <c r="F18" i="111"/>
  <c r="F27" i="115"/>
  <c r="H17" i="117"/>
  <c r="J17" i="117" s="1"/>
  <c r="G12" i="110"/>
  <c r="D33" i="116"/>
  <c r="F33" i="116" s="1"/>
  <c r="H33" i="116" s="1"/>
  <c r="H34" i="116"/>
  <c r="D38" i="116" s="1"/>
  <c r="I7" i="117"/>
  <c r="F24" i="117"/>
  <c r="F24" i="118"/>
  <c r="G12" i="119"/>
  <c r="H26" i="116"/>
  <c r="G12" i="118"/>
  <c r="H20" i="111"/>
  <c r="I33" i="115"/>
  <c r="F24" i="110"/>
  <c r="G12" i="117"/>
  <c r="H17" i="118"/>
  <c r="J17" i="118" s="1"/>
  <c r="H28" i="119"/>
  <c r="J28" i="119" s="1"/>
  <c r="I8" i="115"/>
  <c r="H20" i="116"/>
  <c r="J20" i="116" s="1"/>
  <c r="I34" i="117"/>
  <c r="I34" i="118"/>
  <c r="F28" i="113"/>
  <c r="F28" i="114"/>
  <c r="H20" i="117"/>
  <c r="J20" i="117" s="1"/>
  <c r="H20" i="118"/>
  <c r="J20" i="118" s="1"/>
  <c r="H23" i="115"/>
  <c r="D7" i="116"/>
  <c r="F7" i="116" s="1"/>
  <c r="F10" i="116" s="1"/>
  <c r="H8" i="117"/>
  <c r="D40" i="117" s="1"/>
  <c r="H29" i="117"/>
  <c r="J29" i="117" s="1"/>
  <c r="H8" i="118"/>
  <c r="D40" i="118" s="1"/>
  <c r="H29" i="118"/>
  <c r="J29" i="118" s="1"/>
  <c r="H20" i="119"/>
  <c r="J20" i="119" s="1"/>
  <c r="H23" i="112"/>
  <c r="F28" i="112"/>
  <c r="H23" i="113"/>
  <c r="H23" i="114"/>
  <c r="F19" i="115"/>
  <c r="H29" i="116"/>
  <c r="J29" i="116" s="1"/>
  <c r="D7" i="111"/>
  <c r="F7" i="111" s="1"/>
  <c r="F10" i="111" s="1"/>
  <c r="F28" i="111"/>
  <c r="H28" i="111" s="1"/>
  <c r="J28" i="111" s="1"/>
  <c r="G12" i="112"/>
  <c r="G12" i="113"/>
  <c r="G12" i="114"/>
  <c r="D7" i="117"/>
  <c r="F7" i="117" s="1"/>
  <c r="J26" i="109" l="1"/>
  <c r="D39" i="109"/>
  <c r="J33" i="112"/>
  <c r="J26" i="112"/>
  <c r="J26" i="116"/>
  <c r="D39" i="116"/>
  <c r="J26" i="118"/>
  <c r="D39" i="118"/>
  <c r="J26" i="119"/>
  <c r="D39" i="119"/>
  <c r="J26" i="117"/>
  <c r="D39" i="117"/>
  <c r="J26" i="110"/>
  <c r="D39" i="110"/>
  <c r="J33" i="111"/>
  <c r="J33" i="109"/>
  <c r="J33" i="110"/>
  <c r="F35" i="110"/>
  <c r="H7" i="114"/>
  <c r="J33" i="114"/>
  <c r="J34" i="109"/>
  <c r="J34" i="115"/>
  <c r="J23" i="116"/>
  <c r="J34" i="110"/>
  <c r="J34" i="119"/>
  <c r="J23" i="110"/>
  <c r="J34" i="118"/>
  <c r="J8" i="112"/>
  <c r="J34" i="116"/>
  <c r="J33" i="116"/>
  <c r="F12" i="115"/>
  <c r="H33" i="117"/>
  <c r="J33" i="117" s="1"/>
  <c r="H7" i="113"/>
  <c r="F10" i="114"/>
  <c r="F12" i="119"/>
  <c r="F10" i="119"/>
  <c r="F10" i="112"/>
  <c r="F12" i="110"/>
  <c r="F12" i="112"/>
  <c r="F10" i="115"/>
  <c r="H33" i="119"/>
  <c r="J33" i="119" s="1"/>
  <c r="H7" i="118"/>
  <c r="F10" i="110"/>
  <c r="F10" i="118"/>
  <c r="F12" i="113"/>
  <c r="J8" i="119"/>
  <c r="J8" i="110"/>
  <c r="J8" i="113"/>
  <c r="J23" i="113"/>
  <c r="J8" i="116"/>
  <c r="J33" i="115"/>
  <c r="J23" i="112"/>
  <c r="J23" i="118"/>
  <c r="J23" i="119"/>
  <c r="J34" i="117"/>
  <c r="H19" i="115"/>
  <c r="J19" i="115" s="1"/>
  <c r="F21" i="115"/>
  <c r="D38" i="112"/>
  <c r="J34" i="112"/>
  <c r="J23" i="114"/>
  <c r="H28" i="114"/>
  <c r="J28" i="114" s="1"/>
  <c r="F30" i="114"/>
  <c r="F30" i="112"/>
  <c r="H28" i="112"/>
  <c r="J28" i="112" s="1"/>
  <c r="H28" i="113"/>
  <c r="J28" i="113" s="1"/>
  <c r="F30" i="113"/>
  <c r="H28" i="109"/>
  <c r="J28" i="109" s="1"/>
  <c r="F30" i="109"/>
  <c r="H7" i="117"/>
  <c r="F12" i="117"/>
  <c r="D38" i="113"/>
  <c r="J34" i="113"/>
  <c r="J8" i="115"/>
  <c r="J8" i="109"/>
  <c r="J23" i="115"/>
  <c r="D38" i="111"/>
  <c r="J34" i="111"/>
  <c r="J8" i="114"/>
  <c r="F10" i="117"/>
  <c r="J8" i="118"/>
  <c r="J8" i="111"/>
  <c r="D38" i="114"/>
  <c r="J34" i="114"/>
  <c r="J8" i="117"/>
  <c r="F12" i="111"/>
  <c r="H7" i="111"/>
  <c r="F12" i="116"/>
  <c r="H7" i="116"/>
  <c r="J23" i="109"/>
  <c r="G34" i="108" l="1"/>
  <c r="D34" i="108"/>
  <c r="F34" i="108" s="1"/>
  <c r="C34" i="108"/>
  <c r="B34" i="108"/>
  <c r="A34" i="108"/>
  <c r="G33" i="108"/>
  <c r="C33" i="108"/>
  <c r="B33" i="108"/>
  <c r="A33" i="108"/>
  <c r="G30" i="108"/>
  <c r="F29" i="108"/>
  <c r="C29" i="108"/>
  <c r="I29" i="108" s="1"/>
  <c r="B29" i="108"/>
  <c r="A29" i="108"/>
  <c r="D28" i="108"/>
  <c r="F28" i="108" s="1"/>
  <c r="C28" i="108"/>
  <c r="I28" i="108" s="1"/>
  <c r="B28" i="108"/>
  <c r="A28" i="108"/>
  <c r="G27" i="108"/>
  <c r="I26" i="108"/>
  <c r="F26" i="108"/>
  <c r="B26" i="108"/>
  <c r="A26" i="108"/>
  <c r="I25" i="108"/>
  <c r="D25" i="108"/>
  <c r="F25" i="108" s="1"/>
  <c r="H25" i="108" s="1"/>
  <c r="B25" i="108"/>
  <c r="A25" i="108"/>
  <c r="G24" i="108"/>
  <c r="F23" i="108"/>
  <c r="C23" i="108"/>
  <c r="I23" i="108" s="1"/>
  <c r="B23" i="108"/>
  <c r="A23" i="108"/>
  <c r="D22" i="108"/>
  <c r="C22" i="108"/>
  <c r="I22" i="108" s="1"/>
  <c r="B22" i="108"/>
  <c r="A22" i="108"/>
  <c r="G21" i="108"/>
  <c r="F20" i="108"/>
  <c r="C20" i="108"/>
  <c r="I20" i="108" s="1"/>
  <c r="B20" i="108"/>
  <c r="A20" i="108"/>
  <c r="D19" i="108"/>
  <c r="F19" i="108" s="1"/>
  <c r="C19" i="108"/>
  <c r="I19" i="108" s="1"/>
  <c r="B19" i="108"/>
  <c r="A19" i="108"/>
  <c r="G18" i="108"/>
  <c r="F17" i="108"/>
  <c r="C17" i="108"/>
  <c r="I17" i="108" s="1"/>
  <c r="B17" i="108"/>
  <c r="A17" i="108"/>
  <c r="D16" i="108"/>
  <c r="F16" i="108" s="1"/>
  <c r="C16" i="108"/>
  <c r="I16" i="108" s="1"/>
  <c r="B16" i="108"/>
  <c r="A16" i="108"/>
  <c r="G8" i="108"/>
  <c r="I8" i="108" s="1"/>
  <c r="D8" i="108"/>
  <c r="F8" i="108" s="1"/>
  <c r="A8" i="108"/>
  <c r="G7" i="108"/>
  <c r="D7" i="108" s="1"/>
  <c r="F7" i="108" s="1"/>
  <c r="G34" i="107"/>
  <c r="D34" i="107"/>
  <c r="F34" i="107" s="1"/>
  <c r="C34" i="107"/>
  <c r="B34" i="107"/>
  <c r="A34" i="107"/>
  <c r="G33" i="107"/>
  <c r="I33" i="107" s="1"/>
  <c r="C33" i="107"/>
  <c r="B33" i="107"/>
  <c r="A33" i="107"/>
  <c r="F29" i="107"/>
  <c r="C29" i="107"/>
  <c r="I29" i="107" s="1"/>
  <c r="B29" i="107"/>
  <c r="A29" i="107"/>
  <c r="D28" i="107"/>
  <c r="F28" i="107" s="1"/>
  <c r="C28" i="107"/>
  <c r="I28" i="107" s="1"/>
  <c r="B28" i="107"/>
  <c r="A28" i="107"/>
  <c r="G27" i="107"/>
  <c r="I26" i="107"/>
  <c r="F26" i="107"/>
  <c r="H26" i="107" s="1"/>
  <c r="D39" i="107" s="1"/>
  <c r="B26" i="107"/>
  <c r="A26" i="107"/>
  <c r="I25" i="107"/>
  <c r="D25" i="107"/>
  <c r="F25" i="107" s="1"/>
  <c r="B25" i="107"/>
  <c r="A25" i="107"/>
  <c r="G24" i="107"/>
  <c r="F23" i="107"/>
  <c r="C23" i="107"/>
  <c r="I23" i="107" s="1"/>
  <c r="B23" i="107"/>
  <c r="A23" i="107"/>
  <c r="D22" i="107"/>
  <c r="F22" i="107" s="1"/>
  <c r="C22" i="107"/>
  <c r="I22" i="107" s="1"/>
  <c r="B22" i="107"/>
  <c r="A22" i="107"/>
  <c r="F20" i="107"/>
  <c r="C20" i="107"/>
  <c r="I20" i="107" s="1"/>
  <c r="B20" i="107"/>
  <c r="A20" i="107"/>
  <c r="D19" i="107"/>
  <c r="C19" i="107"/>
  <c r="I19" i="107" s="1"/>
  <c r="B19" i="107"/>
  <c r="A19" i="107"/>
  <c r="G18" i="107"/>
  <c r="F17" i="107"/>
  <c r="C17" i="107"/>
  <c r="I17" i="107" s="1"/>
  <c r="B17" i="107"/>
  <c r="A17" i="107"/>
  <c r="D16" i="107"/>
  <c r="F16" i="107" s="1"/>
  <c r="C16" i="107"/>
  <c r="I16" i="107" s="1"/>
  <c r="B16" i="107"/>
  <c r="A16" i="107"/>
  <c r="G8" i="107"/>
  <c r="D8" i="107"/>
  <c r="F8" i="107" s="1"/>
  <c r="G7" i="107"/>
  <c r="I7" i="107" s="1"/>
  <c r="G34" i="106"/>
  <c r="D34" i="106"/>
  <c r="F34" i="106" s="1"/>
  <c r="C34" i="106"/>
  <c r="B34" i="106"/>
  <c r="A34" i="106"/>
  <c r="G33" i="106"/>
  <c r="C33" i="106"/>
  <c r="B33" i="106"/>
  <c r="A33" i="106"/>
  <c r="F29" i="106"/>
  <c r="C29" i="106"/>
  <c r="I29" i="106" s="1"/>
  <c r="B29" i="106"/>
  <c r="A29" i="106"/>
  <c r="D28" i="106"/>
  <c r="F28" i="106" s="1"/>
  <c r="C28" i="106"/>
  <c r="I28" i="106" s="1"/>
  <c r="B28" i="106"/>
  <c r="A28" i="106"/>
  <c r="G27" i="106"/>
  <c r="I26" i="106"/>
  <c r="F26" i="106"/>
  <c r="B26" i="106"/>
  <c r="A26" i="106"/>
  <c r="I25" i="106"/>
  <c r="D25" i="106"/>
  <c r="F25" i="106" s="1"/>
  <c r="H25" i="106" s="1"/>
  <c r="B25" i="106"/>
  <c r="A25" i="106"/>
  <c r="G24" i="106"/>
  <c r="F23" i="106"/>
  <c r="C23" i="106"/>
  <c r="I23" i="106" s="1"/>
  <c r="B23" i="106"/>
  <c r="A23" i="106"/>
  <c r="D22" i="106"/>
  <c r="F22" i="106" s="1"/>
  <c r="C22" i="106"/>
  <c r="I22" i="106" s="1"/>
  <c r="B22" i="106"/>
  <c r="A22" i="106"/>
  <c r="G21" i="106"/>
  <c r="F20" i="106"/>
  <c r="C20" i="106"/>
  <c r="I20" i="106" s="1"/>
  <c r="B20" i="106"/>
  <c r="A20" i="106"/>
  <c r="F19" i="106"/>
  <c r="F21" i="106" s="1"/>
  <c r="D19" i="106"/>
  <c r="C19" i="106"/>
  <c r="I19" i="106" s="1"/>
  <c r="B19" i="106"/>
  <c r="A19" i="106"/>
  <c r="G18" i="106"/>
  <c r="F17" i="106"/>
  <c r="C17" i="106"/>
  <c r="I17" i="106" s="1"/>
  <c r="B17" i="106"/>
  <c r="A17" i="106"/>
  <c r="D16" i="106"/>
  <c r="F16" i="106" s="1"/>
  <c r="C16" i="106"/>
  <c r="I16" i="106" s="1"/>
  <c r="B16" i="106"/>
  <c r="A16" i="106"/>
  <c r="G8" i="106"/>
  <c r="I8" i="106" s="1"/>
  <c r="D8" i="106"/>
  <c r="F8" i="106" s="1"/>
  <c r="G7" i="106"/>
  <c r="I7" i="106" s="1"/>
  <c r="G34" i="105"/>
  <c r="D34" i="105"/>
  <c r="F34" i="105" s="1"/>
  <c r="C34" i="105"/>
  <c r="B34" i="105"/>
  <c r="A34" i="105"/>
  <c r="G33" i="105"/>
  <c r="C33" i="105"/>
  <c r="B33" i="105"/>
  <c r="A33" i="105"/>
  <c r="G30" i="105"/>
  <c r="F29" i="105"/>
  <c r="C29" i="105"/>
  <c r="I29" i="105" s="1"/>
  <c r="B29" i="105"/>
  <c r="A29" i="105"/>
  <c r="D28" i="105"/>
  <c r="C28" i="105"/>
  <c r="I28" i="105" s="1"/>
  <c r="B28" i="105"/>
  <c r="A28" i="105"/>
  <c r="G27" i="105"/>
  <c r="I26" i="105"/>
  <c r="F26" i="105"/>
  <c r="B26" i="105"/>
  <c r="A26" i="105"/>
  <c r="I25" i="105"/>
  <c r="D25" i="105"/>
  <c r="F25" i="105" s="1"/>
  <c r="H25" i="105" s="1"/>
  <c r="B25" i="105"/>
  <c r="A25" i="105"/>
  <c r="G24" i="105"/>
  <c r="F23" i="105"/>
  <c r="C23" i="105"/>
  <c r="I23" i="105" s="1"/>
  <c r="B23" i="105"/>
  <c r="A23" i="105"/>
  <c r="D22" i="105"/>
  <c r="F22" i="105" s="1"/>
  <c r="C22" i="105"/>
  <c r="I22" i="105" s="1"/>
  <c r="B22" i="105"/>
  <c r="A22" i="105"/>
  <c r="G21" i="105"/>
  <c r="F20" i="105"/>
  <c r="C20" i="105"/>
  <c r="H20" i="105" s="1"/>
  <c r="B20" i="105"/>
  <c r="A20" i="105"/>
  <c r="D19" i="105"/>
  <c r="F19" i="105" s="1"/>
  <c r="C19" i="105"/>
  <c r="I19" i="105" s="1"/>
  <c r="B19" i="105"/>
  <c r="A19" i="105"/>
  <c r="G18" i="105"/>
  <c r="F17" i="105"/>
  <c r="C17" i="105"/>
  <c r="I17" i="105" s="1"/>
  <c r="B17" i="105"/>
  <c r="A17" i="105"/>
  <c r="D16" i="105"/>
  <c r="F16" i="105" s="1"/>
  <c r="C16" i="105"/>
  <c r="I16" i="105" s="1"/>
  <c r="B16" i="105"/>
  <c r="A16" i="105"/>
  <c r="G8" i="105"/>
  <c r="I8" i="105" s="1"/>
  <c r="D8" i="105"/>
  <c r="F8" i="105" s="1"/>
  <c r="G7" i="105"/>
  <c r="I7" i="105" s="1"/>
  <c r="G34" i="104"/>
  <c r="D34" i="104"/>
  <c r="F34" i="104" s="1"/>
  <c r="C34" i="104"/>
  <c r="B34" i="104"/>
  <c r="A34" i="104"/>
  <c r="G33" i="104"/>
  <c r="C33" i="104"/>
  <c r="B33" i="104"/>
  <c r="A33" i="104"/>
  <c r="G30" i="104"/>
  <c r="F29" i="104"/>
  <c r="C29" i="104"/>
  <c r="I29" i="104" s="1"/>
  <c r="B29" i="104"/>
  <c r="A29" i="104"/>
  <c r="D28" i="104"/>
  <c r="F28" i="104" s="1"/>
  <c r="C28" i="104"/>
  <c r="I28" i="104" s="1"/>
  <c r="B28" i="104"/>
  <c r="A28" i="104"/>
  <c r="G27" i="104"/>
  <c r="I26" i="104"/>
  <c r="F26" i="104"/>
  <c r="B26" i="104"/>
  <c r="A26" i="104"/>
  <c r="I25" i="104"/>
  <c r="D25" i="104"/>
  <c r="F25" i="104" s="1"/>
  <c r="H25" i="104" s="1"/>
  <c r="B25" i="104"/>
  <c r="A25" i="104"/>
  <c r="G24" i="104"/>
  <c r="F23" i="104"/>
  <c r="C23" i="104"/>
  <c r="I23" i="104" s="1"/>
  <c r="B23" i="104"/>
  <c r="A23" i="104"/>
  <c r="D22" i="104"/>
  <c r="C22" i="104"/>
  <c r="I22" i="104" s="1"/>
  <c r="B22" i="104"/>
  <c r="A22" i="104"/>
  <c r="G21" i="104"/>
  <c r="F20" i="104"/>
  <c r="C20" i="104"/>
  <c r="I20" i="104" s="1"/>
  <c r="B20" i="104"/>
  <c r="A20" i="104"/>
  <c r="D19" i="104"/>
  <c r="F19" i="104" s="1"/>
  <c r="C19" i="104"/>
  <c r="I19" i="104" s="1"/>
  <c r="B19" i="104"/>
  <c r="A19" i="104"/>
  <c r="G18" i="104"/>
  <c r="F17" i="104"/>
  <c r="C17" i="104"/>
  <c r="B17" i="104"/>
  <c r="A17" i="104"/>
  <c r="D16" i="104"/>
  <c r="F16" i="104" s="1"/>
  <c r="C16" i="104"/>
  <c r="I16" i="104" s="1"/>
  <c r="B16" i="104"/>
  <c r="A16" i="104"/>
  <c r="G8" i="104"/>
  <c r="I8" i="104" s="1"/>
  <c r="D8" i="104"/>
  <c r="F8" i="104" s="1"/>
  <c r="H8" i="104" s="1"/>
  <c r="D40" i="104" s="1"/>
  <c r="G7" i="104"/>
  <c r="D7" i="104" s="1"/>
  <c r="F7" i="104" s="1"/>
  <c r="G34" i="103"/>
  <c r="D34" i="103"/>
  <c r="F34" i="103" s="1"/>
  <c r="C34" i="103"/>
  <c r="B34" i="103"/>
  <c r="A34" i="103"/>
  <c r="G33" i="103"/>
  <c r="C33" i="103"/>
  <c r="B33" i="103"/>
  <c r="A33" i="103"/>
  <c r="G30" i="103"/>
  <c r="F29" i="103"/>
  <c r="C29" i="103"/>
  <c r="I29" i="103" s="1"/>
  <c r="B29" i="103"/>
  <c r="A29" i="103"/>
  <c r="D28" i="103"/>
  <c r="F28" i="103" s="1"/>
  <c r="C28" i="103"/>
  <c r="I28" i="103" s="1"/>
  <c r="B28" i="103"/>
  <c r="A28" i="103"/>
  <c r="G27" i="103"/>
  <c r="I26" i="103"/>
  <c r="F26" i="103"/>
  <c r="H26" i="103" s="1"/>
  <c r="D39" i="103" s="1"/>
  <c r="B26" i="103"/>
  <c r="A26" i="103"/>
  <c r="I25" i="103"/>
  <c r="D25" i="103"/>
  <c r="F25" i="103" s="1"/>
  <c r="H25" i="103" s="1"/>
  <c r="B25" i="103"/>
  <c r="A25" i="103"/>
  <c r="G24" i="103"/>
  <c r="F23" i="103"/>
  <c r="C23" i="103"/>
  <c r="I23" i="103" s="1"/>
  <c r="B23" i="103"/>
  <c r="A23" i="103"/>
  <c r="D22" i="103"/>
  <c r="F22" i="103" s="1"/>
  <c r="C22" i="103"/>
  <c r="I22" i="103" s="1"/>
  <c r="B22" i="103"/>
  <c r="A22" i="103"/>
  <c r="G21" i="103"/>
  <c r="F20" i="103"/>
  <c r="C20" i="103"/>
  <c r="I20" i="103" s="1"/>
  <c r="B20" i="103"/>
  <c r="A20" i="103"/>
  <c r="D19" i="103"/>
  <c r="F19" i="103" s="1"/>
  <c r="C19" i="103"/>
  <c r="I19" i="103" s="1"/>
  <c r="B19" i="103"/>
  <c r="A19" i="103"/>
  <c r="G18" i="103"/>
  <c r="F17" i="103"/>
  <c r="C17" i="103"/>
  <c r="I17" i="103" s="1"/>
  <c r="B17" i="103"/>
  <c r="A17" i="103"/>
  <c r="D16" i="103"/>
  <c r="F16" i="103" s="1"/>
  <c r="C16" i="103"/>
  <c r="I16" i="103" s="1"/>
  <c r="B16" i="103"/>
  <c r="A16" i="103"/>
  <c r="G8" i="103"/>
  <c r="I8" i="103" s="1"/>
  <c r="D8" i="103"/>
  <c r="F8" i="103" s="1"/>
  <c r="G7" i="103"/>
  <c r="D7" i="103" s="1"/>
  <c r="F7" i="103" s="1"/>
  <c r="G34" i="102"/>
  <c r="D34" i="102"/>
  <c r="F34" i="102" s="1"/>
  <c r="C34" i="102"/>
  <c r="B34" i="102"/>
  <c r="A34" i="102"/>
  <c r="G33" i="102"/>
  <c r="C33" i="102"/>
  <c r="B33" i="102"/>
  <c r="A33" i="102"/>
  <c r="G30" i="102"/>
  <c r="F29" i="102"/>
  <c r="C29" i="102"/>
  <c r="I29" i="102" s="1"/>
  <c r="B29" i="102"/>
  <c r="A29" i="102"/>
  <c r="D28" i="102"/>
  <c r="F28" i="102" s="1"/>
  <c r="C28" i="102"/>
  <c r="I28" i="102" s="1"/>
  <c r="B28" i="102"/>
  <c r="A28" i="102"/>
  <c r="G27" i="102"/>
  <c r="I26" i="102"/>
  <c r="F26" i="102"/>
  <c r="H26" i="102" s="1"/>
  <c r="D39" i="102" s="1"/>
  <c r="B26" i="102"/>
  <c r="A26" i="102"/>
  <c r="I25" i="102"/>
  <c r="D25" i="102"/>
  <c r="F25" i="102" s="1"/>
  <c r="H25" i="102" s="1"/>
  <c r="B25" i="102"/>
  <c r="A25" i="102"/>
  <c r="G24" i="102"/>
  <c r="F23" i="102"/>
  <c r="C23" i="102"/>
  <c r="I23" i="102" s="1"/>
  <c r="B23" i="102"/>
  <c r="A23" i="102"/>
  <c r="D22" i="102"/>
  <c r="C22" i="102"/>
  <c r="I22" i="102" s="1"/>
  <c r="B22" i="102"/>
  <c r="A22" i="102"/>
  <c r="G21" i="102"/>
  <c r="F20" i="102"/>
  <c r="H20" i="102" s="1"/>
  <c r="C20" i="102"/>
  <c r="I20" i="102" s="1"/>
  <c r="B20" i="102"/>
  <c r="A20" i="102"/>
  <c r="D19" i="102"/>
  <c r="F19" i="102" s="1"/>
  <c r="C19" i="102"/>
  <c r="I19" i="102" s="1"/>
  <c r="B19" i="102"/>
  <c r="A19" i="102"/>
  <c r="G18" i="102"/>
  <c r="F17" i="102"/>
  <c r="C17" i="102"/>
  <c r="I17" i="102" s="1"/>
  <c r="B17" i="102"/>
  <c r="A17" i="102"/>
  <c r="I16" i="102"/>
  <c r="D16" i="102"/>
  <c r="F16" i="102" s="1"/>
  <c r="H16" i="102" s="1"/>
  <c r="C16" i="102"/>
  <c r="B16" i="102"/>
  <c r="A16" i="102"/>
  <c r="G8" i="102"/>
  <c r="I8" i="102" s="1"/>
  <c r="D8" i="102"/>
  <c r="F8" i="102" s="1"/>
  <c r="A8" i="102"/>
  <c r="G7" i="102"/>
  <c r="D7" i="102" s="1"/>
  <c r="F7" i="102" s="1"/>
  <c r="G34" i="101"/>
  <c r="D34" i="101"/>
  <c r="F34" i="101" s="1"/>
  <c r="C34" i="101"/>
  <c r="B34" i="101"/>
  <c r="A34" i="101"/>
  <c r="G33" i="101"/>
  <c r="C33" i="101"/>
  <c r="B33" i="101"/>
  <c r="A33" i="101"/>
  <c r="G30" i="101"/>
  <c r="F29" i="101"/>
  <c r="C29" i="101"/>
  <c r="I29" i="101" s="1"/>
  <c r="B29" i="101"/>
  <c r="A29" i="101"/>
  <c r="D28" i="101"/>
  <c r="F28" i="101" s="1"/>
  <c r="C28" i="101"/>
  <c r="I28" i="101" s="1"/>
  <c r="B28" i="101"/>
  <c r="A28" i="101"/>
  <c r="G27" i="101"/>
  <c r="I26" i="101"/>
  <c r="F26" i="101"/>
  <c r="H26" i="101" s="1"/>
  <c r="D39" i="101" s="1"/>
  <c r="B26" i="101"/>
  <c r="A26" i="101"/>
  <c r="I25" i="101"/>
  <c r="D25" i="101"/>
  <c r="F25" i="101" s="1"/>
  <c r="H25" i="101" s="1"/>
  <c r="B25" i="101"/>
  <c r="A25" i="101"/>
  <c r="G24" i="101"/>
  <c r="F23" i="101"/>
  <c r="C23" i="101"/>
  <c r="I23" i="101" s="1"/>
  <c r="B23" i="101"/>
  <c r="A23" i="101"/>
  <c r="D22" i="101"/>
  <c r="F22" i="101" s="1"/>
  <c r="C22" i="101"/>
  <c r="I22" i="101" s="1"/>
  <c r="B22" i="101"/>
  <c r="A22" i="101"/>
  <c r="G21" i="101"/>
  <c r="F20" i="101"/>
  <c r="C20" i="101"/>
  <c r="I20" i="101" s="1"/>
  <c r="B20" i="101"/>
  <c r="A20" i="101"/>
  <c r="D19" i="101"/>
  <c r="F19" i="101" s="1"/>
  <c r="C19" i="101"/>
  <c r="I19" i="101" s="1"/>
  <c r="B19" i="101"/>
  <c r="A19" i="101"/>
  <c r="G18" i="101"/>
  <c r="F17" i="101"/>
  <c r="C17" i="101"/>
  <c r="I17" i="101" s="1"/>
  <c r="B17" i="101"/>
  <c r="A17" i="101"/>
  <c r="D16" i="101"/>
  <c r="F16" i="101" s="1"/>
  <c r="C16" i="101"/>
  <c r="I16" i="101" s="1"/>
  <c r="B16" i="101"/>
  <c r="A16" i="101"/>
  <c r="G8" i="101"/>
  <c r="I8" i="101" s="1"/>
  <c r="D8" i="101"/>
  <c r="F8" i="101" s="1"/>
  <c r="A8" i="101"/>
  <c r="G7" i="101"/>
  <c r="I7" i="101" s="1"/>
  <c r="G34" i="100"/>
  <c r="D34" i="100"/>
  <c r="F34" i="100" s="1"/>
  <c r="C34" i="100"/>
  <c r="B34" i="100"/>
  <c r="A34" i="100"/>
  <c r="G33" i="100"/>
  <c r="C33" i="100"/>
  <c r="B33" i="100"/>
  <c r="A33" i="100"/>
  <c r="G30" i="100"/>
  <c r="F29" i="100"/>
  <c r="C29" i="100"/>
  <c r="I29" i="100" s="1"/>
  <c r="B29" i="100"/>
  <c r="A29" i="100"/>
  <c r="D28" i="100"/>
  <c r="F28" i="100" s="1"/>
  <c r="C28" i="100"/>
  <c r="I28" i="100" s="1"/>
  <c r="B28" i="100"/>
  <c r="A28" i="100"/>
  <c r="G27" i="100"/>
  <c r="I26" i="100"/>
  <c r="F26" i="100"/>
  <c r="B26" i="100"/>
  <c r="A26" i="100"/>
  <c r="I25" i="100"/>
  <c r="D25" i="100"/>
  <c r="F25" i="100" s="1"/>
  <c r="H25" i="100" s="1"/>
  <c r="B25" i="100"/>
  <c r="A25" i="100"/>
  <c r="G24" i="100"/>
  <c r="F23" i="100"/>
  <c r="C23" i="100"/>
  <c r="I23" i="100" s="1"/>
  <c r="B23" i="100"/>
  <c r="A23" i="100"/>
  <c r="D22" i="100"/>
  <c r="F22" i="100" s="1"/>
  <c r="C22" i="100"/>
  <c r="I22" i="100" s="1"/>
  <c r="B22" i="100"/>
  <c r="A22" i="100"/>
  <c r="G21" i="100"/>
  <c r="F20" i="100"/>
  <c r="C20" i="100"/>
  <c r="I20" i="100" s="1"/>
  <c r="B20" i="100"/>
  <c r="A20" i="100"/>
  <c r="D19" i="100"/>
  <c r="F19" i="100" s="1"/>
  <c r="C19" i="100"/>
  <c r="I19" i="100" s="1"/>
  <c r="B19" i="100"/>
  <c r="A19" i="100"/>
  <c r="G18" i="100"/>
  <c r="F17" i="100"/>
  <c r="C17" i="100"/>
  <c r="I17" i="100" s="1"/>
  <c r="B17" i="100"/>
  <c r="A17" i="100"/>
  <c r="D16" i="100"/>
  <c r="F16" i="100" s="1"/>
  <c r="C16" i="100"/>
  <c r="I16" i="100" s="1"/>
  <c r="B16" i="100"/>
  <c r="A16" i="100"/>
  <c r="G8" i="100"/>
  <c r="I8" i="100" s="1"/>
  <c r="D8" i="100"/>
  <c r="F8" i="100" s="1"/>
  <c r="A8" i="100"/>
  <c r="G7" i="100"/>
  <c r="G34" i="99"/>
  <c r="D34" i="99"/>
  <c r="F34" i="99" s="1"/>
  <c r="C34" i="99"/>
  <c r="B34" i="99"/>
  <c r="A34" i="99"/>
  <c r="G33" i="99"/>
  <c r="C33" i="99"/>
  <c r="B33" i="99"/>
  <c r="A33" i="99"/>
  <c r="G30" i="99"/>
  <c r="F29" i="99"/>
  <c r="C29" i="99"/>
  <c r="I29" i="99" s="1"/>
  <c r="B29" i="99"/>
  <c r="A29" i="99"/>
  <c r="D28" i="99"/>
  <c r="C28" i="99"/>
  <c r="I28" i="99" s="1"/>
  <c r="B28" i="99"/>
  <c r="A28" i="99"/>
  <c r="G27" i="99"/>
  <c r="I26" i="99"/>
  <c r="F26" i="99"/>
  <c r="B26" i="99"/>
  <c r="A26" i="99"/>
  <c r="I25" i="99"/>
  <c r="D25" i="99"/>
  <c r="F25" i="99" s="1"/>
  <c r="H25" i="99" s="1"/>
  <c r="B25" i="99"/>
  <c r="A25" i="99"/>
  <c r="G24" i="99"/>
  <c r="F23" i="99"/>
  <c r="C23" i="99"/>
  <c r="I23" i="99" s="1"/>
  <c r="B23" i="99"/>
  <c r="A23" i="99"/>
  <c r="D22" i="99"/>
  <c r="F22" i="99" s="1"/>
  <c r="C22" i="99"/>
  <c r="I22" i="99" s="1"/>
  <c r="B22" i="99"/>
  <c r="A22" i="99"/>
  <c r="G21" i="99"/>
  <c r="F20" i="99"/>
  <c r="C20" i="99"/>
  <c r="I20" i="99" s="1"/>
  <c r="B20" i="99"/>
  <c r="A20" i="99"/>
  <c r="D19" i="99"/>
  <c r="F19" i="99" s="1"/>
  <c r="C19" i="99"/>
  <c r="I19" i="99" s="1"/>
  <c r="B19" i="99"/>
  <c r="A19" i="99"/>
  <c r="G18" i="99"/>
  <c r="F17" i="99"/>
  <c r="C17" i="99"/>
  <c r="I17" i="99" s="1"/>
  <c r="B17" i="99"/>
  <c r="A17" i="99"/>
  <c r="D16" i="99"/>
  <c r="F16" i="99" s="1"/>
  <c r="C16" i="99"/>
  <c r="I16" i="99" s="1"/>
  <c r="B16" i="99"/>
  <c r="A16" i="99"/>
  <c r="G8" i="99"/>
  <c r="I8" i="99" s="1"/>
  <c r="D8" i="99"/>
  <c r="F8" i="99" s="1"/>
  <c r="G7" i="99"/>
  <c r="I7" i="99" s="1"/>
  <c r="G34" i="98"/>
  <c r="D34" i="98"/>
  <c r="F34" i="98" s="1"/>
  <c r="C34" i="98"/>
  <c r="B34" i="98"/>
  <c r="A34" i="98"/>
  <c r="G33" i="98"/>
  <c r="C33" i="98"/>
  <c r="B33" i="98"/>
  <c r="A33" i="98"/>
  <c r="G30" i="98"/>
  <c r="F29" i="98"/>
  <c r="C29" i="98"/>
  <c r="I29" i="98" s="1"/>
  <c r="B29" i="98"/>
  <c r="A29" i="98"/>
  <c r="D28" i="98"/>
  <c r="F28" i="98" s="1"/>
  <c r="C28" i="98"/>
  <c r="I28" i="98" s="1"/>
  <c r="B28" i="98"/>
  <c r="A28" i="98"/>
  <c r="G27" i="98"/>
  <c r="I26" i="98"/>
  <c r="F26" i="98"/>
  <c r="H26" i="98" s="1"/>
  <c r="D39" i="98" s="1"/>
  <c r="B26" i="98"/>
  <c r="A26" i="98"/>
  <c r="I25" i="98"/>
  <c r="D25" i="98"/>
  <c r="F25" i="98" s="1"/>
  <c r="B25" i="98"/>
  <c r="A25" i="98"/>
  <c r="G24" i="98"/>
  <c r="F23" i="98"/>
  <c r="C23" i="98"/>
  <c r="I23" i="98" s="1"/>
  <c r="B23" i="98"/>
  <c r="A23" i="98"/>
  <c r="D22" i="98"/>
  <c r="F22" i="98" s="1"/>
  <c r="C22" i="98"/>
  <c r="I22" i="98" s="1"/>
  <c r="B22" i="98"/>
  <c r="A22" i="98"/>
  <c r="G21" i="98"/>
  <c r="F20" i="98"/>
  <c r="C20" i="98"/>
  <c r="I20" i="98" s="1"/>
  <c r="B20" i="98"/>
  <c r="A20" i="98"/>
  <c r="D19" i="98"/>
  <c r="F19" i="98" s="1"/>
  <c r="C19" i="98"/>
  <c r="I19" i="98" s="1"/>
  <c r="B19" i="98"/>
  <c r="A19" i="98"/>
  <c r="G18" i="98"/>
  <c r="F17" i="98"/>
  <c r="C17" i="98"/>
  <c r="I17" i="98" s="1"/>
  <c r="B17" i="98"/>
  <c r="A17" i="98"/>
  <c r="D16" i="98"/>
  <c r="F16" i="98" s="1"/>
  <c r="C16" i="98"/>
  <c r="I16" i="98" s="1"/>
  <c r="B16" i="98"/>
  <c r="A16" i="98"/>
  <c r="G8" i="98"/>
  <c r="I8" i="98" s="1"/>
  <c r="D8" i="98"/>
  <c r="F8" i="98" s="1"/>
  <c r="A8" i="98"/>
  <c r="G7" i="98"/>
  <c r="H16" i="105" l="1"/>
  <c r="H23" i="103"/>
  <c r="H28" i="104"/>
  <c r="H23" i="102"/>
  <c r="H16" i="99"/>
  <c r="H29" i="99"/>
  <c r="H23" i="108"/>
  <c r="J23" i="108" s="1"/>
  <c r="J25" i="106"/>
  <c r="H20" i="106"/>
  <c r="J20" i="106" s="1"/>
  <c r="H17" i="106"/>
  <c r="F27" i="106"/>
  <c r="H23" i="105"/>
  <c r="J23" i="105" s="1"/>
  <c r="I20" i="105"/>
  <c r="I34" i="104"/>
  <c r="H29" i="104"/>
  <c r="H22" i="103"/>
  <c r="I34" i="101"/>
  <c r="H20" i="101"/>
  <c r="J20" i="101" s="1"/>
  <c r="H16" i="101"/>
  <c r="I33" i="101"/>
  <c r="H23" i="100"/>
  <c r="J23" i="100" s="1"/>
  <c r="H16" i="100"/>
  <c r="H20" i="100"/>
  <c r="J20" i="100" s="1"/>
  <c r="H28" i="106"/>
  <c r="J28" i="106" s="1"/>
  <c r="H20" i="107"/>
  <c r="J20" i="107" s="1"/>
  <c r="I33" i="103"/>
  <c r="H29" i="105"/>
  <c r="J29" i="105" s="1"/>
  <c r="H34" i="106"/>
  <c r="D38" i="106" s="1"/>
  <c r="I33" i="108"/>
  <c r="J33" i="108" s="1"/>
  <c r="H29" i="102"/>
  <c r="J29" i="102" s="1"/>
  <c r="H16" i="104"/>
  <c r="H22" i="105"/>
  <c r="J22" i="105" s="1"/>
  <c r="I34" i="106"/>
  <c r="H22" i="100"/>
  <c r="J22" i="100" s="1"/>
  <c r="H28" i="103"/>
  <c r="J28" i="103" s="1"/>
  <c r="H23" i="104"/>
  <c r="H17" i="107"/>
  <c r="J17" i="107" s="1"/>
  <c r="I34" i="107"/>
  <c r="H17" i="108"/>
  <c r="J17" i="108" s="1"/>
  <c r="H28" i="108"/>
  <c r="J28" i="108" s="1"/>
  <c r="H19" i="104"/>
  <c r="J19" i="104" s="1"/>
  <c r="I33" i="99"/>
  <c r="H29" i="106"/>
  <c r="J29" i="106" s="1"/>
  <c r="H29" i="107"/>
  <c r="J29" i="107" s="1"/>
  <c r="H22" i="99"/>
  <c r="J22" i="99" s="1"/>
  <c r="H29" i="100"/>
  <c r="J29" i="100" s="1"/>
  <c r="H22" i="101"/>
  <c r="J22" i="101" s="1"/>
  <c r="I33" i="104"/>
  <c r="H22" i="107"/>
  <c r="J22" i="107" s="1"/>
  <c r="H20" i="103"/>
  <c r="J20" i="103" s="1"/>
  <c r="H22" i="106"/>
  <c r="I34" i="108"/>
  <c r="H16" i="106"/>
  <c r="H29" i="101"/>
  <c r="H20" i="99"/>
  <c r="J20" i="99" s="1"/>
  <c r="H16" i="103"/>
  <c r="I33" i="106"/>
  <c r="H19" i="108"/>
  <c r="J19" i="108" s="1"/>
  <c r="J29" i="99"/>
  <c r="H17" i="100"/>
  <c r="J17" i="100" s="1"/>
  <c r="H17" i="104"/>
  <c r="J17" i="106"/>
  <c r="J23" i="102"/>
  <c r="J23" i="103"/>
  <c r="J26" i="103"/>
  <c r="J26" i="101"/>
  <c r="J26" i="102"/>
  <c r="J8" i="104"/>
  <c r="J29" i="104"/>
  <c r="J29" i="101"/>
  <c r="F30" i="102"/>
  <c r="F30" i="104"/>
  <c r="D33" i="108"/>
  <c r="F33" i="108" s="1"/>
  <c r="H33" i="108" s="1"/>
  <c r="F30" i="103"/>
  <c r="F30" i="108"/>
  <c r="J28" i="104"/>
  <c r="F27" i="100"/>
  <c r="J25" i="103"/>
  <c r="F27" i="104"/>
  <c r="G10" i="107"/>
  <c r="F27" i="103"/>
  <c r="F27" i="102"/>
  <c r="F27" i="105"/>
  <c r="I33" i="100"/>
  <c r="F24" i="106"/>
  <c r="D33" i="107"/>
  <c r="F33" i="107" s="1"/>
  <c r="H33" i="107" s="1"/>
  <c r="J33" i="107" s="1"/>
  <c r="G35" i="102"/>
  <c r="F24" i="107"/>
  <c r="D33" i="106"/>
  <c r="F33" i="106" s="1"/>
  <c r="H33" i="106" s="1"/>
  <c r="G35" i="105"/>
  <c r="I34" i="105"/>
  <c r="D33" i="99"/>
  <c r="F33" i="99" s="1"/>
  <c r="H33" i="99" s="1"/>
  <c r="D33" i="102"/>
  <c r="F33" i="102" s="1"/>
  <c r="H33" i="102" s="1"/>
  <c r="G35" i="99"/>
  <c r="G35" i="103"/>
  <c r="I33" i="105"/>
  <c r="F21" i="104"/>
  <c r="G35" i="104"/>
  <c r="D33" i="105"/>
  <c r="F33" i="105" s="1"/>
  <c r="H33" i="105" s="1"/>
  <c r="G35" i="108"/>
  <c r="G35" i="100"/>
  <c r="D7" i="101"/>
  <c r="F7" i="101" s="1"/>
  <c r="H7" i="101" s="1"/>
  <c r="G35" i="106"/>
  <c r="G10" i="105"/>
  <c r="I33" i="102"/>
  <c r="D33" i="104"/>
  <c r="F33" i="104" s="1"/>
  <c r="H33" i="104" s="1"/>
  <c r="J33" i="104" s="1"/>
  <c r="D7" i="106"/>
  <c r="F7" i="106" s="1"/>
  <c r="H7" i="106" s="1"/>
  <c r="G35" i="107"/>
  <c r="D33" i="103"/>
  <c r="F33" i="103" s="1"/>
  <c r="H33" i="103" s="1"/>
  <c r="F21" i="108"/>
  <c r="G12" i="108"/>
  <c r="G10" i="99"/>
  <c r="I8" i="107"/>
  <c r="G12" i="100"/>
  <c r="G10" i="100"/>
  <c r="F18" i="101"/>
  <c r="D7" i="107"/>
  <c r="F7" i="107" s="1"/>
  <c r="F10" i="107" s="1"/>
  <c r="F10" i="104"/>
  <c r="D7" i="99"/>
  <c r="F7" i="99" s="1"/>
  <c r="F12" i="99" s="1"/>
  <c r="D7" i="105"/>
  <c r="F7" i="105" s="1"/>
  <c r="H7" i="105" s="1"/>
  <c r="F18" i="99"/>
  <c r="D7" i="100"/>
  <c r="F7" i="100" s="1"/>
  <c r="F12" i="100" s="1"/>
  <c r="G10" i="101"/>
  <c r="F18" i="104"/>
  <c r="G10" i="103"/>
  <c r="G10" i="102"/>
  <c r="G10" i="104"/>
  <c r="F18" i="105"/>
  <c r="G12" i="104"/>
  <c r="I7" i="108"/>
  <c r="G12" i="98"/>
  <c r="I7" i="98"/>
  <c r="J26" i="98"/>
  <c r="H28" i="98"/>
  <c r="J28" i="98" s="1"/>
  <c r="I33" i="98"/>
  <c r="H17" i="98"/>
  <c r="J17" i="98" s="1"/>
  <c r="I34" i="98"/>
  <c r="H23" i="98"/>
  <c r="H29" i="98"/>
  <c r="J29" i="98" s="1"/>
  <c r="H20" i="98"/>
  <c r="J20" i="98" s="1"/>
  <c r="H19" i="98"/>
  <c r="J19" i="98" s="1"/>
  <c r="F10" i="108"/>
  <c r="H8" i="108"/>
  <c r="D40" i="108" s="1"/>
  <c r="F12" i="108"/>
  <c r="H7" i="108"/>
  <c r="J25" i="108"/>
  <c r="F18" i="108"/>
  <c r="H16" i="108"/>
  <c r="F27" i="108"/>
  <c r="G10" i="108"/>
  <c r="H26" i="108"/>
  <c r="F22" i="108"/>
  <c r="H34" i="108"/>
  <c r="D38" i="108" s="1"/>
  <c r="H20" i="108"/>
  <c r="J20" i="108" s="1"/>
  <c r="H29" i="108"/>
  <c r="J29" i="108" s="1"/>
  <c r="H8" i="107"/>
  <c r="D40" i="107" s="1"/>
  <c r="H34" i="107"/>
  <c r="D38" i="107" s="1"/>
  <c r="J26" i="107"/>
  <c r="H25" i="107"/>
  <c r="J25" i="107" s="1"/>
  <c r="F27" i="107"/>
  <c r="H16" i="107"/>
  <c r="F18" i="107"/>
  <c r="H28" i="107"/>
  <c r="J28" i="107" s="1"/>
  <c r="F19" i="107"/>
  <c r="H23" i="107"/>
  <c r="G12" i="107"/>
  <c r="H8" i="106"/>
  <c r="D40" i="106" s="1"/>
  <c r="J22" i="106"/>
  <c r="G10" i="106"/>
  <c r="H19" i="106"/>
  <c r="J19" i="106" s="1"/>
  <c r="H23" i="106"/>
  <c r="G12" i="106"/>
  <c r="H26" i="106"/>
  <c r="F18" i="106"/>
  <c r="F21" i="105"/>
  <c r="H19" i="105"/>
  <c r="J19" i="105" s="1"/>
  <c r="J20" i="105"/>
  <c r="H8" i="105"/>
  <c r="D40" i="105" s="1"/>
  <c r="J25" i="105"/>
  <c r="H34" i="105"/>
  <c r="D38" i="105" s="1"/>
  <c r="H17" i="105"/>
  <c r="J17" i="105" s="1"/>
  <c r="G12" i="105"/>
  <c r="F24" i="105"/>
  <c r="H26" i="105"/>
  <c r="F28" i="105"/>
  <c r="J25" i="104"/>
  <c r="H7" i="104"/>
  <c r="F12" i="104"/>
  <c r="I7" i="104"/>
  <c r="I17" i="104"/>
  <c r="H26" i="104"/>
  <c r="F22" i="104"/>
  <c r="H34" i="104"/>
  <c r="D38" i="104" s="1"/>
  <c r="H20" i="104"/>
  <c r="J20" i="104" s="1"/>
  <c r="J23" i="104"/>
  <c r="H7" i="103"/>
  <c r="F12" i="103"/>
  <c r="F18" i="103"/>
  <c r="H34" i="103"/>
  <c r="D38" i="103" s="1"/>
  <c r="J22" i="103"/>
  <c r="F21" i="103"/>
  <c r="H19" i="103"/>
  <c r="J19" i="103" s="1"/>
  <c r="F10" i="103"/>
  <c r="G12" i="103"/>
  <c r="H17" i="103"/>
  <c r="J17" i="103" s="1"/>
  <c r="I7" i="103"/>
  <c r="F24" i="103"/>
  <c r="I34" i="103"/>
  <c r="H8" i="103"/>
  <c r="H29" i="103"/>
  <c r="J29" i="103" s="1"/>
  <c r="H7" i="102"/>
  <c r="F12" i="102"/>
  <c r="J20" i="102"/>
  <c r="F10" i="102"/>
  <c r="H8" i="102"/>
  <c r="D40" i="102" s="1"/>
  <c r="F18" i="102"/>
  <c r="H34" i="102"/>
  <c r="D38" i="102" s="1"/>
  <c r="J25" i="102"/>
  <c r="F21" i="102"/>
  <c r="H19" i="102"/>
  <c r="J19" i="102" s="1"/>
  <c r="H28" i="102"/>
  <c r="J28" i="102" s="1"/>
  <c r="G12" i="102"/>
  <c r="H17" i="102"/>
  <c r="J17" i="102" s="1"/>
  <c r="I7" i="102"/>
  <c r="F22" i="102"/>
  <c r="I34" i="102"/>
  <c r="H34" i="101"/>
  <c r="D38" i="101" s="1"/>
  <c r="F27" i="101"/>
  <c r="J25" i="101"/>
  <c r="H8" i="101"/>
  <c r="D40" i="101" s="1"/>
  <c r="F30" i="101"/>
  <c r="H28" i="101"/>
  <c r="J28" i="101" s="1"/>
  <c r="H19" i="101"/>
  <c r="J19" i="101" s="1"/>
  <c r="F21" i="101"/>
  <c r="F24" i="101"/>
  <c r="H23" i="101"/>
  <c r="G12" i="101"/>
  <c r="H17" i="101"/>
  <c r="J17" i="101" s="1"/>
  <c r="D33" i="101"/>
  <c r="F33" i="101" s="1"/>
  <c r="H33" i="101" s="1"/>
  <c r="G35" i="101"/>
  <c r="H34" i="100"/>
  <c r="D38" i="100" s="1"/>
  <c r="J25" i="100"/>
  <c r="H19" i="100"/>
  <c r="J19" i="100" s="1"/>
  <c r="F21" i="100"/>
  <c r="H8" i="100"/>
  <c r="D40" i="100" s="1"/>
  <c r="H28" i="100"/>
  <c r="J28" i="100" s="1"/>
  <c r="F30" i="100"/>
  <c r="I7" i="100"/>
  <c r="F24" i="100"/>
  <c r="H26" i="100"/>
  <c r="D33" i="100"/>
  <c r="F33" i="100" s="1"/>
  <c r="H33" i="100" s="1"/>
  <c r="F18" i="100"/>
  <c r="I34" i="100"/>
  <c r="H8" i="99"/>
  <c r="D40" i="99" s="1"/>
  <c r="H19" i="99"/>
  <c r="J19" i="99" s="1"/>
  <c r="F21" i="99"/>
  <c r="H34" i="99"/>
  <c r="D38" i="99" s="1"/>
  <c r="J25" i="99"/>
  <c r="F27" i="99"/>
  <c r="F24" i="99"/>
  <c r="F28" i="99"/>
  <c r="H23" i="99"/>
  <c r="G12" i="99"/>
  <c r="H17" i="99"/>
  <c r="J17" i="99" s="1"/>
  <c r="H26" i="99"/>
  <c r="I34" i="99"/>
  <c r="H22" i="98"/>
  <c r="J22" i="98" s="1"/>
  <c r="F24" i="98"/>
  <c r="H8" i="98"/>
  <c r="D40" i="98" s="1"/>
  <c r="F27" i="98"/>
  <c r="H25" i="98"/>
  <c r="J25" i="98" s="1"/>
  <c r="H34" i="98"/>
  <c r="D38" i="98" s="1"/>
  <c r="H16" i="98"/>
  <c r="F18" i="98"/>
  <c r="D33" i="98"/>
  <c r="F33" i="98" s="1"/>
  <c r="H33" i="98" s="1"/>
  <c r="G35" i="98"/>
  <c r="F21" i="98"/>
  <c r="D7" i="98"/>
  <c r="F7" i="98" s="1"/>
  <c r="F10" i="98" s="1"/>
  <c r="F30" i="98"/>
  <c r="G10" i="98"/>
  <c r="J33" i="101" l="1"/>
  <c r="J26" i="106"/>
  <c r="D39" i="106"/>
  <c r="J26" i="104"/>
  <c r="D39" i="104"/>
  <c r="J17" i="104"/>
  <c r="J26" i="100"/>
  <c r="D39" i="100"/>
  <c r="J26" i="99"/>
  <c r="D39" i="99"/>
  <c r="J34" i="100"/>
  <c r="J26" i="105"/>
  <c r="D39" i="105"/>
  <c r="J26" i="108"/>
  <c r="D39" i="108"/>
  <c r="J34" i="106"/>
  <c r="J33" i="106"/>
  <c r="J33" i="103"/>
  <c r="J33" i="102"/>
  <c r="J23" i="99"/>
  <c r="J33" i="99"/>
  <c r="J8" i="105"/>
  <c r="J8" i="106"/>
  <c r="J8" i="108"/>
  <c r="J23" i="107"/>
  <c r="J8" i="101"/>
  <c r="J34" i="105"/>
  <c r="J8" i="98"/>
  <c r="J8" i="102"/>
  <c r="J34" i="102"/>
  <c r="J34" i="99"/>
  <c r="H7" i="99"/>
  <c r="F12" i="107"/>
  <c r="H7" i="107"/>
  <c r="F10" i="106"/>
  <c r="J33" i="100"/>
  <c r="F12" i="101"/>
  <c r="F10" i="101"/>
  <c r="F10" i="105"/>
  <c r="J33" i="105"/>
  <c r="F12" i="106"/>
  <c r="F10" i="99"/>
  <c r="H7" i="100"/>
  <c r="F12" i="105"/>
  <c r="F10" i="100"/>
  <c r="J33" i="98"/>
  <c r="J34" i="98"/>
  <c r="J23" i="98"/>
  <c r="J34" i="108"/>
  <c r="H22" i="108"/>
  <c r="J22" i="108" s="1"/>
  <c r="F24" i="108"/>
  <c r="H19" i="107"/>
  <c r="J19" i="107" s="1"/>
  <c r="J8" i="107"/>
  <c r="J34" i="107"/>
  <c r="J23" i="106"/>
  <c r="H28" i="105"/>
  <c r="J28" i="105" s="1"/>
  <c r="F30" i="105"/>
  <c r="H22" i="104"/>
  <c r="J22" i="104" s="1"/>
  <c r="F24" i="104"/>
  <c r="J34" i="104"/>
  <c r="D40" i="103"/>
  <c r="J8" i="103"/>
  <c r="J34" i="103"/>
  <c r="H22" i="102"/>
  <c r="J22" i="102" s="1"/>
  <c r="F24" i="102"/>
  <c r="J34" i="101"/>
  <c r="J23" i="101"/>
  <c r="J8" i="100"/>
  <c r="F30" i="99"/>
  <c r="H28" i="99"/>
  <c r="J28" i="99" s="1"/>
  <c r="J8" i="99"/>
  <c r="H7" i="98"/>
  <c r="F12" i="98"/>
  <c r="D8" i="82"/>
  <c r="D8" i="72"/>
  <c r="F8" i="72" s="1"/>
  <c r="G8" i="72"/>
  <c r="C26" i="88" l="1"/>
  <c r="G24" i="95" l="1"/>
  <c r="A16" i="86"/>
  <c r="A17" i="86"/>
  <c r="A33" i="86"/>
  <c r="G34" i="95"/>
  <c r="D34" i="95"/>
  <c r="F34" i="95" s="1"/>
  <c r="C34" i="95"/>
  <c r="B34" i="95"/>
  <c r="A34" i="95"/>
  <c r="G33" i="95"/>
  <c r="C33" i="95"/>
  <c r="B33" i="95"/>
  <c r="A33" i="95"/>
  <c r="G30" i="95"/>
  <c r="F29" i="95"/>
  <c r="C29" i="95"/>
  <c r="I29" i="95" s="1"/>
  <c r="B29" i="95"/>
  <c r="A29" i="95"/>
  <c r="D28" i="95"/>
  <c r="C28" i="95"/>
  <c r="I28" i="95" s="1"/>
  <c r="B28" i="95"/>
  <c r="A28" i="95"/>
  <c r="G27" i="95"/>
  <c r="I26" i="95"/>
  <c r="F26" i="95"/>
  <c r="H26" i="95" s="1"/>
  <c r="D39" i="95" s="1"/>
  <c r="B26" i="95"/>
  <c r="A26" i="95"/>
  <c r="I25" i="95"/>
  <c r="D25" i="95"/>
  <c r="F25" i="95" s="1"/>
  <c r="B25" i="95"/>
  <c r="A25" i="95"/>
  <c r="F23" i="95"/>
  <c r="C23" i="95"/>
  <c r="I23" i="95" s="1"/>
  <c r="B23" i="95"/>
  <c r="A23" i="95"/>
  <c r="D22" i="95"/>
  <c r="F22" i="95" s="1"/>
  <c r="C22" i="95"/>
  <c r="I22" i="95" s="1"/>
  <c r="B22" i="95"/>
  <c r="A22" i="95"/>
  <c r="G21" i="95"/>
  <c r="F20" i="95"/>
  <c r="C20" i="95"/>
  <c r="I20" i="95" s="1"/>
  <c r="B20" i="95"/>
  <c r="A20" i="95"/>
  <c r="D19" i="95"/>
  <c r="F19" i="95" s="1"/>
  <c r="C19" i="95"/>
  <c r="I19" i="95" s="1"/>
  <c r="B19" i="95"/>
  <c r="A19" i="95"/>
  <c r="G18" i="95"/>
  <c r="F17" i="95"/>
  <c r="C17" i="95"/>
  <c r="B17" i="95"/>
  <c r="A17" i="95"/>
  <c r="I16" i="95"/>
  <c r="D16" i="95"/>
  <c r="F16" i="95" s="1"/>
  <c r="C16" i="95"/>
  <c r="B16" i="95"/>
  <c r="A16" i="95"/>
  <c r="G8" i="95"/>
  <c r="D8" i="95"/>
  <c r="F8" i="95" s="1"/>
  <c r="C8" i="95"/>
  <c r="A8" i="95"/>
  <c r="G7" i="95"/>
  <c r="D7" i="95" s="1"/>
  <c r="F7" i="95" s="1"/>
  <c r="G34" i="94"/>
  <c r="I34" i="94" s="1"/>
  <c r="D34" i="94"/>
  <c r="F34" i="94" s="1"/>
  <c r="C34" i="94"/>
  <c r="B34" i="94"/>
  <c r="A34" i="94"/>
  <c r="G33" i="94"/>
  <c r="C33" i="94"/>
  <c r="B33" i="94"/>
  <c r="A33" i="94"/>
  <c r="G30" i="94"/>
  <c r="F29" i="94"/>
  <c r="C29" i="94"/>
  <c r="I29" i="94" s="1"/>
  <c r="B29" i="94"/>
  <c r="A29" i="94"/>
  <c r="D28" i="94"/>
  <c r="C28" i="94"/>
  <c r="I28" i="94" s="1"/>
  <c r="B28" i="94"/>
  <c r="A28" i="94"/>
  <c r="G27" i="94"/>
  <c r="I26" i="94"/>
  <c r="F26" i="94"/>
  <c r="H26" i="94" s="1"/>
  <c r="D39" i="94" s="1"/>
  <c r="B26" i="94"/>
  <c r="A26" i="94"/>
  <c r="I25" i="94"/>
  <c r="D25" i="94"/>
  <c r="F25" i="94" s="1"/>
  <c r="B25" i="94"/>
  <c r="A25" i="94"/>
  <c r="G24" i="94"/>
  <c r="F23" i="94"/>
  <c r="C23" i="94"/>
  <c r="I23" i="94" s="1"/>
  <c r="B23" i="94"/>
  <c r="A23" i="94"/>
  <c r="D22" i="94"/>
  <c r="F22" i="94" s="1"/>
  <c r="C22" i="94"/>
  <c r="I22" i="94" s="1"/>
  <c r="B22" i="94"/>
  <c r="A22" i="94"/>
  <c r="G21" i="94"/>
  <c r="F20" i="94"/>
  <c r="C20" i="94"/>
  <c r="I20" i="94" s="1"/>
  <c r="B20" i="94"/>
  <c r="A20" i="94"/>
  <c r="D19" i="94"/>
  <c r="F19" i="94" s="1"/>
  <c r="H19" i="94" s="1"/>
  <c r="C19" i="94"/>
  <c r="I19" i="94" s="1"/>
  <c r="B19" i="94"/>
  <c r="A19" i="94"/>
  <c r="G18" i="94"/>
  <c r="F17" i="94"/>
  <c r="C17" i="94"/>
  <c r="I17" i="94" s="1"/>
  <c r="B17" i="94"/>
  <c r="A17" i="94"/>
  <c r="D16" i="94"/>
  <c r="F16" i="94" s="1"/>
  <c r="C16" i="94"/>
  <c r="I16" i="94" s="1"/>
  <c r="B16" i="94"/>
  <c r="A16" i="94"/>
  <c r="G8" i="94"/>
  <c r="D8" i="94"/>
  <c r="F8" i="94" s="1"/>
  <c r="C8" i="94"/>
  <c r="A8" i="94"/>
  <c r="G7" i="94"/>
  <c r="G34" i="93"/>
  <c r="D34" i="93"/>
  <c r="F34" i="93" s="1"/>
  <c r="C34" i="93"/>
  <c r="B34" i="93"/>
  <c r="A34" i="93"/>
  <c r="G33" i="93"/>
  <c r="C33" i="93"/>
  <c r="B33" i="93"/>
  <c r="A33" i="93"/>
  <c r="G30" i="93"/>
  <c r="F29" i="93"/>
  <c r="C29" i="93"/>
  <c r="I29" i="93" s="1"/>
  <c r="B29" i="93"/>
  <c r="A29" i="93"/>
  <c r="D28" i="93"/>
  <c r="F28" i="93" s="1"/>
  <c r="C28" i="93"/>
  <c r="I28" i="93" s="1"/>
  <c r="B28" i="93"/>
  <c r="A28" i="93"/>
  <c r="G27" i="93"/>
  <c r="I26" i="93"/>
  <c r="F26" i="93"/>
  <c r="B26" i="93"/>
  <c r="A26" i="93"/>
  <c r="I25" i="93"/>
  <c r="D25" i="93"/>
  <c r="F25" i="93" s="1"/>
  <c r="H25" i="93" s="1"/>
  <c r="B25" i="93"/>
  <c r="A25" i="93"/>
  <c r="G24" i="93"/>
  <c r="F23" i="93"/>
  <c r="C23" i="93"/>
  <c r="I23" i="93" s="1"/>
  <c r="B23" i="93"/>
  <c r="A23" i="93"/>
  <c r="D22" i="93"/>
  <c r="F22" i="93" s="1"/>
  <c r="C22" i="93"/>
  <c r="I22" i="93" s="1"/>
  <c r="B22" i="93"/>
  <c r="A22" i="93"/>
  <c r="G21" i="93"/>
  <c r="F20" i="93"/>
  <c r="C20" i="93"/>
  <c r="I20" i="93" s="1"/>
  <c r="B20" i="93"/>
  <c r="A20" i="93"/>
  <c r="D19" i="93"/>
  <c r="F19" i="93" s="1"/>
  <c r="C19" i="93"/>
  <c r="I19" i="93" s="1"/>
  <c r="B19" i="93"/>
  <c r="A19" i="93"/>
  <c r="G18" i="93"/>
  <c r="F17" i="93"/>
  <c r="C17" i="93"/>
  <c r="I17" i="93" s="1"/>
  <c r="B17" i="93"/>
  <c r="A17" i="93"/>
  <c r="D16" i="93"/>
  <c r="F16" i="93" s="1"/>
  <c r="C16" i="93"/>
  <c r="I16" i="93" s="1"/>
  <c r="B16" i="93"/>
  <c r="A16" i="93"/>
  <c r="G8" i="93"/>
  <c r="D8" i="93"/>
  <c r="F8" i="93" s="1"/>
  <c r="C8" i="93"/>
  <c r="A8" i="93"/>
  <c r="G7" i="93"/>
  <c r="D7" i="93" s="1"/>
  <c r="F7" i="93" s="1"/>
  <c r="G34" i="92"/>
  <c r="D34" i="92"/>
  <c r="F34" i="92" s="1"/>
  <c r="C34" i="92"/>
  <c r="B34" i="92"/>
  <c r="A34" i="92"/>
  <c r="G33" i="92"/>
  <c r="C33" i="92"/>
  <c r="B33" i="92"/>
  <c r="A33" i="92"/>
  <c r="G30" i="92"/>
  <c r="F29" i="92"/>
  <c r="C29" i="92"/>
  <c r="B29" i="92"/>
  <c r="A29" i="92"/>
  <c r="D28" i="92"/>
  <c r="C28" i="92"/>
  <c r="I28" i="92" s="1"/>
  <c r="B28" i="92"/>
  <c r="A28" i="92"/>
  <c r="G27" i="92"/>
  <c r="I26" i="92"/>
  <c r="F26" i="92"/>
  <c r="B26" i="92"/>
  <c r="A26" i="92"/>
  <c r="I25" i="92"/>
  <c r="D25" i="92"/>
  <c r="F25" i="92" s="1"/>
  <c r="H25" i="92" s="1"/>
  <c r="B25" i="92"/>
  <c r="A25" i="92"/>
  <c r="G24" i="92"/>
  <c r="F23" i="92"/>
  <c r="C23" i="92"/>
  <c r="I23" i="92" s="1"/>
  <c r="B23" i="92"/>
  <c r="A23" i="92"/>
  <c r="D22" i="92"/>
  <c r="F22" i="92" s="1"/>
  <c r="C22" i="92"/>
  <c r="I22" i="92" s="1"/>
  <c r="B22" i="92"/>
  <c r="A22" i="92"/>
  <c r="G21" i="92"/>
  <c r="F20" i="92"/>
  <c r="C20" i="92"/>
  <c r="I20" i="92" s="1"/>
  <c r="B20" i="92"/>
  <c r="A20" i="92"/>
  <c r="D19" i="92"/>
  <c r="F19" i="92" s="1"/>
  <c r="C19" i="92"/>
  <c r="I19" i="92" s="1"/>
  <c r="B19" i="92"/>
  <c r="A19" i="92"/>
  <c r="G18" i="92"/>
  <c r="F17" i="92"/>
  <c r="C17" i="92"/>
  <c r="I17" i="92" s="1"/>
  <c r="B17" i="92"/>
  <c r="A17" i="92"/>
  <c r="D16" i="92"/>
  <c r="F16" i="92" s="1"/>
  <c r="C16" i="92"/>
  <c r="I16" i="92" s="1"/>
  <c r="B16" i="92"/>
  <c r="A16" i="92"/>
  <c r="G8" i="92"/>
  <c r="D8" i="92"/>
  <c r="F8" i="92" s="1"/>
  <c r="C8" i="92"/>
  <c r="A8" i="92"/>
  <c r="G7" i="92"/>
  <c r="G34" i="91"/>
  <c r="D34" i="91"/>
  <c r="F34" i="91" s="1"/>
  <c r="C34" i="91"/>
  <c r="B34" i="91"/>
  <c r="A34" i="91"/>
  <c r="G33" i="91"/>
  <c r="C33" i="91"/>
  <c r="I33" i="91" s="1"/>
  <c r="B33" i="91"/>
  <c r="A33" i="91"/>
  <c r="G30" i="91"/>
  <c r="F29" i="91"/>
  <c r="C29" i="91"/>
  <c r="I29" i="91" s="1"/>
  <c r="B29" i="91"/>
  <c r="A29" i="91"/>
  <c r="D28" i="91"/>
  <c r="F28" i="91" s="1"/>
  <c r="H28" i="91" s="1"/>
  <c r="C28" i="91"/>
  <c r="I28" i="91" s="1"/>
  <c r="B28" i="91"/>
  <c r="A28" i="91"/>
  <c r="G27" i="91"/>
  <c r="I26" i="91"/>
  <c r="F26" i="91"/>
  <c r="B26" i="91"/>
  <c r="A26" i="91"/>
  <c r="I25" i="91"/>
  <c r="D25" i="91"/>
  <c r="F25" i="91" s="1"/>
  <c r="H25" i="91" s="1"/>
  <c r="B25" i="91"/>
  <c r="A25" i="91"/>
  <c r="G24" i="91"/>
  <c r="F23" i="91"/>
  <c r="C23" i="91"/>
  <c r="B23" i="91"/>
  <c r="A23" i="91"/>
  <c r="D22" i="91"/>
  <c r="F22" i="91" s="1"/>
  <c r="C22" i="91"/>
  <c r="I22" i="91" s="1"/>
  <c r="B22" i="91"/>
  <c r="A22" i="91"/>
  <c r="G21" i="91"/>
  <c r="I20" i="91"/>
  <c r="F20" i="91"/>
  <c r="H20" i="91" s="1"/>
  <c r="C20" i="91"/>
  <c r="B20" i="91"/>
  <c r="A20" i="91"/>
  <c r="D19" i="91"/>
  <c r="C19" i="91"/>
  <c r="I19" i="91" s="1"/>
  <c r="B19" i="91"/>
  <c r="A19" i="91"/>
  <c r="G18" i="91"/>
  <c r="F17" i="91"/>
  <c r="C17" i="91"/>
  <c r="I17" i="91" s="1"/>
  <c r="B17" i="91"/>
  <c r="A17" i="91"/>
  <c r="D16" i="91"/>
  <c r="F16" i="91" s="1"/>
  <c r="F18" i="91" s="1"/>
  <c r="C16" i="91"/>
  <c r="I16" i="91" s="1"/>
  <c r="B16" i="91"/>
  <c r="A16" i="91"/>
  <c r="G8" i="91"/>
  <c r="D8" i="91"/>
  <c r="F8" i="91" s="1"/>
  <c r="C8" i="91"/>
  <c r="A8" i="91"/>
  <c r="G7" i="91"/>
  <c r="G34" i="90"/>
  <c r="D34" i="90"/>
  <c r="F34" i="90" s="1"/>
  <c r="C34" i="90"/>
  <c r="B34" i="90"/>
  <c r="A34" i="90"/>
  <c r="G33" i="90"/>
  <c r="C33" i="90"/>
  <c r="B33" i="90"/>
  <c r="A33" i="90"/>
  <c r="G30" i="90"/>
  <c r="F29" i="90"/>
  <c r="C29" i="90"/>
  <c r="I29" i="90" s="1"/>
  <c r="B29" i="90"/>
  <c r="A29" i="90"/>
  <c r="D28" i="90"/>
  <c r="F28" i="90" s="1"/>
  <c r="C28" i="90"/>
  <c r="I28" i="90" s="1"/>
  <c r="B28" i="90"/>
  <c r="A28" i="90"/>
  <c r="G27" i="90"/>
  <c r="I26" i="90"/>
  <c r="F26" i="90"/>
  <c r="H26" i="90" s="1"/>
  <c r="D39" i="90" s="1"/>
  <c r="B26" i="90"/>
  <c r="A26" i="90"/>
  <c r="I25" i="90"/>
  <c r="D25" i="90"/>
  <c r="F25" i="90" s="1"/>
  <c r="H25" i="90" s="1"/>
  <c r="B25" i="90"/>
  <c r="A25" i="90"/>
  <c r="G24" i="90"/>
  <c r="F23" i="90"/>
  <c r="C23" i="90"/>
  <c r="I23" i="90" s="1"/>
  <c r="B23" i="90"/>
  <c r="A23" i="90"/>
  <c r="D22" i="90"/>
  <c r="C22" i="90"/>
  <c r="I22" i="90" s="1"/>
  <c r="B22" i="90"/>
  <c r="A22" i="90"/>
  <c r="G21" i="90"/>
  <c r="F20" i="90"/>
  <c r="C20" i="90"/>
  <c r="I20" i="90" s="1"/>
  <c r="B20" i="90"/>
  <c r="A20" i="90"/>
  <c r="D19" i="90"/>
  <c r="F19" i="90" s="1"/>
  <c r="C19" i="90"/>
  <c r="I19" i="90" s="1"/>
  <c r="B19" i="90"/>
  <c r="A19" i="90"/>
  <c r="G18" i="90"/>
  <c r="F17" i="90"/>
  <c r="C17" i="90"/>
  <c r="I17" i="90" s="1"/>
  <c r="B17" i="90"/>
  <c r="A17" i="90"/>
  <c r="D16" i="90"/>
  <c r="F16" i="90" s="1"/>
  <c r="C16" i="90"/>
  <c r="I16" i="90" s="1"/>
  <c r="B16" i="90"/>
  <c r="A16" i="90"/>
  <c r="G8" i="90"/>
  <c r="D8" i="90"/>
  <c r="F8" i="90" s="1"/>
  <c r="C8" i="90"/>
  <c r="A8" i="90"/>
  <c r="G7" i="90"/>
  <c r="I7" i="90" s="1"/>
  <c r="G34" i="89"/>
  <c r="D34" i="89"/>
  <c r="F34" i="89" s="1"/>
  <c r="C34" i="89"/>
  <c r="B34" i="89"/>
  <c r="A34" i="89"/>
  <c r="G33" i="89"/>
  <c r="C33" i="89"/>
  <c r="B33" i="89"/>
  <c r="A33" i="89"/>
  <c r="G30" i="89"/>
  <c r="F29" i="89"/>
  <c r="C29" i="89"/>
  <c r="I29" i="89" s="1"/>
  <c r="B29" i="89"/>
  <c r="A29" i="89"/>
  <c r="D28" i="89"/>
  <c r="F28" i="89" s="1"/>
  <c r="C28" i="89"/>
  <c r="I28" i="89" s="1"/>
  <c r="B28" i="89"/>
  <c r="A28" i="89"/>
  <c r="G27" i="89"/>
  <c r="I26" i="89"/>
  <c r="F26" i="89"/>
  <c r="B26" i="89"/>
  <c r="A26" i="89"/>
  <c r="I25" i="89"/>
  <c r="D25" i="89"/>
  <c r="F25" i="89" s="1"/>
  <c r="H25" i="89" s="1"/>
  <c r="B25" i="89"/>
  <c r="A25" i="89"/>
  <c r="G24" i="89"/>
  <c r="F23" i="89"/>
  <c r="C23" i="89"/>
  <c r="I23" i="89" s="1"/>
  <c r="B23" i="89"/>
  <c r="A23" i="89"/>
  <c r="D22" i="89"/>
  <c r="C22" i="89"/>
  <c r="I22" i="89" s="1"/>
  <c r="B22" i="89"/>
  <c r="A22" i="89"/>
  <c r="G21" i="89"/>
  <c r="F20" i="89"/>
  <c r="C20" i="89"/>
  <c r="I20" i="89" s="1"/>
  <c r="B20" i="89"/>
  <c r="A20" i="89"/>
  <c r="D19" i="89"/>
  <c r="F19" i="89" s="1"/>
  <c r="C19" i="89"/>
  <c r="I19" i="89" s="1"/>
  <c r="B19" i="89"/>
  <c r="A19" i="89"/>
  <c r="G18" i="89"/>
  <c r="F17" i="89"/>
  <c r="C17" i="89"/>
  <c r="I17" i="89" s="1"/>
  <c r="B17" i="89"/>
  <c r="A17" i="89"/>
  <c r="D16" i="89"/>
  <c r="F16" i="89" s="1"/>
  <c r="C16" i="89"/>
  <c r="I16" i="89" s="1"/>
  <c r="B16" i="89"/>
  <c r="A16" i="89"/>
  <c r="G8" i="89"/>
  <c r="D8" i="89"/>
  <c r="F8" i="89" s="1"/>
  <c r="C8" i="89"/>
  <c r="A8" i="89"/>
  <c r="G7" i="89"/>
  <c r="D7" i="89" s="1"/>
  <c r="F7" i="89" s="1"/>
  <c r="G34" i="88"/>
  <c r="D34" i="88"/>
  <c r="F34" i="88" s="1"/>
  <c r="C34" i="88"/>
  <c r="B34" i="88"/>
  <c r="A34" i="88"/>
  <c r="G33" i="88"/>
  <c r="C33" i="88"/>
  <c r="B33" i="88"/>
  <c r="A33" i="88"/>
  <c r="G30" i="88"/>
  <c r="F29" i="88"/>
  <c r="C29" i="88"/>
  <c r="I29" i="88" s="1"/>
  <c r="B29" i="88"/>
  <c r="A29" i="88"/>
  <c r="D28" i="88"/>
  <c r="F28" i="88" s="1"/>
  <c r="C28" i="88"/>
  <c r="I28" i="88" s="1"/>
  <c r="B28" i="88"/>
  <c r="A28" i="88"/>
  <c r="G27" i="88"/>
  <c r="I26" i="88"/>
  <c r="F26" i="88"/>
  <c r="H26" i="88" s="1"/>
  <c r="D39" i="88" s="1"/>
  <c r="B26" i="88"/>
  <c r="A26" i="88"/>
  <c r="I25" i="88"/>
  <c r="D25" i="88"/>
  <c r="F25" i="88" s="1"/>
  <c r="H25" i="88" s="1"/>
  <c r="B25" i="88"/>
  <c r="A25" i="88"/>
  <c r="G24" i="88"/>
  <c r="F23" i="88"/>
  <c r="C23" i="88"/>
  <c r="I23" i="88" s="1"/>
  <c r="B23" i="88"/>
  <c r="A23" i="88"/>
  <c r="D22" i="88"/>
  <c r="F22" i="88" s="1"/>
  <c r="C22" i="88"/>
  <c r="I22" i="88" s="1"/>
  <c r="B22" i="88"/>
  <c r="A22" i="88"/>
  <c r="G21" i="88"/>
  <c r="F20" i="88"/>
  <c r="C20" i="88"/>
  <c r="I20" i="88" s="1"/>
  <c r="B20" i="88"/>
  <c r="A20" i="88"/>
  <c r="D19" i="88"/>
  <c r="F19" i="88" s="1"/>
  <c r="C19" i="88"/>
  <c r="I19" i="88" s="1"/>
  <c r="B19" i="88"/>
  <c r="A19" i="88"/>
  <c r="G18" i="88"/>
  <c r="F17" i="88"/>
  <c r="C17" i="88"/>
  <c r="I17" i="88" s="1"/>
  <c r="B17" i="88"/>
  <c r="A17" i="88"/>
  <c r="D16" i="88"/>
  <c r="F16" i="88" s="1"/>
  <c r="C16" i="88"/>
  <c r="I16" i="88" s="1"/>
  <c r="B16" i="88"/>
  <c r="A16" i="88"/>
  <c r="G8" i="88"/>
  <c r="D8" i="88"/>
  <c r="F8" i="88" s="1"/>
  <c r="C8" i="88"/>
  <c r="A8" i="88"/>
  <c r="G7" i="88"/>
  <c r="G34" i="87"/>
  <c r="D34" i="87"/>
  <c r="F34" i="87" s="1"/>
  <c r="C34" i="87"/>
  <c r="B34" i="87"/>
  <c r="A34" i="87"/>
  <c r="G33" i="87"/>
  <c r="C33" i="87"/>
  <c r="B33" i="87"/>
  <c r="A33" i="87"/>
  <c r="G30" i="87"/>
  <c r="F29" i="87"/>
  <c r="C29" i="87"/>
  <c r="I29" i="87" s="1"/>
  <c r="B29" i="87"/>
  <c r="A29" i="87"/>
  <c r="D28" i="87"/>
  <c r="C28" i="87"/>
  <c r="I28" i="87" s="1"/>
  <c r="B28" i="87"/>
  <c r="A28" i="87"/>
  <c r="G27" i="87"/>
  <c r="I26" i="87"/>
  <c r="F26" i="87"/>
  <c r="B26" i="87"/>
  <c r="A26" i="87"/>
  <c r="I25" i="87"/>
  <c r="D25" i="87"/>
  <c r="F25" i="87" s="1"/>
  <c r="H25" i="87" s="1"/>
  <c r="B25" i="87"/>
  <c r="A25" i="87"/>
  <c r="G24" i="87"/>
  <c r="F23" i="87"/>
  <c r="C23" i="87"/>
  <c r="I23" i="87" s="1"/>
  <c r="B23" i="87"/>
  <c r="A23" i="87"/>
  <c r="D22" i="87"/>
  <c r="F22" i="87" s="1"/>
  <c r="C22" i="87"/>
  <c r="I22" i="87" s="1"/>
  <c r="B22" i="87"/>
  <c r="A22" i="87"/>
  <c r="G21" i="87"/>
  <c r="F20" i="87"/>
  <c r="C20" i="87"/>
  <c r="I20" i="87" s="1"/>
  <c r="B20" i="87"/>
  <c r="A20" i="87"/>
  <c r="D19" i="87"/>
  <c r="F19" i="87" s="1"/>
  <c r="C19" i="87"/>
  <c r="I19" i="87" s="1"/>
  <c r="B19" i="87"/>
  <c r="A19" i="87"/>
  <c r="G18" i="87"/>
  <c r="F17" i="87"/>
  <c r="C17" i="87"/>
  <c r="I17" i="87" s="1"/>
  <c r="B17" i="87"/>
  <c r="A17" i="87"/>
  <c r="D16" i="87"/>
  <c r="F16" i="87" s="1"/>
  <c r="C16" i="87"/>
  <c r="I16" i="87" s="1"/>
  <c r="B16" i="87"/>
  <c r="A16" i="87"/>
  <c r="G8" i="87"/>
  <c r="D8" i="87"/>
  <c r="F8" i="87" s="1"/>
  <c r="C8" i="87"/>
  <c r="A8" i="87"/>
  <c r="G7" i="87"/>
  <c r="D7" i="87" s="1"/>
  <c r="F7" i="87" s="1"/>
  <c r="G34" i="86"/>
  <c r="D34" i="86"/>
  <c r="F34" i="86" s="1"/>
  <c r="C34" i="86"/>
  <c r="B34" i="86"/>
  <c r="A34" i="86"/>
  <c r="G33" i="86"/>
  <c r="C33" i="86"/>
  <c r="B33" i="86"/>
  <c r="G30" i="86"/>
  <c r="F29" i="86"/>
  <c r="C29" i="86"/>
  <c r="I29" i="86" s="1"/>
  <c r="B29" i="86"/>
  <c r="A29" i="86"/>
  <c r="D28" i="86"/>
  <c r="C28" i="86"/>
  <c r="I28" i="86" s="1"/>
  <c r="B28" i="86"/>
  <c r="A28" i="86"/>
  <c r="G27" i="86"/>
  <c r="I26" i="86"/>
  <c r="F26" i="86"/>
  <c r="H26" i="86" s="1"/>
  <c r="D39" i="86" s="1"/>
  <c r="B26" i="86"/>
  <c r="A26" i="86"/>
  <c r="I25" i="86"/>
  <c r="D25" i="86"/>
  <c r="F25" i="86" s="1"/>
  <c r="B25" i="86"/>
  <c r="A25" i="86"/>
  <c r="G24" i="86"/>
  <c r="F23" i="86"/>
  <c r="C23" i="86"/>
  <c r="I23" i="86" s="1"/>
  <c r="B23" i="86"/>
  <c r="A23" i="86"/>
  <c r="D22" i="86"/>
  <c r="F22" i="86" s="1"/>
  <c r="H22" i="86" s="1"/>
  <c r="C22" i="86"/>
  <c r="I22" i="86" s="1"/>
  <c r="B22" i="86"/>
  <c r="A22" i="86"/>
  <c r="G21" i="86"/>
  <c r="F20" i="86"/>
  <c r="C20" i="86"/>
  <c r="I20" i="86" s="1"/>
  <c r="B20" i="86"/>
  <c r="A20" i="86"/>
  <c r="D19" i="86"/>
  <c r="F19" i="86" s="1"/>
  <c r="C19" i="86"/>
  <c r="I19" i="86" s="1"/>
  <c r="B19" i="86"/>
  <c r="A19" i="86"/>
  <c r="G18" i="86"/>
  <c r="F17" i="86"/>
  <c r="C17" i="86"/>
  <c r="I17" i="86" s="1"/>
  <c r="B17" i="86"/>
  <c r="D16" i="86"/>
  <c r="F16" i="86" s="1"/>
  <c r="C16" i="86"/>
  <c r="I16" i="86" s="1"/>
  <c r="B16" i="86"/>
  <c r="G8" i="86"/>
  <c r="D8" i="86"/>
  <c r="F8" i="86" s="1"/>
  <c r="C8" i="86"/>
  <c r="A8" i="86"/>
  <c r="G7" i="86"/>
  <c r="I7" i="86" s="1"/>
  <c r="H17" i="95" l="1"/>
  <c r="F27" i="95"/>
  <c r="H29" i="92"/>
  <c r="I8" i="87"/>
  <c r="H16" i="88"/>
  <c r="H29" i="91"/>
  <c r="J26" i="88"/>
  <c r="I33" i="92"/>
  <c r="H8" i="95"/>
  <c r="D40" i="95" s="1"/>
  <c r="F27" i="93"/>
  <c r="H29" i="86"/>
  <c r="H19" i="95"/>
  <c r="H29" i="95"/>
  <c r="I33" i="87"/>
  <c r="G35" i="88"/>
  <c r="I8" i="90"/>
  <c r="H17" i="90"/>
  <c r="H29" i="87"/>
  <c r="J29" i="87" s="1"/>
  <c r="I34" i="90"/>
  <c r="J34" i="90" s="1"/>
  <c r="H16" i="92"/>
  <c r="H23" i="88"/>
  <c r="J23" i="88" s="1"/>
  <c r="H28" i="90"/>
  <c r="J28" i="90" s="1"/>
  <c r="H29" i="88"/>
  <c r="J29" i="88" s="1"/>
  <c r="H23" i="89"/>
  <c r="J23" i="89" s="1"/>
  <c r="G35" i="94"/>
  <c r="G35" i="91"/>
  <c r="F18" i="95"/>
  <c r="J25" i="93"/>
  <c r="D33" i="90"/>
  <c r="F33" i="90" s="1"/>
  <c r="H33" i="90" s="1"/>
  <c r="D33" i="89"/>
  <c r="F33" i="89" s="1"/>
  <c r="F35" i="89" s="1"/>
  <c r="F27" i="87"/>
  <c r="I34" i="91"/>
  <c r="G12" i="91"/>
  <c r="D33" i="86"/>
  <c r="F33" i="86" s="1"/>
  <c r="F35" i="86" s="1"/>
  <c r="H20" i="95"/>
  <c r="J20" i="95" s="1"/>
  <c r="H23" i="95"/>
  <c r="J23" i="95" s="1"/>
  <c r="I34" i="95"/>
  <c r="I17" i="95"/>
  <c r="J17" i="95" s="1"/>
  <c r="I8" i="95"/>
  <c r="J8" i="95" s="1"/>
  <c r="H16" i="95"/>
  <c r="I33" i="95"/>
  <c r="H22" i="94"/>
  <c r="J22" i="94" s="1"/>
  <c r="H29" i="94"/>
  <c r="J29" i="94" s="1"/>
  <c r="H17" i="94"/>
  <c r="J17" i="94" s="1"/>
  <c r="H16" i="93"/>
  <c r="H23" i="93"/>
  <c r="J23" i="93" s="1"/>
  <c r="I33" i="93"/>
  <c r="H20" i="93"/>
  <c r="J20" i="93" s="1"/>
  <c r="H28" i="93"/>
  <c r="J28" i="93" s="1"/>
  <c r="H8" i="93"/>
  <c r="D40" i="93" s="1"/>
  <c r="I8" i="93"/>
  <c r="I34" i="93"/>
  <c r="H29" i="93"/>
  <c r="J29" i="93" s="1"/>
  <c r="H20" i="92"/>
  <c r="J20" i="92" s="1"/>
  <c r="H8" i="92"/>
  <c r="D40" i="92" s="1"/>
  <c r="I8" i="92"/>
  <c r="I29" i="92"/>
  <c r="J29" i="92" s="1"/>
  <c r="H23" i="92"/>
  <c r="J23" i="92" s="1"/>
  <c r="H22" i="91"/>
  <c r="H17" i="91"/>
  <c r="J17" i="91" s="1"/>
  <c r="H23" i="90"/>
  <c r="J23" i="90" s="1"/>
  <c r="I33" i="90"/>
  <c r="H19" i="90"/>
  <c r="J19" i="90" s="1"/>
  <c r="H34" i="90"/>
  <c r="D38" i="90" s="1"/>
  <c r="H20" i="89"/>
  <c r="J20" i="89" s="1"/>
  <c r="H28" i="89"/>
  <c r="J28" i="89" s="1"/>
  <c r="H17" i="89"/>
  <c r="J17" i="89" s="1"/>
  <c r="H34" i="89"/>
  <c r="D38" i="89" s="1"/>
  <c r="I34" i="89"/>
  <c r="H29" i="89"/>
  <c r="J29" i="89" s="1"/>
  <c r="H22" i="87"/>
  <c r="J22" i="87" s="1"/>
  <c r="H16" i="87"/>
  <c r="H20" i="87"/>
  <c r="J20" i="87" s="1"/>
  <c r="I34" i="87"/>
  <c r="I8" i="88"/>
  <c r="I33" i="88"/>
  <c r="H16" i="86"/>
  <c r="H20" i="86"/>
  <c r="J20" i="86" s="1"/>
  <c r="I34" i="86"/>
  <c r="H8" i="86"/>
  <c r="D40" i="86" s="1"/>
  <c r="I8" i="86"/>
  <c r="J26" i="95"/>
  <c r="J29" i="95"/>
  <c r="F12" i="95"/>
  <c r="G35" i="95"/>
  <c r="J19" i="95"/>
  <c r="D33" i="95"/>
  <c r="F33" i="95" s="1"/>
  <c r="H33" i="95" s="1"/>
  <c r="G12" i="95"/>
  <c r="F10" i="95"/>
  <c r="J26" i="94"/>
  <c r="D33" i="94"/>
  <c r="F33" i="94" s="1"/>
  <c r="H33" i="94" s="1"/>
  <c r="F21" i="94"/>
  <c r="G10" i="94"/>
  <c r="G12" i="94"/>
  <c r="H26" i="93"/>
  <c r="G35" i="93"/>
  <c r="G12" i="93"/>
  <c r="I7" i="93"/>
  <c r="F18" i="93"/>
  <c r="J25" i="92"/>
  <c r="F27" i="92"/>
  <c r="D33" i="92"/>
  <c r="F33" i="92" s="1"/>
  <c r="H33" i="92" s="1"/>
  <c r="J33" i="92" s="1"/>
  <c r="G35" i="92"/>
  <c r="G10" i="92"/>
  <c r="G12" i="92"/>
  <c r="D7" i="92"/>
  <c r="F7" i="92" s="1"/>
  <c r="F12" i="92" s="1"/>
  <c r="I7" i="92"/>
  <c r="J20" i="91"/>
  <c r="H23" i="91"/>
  <c r="D33" i="91"/>
  <c r="F33" i="91" s="1"/>
  <c r="H33" i="91" s="1"/>
  <c r="J33" i="91" s="1"/>
  <c r="J28" i="91"/>
  <c r="J25" i="91"/>
  <c r="F27" i="91"/>
  <c r="F24" i="91"/>
  <c r="G10" i="91"/>
  <c r="D7" i="91"/>
  <c r="F7" i="91" s="1"/>
  <c r="F10" i="91" s="1"/>
  <c r="J17" i="90"/>
  <c r="F30" i="90"/>
  <c r="J26" i="90"/>
  <c r="D7" i="90"/>
  <c r="F7" i="90" s="1"/>
  <c r="F10" i="90" s="1"/>
  <c r="G35" i="90"/>
  <c r="G12" i="90"/>
  <c r="F18" i="89"/>
  <c r="G12" i="89"/>
  <c r="G35" i="89"/>
  <c r="I33" i="89"/>
  <c r="I7" i="89"/>
  <c r="G10" i="89"/>
  <c r="G35" i="87"/>
  <c r="F24" i="87"/>
  <c r="D33" i="87"/>
  <c r="F33" i="87" s="1"/>
  <c r="H33" i="87" s="1"/>
  <c r="G12" i="87"/>
  <c r="F18" i="87"/>
  <c r="G12" i="88"/>
  <c r="F18" i="88"/>
  <c r="D7" i="88"/>
  <c r="F7" i="88" s="1"/>
  <c r="F10" i="88" s="1"/>
  <c r="F27" i="86"/>
  <c r="J29" i="86"/>
  <c r="F28" i="86"/>
  <c r="H28" i="86" s="1"/>
  <c r="J28" i="86" s="1"/>
  <c r="G35" i="86"/>
  <c r="F24" i="86"/>
  <c r="J22" i="86"/>
  <c r="I33" i="86"/>
  <c r="D7" i="86"/>
  <c r="F7" i="86" s="1"/>
  <c r="F12" i="86" s="1"/>
  <c r="H22" i="95"/>
  <c r="J22" i="95" s="1"/>
  <c r="F24" i="95"/>
  <c r="H25" i="95"/>
  <c r="J25" i="95" s="1"/>
  <c r="F21" i="95"/>
  <c r="G10" i="95"/>
  <c r="F28" i="95"/>
  <c r="H7" i="95"/>
  <c r="I7" i="95"/>
  <c r="H34" i="95"/>
  <c r="H25" i="94"/>
  <c r="J25" i="94" s="1"/>
  <c r="F27" i="94"/>
  <c r="H8" i="94"/>
  <c r="D40" i="94" s="1"/>
  <c r="J19" i="94"/>
  <c r="F24" i="94"/>
  <c r="H34" i="94"/>
  <c r="F18" i="94"/>
  <c r="H16" i="94"/>
  <c r="H20" i="94"/>
  <c r="J20" i="94" s="1"/>
  <c r="I33" i="94"/>
  <c r="I8" i="94"/>
  <c r="D7" i="94"/>
  <c r="F7" i="94" s="1"/>
  <c r="F10" i="94" s="1"/>
  <c r="H23" i="94"/>
  <c r="J23" i="94" s="1"/>
  <c r="I7" i="94"/>
  <c r="F28" i="94"/>
  <c r="F12" i="93"/>
  <c r="H7" i="93"/>
  <c r="F10" i="93"/>
  <c r="H34" i="93"/>
  <c r="D38" i="93" s="1"/>
  <c r="H22" i="93"/>
  <c r="J22" i="93" s="1"/>
  <c r="F24" i="93"/>
  <c r="H19" i="93"/>
  <c r="J19" i="93" s="1"/>
  <c r="F21" i="93"/>
  <c r="F30" i="93"/>
  <c r="G10" i="93"/>
  <c r="H17" i="93"/>
  <c r="J17" i="93" s="1"/>
  <c r="D33" i="93"/>
  <c r="F33" i="93" s="1"/>
  <c r="H33" i="93" s="1"/>
  <c r="H19" i="92"/>
  <c r="J19" i="92" s="1"/>
  <c r="F21" i="92"/>
  <c r="F18" i="92"/>
  <c r="H22" i="92"/>
  <c r="J22" i="92" s="1"/>
  <c r="F24" i="92"/>
  <c r="H34" i="92"/>
  <c r="D38" i="92" s="1"/>
  <c r="F28" i="92"/>
  <c r="H17" i="92"/>
  <c r="J17" i="92" s="1"/>
  <c r="H26" i="92"/>
  <c r="I34" i="92"/>
  <c r="J29" i="91"/>
  <c r="H8" i="91"/>
  <c r="D40" i="91" s="1"/>
  <c r="J22" i="91"/>
  <c r="H34" i="91"/>
  <c r="D38" i="91" s="1"/>
  <c r="H16" i="91"/>
  <c r="I8" i="91"/>
  <c r="F19" i="91"/>
  <c r="F30" i="91"/>
  <c r="I23" i="91"/>
  <c r="I7" i="91"/>
  <c r="H26" i="91"/>
  <c r="H8" i="90"/>
  <c r="J25" i="90"/>
  <c r="H16" i="90"/>
  <c r="F18" i="90"/>
  <c r="F21" i="90"/>
  <c r="H20" i="90"/>
  <c r="J20" i="90" s="1"/>
  <c r="H29" i="90"/>
  <c r="J29" i="90" s="1"/>
  <c r="F27" i="90"/>
  <c r="G10" i="90"/>
  <c r="F22" i="90"/>
  <c r="F12" i="89"/>
  <c r="H7" i="89"/>
  <c r="F10" i="89"/>
  <c r="H8" i="89"/>
  <c r="D40" i="89" s="1"/>
  <c r="J25" i="89"/>
  <c r="F27" i="89"/>
  <c r="H19" i="89"/>
  <c r="J19" i="89" s="1"/>
  <c r="F21" i="89"/>
  <c r="I8" i="89"/>
  <c r="F30" i="89"/>
  <c r="H16" i="89"/>
  <c r="H26" i="89"/>
  <c r="F22" i="89"/>
  <c r="H8" i="88"/>
  <c r="D40" i="88" s="1"/>
  <c r="H34" i="88"/>
  <c r="D38" i="88" s="1"/>
  <c r="H22" i="88"/>
  <c r="J22" i="88" s="1"/>
  <c r="F24" i="88"/>
  <c r="F27" i="88"/>
  <c r="H19" i="88"/>
  <c r="J19" i="88" s="1"/>
  <c r="F21" i="88"/>
  <c r="H28" i="88"/>
  <c r="J28" i="88" s="1"/>
  <c r="F30" i="88"/>
  <c r="J25" i="88"/>
  <c r="G10" i="88"/>
  <c r="I7" i="88"/>
  <c r="H17" i="88"/>
  <c r="J17" i="88" s="1"/>
  <c r="D33" i="88"/>
  <c r="F33" i="88" s="1"/>
  <c r="H33" i="88" s="1"/>
  <c r="I34" i="88"/>
  <c r="H20" i="88"/>
  <c r="J20" i="88" s="1"/>
  <c r="F10" i="87"/>
  <c r="H8" i="87"/>
  <c r="H19" i="87"/>
  <c r="J19" i="87" s="1"/>
  <c r="F21" i="87"/>
  <c r="F12" i="87"/>
  <c r="H7" i="87"/>
  <c r="J25" i="87"/>
  <c r="H34" i="87"/>
  <c r="D38" i="87" s="1"/>
  <c r="G10" i="87"/>
  <c r="H23" i="87"/>
  <c r="J23" i="87" s="1"/>
  <c r="F28" i="87"/>
  <c r="H28" i="87" s="1"/>
  <c r="J28" i="87" s="1"/>
  <c r="I7" i="87"/>
  <c r="H17" i="87"/>
  <c r="J17" i="87" s="1"/>
  <c r="H26" i="87"/>
  <c r="J26" i="86"/>
  <c r="F21" i="86"/>
  <c r="H19" i="86"/>
  <c r="J19" i="86" s="1"/>
  <c r="F18" i="86"/>
  <c r="H23" i="86"/>
  <c r="J23" i="86" s="1"/>
  <c r="H25" i="86"/>
  <c r="J25" i="86" s="1"/>
  <c r="G12" i="86"/>
  <c r="H34" i="86"/>
  <c r="G10" i="86"/>
  <c r="H17" i="86"/>
  <c r="J17" i="86" s="1"/>
  <c r="G33" i="81"/>
  <c r="J33" i="95" l="1"/>
  <c r="J34" i="89"/>
  <c r="J26" i="91"/>
  <c r="D39" i="91"/>
  <c r="J26" i="93"/>
  <c r="D39" i="93"/>
  <c r="J26" i="89"/>
  <c r="D39" i="89"/>
  <c r="J26" i="87"/>
  <c r="D39" i="87"/>
  <c r="J34" i="95"/>
  <c r="D38" i="95"/>
  <c r="J34" i="86"/>
  <c r="D38" i="86"/>
  <c r="J8" i="90"/>
  <c r="D40" i="90"/>
  <c r="J26" i="92"/>
  <c r="D39" i="92"/>
  <c r="J8" i="87"/>
  <c r="D40" i="87"/>
  <c r="J33" i="87"/>
  <c r="J33" i="88"/>
  <c r="J34" i="94"/>
  <c r="D38" i="94"/>
  <c r="J33" i="90"/>
  <c r="J34" i="93"/>
  <c r="J8" i="92"/>
  <c r="F35" i="91"/>
  <c r="F35" i="90"/>
  <c r="H33" i="89"/>
  <c r="J33" i="89" s="1"/>
  <c r="J34" i="87"/>
  <c r="F30" i="86"/>
  <c r="H33" i="86"/>
  <c r="J33" i="86" s="1"/>
  <c r="J8" i="93"/>
  <c r="J33" i="93"/>
  <c r="J34" i="92"/>
  <c r="J23" i="91"/>
  <c r="J34" i="91"/>
  <c r="J34" i="88"/>
  <c r="J8" i="88"/>
  <c r="J8" i="86"/>
  <c r="J8" i="91"/>
  <c r="F35" i="95"/>
  <c r="J33" i="94"/>
  <c r="F35" i="94"/>
  <c r="F10" i="92"/>
  <c r="H7" i="92"/>
  <c r="F35" i="92"/>
  <c r="H7" i="91"/>
  <c r="F12" i="91"/>
  <c r="H7" i="90"/>
  <c r="F12" i="90"/>
  <c r="F35" i="87"/>
  <c r="F12" i="88"/>
  <c r="H7" i="88"/>
  <c r="F10" i="86"/>
  <c r="H7" i="86"/>
  <c r="H28" i="95"/>
  <c r="J28" i="95" s="1"/>
  <c r="F30" i="95"/>
  <c r="H28" i="94"/>
  <c r="J28" i="94" s="1"/>
  <c r="F30" i="94"/>
  <c r="F12" i="94"/>
  <c r="H7" i="94"/>
  <c r="J8" i="94"/>
  <c r="F35" i="93"/>
  <c r="H28" i="92"/>
  <c r="J28" i="92" s="1"/>
  <c r="F30" i="92"/>
  <c r="H19" i="91"/>
  <c r="J19" i="91" s="1"/>
  <c r="F21" i="91"/>
  <c r="F24" i="90"/>
  <c r="H22" i="90"/>
  <c r="J22" i="90" s="1"/>
  <c r="H22" i="89"/>
  <c r="J22" i="89" s="1"/>
  <c r="F24" i="89"/>
  <c r="J8" i="89"/>
  <c r="F35" i="88"/>
  <c r="F30" i="87"/>
  <c r="G34" i="84"/>
  <c r="D34" i="84"/>
  <c r="F34" i="84" s="1"/>
  <c r="C34" i="84"/>
  <c r="B34" i="84"/>
  <c r="A34" i="84"/>
  <c r="G33" i="84"/>
  <c r="C33" i="84"/>
  <c r="B33" i="84"/>
  <c r="A33" i="84"/>
  <c r="G30" i="84"/>
  <c r="F29" i="84"/>
  <c r="C29" i="84"/>
  <c r="I29" i="84" s="1"/>
  <c r="B29" i="84"/>
  <c r="A29" i="84"/>
  <c r="D28" i="84"/>
  <c r="F28" i="84" s="1"/>
  <c r="C28" i="84"/>
  <c r="I28" i="84" s="1"/>
  <c r="B28" i="84"/>
  <c r="A28" i="84"/>
  <c r="G27" i="84"/>
  <c r="I26" i="84"/>
  <c r="F26" i="84"/>
  <c r="B26" i="84"/>
  <c r="A26" i="84"/>
  <c r="I25" i="84"/>
  <c r="D25" i="84"/>
  <c r="F25" i="84" s="1"/>
  <c r="H25" i="84" s="1"/>
  <c r="B25" i="84"/>
  <c r="A25" i="84"/>
  <c r="G24" i="84"/>
  <c r="F23" i="84"/>
  <c r="H23" i="84" s="1"/>
  <c r="C23" i="84"/>
  <c r="I23" i="84" s="1"/>
  <c r="B23" i="84"/>
  <c r="A23" i="84"/>
  <c r="D22" i="84"/>
  <c r="C22" i="84"/>
  <c r="I22" i="84" s="1"/>
  <c r="B22" i="84"/>
  <c r="A22" i="84"/>
  <c r="G21" i="84"/>
  <c r="F20" i="84"/>
  <c r="C20" i="84"/>
  <c r="I20" i="84" s="1"/>
  <c r="B20" i="84"/>
  <c r="A20" i="84"/>
  <c r="D19" i="84"/>
  <c r="F19" i="84" s="1"/>
  <c r="C19" i="84"/>
  <c r="I19" i="84" s="1"/>
  <c r="B19" i="84"/>
  <c r="A19" i="84"/>
  <c r="G18" i="84"/>
  <c r="F17" i="84"/>
  <c r="C17" i="84"/>
  <c r="I17" i="84" s="1"/>
  <c r="B17" i="84"/>
  <c r="A17" i="84"/>
  <c r="D16" i="84"/>
  <c r="F16" i="84" s="1"/>
  <c r="C16" i="84"/>
  <c r="I16" i="84" s="1"/>
  <c r="B16" i="84"/>
  <c r="A16" i="84"/>
  <c r="G8" i="84"/>
  <c r="D8" i="84"/>
  <c r="F8" i="84" s="1"/>
  <c r="C8" i="84"/>
  <c r="A8" i="84"/>
  <c r="G7" i="84"/>
  <c r="H20" i="84" l="1"/>
  <c r="J20" i="84" s="1"/>
  <c r="I34" i="84"/>
  <c r="H17" i="84"/>
  <c r="J17" i="84" s="1"/>
  <c r="I8" i="84"/>
  <c r="H29" i="84"/>
  <c r="J29" i="84" s="1"/>
  <c r="I33" i="84"/>
  <c r="J23" i="84"/>
  <c r="F27" i="84"/>
  <c r="G10" i="84"/>
  <c r="G35" i="84"/>
  <c r="D7" i="84"/>
  <c r="F7" i="84" s="1"/>
  <c r="F12" i="84" s="1"/>
  <c r="I7" i="84"/>
  <c r="D33" i="84"/>
  <c r="F33" i="84" s="1"/>
  <c r="H33" i="84" s="1"/>
  <c r="G12" i="84"/>
  <c r="F18" i="84"/>
  <c r="H16" i="84"/>
  <c r="H19" i="84"/>
  <c r="J19" i="84" s="1"/>
  <c r="F21" i="84"/>
  <c r="H8" i="84"/>
  <c r="D40" i="84" s="1"/>
  <c r="H28" i="84"/>
  <c r="J28" i="84" s="1"/>
  <c r="F30" i="84"/>
  <c r="J25" i="84"/>
  <c r="H26" i="84"/>
  <c r="F22" i="84"/>
  <c r="H34" i="84"/>
  <c r="D38" i="84" s="1"/>
  <c r="J26" i="84" l="1"/>
  <c r="D39" i="84"/>
  <c r="J8" i="84"/>
  <c r="J34" i="84"/>
  <c r="J33" i="84"/>
  <c r="F10" i="84"/>
  <c r="H7" i="84"/>
  <c r="F35" i="84"/>
  <c r="H22" i="84"/>
  <c r="J22" i="84" s="1"/>
  <c r="F24" i="84"/>
  <c r="G34" i="82" l="1"/>
  <c r="D34" i="82"/>
  <c r="F34" i="82" s="1"/>
  <c r="C34" i="82"/>
  <c r="B34" i="82"/>
  <c r="A34" i="82"/>
  <c r="G33" i="82"/>
  <c r="C33" i="82"/>
  <c r="B33" i="82"/>
  <c r="A33" i="82"/>
  <c r="G30" i="82"/>
  <c r="F29" i="82"/>
  <c r="C29" i="82"/>
  <c r="I29" i="82" s="1"/>
  <c r="B29" i="82"/>
  <c r="A29" i="82"/>
  <c r="D28" i="82"/>
  <c r="F28" i="82" s="1"/>
  <c r="C28" i="82"/>
  <c r="I28" i="82" s="1"/>
  <c r="B28" i="82"/>
  <c r="A28" i="82"/>
  <c r="G27" i="82"/>
  <c r="I26" i="82"/>
  <c r="F26" i="82"/>
  <c r="H26" i="82" s="1"/>
  <c r="D39" i="82" s="1"/>
  <c r="B26" i="82"/>
  <c r="A26" i="82"/>
  <c r="I25" i="82"/>
  <c r="D25" i="82"/>
  <c r="F25" i="82" s="1"/>
  <c r="B25" i="82"/>
  <c r="A25" i="82"/>
  <c r="G24" i="82"/>
  <c r="F23" i="82"/>
  <c r="C23" i="82"/>
  <c r="B23" i="82"/>
  <c r="A23" i="82"/>
  <c r="D22" i="82"/>
  <c r="F22" i="82" s="1"/>
  <c r="C22" i="82"/>
  <c r="I22" i="82" s="1"/>
  <c r="B22" i="82"/>
  <c r="A22" i="82"/>
  <c r="G21" i="82"/>
  <c r="F20" i="82"/>
  <c r="C20" i="82"/>
  <c r="B20" i="82"/>
  <c r="A20" i="82"/>
  <c r="D19" i="82"/>
  <c r="F19" i="82" s="1"/>
  <c r="C19" i="82"/>
  <c r="I19" i="82" s="1"/>
  <c r="B19" i="82"/>
  <c r="A19" i="82"/>
  <c r="G18" i="82"/>
  <c r="F17" i="82"/>
  <c r="C17" i="82"/>
  <c r="I17" i="82" s="1"/>
  <c r="B17" i="82"/>
  <c r="A17" i="82"/>
  <c r="D16" i="82"/>
  <c r="F16" i="82" s="1"/>
  <c r="C16" i="82"/>
  <c r="I16" i="82" s="1"/>
  <c r="B16" i="82"/>
  <c r="A16" i="82"/>
  <c r="G8" i="82"/>
  <c r="F8" i="82"/>
  <c r="C8" i="82"/>
  <c r="A8" i="82"/>
  <c r="G7" i="82"/>
  <c r="I7" i="82" s="1"/>
  <c r="G34" i="81"/>
  <c r="D34" i="81"/>
  <c r="F34" i="81" s="1"/>
  <c r="C34" i="81"/>
  <c r="B34" i="81"/>
  <c r="A34" i="81"/>
  <c r="C33" i="81"/>
  <c r="I33" i="81" s="1"/>
  <c r="B33" i="81"/>
  <c r="A33" i="81"/>
  <c r="G30" i="81"/>
  <c r="F29" i="81"/>
  <c r="C29" i="81"/>
  <c r="I29" i="81" s="1"/>
  <c r="B29" i="81"/>
  <c r="A29" i="81"/>
  <c r="D28" i="81"/>
  <c r="F28" i="81" s="1"/>
  <c r="H28" i="81" s="1"/>
  <c r="C28" i="81"/>
  <c r="I28" i="81" s="1"/>
  <c r="J28" i="81" s="1"/>
  <c r="B28" i="81"/>
  <c r="A28" i="81"/>
  <c r="G27" i="81"/>
  <c r="I26" i="81"/>
  <c r="F26" i="81"/>
  <c r="B26" i="81"/>
  <c r="A26" i="81"/>
  <c r="I25" i="81"/>
  <c r="D25" i="81"/>
  <c r="F25" i="81" s="1"/>
  <c r="H25" i="81" s="1"/>
  <c r="B25" i="81"/>
  <c r="A25" i="81"/>
  <c r="G24" i="81"/>
  <c r="F23" i="81"/>
  <c r="C23" i="81"/>
  <c r="I23" i="81" s="1"/>
  <c r="B23" i="81"/>
  <c r="A23" i="81"/>
  <c r="D22" i="81"/>
  <c r="F22" i="81" s="1"/>
  <c r="C22" i="81"/>
  <c r="I22" i="81" s="1"/>
  <c r="B22" i="81"/>
  <c r="A22" i="81"/>
  <c r="G21" i="81"/>
  <c r="F20" i="81"/>
  <c r="C20" i="81"/>
  <c r="I20" i="81" s="1"/>
  <c r="B20" i="81"/>
  <c r="A20" i="81"/>
  <c r="D19" i="81"/>
  <c r="C19" i="81"/>
  <c r="I19" i="81" s="1"/>
  <c r="B19" i="81"/>
  <c r="A19" i="81"/>
  <c r="G18" i="81"/>
  <c r="F17" i="81"/>
  <c r="C17" i="81"/>
  <c r="I17" i="81" s="1"/>
  <c r="B17" i="81"/>
  <c r="A17" i="81"/>
  <c r="I16" i="81"/>
  <c r="D16" i="81"/>
  <c r="F16" i="81" s="1"/>
  <c r="H16" i="81" s="1"/>
  <c r="J16" i="81" s="1"/>
  <c r="C16" i="81"/>
  <c r="B16" i="81"/>
  <c r="A16" i="81"/>
  <c r="G8" i="81"/>
  <c r="D8" i="81"/>
  <c r="F8" i="81" s="1"/>
  <c r="C8" i="81"/>
  <c r="A8" i="81"/>
  <c r="G7" i="81"/>
  <c r="I7" i="81" s="1"/>
  <c r="G34" i="80"/>
  <c r="D34" i="80"/>
  <c r="F34" i="80" s="1"/>
  <c r="C34" i="80"/>
  <c r="B34" i="80"/>
  <c r="A34" i="80"/>
  <c r="G33" i="80"/>
  <c r="C33" i="80"/>
  <c r="B33" i="80"/>
  <c r="A33" i="80"/>
  <c r="G30" i="80"/>
  <c r="F29" i="80"/>
  <c r="C29" i="80"/>
  <c r="I29" i="80" s="1"/>
  <c r="B29" i="80"/>
  <c r="A29" i="80"/>
  <c r="D28" i="80"/>
  <c r="C28" i="80"/>
  <c r="I28" i="80" s="1"/>
  <c r="B28" i="80"/>
  <c r="A28" i="80"/>
  <c r="G27" i="80"/>
  <c r="I26" i="80"/>
  <c r="F26" i="80"/>
  <c r="H26" i="80" s="1"/>
  <c r="B26" i="80"/>
  <c r="A26" i="80"/>
  <c r="I25" i="80"/>
  <c r="D25" i="80"/>
  <c r="F25" i="80" s="1"/>
  <c r="B25" i="80"/>
  <c r="A25" i="80"/>
  <c r="G24" i="80"/>
  <c r="F23" i="80"/>
  <c r="C23" i="80"/>
  <c r="I23" i="80" s="1"/>
  <c r="B23" i="80"/>
  <c r="A23" i="80"/>
  <c r="D22" i="80"/>
  <c r="F22" i="80" s="1"/>
  <c r="C22" i="80"/>
  <c r="I22" i="80" s="1"/>
  <c r="B22" i="80"/>
  <c r="A22" i="80"/>
  <c r="G21" i="80"/>
  <c r="F20" i="80"/>
  <c r="C20" i="80"/>
  <c r="I20" i="80" s="1"/>
  <c r="B20" i="80"/>
  <c r="A20" i="80"/>
  <c r="D19" i="80"/>
  <c r="F19" i="80" s="1"/>
  <c r="C19" i="80"/>
  <c r="I19" i="80" s="1"/>
  <c r="B19" i="80"/>
  <c r="A19" i="80"/>
  <c r="G18" i="80"/>
  <c r="F17" i="80"/>
  <c r="C17" i="80"/>
  <c r="I17" i="80" s="1"/>
  <c r="B17" i="80"/>
  <c r="A17" i="80"/>
  <c r="D16" i="80"/>
  <c r="F16" i="80" s="1"/>
  <c r="F18" i="80" s="1"/>
  <c r="C16" i="80"/>
  <c r="I16" i="80" s="1"/>
  <c r="B16" i="80"/>
  <c r="A16" i="80"/>
  <c r="G8" i="80"/>
  <c r="D8" i="80"/>
  <c r="F8" i="80" s="1"/>
  <c r="C8" i="80"/>
  <c r="A8" i="80"/>
  <c r="G7" i="80"/>
  <c r="I7" i="80" s="1"/>
  <c r="J26" i="80" l="1"/>
  <c r="D39" i="80"/>
  <c r="H17" i="81"/>
  <c r="H22" i="81"/>
  <c r="H23" i="81"/>
  <c r="I33" i="82"/>
  <c r="H29" i="81"/>
  <c r="J26" i="82"/>
  <c r="F24" i="82"/>
  <c r="H20" i="82"/>
  <c r="H23" i="82"/>
  <c r="J25" i="81"/>
  <c r="F27" i="81"/>
  <c r="D33" i="81"/>
  <c r="F33" i="81" s="1"/>
  <c r="H33" i="81" s="1"/>
  <c r="J33" i="81" s="1"/>
  <c r="J22" i="81"/>
  <c r="G35" i="81"/>
  <c r="H29" i="82"/>
  <c r="J29" i="82" s="1"/>
  <c r="I20" i="82"/>
  <c r="I23" i="82"/>
  <c r="H17" i="82"/>
  <c r="J17" i="82" s="1"/>
  <c r="H8" i="82"/>
  <c r="D40" i="82" s="1"/>
  <c r="I33" i="80"/>
  <c r="H23" i="80"/>
  <c r="J23" i="80" s="1"/>
  <c r="H22" i="80"/>
  <c r="J22" i="80" s="1"/>
  <c r="D33" i="82"/>
  <c r="F33" i="82" s="1"/>
  <c r="H33" i="82" s="1"/>
  <c r="J33" i="82" s="1"/>
  <c r="G10" i="82"/>
  <c r="D7" i="82"/>
  <c r="F7" i="82" s="1"/>
  <c r="F10" i="82" s="1"/>
  <c r="G35" i="82"/>
  <c r="H26" i="81"/>
  <c r="J23" i="81"/>
  <c r="D7" i="81"/>
  <c r="F7" i="81" s="1"/>
  <c r="F12" i="81" s="1"/>
  <c r="F19" i="81"/>
  <c r="H19" i="81" s="1"/>
  <c r="J19" i="81" s="1"/>
  <c r="G10" i="81"/>
  <c r="D33" i="80"/>
  <c r="F33" i="80" s="1"/>
  <c r="F35" i="80" s="1"/>
  <c r="G35" i="80"/>
  <c r="G10" i="80"/>
  <c r="J17" i="81"/>
  <c r="G12" i="82"/>
  <c r="F18" i="81"/>
  <c r="F27" i="82"/>
  <c r="H25" i="82"/>
  <c r="J25" i="82" s="1"/>
  <c r="F30" i="82"/>
  <c r="H28" i="82"/>
  <c r="J28" i="82" s="1"/>
  <c r="F21" i="82"/>
  <c r="H19" i="82"/>
  <c r="J19" i="82" s="1"/>
  <c r="H22" i="82"/>
  <c r="J22" i="82" s="1"/>
  <c r="H20" i="81"/>
  <c r="J20" i="81" s="1"/>
  <c r="F24" i="81"/>
  <c r="J29" i="81"/>
  <c r="F30" i="81"/>
  <c r="G12" i="81"/>
  <c r="H34" i="82"/>
  <c r="D38" i="82" s="1"/>
  <c r="H16" i="82"/>
  <c r="F18" i="82"/>
  <c r="I8" i="82"/>
  <c r="I34" i="82"/>
  <c r="J34" i="82" s="1"/>
  <c r="H20" i="80"/>
  <c r="J20" i="80" s="1"/>
  <c r="H29" i="80"/>
  <c r="J29" i="80" s="1"/>
  <c r="H17" i="80"/>
  <c r="J17" i="80" s="1"/>
  <c r="H19" i="80"/>
  <c r="J19" i="80" s="1"/>
  <c r="H34" i="80"/>
  <c r="D38" i="80" s="1"/>
  <c r="H16" i="80"/>
  <c r="I8" i="80"/>
  <c r="I8" i="81"/>
  <c r="H34" i="81"/>
  <c r="D38" i="81" s="1"/>
  <c r="I34" i="81"/>
  <c r="H8" i="81"/>
  <c r="D40" i="81" s="1"/>
  <c r="H8" i="80"/>
  <c r="D40" i="80" s="1"/>
  <c r="F27" i="80"/>
  <c r="H25" i="80"/>
  <c r="J25" i="80" s="1"/>
  <c r="D7" i="80"/>
  <c r="F7" i="80" s="1"/>
  <c r="G12" i="80"/>
  <c r="F21" i="80"/>
  <c r="F24" i="80"/>
  <c r="I34" i="80"/>
  <c r="F28" i="80"/>
  <c r="H28" i="80" s="1"/>
  <c r="J28" i="80" s="1"/>
  <c r="J26" i="81" l="1"/>
  <c r="D39" i="81"/>
  <c r="J23" i="82"/>
  <c r="J20" i="82"/>
  <c r="F10" i="81"/>
  <c r="J8" i="82"/>
  <c r="H33" i="80"/>
  <c r="J33" i="80" s="1"/>
  <c r="H7" i="81"/>
  <c r="F35" i="81"/>
  <c r="J8" i="80"/>
  <c r="J34" i="80"/>
  <c r="F35" i="82"/>
  <c r="F12" i="82"/>
  <c r="H7" i="82"/>
  <c r="F21" i="81"/>
  <c r="F30" i="80"/>
  <c r="J34" i="81"/>
  <c r="J8" i="81"/>
  <c r="F12" i="80"/>
  <c r="H7" i="80"/>
  <c r="F10" i="80"/>
  <c r="G34" i="74" l="1"/>
  <c r="D34" i="74"/>
  <c r="F34" i="74" s="1"/>
  <c r="C34" i="74"/>
  <c r="B34" i="74"/>
  <c r="A34" i="74"/>
  <c r="G33" i="74"/>
  <c r="C33" i="74"/>
  <c r="B33" i="74"/>
  <c r="A33" i="74"/>
  <c r="G30" i="74"/>
  <c r="F29" i="74"/>
  <c r="C29" i="74"/>
  <c r="I29" i="74" s="1"/>
  <c r="B29" i="74"/>
  <c r="A29" i="74"/>
  <c r="D28" i="74"/>
  <c r="C28" i="74"/>
  <c r="I28" i="74" s="1"/>
  <c r="B28" i="74"/>
  <c r="A28" i="74"/>
  <c r="G27" i="74"/>
  <c r="I26" i="74"/>
  <c r="F26" i="74"/>
  <c r="H26" i="74" s="1"/>
  <c r="D39" i="74" s="1"/>
  <c r="A26" i="74"/>
  <c r="I25" i="74"/>
  <c r="D25" i="74"/>
  <c r="F25" i="74" s="1"/>
  <c r="A25" i="74"/>
  <c r="G24" i="74"/>
  <c r="F23" i="74"/>
  <c r="C23" i="74"/>
  <c r="I23" i="74" s="1"/>
  <c r="B23" i="74"/>
  <c r="A23" i="74"/>
  <c r="D22" i="74"/>
  <c r="F22" i="74" s="1"/>
  <c r="C22" i="74"/>
  <c r="I22" i="74" s="1"/>
  <c r="B22" i="74"/>
  <c r="A22" i="74"/>
  <c r="G21" i="74"/>
  <c r="F20" i="74"/>
  <c r="C20" i="74"/>
  <c r="I20" i="74" s="1"/>
  <c r="B20" i="74"/>
  <c r="A20" i="74"/>
  <c r="D19" i="74"/>
  <c r="F19" i="74" s="1"/>
  <c r="C19" i="74"/>
  <c r="I19" i="74" s="1"/>
  <c r="B19" i="74"/>
  <c r="A19" i="74"/>
  <c r="G18" i="74"/>
  <c r="F17" i="74"/>
  <c r="C17" i="74"/>
  <c r="I17" i="74" s="1"/>
  <c r="B17" i="74"/>
  <c r="A17" i="74"/>
  <c r="D16" i="74"/>
  <c r="F16" i="74" s="1"/>
  <c r="C16" i="74"/>
  <c r="I16" i="74" s="1"/>
  <c r="B16" i="74"/>
  <c r="A16" i="74"/>
  <c r="G8" i="74"/>
  <c r="D8" i="74"/>
  <c r="F8" i="74" s="1"/>
  <c r="C8" i="74"/>
  <c r="A8" i="74"/>
  <c r="G7" i="74"/>
  <c r="G34" i="73"/>
  <c r="D34" i="73"/>
  <c r="F34" i="73" s="1"/>
  <c r="C34" i="73"/>
  <c r="B34" i="73"/>
  <c r="A34" i="73"/>
  <c r="G33" i="73"/>
  <c r="C33" i="73"/>
  <c r="B33" i="73"/>
  <c r="A33" i="73"/>
  <c r="G30" i="73"/>
  <c r="F29" i="73"/>
  <c r="C29" i="73"/>
  <c r="I29" i="73" s="1"/>
  <c r="B29" i="73"/>
  <c r="A29" i="73"/>
  <c r="D28" i="73"/>
  <c r="F28" i="73" s="1"/>
  <c r="F30" i="73" s="1"/>
  <c r="C28" i="73"/>
  <c r="I28" i="73" s="1"/>
  <c r="B28" i="73"/>
  <c r="A28" i="73"/>
  <c r="G27" i="73"/>
  <c r="I26" i="73"/>
  <c r="F26" i="73"/>
  <c r="H26" i="73" s="1"/>
  <c r="D39" i="73" s="1"/>
  <c r="B26" i="73"/>
  <c r="A26" i="73"/>
  <c r="I25" i="73"/>
  <c r="D25" i="73"/>
  <c r="F25" i="73" s="1"/>
  <c r="B25" i="73"/>
  <c r="A25" i="73"/>
  <c r="G24" i="73"/>
  <c r="F23" i="73"/>
  <c r="C23" i="73"/>
  <c r="I23" i="73" s="1"/>
  <c r="B23" i="73"/>
  <c r="A23" i="73"/>
  <c r="D22" i="73"/>
  <c r="F22" i="73" s="1"/>
  <c r="C22" i="73"/>
  <c r="I22" i="73" s="1"/>
  <c r="B22" i="73"/>
  <c r="A22" i="73"/>
  <c r="G21" i="73"/>
  <c r="F20" i="73"/>
  <c r="C20" i="73"/>
  <c r="I20" i="73" s="1"/>
  <c r="B20" i="73"/>
  <c r="A20" i="73"/>
  <c r="D19" i="73"/>
  <c r="F19" i="73" s="1"/>
  <c r="C19" i="73"/>
  <c r="I19" i="73" s="1"/>
  <c r="B19" i="73"/>
  <c r="A19" i="73"/>
  <c r="G18" i="73"/>
  <c r="F17" i="73"/>
  <c r="C17" i="73"/>
  <c r="I17" i="73" s="1"/>
  <c r="B17" i="73"/>
  <c r="A17" i="73"/>
  <c r="D16" i="73"/>
  <c r="F16" i="73" s="1"/>
  <c r="C16" i="73"/>
  <c r="I16" i="73" s="1"/>
  <c r="B16" i="73"/>
  <c r="A16" i="73"/>
  <c r="G8" i="73"/>
  <c r="D8" i="73"/>
  <c r="F8" i="73" s="1"/>
  <c r="H8" i="73" s="1"/>
  <c r="D40" i="73" s="1"/>
  <c r="A8" i="73"/>
  <c r="G7" i="73"/>
  <c r="I7" i="73" s="1"/>
  <c r="G34" i="72"/>
  <c r="D34" i="72"/>
  <c r="F34" i="72" s="1"/>
  <c r="C34" i="72"/>
  <c r="B34" i="72"/>
  <c r="A34" i="72"/>
  <c r="G33" i="72"/>
  <c r="C33" i="72"/>
  <c r="B33" i="72"/>
  <c r="A33" i="72"/>
  <c r="G30" i="72"/>
  <c r="F29" i="72"/>
  <c r="C29" i="72"/>
  <c r="I29" i="72" s="1"/>
  <c r="B29" i="72"/>
  <c r="A29" i="72"/>
  <c r="D28" i="72"/>
  <c r="C28" i="72"/>
  <c r="I28" i="72" s="1"/>
  <c r="B28" i="72"/>
  <c r="A28" i="72"/>
  <c r="G27" i="72"/>
  <c r="I26" i="72"/>
  <c r="F26" i="72"/>
  <c r="H26" i="72" s="1"/>
  <c r="D39" i="72" s="1"/>
  <c r="B26" i="72"/>
  <c r="A26" i="72"/>
  <c r="I25" i="72"/>
  <c r="D25" i="72"/>
  <c r="F25" i="72" s="1"/>
  <c r="H25" i="72" s="1"/>
  <c r="J25" i="72" s="1"/>
  <c r="B25" i="72"/>
  <c r="A25" i="72"/>
  <c r="G24" i="72"/>
  <c r="F23" i="72"/>
  <c r="C23" i="72"/>
  <c r="I23" i="72" s="1"/>
  <c r="B23" i="72"/>
  <c r="A23" i="72"/>
  <c r="D22" i="72"/>
  <c r="F22" i="72" s="1"/>
  <c r="C22" i="72"/>
  <c r="I22" i="72" s="1"/>
  <c r="B22" i="72"/>
  <c r="A22" i="72"/>
  <c r="G21" i="72"/>
  <c r="F20" i="72"/>
  <c r="C20" i="72"/>
  <c r="I20" i="72" s="1"/>
  <c r="B20" i="72"/>
  <c r="A20" i="72"/>
  <c r="D19" i="72"/>
  <c r="C19" i="72"/>
  <c r="I19" i="72" s="1"/>
  <c r="B19" i="72"/>
  <c r="A19" i="72"/>
  <c r="G18" i="72"/>
  <c r="F17" i="72"/>
  <c r="C17" i="72"/>
  <c r="I17" i="72" s="1"/>
  <c r="B17" i="72"/>
  <c r="A17" i="72"/>
  <c r="D16" i="72"/>
  <c r="F16" i="72" s="1"/>
  <c r="C16" i="72"/>
  <c r="I16" i="72" s="1"/>
  <c r="B16" i="72"/>
  <c r="A16" i="72"/>
  <c r="C8" i="72"/>
  <c r="A8" i="72"/>
  <c r="G7" i="72"/>
  <c r="I7" i="72" s="1"/>
  <c r="H23" i="73" l="1"/>
  <c r="J23" i="73" s="1"/>
  <c r="J26" i="73"/>
  <c r="I34" i="74"/>
  <c r="H19" i="73"/>
  <c r="F19" i="72"/>
  <c r="F21" i="72" s="1"/>
  <c r="D33" i="72"/>
  <c r="F33" i="72" s="1"/>
  <c r="H33" i="72" s="1"/>
  <c r="D33" i="74"/>
  <c r="F33" i="74" s="1"/>
  <c r="F35" i="74" s="1"/>
  <c r="F18" i="73"/>
  <c r="H29" i="74"/>
  <c r="J29" i="74" s="1"/>
  <c r="H22" i="74"/>
  <c r="J22" i="74" s="1"/>
  <c r="H16" i="74"/>
  <c r="H28" i="73"/>
  <c r="J28" i="73" s="1"/>
  <c r="H25" i="73"/>
  <c r="J25" i="73" s="1"/>
  <c r="F27" i="73"/>
  <c r="F24" i="73"/>
  <c r="H22" i="73"/>
  <c r="J22" i="73" s="1"/>
  <c r="D33" i="73"/>
  <c r="F33" i="73" s="1"/>
  <c r="F35" i="73" s="1"/>
  <c r="F21" i="73"/>
  <c r="G35" i="73"/>
  <c r="D7" i="73"/>
  <c r="F7" i="73" s="1"/>
  <c r="F12" i="73" s="1"/>
  <c r="G10" i="73"/>
  <c r="J26" i="74"/>
  <c r="I33" i="74"/>
  <c r="G35" i="74"/>
  <c r="G12" i="74"/>
  <c r="I8" i="74"/>
  <c r="I7" i="74"/>
  <c r="G10" i="74"/>
  <c r="D7" i="74"/>
  <c r="F7" i="74" s="1"/>
  <c r="F12" i="74" s="1"/>
  <c r="J26" i="72"/>
  <c r="H17" i="72"/>
  <c r="J17" i="72" s="1"/>
  <c r="G12" i="73"/>
  <c r="H29" i="72"/>
  <c r="J29" i="72" s="1"/>
  <c r="I33" i="72"/>
  <c r="H23" i="72"/>
  <c r="J23" i="72" s="1"/>
  <c r="H20" i="72"/>
  <c r="J20" i="72" s="1"/>
  <c r="F28" i="72"/>
  <c r="F27" i="72"/>
  <c r="H22" i="72"/>
  <c r="J22" i="72" s="1"/>
  <c r="F24" i="72"/>
  <c r="G35" i="72"/>
  <c r="G10" i="72"/>
  <c r="G12" i="72"/>
  <c r="D7" i="72"/>
  <c r="F7" i="72" s="1"/>
  <c r="H23" i="74"/>
  <c r="J23" i="74" s="1"/>
  <c r="H19" i="74"/>
  <c r="J19" i="74" s="1"/>
  <c r="H17" i="74"/>
  <c r="J17" i="74" s="1"/>
  <c r="H20" i="74"/>
  <c r="J20" i="74" s="1"/>
  <c r="J19" i="73"/>
  <c r="I33" i="73"/>
  <c r="H29" i="73"/>
  <c r="J29" i="73" s="1"/>
  <c r="H20" i="73"/>
  <c r="J20" i="73" s="1"/>
  <c r="F27" i="74"/>
  <c r="H25" i="74"/>
  <c r="J25" i="74" s="1"/>
  <c r="H8" i="74"/>
  <c r="D40" i="74" s="1"/>
  <c r="H34" i="74"/>
  <c r="F18" i="74"/>
  <c r="F21" i="74"/>
  <c r="F24" i="74"/>
  <c r="F28" i="74"/>
  <c r="H28" i="74" s="1"/>
  <c r="J28" i="74" s="1"/>
  <c r="H34" i="73"/>
  <c r="D38" i="73" s="1"/>
  <c r="I34" i="73"/>
  <c r="H17" i="73"/>
  <c r="J17" i="73" s="1"/>
  <c r="I8" i="73"/>
  <c r="H16" i="73"/>
  <c r="H16" i="72"/>
  <c r="F18" i="72"/>
  <c r="H34" i="72"/>
  <c r="D38" i="72" s="1"/>
  <c r="H8" i="72"/>
  <c r="D40" i="72" s="1"/>
  <c r="I8" i="72"/>
  <c r="I34" i="72"/>
  <c r="J34" i="74" l="1"/>
  <c r="D38" i="74"/>
  <c r="F10" i="72"/>
  <c r="F12" i="72"/>
  <c r="H19" i="72"/>
  <c r="J19" i="72" s="1"/>
  <c r="H33" i="74"/>
  <c r="J33" i="74" s="1"/>
  <c r="J8" i="73"/>
  <c r="H33" i="73"/>
  <c r="J33" i="73" s="1"/>
  <c r="F10" i="73"/>
  <c r="H7" i="73"/>
  <c r="F10" i="74"/>
  <c r="J8" i="74"/>
  <c r="H7" i="74"/>
  <c r="F35" i="72"/>
  <c r="J33" i="72"/>
  <c r="J34" i="72"/>
  <c r="J8" i="72"/>
  <c r="F30" i="72"/>
  <c r="H28" i="72"/>
  <c r="J28" i="72" s="1"/>
  <c r="H7" i="72"/>
  <c r="F30" i="74"/>
  <c r="J34" i="73"/>
</calcChain>
</file>

<file path=xl/sharedStrings.xml><?xml version="1.0" encoding="utf-8"?>
<sst xmlns="http://schemas.openxmlformats.org/spreadsheetml/2006/main" count="2960" uniqueCount="72">
  <si>
    <t>job</t>
  </si>
  <si>
    <t>units</t>
  </si>
  <si>
    <t>labor/hrs</t>
  </si>
  <si>
    <t>labor/$</t>
  </si>
  <si>
    <t>fixtures</t>
  </si>
  <si>
    <t>hrs/fix</t>
  </si>
  <si>
    <t>OT labor/hrs</t>
  </si>
  <si>
    <t>total hours</t>
  </si>
  <si>
    <t>$/fix</t>
  </si>
  <si>
    <t>ave/$/hr</t>
  </si>
  <si>
    <t>BUDGET</t>
  </si>
  <si>
    <t>ACTUAL</t>
  </si>
  <si>
    <t>HRS TO COMPLETE</t>
  </si>
  <si>
    <t>LAYOUT &amp; SUPERVISION CODES 100&amp;101</t>
  </si>
  <si>
    <t>MAINS,MECH ROOMS,GAS-CODES 140,141,142</t>
  </si>
  <si>
    <t>TOP OUT UNITS CODE 120</t>
  </si>
  <si>
    <t>TRIM CODE 130</t>
  </si>
  <si>
    <t>GARAGE CODES 110,111,112</t>
  </si>
  <si>
    <t>ACME FARMS</t>
  </si>
  <si>
    <t>meeker</t>
  </si>
  <si>
    <t>marina</t>
  </si>
  <si>
    <t>ColumbiaCity</t>
  </si>
  <si>
    <t>MELODY</t>
  </si>
  <si>
    <t>ARIA FLATS</t>
  </si>
  <si>
    <t>FIRESIDE FLATS</t>
  </si>
  <si>
    <t>GRE EDMONDS</t>
  </si>
  <si>
    <t>THEORY</t>
  </si>
  <si>
    <t>1405 DEXTER</t>
  </si>
  <si>
    <t>BUDDHA JEWEL</t>
  </si>
  <si>
    <t>ROCKEFELLER</t>
  </si>
  <si>
    <t>YESLER</t>
  </si>
  <si>
    <t>LAKE STREET</t>
  </si>
  <si>
    <t>CROWN HILL</t>
  </si>
  <si>
    <t>400 QUEEN ANNE</t>
  </si>
  <si>
    <t>ri/hrs/fix</t>
  </si>
  <si>
    <t>trim/hrs/fix</t>
  </si>
  <si>
    <t>total/hrs/fix</t>
  </si>
  <si>
    <t>BLUEPRINT BASALT</t>
  </si>
  <si>
    <t>SRM GRIDLINE</t>
  </si>
  <si>
    <t>Shorline</t>
  </si>
  <si>
    <t>REDMOND GRAND (Compass)</t>
  </si>
  <si>
    <t>GRE NORTHGATE</t>
  </si>
  <si>
    <t>COMPASS LIZA</t>
  </si>
  <si>
    <t>BLUEPRINT chronicle</t>
  </si>
  <si>
    <t xml:space="preserve">BLUEPRINT </t>
  </si>
  <si>
    <t>CARRICK</t>
  </si>
  <si>
    <t>GRE WILLOWS</t>
  </si>
  <si>
    <t>ROOSEVELT NORTGATE INTRACORP</t>
  </si>
  <si>
    <t>24 MARKET HOLLAND</t>
  </si>
  <si>
    <t>Symphony</t>
  </si>
  <si>
    <t>Jabooda</t>
  </si>
  <si>
    <t>REED</t>
  </si>
  <si>
    <t>BLUEPRINT</t>
  </si>
  <si>
    <t>Bella</t>
  </si>
  <si>
    <t>FM</t>
  </si>
  <si>
    <t>TOTAL TRIM</t>
  </si>
  <si>
    <t>TOTAL RI &amp; GW</t>
  </si>
  <si>
    <t>GAS CODE 140</t>
  </si>
  <si>
    <t>2097-G</t>
  </si>
  <si>
    <t>2097-F</t>
  </si>
  <si>
    <t>2097-E</t>
  </si>
  <si>
    <t>2097-D</t>
  </si>
  <si>
    <t xml:space="preserve">2097-C </t>
  </si>
  <si>
    <t>2097-B</t>
  </si>
  <si>
    <t>2097-A</t>
  </si>
  <si>
    <t>2097-CH</t>
  </si>
  <si>
    <t>RI CODE 120</t>
  </si>
  <si>
    <t>GW CODE 110</t>
  </si>
  <si>
    <t>Marysville</t>
  </si>
  <si>
    <t>Intracorp</t>
  </si>
  <si>
    <t>Koz Republican</t>
  </si>
  <si>
    <t>Kirtley 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</si>
</sst>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"/>
    <numFmt numFmtId="167" formatCode="#,##0.0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ck">
        <color auto="1"/>
      </left>
      <right/>
      <top style="thick">
        <color auto="1"/>
      </top>
      <bottom style="dashed">
        <color auto="1"/>
      </bottom>
      <diagonal/>
    </border>
    <border>
      <left/>
      <right/>
      <top style="thick">
        <color auto="1"/>
      </top>
      <bottom style="dashed">
        <color auto="1"/>
      </bottom>
      <diagonal/>
    </border>
    <border>
      <left/>
      <right style="thick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/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dashed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9" fontId="4" fillId="0" borderId="16" xfId="0" applyNumberFormat="1" applyFont="1" applyBorder="1" applyAlignment="1">
      <alignment horizontal="center"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9" fontId="4" fillId="0" borderId="13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 wrapText="1"/>
    </xf>
    <xf numFmtId="3" fontId="4" fillId="0" borderId="23" xfId="0" applyNumberFormat="1" applyFont="1" applyBorder="1" applyAlignment="1">
      <alignment horizontal="center" vertical="center" wrapText="1"/>
    </xf>
    <xf numFmtId="165" fontId="4" fillId="0" borderId="25" xfId="0" applyNumberFormat="1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164" fontId="4" fillId="0" borderId="23" xfId="0" applyNumberFormat="1" applyFont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 wrapText="1"/>
    </xf>
    <xf numFmtId="3" fontId="5" fillId="2" borderId="19" xfId="0" applyNumberFormat="1" applyFont="1" applyFill="1" applyBorder="1" applyAlignment="1">
      <alignment horizontal="center" vertical="center" wrapText="1"/>
    </xf>
    <xf numFmtId="164" fontId="4" fillId="2" borderId="24" xfId="0" applyNumberFormat="1" applyFont="1" applyFill="1" applyBorder="1" applyAlignment="1">
      <alignment horizontal="center" vertical="center" wrapText="1"/>
    </xf>
    <xf numFmtId="165" fontId="4" fillId="2" borderId="15" xfId="0" applyNumberFormat="1" applyFont="1" applyFill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4" fillId="0" borderId="17" xfId="0" applyFont="1" applyBorder="1"/>
    <xf numFmtId="3" fontId="4" fillId="0" borderId="7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5" fontId="4" fillId="0" borderId="27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3" borderId="12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1" fillId="0" borderId="31" xfId="0" applyNumberFormat="1" applyFont="1" applyBorder="1" applyAlignment="1">
      <alignment horizontal="center" vertical="center" wrapText="1"/>
    </xf>
    <xf numFmtId="3" fontId="1" fillId="0" borderId="32" xfId="0" applyNumberFormat="1" applyFont="1" applyBorder="1" applyAlignment="1">
      <alignment horizontal="center" vertical="center" wrapText="1"/>
    </xf>
    <xf numFmtId="3" fontId="1" fillId="0" borderId="30" xfId="0" applyNumberFormat="1" applyFont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 vertical="center" wrapText="1"/>
    </xf>
    <xf numFmtId="3" fontId="6" fillId="0" borderId="32" xfId="0" applyNumberFormat="1" applyFont="1" applyBorder="1" applyAlignment="1">
      <alignment horizontal="center" vertical="center" wrapText="1"/>
    </xf>
    <xf numFmtId="3" fontId="6" fillId="0" borderId="33" xfId="0" applyNumberFormat="1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 wrapText="1"/>
    </xf>
    <xf numFmtId="0" fontId="6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165" fontId="4" fillId="0" borderId="3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3" fontId="4" fillId="2" borderId="19" xfId="1" applyNumberFormat="1" applyFont="1" applyFill="1" applyBorder="1" applyAlignment="1">
      <alignment horizontal="center" vertical="center" wrapText="1"/>
    </xf>
    <xf numFmtId="164" fontId="4" fillId="2" borderId="24" xfId="1" applyNumberFormat="1" applyFont="1" applyFill="1" applyBorder="1" applyAlignment="1">
      <alignment horizontal="center" vertical="center" wrapText="1"/>
    </xf>
    <xf numFmtId="165" fontId="4" fillId="2" borderId="15" xfId="1" applyNumberFormat="1" applyFont="1" applyFill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5" fontId="4" fillId="0" borderId="9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9" fontId="4" fillId="0" borderId="1" xfId="1" applyNumberFormat="1" applyFont="1" applyBorder="1" applyAlignment="1">
      <alignment horizontal="center" vertical="center" wrapText="1"/>
    </xf>
    <xf numFmtId="9" fontId="4" fillId="3" borderId="1" xfId="1" applyNumberFormat="1" applyFont="1" applyFill="1" applyBorder="1" applyAlignment="1">
      <alignment horizontal="center" vertical="center" wrapText="1"/>
    </xf>
    <xf numFmtId="3" fontId="4" fillId="0" borderId="2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164" fontId="4" fillId="0" borderId="14" xfId="1" applyNumberFormat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10" xfId="1" applyNumberFormat="1" applyFont="1" applyBorder="1" applyAlignment="1">
      <alignment horizontal="center" vertical="center" wrapText="1"/>
    </xf>
    <xf numFmtId="164" fontId="4" fillId="0" borderId="10" xfId="1" applyNumberFormat="1" applyFont="1" applyBorder="1" applyAlignment="1">
      <alignment horizontal="center" vertical="center" wrapText="1"/>
    </xf>
    <xf numFmtId="165" fontId="4" fillId="0" borderId="11" xfId="1" applyNumberFormat="1" applyFont="1" applyBorder="1" applyAlignment="1">
      <alignment horizontal="center" vertical="center" wrapText="1"/>
    </xf>
    <xf numFmtId="3" fontId="4" fillId="0" borderId="12" xfId="1" applyNumberFormat="1" applyFont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center" vertical="center" wrapText="1"/>
    </xf>
    <xf numFmtId="9" fontId="4" fillId="0" borderId="16" xfId="1" applyNumberFormat="1" applyFont="1" applyBorder="1" applyAlignment="1">
      <alignment horizontal="center" vertical="center" wrapText="1"/>
    </xf>
    <xf numFmtId="9" fontId="4" fillId="0" borderId="12" xfId="1" applyNumberFormat="1" applyFont="1" applyBorder="1" applyAlignment="1">
      <alignment horizontal="center" vertical="center" wrapText="1"/>
    </xf>
    <xf numFmtId="0" fontId="4" fillId="0" borderId="17" xfId="1" applyFont="1" applyBorder="1"/>
    <xf numFmtId="165" fontId="4" fillId="0" borderId="12" xfId="1" applyNumberFormat="1" applyFont="1" applyBorder="1" applyAlignment="1">
      <alignment horizontal="center" vertical="center" wrapText="1"/>
    </xf>
    <xf numFmtId="9" fontId="4" fillId="0" borderId="13" xfId="1" applyNumberFormat="1" applyFont="1" applyBorder="1" applyAlignment="1">
      <alignment horizontal="center" vertical="center" wrapText="1"/>
    </xf>
    <xf numFmtId="9" fontId="4" fillId="0" borderId="2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wrapText="1"/>
    </xf>
    <xf numFmtId="3" fontId="4" fillId="0" borderId="21" xfId="1" applyNumberFormat="1" applyFont="1" applyBorder="1" applyAlignment="1">
      <alignment horizontal="center" vertical="center" wrapText="1"/>
    </xf>
    <xf numFmtId="164" fontId="4" fillId="0" borderId="21" xfId="1" applyNumberFormat="1" applyFont="1" applyBorder="1" applyAlignment="1">
      <alignment horizontal="center" vertical="center" wrapText="1"/>
    </xf>
    <xf numFmtId="165" fontId="4" fillId="0" borderId="21" xfId="1" applyNumberFormat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3" fontId="4" fillId="0" borderId="23" xfId="1" applyNumberFormat="1" applyFont="1" applyBorder="1" applyAlignment="1">
      <alignment horizontal="center" vertical="center" wrapText="1"/>
    </xf>
    <xf numFmtId="164" fontId="4" fillId="0" borderId="23" xfId="1" applyNumberFormat="1" applyFont="1" applyBorder="1" applyAlignment="1">
      <alignment horizontal="center" vertical="center" wrapText="1"/>
    </xf>
    <xf numFmtId="165" fontId="4" fillId="0" borderId="25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3" fontId="5" fillId="2" borderId="19" xfId="1" applyNumberFormat="1" applyFont="1" applyFill="1" applyBorder="1" applyAlignment="1">
      <alignment horizontal="center" vertical="center" wrapText="1"/>
    </xf>
    <xf numFmtId="165" fontId="4" fillId="0" borderId="27" xfId="1" applyNumberFormat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3" fontId="4" fillId="0" borderId="17" xfId="1" applyNumberFormat="1" applyFont="1" applyBorder="1" applyAlignment="1">
      <alignment horizontal="center" vertical="center" wrapText="1"/>
    </xf>
    <xf numFmtId="9" fontId="4" fillId="3" borderId="12" xfId="1" applyNumberFormat="1" applyFont="1" applyFill="1" applyBorder="1" applyAlignment="1">
      <alignment horizontal="center" vertical="center" wrapText="1"/>
    </xf>
    <xf numFmtId="9" fontId="4" fillId="0" borderId="29" xfId="1" applyNumberFormat="1" applyFont="1" applyBorder="1" applyAlignment="1">
      <alignment horizontal="center" vertical="center" wrapText="1"/>
    </xf>
    <xf numFmtId="165" fontId="4" fillId="0" borderId="18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3" fontId="1" fillId="0" borderId="0" xfId="1" applyNumberFormat="1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165" fontId="1" fillId="0" borderId="0" xfId="1" applyNumberFormat="1" applyAlignment="1">
      <alignment horizontal="center" vertical="center" wrapText="1"/>
    </xf>
    <xf numFmtId="0" fontId="1" fillId="0" borderId="0" xfId="0" applyFont="1"/>
    <xf numFmtId="0" fontId="5" fillId="0" borderId="21" xfId="0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21" xfId="1" applyFont="1" applyBorder="1" applyAlignment="1">
      <alignment horizontal="center" vertical="center" wrapText="1"/>
    </xf>
    <xf numFmtId="3" fontId="4" fillId="0" borderId="19" xfId="1" applyNumberFormat="1" applyFont="1" applyBorder="1" applyAlignment="1">
      <alignment horizontal="center" vertical="center" wrapText="1"/>
    </xf>
    <xf numFmtId="0" fontId="1" fillId="0" borderId="20" xfId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6" xfId="1" applyFont="1" applyBorder="1"/>
    <xf numFmtId="165" fontId="4" fillId="0" borderId="34" xfId="0" applyNumberFormat="1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 wrapText="1"/>
    </xf>
    <xf numFmtId="9" fontId="4" fillId="3" borderId="35" xfId="0" applyNumberFormat="1" applyFont="1" applyFill="1" applyBorder="1" applyAlignment="1">
      <alignment horizontal="center" vertical="center"/>
    </xf>
    <xf numFmtId="3" fontId="4" fillId="0" borderId="36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6" fontId="5" fillId="2" borderId="37" xfId="0" applyNumberFormat="1" applyFont="1" applyFill="1" applyBorder="1" applyAlignment="1">
      <alignment horizontal="center" vertical="center"/>
    </xf>
    <xf numFmtId="164" fontId="4" fillId="0" borderId="38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166" fontId="4" fillId="0" borderId="39" xfId="0" applyNumberFormat="1" applyFont="1" applyBorder="1" applyAlignment="1">
      <alignment horizontal="center" vertical="center"/>
    </xf>
    <xf numFmtId="164" fontId="4" fillId="0" borderId="4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 wrapText="1"/>
    </xf>
    <xf numFmtId="9" fontId="4" fillId="0" borderId="35" xfId="0" applyNumberFormat="1" applyFont="1" applyBorder="1" applyAlignment="1">
      <alignment horizontal="center" vertical="center" wrapText="1"/>
    </xf>
    <xf numFmtId="9" fontId="4" fillId="0" borderId="36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6" fontId="4" fillId="0" borderId="37" xfId="0" applyNumberFormat="1" applyFont="1" applyBorder="1" applyAlignment="1">
      <alignment horizontal="center" vertical="center" wrapText="1"/>
    </xf>
    <xf numFmtId="164" fontId="4" fillId="0" borderId="38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66" fontId="4" fillId="0" borderId="39" xfId="0" applyNumberFormat="1" applyFont="1" applyBorder="1" applyAlignment="1">
      <alignment horizontal="center" vertical="center" wrapText="1"/>
    </xf>
    <xf numFmtId="164" fontId="4" fillId="0" borderId="40" xfId="0" applyNumberFormat="1" applyFont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5" fontId="4" fillId="4" borderId="34" xfId="0" applyNumberFormat="1" applyFont="1" applyFill="1" applyBorder="1" applyAlignment="1">
      <alignment horizontal="center" vertical="center" wrapText="1"/>
    </xf>
    <xf numFmtId="165" fontId="4" fillId="4" borderId="12" xfId="0" applyNumberFormat="1" applyFont="1" applyFill="1" applyBorder="1" applyAlignment="1">
      <alignment horizontal="center" vertical="center" wrapText="1"/>
    </xf>
    <xf numFmtId="164" fontId="4" fillId="4" borderId="12" xfId="0" applyNumberFormat="1" applyFont="1" applyFill="1" applyBorder="1" applyAlignment="1">
      <alignment horizontal="center" vertical="center" wrapText="1"/>
    </xf>
    <xf numFmtId="3" fontId="4" fillId="4" borderId="16" xfId="0" applyNumberFormat="1" applyFont="1" applyFill="1" applyBorder="1" applyAlignment="1">
      <alignment horizontal="center" vertical="center" wrapText="1"/>
    </xf>
    <xf numFmtId="9" fontId="4" fillId="4" borderId="35" xfId="0" applyNumberFormat="1" applyFont="1" applyFill="1" applyBorder="1" applyAlignment="1">
      <alignment horizontal="center" vertical="center" wrapText="1"/>
    </xf>
    <xf numFmtId="9" fontId="4" fillId="4" borderId="36" xfId="0" applyNumberFormat="1" applyFont="1" applyFill="1" applyBorder="1" applyAlignment="1">
      <alignment horizontal="center" vertical="center" wrapText="1"/>
    </xf>
    <xf numFmtId="3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165" fontId="4" fillId="4" borderId="27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6" fontId="4" fillId="4" borderId="37" xfId="0" applyNumberFormat="1" applyFont="1" applyFill="1" applyBorder="1" applyAlignment="1">
      <alignment horizontal="center" vertical="center" wrapText="1"/>
    </xf>
    <xf numFmtId="164" fontId="4" fillId="4" borderId="38" xfId="0" applyNumberFormat="1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165" fontId="4" fillId="4" borderId="25" xfId="0" applyNumberFormat="1" applyFont="1" applyFill="1" applyBorder="1" applyAlignment="1">
      <alignment horizontal="center" vertical="center" wrapText="1"/>
    </xf>
    <xf numFmtId="165" fontId="4" fillId="4" borderId="10" xfId="0" applyNumberFormat="1" applyFont="1" applyFill="1" applyBorder="1" applyAlignment="1">
      <alignment horizontal="center" vertical="center" wrapText="1"/>
    </xf>
    <xf numFmtId="164" fontId="4" fillId="4" borderId="10" xfId="0" applyNumberFormat="1" applyFont="1" applyFill="1" applyBorder="1" applyAlignment="1">
      <alignment horizontal="center" vertical="center" wrapText="1"/>
    </xf>
    <xf numFmtId="166" fontId="4" fillId="4" borderId="39" xfId="0" applyNumberFormat="1" applyFont="1" applyFill="1" applyBorder="1" applyAlignment="1">
      <alignment horizontal="center" vertical="center" wrapText="1"/>
    </xf>
    <xf numFmtId="164" fontId="4" fillId="4" borderId="40" xfId="0" applyNumberFormat="1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 wrapText="1"/>
    </xf>
    <xf numFmtId="3" fontId="4" fillId="4" borderId="10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165" fontId="4" fillId="5" borderId="34" xfId="0" applyNumberFormat="1" applyFont="1" applyFill="1" applyBorder="1" applyAlignment="1">
      <alignment horizontal="center" vertical="center" wrapText="1"/>
    </xf>
    <xf numFmtId="165" fontId="4" fillId="5" borderId="12" xfId="0" applyNumberFormat="1" applyFont="1" applyFill="1" applyBorder="1" applyAlignment="1">
      <alignment horizontal="center" vertical="center" wrapText="1"/>
    </xf>
    <xf numFmtId="164" fontId="4" fillId="5" borderId="12" xfId="0" applyNumberFormat="1" applyFont="1" applyFill="1" applyBorder="1" applyAlignment="1">
      <alignment horizontal="center" vertical="center" wrapText="1"/>
    </xf>
    <xf numFmtId="3" fontId="4" fillId="5" borderId="16" xfId="0" applyNumberFormat="1" applyFont="1" applyFill="1" applyBorder="1" applyAlignment="1">
      <alignment horizontal="center" vertical="center" wrapText="1"/>
    </xf>
    <xf numFmtId="9" fontId="4" fillId="5" borderId="35" xfId="0" applyNumberFormat="1" applyFont="1" applyFill="1" applyBorder="1" applyAlignment="1">
      <alignment horizontal="center" vertical="center" wrapText="1"/>
    </xf>
    <xf numFmtId="9" fontId="4" fillId="5" borderId="36" xfId="0" applyNumberFormat="1" applyFont="1" applyFill="1" applyBorder="1" applyAlignment="1">
      <alignment horizontal="center" vertical="center" wrapText="1"/>
    </xf>
    <xf numFmtId="3" fontId="4" fillId="5" borderId="12" xfId="0" applyNumberFormat="1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165" fontId="4" fillId="5" borderId="27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6" fontId="4" fillId="5" borderId="37" xfId="0" applyNumberFormat="1" applyFont="1" applyFill="1" applyBorder="1" applyAlignment="1">
      <alignment horizontal="center" vertical="center" wrapText="1"/>
    </xf>
    <xf numFmtId="164" fontId="4" fillId="5" borderId="38" xfId="0" applyNumberFormat="1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165" fontId="4" fillId="5" borderId="25" xfId="0" applyNumberFormat="1" applyFont="1" applyFill="1" applyBorder="1" applyAlignment="1">
      <alignment horizontal="center" vertical="center" wrapText="1"/>
    </xf>
    <xf numFmtId="165" fontId="4" fillId="5" borderId="10" xfId="0" applyNumberFormat="1" applyFont="1" applyFill="1" applyBorder="1" applyAlignment="1">
      <alignment horizontal="center" vertical="center" wrapText="1"/>
    </xf>
    <xf numFmtId="164" fontId="4" fillId="5" borderId="10" xfId="0" applyNumberFormat="1" applyFont="1" applyFill="1" applyBorder="1" applyAlignment="1">
      <alignment horizontal="center" vertical="center" wrapText="1"/>
    </xf>
    <xf numFmtId="166" fontId="4" fillId="5" borderId="39" xfId="0" applyNumberFormat="1" applyFont="1" applyFill="1" applyBorder="1" applyAlignment="1">
      <alignment horizontal="center" vertical="center" wrapText="1"/>
    </xf>
    <xf numFmtId="164" fontId="4" fillId="5" borderId="40" xfId="0" applyNumberFormat="1" applyFont="1" applyFill="1" applyBorder="1" applyAlignment="1">
      <alignment horizontal="center" vertical="center" wrapText="1"/>
    </xf>
    <xf numFmtId="3" fontId="4" fillId="5" borderId="11" xfId="0" applyNumberFormat="1" applyFont="1" applyFill="1" applyBorder="1" applyAlignment="1">
      <alignment horizontal="center" vertical="center" wrapText="1"/>
    </xf>
    <xf numFmtId="3" fontId="4" fillId="5" borderId="10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165" fontId="4" fillId="6" borderId="34" xfId="0" applyNumberFormat="1" applyFont="1" applyFill="1" applyBorder="1" applyAlignment="1">
      <alignment horizontal="center" vertical="center" wrapText="1"/>
    </xf>
    <xf numFmtId="165" fontId="4" fillId="6" borderId="12" xfId="0" applyNumberFormat="1" applyFont="1" applyFill="1" applyBorder="1" applyAlignment="1">
      <alignment horizontal="center" vertical="center" wrapText="1"/>
    </xf>
    <xf numFmtId="164" fontId="4" fillId="6" borderId="12" xfId="0" applyNumberFormat="1" applyFont="1" applyFill="1" applyBorder="1" applyAlignment="1">
      <alignment horizontal="center" vertical="center" wrapText="1"/>
    </xf>
    <xf numFmtId="3" fontId="4" fillId="6" borderId="16" xfId="0" applyNumberFormat="1" applyFont="1" applyFill="1" applyBorder="1" applyAlignment="1">
      <alignment horizontal="center" vertical="center" wrapText="1"/>
    </xf>
    <xf numFmtId="9" fontId="4" fillId="6" borderId="35" xfId="0" applyNumberFormat="1" applyFont="1" applyFill="1" applyBorder="1" applyAlignment="1">
      <alignment horizontal="center" vertical="center" wrapText="1"/>
    </xf>
    <xf numFmtId="9" fontId="4" fillId="6" borderId="36" xfId="0" applyNumberFormat="1" applyFont="1" applyFill="1" applyBorder="1" applyAlignment="1">
      <alignment horizontal="center" vertical="center" wrapText="1"/>
    </xf>
    <xf numFmtId="3" fontId="4" fillId="6" borderId="12" xfId="0" applyNumberFormat="1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65" fontId="4" fillId="6" borderId="27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6" fontId="4" fillId="6" borderId="37" xfId="0" applyNumberFormat="1" applyFont="1" applyFill="1" applyBorder="1" applyAlignment="1">
      <alignment horizontal="center" vertical="center" wrapText="1"/>
    </xf>
    <xf numFmtId="164" fontId="4" fillId="6" borderId="38" xfId="0" applyNumberFormat="1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165" fontId="4" fillId="6" borderId="25" xfId="0" applyNumberFormat="1" applyFont="1" applyFill="1" applyBorder="1" applyAlignment="1">
      <alignment horizontal="center" vertical="center" wrapText="1"/>
    </xf>
    <xf numFmtId="165" fontId="4" fillId="6" borderId="10" xfId="0" applyNumberFormat="1" applyFont="1" applyFill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center" vertical="center" wrapText="1"/>
    </xf>
    <xf numFmtId="166" fontId="4" fillId="6" borderId="39" xfId="0" applyNumberFormat="1" applyFont="1" applyFill="1" applyBorder="1" applyAlignment="1">
      <alignment horizontal="center" vertical="center" wrapText="1"/>
    </xf>
    <xf numFmtId="164" fontId="4" fillId="6" borderId="40" xfId="0" applyNumberFormat="1" applyFont="1" applyFill="1" applyBorder="1" applyAlignment="1">
      <alignment horizontal="center" vertical="center" wrapText="1"/>
    </xf>
    <xf numFmtId="3" fontId="4" fillId="6" borderId="11" xfId="0" applyNumberFormat="1" applyFont="1" applyFill="1" applyBorder="1" applyAlignment="1">
      <alignment horizontal="center" vertical="center" wrapText="1"/>
    </xf>
    <xf numFmtId="3" fontId="4" fillId="6" borderId="10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165" fontId="4" fillId="7" borderId="34" xfId="0" applyNumberFormat="1" applyFont="1" applyFill="1" applyBorder="1" applyAlignment="1">
      <alignment horizontal="center" vertical="center" wrapText="1"/>
    </xf>
    <xf numFmtId="165" fontId="4" fillId="7" borderId="12" xfId="0" applyNumberFormat="1" applyFont="1" applyFill="1" applyBorder="1" applyAlignment="1">
      <alignment horizontal="center" vertical="center" wrapText="1"/>
    </xf>
    <xf numFmtId="164" fontId="4" fillId="7" borderId="12" xfId="0" applyNumberFormat="1" applyFont="1" applyFill="1" applyBorder="1" applyAlignment="1">
      <alignment horizontal="center" vertical="center" wrapText="1"/>
    </xf>
    <xf numFmtId="3" fontId="4" fillId="7" borderId="16" xfId="0" applyNumberFormat="1" applyFont="1" applyFill="1" applyBorder="1" applyAlignment="1">
      <alignment horizontal="center" vertical="center" wrapText="1"/>
    </xf>
    <xf numFmtId="9" fontId="4" fillId="7" borderId="35" xfId="0" applyNumberFormat="1" applyFont="1" applyFill="1" applyBorder="1" applyAlignment="1">
      <alignment horizontal="center" vertical="center" wrapText="1"/>
    </xf>
    <xf numFmtId="9" fontId="4" fillId="7" borderId="36" xfId="0" applyNumberFormat="1" applyFont="1" applyFill="1" applyBorder="1" applyAlignment="1">
      <alignment horizontal="center" vertical="center" wrapText="1"/>
    </xf>
    <xf numFmtId="3" fontId="4" fillId="7" borderId="12" xfId="0" applyNumberFormat="1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65" fontId="4" fillId="7" borderId="27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6" fontId="4" fillId="7" borderId="37" xfId="0" applyNumberFormat="1" applyFont="1" applyFill="1" applyBorder="1" applyAlignment="1">
      <alignment horizontal="center" vertical="center" wrapText="1"/>
    </xf>
    <xf numFmtId="164" fontId="4" fillId="7" borderId="38" xfId="0" applyNumberFormat="1" applyFont="1" applyFill="1" applyBorder="1" applyAlignment="1">
      <alignment horizontal="center" vertical="center" wrapText="1"/>
    </xf>
    <xf numFmtId="3" fontId="4" fillId="7" borderId="2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165" fontId="4" fillId="7" borderId="25" xfId="0" applyNumberFormat="1" applyFont="1" applyFill="1" applyBorder="1" applyAlignment="1">
      <alignment horizontal="center" vertical="center" wrapText="1"/>
    </xf>
    <xf numFmtId="165" fontId="4" fillId="7" borderId="10" xfId="0" applyNumberFormat="1" applyFont="1" applyFill="1" applyBorder="1" applyAlignment="1">
      <alignment horizontal="center" vertical="center" wrapText="1"/>
    </xf>
    <xf numFmtId="164" fontId="4" fillId="7" borderId="10" xfId="0" applyNumberFormat="1" applyFont="1" applyFill="1" applyBorder="1" applyAlignment="1">
      <alignment horizontal="center" vertical="center" wrapText="1"/>
    </xf>
    <xf numFmtId="166" fontId="4" fillId="7" borderId="39" xfId="0" applyNumberFormat="1" applyFont="1" applyFill="1" applyBorder="1" applyAlignment="1">
      <alignment horizontal="center" vertical="center" wrapText="1"/>
    </xf>
    <xf numFmtId="164" fontId="4" fillId="7" borderId="40" xfId="0" applyNumberFormat="1" applyFont="1" applyFill="1" applyBorder="1" applyAlignment="1">
      <alignment horizontal="center" vertical="center" wrapText="1"/>
    </xf>
    <xf numFmtId="3" fontId="4" fillId="7" borderId="11" xfId="0" applyNumberFormat="1" applyFont="1" applyFill="1" applyBorder="1" applyAlignment="1">
      <alignment horizontal="center" vertical="center" wrapText="1"/>
    </xf>
    <xf numFmtId="3" fontId="4" fillId="7" borderId="10" xfId="0" applyNumberFormat="1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4" fillId="0" borderId="36" xfId="0" applyNumberFormat="1" applyFont="1" applyBorder="1" applyAlignment="1">
      <alignment horizontal="center" vertical="center" wrapText="1"/>
    </xf>
    <xf numFmtId="166" fontId="4" fillId="0" borderId="26" xfId="0" applyNumberFormat="1" applyFont="1" applyBorder="1" applyAlignment="1">
      <alignment horizontal="center" vertical="center" wrapText="1"/>
    </xf>
    <xf numFmtId="164" fontId="4" fillId="0" borderId="42" xfId="0" applyNumberFormat="1" applyFont="1" applyBorder="1" applyAlignment="1">
      <alignment horizontal="center" vertical="center" wrapText="1"/>
    </xf>
    <xf numFmtId="166" fontId="4" fillId="0" borderId="43" xfId="0" applyNumberFormat="1" applyFont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164" fontId="4" fillId="8" borderId="24" xfId="0" applyNumberFormat="1" applyFont="1" applyFill="1" applyBorder="1" applyAlignment="1">
      <alignment horizontal="center" vertical="center" wrapText="1"/>
    </xf>
    <xf numFmtId="167" fontId="4" fillId="8" borderId="19" xfId="0" applyNumberFormat="1" applyFont="1" applyFill="1" applyBorder="1" applyAlignment="1">
      <alignment horizontal="center" vertical="center" wrapText="1"/>
    </xf>
    <xf numFmtId="167" fontId="4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FF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6"/>
  <sheetViews>
    <sheetView view="pageBreakPreview" zoomScaleNormal="120" zoomScaleSheetLayoutView="100" workbookViewId="0">
      <selection activeCell="X23" sqref="X23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2001</v>
      </c>
      <c r="B7" s="3">
        <v>234</v>
      </c>
      <c r="C7" s="4">
        <v>1340</v>
      </c>
      <c r="D7" s="4">
        <f>G7/$J$7</f>
        <v>12979.46875</v>
      </c>
      <c r="E7" s="4">
        <v>0</v>
      </c>
      <c r="F7" s="4">
        <f t="shared" ref="F7" si="0">SUM(D7:E7)</f>
        <v>12979.46875</v>
      </c>
      <c r="G7" s="5">
        <f>SUM(G16,G19,G22,G25,G28)</f>
        <v>415343</v>
      </c>
      <c r="H7" s="9">
        <f t="shared" ref="H7" si="1">F7/C7</f>
        <v>9.686170708955224</v>
      </c>
      <c r="I7" s="11">
        <f t="shared" ref="I7:I8" si="2">G7/C7</f>
        <v>309.95746268656717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2001</v>
      </c>
      <c r="B8" s="3"/>
      <c r="C8" s="4">
        <f>C7</f>
        <v>1340</v>
      </c>
      <c r="D8" s="4">
        <f>SUM(D17,D20,D23,D26,D29)</f>
        <v>21556</v>
      </c>
      <c r="E8" s="4">
        <v>0</v>
      </c>
      <c r="F8" s="4">
        <f>SUM(D8)</f>
        <v>21556</v>
      </c>
      <c r="G8" s="5">
        <f>SUM(G17,G20,G23,G26,G29)</f>
        <v>457624</v>
      </c>
      <c r="H8" s="58">
        <f>F8/C8</f>
        <v>16.086567164179105</v>
      </c>
      <c r="I8" s="42">
        <f t="shared" si="2"/>
        <v>341.51044776119403</v>
      </c>
      <c r="J8" s="43">
        <f>I8/H8</f>
        <v>21.229541658934867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1.6607767555971811</v>
      </c>
      <c r="G10" s="62">
        <f t="shared" ref="G10" si="3">G8/G7</f>
        <v>1.1017977912231578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-8576.53125</v>
      </c>
      <c r="G12" s="47">
        <f>G7-G8</f>
        <v>-42281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2001</v>
      </c>
      <c r="B16" s="3">
        <f>$B$7</f>
        <v>234</v>
      </c>
      <c r="C16" s="4">
        <f>$C$7</f>
        <v>1340</v>
      </c>
      <c r="D16" s="4">
        <f>G16/$J$7</f>
        <v>687.5</v>
      </c>
      <c r="E16" s="4">
        <v>0</v>
      </c>
      <c r="F16" s="13">
        <f t="shared" ref="F16:F17" si="4">SUM(D16:E16)</f>
        <v>687.5</v>
      </c>
      <c r="G16" s="14">
        <v>22000</v>
      </c>
      <c r="H16" s="13">
        <f t="shared" ref="H16:H17" si="5">F16/C16</f>
        <v>0.51305970149253732</v>
      </c>
      <c r="I16" s="14">
        <f t="shared" ref="I16:I17" si="6">G16/C16</f>
        <v>16.417910447761194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2001</v>
      </c>
      <c r="B17" s="3">
        <f>$B$7</f>
        <v>234</v>
      </c>
      <c r="C17" s="4">
        <f>$C$7</f>
        <v>1340</v>
      </c>
      <c r="D17" s="48">
        <v>170</v>
      </c>
      <c r="E17" s="48">
        <v>0</v>
      </c>
      <c r="F17" s="4">
        <f t="shared" si="4"/>
        <v>170</v>
      </c>
      <c r="G17" s="5">
        <v>5426</v>
      </c>
      <c r="H17" s="4">
        <f t="shared" si="5"/>
        <v>0.12686567164179105</v>
      </c>
      <c r="I17" s="5">
        <f t="shared" si="6"/>
        <v>4.0492537313432839</v>
      </c>
      <c r="J17" s="44">
        <f>I17/H17</f>
        <v>31.91764705882353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0.24727272727272728</v>
      </c>
      <c r="G18" s="16">
        <f t="shared" ref="G18" si="7">G17/G16</f>
        <v>0.24663636363636363</v>
      </c>
      <c r="H18" s="16"/>
      <c r="I18" s="16"/>
      <c r="J18" s="16"/>
      <c r="K18" s="45"/>
    </row>
    <row r="19" spans="1:11" ht="16.5" thickTop="1" thickBot="1" x14ac:dyDescent="0.25">
      <c r="A19" s="1">
        <f>$A$7</f>
        <v>2001</v>
      </c>
      <c r="B19" s="3">
        <f>$B$7</f>
        <v>234</v>
      </c>
      <c r="C19" s="4">
        <f>$C$7</f>
        <v>1340</v>
      </c>
      <c r="D19" s="4">
        <f>G19/$J$7</f>
        <v>3106.59375</v>
      </c>
      <c r="E19" s="4">
        <v>0</v>
      </c>
      <c r="F19" s="13">
        <f t="shared" ref="F19:F20" si="8">SUM(D19:E19)</f>
        <v>3106.59375</v>
      </c>
      <c r="G19" s="14">
        <v>99411</v>
      </c>
      <c r="H19" s="13">
        <f t="shared" ref="H19:H20" si="9">F19/C19</f>
        <v>2.3183535447761194</v>
      </c>
      <c r="I19" s="14">
        <f t="shared" ref="I19:I20" si="10">G19/C19</f>
        <v>74.187313432835822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2001</v>
      </c>
      <c r="B20" s="3">
        <f>$B$7</f>
        <v>234</v>
      </c>
      <c r="C20" s="4">
        <f>$C$7</f>
        <v>1340</v>
      </c>
      <c r="D20" s="48">
        <v>3924</v>
      </c>
      <c r="E20" s="48">
        <v>0</v>
      </c>
      <c r="F20" s="4">
        <f t="shared" si="8"/>
        <v>3924</v>
      </c>
      <c r="G20" s="5">
        <v>91970</v>
      </c>
      <c r="H20" s="4">
        <f t="shared" si="9"/>
        <v>2.928358208955224</v>
      </c>
      <c r="I20" s="5">
        <f t="shared" si="10"/>
        <v>68.634328358208961</v>
      </c>
      <c r="J20" s="44">
        <f>I20/H20</f>
        <v>23.437818552497454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1.2631197754775629</v>
      </c>
      <c r="G21" s="16">
        <f t="shared" ref="G21" si="11">G20/G19</f>
        <v>0.92514912836607621</v>
      </c>
      <c r="H21" s="16"/>
      <c r="I21" s="16"/>
      <c r="J21" s="45"/>
      <c r="K21" s="45"/>
    </row>
    <row r="22" spans="1:11" ht="16.5" thickTop="1" thickBot="1" x14ac:dyDescent="0.25">
      <c r="A22" s="1">
        <f>$A$7</f>
        <v>2001</v>
      </c>
      <c r="B22" s="3">
        <f>$B$7</f>
        <v>234</v>
      </c>
      <c r="C22" s="4">
        <f>$C$7</f>
        <v>1340</v>
      </c>
      <c r="D22" s="4">
        <f>G22/$J$7</f>
        <v>5803.28125</v>
      </c>
      <c r="E22" s="4">
        <v>0</v>
      </c>
      <c r="F22" s="13">
        <f>SUM(D22:E22)</f>
        <v>5803.28125</v>
      </c>
      <c r="G22" s="14">
        <v>185705</v>
      </c>
      <c r="H22" s="13">
        <f>F22/C22</f>
        <v>4.3308069029850742</v>
      </c>
      <c r="I22" s="14">
        <f>G22/C22</f>
        <v>138.58582089552237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2001</v>
      </c>
      <c r="B23" s="3">
        <f>$B$7</f>
        <v>234</v>
      </c>
      <c r="C23" s="4">
        <f>$C$7</f>
        <v>1340</v>
      </c>
      <c r="D23" s="48">
        <v>10500</v>
      </c>
      <c r="E23" s="48">
        <v>0</v>
      </c>
      <c r="F23" s="4">
        <f>SUM(D23:E23)</f>
        <v>10500</v>
      </c>
      <c r="G23" s="5">
        <v>218574</v>
      </c>
      <c r="H23" s="4">
        <f>F23/C23</f>
        <v>7.8358208955223878</v>
      </c>
      <c r="I23" s="5">
        <f>G23/C23</f>
        <v>163.11492537313433</v>
      </c>
      <c r="J23" s="44">
        <f>I23/H23</f>
        <v>20.816571428571429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1.8093212352925339</v>
      </c>
      <c r="G24" s="16">
        <f t="shared" ref="G24" si="12">G23/G22</f>
        <v>1.1769957728655664</v>
      </c>
      <c r="H24" s="16"/>
      <c r="I24" s="16"/>
      <c r="J24" s="17"/>
      <c r="K24" s="17"/>
    </row>
    <row r="25" spans="1:11" ht="16.5" thickTop="1" thickBot="1" x14ac:dyDescent="0.25">
      <c r="A25" s="1">
        <f>$A$7</f>
        <v>2001</v>
      </c>
      <c r="B25" s="3">
        <f>$B$7</f>
        <v>234</v>
      </c>
      <c r="C25" s="4">
        <v>1329</v>
      </c>
      <c r="D25" s="4">
        <f>G25/$J$7</f>
        <v>1162.875</v>
      </c>
      <c r="E25" s="4">
        <v>0</v>
      </c>
      <c r="F25" s="13">
        <f>SUM(D25:E25)</f>
        <v>1162.875</v>
      </c>
      <c r="G25" s="14">
        <v>37212</v>
      </c>
      <c r="H25" s="13">
        <f>F25/C25</f>
        <v>0.875</v>
      </c>
      <c r="I25" s="14">
        <f>G25/C25</f>
        <v>28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2001</v>
      </c>
      <c r="B26" s="3">
        <f>$B$7</f>
        <v>234</v>
      </c>
      <c r="C26" s="4">
        <f>C25</f>
        <v>1329</v>
      </c>
      <c r="D26" s="48">
        <v>2362</v>
      </c>
      <c r="E26" s="48">
        <v>0</v>
      </c>
      <c r="F26" s="4">
        <f>SUM(D26:E26)</f>
        <v>2362</v>
      </c>
      <c r="G26" s="5">
        <v>46025</v>
      </c>
      <c r="H26" s="4">
        <f>F26/C26</f>
        <v>1.7772761474793077</v>
      </c>
      <c r="I26" s="5">
        <f>G26/C26</f>
        <v>34.631301730624529</v>
      </c>
      <c r="J26" s="44">
        <f>I26/H26</f>
        <v>19.485605419136323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2.0311727399763515</v>
      </c>
      <c r="G27" s="16">
        <f t="shared" ref="G27" si="13">G26/G25</f>
        <v>1.2368322046651619</v>
      </c>
      <c r="H27" s="16"/>
      <c r="I27" s="16"/>
      <c r="J27" s="17"/>
      <c r="K27" s="17"/>
    </row>
    <row r="28" spans="1:11" ht="16.5" thickTop="1" thickBot="1" x14ac:dyDescent="0.25">
      <c r="A28" s="1">
        <f>$A$7</f>
        <v>2001</v>
      </c>
      <c r="B28" s="3">
        <f>$B$7</f>
        <v>234</v>
      </c>
      <c r="C28" s="4">
        <f>$C$7</f>
        <v>1340</v>
      </c>
      <c r="D28" s="4">
        <f>G28/$J$7</f>
        <v>2219.21875</v>
      </c>
      <c r="E28" s="4">
        <v>0</v>
      </c>
      <c r="F28" s="13">
        <f>SUM(D28:E28)</f>
        <v>2219.21875</v>
      </c>
      <c r="G28" s="14">
        <v>71015</v>
      </c>
      <c r="H28" s="13">
        <f>F28/C28</f>
        <v>1.656133395522388</v>
      </c>
      <c r="I28" s="14">
        <f>G28/C28</f>
        <v>52.996268656716417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2001</v>
      </c>
      <c r="B29" s="3">
        <f>$B$7</f>
        <v>234</v>
      </c>
      <c r="C29" s="4">
        <f>$C$7</f>
        <v>1340</v>
      </c>
      <c r="D29" s="48">
        <v>4600</v>
      </c>
      <c r="E29" s="48">
        <v>0</v>
      </c>
      <c r="F29" s="4">
        <f>SUM(D29:E29)</f>
        <v>4600</v>
      </c>
      <c r="G29" s="5">
        <v>95629</v>
      </c>
      <c r="H29" s="4">
        <f>F29/C29</f>
        <v>3.4328358208955225</v>
      </c>
      <c r="I29" s="5">
        <f>G29/C29</f>
        <v>71.364925373134326</v>
      </c>
      <c r="J29" s="44">
        <f>I29/H29</f>
        <v>20.78891304347826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2.0728015208054638</v>
      </c>
      <c r="G30" s="16">
        <f t="shared" ref="G30" si="14">G29/G28</f>
        <v>1.3466028303879463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2001</v>
      </c>
      <c r="B33" s="3">
        <f>$B$7</f>
        <v>234</v>
      </c>
      <c r="C33" s="4">
        <f>$C$7</f>
        <v>1340</v>
      </c>
      <c r="D33" s="13">
        <f>SUM(D28,D22,D19)</f>
        <v>11129.09375</v>
      </c>
      <c r="E33" s="13">
        <v>0</v>
      </c>
      <c r="F33" s="13">
        <f t="shared" ref="F33" si="15">SUM(D33:E33)</f>
        <v>11129.09375</v>
      </c>
      <c r="G33" s="14">
        <f>SUM(G28,G22,G19)</f>
        <v>356131</v>
      </c>
      <c r="H33" s="34">
        <f t="shared" ref="H33:H34" si="16">F33/C33</f>
        <v>8.3052938432835823</v>
      </c>
      <c r="I33" s="39">
        <f t="shared" ref="I33:I34" si="17">G33/C33</f>
        <v>265.76940298507463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2001</v>
      </c>
      <c r="B34" s="3">
        <f>$B$7</f>
        <v>234</v>
      </c>
      <c r="C34" s="4">
        <f>$C$7</f>
        <v>1340</v>
      </c>
      <c r="D34" s="4">
        <f>SUM(D29,D23,D20)</f>
        <v>19024</v>
      </c>
      <c r="E34" s="49">
        <v>0</v>
      </c>
      <c r="F34" s="4">
        <f>SUM(D34)</f>
        <v>19024</v>
      </c>
      <c r="G34" s="50">
        <f>SUM(G29,G23,G20)</f>
        <v>406173</v>
      </c>
      <c r="H34" s="41">
        <f t="shared" si="16"/>
        <v>14.197014925373134</v>
      </c>
      <c r="I34" s="42">
        <f t="shared" si="17"/>
        <v>303.11417910447761</v>
      </c>
      <c r="J34" s="43">
        <f>I34/H34</f>
        <v>21.350557190916739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1.1405157091070421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14.197014925373134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1.7772761474793077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16.086567164179105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46"/>
  <sheetViews>
    <sheetView view="pageBreakPreview" zoomScaleNormal="120" zoomScaleSheetLayoutView="100" workbookViewId="0">
      <selection activeCell="F64" sqref="F64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2002</v>
      </c>
      <c r="B7" s="3">
        <v>91</v>
      </c>
      <c r="C7" s="4">
        <v>612</v>
      </c>
      <c r="D7" s="4">
        <f>G7/$J$7</f>
        <v>6086.875</v>
      </c>
      <c r="E7" s="4">
        <v>0</v>
      </c>
      <c r="F7" s="4">
        <f t="shared" ref="F7" si="0">SUM(D7:E7)</f>
        <v>6086.875</v>
      </c>
      <c r="G7" s="5">
        <f>SUM(G16,G19,G22,G25,G28)</f>
        <v>194780</v>
      </c>
      <c r="H7" s="9">
        <f t="shared" ref="H7" si="1">F7/C7</f>
        <v>9.945874183006536</v>
      </c>
      <c r="I7" s="11">
        <f t="shared" ref="I7:I8" si="2">G7/C7</f>
        <v>318.26797385620915</v>
      </c>
      <c r="J7" s="12">
        <v>32</v>
      </c>
      <c r="K7" s="37" t="s">
        <v>10</v>
      </c>
    </row>
    <row r="8" spans="1:11" ht="16.5" thickTop="1" thickBot="1" x14ac:dyDescent="0.25">
      <c r="A8" s="1">
        <f>A7</f>
        <v>2002</v>
      </c>
      <c r="B8" s="3">
        <f>B7</f>
        <v>91</v>
      </c>
      <c r="C8" s="4">
        <f>C7</f>
        <v>612</v>
      </c>
      <c r="D8" s="4">
        <f>SUM(D17,D20,D23,D26,D29)</f>
        <v>8110</v>
      </c>
      <c r="E8" s="4">
        <v>0</v>
      </c>
      <c r="F8" s="4">
        <f>SUM(D8)</f>
        <v>8110</v>
      </c>
      <c r="G8" s="5">
        <f>SUM(G17,G20,G23,G26,G29)</f>
        <v>164460</v>
      </c>
      <c r="H8" s="58">
        <f>F8/C8</f>
        <v>13.251633986928105</v>
      </c>
      <c r="I8" s="42">
        <f t="shared" si="2"/>
        <v>268.72549019607845</v>
      </c>
      <c r="J8" s="43">
        <f>I8/H8</f>
        <v>20.278668310727497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1.3323749871650066</v>
      </c>
      <c r="G10" s="62">
        <f t="shared" ref="G10" si="3">G8/G7</f>
        <v>0.84433720094465547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-2023.125</v>
      </c>
      <c r="G12" s="47">
        <f>G7-G8</f>
        <v>30320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2002</v>
      </c>
      <c r="B16" s="3">
        <f>$B$7</f>
        <v>91</v>
      </c>
      <c r="C16" s="4">
        <f>$C$7</f>
        <v>612</v>
      </c>
      <c r="D16" s="4">
        <f>G16/$J$7</f>
        <v>369.6875</v>
      </c>
      <c r="E16" s="4">
        <v>0</v>
      </c>
      <c r="F16" s="13">
        <f t="shared" ref="F16:F17" si="4">SUM(D16:E16)</f>
        <v>369.6875</v>
      </c>
      <c r="G16" s="14">
        <v>11830</v>
      </c>
      <c r="H16" s="13">
        <f t="shared" ref="H16:H17" si="5">F16/C16</f>
        <v>0.60406454248366015</v>
      </c>
      <c r="I16" s="14">
        <f t="shared" ref="I16:I17" si="6">G16/C16</f>
        <v>19.330065359477125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2002</v>
      </c>
      <c r="B17" s="3">
        <f>$B$7</f>
        <v>91</v>
      </c>
      <c r="C17" s="4">
        <f>$C$7</f>
        <v>612</v>
      </c>
      <c r="D17" s="48">
        <v>28</v>
      </c>
      <c r="E17" s="48">
        <v>0</v>
      </c>
      <c r="F17" s="4">
        <f t="shared" si="4"/>
        <v>28</v>
      </c>
      <c r="G17" s="5">
        <v>864</v>
      </c>
      <c r="H17" s="4">
        <f t="shared" si="5"/>
        <v>4.5751633986928102E-2</v>
      </c>
      <c r="I17" s="5">
        <f t="shared" si="6"/>
        <v>1.411764705882353</v>
      </c>
      <c r="J17" s="44">
        <f>I17/H17</f>
        <v>30.857142857142861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7.5739644970414202E-2</v>
      </c>
      <c r="G18" s="16">
        <f t="shared" ref="G18" si="7">G17/G16</f>
        <v>7.3034657650042259E-2</v>
      </c>
      <c r="H18" s="16"/>
      <c r="I18" s="16"/>
      <c r="J18" s="16"/>
      <c r="K18" s="45"/>
    </row>
    <row r="19" spans="1:11" ht="16.5" thickTop="1" thickBot="1" x14ac:dyDescent="0.25">
      <c r="A19" s="1">
        <f>$A$7</f>
        <v>2002</v>
      </c>
      <c r="B19" s="3">
        <f>$B$7</f>
        <v>91</v>
      </c>
      <c r="C19" s="4">
        <f>$C$7</f>
        <v>612</v>
      </c>
      <c r="D19" s="4">
        <f>G19/$J$7</f>
        <v>1597.5</v>
      </c>
      <c r="E19" s="4">
        <v>0</v>
      </c>
      <c r="F19" s="13">
        <f t="shared" ref="F19:F20" si="8">SUM(D19:E19)</f>
        <v>1597.5</v>
      </c>
      <c r="G19" s="14">
        <v>51120</v>
      </c>
      <c r="H19" s="13">
        <f t="shared" ref="H19:H20" si="9">F19/C19</f>
        <v>2.6102941176470589</v>
      </c>
      <c r="I19" s="14">
        <f t="shared" ref="I19:I20" si="10">G19/C19</f>
        <v>83.529411764705884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2002</v>
      </c>
      <c r="B20" s="3">
        <f>$B$7</f>
        <v>91</v>
      </c>
      <c r="C20" s="4">
        <f>$C$7</f>
        <v>612</v>
      </c>
      <c r="D20" s="48">
        <v>1489</v>
      </c>
      <c r="E20" s="48">
        <v>0</v>
      </c>
      <c r="F20" s="4">
        <f t="shared" si="8"/>
        <v>1489</v>
      </c>
      <c r="G20" s="5">
        <v>33345</v>
      </c>
      <c r="H20" s="4">
        <f t="shared" si="9"/>
        <v>2.4330065359477122</v>
      </c>
      <c r="I20" s="5">
        <f t="shared" si="10"/>
        <v>54.485294117647058</v>
      </c>
      <c r="J20" s="44">
        <f>I20/H20</f>
        <v>22.394224311618537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/>
      <c r="G21" s="16"/>
      <c r="H21" s="16"/>
      <c r="I21" s="16"/>
      <c r="J21" s="45"/>
      <c r="K21" s="45"/>
    </row>
    <row r="22" spans="1:11" ht="16.5" thickTop="1" thickBot="1" x14ac:dyDescent="0.25">
      <c r="A22" s="1">
        <f>$A$7</f>
        <v>2002</v>
      </c>
      <c r="B22" s="3">
        <f>$B$7</f>
        <v>91</v>
      </c>
      <c r="C22" s="4">
        <f>$C$7</f>
        <v>612</v>
      </c>
      <c r="D22" s="4">
        <f>G22/$J$7</f>
        <v>2765.9375</v>
      </c>
      <c r="E22" s="4">
        <v>0</v>
      </c>
      <c r="F22" s="13">
        <f>SUM(D22:E22)</f>
        <v>2765.9375</v>
      </c>
      <c r="G22" s="14">
        <v>88510</v>
      </c>
      <c r="H22" s="13">
        <f>F22/C22</f>
        <v>4.5195057189542487</v>
      </c>
      <c r="I22" s="14">
        <f>G22/C22</f>
        <v>144.62418300653596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2002</v>
      </c>
      <c r="B23" s="3">
        <f>$B$7</f>
        <v>91</v>
      </c>
      <c r="C23" s="4">
        <f>$C$7</f>
        <v>612</v>
      </c>
      <c r="D23" s="48">
        <v>4488</v>
      </c>
      <c r="E23" s="48">
        <v>0</v>
      </c>
      <c r="F23" s="4">
        <f>SUM(D23:E23)</f>
        <v>4488</v>
      </c>
      <c r="G23" s="5">
        <v>88822</v>
      </c>
      <c r="H23" s="4">
        <f>F23/C23</f>
        <v>7.333333333333333</v>
      </c>
      <c r="I23" s="5">
        <f>G23/C23</f>
        <v>145.13398692810458</v>
      </c>
      <c r="J23" s="44">
        <f>I23/H23</f>
        <v>19.790998217468807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1.6225963168003616</v>
      </c>
      <c r="G24" s="16">
        <f t="shared" ref="G24" si="11">G23/G22</f>
        <v>1.0035250254208563</v>
      </c>
      <c r="H24" s="16"/>
      <c r="I24" s="16"/>
      <c r="J24" s="17"/>
      <c r="K24" s="17"/>
    </row>
    <row r="25" spans="1:11" ht="16.5" thickTop="1" thickBot="1" x14ac:dyDescent="0.25">
      <c r="A25" s="1">
        <f>$A$7</f>
        <v>2002</v>
      </c>
      <c r="B25" s="3">
        <f>$B$7</f>
        <v>91</v>
      </c>
      <c r="C25" s="4">
        <v>599</v>
      </c>
      <c r="D25" s="4">
        <f>G25/$J$7</f>
        <v>542.8125</v>
      </c>
      <c r="E25" s="4">
        <v>0</v>
      </c>
      <c r="F25" s="13">
        <f>SUM(D25:E25)</f>
        <v>542.8125</v>
      </c>
      <c r="G25" s="14">
        <v>17370</v>
      </c>
      <c r="H25" s="13">
        <f>F25/C25</f>
        <v>0.90619782971619367</v>
      </c>
      <c r="I25" s="14">
        <f>G25/C25</f>
        <v>28.998330550918197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2002</v>
      </c>
      <c r="B26" s="3">
        <f>$B$7</f>
        <v>91</v>
      </c>
      <c r="C26" s="4">
        <f>C25</f>
        <v>599</v>
      </c>
      <c r="D26" s="48">
        <v>675</v>
      </c>
      <c r="E26" s="48">
        <v>0</v>
      </c>
      <c r="F26" s="4">
        <f>SUM(D26:E26)</f>
        <v>675</v>
      </c>
      <c r="G26" s="5">
        <v>14894</v>
      </c>
      <c r="H26" s="4">
        <f>F26/C26</f>
        <v>1.1268781302170283</v>
      </c>
      <c r="I26" s="5">
        <f>G26/C26</f>
        <v>24.864774624373958</v>
      </c>
      <c r="J26" s="44">
        <f>I26/H26</f>
        <v>22.065185185185186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1.2435233160621761</v>
      </c>
      <c r="G27" s="16">
        <f t="shared" ref="G27" si="12">G26/G25</f>
        <v>0.85745538284398393</v>
      </c>
      <c r="H27" s="16"/>
      <c r="I27" s="16"/>
      <c r="J27" s="17"/>
      <c r="K27" s="17"/>
    </row>
    <row r="28" spans="1:11" ht="16.5" thickTop="1" thickBot="1" x14ac:dyDescent="0.25">
      <c r="A28" s="1">
        <f>$A$7</f>
        <v>2002</v>
      </c>
      <c r="B28" s="3">
        <f>$B$7</f>
        <v>91</v>
      </c>
      <c r="C28" s="4">
        <f>$C$7</f>
        <v>612</v>
      </c>
      <c r="D28" s="4">
        <f>G28/$J$7</f>
        <v>810.9375</v>
      </c>
      <c r="E28" s="4">
        <v>0</v>
      </c>
      <c r="F28" s="13">
        <f>SUM(D28:E28)</f>
        <v>810.9375</v>
      </c>
      <c r="G28" s="14">
        <v>25950</v>
      </c>
      <c r="H28" s="13">
        <f>F28/C28</f>
        <v>1.3250612745098038</v>
      </c>
      <c r="I28" s="14">
        <f>G28/C28</f>
        <v>42.401960784313722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2002</v>
      </c>
      <c r="B29" s="3">
        <f>$B$7</f>
        <v>91</v>
      </c>
      <c r="C29" s="4">
        <f>$C$7</f>
        <v>612</v>
      </c>
      <c r="D29" s="48">
        <v>1430</v>
      </c>
      <c r="E29" s="48">
        <v>0</v>
      </c>
      <c r="F29" s="4">
        <f>SUM(D29:E29)</f>
        <v>1430</v>
      </c>
      <c r="G29" s="5">
        <v>26535</v>
      </c>
      <c r="H29" s="4">
        <f>F29/C29</f>
        <v>2.3366013071895426</v>
      </c>
      <c r="I29" s="5">
        <f>G29/C29</f>
        <v>43.357843137254903</v>
      </c>
      <c r="J29" s="44">
        <f>I29/H29</f>
        <v>18.555944055944057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2002</v>
      </c>
      <c r="B33" s="3">
        <f>$B$7</f>
        <v>91</v>
      </c>
      <c r="C33" s="4">
        <f>$C$7</f>
        <v>612</v>
      </c>
      <c r="D33" s="13">
        <f>SUM(D28,D22,D19)</f>
        <v>5174.375</v>
      </c>
      <c r="E33" s="13">
        <v>0</v>
      </c>
      <c r="F33" s="13">
        <f t="shared" ref="F33" si="13">SUM(D33:E33)</f>
        <v>5174.375</v>
      </c>
      <c r="G33" s="14">
        <f>SUM(G28,G22,G19)</f>
        <v>165580</v>
      </c>
      <c r="H33" s="34">
        <f t="shared" ref="H33:H34" si="14">F33/C33</f>
        <v>8.4548611111111107</v>
      </c>
      <c r="I33" s="39">
        <f t="shared" ref="I33:I34" si="15">G33/C33</f>
        <v>270.55555555555554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2002</v>
      </c>
      <c r="B34" s="3">
        <f>$B$7</f>
        <v>91</v>
      </c>
      <c r="C34" s="4">
        <f>$C$7</f>
        <v>612</v>
      </c>
      <c r="D34" s="4">
        <f>SUM(D29,D23,D20)</f>
        <v>7407</v>
      </c>
      <c r="E34" s="49">
        <v>0</v>
      </c>
      <c r="F34" s="4">
        <f>SUM(D34)</f>
        <v>7407</v>
      </c>
      <c r="G34" s="50">
        <f>SUM(G29,G23,G20)</f>
        <v>148702</v>
      </c>
      <c r="H34" s="41">
        <f t="shared" si="14"/>
        <v>12.102941176470589</v>
      </c>
      <c r="I34" s="42">
        <f t="shared" si="15"/>
        <v>242.97712418300654</v>
      </c>
      <c r="J34" s="43">
        <f>I34/H34</f>
        <v>20.075874173079519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1.431477231549704</v>
      </c>
      <c r="G35" s="63">
        <f t="shared" ref="G35" si="16">G34/G33</f>
        <v>0.8980673994443773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12.102941176470589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1.1268781302170283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13.251633986928105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46"/>
  <sheetViews>
    <sheetView view="pageBreakPreview" zoomScaleNormal="120" zoomScaleSheetLayoutView="100" workbookViewId="0">
      <selection activeCell="H38" sqref="H38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2003</v>
      </c>
      <c r="B7" s="3">
        <v>5</v>
      </c>
      <c r="C7" s="4">
        <v>129</v>
      </c>
      <c r="D7" s="4">
        <f>G7/$J$7</f>
        <v>1959.6875</v>
      </c>
      <c r="E7" s="4">
        <v>0</v>
      </c>
      <c r="F7" s="4">
        <f t="shared" ref="F7" si="0">SUM(D7:E7)</f>
        <v>1959.6875</v>
      </c>
      <c r="G7" s="5">
        <f>SUM(G16,G19,G22,G25,G28)</f>
        <v>62710</v>
      </c>
      <c r="H7" s="9">
        <f t="shared" ref="H7" si="1">F7/C7</f>
        <v>15.191375968992247</v>
      </c>
      <c r="I7" s="11">
        <f t="shared" ref="I7:I8" si="2">G7/C7</f>
        <v>486.12403100775191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5</v>
      </c>
      <c r="C8" s="4">
        <f>C7</f>
        <v>129</v>
      </c>
      <c r="D8" s="4">
        <f>SUM(D17,D20,D23,D26,D29)</f>
        <v>2728</v>
      </c>
      <c r="E8" s="4">
        <v>0</v>
      </c>
      <c r="F8" s="4">
        <f>SUM(D8)</f>
        <v>2728</v>
      </c>
      <c r="G8" s="5">
        <f>SUM(G17,G20,G23,G26,G29)</f>
        <v>51624</v>
      </c>
      <c r="H8" s="58">
        <f>F8/C8</f>
        <v>21.147286821705425</v>
      </c>
      <c r="I8" s="42">
        <f t="shared" si="2"/>
        <v>400.18604651162792</v>
      </c>
      <c r="J8" s="43">
        <f>I8/H8</f>
        <v>18.923753665689151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1.3920586828257056</v>
      </c>
      <c r="G10" s="62">
        <f t="shared" ref="G10" si="3">G8/G7</f>
        <v>0.82321798756179243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-768.3125</v>
      </c>
      <c r="G12" s="47">
        <f>G7-G8</f>
        <v>11086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2003</v>
      </c>
      <c r="B16" s="3">
        <f>$B$7</f>
        <v>5</v>
      </c>
      <c r="C16" s="4">
        <f>$C$7</f>
        <v>129</v>
      </c>
      <c r="D16" s="4">
        <f>G16/$J$7</f>
        <v>187.5</v>
      </c>
      <c r="E16" s="4">
        <v>0</v>
      </c>
      <c r="F16" s="13">
        <f t="shared" ref="F16:F17" si="4">SUM(D16:E16)</f>
        <v>187.5</v>
      </c>
      <c r="G16" s="14">
        <v>6000</v>
      </c>
      <c r="H16" s="13">
        <f t="shared" ref="H16:H17" si="5">F16/C16</f>
        <v>1.4534883720930232</v>
      </c>
      <c r="I16" s="14">
        <f t="shared" ref="I16:I17" si="6">G16/C16</f>
        <v>46.511627906976742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2003</v>
      </c>
      <c r="B17" s="3">
        <f>$B$7</f>
        <v>5</v>
      </c>
      <c r="C17" s="4">
        <f>$C$7</f>
        <v>129</v>
      </c>
      <c r="D17" s="48">
        <v>40</v>
      </c>
      <c r="E17" s="48">
        <v>0</v>
      </c>
      <c r="F17" s="4">
        <f t="shared" si="4"/>
        <v>40</v>
      </c>
      <c r="G17" s="5">
        <v>1258</v>
      </c>
      <c r="H17" s="4">
        <f t="shared" si="5"/>
        <v>0.31007751937984496</v>
      </c>
      <c r="I17" s="5">
        <f t="shared" si="6"/>
        <v>9.7519379844961236</v>
      </c>
      <c r="J17" s="44">
        <f>I17/H17</f>
        <v>31.45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0.21333333333333335</v>
      </c>
      <c r="G18" s="16">
        <f t="shared" ref="G18" si="7">G17/G16</f>
        <v>0.20966666666666667</v>
      </c>
      <c r="H18" s="16"/>
      <c r="I18" s="16"/>
      <c r="J18" s="16"/>
      <c r="K18" s="45"/>
    </row>
    <row r="19" spans="1:11" ht="16.5" thickTop="1" thickBot="1" x14ac:dyDescent="0.25">
      <c r="A19" s="1">
        <f>$A$7</f>
        <v>2003</v>
      </c>
      <c r="B19" s="3">
        <f>$B$7</f>
        <v>5</v>
      </c>
      <c r="C19" s="4">
        <f>$C$7</f>
        <v>129</v>
      </c>
      <c r="D19" s="4">
        <f>G19/$J$7</f>
        <v>699.21875</v>
      </c>
      <c r="E19" s="4">
        <v>0</v>
      </c>
      <c r="F19" s="13">
        <f t="shared" ref="F19:F20" si="8">SUM(D19:E19)</f>
        <v>699.21875</v>
      </c>
      <c r="G19" s="14">
        <v>22375</v>
      </c>
      <c r="H19" s="13">
        <f t="shared" ref="H19:H20" si="9">F19/C19</f>
        <v>5.4203003875968996</v>
      </c>
      <c r="I19" s="14">
        <f t="shared" ref="I19:I20" si="10">G19/C19</f>
        <v>173.44961240310079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2003</v>
      </c>
      <c r="B20" s="3">
        <f>$B$7</f>
        <v>5</v>
      </c>
      <c r="C20" s="4">
        <f>$C$7</f>
        <v>129</v>
      </c>
      <c r="D20" s="48">
        <v>644</v>
      </c>
      <c r="E20" s="48">
        <v>0</v>
      </c>
      <c r="F20" s="4">
        <f t="shared" si="8"/>
        <v>644</v>
      </c>
      <c r="G20" s="5">
        <v>13857</v>
      </c>
      <c r="H20" s="4">
        <f t="shared" si="9"/>
        <v>4.9922480620155039</v>
      </c>
      <c r="I20" s="5">
        <f t="shared" si="10"/>
        <v>107.41860465116279</v>
      </c>
      <c r="J20" s="44">
        <f>I20/H20</f>
        <v>21.517080745341616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0.9210279329608938</v>
      </c>
      <c r="G21" s="16">
        <f t="shared" ref="G21" si="11">G20/G19</f>
        <v>0.61930726256983237</v>
      </c>
      <c r="H21" s="16"/>
      <c r="I21" s="16"/>
      <c r="J21" s="45"/>
      <c r="K21" s="45"/>
    </row>
    <row r="22" spans="1:11" ht="16.5" thickTop="1" thickBot="1" x14ac:dyDescent="0.25">
      <c r="A22" s="1">
        <f>$A$7</f>
        <v>2003</v>
      </c>
      <c r="B22" s="3">
        <f>$B$7</f>
        <v>5</v>
      </c>
      <c r="C22" s="4">
        <f>$C$7</f>
        <v>129</v>
      </c>
      <c r="D22" s="4">
        <f>G22/$J$7</f>
        <v>870.15625</v>
      </c>
      <c r="E22" s="4">
        <v>0</v>
      </c>
      <c r="F22" s="13">
        <f>SUM(D22:E22)</f>
        <v>870.15625</v>
      </c>
      <c r="G22" s="14">
        <v>27845</v>
      </c>
      <c r="H22" s="13">
        <f>F22/C22</f>
        <v>6.7453972868217056</v>
      </c>
      <c r="I22" s="14">
        <f>G22/C22</f>
        <v>215.85271317829458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2003</v>
      </c>
      <c r="B23" s="3">
        <f>$B$7</f>
        <v>5</v>
      </c>
      <c r="C23" s="4">
        <f>$C$7</f>
        <v>129</v>
      </c>
      <c r="D23" s="48">
        <v>1529</v>
      </c>
      <c r="E23" s="48">
        <v>0</v>
      </c>
      <c r="F23" s="4">
        <f>SUM(D23:E23)</f>
        <v>1529</v>
      </c>
      <c r="G23" s="5">
        <v>26711</v>
      </c>
      <c r="H23" s="4">
        <f>F23/C23</f>
        <v>11.852713178294573</v>
      </c>
      <c r="I23" s="5">
        <f>G23/C23</f>
        <v>207.06201550387595</v>
      </c>
      <c r="J23" s="44">
        <f>I23/H23</f>
        <v>17.469587965990844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1.7571556832465434</v>
      </c>
      <c r="G24" s="16">
        <f t="shared" ref="G24" si="12">G23/G22</f>
        <v>0.95927455557550723</v>
      </c>
      <c r="H24" s="16"/>
      <c r="I24" s="16"/>
      <c r="J24" s="17"/>
      <c r="K24" s="17"/>
    </row>
    <row r="25" spans="1:11" ht="16.5" thickTop="1" thickBot="1" x14ac:dyDescent="0.25">
      <c r="A25" s="1">
        <f>$A$7</f>
        <v>2003</v>
      </c>
      <c r="B25" s="3">
        <f>$B$7</f>
        <v>5</v>
      </c>
      <c r="C25" s="4">
        <v>123</v>
      </c>
      <c r="D25" s="4">
        <f>G25/$J$7</f>
        <v>115.3125</v>
      </c>
      <c r="E25" s="4">
        <v>0</v>
      </c>
      <c r="F25" s="13">
        <f>SUM(D25:E25)</f>
        <v>115.3125</v>
      </c>
      <c r="G25" s="14">
        <v>3690</v>
      </c>
      <c r="H25" s="13">
        <f>F25/C25</f>
        <v>0.9375</v>
      </c>
      <c r="I25" s="14">
        <f>G25/C25</f>
        <v>30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2003</v>
      </c>
      <c r="B26" s="3">
        <f>$B$7</f>
        <v>5</v>
      </c>
      <c r="C26" s="4">
        <f>C25</f>
        <v>123</v>
      </c>
      <c r="D26" s="48">
        <v>261</v>
      </c>
      <c r="E26" s="48">
        <v>0</v>
      </c>
      <c r="F26" s="4">
        <f>SUM(D26:E26)</f>
        <v>261</v>
      </c>
      <c r="G26" s="5">
        <v>5114</v>
      </c>
      <c r="H26" s="4">
        <f>F26/C26</f>
        <v>2.1219512195121952</v>
      </c>
      <c r="I26" s="5">
        <f>G26/C26</f>
        <v>41.577235772357724</v>
      </c>
      <c r="J26" s="44">
        <f>I26/H26</f>
        <v>19.593869731800766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2.2634146341463413</v>
      </c>
      <c r="G27" s="16">
        <f t="shared" ref="G27" si="13">G26/G25</f>
        <v>1.3859078590785907</v>
      </c>
      <c r="H27" s="16"/>
      <c r="I27" s="16"/>
      <c r="J27" s="17"/>
      <c r="K27" s="17"/>
    </row>
    <row r="28" spans="1:11" ht="16.5" thickTop="1" thickBot="1" x14ac:dyDescent="0.25">
      <c r="A28" s="1">
        <f>$A$7</f>
        <v>2003</v>
      </c>
      <c r="B28" s="3">
        <f>$B$7</f>
        <v>5</v>
      </c>
      <c r="C28" s="4">
        <f>$C$7</f>
        <v>129</v>
      </c>
      <c r="D28" s="4">
        <f>G28/$J$7</f>
        <v>87.5</v>
      </c>
      <c r="E28" s="4">
        <v>0</v>
      </c>
      <c r="F28" s="13">
        <f>SUM(D28:E28)</f>
        <v>87.5</v>
      </c>
      <c r="G28" s="14">
        <v>2800</v>
      </c>
      <c r="H28" s="13">
        <f>F28/C28</f>
        <v>0.67829457364341084</v>
      </c>
      <c r="I28" s="14">
        <f>G28/C28</f>
        <v>21.705426356589147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2003</v>
      </c>
      <c r="B29" s="3">
        <f>$B$7</f>
        <v>5</v>
      </c>
      <c r="C29" s="4">
        <f>$C$7</f>
        <v>129</v>
      </c>
      <c r="D29" s="48">
        <v>254</v>
      </c>
      <c r="E29" s="48">
        <v>0</v>
      </c>
      <c r="F29" s="4">
        <f>SUM(D29:E29)</f>
        <v>254</v>
      </c>
      <c r="G29" s="5">
        <v>4684</v>
      </c>
      <c r="H29" s="4">
        <f>F29/C29</f>
        <v>1.9689922480620154</v>
      </c>
      <c r="I29" s="5">
        <f>G29/C29</f>
        <v>36.310077519379846</v>
      </c>
      <c r="J29" s="44">
        <f>I29/H29</f>
        <v>18.440944881889763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2003</v>
      </c>
      <c r="B33" s="3">
        <f>$B$7</f>
        <v>5</v>
      </c>
      <c r="C33" s="4">
        <f>$C$7</f>
        <v>129</v>
      </c>
      <c r="D33" s="13">
        <f>SUM(D28,D22,D19)</f>
        <v>1656.875</v>
      </c>
      <c r="E33" s="13">
        <v>0</v>
      </c>
      <c r="F33" s="13">
        <f t="shared" ref="F33" si="14">SUM(D33:E33)</f>
        <v>1656.875</v>
      </c>
      <c r="G33" s="14">
        <f>SUM(G28,G22,G19)</f>
        <v>53020</v>
      </c>
      <c r="H33" s="34">
        <f t="shared" ref="H33:H34" si="15">F33/C33</f>
        <v>12.843992248062015</v>
      </c>
      <c r="I33" s="39">
        <f t="shared" ref="I33:I34" si="16">G33/C33</f>
        <v>411.00775193798449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2003</v>
      </c>
      <c r="B34" s="3">
        <f>$B$7</f>
        <v>5</v>
      </c>
      <c r="C34" s="4">
        <f>$C$7</f>
        <v>129</v>
      </c>
      <c r="D34" s="4">
        <f>SUM(D29,D23,D20)</f>
        <v>2427</v>
      </c>
      <c r="E34" s="49">
        <v>0</v>
      </c>
      <c r="F34" s="4">
        <f>SUM(D34)</f>
        <v>2427</v>
      </c>
      <c r="G34" s="50">
        <f>SUM(G29,G23,G20)</f>
        <v>45252</v>
      </c>
      <c r="H34" s="41">
        <f t="shared" si="15"/>
        <v>18.813953488372093</v>
      </c>
      <c r="I34" s="42">
        <f t="shared" si="16"/>
        <v>350.7906976744186</v>
      </c>
      <c r="J34" s="43">
        <f>I34/H34</f>
        <v>18.645241038318911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0.85348924933987169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18.813953488372093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2.1219512195121952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21.147286821705425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46"/>
  <sheetViews>
    <sheetView view="pageBreakPreview" zoomScaleNormal="120" zoomScaleSheetLayoutView="100" workbookViewId="0">
      <selection activeCell="H42" sqref="H42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2005</v>
      </c>
      <c r="B7" s="3">
        <v>66</v>
      </c>
      <c r="C7" s="4">
        <v>350</v>
      </c>
      <c r="D7" s="4">
        <f>G7/$J$7</f>
        <v>3446.5625</v>
      </c>
      <c r="E7" s="4">
        <v>0</v>
      </c>
      <c r="F7" s="4">
        <f t="shared" ref="F7" si="0">SUM(D7:E7)</f>
        <v>3446.5625</v>
      </c>
      <c r="G7" s="5">
        <f>SUM(G16,G19,G22,G25,G28)</f>
        <v>110290</v>
      </c>
      <c r="H7" s="9">
        <f t="shared" ref="H7" si="1">F7/C7</f>
        <v>9.8473214285714281</v>
      </c>
      <c r="I7" s="11">
        <f t="shared" ref="I7:I8" si="2">G7/C7</f>
        <v>315.1142857142857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66</v>
      </c>
      <c r="C8" s="4">
        <f>C7</f>
        <v>350</v>
      </c>
      <c r="D8" s="4">
        <f>SUM(D17,D20,D23,D26,D29)</f>
        <v>6256</v>
      </c>
      <c r="E8" s="4">
        <v>0</v>
      </c>
      <c r="F8" s="4">
        <f>SUM(D8)</f>
        <v>6256</v>
      </c>
      <c r="G8" s="5">
        <f>SUM(G17,G20,G23,G26,G29)</f>
        <v>131613</v>
      </c>
      <c r="H8" s="58">
        <f>F8/C8</f>
        <v>17.874285714285715</v>
      </c>
      <c r="I8" s="42">
        <f t="shared" si="2"/>
        <v>376.03714285714284</v>
      </c>
      <c r="J8" s="43">
        <f>I8/H8</f>
        <v>21.037883631713552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1.8151418986308823</v>
      </c>
      <c r="G10" s="62">
        <f t="shared" ref="G10" si="3">G8/G7</f>
        <v>1.1933357512013782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-2809.4375</v>
      </c>
      <c r="G12" s="47">
        <f>G7-G8</f>
        <v>-21323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2005</v>
      </c>
      <c r="B16" s="3">
        <f>$B$7</f>
        <v>66</v>
      </c>
      <c r="C16" s="4">
        <f>$C$7</f>
        <v>350</v>
      </c>
      <c r="D16" s="4">
        <f>G16/$J$7</f>
        <v>221.875</v>
      </c>
      <c r="E16" s="4">
        <v>0</v>
      </c>
      <c r="F16" s="13">
        <f t="shared" ref="F16:F17" si="4">SUM(D16:E16)</f>
        <v>221.875</v>
      </c>
      <c r="G16" s="14">
        <v>7100</v>
      </c>
      <c r="H16" s="13">
        <f t="shared" ref="H16:H17" si="5">F16/C16</f>
        <v>0.6339285714285714</v>
      </c>
      <c r="I16" s="14">
        <f t="shared" ref="I16:I17" si="6">G16/C16</f>
        <v>20.285714285714285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2005</v>
      </c>
      <c r="B17" s="3">
        <f>$B$7</f>
        <v>66</v>
      </c>
      <c r="C17" s="4">
        <f>$C$7</f>
        <v>350</v>
      </c>
      <c r="D17" s="48">
        <v>153</v>
      </c>
      <c r="E17" s="48">
        <v>0</v>
      </c>
      <c r="F17" s="4">
        <f t="shared" si="4"/>
        <v>153</v>
      </c>
      <c r="G17" s="5">
        <v>4957</v>
      </c>
      <c r="H17" s="4">
        <f t="shared" si="5"/>
        <v>0.43714285714285717</v>
      </c>
      <c r="I17" s="5">
        <f t="shared" si="6"/>
        <v>14.162857142857144</v>
      </c>
      <c r="J17" s="44">
        <f>I17/H17</f>
        <v>32.398692810457518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0.68957746478873239</v>
      </c>
      <c r="G18" s="16">
        <f t="shared" ref="G18" si="7">G17/G16</f>
        <v>0.69816901408450704</v>
      </c>
      <c r="H18" s="16"/>
      <c r="I18" s="16"/>
      <c r="J18" s="16"/>
      <c r="K18" s="45"/>
    </row>
    <row r="19" spans="1:11" ht="16.5" thickTop="1" thickBot="1" x14ac:dyDescent="0.25">
      <c r="A19" s="1">
        <f>$A$7</f>
        <v>2005</v>
      </c>
      <c r="B19" s="3">
        <f>$B$7</f>
        <v>66</v>
      </c>
      <c r="C19" s="4">
        <f>$C$7</f>
        <v>350</v>
      </c>
      <c r="D19" s="4">
        <f>G19/$J$7</f>
        <v>940.3125</v>
      </c>
      <c r="E19" s="4">
        <v>0</v>
      </c>
      <c r="F19" s="13">
        <f t="shared" ref="F19:F20" si="8">SUM(D19:E19)</f>
        <v>940.3125</v>
      </c>
      <c r="G19" s="14">
        <v>30090</v>
      </c>
      <c r="H19" s="13">
        <f t="shared" ref="H19:H20" si="9">F19/C19</f>
        <v>2.686607142857143</v>
      </c>
      <c r="I19" s="14">
        <f t="shared" ref="I19:I20" si="10">G19/C19</f>
        <v>85.971428571428575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2005</v>
      </c>
      <c r="B20" s="3">
        <f>$B$7</f>
        <v>66</v>
      </c>
      <c r="C20" s="4">
        <f>$C$7</f>
        <v>350</v>
      </c>
      <c r="D20" s="48">
        <v>1453</v>
      </c>
      <c r="E20" s="48">
        <v>0</v>
      </c>
      <c r="F20" s="4">
        <f t="shared" si="8"/>
        <v>1453</v>
      </c>
      <c r="G20" s="5">
        <v>30244</v>
      </c>
      <c r="H20" s="4">
        <f t="shared" si="9"/>
        <v>4.1514285714285712</v>
      </c>
      <c r="I20" s="5">
        <f t="shared" si="10"/>
        <v>86.411428571428573</v>
      </c>
      <c r="J20" s="44">
        <f>I20/H20</f>
        <v>20.814865794907089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1.5452309737454304</v>
      </c>
      <c r="G21" s="16">
        <f t="shared" ref="G21" si="11">G20/G19</f>
        <v>1.0051179793951479</v>
      </c>
      <c r="H21" s="16"/>
      <c r="I21" s="16"/>
      <c r="J21" s="45"/>
      <c r="K21" s="45"/>
    </row>
    <row r="22" spans="1:11" ht="16.5" thickTop="1" thickBot="1" x14ac:dyDescent="0.25">
      <c r="A22" s="1">
        <f>$A$7</f>
        <v>2005</v>
      </c>
      <c r="B22" s="3">
        <f>$B$7</f>
        <v>66</v>
      </c>
      <c r="C22" s="4">
        <f>$C$7</f>
        <v>350</v>
      </c>
      <c r="D22" s="4">
        <f>G22/$J$7</f>
        <v>1340.625</v>
      </c>
      <c r="E22" s="4">
        <v>0</v>
      </c>
      <c r="F22" s="13">
        <f>SUM(D22:E22)</f>
        <v>1340.625</v>
      </c>
      <c r="G22" s="14">
        <v>42900</v>
      </c>
      <c r="H22" s="13">
        <f>F22/C22</f>
        <v>3.8303571428571428</v>
      </c>
      <c r="I22" s="14">
        <f>G22/C22</f>
        <v>122.57142857142857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2005</v>
      </c>
      <c r="B23" s="3">
        <f>$B$7</f>
        <v>66</v>
      </c>
      <c r="C23" s="4">
        <f>$C$7</f>
        <v>350</v>
      </c>
      <c r="D23" s="48">
        <v>3547</v>
      </c>
      <c r="E23" s="48">
        <v>0</v>
      </c>
      <c r="F23" s="4">
        <f>SUM(D23:E23)</f>
        <v>3547</v>
      </c>
      <c r="G23" s="5">
        <v>71009</v>
      </c>
      <c r="H23" s="4">
        <f>F23/C23</f>
        <v>10.134285714285713</v>
      </c>
      <c r="I23" s="5">
        <f>G23/C23</f>
        <v>202.88285714285715</v>
      </c>
      <c r="J23" s="44">
        <f>I23/H23</f>
        <v>20.019453058923034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2.6457808857808858</v>
      </c>
      <c r="G24" s="16">
        <f t="shared" ref="G24" si="12">G23/G22</f>
        <v>1.6552214452214453</v>
      </c>
      <c r="H24" s="16"/>
      <c r="I24" s="16"/>
      <c r="J24" s="17"/>
      <c r="K24" s="17"/>
    </row>
    <row r="25" spans="1:11" ht="16.5" thickTop="1" thickBot="1" x14ac:dyDescent="0.25">
      <c r="A25" s="1">
        <f>$A$7</f>
        <v>2005</v>
      </c>
      <c r="B25" s="3">
        <f>$B$7</f>
        <v>66</v>
      </c>
      <c r="C25" s="4">
        <v>329</v>
      </c>
      <c r="D25" s="4">
        <f>G25/$J$7</f>
        <v>334.375</v>
      </c>
      <c r="E25" s="4">
        <v>0</v>
      </c>
      <c r="F25" s="13">
        <f>SUM(D25:E25)</f>
        <v>334.375</v>
      </c>
      <c r="G25" s="14">
        <v>10700</v>
      </c>
      <c r="H25" s="13">
        <f>F25/C25</f>
        <v>1.016337386018237</v>
      </c>
      <c r="I25" s="14">
        <f>G25/C25</f>
        <v>32.522796352583583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2005</v>
      </c>
      <c r="B26" s="3">
        <f>$B$7</f>
        <v>66</v>
      </c>
      <c r="C26" s="4">
        <f>C25</f>
        <v>329</v>
      </c>
      <c r="D26" s="48">
        <v>505</v>
      </c>
      <c r="E26" s="48">
        <v>0</v>
      </c>
      <c r="F26" s="4">
        <f>SUM(D26:E26)</f>
        <v>505</v>
      </c>
      <c r="G26" s="5">
        <v>13498</v>
      </c>
      <c r="H26" s="4">
        <f>F26/C26</f>
        <v>1.5349544072948329</v>
      </c>
      <c r="I26" s="5">
        <f>G26/C26</f>
        <v>41.027355623100306</v>
      </c>
      <c r="J26" s="44">
        <f>I26/H26</f>
        <v>26.728712871287129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1.5102803738317756</v>
      </c>
      <c r="G27" s="16">
        <f t="shared" ref="G27" si="13">G26/G25</f>
        <v>1.2614953271028038</v>
      </c>
      <c r="H27" s="16"/>
      <c r="I27" s="16"/>
      <c r="J27" s="17"/>
      <c r="K27" s="17"/>
    </row>
    <row r="28" spans="1:11" ht="16.5" thickTop="1" thickBot="1" x14ac:dyDescent="0.25">
      <c r="A28" s="1">
        <f>$A$7</f>
        <v>2005</v>
      </c>
      <c r="B28" s="3">
        <f>$B$7</f>
        <v>66</v>
      </c>
      <c r="C28" s="4">
        <f>$C$7</f>
        <v>350</v>
      </c>
      <c r="D28" s="4">
        <f>G28/$J$7</f>
        <v>609.375</v>
      </c>
      <c r="E28" s="4">
        <v>0</v>
      </c>
      <c r="F28" s="13">
        <f>SUM(D28:E28)</f>
        <v>609.375</v>
      </c>
      <c r="G28" s="14">
        <v>19500</v>
      </c>
      <c r="H28" s="13">
        <f>F28/C28</f>
        <v>1.7410714285714286</v>
      </c>
      <c r="I28" s="14">
        <f>G28/C28</f>
        <v>55.714285714285715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2005</v>
      </c>
      <c r="B29" s="3">
        <f>$B$7</f>
        <v>66</v>
      </c>
      <c r="C29" s="4">
        <f>$C$7</f>
        <v>350</v>
      </c>
      <c r="D29" s="48">
        <v>598</v>
      </c>
      <c r="E29" s="48">
        <v>0</v>
      </c>
      <c r="F29" s="4">
        <f>SUM(D29:E29)</f>
        <v>598</v>
      </c>
      <c r="G29" s="5">
        <v>11905</v>
      </c>
      <c r="H29" s="4">
        <f>F29/C29</f>
        <v>1.7085714285714286</v>
      </c>
      <c r="I29" s="5">
        <f>G29/C29</f>
        <v>34.014285714285712</v>
      </c>
      <c r="J29" s="44">
        <f>I29/H29</f>
        <v>19.908026755852841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0.98133333333333328</v>
      </c>
      <c r="G30" s="16">
        <f t="shared" ref="G30" si="14">G29/G28</f>
        <v>0.61051282051282052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2005</v>
      </c>
      <c r="B33" s="3">
        <f>$B$7</f>
        <v>66</v>
      </c>
      <c r="C33" s="4">
        <f>$C$7</f>
        <v>350</v>
      </c>
      <c r="D33" s="13">
        <f>SUM(D28,D22,D19)</f>
        <v>2890.3125</v>
      </c>
      <c r="E33" s="13">
        <v>0</v>
      </c>
      <c r="F33" s="13">
        <f t="shared" ref="F33" si="15">SUM(D33:E33)</f>
        <v>2890.3125</v>
      </c>
      <c r="G33" s="14">
        <f>SUM(G28,G22,G19)</f>
        <v>92490</v>
      </c>
      <c r="H33" s="34">
        <f t="shared" ref="H33:H34" si="16">F33/C33</f>
        <v>8.2580357142857146</v>
      </c>
      <c r="I33" s="39">
        <f t="shared" ref="I33:I34" si="17">G33/C33</f>
        <v>264.25714285714287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2005</v>
      </c>
      <c r="B34" s="3">
        <f>$B$7</f>
        <v>66</v>
      </c>
      <c r="C34" s="4">
        <f>$C$7</f>
        <v>350</v>
      </c>
      <c r="D34" s="4">
        <f>SUM(D29,D23,D20)</f>
        <v>5598</v>
      </c>
      <c r="E34" s="49">
        <v>0</v>
      </c>
      <c r="F34" s="4">
        <f>SUM(D34)</f>
        <v>5598</v>
      </c>
      <c r="G34" s="50">
        <f>SUM(G29,G23,G20)</f>
        <v>113158</v>
      </c>
      <c r="H34" s="41">
        <f t="shared" si="16"/>
        <v>15.994285714285715</v>
      </c>
      <c r="I34" s="42">
        <f t="shared" si="17"/>
        <v>323.30857142857144</v>
      </c>
      <c r="J34" s="43">
        <f>I34/H34</f>
        <v>20.214005001786351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1.2234619958914477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15.994285714285715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1.5349544072948329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17.874285714285715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46"/>
  <sheetViews>
    <sheetView view="pageBreakPreview" topLeftCell="A7" zoomScaleNormal="120" zoomScaleSheetLayoutView="100" workbookViewId="0">
      <selection activeCell="G42" sqref="G42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2013</v>
      </c>
      <c r="B7" s="3">
        <v>319</v>
      </c>
      <c r="C7" s="4">
        <v>1788</v>
      </c>
      <c r="D7" s="4">
        <f>G7/$J$7</f>
        <v>13954.90625</v>
      </c>
      <c r="E7" s="4">
        <v>0</v>
      </c>
      <c r="F7" s="4">
        <f t="shared" ref="F7" si="0">SUM(D7:E7)</f>
        <v>13954.90625</v>
      </c>
      <c r="G7" s="5">
        <f>SUM(G16,G19,G22,G25,G28)</f>
        <v>446557</v>
      </c>
      <c r="H7" s="9">
        <f t="shared" ref="H7" si="1">F7/C7</f>
        <v>7.804757410514541</v>
      </c>
      <c r="I7" s="11">
        <f t="shared" ref="I7:I8" si="2">G7/C7</f>
        <v>249.75223713646531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2013</v>
      </c>
      <c r="B8" s="3"/>
      <c r="C8" s="4">
        <f>C7</f>
        <v>1788</v>
      </c>
      <c r="D8" s="4">
        <f>SUM(D17,D20,D23,D26,D29)</f>
        <v>28661</v>
      </c>
      <c r="E8" s="4">
        <v>0</v>
      </c>
      <c r="F8" s="4">
        <f>SUM(D8)</f>
        <v>28661</v>
      </c>
      <c r="G8" s="5">
        <f>SUM(G17,G20,G23,G26,G29)</f>
        <v>568552</v>
      </c>
      <c r="H8" s="58">
        <f>F8/C8</f>
        <v>16.02964205816555</v>
      </c>
      <c r="I8" s="42">
        <f t="shared" si="2"/>
        <v>317.9821029082774</v>
      </c>
      <c r="J8" s="43">
        <f>I8/H8</f>
        <v>19.837130595582845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2.0538296342908073</v>
      </c>
      <c r="G10" s="62">
        <f t="shared" ref="G10" si="3">G8/G7</f>
        <v>1.2731902086407783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-14706.09375</v>
      </c>
      <c r="G12" s="47">
        <f>G7-G8</f>
        <v>-121995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2013</v>
      </c>
      <c r="B16" s="3">
        <f>$B$7</f>
        <v>319</v>
      </c>
      <c r="C16" s="4">
        <f>$C$7</f>
        <v>1788</v>
      </c>
      <c r="D16" s="4">
        <f>G16/$J$7</f>
        <v>937.5</v>
      </c>
      <c r="E16" s="4">
        <v>0</v>
      </c>
      <c r="F16" s="13">
        <f t="shared" ref="F16:F17" si="4">SUM(D16:E16)</f>
        <v>937.5</v>
      </c>
      <c r="G16" s="14">
        <v>30000</v>
      </c>
      <c r="H16" s="13">
        <f t="shared" ref="H16:H17" si="5">F16/C16</f>
        <v>0.52432885906040272</v>
      </c>
      <c r="I16" s="14">
        <f t="shared" ref="I16:I17" si="6">G16/C16</f>
        <v>16.778523489932887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2013</v>
      </c>
      <c r="B17" s="3">
        <f>$B$7</f>
        <v>319</v>
      </c>
      <c r="C17" s="4">
        <f>$C$7</f>
        <v>1788</v>
      </c>
      <c r="D17" s="48">
        <v>523</v>
      </c>
      <c r="E17" s="48">
        <v>0</v>
      </c>
      <c r="F17" s="4">
        <f t="shared" si="4"/>
        <v>523</v>
      </c>
      <c r="G17" s="5">
        <v>17441</v>
      </c>
      <c r="H17" s="4">
        <f t="shared" si="5"/>
        <v>0.29250559284116329</v>
      </c>
      <c r="I17" s="5">
        <f t="shared" si="6"/>
        <v>9.7544742729306488</v>
      </c>
      <c r="J17" s="44">
        <f>I17/H17</f>
        <v>33.347992351816444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0.55786666666666662</v>
      </c>
      <c r="G18" s="16">
        <f t="shared" ref="G18" si="7">G17/G16</f>
        <v>0.5813666666666667</v>
      </c>
      <c r="H18" s="16"/>
      <c r="I18" s="16"/>
      <c r="J18" s="16"/>
      <c r="K18" s="45"/>
    </row>
    <row r="19" spans="1:11" ht="16.5" thickTop="1" thickBot="1" x14ac:dyDescent="0.25">
      <c r="A19" s="1">
        <f>$A$7</f>
        <v>2013</v>
      </c>
      <c r="B19" s="3">
        <f>$B$7</f>
        <v>319</v>
      </c>
      <c r="C19" s="4">
        <f>$C$7</f>
        <v>1788</v>
      </c>
      <c r="D19" s="4">
        <f>G19/$J$7</f>
        <v>2972.71875</v>
      </c>
      <c r="E19" s="4">
        <v>0</v>
      </c>
      <c r="F19" s="13">
        <f t="shared" ref="F19:F20" si="8">SUM(D19:E19)</f>
        <v>2972.71875</v>
      </c>
      <c r="G19" s="14">
        <v>95127</v>
      </c>
      <c r="H19" s="13">
        <f t="shared" ref="H19:H20" si="9">F19/C19</f>
        <v>1.6625943791946309</v>
      </c>
      <c r="I19" s="14">
        <f t="shared" ref="I19:I20" si="10">G19/C19</f>
        <v>53.20302013422819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2013</v>
      </c>
      <c r="B20" s="3">
        <f>$B$7</f>
        <v>319</v>
      </c>
      <c r="C20" s="4">
        <f>$C$7</f>
        <v>1788</v>
      </c>
      <c r="D20" s="48">
        <v>4871</v>
      </c>
      <c r="E20" s="48">
        <v>0</v>
      </c>
      <c r="F20" s="4">
        <f t="shared" si="8"/>
        <v>4871</v>
      </c>
      <c r="G20" s="5">
        <v>103879</v>
      </c>
      <c r="H20" s="4">
        <f t="shared" si="9"/>
        <v>2.7242729306487696</v>
      </c>
      <c r="I20" s="5">
        <f t="shared" si="10"/>
        <v>58.097874720357943</v>
      </c>
      <c r="J20" s="44">
        <f>I20/H20</f>
        <v>21.3260110860193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1.6385673888591041</v>
      </c>
      <c r="G21" s="16">
        <f t="shared" ref="G21" si="11">G20/G19</f>
        <v>1.0920033218749672</v>
      </c>
      <c r="H21" s="16"/>
      <c r="I21" s="16"/>
      <c r="J21" s="45"/>
      <c r="K21" s="45"/>
    </row>
    <row r="22" spans="1:11" ht="16.5" thickTop="1" thickBot="1" x14ac:dyDescent="0.25">
      <c r="A22" s="1">
        <f>$A$7</f>
        <v>2013</v>
      </c>
      <c r="B22" s="3">
        <f>$B$7</f>
        <v>319</v>
      </c>
      <c r="C22" s="4">
        <f>$C$7</f>
        <v>1788</v>
      </c>
      <c r="D22" s="4">
        <f>G22/$J$7</f>
        <v>6534.6875</v>
      </c>
      <c r="E22" s="4">
        <v>0</v>
      </c>
      <c r="F22" s="13">
        <f>SUM(D22:E22)</f>
        <v>6534.6875</v>
      </c>
      <c r="G22" s="14">
        <v>209110</v>
      </c>
      <c r="H22" s="13">
        <f>F22/C22</f>
        <v>3.6547469239373602</v>
      </c>
      <c r="I22" s="14">
        <f>G22/C22</f>
        <v>116.95190156599553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2013</v>
      </c>
      <c r="B23" s="3">
        <f>$B$7</f>
        <v>319</v>
      </c>
      <c r="C23" s="4">
        <f>$C$7</f>
        <v>1788</v>
      </c>
      <c r="D23" s="48">
        <v>13982</v>
      </c>
      <c r="E23" s="48">
        <v>0</v>
      </c>
      <c r="F23" s="4">
        <f>SUM(D23:E23)</f>
        <v>13982</v>
      </c>
      <c r="G23" s="5">
        <v>275958</v>
      </c>
      <c r="H23" s="4">
        <f>F23/C23</f>
        <v>7.8199105145413874</v>
      </c>
      <c r="I23" s="5">
        <f>G23/C23</f>
        <v>154.33892617449663</v>
      </c>
      <c r="J23" s="44">
        <f>I23/H23</f>
        <v>19.736661421828064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2.1396585529147338</v>
      </c>
      <c r="G24" s="16">
        <v>0</v>
      </c>
      <c r="H24" s="16"/>
      <c r="I24" s="16"/>
      <c r="J24" s="17"/>
      <c r="K24" s="17"/>
    </row>
    <row r="25" spans="1:11" ht="16.5" thickTop="1" thickBot="1" x14ac:dyDescent="0.25">
      <c r="A25" s="1">
        <f>$A$7</f>
        <v>2013</v>
      </c>
      <c r="B25" s="3">
        <f>$B$7</f>
        <v>319</v>
      </c>
      <c r="C25" s="4">
        <v>1786</v>
      </c>
      <c r="D25" s="4">
        <f>G25/$J$7</f>
        <v>1575.625</v>
      </c>
      <c r="E25" s="4">
        <v>0</v>
      </c>
      <c r="F25" s="13">
        <f>SUM(D25:E25)</f>
        <v>1575.625</v>
      </c>
      <c r="G25" s="14">
        <v>50420</v>
      </c>
      <c r="H25" s="13">
        <f>F25/C25</f>
        <v>0.88220884658454646</v>
      </c>
      <c r="I25" s="14">
        <f>G25/C25</f>
        <v>28.230683090705487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2013</v>
      </c>
      <c r="B26" s="3">
        <f>$B$7</f>
        <v>319</v>
      </c>
      <c r="C26" s="4">
        <f>C25</f>
        <v>1786</v>
      </c>
      <c r="D26" s="48">
        <v>3749</v>
      </c>
      <c r="E26" s="48">
        <v>0</v>
      </c>
      <c r="F26" s="4">
        <f>SUM(D26:E26)</f>
        <v>3749</v>
      </c>
      <c r="G26" s="5">
        <v>72850</v>
      </c>
      <c r="H26" s="4">
        <f>F26/C26</f>
        <v>2.0991041433370659</v>
      </c>
      <c r="I26" s="5">
        <f>G26/C26</f>
        <v>40.789473684210527</v>
      </c>
      <c r="J26" s="44">
        <f>I26/H26</f>
        <v>19.431848492931451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2.3793732645775485</v>
      </c>
      <c r="G27" s="16">
        <f t="shared" ref="G27" si="12">G26/G25</f>
        <v>1.4448631495438318</v>
      </c>
      <c r="H27" s="16"/>
      <c r="I27" s="16"/>
      <c r="J27" s="17"/>
      <c r="K27" s="17"/>
    </row>
    <row r="28" spans="1:11" ht="16.5" thickTop="1" thickBot="1" x14ac:dyDescent="0.25">
      <c r="A28" s="1">
        <f>$A$7</f>
        <v>2013</v>
      </c>
      <c r="B28" s="3">
        <f>$B$7</f>
        <v>319</v>
      </c>
      <c r="C28" s="4">
        <f>$C$7</f>
        <v>1788</v>
      </c>
      <c r="D28" s="4">
        <f>G28/$J$7</f>
        <v>1934.375</v>
      </c>
      <c r="E28" s="4">
        <v>0</v>
      </c>
      <c r="F28" s="13">
        <f>SUM(D28:E28)</f>
        <v>1934.375</v>
      </c>
      <c r="G28" s="14">
        <v>61900</v>
      </c>
      <c r="H28" s="13">
        <f>F28/C28</f>
        <v>1.0818652125279642</v>
      </c>
      <c r="I28" s="14">
        <f>G28/C28</f>
        <v>34.619686800894854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2013</v>
      </c>
      <c r="B29" s="3">
        <f>$B$7</f>
        <v>319</v>
      </c>
      <c r="C29" s="4">
        <f>$C$7</f>
        <v>1788</v>
      </c>
      <c r="D29" s="48">
        <v>5536</v>
      </c>
      <c r="E29" s="48">
        <v>0</v>
      </c>
      <c r="F29" s="4">
        <f>SUM(D29:E29)</f>
        <v>5536</v>
      </c>
      <c r="G29" s="5">
        <v>98424</v>
      </c>
      <c r="H29" s="4">
        <f>F29/C29</f>
        <v>3.0961968680089487</v>
      </c>
      <c r="I29" s="5">
        <f>G29/C29</f>
        <v>55.04697986577181</v>
      </c>
      <c r="J29" s="44">
        <f>I29/H29</f>
        <v>17.778901734104046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2.8619063004846526</v>
      </c>
      <c r="G30" s="16">
        <f t="shared" ref="G30" si="13">G29/G28</f>
        <v>1.590048465266559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2013</v>
      </c>
      <c r="B33" s="3">
        <f>$B$7</f>
        <v>319</v>
      </c>
      <c r="C33" s="4">
        <f>$C$7</f>
        <v>1788</v>
      </c>
      <c r="D33" s="13">
        <f>SUM(D28,D22,D19)</f>
        <v>11441.78125</v>
      </c>
      <c r="E33" s="13">
        <v>0</v>
      </c>
      <c r="F33" s="13">
        <f t="shared" ref="F33" si="14">SUM(D33:E33)</f>
        <v>11441.78125</v>
      </c>
      <c r="G33" s="14">
        <f>SUM(G28,G22,G19)</f>
        <v>366137</v>
      </c>
      <c r="H33" s="34">
        <f t="shared" ref="H33:H34" si="15">F33/C33</f>
        <v>6.3992065156599551</v>
      </c>
      <c r="I33" s="39">
        <f t="shared" ref="I33:I34" si="16">G33/C33</f>
        <v>204.77460850111856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2013</v>
      </c>
      <c r="B34" s="3">
        <f>$B$7</f>
        <v>319</v>
      </c>
      <c r="C34" s="4">
        <f>$C$7</f>
        <v>1788</v>
      </c>
      <c r="D34" s="4">
        <f>SUM(D29,D23,D20)</f>
        <v>24389</v>
      </c>
      <c r="E34" s="49">
        <v>0</v>
      </c>
      <c r="F34" s="4">
        <f>SUM(D34)</f>
        <v>24389</v>
      </c>
      <c r="G34" s="50">
        <f>SUM(G29,G23,G20)</f>
        <v>478261</v>
      </c>
      <c r="H34" s="41">
        <f t="shared" si="15"/>
        <v>13.640380313199104</v>
      </c>
      <c r="I34" s="42">
        <f t="shared" si="16"/>
        <v>267.48378076062642</v>
      </c>
      <c r="J34" s="43">
        <f>I34/H34</f>
        <v>19.609701094755835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1.306235097791264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13.640380313199104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2.0991041433370659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16.02964205816555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K46"/>
  <sheetViews>
    <sheetView view="pageBreakPreview" zoomScaleNormal="120" zoomScaleSheetLayoutView="100" workbookViewId="0">
      <selection activeCell="G46" sqref="G46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2008</v>
      </c>
      <c r="B7" s="3">
        <v>258</v>
      </c>
      <c r="C7" s="4">
        <v>1487</v>
      </c>
      <c r="D7" s="4">
        <f>G7/$J$7</f>
        <v>18239.6875</v>
      </c>
      <c r="E7" s="4">
        <v>0</v>
      </c>
      <c r="F7" s="4">
        <f t="shared" ref="F7" si="0">SUM(D7:E7)</f>
        <v>18239.6875</v>
      </c>
      <c r="G7" s="5">
        <f>SUM(G16,G19,G22,G25,G28)</f>
        <v>583670</v>
      </c>
      <c r="H7" s="9">
        <f t="shared" ref="H7" si="1">F7/C7</f>
        <v>12.266097848016139</v>
      </c>
      <c r="I7" s="11">
        <f t="shared" ref="I7:I8" si="2">G7/C7</f>
        <v>392.51513113651646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258</v>
      </c>
      <c r="C8" s="4">
        <f>C7</f>
        <v>1487</v>
      </c>
      <c r="D8" s="4">
        <f>SUM(D17,D20,D23,D26,D29)</f>
        <v>30555</v>
      </c>
      <c r="E8" s="4">
        <v>0</v>
      </c>
      <c r="F8" s="4">
        <f>SUM(D8)</f>
        <v>30555</v>
      </c>
      <c r="G8" s="5">
        <f>SUM(G17,G20,G23,G26,G29)</f>
        <v>621783</v>
      </c>
      <c r="H8" s="58">
        <f>F8/C8</f>
        <v>20.548083389374579</v>
      </c>
      <c r="I8" s="42">
        <f t="shared" si="2"/>
        <v>418.14593140551443</v>
      </c>
      <c r="J8" s="43">
        <f>I8/H8</f>
        <v>20.34963181148748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1.6751931742251616</v>
      </c>
      <c r="G10" s="62">
        <f t="shared" ref="G10" si="3">G8/G7</f>
        <v>1.0652988846437199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-12315.3125</v>
      </c>
      <c r="G12" s="47">
        <f>G7-G8</f>
        <v>-38113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2008</v>
      </c>
      <c r="B16" s="3">
        <f>$B$7</f>
        <v>258</v>
      </c>
      <c r="C16" s="4">
        <f>$C$7</f>
        <v>1487</v>
      </c>
      <c r="D16" s="4">
        <f>G16/$J$7</f>
        <v>733.59375</v>
      </c>
      <c r="E16" s="4">
        <v>0</v>
      </c>
      <c r="F16" s="13">
        <f t="shared" ref="F16:F17" si="4">SUM(D16:E16)</f>
        <v>733.59375</v>
      </c>
      <c r="G16" s="14">
        <v>23475</v>
      </c>
      <c r="H16" s="13">
        <f t="shared" ref="H16:H17" si="5">F16/C16</f>
        <v>0.49333809683927371</v>
      </c>
      <c r="I16" s="14">
        <f t="shared" ref="I16:I17" si="6">G16/C16</f>
        <v>15.786819098856759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2008</v>
      </c>
      <c r="B17" s="3">
        <f>$B$7</f>
        <v>258</v>
      </c>
      <c r="C17" s="4">
        <f>$C$7</f>
        <v>1487</v>
      </c>
      <c r="D17" s="48">
        <v>690</v>
      </c>
      <c r="E17" s="48">
        <v>0</v>
      </c>
      <c r="F17" s="4">
        <f t="shared" si="4"/>
        <v>690</v>
      </c>
      <c r="G17" s="5">
        <v>23905</v>
      </c>
      <c r="H17" s="4">
        <f t="shared" si="5"/>
        <v>0.46402151983860124</v>
      </c>
      <c r="I17" s="5">
        <f t="shared" si="6"/>
        <v>16.075991930060525</v>
      </c>
      <c r="J17" s="44">
        <f>I17/H17</f>
        <v>34.644927536231883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0.94057507987220446</v>
      </c>
      <c r="G18" s="16">
        <f t="shared" ref="G18" si="7">G17/G16</f>
        <v>1.0183173588924388</v>
      </c>
      <c r="H18" s="16"/>
      <c r="I18" s="16"/>
      <c r="J18" s="16"/>
      <c r="K18" s="45"/>
    </row>
    <row r="19" spans="1:11" ht="16.5" thickTop="1" thickBot="1" x14ac:dyDescent="0.25">
      <c r="A19" s="1">
        <f>$A$7</f>
        <v>2008</v>
      </c>
      <c r="B19" s="3">
        <f>$B$7</f>
        <v>258</v>
      </c>
      <c r="C19" s="4">
        <f>$C$7</f>
        <v>1487</v>
      </c>
      <c r="D19" s="4">
        <f>G19/$J$7</f>
        <v>4451.09375</v>
      </c>
      <c r="E19" s="4">
        <v>0</v>
      </c>
      <c r="F19" s="13">
        <f t="shared" ref="F19:F20" si="8">SUM(D19:E19)</f>
        <v>4451.09375</v>
      </c>
      <c r="G19" s="14">
        <v>142435</v>
      </c>
      <c r="H19" s="13">
        <f t="shared" ref="H19:H20" si="9">F19/C19</f>
        <v>2.9933380968392735</v>
      </c>
      <c r="I19" s="14">
        <f t="shared" ref="I19:I20" si="10">G19/C19</f>
        <v>95.786819098856753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2008</v>
      </c>
      <c r="B20" s="3">
        <f>$B$7</f>
        <v>258</v>
      </c>
      <c r="C20" s="4">
        <f>$C$7</f>
        <v>1487</v>
      </c>
      <c r="D20" s="48">
        <v>3900</v>
      </c>
      <c r="E20" s="48">
        <v>0</v>
      </c>
      <c r="F20" s="4">
        <f t="shared" si="8"/>
        <v>3900</v>
      </c>
      <c r="G20" s="5">
        <v>90038</v>
      </c>
      <c r="H20" s="4">
        <f t="shared" si="9"/>
        <v>2.6227303295225286</v>
      </c>
      <c r="I20" s="5">
        <f t="shared" si="10"/>
        <v>60.550100874243441</v>
      </c>
      <c r="J20" s="44">
        <f>I20/H20</f>
        <v>23.086666666666666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0.87618913890546568</v>
      </c>
      <c r="G21" s="16">
        <f t="shared" ref="G21" si="11">G20/G19</f>
        <v>0.63213395583950571</v>
      </c>
      <c r="H21" s="16"/>
      <c r="I21" s="16"/>
      <c r="J21" s="45"/>
      <c r="K21" s="45"/>
    </row>
    <row r="22" spans="1:11" ht="16.5" thickTop="1" thickBot="1" x14ac:dyDescent="0.25">
      <c r="A22" s="1">
        <f>$A$7</f>
        <v>2008</v>
      </c>
      <c r="B22" s="3">
        <f>$B$7</f>
        <v>258</v>
      </c>
      <c r="C22" s="4">
        <f>$C$7</f>
        <v>1487</v>
      </c>
      <c r="D22" s="4">
        <f>G22/$J$7</f>
        <v>8430</v>
      </c>
      <c r="E22" s="4">
        <v>0</v>
      </c>
      <c r="F22" s="13">
        <f>SUM(D22:E22)</f>
        <v>8430</v>
      </c>
      <c r="G22" s="14">
        <v>269760</v>
      </c>
      <c r="H22" s="13">
        <f>F22/C22</f>
        <v>5.6691324815063888</v>
      </c>
      <c r="I22" s="14">
        <f>G22/C22</f>
        <v>181.41223940820444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2008</v>
      </c>
      <c r="B23" s="3">
        <f>$B$7</f>
        <v>258</v>
      </c>
      <c r="C23" s="4">
        <f>$C$7</f>
        <v>1487</v>
      </c>
      <c r="D23" s="48">
        <v>15345</v>
      </c>
      <c r="E23" s="48">
        <v>0</v>
      </c>
      <c r="F23" s="4">
        <f>SUM(D23:E23)</f>
        <v>15345</v>
      </c>
      <c r="G23" s="5">
        <v>303122</v>
      </c>
      <c r="H23" s="4">
        <f>F23/C23</f>
        <v>10.319435104236717</v>
      </c>
      <c r="I23" s="5">
        <f>G23/C23</f>
        <v>203.84801613987895</v>
      </c>
      <c r="J23" s="44">
        <f>I23/H23</f>
        <v>19.753796024763769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1.8202846975088969</v>
      </c>
      <c r="G24" s="16">
        <f t="shared" ref="G24" si="12">G23/G22</f>
        <v>1.1236728944246739</v>
      </c>
      <c r="H24" s="16"/>
      <c r="I24" s="16"/>
      <c r="J24" s="17"/>
      <c r="K24" s="17"/>
    </row>
    <row r="25" spans="1:11" ht="16.5" thickTop="1" thickBot="1" x14ac:dyDescent="0.25">
      <c r="A25" s="1">
        <f>$A$7</f>
        <v>2008</v>
      </c>
      <c r="B25" s="3">
        <f>$B$7</f>
        <v>258</v>
      </c>
      <c r="C25" s="4">
        <v>1455</v>
      </c>
      <c r="D25" s="4">
        <f>G25/$J$7</f>
        <v>1544.6875</v>
      </c>
      <c r="E25" s="4">
        <v>0</v>
      </c>
      <c r="F25" s="13">
        <f>SUM(D25:E25)</f>
        <v>1544.6875</v>
      </c>
      <c r="G25" s="14">
        <v>49430</v>
      </c>
      <c r="H25" s="13">
        <f>F25/C25</f>
        <v>1.0616408934707904</v>
      </c>
      <c r="I25" s="14">
        <f>G25/C25</f>
        <v>33.972508591065292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2008</v>
      </c>
      <c r="B26" s="3">
        <f>$B$7</f>
        <v>258</v>
      </c>
      <c r="C26" s="4">
        <f>C25</f>
        <v>1455</v>
      </c>
      <c r="D26" s="48">
        <v>4237</v>
      </c>
      <c r="E26" s="48">
        <v>0</v>
      </c>
      <c r="F26" s="4">
        <f>SUM(D26:E26)</f>
        <v>4237</v>
      </c>
      <c r="G26" s="5">
        <v>76369</v>
      </c>
      <c r="H26" s="4">
        <f>F26/C26</f>
        <v>2.9120274914089346</v>
      </c>
      <c r="I26" s="5">
        <f>G26/C26</f>
        <v>52.487285223367699</v>
      </c>
      <c r="J26" s="44">
        <f>I26/H26</f>
        <v>18.02430965305641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2.7429496257333601</v>
      </c>
      <c r="G27" s="16">
        <f t="shared" ref="G27" si="13">G26/G25</f>
        <v>1.5449929192797895</v>
      </c>
      <c r="H27" s="16"/>
      <c r="I27" s="16"/>
      <c r="J27" s="17"/>
      <c r="K27" s="17"/>
    </row>
    <row r="28" spans="1:11" ht="16.5" thickTop="1" thickBot="1" x14ac:dyDescent="0.25">
      <c r="A28" s="1">
        <f>$A$7</f>
        <v>2008</v>
      </c>
      <c r="B28" s="3">
        <f>$B$7</f>
        <v>258</v>
      </c>
      <c r="C28" s="4">
        <f>$C$7</f>
        <v>1487</v>
      </c>
      <c r="D28" s="4">
        <f>G28/$J$7</f>
        <v>3080.3125</v>
      </c>
      <c r="E28" s="4">
        <v>0</v>
      </c>
      <c r="F28" s="13">
        <f>SUM(D28:E28)</f>
        <v>3080.3125</v>
      </c>
      <c r="G28" s="14">
        <v>98570</v>
      </c>
      <c r="H28" s="13">
        <f>F28/C28</f>
        <v>2.0714946200403497</v>
      </c>
      <c r="I28" s="14">
        <f>G28/C28</f>
        <v>66.28782784129119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2008</v>
      </c>
      <c r="B29" s="3">
        <f>$B$7</f>
        <v>258</v>
      </c>
      <c r="C29" s="4">
        <f>$C$7</f>
        <v>1487</v>
      </c>
      <c r="D29" s="48">
        <v>6383</v>
      </c>
      <c r="E29" s="48">
        <v>0</v>
      </c>
      <c r="F29" s="4">
        <f>SUM(D29:E29)</f>
        <v>6383</v>
      </c>
      <c r="G29" s="5">
        <v>128349</v>
      </c>
      <c r="H29" s="4">
        <f>F29/C29</f>
        <v>4.2925353059852052</v>
      </c>
      <c r="I29" s="5">
        <f>G29/C29</f>
        <v>86.314055144586419</v>
      </c>
      <c r="J29" s="44">
        <f>I29/H29</f>
        <v>20.107942973523421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2.0721923506137769</v>
      </c>
      <c r="G30" s="16">
        <f t="shared" ref="G30" si="14">G29/G28</f>
        <v>1.3021101755097899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2008</v>
      </c>
      <c r="B33" s="3">
        <f>$B$7</f>
        <v>258</v>
      </c>
      <c r="C33" s="4">
        <f>$C$7</f>
        <v>1487</v>
      </c>
      <c r="D33" s="13">
        <f>SUM(D28,D22,D19)</f>
        <v>15961.40625</v>
      </c>
      <c r="E33" s="13">
        <v>0</v>
      </c>
      <c r="F33" s="13">
        <f t="shared" ref="F33" si="15">SUM(D33:E33)</f>
        <v>15961.40625</v>
      </c>
      <c r="G33" s="14">
        <f>SUM(G28,G22,G19)</f>
        <v>510765</v>
      </c>
      <c r="H33" s="34">
        <f t="shared" ref="H33:H34" si="16">F33/C33</f>
        <v>10.733965198386013</v>
      </c>
      <c r="I33" s="39">
        <f t="shared" ref="I33:I34" si="17">G33/C33</f>
        <v>343.48688634835241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2008</v>
      </c>
      <c r="B34" s="3">
        <f>$B$7</f>
        <v>258</v>
      </c>
      <c r="C34" s="4">
        <f>$C$7</f>
        <v>1487</v>
      </c>
      <c r="D34" s="4">
        <f>SUM(D29,D23,D20)</f>
        <v>25628</v>
      </c>
      <c r="E34" s="49">
        <v>0</v>
      </c>
      <c r="F34" s="4">
        <f>SUM(D34)</f>
        <v>25628</v>
      </c>
      <c r="G34" s="50">
        <f>SUM(G29,G23,G20)</f>
        <v>521509</v>
      </c>
      <c r="H34" s="41">
        <f t="shared" si="16"/>
        <v>17.234700739744451</v>
      </c>
      <c r="I34" s="42">
        <f t="shared" si="17"/>
        <v>350.71217215870882</v>
      </c>
      <c r="J34" s="43">
        <f>I34/H34</f>
        <v>20.349188387700956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1.0210351139956733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17.234700739744451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2.9120274914089346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20.548083389374579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K46"/>
  <sheetViews>
    <sheetView view="pageBreakPreview" zoomScaleNormal="120" zoomScaleSheetLayoutView="100" workbookViewId="0">
      <selection activeCell="D26" sqref="D26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2009</v>
      </c>
      <c r="B7" s="3">
        <v>56</v>
      </c>
      <c r="C7" s="4">
        <v>338</v>
      </c>
      <c r="D7" s="4">
        <f>G7/$J$7</f>
        <v>2356.875</v>
      </c>
      <c r="E7" s="4">
        <v>0</v>
      </c>
      <c r="F7" s="4">
        <f t="shared" ref="F7" si="0">SUM(D7:E7)</f>
        <v>2356.875</v>
      </c>
      <c r="G7" s="5">
        <f>SUM(G16,G19,G22,G25,G28)</f>
        <v>75420</v>
      </c>
      <c r="H7" s="9">
        <f t="shared" ref="H7" si="1">F7/C7</f>
        <v>6.9730029585798814</v>
      </c>
      <c r="I7" s="11">
        <f t="shared" ref="I7:I8" si="2">G7/C7</f>
        <v>223.1360946745562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2009</v>
      </c>
      <c r="B8" s="3">
        <f>B7</f>
        <v>56</v>
      </c>
      <c r="C8" s="4">
        <f>C7</f>
        <v>338</v>
      </c>
      <c r="D8" s="4">
        <f>SUM(D17,D20,D23,D26,D29)</f>
        <v>4113</v>
      </c>
      <c r="E8" s="4">
        <v>0</v>
      </c>
      <c r="F8" s="4">
        <f>SUM(D8)</f>
        <v>4113</v>
      </c>
      <c r="G8" s="5">
        <f>SUM(G17,G20,G23,G26,G29)</f>
        <v>84561</v>
      </c>
      <c r="H8" s="58">
        <f>F8/C8</f>
        <v>12.168639053254438</v>
      </c>
      <c r="I8" s="42">
        <f t="shared" si="2"/>
        <v>250.18047337278105</v>
      </c>
      <c r="J8" s="43">
        <f>I8/H8</f>
        <v>20.559445660102114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1.745107398568019</v>
      </c>
      <c r="G10" s="62">
        <f t="shared" ref="G10" si="3">G8/G7</f>
        <v>1.1212012728719172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-1756.125</v>
      </c>
      <c r="G12" s="47">
        <f>G7-G8</f>
        <v>-9141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2009</v>
      </c>
      <c r="B16" s="3">
        <f>$B$7</f>
        <v>56</v>
      </c>
      <c r="C16" s="4">
        <f>$C$7</f>
        <v>338</v>
      </c>
      <c r="D16" s="4">
        <f>G16/$J$7</f>
        <v>171.875</v>
      </c>
      <c r="E16" s="4">
        <v>0</v>
      </c>
      <c r="F16" s="13">
        <f t="shared" ref="F16:F17" si="4">SUM(D16:E16)</f>
        <v>171.875</v>
      </c>
      <c r="G16" s="14">
        <v>5500</v>
      </c>
      <c r="H16" s="13">
        <f t="shared" ref="H16:H17" si="5">F16/C16</f>
        <v>0.50850591715976334</v>
      </c>
      <c r="I16" s="14">
        <f t="shared" ref="I16:I17" si="6">G16/C16</f>
        <v>16.272189349112427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2009</v>
      </c>
      <c r="B17" s="3">
        <f>$B$7</f>
        <v>56</v>
      </c>
      <c r="C17" s="4">
        <f>$C$7</f>
        <v>338</v>
      </c>
      <c r="D17" s="48">
        <v>130</v>
      </c>
      <c r="E17" s="48">
        <v>0</v>
      </c>
      <c r="F17" s="4">
        <f t="shared" si="4"/>
        <v>130</v>
      </c>
      <c r="G17" s="5">
        <v>4316</v>
      </c>
      <c r="H17" s="4">
        <f t="shared" si="5"/>
        <v>0.38461538461538464</v>
      </c>
      <c r="I17" s="5">
        <f t="shared" si="6"/>
        <v>12.76923076923077</v>
      </c>
      <c r="J17" s="44">
        <f>I17/H17</f>
        <v>33.200000000000003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0.75636363636363635</v>
      </c>
      <c r="G18" s="16">
        <f t="shared" ref="G18" si="7">G17/G16</f>
        <v>0.78472727272727272</v>
      </c>
      <c r="H18" s="16"/>
      <c r="I18" s="16"/>
      <c r="J18" s="16"/>
      <c r="K18" s="45"/>
    </row>
    <row r="19" spans="1:11" ht="16.5" thickTop="1" thickBot="1" x14ac:dyDescent="0.25">
      <c r="A19" s="1">
        <f>$A$7</f>
        <v>2009</v>
      </c>
      <c r="B19" s="3">
        <f>$B$7</f>
        <v>56</v>
      </c>
      <c r="C19" s="4">
        <f>$C$7</f>
        <v>338</v>
      </c>
      <c r="D19" s="4">
        <f>G19/$J$7</f>
        <v>548.75</v>
      </c>
      <c r="E19" s="4">
        <v>0</v>
      </c>
      <c r="F19" s="13">
        <f t="shared" ref="F19:F20" si="8">SUM(D19:E19)</f>
        <v>548.75</v>
      </c>
      <c r="G19" s="14">
        <v>17560</v>
      </c>
      <c r="H19" s="13">
        <f t="shared" ref="H19:H20" si="9">F19/C19</f>
        <v>1.6235207100591715</v>
      </c>
      <c r="I19" s="14">
        <f t="shared" ref="I19:I20" si="10">G19/C19</f>
        <v>51.952662721893489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2009</v>
      </c>
      <c r="B20" s="3">
        <f>$B$7</f>
        <v>56</v>
      </c>
      <c r="C20" s="4">
        <f>$C$7</f>
        <v>338</v>
      </c>
      <c r="D20" s="48">
        <v>847</v>
      </c>
      <c r="E20" s="48">
        <v>0</v>
      </c>
      <c r="F20" s="4">
        <f t="shared" si="8"/>
        <v>847</v>
      </c>
      <c r="G20" s="5">
        <v>17212</v>
      </c>
      <c r="H20" s="4">
        <f t="shared" si="9"/>
        <v>2.5059171597633134</v>
      </c>
      <c r="I20" s="5">
        <f t="shared" si="10"/>
        <v>50.92307692307692</v>
      </c>
      <c r="J20" s="44">
        <f>I20/H20</f>
        <v>20.321133412042503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1.5435079726651482</v>
      </c>
      <c r="G21" s="16">
        <f t="shared" ref="G21" si="11">G20/G19</f>
        <v>0.98018223234624147</v>
      </c>
      <c r="H21" s="16"/>
      <c r="I21" s="16"/>
      <c r="J21" s="45"/>
      <c r="K21" s="45"/>
    </row>
    <row r="22" spans="1:11" ht="16.5" thickTop="1" thickBot="1" x14ac:dyDescent="0.25">
      <c r="A22" s="1">
        <f>$A$7</f>
        <v>2009</v>
      </c>
      <c r="B22" s="3">
        <f>$B$7</f>
        <v>56</v>
      </c>
      <c r="C22" s="4">
        <f>$C$7</f>
        <v>338</v>
      </c>
      <c r="D22" s="4">
        <f>G22/$J$7</f>
        <v>1172.8125</v>
      </c>
      <c r="E22" s="4">
        <v>0</v>
      </c>
      <c r="F22" s="13">
        <f>SUM(D22:E22)</f>
        <v>1172.8125</v>
      </c>
      <c r="G22" s="14">
        <v>37530</v>
      </c>
      <c r="H22" s="13">
        <f>F22/C22</f>
        <v>3.4698594674556213</v>
      </c>
      <c r="I22" s="14">
        <f>G22/C22</f>
        <v>111.03550295857988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2009</v>
      </c>
      <c r="B23" s="3">
        <f>$B$7</f>
        <v>56</v>
      </c>
      <c r="C23" s="4">
        <f>$C$7</f>
        <v>338</v>
      </c>
      <c r="D23" s="48">
        <v>2311</v>
      </c>
      <c r="E23" s="48">
        <v>0</v>
      </c>
      <c r="F23" s="4">
        <f>SUM(D23:E23)</f>
        <v>2311</v>
      </c>
      <c r="G23" s="5">
        <v>46114</v>
      </c>
      <c r="H23" s="4">
        <f>F23/C23</f>
        <v>6.8372781065088759</v>
      </c>
      <c r="I23" s="5">
        <f>G23/C23</f>
        <v>136.4319526627219</v>
      </c>
      <c r="J23" s="44">
        <f>I23/H23</f>
        <v>19.954132410212029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1.9704769517719158</v>
      </c>
      <c r="G24" s="16">
        <f t="shared" ref="G24" si="12">G23/G22</f>
        <v>1.2287236877164935</v>
      </c>
      <c r="H24" s="16"/>
      <c r="I24" s="16"/>
      <c r="J24" s="17"/>
      <c r="K24" s="17"/>
    </row>
    <row r="25" spans="1:11" ht="16.5" thickTop="1" thickBot="1" x14ac:dyDescent="0.25">
      <c r="A25" s="1">
        <f>$A$7</f>
        <v>2009</v>
      </c>
      <c r="B25" s="3">
        <f>$B$7</f>
        <v>56</v>
      </c>
      <c r="C25" s="4">
        <v>342</v>
      </c>
      <c r="D25" s="4">
        <f>G25/$J$7</f>
        <v>322.5</v>
      </c>
      <c r="E25" s="4">
        <v>0</v>
      </c>
      <c r="F25" s="13">
        <f>SUM(D25:E25)</f>
        <v>322.5</v>
      </c>
      <c r="G25" s="14">
        <v>10320</v>
      </c>
      <c r="H25" s="13">
        <f>F25/C25</f>
        <v>0.94298245614035092</v>
      </c>
      <c r="I25" s="14">
        <f>G25/C25</f>
        <v>30.17543859649123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2009</v>
      </c>
      <c r="B26" s="3">
        <f>$B$7</f>
        <v>56</v>
      </c>
      <c r="C26" s="4">
        <f>C25</f>
        <v>342</v>
      </c>
      <c r="D26" s="48">
        <v>558</v>
      </c>
      <c r="E26" s="48">
        <v>0</v>
      </c>
      <c r="F26" s="4">
        <f>SUM(D26:E26)</f>
        <v>558</v>
      </c>
      <c r="G26" s="5">
        <v>11392</v>
      </c>
      <c r="H26" s="4">
        <f>F26/C26</f>
        <v>1.631578947368421</v>
      </c>
      <c r="I26" s="5">
        <f>G26/C26</f>
        <v>33.309941520467838</v>
      </c>
      <c r="J26" s="44">
        <f>I26/H26</f>
        <v>20.415770609318997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1.7302325581395348</v>
      </c>
      <c r="G27" s="16">
        <f t="shared" ref="G27" si="13">G26/G25</f>
        <v>1.1038759689922482</v>
      </c>
      <c r="H27" s="16"/>
      <c r="I27" s="16"/>
      <c r="J27" s="17"/>
      <c r="K27" s="17"/>
    </row>
    <row r="28" spans="1:11" ht="16.5" thickTop="1" thickBot="1" x14ac:dyDescent="0.25">
      <c r="A28" s="1">
        <f>$A$7</f>
        <v>2009</v>
      </c>
      <c r="B28" s="3">
        <f>$B$7</f>
        <v>56</v>
      </c>
      <c r="C28" s="4">
        <f>$C$7</f>
        <v>338</v>
      </c>
      <c r="D28" s="4">
        <f>G28/$J$7</f>
        <v>140.9375</v>
      </c>
      <c r="E28" s="4">
        <v>0</v>
      </c>
      <c r="F28" s="13">
        <f>SUM(D28:E28)</f>
        <v>140.9375</v>
      </c>
      <c r="G28" s="14">
        <v>4510</v>
      </c>
      <c r="H28" s="13">
        <f>F28/C28</f>
        <v>0.41697485207100593</v>
      </c>
      <c r="I28" s="14">
        <f>G28/C28</f>
        <v>13.34319526627219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2009</v>
      </c>
      <c r="B29" s="3">
        <f>$B$7</f>
        <v>56</v>
      </c>
      <c r="C29" s="4">
        <f>$C$7</f>
        <v>338</v>
      </c>
      <c r="D29" s="48">
        <v>267</v>
      </c>
      <c r="E29" s="48">
        <v>0</v>
      </c>
      <c r="F29" s="4">
        <f>SUM(D29:E29)</f>
        <v>267</v>
      </c>
      <c r="G29" s="5">
        <v>5527</v>
      </c>
      <c r="H29" s="4">
        <f>F29/C29</f>
        <v>0.7899408284023669</v>
      </c>
      <c r="I29" s="5">
        <f>G29/C29</f>
        <v>16.352071005917161</v>
      </c>
      <c r="J29" s="44">
        <f>I29/H29</f>
        <v>20.700374531835205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1.8944567627494457</v>
      </c>
      <c r="G30" s="16">
        <f t="shared" ref="G30" si="14">G29/G28</f>
        <v>1.22549889135255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2009</v>
      </c>
      <c r="B33" s="3">
        <f>$B$7</f>
        <v>56</v>
      </c>
      <c r="C33" s="4">
        <f>$C$7</f>
        <v>338</v>
      </c>
      <c r="D33" s="13">
        <f>SUM(D28,D22,D19)</f>
        <v>1862.5</v>
      </c>
      <c r="E33" s="13">
        <v>0</v>
      </c>
      <c r="F33" s="13">
        <f t="shared" ref="F33" si="15">SUM(D33:E33)</f>
        <v>1862.5</v>
      </c>
      <c r="G33" s="14">
        <f>SUM(G28,G22,G19)</f>
        <v>59600</v>
      </c>
      <c r="H33" s="34">
        <f t="shared" ref="H33:H34" si="16">F33/C33</f>
        <v>5.5103550295857993</v>
      </c>
      <c r="I33" s="39">
        <f t="shared" ref="I33:I34" si="17">G33/C33</f>
        <v>176.33136094674558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2009</v>
      </c>
      <c r="B34" s="3">
        <f>$B$7</f>
        <v>56</v>
      </c>
      <c r="C34" s="4">
        <f>$C$7</f>
        <v>338</v>
      </c>
      <c r="D34" s="4">
        <f>SUM(D29,D23,D20)</f>
        <v>3425</v>
      </c>
      <c r="E34" s="49">
        <v>0</v>
      </c>
      <c r="F34" s="4">
        <f>SUM(D34)</f>
        <v>3425</v>
      </c>
      <c r="G34" s="50">
        <f>SUM(G29,G23,G20)</f>
        <v>68853</v>
      </c>
      <c r="H34" s="41">
        <f t="shared" si="16"/>
        <v>10.133136094674557</v>
      </c>
      <c r="I34" s="42">
        <f t="shared" si="17"/>
        <v>203.70710059171597</v>
      </c>
      <c r="J34" s="43">
        <f>I34/H34</f>
        <v>20.103065693430654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1.1552516778523489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10.133136094674557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1.631578947368421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12.168639053254438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K46"/>
  <sheetViews>
    <sheetView view="pageBreakPreview" zoomScaleNormal="120" zoomScaleSheetLayoutView="100" workbookViewId="0">
      <selection activeCell="F41" sqref="F41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2010</v>
      </c>
      <c r="B7" s="3">
        <v>149</v>
      </c>
      <c r="C7" s="4">
        <v>800</v>
      </c>
      <c r="D7" s="4">
        <f>G7/$J$7</f>
        <v>9906.40625</v>
      </c>
      <c r="E7" s="4">
        <v>0</v>
      </c>
      <c r="F7" s="4">
        <f t="shared" ref="F7" si="0">SUM(D7:E7)</f>
        <v>9906.40625</v>
      </c>
      <c r="G7" s="5">
        <f>SUM(G16,G19,G22,G25,G28)</f>
        <v>317005</v>
      </c>
      <c r="H7" s="9">
        <f t="shared" ref="H7" si="1">F7/C7</f>
        <v>12.383007812500001</v>
      </c>
      <c r="I7" s="11">
        <f t="shared" ref="I7:I8" si="2">G7/C7</f>
        <v>396.25625000000002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2010</v>
      </c>
      <c r="B8" s="3">
        <f>B7</f>
        <v>149</v>
      </c>
      <c r="C8" s="4">
        <f>C7</f>
        <v>800</v>
      </c>
      <c r="D8" s="4">
        <f>SUM(D17,D20,D23,D26,D29)</f>
        <v>10247</v>
      </c>
      <c r="E8" s="4">
        <v>0</v>
      </c>
      <c r="F8" s="4">
        <f>SUM(D8)</f>
        <v>10247</v>
      </c>
      <c r="G8" s="5">
        <f>SUM(G17,G20,G23,G26,G29)</f>
        <v>202615</v>
      </c>
      <c r="H8" s="58">
        <f>F8/C8</f>
        <v>12.80875</v>
      </c>
      <c r="I8" s="42">
        <f t="shared" si="2"/>
        <v>253.26875000000001</v>
      </c>
      <c r="J8" s="43">
        <f>I8/H8</f>
        <v>19.773104323216554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1.034381161180423</v>
      </c>
      <c r="G10" s="62">
        <f t="shared" ref="G10" si="3">G8/G7</f>
        <v>0.63915395656219931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-340.59375</v>
      </c>
      <c r="G12" s="47">
        <f>G7-G8</f>
        <v>114390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2010</v>
      </c>
      <c r="B16" s="3">
        <f>$B$7</f>
        <v>149</v>
      </c>
      <c r="C16" s="4">
        <f>$C$7</f>
        <v>800</v>
      </c>
      <c r="D16" s="4">
        <f>G16/$J$7</f>
        <v>558.75</v>
      </c>
      <c r="E16" s="4">
        <v>0</v>
      </c>
      <c r="F16" s="13">
        <f t="shared" ref="F16:F17" si="4">SUM(D16:E16)</f>
        <v>558.75</v>
      </c>
      <c r="G16" s="14">
        <v>17880</v>
      </c>
      <c r="H16" s="13">
        <f t="shared" ref="H16:H17" si="5">F16/C16</f>
        <v>0.69843750000000004</v>
      </c>
      <c r="I16" s="14">
        <f t="shared" ref="I16:I17" si="6">G16/C16</f>
        <v>22.35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2010</v>
      </c>
      <c r="B17" s="3">
        <f>$B$7</f>
        <v>149</v>
      </c>
      <c r="C17" s="4">
        <f>$C$7</f>
        <v>800</v>
      </c>
      <c r="D17" s="48">
        <v>262</v>
      </c>
      <c r="E17" s="48">
        <v>0</v>
      </c>
      <c r="F17" s="4">
        <f t="shared" si="4"/>
        <v>262</v>
      </c>
      <c r="G17" s="5">
        <v>9230</v>
      </c>
      <c r="H17" s="4">
        <f t="shared" si="5"/>
        <v>0.32750000000000001</v>
      </c>
      <c r="I17" s="5">
        <f t="shared" si="6"/>
        <v>11.5375</v>
      </c>
      <c r="J17" s="44">
        <f>I17/H17</f>
        <v>35.229007633587784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0.46890380313199104</v>
      </c>
      <c r="G18" s="16">
        <f t="shared" ref="G18" si="7">G17/G16</f>
        <v>0.51621923937360181</v>
      </c>
      <c r="H18" s="16"/>
      <c r="I18" s="16"/>
      <c r="J18" s="16"/>
      <c r="K18" s="45"/>
    </row>
    <row r="19" spans="1:11" ht="16.5" thickTop="1" thickBot="1" x14ac:dyDescent="0.25">
      <c r="A19" s="1">
        <f>$A$7</f>
        <v>2010</v>
      </c>
      <c r="B19" s="3">
        <f>$B$7</f>
        <v>149</v>
      </c>
      <c r="C19" s="4">
        <f>$C$7</f>
        <v>800</v>
      </c>
      <c r="D19" s="4">
        <f>G19/$J$7</f>
        <v>1786.25</v>
      </c>
      <c r="E19" s="4">
        <v>0</v>
      </c>
      <c r="F19" s="13">
        <f t="shared" ref="F19:F20" si="8">SUM(D19:E19)</f>
        <v>1786.25</v>
      </c>
      <c r="G19" s="14">
        <v>57160</v>
      </c>
      <c r="H19" s="13">
        <f t="shared" ref="H19:H20" si="9">F19/C19</f>
        <v>2.2328125000000001</v>
      </c>
      <c r="I19" s="14">
        <f t="shared" ref="I19:I20" si="10">G19/C19</f>
        <v>71.45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2010</v>
      </c>
      <c r="B20" s="3">
        <f>$B$7</f>
        <v>149</v>
      </c>
      <c r="C20" s="4">
        <f>$C$7</f>
        <v>800</v>
      </c>
      <c r="D20" s="48">
        <v>1588</v>
      </c>
      <c r="E20" s="48">
        <v>0</v>
      </c>
      <c r="F20" s="4">
        <f t="shared" si="8"/>
        <v>1588</v>
      </c>
      <c r="G20" s="5">
        <v>34900</v>
      </c>
      <c r="H20" s="4">
        <f t="shared" si="9"/>
        <v>1.9850000000000001</v>
      </c>
      <c r="I20" s="5">
        <f t="shared" si="10"/>
        <v>43.625</v>
      </c>
      <c r="J20" s="44">
        <f>I20/H20</f>
        <v>21.977329974811081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0.88901329601119661</v>
      </c>
      <c r="G21" s="16">
        <f t="shared" ref="G21" si="11">G20/G19</f>
        <v>0.61056682995101474</v>
      </c>
      <c r="H21" s="16"/>
      <c r="I21" s="16"/>
      <c r="J21" s="45"/>
      <c r="K21" s="45"/>
    </row>
    <row r="22" spans="1:11" ht="16.5" thickTop="1" thickBot="1" x14ac:dyDescent="0.25">
      <c r="A22" s="1">
        <f>$A$7</f>
        <v>2010</v>
      </c>
      <c r="B22" s="3">
        <f>$B$7</f>
        <v>149</v>
      </c>
      <c r="C22" s="4">
        <f>$C$7</f>
        <v>800</v>
      </c>
      <c r="D22" s="4">
        <f>G22/$J$7</f>
        <v>4985.15625</v>
      </c>
      <c r="E22" s="4">
        <v>0</v>
      </c>
      <c r="F22" s="13">
        <f>SUM(D22:E22)</f>
        <v>4985.15625</v>
      </c>
      <c r="G22" s="14">
        <v>159525</v>
      </c>
      <c r="H22" s="13">
        <f>F22/C22</f>
        <v>6.2314453125</v>
      </c>
      <c r="I22" s="14">
        <f>G22/C22</f>
        <v>199.40625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2010</v>
      </c>
      <c r="B23" s="3">
        <f>$B$7</f>
        <v>149</v>
      </c>
      <c r="C23" s="4">
        <f>$C$7</f>
        <v>800</v>
      </c>
      <c r="D23" s="48">
        <v>6202</v>
      </c>
      <c r="E23" s="48">
        <v>0</v>
      </c>
      <c r="F23" s="4">
        <f>SUM(D23:E23)</f>
        <v>6202</v>
      </c>
      <c r="G23" s="5">
        <v>114688</v>
      </c>
      <c r="H23" s="4">
        <f>F23/C23</f>
        <v>7.7525000000000004</v>
      </c>
      <c r="I23" s="5">
        <f>G23/C23</f>
        <v>143.36000000000001</v>
      </c>
      <c r="J23" s="44">
        <f>I23/H23</f>
        <v>18.492099322799099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1.2440934022880425</v>
      </c>
      <c r="G24" s="16">
        <f t="shared" ref="G24" si="12">G23/G22</f>
        <v>0.71893433631092307</v>
      </c>
      <c r="H24" s="16"/>
      <c r="I24" s="16"/>
      <c r="J24" s="17"/>
      <c r="K24" s="17"/>
    </row>
    <row r="25" spans="1:11" ht="16.5" thickTop="1" thickBot="1" x14ac:dyDescent="0.25">
      <c r="A25" s="1">
        <f>$A$7</f>
        <v>2010</v>
      </c>
      <c r="B25" s="3">
        <f>$B$7</f>
        <v>149</v>
      </c>
      <c r="C25" s="4">
        <v>969</v>
      </c>
      <c r="D25" s="4">
        <f>G25/$J$7</f>
        <v>984.375</v>
      </c>
      <c r="E25" s="4">
        <v>0</v>
      </c>
      <c r="F25" s="13">
        <f>SUM(D25:E25)</f>
        <v>984.375</v>
      </c>
      <c r="G25" s="14">
        <v>31500</v>
      </c>
      <c r="H25" s="13">
        <f>F25/C25</f>
        <v>1.0158668730650156</v>
      </c>
      <c r="I25" s="14">
        <f>G25/C25</f>
        <v>32.507739938080498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2010</v>
      </c>
      <c r="B26" s="3">
        <f>$B$7</f>
        <v>149</v>
      </c>
      <c r="C26" s="4">
        <f>C25</f>
        <v>969</v>
      </c>
      <c r="D26" s="48">
        <v>1569</v>
      </c>
      <c r="E26" s="48">
        <v>0</v>
      </c>
      <c r="F26" s="4">
        <f>SUM(D26:E26)</f>
        <v>1569</v>
      </c>
      <c r="G26" s="5">
        <v>29825</v>
      </c>
      <c r="H26" s="4">
        <f>F26/C26</f>
        <v>1.6191950464396285</v>
      </c>
      <c r="I26" s="5">
        <f>G26/C26</f>
        <v>30.779153766769866</v>
      </c>
      <c r="J26" s="44">
        <f>I26/H26</f>
        <v>19.008922880815806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1.5939047619047619</v>
      </c>
      <c r="G27" s="16">
        <f t="shared" ref="G27" si="13">G26/G25</f>
        <v>0.94682539682539679</v>
      </c>
      <c r="H27" s="16"/>
      <c r="I27" s="16"/>
      <c r="J27" s="17"/>
      <c r="K27" s="17"/>
    </row>
    <row r="28" spans="1:11" ht="16.5" thickTop="1" thickBot="1" x14ac:dyDescent="0.25">
      <c r="A28" s="1">
        <f>$A$7</f>
        <v>2010</v>
      </c>
      <c r="B28" s="3">
        <f>$B$7</f>
        <v>149</v>
      </c>
      <c r="C28" s="4">
        <f>$C$7</f>
        <v>800</v>
      </c>
      <c r="D28" s="4">
        <f>G28/$J$7</f>
        <v>1591.875</v>
      </c>
      <c r="E28" s="4">
        <v>0</v>
      </c>
      <c r="F28" s="13">
        <f>SUM(D28:E28)</f>
        <v>1591.875</v>
      </c>
      <c r="G28" s="14">
        <v>50940</v>
      </c>
      <c r="H28" s="13">
        <f>F28/C28</f>
        <v>1.9898437499999999</v>
      </c>
      <c r="I28" s="14">
        <f>G28/C28</f>
        <v>63.674999999999997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2010</v>
      </c>
      <c r="B29" s="3">
        <f>$B$7</f>
        <v>149</v>
      </c>
      <c r="C29" s="4">
        <f>$C$7</f>
        <v>800</v>
      </c>
      <c r="D29" s="48">
        <v>626</v>
      </c>
      <c r="E29" s="48">
        <v>0</v>
      </c>
      <c r="F29" s="4">
        <f>SUM(D29:E29)</f>
        <v>626</v>
      </c>
      <c r="G29" s="5">
        <v>13972</v>
      </c>
      <c r="H29" s="4">
        <f>F29/C29</f>
        <v>0.78249999999999997</v>
      </c>
      <c r="I29" s="5">
        <f>G29/C29</f>
        <v>17.465</v>
      </c>
      <c r="J29" s="44">
        <f>I29/H29</f>
        <v>22.319488817891376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0.39324695720455438</v>
      </c>
      <c r="G30" s="16">
        <f t="shared" ref="G30" si="14">G29/G28</f>
        <v>0.27428347074990184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2010</v>
      </c>
      <c r="B33" s="3">
        <f>$B$7</f>
        <v>149</v>
      </c>
      <c r="C33" s="4">
        <f>$C$7</f>
        <v>800</v>
      </c>
      <c r="D33" s="13">
        <f>SUM(D28,D22,D19)</f>
        <v>8363.28125</v>
      </c>
      <c r="E33" s="13">
        <v>0</v>
      </c>
      <c r="F33" s="13">
        <f t="shared" ref="F33" si="15">SUM(D33:E33)</f>
        <v>8363.28125</v>
      </c>
      <c r="G33" s="14">
        <f>SUM(G28,G22,G19)</f>
        <v>267625</v>
      </c>
      <c r="H33" s="34">
        <f t="shared" ref="H33:H34" si="16">F33/C33</f>
        <v>10.4541015625</v>
      </c>
      <c r="I33" s="39">
        <f t="shared" ref="I33:I34" si="17">G33/C33</f>
        <v>334.53125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2010</v>
      </c>
      <c r="B34" s="3">
        <f>$B$7</f>
        <v>149</v>
      </c>
      <c r="C34" s="4">
        <f>$C$7</f>
        <v>800</v>
      </c>
      <c r="D34" s="4">
        <f>SUM(D29,D23,D20)</f>
        <v>8416</v>
      </c>
      <c r="E34" s="49">
        <v>0</v>
      </c>
      <c r="F34" s="4">
        <f>SUM(D34)</f>
        <v>8416</v>
      </c>
      <c r="G34" s="50">
        <f>SUM(G29,G23,G20)</f>
        <v>163560</v>
      </c>
      <c r="H34" s="41">
        <f t="shared" si="16"/>
        <v>10.52</v>
      </c>
      <c r="I34" s="42">
        <f t="shared" si="17"/>
        <v>204.45</v>
      </c>
      <c r="J34" s="43">
        <f>I34/H34</f>
        <v>19.434410646387832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0.61115366651097613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10.52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1.6191950464396285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12.80875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K46"/>
  <sheetViews>
    <sheetView view="pageBreakPreview" zoomScaleNormal="120" zoomScaleSheetLayoutView="100" workbookViewId="0">
      <selection activeCell="A24" sqref="A24:E24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2011</v>
      </c>
      <c r="B7" s="3">
        <v>117</v>
      </c>
      <c r="C7" s="4">
        <v>710</v>
      </c>
      <c r="D7" s="4">
        <f>G7/$J$7</f>
        <v>5457.96875</v>
      </c>
      <c r="E7" s="4">
        <v>0</v>
      </c>
      <c r="F7" s="4">
        <f t="shared" ref="F7" si="0">SUM(D7:E7)</f>
        <v>5457.96875</v>
      </c>
      <c r="G7" s="5">
        <f>SUM(G16,G19,G22,G25,G28)</f>
        <v>174655</v>
      </c>
      <c r="H7" s="9">
        <f t="shared" ref="H7" si="1">F7/C7</f>
        <v>7.687279929577465</v>
      </c>
      <c r="I7" s="11">
        <f t="shared" ref="I7:I8" si="2">G7/C7</f>
        <v>245.99295774647888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2011</v>
      </c>
      <c r="B8" s="3">
        <f>B7</f>
        <v>117</v>
      </c>
      <c r="C8" s="4">
        <f>C7</f>
        <v>710</v>
      </c>
      <c r="D8" s="4">
        <f>SUM(D17,D20,D23,D26,D29)</f>
        <v>6944</v>
      </c>
      <c r="E8" s="4">
        <v>0</v>
      </c>
      <c r="F8" s="4">
        <f>SUM(D8)</f>
        <v>6944</v>
      </c>
      <c r="G8" s="5">
        <f>SUM(G17,G20,G23,G26,G29)</f>
        <v>142883</v>
      </c>
      <c r="H8" s="58">
        <f>F8/C8</f>
        <v>9.7802816901408445</v>
      </c>
      <c r="I8" s="42">
        <f t="shared" si="2"/>
        <v>201.24366197183099</v>
      </c>
      <c r="J8" s="43">
        <f>I8/H8</f>
        <v>20.576468894009217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1.2722681858521085</v>
      </c>
      <c r="G10" s="62">
        <f t="shared" ref="G10" si="3">G8/G7</f>
        <v>0.81808708596948265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-1486.03125</v>
      </c>
      <c r="G12" s="47">
        <f>G7-G8</f>
        <v>31772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2011</v>
      </c>
      <c r="B16" s="3">
        <f>$B$7</f>
        <v>117</v>
      </c>
      <c r="C16" s="4">
        <f>$C$7</f>
        <v>710</v>
      </c>
      <c r="D16" s="4">
        <f>G16/$J$7</f>
        <v>438.75</v>
      </c>
      <c r="E16" s="4">
        <v>0</v>
      </c>
      <c r="F16" s="13">
        <f t="shared" ref="F16:F17" si="4">SUM(D16:E16)</f>
        <v>438.75</v>
      </c>
      <c r="G16" s="14">
        <v>14040</v>
      </c>
      <c r="H16" s="13">
        <f t="shared" ref="H16:H17" si="5">F16/C16</f>
        <v>0.61795774647887325</v>
      </c>
      <c r="I16" s="14">
        <f t="shared" ref="I16:I17" si="6">G16/C16</f>
        <v>19.774647887323944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2011</v>
      </c>
      <c r="B17" s="3">
        <f>$B$7</f>
        <v>117</v>
      </c>
      <c r="C17" s="4">
        <f>$C$7</f>
        <v>710</v>
      </c>
      <c r="D17" s="48">
        <v>221</v>
      </c>
      <c r="E17" s="48">
        <v>0</v>
      </c>
      <c r="F17" s="4">
        <f t="shared" si="4"/>
        <v>221</v>
      </c>
      <c r="G17" s="5">
        <v>7677</v>
      </c>
      <c r="H17" s="4">
        <f t="shared" si="5"/>
        <v>0.31126760563380279</v>
      </c>
      <c r="I17" s="5">
        <f t="shared" si="6"/>
        <v>10.812676056338027</v>
      </c>
      <c r="J17" s="44">
        <f>I17/H17</f>
        <v>34.737556561085974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0.50370370370370365</v>
      </c>
      <c r="G18" s="16">
        <f t="shared" ref="G18" si="7">G17/G16</f>
        <v>0.54679487179487174</v>
      </c>
      <c r="H18" s="16"/>
      <c r="I18" s="16"/>
      <c r="J18" s="16"/>
      <c r="K18" s="45"/>
    </row>
    <row r="19" spans="1:11" ht="16.5" thickTop="1" thickBot="1" x14ac:dyDescent="0.25">
      <c r="A19" s="1">
        <f>$A$7</f>
        <v>2011</v>
      </c>
      <c r="B19" s="3">
        <f>$B$7</f>
        <v>117</v>
      </c>
      <c r="C19" s="4">
        <f>$C$7</f>
        <v>710</v>
      </c>
      <c r="D19" s="4">
        <f>G19/$J$7</f>
        <v>1309.0625</v>
      </c>
      <c r="E19" s="4">
        <v>0</v>
      </c>
      <c r="F19" s="13">
        <f t="shared" ref="F19:F20" si="8">SUM(D19:E19)</f>
        <v>1309.0625</v>
      </c>
      <c r="G19" s="14">
        <v>41890</v>
      </c>
      <c r="H19" s="13">
        <f t="shared" ref="H19:H20" si="9">F19/C19</f>
        <v>1.84375</v>
      </c>
      <c r="I19" s="14">
        <f t="shared" ref="I19:I20" si="10">G19/C19</f>
        <v>59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2011</v>
      </c>
      <c r="B20" s="3">
        <f>$B$7</f>
        <v>117</v>
      </c>
      <c r="C20" s="4">
        <f>$C$7</f>
        <v>710</v>
      </c>
      <c r="D20" s="48">
        <v>1100</v>
      </c>
      <c r="E20" s="48">
        <v>0</v>
      </c>
      <c r="F20" s="4">
        <f t="shared" si="8"/>
        <v>1100</v>
      </c>
      <c r="G20" s="5">
        <v>22087</v>
      </c>
      <c r="H20" s="4">
        <f t="shared" si="9"/>
        <v>1.5492957746478873</v>
      </c>
      <c r="I20" s="5">
        <f t="shared" si="10"/>
        <v>31.108450704225351</v>
      </c>
      <c r="J20" s="44">
        <f>I20/H20</f>
        <v>20.079090909090908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0.8402960133683457</v>
      </c>
      <c r="G21" s="16">
        <f t="shared" ref="G21" si="11">G20/G19</f>
        <v>0.52726187634280253</v>
      </c>
      <c r="H21" s="16"/>
      <c r="I21" s="16"/>
      <c r="J21" s="45"/>
      <c r="K21" s="45"/>
    </row>
    <row r="22" spans="1:11" ht="16.5" thickTop="1" thickBot="1" x14ac:dyDescent="0.25">
      <c r="A22" s="1">
        <f>$A$7</f>
        <v>2011</v>
      </c>
      <c r="B22" s="3">
        <f>$B$7</f>
        <v>117</v>
      </c>
      <c r="C22" s="4">
        <f>$C$7</f>
        <v>710</v>
      </c>
      <c r="D22" s="4">
        <f>G22/$J$7</f>
        <v>2588.59375</v>
      </c>
      <c r="E22" s="4">
        <v>0</v>
      </c>
      <c r="F22" s="13">
        <f>SUM(D22:E22)</f>
        <v>2588.59375</v>
      </c>
      <c r="G22" s="14">
        <v>82835</v>
      </c>
      <c r="H22" s="13">
        <f>F22/C22</f>
        <v>3.645906690140845</v>
      </c>
      <c r="I22" s="14">
        <f>G22/C22</f>
        <v>116.66901408450704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2011</v>
      </c>
      <c r="B23" s="3">
        <f>$B$7</f>
        <v>117</v>
      </c>
      <c r="C23" s="4">
        <f>$C$7</f>
        <v>710</v>
      </c>
      <c r="D23" s="48">
        <v>3984</v>
      </c>
      <c r="E23" s="48">
        <v>0</v>
      </c>
      <c r="F23" s="4">
        <f>SUM(D23:E23)</f>
        <v>3984</v>
      </c>
      <c r="G23" s="5">
        <v>81011</v>
      </c>
      <c r="H23" s="4">
        <f>F23/C23</f>
        <v>5.6112676056338024</v>
      </c>
      <c r="I23" s="5">
        <f>G23/C23</f>
        <v>114.1</v>
      </c>
      <c r="J23" s="44">
        <f>I23/H23</f>
        <v>20.334086345381525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1.539059576266071</v>
      </c>
      <c r="G24" s="16">
        <f t="shared" ref="G24" si="12">G23/G22</f>
        <v>0.97798032232751853</v>
      </c>
      <c r="H24" s="16"/>
      <c r="I24" s="16"/>
      <c r="J24" s="17"/>
      <c r="K24" s="17"/>
    </row>
    <row r="25" spans="1:11" ht="16.5" thickTop="1" thickBot="1" x14ac:dyDescent="0.25">
      <c r="A25" s="1">
        <f>$A$7</f>
        <v>2011</v>
      </c>
      <c r="B25" s="3">
        <f>$B$7</f>
        <v>117</v>
      </c>
      <c r="C25" s="4">
        <v>723</v>
      </c>
      <c r="D25" s="4">
        <f>G25/$J$7</f>
        <v>774.0625</v>
      </c>
      <c r="E25" s="4">
        <v>0</v>
      </c>
      <c r="F25" s="13">
        <f>SUM(D25:E25)</f>
        <v>774.0625</v>
      </c>
      <c r="G25" s="14">
        <v>24770</v>
      </c>
      <c r="H25" s="13">
        <f>F25/C25</f>
        <v>1.0706258644536653</v>
      </c>
      <c r="I25" s="14">
        <f>G25/C25</f>
        <v>34.260027662517288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2011</v>
      </c>
      <c r="B26" s="3">
        <f>$B$7</f>
        <v>117</v>
      </c>
      <c r="C26" s="4">
        <f>C25</f>
        <v>723</v>
      </c>
      <c r="D26" s="48">
        <v>1173</v>
      </c>
      <c r="E26" s="48">
        <v>0</v>
      </c>
      <c r="F26" s="4">
        <f>SUM(D26:E26)</f>
        <v>1173</v>
      </c>
      <c r="G26" s="5">
        <v>21869</v>
      </c>
      <c r="H26" s="4">
        <f>F26/C26</f>
        <v>1.6224066390041494</v>
      </c>
      <c r="I26" s="5">
        <f>G26/C26</f>
        <v>30.247579529737205</v>
      </c>
      <c r="J26" s="44">
        <f>I26/H26</f>
        <v>18.643648763853367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1.5153815098909971</v>
      </c>
      <c r="G27" s="16">
        <f t="shared" ref="G27" si="13">G26/G25</f>
        <v>0.88288251917642313</v>
      </c>
      <c r="H27" s="16"/>
      <c r="I27" s="16"/>
      <c r="J27" s="17"/>
      <c r="K27" s="17"/>
    </row>
    <row r="28" spans="1:11" ht="16.5" thickTop="1" thickBot="1" x14ac:dyDescent="0.25">
      <c r="A28" s="1">
        <f>$A$7</f>
        <v>2011</v>
      </c>
      <c r="B28" s="3">
        <f>$B$7</f>
        <v>117</v>
      </c>
      <c r="C28" s="4">
        <f>$C$7</f>
        <v>710</v>
      </c>
      <c r="D28" s="4">
        <f>G28/$J$7</f>
        <v>347.5</v>
      </c>
      <c r="E28" s="4">
        <v>0</v>
      </c>
      <c r="F28" s="13">
        <f>SUM(D28:E28)</f>
        <v>347.5</v>
      </c>
      <c r="G28" s="14">
        <v>11120</v>
      </c>
      <c r="H28" s="13">
        <f>F28/C28</f>
        <v>0.48943661971830987</v>
      </c>
      <c r="I28" s="14">
        <f>G28/C28</f>
        <v>15.661971830985916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2011</v>
      </c>
      <c r="B29" s="3">
        <f>$B$7</f>
        <v>117</v>
      </c>
      <c r="C29" s="4">
        <f>$C$7</f>
        <v>710</v>
      </c>
      <c r="D29" s="48">
        <v>466</v>
      </c>
      <c r="E29" s="48">
        <v>0</v>
      </c>
      <c r="F29" s="4">
        <f>SUM(D29:E29)</f>
        <v>466</v>
      </c>
      <c r="G29" s="5">
        <v>10239</v>
      </c>
      <c r="H29" s="4">
        <f>F29/C29</f>
        <v>0.6563380281690141</v>
      </c>
      <c r="I29" s="5">
        <f>G29/C29</f>
        <v>14.42112676056338</v>
      </c>
      <c r="J29" s="44">
        <f>I29/H29</f>
        <v>21.972103004291846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1.3410071942446042</v>
      </c>
      <c r="G30" s="16">
        <f t="shared" ref="G30" si="14">G29/G28</f>
        <v>0.920773381294964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2011</v>
      </c>
      <c r="B33" s="3">
        <f>$B$7</f>
        <v>117</v>
      </c>
      <c r="C33" s="4">
        <f>$C$7</f>
        <v>710</v>
      </c>
      <c r="D33" s="13">
        <f>SUM(D28,D22,D19)</f>
        <v>4245.15625</v>
      </c>
      <c r="E33" s="13">
        <v>0</v>
      </c>
      <c r="F33" s="13">
        <f t="shared" ref="F33" si="15">SUM(D33:E33)</f>
        <v>4245.15625</v>
      </c>
      <c r="G33" s="14">
        <f>SUM(G28,G22,G19)</f>
        <v>135845</v>
      </c>
      <c r="H33" s="34">
        <f t="shared" ref="H33:H34" si="16">F33/C33</f>
        <v>5.979093309859155</v>
      </c>
      <c r="I33" s="39">
        <f t="shared" ref="I33:I34" si="17">G33/C33</f>
        <v>191.33098591549296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2011</v>
      </c>
      <c r="B34" s="3">
        <f>$B$7</f>
        <v>117</v>
      </c>
      <c r="C34" s="4">
        <f>$C$7</f>
        <v>710</v>
      </c>
      <c r="D34" s="4">
        <f>SUM(D29,D23,D20)</f>
        <v>5550</v>
      </c>
      <c r="E34" s="49">
        <v>0</v>
      </c>
      <c r="F34" s="4">
        <f>SUM(D34)</f>
        <v>5550</v>
      </c>
      <c r="G34" s="50">
        <f>SUM(G29,G23,G20)</f>
        <v>113337</v>
      </c>
      <c r="H34" s="41">
        <f t="shared" si="16"/>
        <v>7.816901408450704</v>
      </c>
      <c r="I34" s="42">
        <f t="shared" si="17"/>
        <v>159.62957746478872</v>
      </c>
      <c r="J34" s="43">
        <f>I34/H34</f>
        <v>20.421081081081081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0.83431116345835332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7.816901408450704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1.6224066390041494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9.7802816901408445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K46"/>
  <sheetViews>
    <sheetView view="pageBreakPreview" topLeftCell="A7" zoomScaleNormal="120" zoomScaleSheetLayoutView="100" workbookViewId="0">
      <selection activeCell="G46" sqref="G46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2012</v>
      </c>
      <c r="B7" s="3">
        <v>162</v>
      </c>
      <c r="C7" s="4">
        <v>816</v>
      </c>
      <c r="D7" s="4">
        <f>G7/$J$7</f>
        <v>9561.71875</v>
      </c>
      <c r="E7" s="4">
        <v>0</v>
      </c>
      <c r="F7" s="4">
        <f t="shared" ref="F7" si="0">SUM(D7:E7)</f>
        <v>9561.71875</v>
      </c>
      <c r="G7" s="5">
        <f>SUM(G16,G19,G22,G25,G28)</f>
        <v>305975</v>
      </c>
      <c r="H7" s="9">
        <f t="shared" ref="H7" si="1">F7/C7</f>
        <v>11.717792585784315</v>
      </c>
      <c r="I7" s="11">
        <f t="shared" ref="I7:I8" si="2">G7/C7</f>
        <v>374.96936274509807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162</v>
      </c>
      <c r="C8" s="4">
        <f>C7</f>
        <v>816</v>
      </c>
      <c r="D8" s="4">
        <f>SUM(D17,D20,D23,D26,D29)</f>
        <v>14609</v>
      </c>
      <c r="E8" s="4">
        <v>0</v>
      </c>
      <c r="F8" s="4">
        <f>SUM(D8)</f>
        <v>14609</v>
      </c>
      <c r="G8" s="5">
        <f>SUM(G17,G20,G23,G26,G29)</f>
        <v>291322</v>
      </c>
      <c r="H8" s="58">
        <f>F8/C8</f>
        <v>17.903186274509803</v>
      </c>
      <c r="I8" s="42">
        <f t="shared" si="2"/>
        <v>357.01225490196077</v>
      </c>
      <c r="J8" s="43">
        <f>I8/H8</f>
        <v>19.941269080703677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1.5278633875316612</v>
      </c>
      <c r="G10" s="62">
        <f t="shared" ref="G10" si="3">G8/G7</f>
        <v>0.95211046654138409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-5047.28125</v>
      </c>
      <c r="G12" s="47">
        <f>G7-G8</f>
        <v>14653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2012</v>
      </c>
      <c r="B16" s="3">
        <f>$B$7</f>
        <v>162</v>
      </c>
      <c r="C16" s="4">
        <f>$C$7</f>
        <v>816</v>
      </c>
      <c r="D16" s="4">
        <f>G16/$J$7</f>
        <v>632.8125</v>
      </c>
      <c r="E16" s="4">
        <v>0</v>
      </c>
      <c r="F16" s="13">
        <f t="shared" ref="F16:F17" si="4">SUM(D16:E16)</f>
        <v>632.8125</v>
      </c>
      <c r="G16" s="14">
        <v>20250</v>
      </c>
      <c r="H16" s="13">
        <f t="shared" ref="H16:H17" si="5">F16/C16</f>
        <v>0.77550551470588236</v>
      </c>
      <c r="I16" s="14">
        <f t="shared" ref="I16:I17" si="6">G16/C16</f>
        <v>24.816176470588236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2012</v>
      </c>
      <c r="B17" s="3">
        <f>$B$7</f>
        <v>162</v>
      </c>
      <c r="C17" s="4">
        <f>$C$7</f>
        <v>816</v>
      </c>
      <c r="D17" s="48">
        <v>338</v>
      </c>
      <c r="E17" s="48">
        <v>0</v>
      </c>
      <c r="F17" s="4">
        <f t="shared" si="4"/>
        <v>338</v>
      </c>
      <c r="G17" s="5">
        <v>12185</v>
      </c>
      <c r="H17" s="4">
        <f t="shared" si="5"/>
        <v>0.41421568627450983</v>
      </c>
      <c r="I17" s="5">
        <f t="shared" si="6"/>
        <v>14.932598039215685</v>
      </c>
      <c r="J17" s="44">
        <f>I17/H17</f>
        <v>36.050295857988161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0.53412345679012341</v>
      </c>
      <c r="G18" s="16">
        <f t="shared" ref="G18" si="7">G17/G16</f>
        <v>0.60172839506172837</v>
      </c>
      <c r="H18" s="16"/>
      <c r="I18" s="16"/>
      <c r="J18" s="16"/>
      <c r="K18" s="45"/>
    </row>
    <row r="19" spans="1:11" ht="16.5" thickTop="1" thickBot="1" x14ac:dyDescent="0.25">
      <c r="A19" s="1">
        <f>$A$7</f>
        <v>2012</v>
      </c>
      <c r="B19" s="3">
        <f>$B$7</f>
        <v>162</v>
      </c>
      <c r="C19" s="4">
        <f>$C$7</f>
        <v>816</v>
      </c>
      <c r="D19" s="4">
        <f>G19/$J$7</f>
        <v>1478.125</v>
      </c>
      <c r="E19" s="4">
        <v>0</v>
      </c>
      <c r="F19" s="13">
        <f t="shared" ref="F19:F20" si="8">SUM(D19:E19)</f>
        <v>1478.125</v>
      </c>
      <c r="G19" s="14">
        <v>47300</v>
      </c>
      <c r="H19" s="13">
        <f t="shared" ref="H19:H20" si="9">F19/C19</f>
        <v>1.8114276960784315</v>
      </c>
      <c r="I19" s="14">
        <f t="shared" ref="I19:I20" si="10">G19/C19</f>
        <v>57.965686274509807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2012</v>
      </c>
      <c r="B20" s="3">
        <f>$B$7</f>
        <v>162</v>
      </c>
      <c r="C20" s="4">
        <f>$C$7</f>
        <v>816</v>
      </c>
      <c r="D20" s="48">
        <v>1489</v>
      </c>
      <c r="E20" s="48">
        <v>0</v>
      </c>
      <c r="F20" s="4">
        <f t="shared" si="8"/>
        <v>1489</v>
      </c>
      <c r="G20" s="5">
        <v>32698</v>
      </c>
      <c r="H20" s="4">
        <f t="shared" si="9"/>
        <v>1.8247549019607843</v>
      </c>
      <c r="I20" s="5">
        <f t="shared" si="10"/>
        <v>40.071078431372548</v>
      </c>
      <c r="J20" s="44">
        <f>I20/H20</f>
        <v>21.959704499664205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1.0073572938689217</v>
      </c>
      <c r="G21" s="16">
        <f t="shared" ref="G21" si="11">G20/G19</f>
        <v>0.69128964059196618</v>
      </c>
      <c r="H21" s="16"/>
      <c r="I21" s="16"/>
      <c r="J21" s="45"/>
      <c r="K21" s="45"/>
    </row>
    <row r="22" spans="1:11" ht="16.5" thickTop="1" thickBot="1" x14ac:dyDescent="0.25">
      <c r="A22" s="1">
        <f>$A$7</f>
        <v>2012</v>
      </c>
      <c r="B22" s="3">
        <f>$B$7</f>
        <v>162</v>
      </c>
      <c r="C22" s="4">
        <f>$C$7</f>
        <v>816</v>
      </c>
      <c r="D22" s="4">
        <f>G22/$J$7</f>
        <v>4368.75</v>
      </c>
      <c r="E22" s="4">
        <v>0</v>
      </c>
      <c r="F22" s="13">
        <f>SUM(D22:E22)</f>
        <v>4368.75</v>
      </c>
      <c r="G22" s="14">
        <v>139800</v>
      </c>
      <c r="H22" s="13">
        <f>F22/C22</f>
        <v>5.3538602941176467</v>
      </c>
      <c r="I22" s="14">
        <f>G22/C22</f>
        <v>171.3235294117647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2012</v>
      </c>
      <c r="B23" s="3">
        <f>$B$7</f>
        <v>162</v>
      </c>
      <c r="C23" s="4">
        <f>$C$7</f>
        <v>816</v>
      </c>
      <c r="D23" s="48">
        <v>9320</v>
      </c>
      <c r="E23" s="48">
        <v>0</v>
      </c>
      <c r="F23" s="4">
        <f>SUM(D23:E23)</f>
        <v>9320</v>
      </c>
      <c r="G23" s="5">
        <v>177292</v>
      </c>
      <c r="H23" s="4">
        <f>F23/C23</f>
        <v>11.421568627450981</v>
      </c>
      <c r="I23" s="5">
        <f>G23/C23</f>
        <v>217.26960784313727</v>
      </c>
      <c r="J23" s="44">
        <f>I23/H23</f>
        <v>19.022746781115881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2.1333333333333333</v>
      </c>
      <c r="G24" s="16">
        <f t="shared" ref="G24" si="12">G23/G22</f>
        <v>1.2681831187410586</v>
      </c>
      <c r="H24" s="16"/>
      <c r="I24" s="16"/>
      <c r="J24" s="17"/>
      <c r="K24" s="17"/>
    </row>
    <row r="25" spans="1:11" ht="16.5" thickTop="1" thickBot="1" x14ac:dyDescent="0.25">
      <c r="A25" s="1">
        <f>$A$7</f>
        <v>2012</v>
      </c>
      <c r="B25" s="3">
        <f>$B$7</f>
        <v>162</v>
      </c>
      <c r="C25" s="4">
        <v>814</v>
      </c>
      <c r="D25" s="4">
        <f>G25/$J$7</f>
        <v>968.75</v>
      </c>
      <c r="E25" s="4">
        <v>0</v>
      </c>
      <c r="F25" s="13">
        <f>SUM(D25:E25)</f>
        <v>968.75</v>
      </c>
      <c r="G25" s="14">
        <v>31000</v>
      </c>
      <c r="H25" s="13">
        <f>F25/C25</f>
        <v>1.190110565110565</v>
      </c>
      <c r="I25" s="14">
        <f>G25/C25</f>
        <v>38.08353808353808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2012</v>
      </c>
      <c r="B26" s="3">
        <f>$B$7</f>
        <v>162</v>
      </c>
      <c r="C26" s="4">
        <f>C25</f>
        <v>814</v>
      </c>
      <c r="D26" s="48">
        <v>1841</v>
      </c>
      <c r="E26" s="48">
        <v>0</v>
      </c>
      <c r="F26" s="4">
        <f>SUM(D26:E26)</f>
        <v>1841</v>
      </c>
      <c r="G26" s="5">
        <v>34658</v>
      </c>
      <c r="H26" s="4">
        <f>F26/C26</f>
        <v>2.2616707616707616</v>
      </c>
      <c r="I26" s="5">
        <f>G26/C26</f>
        <v>42.577395577395578</v>
      </c>
      <c r="J26" s="44">
        <f>I26/H26</f>
        <v>18.82563824008691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1.9003870967741936</v>
      </c>
      <c r="G27" s="16">
        <f t="shared" ref="G27" si="13">G26/G25</f>
        <v>1.1180000000000001</v>
      </c>
      <c r="H27" s="16"/>
      <c r="I27" s="16"/>
      <c r="J27" s="17"/>
      <c r="K27" s="17"/>
    </row>
    <row r="28" spans="1:11" ht="16.5" thickTop="1" thickBot="1" x14ac:dyDescent="0.25">
      <c r="A28" s="1">
        <f>$A$7</f>
        <v>2012</v>
      </c>
      <c r="B28" s="3">
        <f>$B$7</f>
        <v>162</v>
      </c>
      <c r="C28" s="4">
        <f>$C$7</f>
        <v>816</v>
      </c>
      <c r="D28" s="4">
        <f>G28/$J$7</f>
        <v>2113.28125</v>
      </c>
      <c r="E28" s="4">
        <v>0</v>
      </c>
      <c r="F28" s="13">
        <f>SUM(D28:E28)</f>
        <v>2113.28125</v>
      </c>
      <c r="G28" s="14">
        <v>67625</v>
      </c>
      <c r="H28" s="13">
        <f>F28/C28</f>
        <v>2.5898054534313726</v>
      </c>
      <c r="I28" s="14">
        <f>G28/C28</f>
        <v>82.873774509803923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2012</v>
      </c>
      <c r="B29" s="3">
        <f>$B$7</f>
        <v>162</v>
      </c>
      <c r="C29" s="4">
        <f>$C$7</f>
        <v>816</v>
      </c>
      <c r="D29" s="48">
        <v>1621</v>
      </c>
      <c r="E29" s="48">
        <v>0</v>
      </c>
      <c r="F29" s="4">
        <f>SUM(D29:E29)</f>
        <v>1621</v>
      </c>
      <c r="G29" s="5">
        <v>34489</v>
      </c>
      <c r="H29" s="4">
        <f>F29/C29</f>
        <v>1.9865196078431373</v>
      </c>
      <c r="I29" s="5">
        <f>G29/C29</f>
        <v>42.265931372549019</v>
      </c>
      <c r="J29" s="44">
        <f>I29/H29</f>
        <v>21.276372609500307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0.76705360443622916</v>
      </c>
      <c r="G30" s="16">
        <f t="shared" ref="G30" si="14">G29/G28</f>
        <v>0.510003696857671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2012</v>
      </c>
      <c r="B33" s="3">
        <f>$B$7</f>
        <v>162</v>
      </c>
      <c r="C33" s="4">
        <f>$C$7</f>
        <v>816</v>
      </c>
      <c r="D33" s="13">
        <f>SUM(D28,D22,D19)</f>
        <v>7960.15625</v>
      </c>
      <c r="E33" s="13">
        <v>0</v>
      </c>
      <c r="F33" s="13">
        <f t="shared" ref="F33" si="15">SUM(D33:E33)</f>
        <v>7960.15625</v>
      </c>
      <c r="G33" s="14">
        <f>SUM(G28,G22,G19)</f>
        <v>254725</v>
      </c>
      <c r="H33" s="34">
        <f t="shared" ref="H33:H34" si="16">F33/C33</f>
        <v>9.7550934436274517</v>
      </c>
      <c r="I33" s="39">
        <f t="shared" ref="I33:I34" si="17">G33/C33</f>
        <v>312.16299019607845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2012</v>
      </c>
      <c r="B34" s="3">
        <f>$B$7</f>
        <v>162</v>
      </c>
      <c r="C34" s="4">
        <f>$C$7</f>
        <v>816</v>
      </c>
      <c r="D34" s="4">
        <f>SUM(D29,D23,D20)</f>
        <v>12430</v>
      </c>
      <c r="E34" s="49">
        <v>0</v>
      </c>
      <c r="F34" s="4">
        <f>SUM(D34)</f>
        <v>12430</v>
      </c>
      <c r="G34" s="50">
        <f>SUM(G29,G23,G20)</f>
        <v>244479</v>
      </c>
      <c r="H34" s="41">
        <f t="shared" si="16"/>
        <v>15.232843137254902</v>
      </c>
      <c r="I34" s="42">
        <f t="shared" si="17"/>
        <v>299.60661764705884</v>
      </c>
      <c r="J34" s="43">
        <f>I34/H34</f>
        <v>19.668463395012068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0.95977622926685646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15.232843137254902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2.2616707616707616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17.903186274509803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6"/>
  <sheetViews>
    <sheetView view="pageBreakPreview" zoomScaleNormal="120" zoomScaleSheetLayoutView="100" workbookViewId="0">
      <selection activeCell="D20" sqref="D2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2013</v>
      </c>
      <c r="B7" s="3">
        <v>112</v>
      </c>
      <c r="C7" s="4">
        <v>555</v>
      </c>
      <c r="D7" s="4">
        <f>G7/$J$7</f>
        <v>6566.71875</v>
      </c>
      <c r="E7" s="4">
        <v>0</v>
      </c>
      <c r="F7" s="4">
        <f t="shared" ref="F7" si="0">SUM(D7:E7)</f>
        <v>6566.71875</v>
      </c>
      <c r="G7" s="5">
        <f>SUM(G16,G19,G22,G25,G28)</f>
        <v>210135</v>
      </c>
      <c r="H7" s="9">
        <f t="shared" ref="H7" si="1">F7/C7</f>
        <v>11.831925675675675</v>
      </c>
      <c r="I7" s="11">
        <f t="shared" ref="I7:I8" si="2">G7/C7</f>
        <v>378.62162162162161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2013</v>
      </c>
      <c r="B8" s="3">
        <f>B7</f>
        <v>112</v>
      </c>
      <c r="C8" s="4">
        <f>C7</f>
        <v>555</v>
      </c>
      <c r="D8" s="4">
        <f>SUM(D17,D20,D23,D26,D29)</f>
        <v>9346</v>
      </c>
      <c r="E8" s="4">
        <v>0</v>
      </c>
      <c r="F8" s="4">
        <f>SUM(D8)</f>
        <v>9346</v>
      </c>
      <c r="G8" s="5">
        <f>SUM(G17,G20,G23,G26,G29)</f>
        <v>193220</v>
      </c>
      <c r="H8" s="58">
        <f>F8/C8</f>
        <v>16.839639639639639</v>
      </c>
      <c r="I8" s="42">
        <f t="shared" si="2"/>
        <v>348.14414414414415</v>
      </c>
      <c r="J8" s="43">
        <f>I8/H8</f>
        <v>20.674085170126258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1.423237442596426</v>
      </c>
      <c r="G10" s="62">
        <f t="shared" ref="G10" si="3">G8/G7</f>
        <v>0.91950412829847483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-2779.28125</v>
      </c>
      <c r="G12" s="47">
        <f>G7-G8</f>
        <v>16915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2013</v>
      </c>
      <c r="B16" s="3">
        <f>$B$7</f>
        <v>112</v>
      </c>
      <c r="C16" s="4">
        <f>$C$7</f>
        <v>555</v>
      </c>
      <c r="D16" s="4">
        <f>G16/$J$7</f>
        <v>437.5</v>
      </c>
      <c r="E16" s="4">
        <v>0</v>
      </c>
      <c r="F16" s="13">
        <f t="shared" ref="F16:F17" si="4">SUM(D16:E16)</f>
        <v>437.5</v>
      </c>
      <c r="G16" s="14">
        <v>14000</v>
      </c>
      <c r="H16" s="13">
        <f t="shared" ref="H16:H17" si="5">F16/C16</f>
        <v>0.78828828828828834</v>
      </c>
      <c r="I16" s="14">
        <f t="shared" ref="I16:I17" si="6">G16/C16</f>
        <v>25.225225225225227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2013</v>
      </c>
      <c r="B17" s="3">
        <f>$B$7</f>
        <v>112</v>
      </c>
      <c r="C17" s="4">
        <f>$C$7</f>
        <v>555</v>
      </c>
      <c r="D17" s="48">
        <v>289</v>
      </c>
      <c r="E17" s="48">
        <v>0</v>
      </c>
      <c r="F17" s="4">
        <f t="shared" si="4"/>
        <v>289</v>
      </c>
      <c r="G17" s="5">
        <v>10547</v>
      </c>
      <c r="H17" s="4">
        <f t="shared" si="5"/>
        <v>0.52072072072072073</v>
      </c>
      <c r="I17" s="5">
        <f t="shared" si="6"/>
        <v>19.003603603603604</v>
      </c>
      <c r="J17" s="44">
        <f>I17/H17</f>
        <v>36.494809688581313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0.66057142857142859</v>
      </c>
      <c r="G18" s="16">
        <f t="shared" ref="G18" si="7">G17/G16</f>
        <v>0.75335714285714284</v>
      </c>
      <c r="H18" s="16"/>
      <c r="I18" s="16"/>
      <c r="J18" s="16"/>
      <c r="K18" s="45"/>
    </row>
    <row r="19" spans="1:11" ht="16.5" thickTop="1" thickBot="1" x14ac:dyDescent="0.25">
      <c r="A19" s="1">
        <f>$A$7</f>
        <v>2013</v>
      </c>
      <c r="B19" s="3">
        <f>$B$7</f>
        <v>112</v>
      </c>
      <c r="C19" s="4">
        <f>$C$7</f>
        <v>555</v>
      </c>
      <c r="D19" s="4">
        <f>G19/$J$7</f>
        <v>1084.6875</v>
      </c>
      <c r="E19" s="4">
        <v>0</v>
      </c>
      <c r="F19" s="13">
        <f t="shared" ref="F19:F20" si="8">SUM(D19:E19)</f>
        <v>1084.6875</v>
      </c>
      <c r="G19" s="14">
        <v>34710</v>
      </c>
      <c r="H19" s="13">
        <f t="shared" ref="H19:H20" si="9">F19/C19</f>
        <v>1.9543918918918919</v>
      </c>
      <c r="I19" s="14">
        <f t="shared" ref="I19:I20" si="10">G19/C19</f>
        <v>62.54054054054054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2013</v>
      </c>
      <c r="B20" s="3">
        <f>$B$7</f>
        <v>112</v>
      </c>
      <c r="C20" s="4">
        <f>$C$7</f>
        <v>555</v>
      </c>
      <c r="D20" s="48">
        <v>1385</v>
      </c>
      <c r="E20" s="48">
        <v>0</v>
      </c>
      <c r="F20" s="4">
        <f t="shared" si="8"/>
        <v>1385</v>
      </c>
      <c r="G20" s="5">
        <v>30402</v>
      </c>
      <c r="H20" s="4">
        <f t="shared" si="9"/>
        <v>2.4954954954954953</v>
      </c>
      <c r="I20" s="5">
        <f t="shared" si="10"/>
        <v>54.778378378378378</v>
      </c>
      <c r="J20" s="44">
        <f>I20/H20</f>
        <v>21.950902527075815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1.2768654566407376</v>
      </c>
      <c r="G21" s="16">
        <f t="shared" ref="G21" si="11">G20/G19</f>
        <v>0.87588591184096798</v>
      </c>
      <c r="H21" s="16"/>
      <c r="I21" s="16"/>
      <c r="J21" s="45"/>
      <c r="K21" s="45"/>
    </row>
    <row r="22" spans="1:11" ht="16.5" thickTop="1" thickBot="1" x14ac:dyDescent="0.25">
      <c r="A22" s="1">
        <f>$A$7</f>
        <v>2013</v>
      </c>
      <c r="B22" s="3">
        <f>$B$7</f>
        <v>112</v>
      </c>
      <c r="C22" s="4">
        <f>$C$7</f>
        <v>555</v>
      </c>
      <c r="D22" s="4">
        <f>G22/$J$7</f>
        <v>3009.6875</v>
      </c>
      <c r="E22" s="4">
        <v>0</v>
      </c>
      <c r="F22" s="13">
        <f>SUM(D22:E22)</f>
        <v>3009.6875</v>
      </c>
      <c r="G22" s="14">
        <v>96310</v>
      </c>
      <c r="H22" s="13">
        <f>F22/C22</f>
        <v>5.4228603603603602</v>
      </c>
      <c r="I22" s="14">
        <f>G22/C22</f>
        <v>173.53153153153153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2013</v>
      </c>
      <c r="B23" s="3">
        <f>$B$7</f>
        <v>112</v>
      </c>
      <c r="C23" s="4">
        <f>$C$7</f>
        <v>555</v>
      </c>
      <c r="D23" s="48">
        <v>5473</v>
      </c>
      <c r="E23" s="48">
        <v>0</v>
      </c>
      <c r="F23" s="4">
        <f>SUM(D23:E23)</f>
        <v>5473</v>
      </c>
      <c r="G23" s="5">
        <v>108230</v>
      </c>
      <c r="H23" s="4">
        <f>F23/C23</f>
        <v>9.8612612612612605</v>
      </c>
      <c r="I23" s="5">
        <f>G23/C23</f>
        <v>195.00900900900902</v>
      </c>
      <c r="J23" s="44">
        <f>I23/H23</f>
        <v>19.775260369084599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1.8184612189803759</v>
      </c>
      <c r="G24" s="16">
        <f t="shared" ref="G24" si="12">G23/G22</f>
        <v>1.1237670023881217</v>
      </c>
      <c r="H24" s="16"/>
      <c r="I24" s="16"/>
      <c r="J24" s="17"/>
      <c r="K24" s="17"/>
    </row>
    <row r="25" spans="1:11" ht="16.5" thickTop="1" thickBot="1" x14ac:dyDescent="0.25">
      <c r="A25" s="1">
        <f>$A$7</f>
        <v>2013</v>
      </c>
      <c r="B25" s="3">
        <f>$B$7</f>
        <v>112</v>
      </c>
      <c r="C25" s="4">
        <v>572</v>
      </c>
      <c r="D25" s="4">
        <f>G25/$J$7</f>
        <v>625.625</v>
      </c>
      <c r="E25" s="4">
        <v>0</v>
      </c>
      <c r="F25" s="13">
        <f>SUM(D25:E25)</f>
        <v>625.625</v>
      </c>
      <c r="G25" s="14">
        <v>20020</v>
      </c>
      <c r="H25" s="13">
        <f>F25/C25</f>
        <v>1.09375</v>
      </c>
      <c r="I25" s="14">
        <f>G25/C25</f>
        <v>35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2013</v>
      </c>
      <c r="B26" s="3">
        <f>$B$7</f>
        <v>112</v>
      </c>
      <c r="C26" s="4">
        <f>C25</f>
        <v>572</v>
      </c>
      <c r="D26" s="48">
        <v>1320</v>
      </c>
      <c r="E26" s="48">
        <v>0</v>
      </c>
      <c r="F26" s="4">
        <f>SUM(D26:E26)</f>
        <v>1320</v>
      </c>
      <c r="G26" s="5">
        <v>23388</v>
      </c>
      <c r="H26" s="4">
        <f>F26/C26</f>
        <v>2.3076923076923075</v>
      </c>
      <c r="I26" s="5">
        <f>G26/C26</f>
        <v>40.888111888111887</v>
      </c>
      <c r="J26" s="44">
        <f>I26/H26</f>
        <v>17.718181818181819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2.1098901098901099</v>
      </c>
      <c r="G27" s="16">
        <f t="shared" ref="G27" si="13">G26/G25</f>
        <v>1.1682317682317682</v>
      </c>
      <c r="H27" s="16"/>
      <c r="I27" s="16"/>
      <c r="J27" s="17"/>
      <c r="K27" s="17"/>
    </row>
    <row r="28" spans="1:11" ht="16.5" thickTop="1" thickBot="1" x14ac:dyDescent="0.25">
      <c r="A28" s="1">
        <f>$A$7</f>
        <v>2013</v>
      </c>
      <c r="B28" s="3">
        <f>$B$7</f>
        <v>112</v>
      </c>
      <c r="C28" s="4">
        <f>$C$7</f>
        <v>555</v>
      </c>
      <c r="D28" s="4">
        <f>G28/$J$7</f>
        <v>1409.21875</v>
      </c>
      <c r="E28" s="4">
        <v>0</v>
      </c>
      <c r="F28" s="13">
        <f>SUM(D28:E28)</f>
        <v>1409.21875</v>
      </c>
      <c r="G28" s="14">
        <v>45095</v>
      </c>
      <c r="H28" s="13">
        <f>F28/C28</f>
        <v>2.5391328828828827</v>
      </c>
      <c r="I28" s="14">
        <f>G28/C28</f>
        <v>81.252252252252248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2013</v>
      </c>
      <c r="B29" s="3">
        <f>$B$7</f>
        <v>112</v>
      </c>
      <c r="C29" s="4">
        <f>$C$7</f>
        <v>555</v>
      </c>
      <c r="D29" s="48">
        <v>879</v>
      </c>
      <c r="E29" s="48">
        <v>0</v>
      </c>
      <c r="F29" s="4">
        <f>SUM(D29:E29)</f>
        <v>879</v>
      </c>
      <c r="G29" s="5">
        <v>20653</v>
      </c>
      <c r="H29" s="4">
        <f>F29/C29</f>
        <v>1.5837837837837838</v>
      </c>
      <c r="I29" s="5">
        <f>G29/C29</f>
        <v>37.21261261261261</v>
      </c>
      <c r="J29" s="44">
        <f>I29/H29</f>
        <v>23.496018202502842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0.62374986140370325</v>
      </c>
      <c r="G30" s="16">
        <f t="shared" ref="G30" si="14">G29/G28</f>
        <v>0.45798869054218871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2013</v>
      </c>
      <c r="B33" s="3">
        <f>$B$7</f>
        <v>112</v>
      </c>
      <c r="C33" s="4">
        <f>$C$7</f>
        <v>555</v>
      </c>
      <c r="D33" s="13">
        <f>SUM(D28,D22,D19)</f>
        <v>5503.59375</v>
      </c>
      <c r="E33" s="13">
        <v>0</v>
      </c>
      <c r="F33" s="13">
        <f t="shared" ref="F33" si="15">SUM(D33:E33)</f>
        <v>5503.59375</v>
      </c>
      <c r="G33" s="14">
        <f>SUM(G28,G22,G19)</f>
        <v>176115</v>
      </c>
      <c r="H33" s="34">
        <f t="shared" ref="H33:H34" si="16">F33/C33</f>
        <v>9.9163851351351351</v>
      </c>
      <c r="I33" s="39">
        <f t="shared" ref="I33:I34" si="17">G33/C33</f>
        <v>317.32432432432432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2013</v>
      </c>
      <c r="B34" s="3">
        <f>$B$7</f>
        <v>112</v>
      </c>
      <c r="C34" s="4">
        <f>$C$7</f>
        <v>555</v>
      </c>
      <c r="D34" s="4">
        <f>SUM(D29,D23,D20)</f>
        <v>7737</v>
      </c>
      <c r="E34" s="49">
        <v>0</v>
      </c>
      <c r="F34" s="4">
        <f>SUM(D34)</f>
        <v>7737</v>
      </c>
      <c r="G34" s="50">
        <f>SUM(G29,G23,G20)</f>
        <v>159285</v>
      </c>
      <c r="H34" s="41">
        <f t="shared" si="16"/>
        <v>13.940540540540541</v>
      </c>
      <c r="I34" s="42">
        <f t="shared" si="17"/>
        <v>287</v>
      </c>
      <c r="J34" s="43">
        <f>I34/H34</f>
        <v>20.587436991081816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0.90443744144451066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13.940540540540541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2.3076923076923075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16.839639639639639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2014</v>
      </c>
      <c r="B7" s="3">
        <v>258</v>
      </c>
      <c r="C7" s="4">
        <v>1475</v>
      </c>
      <c r="D7" s="4">
        <f>G7/$J$7</f>
        <v>24156.96875</v>
      </c>
      <c r="E7" s="4">
        <v>0</v>
      </c>
      <c r="F7" s="4">
        <f t="shared" ref="F7" si="0">SUM(D7:E7)</f>
        <v>24156.96875</v>
      </c>
      <c r="G7" s="5">
        <f>SUM(G16,G19,G22,G25,G28)</f>
        <v>773023</v>
      </c>
      <c r="H7" s="9">
        <f t="shared" ref="H7" si="1">F7/C7</f>
        <v>16.377605932203391</v>
      </c>
      <c r="I7" s="11">
        <f t="shared" ref="I7:I8" si="2">G7/C7</f>
        <v>524.08338983050851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2014</v>
      </c>
      <c r="B8" s="3">
        <v>110</v>
      </c>
      <c r="C8" s="4">
        <f>C7</f>
        <v>1475</v>
      </c>
      <c r="D8" s="4">
        <f>SUM(D17,D20,D23,D26,D29)</f>
        <v>37960</v>
      </c>
      <c r="E8" s="4">
        <v>0</v>
      </c>
      <c r="F8" s="4">
        <f>SUM(D8)</f>
        <v>37960</v>
      </c>
      <c r="G8" s="5">
        <f>SUM(G17,G20,G23,G26,G29)</f>
        <v>788620</v>
      </c>
      <c r="H8" s="58">
        <f>F8/C8</f>
        <v>25.735593220338984</v>
      </c>
      <c r="I8" s="42">
        <f t="shared" si="2"/>
        <v>534.65762711864409</v>
      </c>
      <c r="J8" s="43">
        <f>I8/H8</f>
        <v>20.775026343519492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1.5713892083417957</v>
      </c>
      <c r="G10" s="62">
        <f t="shared" ref="G10" si="3">G8/G7</f>
        <v>1.0201766312257203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-13803.03125</v>
      </c>
      <c r="G12" s="47">
        <f>G7-G8</f>
        <v>-15597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2014</v>
      </c>
      <c r="B16" s="3">
        <f>$B$7</f>
        <v>258</v>
      </c>
      <c r="C16" s="4">
        <f>$C$7</f>
        <v>1475</v>
      </c>
      <c r="D16" s="4">
        <f>G16/$J$7</f>
        <v>1338.53125</v>
      </c>
      <c r="E16" s="4">
        <v>0</v>
      </c>
      <c r="F16" s="13">
        <f t="shared" ref="F16:F17" si="4">SUM(D16:E16)</f>
        <v>1338.53125</v>
      </c>
      <c r="G16" s="14">
        <v>42833</v>
      </c>
      <c r="H16" s="13">
        <f t="shared" ref="H16:H17" si="5">F16/C16</f>
        <v>0.90747881355932203</v>
      </c>
      <c r="I16" s="14">
        <f t="shared" ref="I16:I17" si="6">G16/C16</f>
        <v>29.039322033898305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2014</v>
      </c>
      <c r="B17" s="3">
        <f>$B$7</f>
        <v>258</v>
      </c>
      <c r="C17" s="4">
        <f>$C$7</f>
        <v>1475</v>
      </c>
      <c r="D17" s="48">
        <v>1072</v>
      </c>
      <c r="E17" s="48">
        <v>0</v>
      </c>
      <c r="F17" s="4">
        <f t="shared" si="4"/>
        <v>1072</v>
      </c>
      <c r="G17" s="5">
        <v>45984</v>
      </c>
      <c r="H17" s="4">
        <f t="shared" si="5"/>
        <v>0.72677966101694913</v>
      </c>
      <c r="I17" s="5">
        <f t="shared" si="6"/>
        <v>31.175593220338982</v>
      </c>
      <c r="J17" s="44">
        <f>I17/H17</f>
        <v>42.895522388059703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0.8008778278430182</v>
      </c>
      <c r="G18" s="16">
        <f t="shared" ref="G18" si="7">G17/G16</f>
        <v>1.0735647748231503</v>
      </c>
      <c r="H18" s="16"/>
      <c r="I18" s="16"/>
      <c r="J18" s="16"/>
      <c r="K18" s="45"/>
    </row>
    <row r="19" spans="1:11" ht="16.5" thickTop="1" thickBot="1" x14ac:dyDescent="0.25">
      <c r="A19" s="1">
        <f>$A$7</f>
        <v>2014</v>
      </c>
      <c r="B19" s="3">
        <f>$B$7</f>
        <v>258</v>
      </c>
      <c r="C19" s="4">
        <f>$C$7</f>
        <v>1475</v>
      </c>
      <c r="D19" s="4">
        <f>G19/$J$7</f>
        <v>4383.40625</v>
      </c>
      <c r="E19" s="4">
        <v>0</v>
      </c>
      <c r="F19" s="13">
        <f t="shared" ref="F19:F20" si="8">SUM(D19:E19)</f>
        <v>4383.40625</v>
      </c>
      <c r="G19" s="14">
        <v>140269</v>
      </c>
      <c r="H19" s="13">
        <f t="shared" ref="H19:H20" si="9">F19/C19</f>
        <v>2.9718008474576272</v>
      </c>
      <c r="I19" s="14">
        <f t="shared" ref="I19:I20" si="10">G19/C19</f>
        <v>95.09762711864407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2014</v>
      </c>
      <c r="B20" s="3">
        <f>$B$7</f>
        <v>258</v>
      </c>
      <c r="C20" s="4">
        <f>$C$7</f>
        <v>1475</v>
      </c>
      <c r="D20" s="48">
        <v>6182</v>
      </c>
      <c r="E20" s="48">
        <v>0</v>
      </c>
      <c r="F20" s="4">
        <f t="shared" si="8"/>
        <v>6182</v>
      </c>
      <c r="G20" s="5">
        <v>130054</v>
      </c>
      <c r="H20" s="4">
        <f t="shared" si="9"/>
        <v>4.1911864406779662</v>
      </c>
      <c r="I20" s="5">
        <f t="shared" si="10"/>
        <v>88.172203389830514</v>
      </c>
      <c r="J20" s="44">
        <f>I20/H20</f>
        <v>21.037528307990943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1.4103187446976879</v>
      </c>
      <c r="G21" s="16">
        <f t="shared" ref="G21" si="11">G20/G19</f>
        <v>0.92717564108962069</v>
      </c>
      <c r="H21" s="16"/>
      <c r="I21" s="16"/>
      <c r="J21" s="45"/>
      <c r="K21" s="45"/>
    </row>
    <row r="22" spans="1:11" ht="16.5" thickTop="1" thickBot="1" x14ac:dyDescent="0.25">
      <c r="A22" s="1">
        <f>$A$7</f>
        <v>2014</v>
      </c>
      <c r="B22" s="3">
        <f>$B$7</f>
        <v>258</v>
      </c>
      <c r="C22" s="4">
        <f>$C$7</f>
        <v>1475</v>
      </c>
      <c r="D22" s="4">
        <f>G22/$J$7</f>
        <v>13204.28125</v>
      </c>
      <c r="E22" s="4">
        <v>0</v>
      </c>
      <c r="F22" s="13">
        <f>SUM(D22:E22)</f>
        <v>13204.28125</v>
      </c>
      <c r="G22" s="14">
        <v>422537</v>
      </c>
      <c r="H22" s="13">
        <f>F22/C22</f>
        <v>8.9520550847457621</v>
      </c>
      <c r="I22" s="14">
        <f>G22/C22</f>
        <v>286.46576271186439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2014</v>
      </c>
      <c r="B23" s="3">
        <f>$B$7</f>
        <v>258</v>
      </c>
      <c r="C23" s="4">
        <f>$C$7</f>
        <v>1475</v>
      </c>
      <c r="D23" s="48">
        <v>23450</v>
      </c>
      <c r="E23" s="48">
        <v>0</v>
      </c>
      <c r="F23" s="4">
        <f>SUM(D23:E23)</f>
        <v>23450</v>
      </c>
      <c r="G23" s="5">
        <v>462940</v>
      </c>
      <c r="H23" s="4">
        <f>F23/C23</f>
        <v>15.898305084745763</v>
      </c>
      <c r="I23" s="5">
        <f>G23/C23</f>
        <v>313.85762711864407</v>
      </c>
      <c r="J23" s="44">
        <f>I23/H23</f>
        <v>19.741577825159915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1.7759391485242713</v>
      </c>
      <c r="G24" s="16">
        <f t="shared" ref="G24" si="12">G23/G22</f>
        <v>1.0956200285418791</v>
      </c>
      <c r="H24" s="16"/>
      <c r="I24" s="16"/>
      <c r="J24" s="17"/>
      <c r="K24" s="17"/>
    </row>
    <row r="25" spans="1:11" ht="16.5" thickTop="1" thickBot="1" x14ac:dyDescent="0.25">
      <c r="A25" s="1">
        <f>$A$7</f>
        <v>2014</v>
      </c>
      <c r="B25" s="3">
        <f>$B$7</f>
        <v>258</v>
      </c>
      <c r="C25" s="4">
        <v>1457</v>
      </c>
      <c r="D25" s="4">
        <f>G25/$J$7</f>
        <v>2142.28125</v>
      </c>
      <c r="E25" s="4">
        <v>0</v>
      </c>
      <c r="F25" s="13">
        <f>SUM(D25:E25)</f>
        <v>2142.28125</v>
      </c>
      <c r="G25" s="14">
        <v>68553</v>
      </c>
      <c r="H25" s="13">
        <f>F25/C25</f>
        <v>1.4703371654083734</v>
      </c>
      <c r="I25" s="14">
        <f>G25/C25</f>
        <v>47.05078929306795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2014</v>
      </c>
      <c r="B26" s="3">
        <f>$B$7</f>
        <v>258</v>
      </c>
      <c r="C26" s="4">
        <f>C25</f>
        <v>1457</v>
      </c>
      <c r="D26" s="48">
        <v>3794</v>
      </c>
      <c r="E26" s="48">
        <v>0</v>
      </c>
      <c r="F26" s="4">
        <f>SUM(D26:E26)</f>
        <v>3794</v>
      </c>
      <c r="G26" s="5">
        <v>77918</v>
      </c>
      <c r="H26" s="4">
        <f>F26/C26</f>
        <v>2.6039807824296499</v>
      </c>
      <c r="I26" s="5">
        <f>G26/C26</f>
        <v>53.478380233356212</v>
      </c>
      <c r="J26" s="44">
        <f>I26/H26</f>
        <v>20.537163943068002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1.77100929208058</v>
      </c>
      <c r="G27" s="16">
        <f t="shared" ref="G27" si="13">G26/G25</f>
        <v>1.1366096305048647</v>
      </c>
      <c r="H27" s="16"/>
      <c r="I27" s="16"/>
      <c r="J27" s="17"/>
      <c r="K27" s="17"/>
    </row>
    <row r="28" spans="1:11" ht="16.5" thickTop="1" thickBot="1" x14ac:dyDescent="0.25">
      <c r="A28" s="1">
        <f>$A$7</f>
        <v>2014</v>
      </c>
      <c r="B28" s="3">
        <f>$B$7</f>
        <v>258</v>
      </c>
      <c r="C28" s="4">
        <f>$C$7</f>
        <v>1475</v>
      </c>
      <c r="D28" s="4">
        <f>G28/$J$7</f>
        <v>3088.46875</v>
      </c>
      <c r="E28" s="4">
        <v>0</v>
      </c>
      <c r="F28" s="13">
        <f>SUM(D28:E28)</f>
        <v>3088.46875</v>
      </c>
      <c r="G28" s="14">
        <v>98831</v>
      </c>
      <c r="H28" s="13">
        <f>F28/C28</f>
        <v>2.0938771186440679</v>
      </c>
      <c r="I28" s="14">
        <f>G28/C28</f>
        <v>67.004067796610173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2014</v>
      </c>
      <c r="B29" s="3">
        <f>$B$7</f>
        <v>258</v>
      </c>
      <c r="C29" s="4">
        <f>$C$7</f>
        <v>1475</v>
      </c>
      <c r="D29" s="48">
        <v>3462</v>
      </c>
      <c r="E29" s="48">
        <v>0</v>
      </c>
      <c r="F29" s="4">
        <f>SUM(D29:E29)</f>
        <v>3462</v>
      </c>
      <c r="G29" s="5">
        <v>71724</v>
      </c>
      <c r="H29" s="4">
        <f>F29/C29</f>
        <v>2.3471186440677965</v>
      </c>
      <c r="I29" s="5">
        <f>G29/C29</f>
        <v>48.626440677966102</v>
      </c>
      <c r="J29" s="44">
        <f>I29/H29</f>
        <v>20.717504332755635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1.1209438334125932</v>
      </c>
      <c r="G30" s="16">
        <f t="shared" ref="G30" si="14">G29/G28</f>
        <v>0.72572371017190962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2014</v>
      </c>
      <c r="B33" s="3">
        <f>$B$7</f>
        <v>258</v>
      </c>
      <c r="C33" s="4">
        <f>$C$7</f>
        <v>1475</v>
      </c>
      <c r="D33" s="13">
        <f>SUM(D28,D22,D19)</f>
        <v>20676.15625</v>
      </c>
      <c r="E33" s="13">
        <v>0</v>
      </c>
      <c r="F33" s="13">
        <f t="shared" ref="F33" si="15">SUM(D33:E33)</f>
        <v>20676.15625</v>
      </c>
      <c r="G33" s="14">
        <f>SUM(G28,G22,G19)</f>
        <v>661637</v>
      </c>
      <c r="H33" s="34">
        <f t="shared" ref="H33:H34" si="16">F33/C33</f>
        <v>14.017733050847458</v>
      </c>
      <c r="I33" s="39">
        <f t="shared" ref="I33:I34" si="17">G33/C33</f>
        <v>448.56745762711864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2014</v>
      </c>
      <c r="B34" s="3">
        <f>$B$7</f>
        <v>258</v>
      </c>
      <c r="C34" s="4">
        <f>$C$7</f>
        <v>1475</v>
      </c>
      <c r="D34" s="4">
        <f>SUM(D29,D23,D20)</f>
        <v>33094</v>
      </c>
      <c r="E34" s="49">
        <v>0</v>
      </c>
      <c r="F34" s="4">
        <f>SUM(D34)</f>
        <v>33094</v>
      </c>
      <c r="G34" s="50">
        <f>SUM(G29,G23,G20)</f>
        <v>664718</v>
      </c>
      <c r="H34" s="41">
        <f t="shared" si="16"/>
        <v>22.436610169491527</v>
      </c>
      <c r="I34" s="42">
        <f t="shared" si="17"/>
        <v>450.65627118644068</v>
      </c>
      <c r="J34" s="43">
        <f>I34/H34</f>
        <v>20.085755726113494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1.0046566319598209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22.436610169491527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2.6039807824296499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25.735593220338984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2015</v>
      </c>
      <c r="B7" s="3">
        <v>197</v>
      </c>
      <c r="C7" s="4">
        <v>1120</v>
      </c>
      <c r="D7" s="4">
        <f>G7/$J$7</f>
        <v>14970.3125</v>
      </c>
      <c r="E7" s="4">
        <v>0</v>
      </c>
      <c r="F7" s="4">
        <f t="shared" ref="F7" si="0">SUM(D7:E7)</f>
        <v>14970.3125</v>
      </c>
      <c r="G7" s="5">
        <f>SUM(G16,G19,G22,G25,G28)</f>
        <v>479050</v>
      </c>
      <c r="H7" s="9">
        <f t="shared" ref="H7" si="1">F7/C7</f>
        <v>13.366350446428571</v>
      </c>
      <c r="I7" s="11">
        <f t="shared" ref="I7:I8" si="2">G7/C7</f>
        <v>427.72321428571428</v>
      </c>
      <c r="J7" s="12">
        <v>32</v>
      </c>
      <c r="K7" s="37" t="s">
        <v>10</v>
      </c>
    </row>
    <row r="8" spans="1:11" ht="16.5" thickTop="1" thickBot="1" x14ac:dyDescent="0.25">
      <c r="A8" s="1">
        <f>A7</f>
        <v>2015</v>
      </c>
      <c r="B8" s="3">
        <f>B7</f>
        <v>197</v>
      </c>
      <c r="C8" s="4">
        <f>C7</f>
        <v>1120</v>
      </c>
      <c r="D8" s="4">
        <f>SUM(D17,D20,D23,D26,D29)</f>
        <v>28662</v>
      </c>
      <c r="E8" s="4">
        <v>0</v>
      </c>
      <c r="F8" s="4">
        <f>SUM(D8)</f>
        <v>28662</v>
      </c>
      <c r="G8" s="5">
        <f>SUM(G17,G20,G23,G26,G29)</f>
        <v>583483</v>
      </c>
      <c r="H8" s="58">
        <f>F8/C8</f>
        <v>25.591071428571428</v>
      </c>
      <c r="I8" s="42">
        <f t="shared" si="2"/>
        <v>520.96696428571431</v>
      </c>
      <c r="J8" s="43">
        <f>I8/H8</f>
        <v>20.357372130346803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1.9145892913057092</v>
      </c>
      <c r="G10" s="62">
        <f t="shared" ref="G10" si="3">G8/G7</f>
        <v>1.2180002087464774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-13691.6875</v>
      </c>
      <c r="G12" s="47">
        <f>G7-G8</f>
        <v>-104433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2015</v>
      </c>
      <c r="B16" s="3">
        <f>$B$7</f>
        <v>197</v>
      </c>
      <c r="C16" s="4">
        <f>$C$7</f>
        <v>1120</v>
      </c>
      <c r="D16" s="4">
        <f>G16/$J$7</f>
        <v>879.6875</v>
      </c>
      <c r="E16" s="4">
        <v>0</v>
      </c>
      <c r="F16" s="13">
        <f t="shared" ref="F16:F17" si="4">SUM(D16:E16)</f>
        <v>879.6875</v>
      </c>
      <c r="G16" s="14">
        <v>28150</v>
      </c>
      <c r="H16" s="13">
        <f t="shared" ref="H16:H17" si="5">F16/C16</f>
        <v>0.7854352678571429</v>
      </c>
      <c r="I16" s="14">
        <f t="shared" ref="I16:I17" si="6">G16/C16</f>
        <v>25.133928571428573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2015</v>
      </c>
      <c r="B17" s="3">
        <f>$B$7</f>
        <v>197</v>
      </c>
      <c r="C17" s="4">
        <f>$C$7</f>
        <v>1120</v>
      </c>
      <c r="D17" s="48">
        <v>583</v>
      </c>
      <c r="E17" s="48">
        <v>0</v>
      </c>
      <c r="F17" s="4">
        <f t="shared" si="4"/>
        <v>583</v>
      </c>
      <c r="G17" s="5">
        <v>23938</v>
      </c>
      <c r="H17" s="4">
        <f t="shared" si="5"/>
        <v>0.52053571428571432</v>
      </c>
      <c r="I17" s="5">
        <f t="shared" si="6"/>
        <v>21.373214285714287</v>
      </c>
      <c r="J17" s="44">
        <f>I17/H17</f>
        <v>41.060034305317323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0.66273534635879217</v>
      </c>
      <c r="G18" s="16">
        <f t="shared" ref="G18" si="7">G17/G16</f>
        <v>0.8503730017761989</v>
      </c>
      <c r="H18" s="16"/>
      <c r="I18" s="16"/>
      <c r="J18" s="16"/>
      <c r="K18" s="45"/>
    </row>
    <row r="19" spans="1:11" ht="16.5" thickTop="1" thickBot="1" x14ac:dyDescent="0.25">
      <c r="A19" s="1">
        <f>$A$7</f>
        <v>2015</v>
      </c>
      <c r="B19" s="3">
        <f>$B$7</f>
        <v>197</v>
      </c>
      <c r="C19" s="4">
        <f>$C$7</f>
        <v>1120</v>
      </c>
      <c r="D19" s="4">
        <f>G19/$J$7</f>
        <v>2769.375</v>
      </c>
      <c r="E19" s="4">
        <v>0</v>
      </c>
      <c r="F19" s="13">
        <f t="shared" ref="F19:F20" si="8">SUM(D19:E19)</f>
        <v>2769.375</v>
      </c>
      <c r="G19" s="14">
        <v>88620</v>
      </c>
      <c r="H19" s="13">
        <f t="shared" ref="H19:H20" si="9">F19/C19</f>
        <v>2.47265625</v>
      </c>
      <c r="I19" s="14">
        <f t="shared" ref="I19:I20" si="10">G19/C19</f>
        <v>79.125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2015</v>
      </c>
      <c r="B20" s="3">
        <f>$B$7</f>
        <v>197</v>
      </c>
      <c r="C20" s="4">
        <f>$C$7</f>
        <v>1120</v>
      </c>
      <c r="D20" s="48">
        <v>3100</v>
      </c>
      <c r="E20" s="48">
        <v>0</v>
      </c>
      <c r="F20" s="4">
        <f t="shared" si="8"/>
        <v>3100</v>
      </c>
      <c r="G20" s="5">
        <v>68468</v>
      </c>
      <c r="H20" s="4">
        <f t="shared" si="9"/>
        <v>2.7678571428571428</v>
      </c>
      <c r="I20" s="5">
        <f t="shared" si="10"/>
        <v>61.13214285714286</v>
      </c>
      <c r="J20" s="44">
        <f>I20/H20</f>
        <v>22.086451612903229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/>
      <c r="G21" s="16"/>
      <c r="H21" s="16"/>
      <c r="I21" s="16"/>
      <c r="J21" s="45"/>
      <c r="K21" s="45"/>
    </row>
    <row r="22" spans="1:11" ht="16.5" thickTop="1" thickBot="1" x14ac:dyDescent="0.25">
      <c r="A22" s="1">
        <f>$A$7</f>
        <v>2015</v>
      </c>
      <c r="B22" s="3">
        <f>$B$7</f>
        <v>197</v>
      </c>
      <c r="C22" s="4">
        <f>$C$7</f>
        <v>1120</v>
      </c>
      <c r="D22" s="4">
        <f>G22/$J$7</f>
        <v>8158.125</v>
      </c>
      <c r="E22" s="4">
        <v>0</v>
      </c>
      <c r="F22" s="13">
        <f>SUM(D22:E22)</f>
        <v>8158.125</v>
      </c>
      <c r="G22" s="14">
        <v>261060</v>
      </c>
      <c r="H22" s="13">
        <f>F22/C22</f>
        <v>7.2840401785714288</v>
      </c>
      <c r="I22" s="14">
        <f>G22/C22</f>
        <v>233.08928571428572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2015</v>
      </c>
      <c r="B23" s="3">
        <f>$B$7</f>
        <v>197</v>
      </c>
      <c r="C23" s="4">
        <f>$C$7</f>
        <v>1120</v>
      </c>
      <c r="D23" s="48">
        <v>19734</v>
      </c>
      <c r="E23" s="48">
        <v>0</v>
      </c>
      <c r="F23" s="4">
        <f>SUM(D23:E23)</f>
        <v>19734</v>
      </c>
      <c r="G23" s="5">
        <v>387658</v>
      </c>
      <c r="H23" s="4">
        <f>F23/C23</f>
        <v>17.619642857142857</v>
      </c>
      <c r="I23" s="5">
        <f>G23/C23</f>
        <v>346.12321428571431</v>
      </c>
      <c r="J23" s="44">
        <f>I23/H23</f>
        <v>19.644167426776125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2.4189381751321535</v>
      </c>
      <c r="G24" s="16">
        <f t="shared" ref="G24" si="11">G23/G22</f>
        <v>1.4849383283536353</v>
      </c>
      <c r="H24" s="16"/>
      <c r="I24" s="16"/>
      <c r="J24" s="17"/>
      <c r="K24" s="17"/>
    </row>
    <row r="25" spans="1:11" ht="16.5" thickTop="1" thickBot="1" x14ac:dyDescent="0.25">
      <c r="A25" s="1">
        <f>$A$7</f>
        <v>2015</v>
      </c>
      <c r="B25" s="3">
        <f>$B$7</f>
        <v>197</v>
      </c>
      <c r="C25" s="4">
        <v>1115</v>
      </c>
      <c r="D25" s="4">
        <f>G25/$J$7</f>
        <v>1427.03125</v>
      </c>
      <c r="E25" s="4">
        <v>0</v>
      </c>
      <c r="F25" s="13">
        <f>SUM(D25:E25)</f>
        <v>1427.03125</v>
      </c>
      <c r="G25" s="14">
        <v>45665</v>
      </c>
      <c r="H25" s="13">
        <f>F25/C25</f>
        <v>1.2798486547085202</v>
      </c>
      <c r="I25" s="14">
        <f>G25/C25</f>
        <v>40.955156950672645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2015</v>
      </c>
      <c r="B26" s="3">
        <f>$B$7</f>
        <v>197</v>
      </c>
      <c r="C26" s="4">
        <f>C25</f>
        <v>1115</v>
      </c>
      <c r="D26" s="48">
        <v>2329</v>
      </c>
      <c r="E26" s="48">
        <v>0</v>
      </c>
      <c r="F26" s="4">
        <f>SUM(D26:E26)</f>
        <v>2329</v>
      </c>
      <c r="G26" s="5">
        <v>45395</v>
      </c>
      <c r="H26" s="4">
        <f>F26/C26</f>
        <v>2.0887892376681614</v>
      </c>
      <c r="I26" s="5">
        <f>G26/C26</f>
        <v>40.713004484304932</v>
      </c>
      <c r="J26" s="44">
        <f>I26/H26</f>
        <v>19.491197939029625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1.6320595642176723</v>
      </c>
      <c r="G27" s="16">
        <f t="shared" ref="G27" si="12">G26/G25</f>
        <v>0.99408737545165882</v>
      </c>
      <c r="H27" s="16"/>
      <c r="I27" s="16"/>
      <c r="J27" s="17"/>
      <c r="K27" s="17"/>
    </row>
    <row r="28" spans="1:11" ht="16.5" thickTop="1" thickBot="1" x14ac:dyDescent="0.25">
      <c r="A28" s="1">
        <f>$A$7</f>
        <v>2015</v>
      </c>
      <c r="B28" s="3">
        <f>$B$7</f>
        <v>197</v>
      </c>
      <c r="C28" s="4">
        <f>$C$7</f>
        <v>1120</v>
      </c>
      <c r="D28" s="4">
        <f>G28/$J$7</f>
        <v>1736.09375</v>
      </c>
      <c r="E28" s="4">
        <v>0</v>
      </c>
      <c r="F28" s="13">
        <f>SUM(D28:E28)</f>
        <v>1736.09375</v>
      </c>
      <c r="G28" s="14">
        <v>55555</v>
      </c>
      <c r="H28" s="13">
        <f>F28/C28</f>
        <v>1.5500837053571428</v>
      </c>
      <c r="I28" s="14">
        <f>G28/C28</f>
        <v>49.602678571428569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2015</v>
      </c>
      <c r="B29" s="3">
        <f>$B$7</f>
        <v>197</v>
      </c>
      <c r="C29" s="4">
        <f>$C$7</f>
        <v>1120</v>
      </c>
      <c r="D29" s="48">
        <v>2916</v>
      </c>
      <c r="E29" s="48">
        <v>0</v>
      </c>
      <c r="F29" s="4">
        <f>SUM(D29:E29)</f>
        <v>2916</v>
      </c>
      <c r="G29" s="5">
        <v>58024</v>
      </c>
      <c r="H29" s="4">
        <f>F29/C29</f>
        <v>2.6035714285714286</v>
      </c>
      <c r="I29" s="5">
        <f>G29/C29</f>
        <v>51.807142857142857</v>
      </c>
      <c r="J29" s="44">
        <f>I29/H29</f>
        <v>19.898491083676269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2015</v>
      </c>
      <c r="B33" s="3">
        <f>$B$7</f>
        <v>197</v>
      </c>
      <c r="C33" s="4">
        <f>$C$7</f>
        <v>1120</v>
      </c>
      <c r="D33" s="13">
        <f>SUM(D28,D22,D19)</f>
        <v>12663.59375</v>
      </c>
      <c r="E33" s="13">
        <v>0</v>
      </c>
      <c r="F33" s="13">
        <f t="shared" ref="F33" si="13">SUM(D33:E33)</f>
        <v>12663.59375</v>
      </c>
      <c r="G33" s="14">
        <f>SUM(G28,G22,G19)</f>
        <v>405235</v>
      </c>
      <c r="H33" s="34">
        <f t="shared" ref="H33:H34" si="14">F33/C33</f>
        <v>11.306780133928571</v>
      </c>
      <c r="I33" s="39">
        <f t="shared" ref="I33:I34" si="15">G33/C33</f>
        <v>361.81696428571428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2015</v>
      </c>
      <c r="B34" s="3">
        <f>$B$7</f>
        <v>197</v>
      </c>
      <c r="C34" s="4">
        <f>$C$7</f>
        <v>1120</v>
      </c>
      <c r="D34" s="4">
        <f>SUM(D29,D23,D20)</f>
        <v>25750</v>
      </c>
      <c r="E34" s="49">
        <v>0</v>
      </c>
      <c r="F34" s="4">
        <f>SUM(D34)</f>
        <v>25750</v>
      </c>
      <c r="G34" s="50">
        <f>SUM(G29,G23,G20)</f>
        <v>514150</v>
      </c>
      <c r="H34" s="41">
        <f t="shared" si="14"/>
        <v>22.991071428571427</v>
      </c>
      <c r="I34" s="42">
        <f t="shared" si="15"/>
        <v>459.0625</v>
      </c>
      <c r="J34" s="43">
        <f>I34/H34</f>
        <v>19.966990291262139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2.0333880341036683</v>
      </c>
      <c r="G35" s="63">
        <f t="shared" ref="G35" si="16">G34/G33</f>
        <v>1.2687699729786419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22.991071428571427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2.0887892376681614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25.591071428571428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2016</v>
      </c>
      <c r="B7" s="3">
        <v>85</v>
      </c>
      <c r="C7" s="4">
        <v>269</v>
      </c>
      <c r="D7" s="4">
        <f>G7/$J$7</f>
        <v>2339.53125</v>
      </c>
      <c r="E7" s="4">
        <v>0</v>
      </c>
      <c r="F7" s="4">
        <f t="shared" ref="F7" si="0">SUM(D7:E7)</f>
        <v>2339.53125</v>
      </c>
      <c r="G7" s="5">
        <f>SUM(G16,G19,G22,G25,G28)</f>
        <v>74865</v>
      </c>
      <c r="H7" s="9">
        <f t="shared" ref="H7" si="1">F7/C7</f>
        <v>8.6971421933085509</v>
      </c>
      <c r="I7" s="11">
        <f t="shared" ref="I7:I8" si="2">G7/C7</f>
        <v>278.30855018587363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85</v>
      </c>
      <c r="C8" s="4">
        <f>C7</f>
        <v>269</v>
      </c>
      <c r="D8" s="4">
        <f>SUM(D17,D20,D23,D26,D29)</f>
        <v>4775</v>
      </c>
      <c r="E8" s="4">
        <v>0</v>
      </c>
      <c r="F8" s="4">
        <f>SUM(D8)</f>
        <v>4775</v>
      </c>
      <c r="G8" s="5">
        <f>SUM(G17,G20,G23,G26,G29)</f>
        <v>97892</v>
      </c>
      <c r="H8" s="58">
        <f>F8/C8</f>
        <v>17.750929368029741</v>
      </c>
      <c r="I8" s="42">
        <f t="shared" si="2"/>
        <v>363.91078066914497</v>
      </c>
      <c r="J8" s="43">
        <f>I8/H8</f>
        <v>20.500942408376961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2.0410071461964869</v>
      </c>
      <c r="G10" s="62">
        <f t="shared" ref="G10" si="3">G8/G7</f>
        <v>1.3075803112268751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-2435.46875</v>
      </c>
      <c r="G12" s="47">
        <f>G7-G8</f>
        <v>-23027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2016</v>
      </c>
      <c r="B16" s="3">
        <f>$B$7</f>
        <v>85</v>
      </c>
      <c r="C16" s="4">
        <f>$C$7</f>
        <v>269</v>
      </c>
      <c r="D16" s="4">
        <f>G16/$J$7</f>
        <v>315.9375</v>
      </c>
      <c r="E16" s="4">
        <v>0</v>
      </c>
      <c r="F16" s="13">
        <f t="shared" ref="F16:F17" si="4">SUM(D16:E16)</f>
        <v>315.9375</v>
      </c>
      <c r="G16" s="14">
        <v>10110</v>
      </c>
      <c r="H16" s="13">
        <f t="shared" ref="H16:H17" si="5">F16/C16</f>
        <v>1.174488847583643</v>
      </c>
      <c r="I16" s="14">
        <f t="shared" ref="I16:I17" si="6">G16/C16</f>
        <v>37.583643122676577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2016</v>
      </c>
      <c r="B17" s="3">
        <f>$B$7</f>
        <v>85</v>
      </c>
      <c r="C17" s="4">
        <f>$C$7</f>
        <v>269</v>
      </c>
      <c r="D17" s="48">
        <v>154</v>
      </c>
      <c r="E17" s="48">
        <v>0</v>
      </c>
      <c r="F17" s="4">
        <f t="shared" si="4"/>
        <v>154</v>
      </c>
      <c r="G17" s="5">
        <v>5893</v>
      </c>
      <c r="H17" s="4">
        <f t="shared" si="5"/>
        <v>0.57249070631970256</v>
      </c>
      <c r="I17" s="5">
        <f t="shared" si="6"/>
        <v>21.907063197026023</v>
      </c>
      <c r="J17" s="44">
        <f>I17/H17</f>
        <v>38.266233766233768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0.4874381800197824</v>
      </c>
      <c r="G18" s="16">
        <f t="shared" ref="G18" si="7">G17/G16</f>
        <v>0.58288822947576657</v>
      </c>
      <c r="H18" s="16"/>
      <c r="I18" s="16"/>
      <c r="J18" s="16"/>
      <c r="K18" s="45"/>
    </row>
    <row r="19" spans="1:11" ht="16.5" thickTop="1" thickBot="1" x14ac:dyDescent="0.25">
      <c r="A19" s="1">
        <f>$A$7</f>
        <v>2016</v>
      </c>
      <c r="B19" s="3">
        <f>$B$7</f>
        <v>85</v>
      </c>
      <c r="C19" s="4">
        <f>$C$7</f>
        <v>269</v>
      </c>
      <c r="D19" s="4">
        <f>G19/$J$7</f>
        <v>140.625</v>
      </c>
      <c r="E19" s="4">
        <v>0</v>
      </c>
      <c r="F19" s="13">
        <f t="shared" ref="F19:F20" si="8">SUM(D19:E19)</f>
        <v>140.625</v>
      </c>
      <c r="G19" s="14">
        <v>4500</v>
      </c>
      <c r="H19" s="13">
        <f t="shared" ref="H19:H20" si="9">F19/C19</f>
        <v>0.52276951672862448</v>
      </c>
      <c r="I19" s="14">
        <f t="shared" ref="I19:I20" si="10">G19/C19</f>
        <v>16.728624535315983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2016</v>
      </c>
      <c r="B20" s="3">
        <f>$B$7</f>
        <v>85</v>
      </c>
      <c r="C20" s="4">
        <f>$C$7</f>
        <v>269</v>
      </c>
      <c r="D20" s="48">
        <v>99</v>
      </c>
      <c r="E20" s="48">
        <v>0</v>
      </c>
      <c r="F20" s="4">
        <f t="shared" si="8"/>
        <v>99</v>
      </c>
      <c r="G20" s="5">
        <v>2307</v>
      </c>
      <c r="H20" s="4">
        <f t="shared" si="9"/>
        <v>0.36802973977695169</v>
      </c>
      <c r="I20" s="5">
        <f t="shared" si="10"/>
        <v>8.5762081784386623</v>
      </c>
      <c r="J20" s="44">
        <f>I20/H20</f>
        <v>23.303030303030305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0.70399999999999996</v>
      </c>
      <c r="G21" s="16">
        <f t="shared" ref="G21" si="11">G20/G19</f>
        <v>0.51266666666666671</v>
      </c>
      <c r="H21" s="16"/>
      <c r="I21" s="16"/>
      <c r="J21" s="45"/>
      <c r="K21" s="45"/>
    </row>
    <row r="22" spans="1:11" ht="16.5" thickTop="1" thickBot="1" x14ac:dyDescent="0.25">
      <c r="A22" s="1">
        <f>$A$7</f>
        <v>2016</v>
      </c>
      <c r="B22" s="3">
        <f>$B$7</f>
        <v>85</v>
      </c>
      <c r="C22" s="4">
        <f>$C$7</f>
        <v>269</v>
      </c>
      <c r="D22" s="4">
        <f>G22/$J$7</f>
        <v>956.09375</v>
      </c>
      <c r="E22" s="4">
        <v>0</v>
      </c>
      <c r="F22" s="13">
        <f>SUM(D22:E22)</f>
        <v>956.09375</v>
      </c>
      <c r="G22" s="14">
        <v>30595</v>
      </c>
      <c r="H22" s="13">
        <f>F22/C22</f>
        <v>3.5542518587360594</v>
      </c>
      <c r="I22" s="14">
        <f>G22/C22</f>
        <v>113.7360594795539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2016</v>
      </c>
      <c r="B23" s="3">
        <f>$B$7</f>
        <v>85</v>
      </c>
      <c r="C23" s="4">
        <f>$C$7</f>
        <v>269</v>
      </c>
      <c r="D23" s="48">
        <v>3261</v>
      </c>
      <c r="E23" s="48">
        <v>0</v>
      </c>
      <c r="F23" s="4">
        <f>SUM(D23:E23)</f>
        <v>3261</v>
      </c>
      <c r="G23" s="5">
        <v>65393</v>
      </c>
      <c r="H23" s="4">
        <f>F23/C23</f>
        <v>12.122676579925651</v>
      </c>
      <c r="I23" s="5">
        <f>G23/C23</f>
        <v>243.09665427509293</v>
      </c>
      <c r="J23" s="44">
        <f>I23/H23</f>
        <v>20.053051211284881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3.4107533910769732</v>
      </c>
      <c r="G24" s="16">
        <f t="shared" ref="G24" si="12">G23/G22</f>
        <v>2.1373753881353164</v>
      </c>
      <c r="H24" s="16"/>
      <c r="I24" s="16"/>
      <c r="J24" s="17"/>
      <c r="K24" s="17"/>
    </row>
    <row r="25" spans="1:11" ht="16.5" thickTop="1" thickBot="1" x14ac:dyDescent="0.25">
      <c r="A25" s="1">
        <f>$A$7</f>
        <v>2016</v>
      </c>
      <c r="B25" s="3">
        <f>$B$7</f>
        <v>85</v>
      </c>
      <c r="C25" s="4">
        <v>272</v>
      </c>
      <c r="D25" s="4">
        <f>G25/$J$7</f>
        <v>306.25</v>
      </c>
      <c r="E25" s="4">
        <v>0</v>
      </c>
      <c r="F25" s="13">
        <f>SUM(D25:E25)</f>
        <v>306.25</v>
      </c>
      <c r="G25" s="14">
        <v>9800</v>
      </c>
      <c r="H25" s="13">
        <f>F25/C25</f>
        <v>1.1259191176470589</v>
      </c>
      <c r="I25" s="14">
        <f>G25/C25</f>
        <v>36.029411764705884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2016</v>
      </c>
      <c r="B26" s="3">
        <f>$B$7</f>
        <v>85</v>
      </c>
      <c r="C26" s="4">
        <f>C25</f>
        <v>272</v>
      </c>
      <c r="D26" s="48">
        <v>421</v>
      </c>
      <c r="E26" s="48">
        <v>0</v>
      </c>
      <c r="F26" s="4">
        <f>SUM(D26:E26)</f>
        <v>421</v>
      </c>
      <c r="G26" s="5">
        <v>9311</v>
      </c>
      <c r="H26" s="4">
        <f>F26/C26</f>
        <v>1.5477941176470589</v>
      </c>
      <c r="I26" s="5">
        <f>G26/C26</f>
        <v>34.231617647058826</v>
      </c>
      <c r="J26" s="44">
        <f>I26/H26</f>
        <v>22.116389548693586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1.3746938775510205</v>
      </c>
      <c r="G27" s="16">
        <f t="shared" ref="G27" si="13">G26/G25</f>
        <v>0.95010204081632654</v>
      </c>
      <c r="H27" s="16"/>
      <c r="I27" s="16"/>
      <c r="J27" s="17"/>
      <c r="K27" s="17"/>
    </row>
    <row r="28" spans="1:11" ht="16.5" thickTop="1" thickBot="1" x14ac:dyDescent="0.25">
      <c r="A28" s="1">
        <f>$A$7</f>
        <v>2016</v>
      </c>
      <c r="B28" s="3">
        <f>$B$7</f>
        <v>85</v>
      </c>
      <c r="C28" s="4">
        <f>$C$7</f>
        <v>269</v>
      </c>
      <c r="D28" s="4">
        <f>G28/$J$7</f>
        <v>620.625</v>
      </c>
      <c r="E28" s="4">
        <v>0</v>
      </c>
      <c r="F28" s="13">
        <f>SUM(D28:E28)</f>
        <v>620.625</v>
      </c>
      <c r="G28" s="14">
        <v>19860</v>
      </c>
      <c r="H28" s="13">
        <f>F28/C28</f>
        <v>2.3071561338289963</v>
      </c>
      <c r="I28" s="14">
        <f>G28/C28</f>
        <v>73.828996282527882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2016</v>
      </c>
      <c r="B29" s="3">
        <f>$B$7</f>
        <v>85</v>
      </c>
      <c r="C29" s="4">
        <f>$C$7</f>
        <v>269</v>
      </c>
      <c r="D29" s="48">
        <v>840</v>
      </c>
      <c r="E29" s="48">
        <v>0</v>
      </c>
      <c r="F29" s="4">
        <f>SUM(D29:E29)</f>
        <v>840</v>
      </c>
      <c r="G29" s="5">
        <v>14988</v>
      </c>
      <c r="H29" s="4">
        <f>F29/C29</f>
        <v>3.1226765799256504</v>
      </c>
      <c r="I29" s="5">
        <f>G29/C29</f>
        <v>55.717472118959108</v>
      </c>
      <c r="J29" s="44">
        <f>I29/H29</f>
        <v>17.842857142857145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2016</v>
      </c>
      <c r="B33" s="3">
        <f>$B$7</f>
        <v>85</v>
      </c>
      <c r="C33" s="4">
        <f>$C$7</f>
        <v>269</v>
      </c>
      <c r="D33" s="13">
        <f>SUM(D28,D22,D19)</f>
        <v>1717.34375</v>
      </c>
      <c r="E33" s="13">
        <v>0</v>
      </c>
      <c r="F33" s="13">
        <f t="shared" ref="F33" si="14">SUM(D33:E33)</f>
        <v>1717.34375</v>
      </c>
      <c r="G33" s="14">
        <f>SUM(G28,G22,G19)</f>
        <v>54955</v>
      </c>
      <c r="H33" s="34">
        <f t="shared" ref="H33:H34" si="15">F33/C33</f>
        <v>6.3841775092936803</v>
      </c>
      <c r="I33" s="39">
        <f t="shared" ref="I33:I34" si="16">G33/C33</f>
        <v>204.29368029739777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2016</v>
      </c>
      <c r="B34" s="3">
        <f>$B$7</f>
        <v>85</v>
      </c>
      <c r="C34" s="4">
        <f>$C$7</f>
        <v>269</v>
      </c>
      <c r="D34" s="4">
        <f>SUM(D29,D23,D20)</f>
        <v>4200</v>
      </c>
      <c r="E34" s="49">
        <v>0</v>
      </c>
      <c r="F34" s="4">
        <f>SUM(D34)</f>
        <v>4200</v>
      </c>
      <c r="G34" s="50">
        <f>SUM(G29,G23,G20)</f>
        <v>82688</v>
      </c>
      <c r="H34" s="41">
        <f t="shared" si="15"/>
        <v>15.613382899628252</v>
      </c>
      <c r="I34" s="42">
        <f t="shared" si="16"/>
        <v>307.3903345724907</v>
      </c>
      <c r="J34" s="43">
        <f>I34/H34</f>
        <v>19.687619047619048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1.5046492584842144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15.613382899628252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1.5477941176470589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17.750929368029741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2017</v>
      </c>
      <c r="B7" s="3">
        <v>119</v>
      </c>
      <c r="C7" s="4">
        <v>644</v>
      </c>
      <c r="D7" s="4">
        <f>G7/$J$7</f>
        <v>8623.125</v>
      </c>
      <c r="E7" s="4">
        <v>0</v>
      </c>
      <c r="F7" s="4">
        <f t="shared" ref="F7" si="0">SUM(D7:E7)</f>
        <v>8623.125</v>
      </c>
      <c r="G7" s="5">
        <f>SUM(G16,G19,G22,G25,G28)</f>
        <v>275940</v>
      </c>
      <c r="H7" s="9">
        <f t="shared" ref="H7" si="1">F7/C7</f>
        <v>13.389945652173912</v>
      </c>
      <c r="I7" s="11">
        <f t="shared" ref="I7:I8" si="2">G7/C7</f>
        <v>428.47826086956519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119</v>
      </c>
      <c r="C8" s="4">
        <f>C7</f>
        <v>644</v>
      </c>
      <c r="D8" s="4">
        <f>SUM(D17,D20,D23,D26,D29)</f>
        <v>15228</v>
      </c>
      <c r="E8" s="4">
        <v>0</v>
      </c>
      <c r="F8" s="4">
        <f>SUM(D8)</f>
        <v>15228</v>
      </c>
      <c r="G8" s="5">
        <f>SUM(G17,G20,G23,G26,G29)</f>
        <v>302792</v>
      </c>
      <c r="H8" s="58">
        <f>F8/C8</f>
        <v>23.645962732919255</v>
      </c>
      <c r="I8" s="42">
        <f t="shared" si="2"/>
        <v>470.17391304347825</v>
      </c>
      <c r="J8" s="43">
        <f>I8/H8</f>
        <v>19.883898082479643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1.7659491193737769</v>
      </c>
      <c r="G10" s="62">
        <f t="shared" ref="G10" si="3">G8/G7</f>
        <v>1.0973110096397767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-6604.875</v>
      </c>
      <c r="G12" s="47">
        <f>G7-G8</f>
        <v>-26852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2017</v>
      </c>
      <c r="B16" s="3">
        <f>$B$7</f>
        <v>119</v>
      </c>
      <c r="C16" s="4">
        <f>$C$7</f>
        <v>644</v>
      </c>
      <c r="D16" s="4">
        <f>G16/$J$7</f>
        <v>431.25</v>
      </c>
      <c r="E16" s="4">
        <v>0</v>
      </c>
      <c r="F16" s="13">
        <f t="shared" ref="F16:F17" si="4">SUM(D16:E16)</f>
        <v>431.25</v>
      </c>
      <c r="G16" s="14">
        <v>13800</v>
      </c>
      <c r="H16" s="13">
        <f t="shared" ref="H16:H17" si="5">F16/C16</f>
        <v>0.6696428571428571</v>
      </c>
      <c r="I16" s="14">
        <f t="shared" ref="I16:I17" si="6">G16/C16</f>
        <v>21.428571428571427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2017</v>
      </c>
      <c r="B17" s="3">
        <f>$B$7</f>
        <v>119</v>
      </c>
      <c r="C17" s="4">
        <f>$C$7</f>
        <v>644</v>
      </c>
      <c r="D17" s="48">
        <v>318</v>
      </c>
      <c r="E17" s="48">
        <v>0</v>
      </c>
      <c r="F17" s="4">
        <f t="shared" si="4"/>
        <v>318</v>
      </c>
      <c r="G17" s="5">
        <v>12617</v>
      </c>
      <c r="H17" s="4">
        <f t="shared" si="5"/>
        <v>0.49378881987577639</v>
      </c>
      <c r="I17" s="5">
        <f t="shared" si="6"/>
        <v>19.591614906832298</v>
      </c>
      <c r="J17" s="44">
        <f>I17/H17</f>
        <v>39.676100628930818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0.73739130434782607</v>
      </c>
      <c r="G18" s="16">
        <f t="shared" ref="G18" si="7">G17/G16</f>
        <v>0.91427536231884055</v>
      </c>
      <c r="H18" s="16"/>
      <c r="I18" s="16"/>
      <c r="J18" s="16"/>
      <c r="K18" s="45"/>
    </row>
    <row r="19" spans="1:11" ht="16.5" thickTop="1" thickBot="1" x14ac:dyDescent="0.25">
      <c r="A19" s="1">
        <f>$A$7</f>
        <v>2017</v>
      </c>
      <c r="B19" s="3">
        <f>$B$7</f>
        <v>119</v>
      </c>
      <c r="C19" s="4">
        <f>$C$7</f>
        <v>644</v>
      </c>
      <c r="D19" s="4">
        <f>G19/$J$7</f>
        <v>1698.4375</v>
      </c>
      <c r="E19" s="4">
        <v>0</v>
      </c>
      <c r="F19" s="13">
        <f t="shared" ref="F19:F20" si="8">SUM(D19:E19)</f>
        <v>1698.4375</v>
      </c>
      <c r="G19" s="14">
        <v>54350</v>
      </c>
      <c r="H19" s="13">
        <f t="shared" ref="H19:H20" si="9">F19/C19</f>
        <v>2.6373253105590062</v>
      </c>
      <c r="I19" s="14">
        <f t="shared" ref="I19:I20" si="10">G19/C19</f>
        <v>84.394409937888199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2017</v>
      </c>
      <c r="B20" s="3">
        <f>$B$7</f>
        <v>119</v>
      </c>
      <c r="C20" s="4">
        <f>$C$7</f>
        <v>644</v>
      </c>
      <c r="D20" s="48">
        <v>2048</v>
      </c>
      <c r="E20" s="48">
        <v>0</v>
      </c>
      <c r="F20" s="4">
        <f t="shared" si="8"/>
        <v>2048</v>
      </c>
      <c r="G20" s="5">
        <v>43495</v>
      </c>
      <c r="H20" s="4">
        <f t="shared" si="9"/>
        <v>3.1801242236024843</v>
      </c>
      <c r="I20" s="5">
        <f t="shared" si="10"/>
        <v>67.538819875776397</v>
      </c>
      <c r="J20" s="44">
        <f>I20/H20</f>
        <v>21.23779296875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1.2058141674333027</v>
      </c>
      <c r="G21" s="16">
        <f t="shared" ref="G21" si="11">G20/G19</f>
        <v>0.80027598896044161</v>
      </c>
      <c r="H21" s="16"/>
      <c r="I21" s="16"/>
      <c r="J21" s="45"/>
      <c r="K21" s="45"/>
    </row>
    <row r="22" spans="1:11" ht="16.5" thickTop="1" thickBot="1" x14ac:dyDescent="0.25">
      <c r="A22" s="1">
        <f>$A$7</f>
        <v>2017</v>
      </c>
      <c r="B22" s="3">
        <f>$B$7</f>
        <v>119</v>
      </c>
      <c r="C22" s="4">
        <f>$C$7</f>
        <v>644</v>
      </c>
      <c r="D22" s="4">
        <f>G22/$J$7</f>
        <v>4386.5625</v>
      </c>
      <c r="E22" s="4">
        <v>0</v>
      </c>
      <c r="F22" s="13">
        <f>SUM(D22:E22)</f>
        <v>4386.5625</v>
      </c>
      <c r="G22" s="14">
        <v>140370</v>
      </c>
      <c r="H22" s="13">
        <f>F22/C22</f>
        <v>6.811432453416149</v>
      </c>
      <c r="I22" s="14">
        <f>G22/C22</f>
        <v>217.96583850931677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2017</v>
      </c>
      <c r="B23" s="3">
        <f>$B$7</f>
        <v>119</v>
      </c>
      <c r="C23" s="4">
        <f>$C$7</f>
        <v>644</v>
      </c>
      <c r="D23" s="48">
        <v>9127</v>
      </c>
      <c r="E23" s="48">
        <v>0</v>
      </c>
      <c r="F23" s="4">
        <f>SUM(D23:E23)</f>
        <v>9127</v>
      </c>
      <c r="G23" s="5">
        <v>173313</v>
      </c>
      <c r="H23" s="4">
        <f>F23/C23</f>
        <v>14.172360248447205</v>
      </c>
      <c r="I23" s="5">
        <f>G23/C23</f>
        <v>269.11956521739131</v>
      </c>
      <c r="J23" s="44">
        <f>I23/H23</f>
        <v>18.989043497315656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2.0806725083707347</v>
      </c>
      <c r="G24" s="16">
        <f t="shared" ref="G24" si="12">G23/G22</f>
        <v>1.2346868989100235</v>
      </c>
      <c r="H24" s="16"/>
      <c r="I24" s="16"/>
      <c r="J24" s="17"/>
      <c r="K24" s="17"/>
    </row>
    <row r="25" spans="1:11" ht="16.5" thickTop="1" thickBot="1" x14ac:dyDescent="0.25">
      <c r="A25" s="1">
        <f>$A$7</f>
        <v>2017</v>
      </c>
      <c r="B25" s="3">
        <f>$B$7</f>
        <v>119</v>
      </c>
      <c r="C25" s="4">
        <v>642</v>
      </c>
      <c r="D25" s="4">
        <f>G25/$J$7</f>
        <v>797.5</v>
      </c>
      <c r="E25" s="4">
        <v>0</v>
      </c>
      <c r="F25" s="13">
        <f>SUM(D25:E25)</f>
        <v>797.5</v>
      </c>
      <c r="G25" s="14">
        <v>25520</v>
      </c>
      <c r="H25" s="13">
        <f>F25/C25</f>
        <v>1.2422118380062306</v>
      </c>
      <c r="I25" s="14">
        <f>G25/C25</f>
        <v>39.750778816199379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2017</v>
      </c>
      <c r="B26" s="3">
        <f>$B$7</f>
        <v>119</v>
      </c>
      <c r="C26" s="4">
        <f>C25</f>
        <v>642</v>
      </c>
      <c r="D26" s="48">
        <v>1926</v>
      </c>
      <c r="E26" s="48">
        <v>0</v>
      </c>
      <c r="F26" s="4">
        <f>SUM(D26:E26)</f>
        <v>1926</v>
      </c>
      <c r="G26" s="5">
        <v>36293</v>
      </c>
      <c r="H26" s="4">
        <f>F26/C26</f>
        <v>3</v>
      </c>
      <c r="I26" s="5">
        <f>G26/C26</f>
        <v>56.531152647975077</v>
      </c>
      <c r="J26" s="44">
        <f>I26/H26</f>
        <v>18.843717549325024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2.4150470219435736</v>
      </c>
      <c r="G27" s="16">
        <f t="shared" ref="G27" si="13">G26/G25</f>
        <v>1.4221394984326019</v>
      </c>
      <c r="H27" s="16"/>
      <c r="I27" s="16"/>
      <c r="J27" s="17"/>
      <c r="K27" s="17"/>
    </row>
    <row r="28" spans="1:11" ht="16.5" thickTop="1" thickBot="1" x14ac:dyDescent="0.25">
      <c r="A28" s="1">
        <f>$A$7</f>
        <v>2017</v>
      </c>
      <c r="B28" s="3">
        <f>$B$7</f>
        <v>119</v>
      </c>
      <c r="C28" s="4">
        <f>$C$7</f>
        <v>644</v>
      </c>
      <c r="D28" s="4">
        <f>G28/$J$7</f>
        <v>1309.375</v>
      </c>
      <c r="E28" s="4">
        <v>0</v>
      </c>
      <c r="F28" s="13">
        <f>SUM(D28:E28)</f>
        <v>1309.375</v>
      </c>
      <c r="G28" s="14">
        <v>41900</v>
      </c>
      <c r="H28" s="13">
        <f>F28/C28</f>
        <v>2.03319099378882</v>
      </c>
      <c r="I28" s="14">
        <f>G28/C28</f>
        <v>65.062111801242239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2017</v>
      </c>
      <c r="B29" s="3">
        <f>$B$7</f>
        <v>119</v>
      </c>
      <c r="C29" s="4">
        <f>$C$7</f>
        <v>644</v>
      </c>
      <c r="D29" s="48">
        <v>1809</v>
      </c>
      <c r="E29" s="48">
        <v>0</v>
      </c>
      <c r="F29" s="4">
        <f>SUM(D29:E29)</f>
        <v>1809</v>
      </c>
      <c r="G29" s="5">
        <v>37074</v>
      </c>
      <c r="H29" s="4">
        <f>F29/C29</f>
        <v>2.8090062111801242</v>
      </c>
      <c r="I29" s="5">
        <f>G29/C29</f>
        <v>57.568322981366457</v>
      </c>
      <c r="J29" s="44">
        <f>I29/H29</f>
        <v>20.494195688225538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1.3815751789976134</v>
      </c>
      <c r="G30" s="16">
        <f t="shared" ref="G30" si="14">G29/G28</f>
        <v>0.88482100238663486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2017</v>
      </c>
      <c r="B33" s="3">
        <f>$B$7</f>
        <v>119</v>
      </c>
      <c r="C33" s="4">
        <f>$C$7</f>
        <v>644</v>
      </c>
      <c r="D33" s="13">
        <f>SUM(D28,D22,D19)</f>
        <v>7394.375</v>
      </c>
      <c r="E33" s="13">
        <v>0</v>
      </c>
      <c r="F33" s="13">
        <f t="shared" ref="F33" si="15">SUM(D33:E33)</f>
        <v>7394.375</v>
      </c>
      <c r="G33" s="14">
        <f>SUM(G28,G22,G19)</f>
        <v>236620</v>
      </c>
      <c r="H33" s="34">
        <f t="shared" ref="H33:H34" si="16">F33/C33</f>
        <v>11.481948757763975</v>
      </c>
      <c r="I33" s="39">
        <f t="shared" ref="I33:I34" si="17">G33/C33</f>
        <v>367.42236024844721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2017</v>
      </c>
      <c r="B34" s="3">
        <f>$B$7</f>
        <v>119</v>
      </c>
      <c r="C34" s="4">
        <f>$C$7</f>
        <v>644</v>
      </c>
      <c r="D34" s="4">
        <f>SUM(D29,D23,D20)</f>
        <v>12984</v>
      </c>
      <c r="E34" s="49">
        <v>0</v>
      </c>
      <c r="F34" s="4">
        <f>SUM(D34)</f>
        <v>12984</v>
      </c>
      <c r="G34" s="50">
        <f>SUM(G29,G23,G20)</f>
        <v>253882</v>
      </c>
      <c r="H34" s="41">
        <f t="shared" si="16"/>
        <v>20.161490683229815</v>
      </c>
      <c r="I34" s="42">
        <f t="shared" si="17"/>
        <v>394.22670807453414</v>
      </c>
      <c r="J34" s="43">
        <f>I34/H34</f>
        <v>19.553450400492913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1.0729524131518891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20.161490683229815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23.645962732919255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2018</v>
      </c>
      <c r="B7" s="3">
        <v>211</v>
      </c>
      <c r="C7" s="4">
        <v>1186</v>
      </c>
      <c r="D7" s="4">
        <f>G7/$J$7</f>
        <v>14944.84375</v>
      </c>
      <c r="E7" s="4">
        <v>0</v>
      </c>
      <c r="F7" s="4">
        <f t="shared" ref="F7" si="0">SUM(D7:E7)</f>
        <v>14944.84375</v>
      </c>
      <c r="G7" s="5">
        <f>SUM(G16,G19,G22,G25,G28)</f>
        <v>478235</v>
      </c>
      <c r="H7" s="9">
        <f t="shared" ref="H7" si="1">F7/C7</f>
        <v>12.601048693086003</v>
      </c>
      <c r="I7" s="11">
        <f t="shared" ref="I7:I8" si="2">G7/C7</f>
        <v>403.23355817875211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2018</v>
      </c>
      <c r="B8" s="3"/>
      <c r="C8" s="4">
        <f>C7</f>
        <v>1186</v>
      </c>
      <c r="D8" s="4">
        <f>SUM(D17,D20,D23,D26,D29)</f>
        <v>23617</v>
      </c>
      <c r="E8" s="4">
        <v>0</v>
      </c>
      <c r="F8" s="4">
        <f>SUM(D8)</f>
        <v>23617</v>
      </c>
      <c r="G8" s="5">
        <f>SUM(G17,G20,G23,G26,G29)</f>
        <v>447140</v>
      </c>
      <c r="H8" s="58">
        <f>F8/C8</f>
        <v>19.913153456998312</v>
      </c>
      <c r="I8" s="42">
        <f t="shared" si="2"/>
        <v>377.01517706576726</v>
      </c>
      <c r="J8" s="43">
        <f>I8/H8</f>
        <v>18.932972011686498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1.5802774786454359</v>
      </c>
      <c r="G10" s="62">
        <f t="shared" ref="G10" si="3">G8/G7</f>
        <v>0.93497966480914196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-8672.15625</v>
      </c>
      <c r="G12" s="47">
        <f>G7-G8</f>
        <v>31095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2018</v>
      </c>
      <c r="B16" s="3">
        <f>$B$7</f>
        <v>211</v>
      </c>
      <c r="C16" s="4">
        <f>$C$7</f>
        <v>1186</v>
      </c>
      <c r="D16" s="4">
        <f>G16/$J$7</f>
        <v>638.75</v>
      </c>
      <c r="E16" s="4">
        <v>0</v>
      </c>
      <c r="F16" s="13">
        <f t="shared" ref="F16:F17" si="4">SUM(D16:E16)</f>
        <v>638.75</v>
      </c>
      <c r="G16" s="14">
        <v>20440</v>
      </c>
      <c r="H16" s="13">
        <f t="shared" ref="H16:H17" si="5">F16/C16</f>
        <v>0.53857504215851604</v>
      </c>
      <c r="I16" s="14">
        <f t="shared" ref="I16:I17" si="6">G16/C16</f>
        <v>17.234401349072513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2018</v>
      </c>
      <c r="B17" s="3">
        <f>$B$7</f>
        <v>211</v>
      </c>
      <c r="C17" s="4">
        <f>$C$7</f>
        <v>1186</v>
      </c>
      <c r="D17" s="48">
        <v>454</v>
      </c>
      <c r="E17" s="48">
        <v>0</v>
      </c>
      <c r="F17" s="4">
        <f t="shared" si="4"/>
        <v>454</v>
      </c>
      <c r="G17" s="5">
        <v>17475</v>
      </c>
      <c r="H17" s="4">
        <f t="shared" si="5"/>
        <v>0.38279932546374368</v>
      </c>
      <c r="I17" s="5">
        <f t="shared" si="6"/>
        <v>14.734401349072513</v>
      </c>
      <c r="J17" s="44">
        <f>I17/H17</f>
        <v>38.491189427312776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0.71076320939334636</v>
      </c>
      <c r="G18" s="16">
        <f t="shared" ref="G18" si="7">G17/G16</f>
        <v>0.85494129158512722</v>
      </c>
      <c r="H18" s="16"/>
      <c r="I18" s="16"/>
      <c r="J18" s="16"/>
      <c r="K18" s="45"/>
    </row>
    <row r="19" spans="1:11" ht="16.5" thickTop="1" thickBot="1" x14ac:dyDescent="0.25">
      <c r="A19" s="1">
        <f>$A$7</f>
        <v>2018</v>
      </c>
      <c r="B19" s="3">
        <f>$B$7</f>
        <v>211</v>
      </c>
      <c r="C19" s="4">
        <f>$C$7</f>
        <v>1186</v>
      </c>
      <c r="D19" s="4">
        <f>G19/$J$7</f>
        <v>3661.25</v>
      </c>
      <c r="E19" s="4">
        <v>0</v>
      </c>
      <c r="F19" s="13">
        <f t="shared" ref="F19:F20" si="8">SUM(D19:E19)</f>
        <v>3661.25</v>
      </c>
      <c r="G19" s="14">
        <v>117160</v>
      </c>
      <c r="H19" s="13">
        <f t="shared" ref="H19:H20" si="9">F19/C19</f>
        <v>3.0870573355817874</v>
      </c>
      <c r="I19" s="14">
        <f t="shared" ref="I19:I20" si="10">G19/C19</f>
        <v>98.785834738617197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2018</v>
      </c>
      <c r="B20" s="3">
        <f>$B$7</f>
        <v>211</v>
      </c>
      <c r="C20" s="4">
        <f>$C$7</f>
        <v>1186</v>
      </c>
      <c r="D20" s="48">
        <v>2502</v>
      </c>
      <c r="E20" s="48">
        <v>0</v>
      </c>
      <c r="F20" s="4">
        <f t="shared" si="8"/>
        <v>2502</v>
      </c>
      <c r="G20" s="5">
        <v>52562</v>
      </c>
      <c r="H20" s="4">
        <f t="shared" si="9"/>
        <v>2.1096121416526139</v>
      </c>
      <c r="I20" s="5">
        <f t="shared" si="10"/>
        <v>44.318718381112987</v>
      </c>
      <c r="J20" s="44">
        <f>I20/H20</f>
        <v>21.007993605115907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0.68337316490269717</v>
      </c>
      <c r="G21" s="16">
        <f t="shared" ref="G21" si="11">G20/G19</f>
        <v>0.44863434619324</v>
      </c>
      <c r="H21" s="16"/>
      <c r="I21" s="16"/>
      <c r="J21" s="45"/>
      <c r="K21" s="45"/>
    </row>
    <row r="22" spans="1:11" ht="16.5" thickTop="1" thickBot="1" x14ac:dyDescent="0.25">
      <c r="A22" s="1">
        <f>$A$7</f>
        <v>2018</v>
      </c>
      <c r="B22" s="3">
        <f>$B$7</f>
        <v>211</v>
      </c>
      <c r="C22" s="4">
        <f>$C$7</f>
        <v>1186</v>
      </c>
      <c r="D22" s="4">
        <f>G22/$J$7</f>
        <v>6500.3125</v>
      </c>
      <c r="E22" s="4">
        <v>0</v>
      </c>
      <c r="F22" s="13">
        <f>SUM(D22:E22)</f>
        <v>6500.3125</v>
      </c>
      <c r="G22" s="14">
        <v>208010</v>
      </c>
      <c r="H22" s="13">
        <f>F22/C22</f>
        <v>5.4808705733558183</v>
      </c>
      <c r="I22" s="14">
        <f>G22/C22</f>
        <v>175.38785834738619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2018</v>
      </c>
      <c r="B23" s="3">
        <f>$B$7</f>
        <v>211</v>
      </c>
      <c r="C23" s="4">
        <f>$C$7</f>
        <v>1186</v>
      </c>
      <c r="D23" s="48">
        <v>14241</v>
      </c>
      <c r="E23" s="48">
        <v>0</v>
      </c>
      <c r="F23" s="4">
        <f>SUM(D23:E23)</f>
        <v>14241</v>
      </c>
      <c r="G23" s="5">
        <v>256945</v>
      </c>
      <c r="H23" s="4">
        <f>F23/C23</f>
        <v>12.007588532883643</v>
      </c>
      <c r="I23" s="5">
        <f>G23/C23</f>
        <v>216.64839797639124</v>
      </c>
      <c r="J23" s="44">
        <f>I23/H23</f>
        <v>18.042623411277297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2.1908177491466758</v>
      </c>
      <c r="G24" s="16">
        <v>0</v>
      </c>
      <c r="H24" s="16"/>
      <c r="I24" s="16"/>
      <c r="J24" s="17"/>
      <c r="K24" s="17"/>
    </row>
    <row r="25" spans="1:11" ht="16.5" thickTop="1" thickBot="1" x14ac:dyDescent="0.25">
      <c r="A25" s="1">
        <f>$A$7</f>
        <v>2018</v>
      </c>
      <c r="B25" s="3">
        <f>$B$7</f>
        <v>211</v>
      </c>
      <c r="C25" s="4">
        <v>1156</v>
      </c>
      <c r="D25" s="4">
        <f>G25/$J$7</f>
        <v>1400</v>
      </c>
      <c r="E25" s="4">
        <v>0</v>
      </c>
      <c r="F25" s="13">
        <f>SUM(D25:E25)</f>
        <v>1400</v>
      </c>
      <c r="G25" s="14">
        <v>44800</v>
      </c>
      <c r="H25" s="13">
        <f>F25/C25</f>
        <v>1.2110726643598615</v>
      </c>
      <c r="I25" s="14">
        <f>G25/C25</f>
        <v>38.754325259515568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2018</v>
      </c>
      <c r="B26" s="3">
        <f>$B$7</f>
        <v>211</v>
      </c>
      <c r="C26" s="4">
        <f>C25</f>
        <v>1156</v>
      </c>
      <c r="D26" s="48">
        <v>2845</v>
      </c>
      <c r="E26" s="48">
        <v>0</v>
      </c>
      <c r="F26" s="4">
        <f>SUM(D26:E26)</f>
        <v>2845</v>
      </c>
      <c r="G26" s="5">
        <v>58293</v>
      </c>
      <c r="H26" s="4">
        <f>F26/C26</f>
        <v>2.4610726643598615</v>
      </c>
      <c r="I26" s="5">
        <f>G26/C26</f>
        <v>50.426470588235297</v>
      </c>
      <c r="J26" s="44">
        <f>I26/H26</f>
        <v>20.489630931458702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2.032142857142857</v>
      </c>
      <c r="G27" s="16">
        <f t="shared" ref="G27" si="12">G26/G25</f>
        <v>1.3011830357142857</v>
      </c>
      <c r="H27" s="16"/>
      <c r="I27" s="16"/>
      <c r="J27" s="17"/>
      <c r="K27" s="17"/>
    </row>
    <row r="28" spans="1:11" ht="16.5" thickTop="1" thickBot="1" x14ac:dyDescent="0.25">
      <c r="A28" s="1">
        <f>$A$7</f>
        <v>2018</v>
      </c>
      <c r="B28" s="3">
        <f>$B$7</f>
        <v>211</v>
      </c>
      <c r="C28" s="4">
        <f>$C$7</f>
        <v>1186</v>
      </c>
      <c r="D28" s="4">
        <f>G28/$J$7</f>
        <v>2744.53125</v>
      </c>
      <c r="E28" s="4">
        <v>0</v>
      </c>
      <c r="F28" s="13">
        <f>SUM(D28:E28)</f>
        <v>2744.53125</v>
      </c>
      <c r="G28" s="14">
        <v>87825</v>
      </c>
      <c r="H28" s="13">
        <f>F28/C28</f>
        <v>2.3141072934232714</v>
      </c>
      <c r="I28" s="14">
        <f>G28/C28</f>
        <v>74.051433389544684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2018</v>
      </c>
      <c r="B29" s="3">
        <f>$B$7</f>
        <v>211</v>
      </c>
      <c r="C29" s="4">
        <f>$C$7</f>
        <v>1186</v>
      </c>
      <c r="D29" s="48">
        <v>3575</v>
      </c>
      <c r="E29" s="48">
        <v>0</v>
      </c>
      <c r="F29" s="4">
        <f>SUM(D29:E29)</f>
        <v>3575</v>
      </c>
      <c r="G29" s="5">
        <v>61865</v>
      </c>
      <c r="H29" s="4">
        <f>F29/C29</f>
        <v>3.0143338954468804</v>
      </c>
      <c r="I29" s="5">
        <f>G29/C29</f>
        <v>52.162731871838112</v>
      </c>
      <c r="J29" s="44">
        <f>I29/H29</f>
        <v>17.304895104895106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1.3025903785937945</v>
      </c>
      <c r="G30" s="16">
        <f t="shared" ref="G30" si="13">G29/G28</f>
        <v>0.70441218331910049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2018</v>
      </c>
      <c r="B33" s="3">
        <f>$B$7</f>
        <v>211</v>
      </c>
      <c r="C33" s="4">
        <f>$C$7</f>
        <v>1186</v>
      </c>
      <c r="D33" s="13">
        <f>SUM(D28,D22,D19)</f>
        <v>12906.09375</v>
      </c>
      <c r="E33" s="13">
        <v>0</v>
      </c>
      <c r="F33" s="13">
        <f t="shared" ref="F33" si="14">SUM(D33:E33)</f>
        <v>12906.09375</v>
      </c>
      <c r="G33" s="14">
        <f>SUM(G28,G22,G19)</f>
        <v>412995</v>
      </c>
      <c r="H33" s="34">
        <f t="shared" ref="H33:H34" si="15">F33/C33</f>
        <v>10.882035202360877</v>
      </c>
      <c r="I33" s="39">
        <f t="shared" ref="I33:I34" si="16">G33/C33</f>
        <v>348.22512647554805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2018</v>
      </c>
      <c r="B34" s="3">
        <f>$B$7</f>
        <v>211</v>
      </c>
      <c r="C34" s="4">
        <f>$C$7</f>
        <v>1186</v>
      </c>
      <c r="D34" s="4">
        <f>SUM(D29,D23,D20)</f>
        <v>20318</v>
      </c>
      <c r="E34" s="49">
        <v>0</v>
      </c>
      <c r="F34" s="4">
        <f>SUM(D34)</f>
        <v>20318</v>
      </c>
      <c r="G34" s="50">
        <f>SUM(G29,G23,G20)</f>
        <v>371372</v>
      </c>
      <c r="H34" s="41">
        <f t="shared" si="15"/>
        <v>17.131534569983138</v>
      </c>
      <c r="I34" s="42">
        <f t="shared" si="16"/>
        <v>313.12984822934231</v>
      </c>
      <c r="J34" s="43">
        <f>I34/H34</f>
        <v>18.277980116153163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0.89921669753871114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17.131534569983138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2.4610726643598615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19.913153456998312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2019</v>
      </c>
      <c r="B7" s="3">
        <v>211</v>
      </c>
      <c r="C7" s="4">
        <v>1184</v>
      </c>
      <c r="D7" s="4">
        <f>G7/$J$7</f>
        <v>20133.15625</v>
      </c>
      <c r="E7" s="4">
        <v>0</v>
      </c>
      <c r="F7" s="4">
        <f t="shared" ref="F7" si="0">SUM(D7:E7)</f>
        <v>20133.15625</v>
      </c>
      <c r="G7" s="5">
        <f>SUM(G16,G19,G22,G25,G28)</f>
        <v>644261</v>
      </c>
      <c r="H7" s="9">
        <f t="shared" ref="H7" si="1">F7/C7</f>
        <v>17.004354940878379</v>
      </c>
      <c r="I7" s="11">
        <f t="shared" ref="I7:I8" si="2">G7/C7</f>
        <v>544.13935810810813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211</v>
      </c>
      <c r="C8" s="4">
        <f>C7</f>
        <v>1184</v>
      </c>
      <c r="D8" s="4">
        <f>SUM(D17,D20,D23,D26,D29)</f>
        <v>26761</v>
      </c>
      <c r="E8" s="4">
        <v>0</v>
      </c>
      <c r="F8" s="4">
        <f>SUM(D8)</f>
        <v>26761</v>
      </c>
      <c r="G8" s="5">
        <f>SUM(G17,G20,G23,G26,G29)</f>
        <v>555310</v>
      </c>
      <c r="H8" s="58">
        <f>F8/C8</f>
        <v>22.602195945945947</v>
      </c>
      <c r="I8" s="42">
        <f t="shared" si="2"/>
        <v>469.01182432432432</v>
      </c>
      <c r="J8" s="43">
        <f>I8/H8</f>
        <v>20.75071933036882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1.3292004327438725</v>
      </c>
      <c r="G10" s="62">
        <f t="shared" ref="G10" si="3">G8/G7</f>
        <v>0.86193328480227738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-6627.84375</v>
      </c>
      <c r="G12" s="47">
        <f>G7-G8</f>
        <v>88951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2019</v>
      </c>
      <c r="B16" s="3">
        <f>$B$7</f>
        <v>211</v>
      </c>
      <c r="C16" s="4">
        <f>$C$7</f>
        <v>1184</v>
      </c>
      <c r="D16" s="4">
        <f>G16/$J$7</f>
        <v>1392.125</v>
      </c>
      <c r="E16" s="4">
        <v>0</v>
      </c>
      <c r="F16" s="13">
        <f t="shared" ref="F16:F17" si="4">SUM(D16:E16)</f>
        <v>1392.125</v>
      </c>
      <c r="G16" s="14">
        <v>44548</v>
      </c>
      <c r="H16" s="13">
        <f t="shared" ref="H16:H17" si="5">F16/C16</f>
        <v>1.17578125</v>
      </c>
      <c r="I16" s="14">
        <f t="shared" ref="I16:I17" si="6">G16/C16</f>
        <v>37.625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2019</v>
      </c>
      <c r="B17" s="3">
        <f>$B$7</f>
        <v>211</v>
      </c>
      <c r="C17" s="4">
        <f>$C$7</f>
        <v>1184</v>
      </c>
      <c r="D17" s="48">
        <v>941</v>
      </c>
      <c r="E17" s="48">
        <v>0</v>
      </c>
      <c r="F17" s="4">
        <f t="shared" si="4"/>
        <v>941</v>
      </c>
      <c r="G17" s="5">
        <v>41054</v>
      </c>
      <c r="H17" s="4">
        <f t="shared" si="5"/>
        <v>0.79476351351351349</v>
      </c>
      <c r="I17" s="5">
        <f t="shared" si="6"/>
        <v>34.673986486486484</v>
      </c>
      <c r="J17" s="44">
        <f>I17/H17</f>
        <v>43.628055260361315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0.67594504803807132</v>
      </c>
      <c r="G18" s="16">
        <f t="shared" ref="G18" si="7">G17/G16</f>
        <v>0.92156774714914247</v>
      </c>
      <c r="H18" s="16"/>
      <c r="I18" s="16"/>
      <c r="J18" s="16"/>
      <c r="K18" s="45"/>
    </row>
    <row r="19" spans="1:11" ht="16.5" thickTop="1" thickBot="1" x14ac:dyDescent="0.25">
      <c r="A19" s="1">
        <f>$A$7</f>
        <v>2019</v>
      </c>
      <c r="B19" s="3">
        <f>$B$7</f>
        <v>211</v>
      </c>
      <c r="C19" s="4">
        <f>$C$7</f>
        <v>1184</v>
      </c>
      <c r="D19" s="4">
        <f>G19/$J$7</f>
        <v>4529.6875</v>
      </c>
      <c r="E19" s="4">
        <v>0</v>
      </c>
      <c r="F19" s="13">
        <f t="shared" ref="F19:F20" si="8">SUM(D19:E19)</f>
        <v>4529.6875</v>
      </c>
      <c r="G19" s="14">
        <v>144950</v>
      </c>
      <c r="H19" s="13">
        <f t="shared" ref="H19:H20" si="9">F19/C19</f>
        <v>3.8257495777027026</v>
      </c>
      <c r="I19" s="14">
        <f t="shared" ref="I19:I20" si="10">G19/C19</f>
        <v>122.42398648648648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2019</v>
      </c>
      <c r="B20" s="3">
        <f>$B$7</f>
        <v>211</v>
      </c>
      <c r="C20" s="4">
        <f>$C$7</f>
        <v>1184</v>
      </c>
      <c r="D20" s="48">
        <v>5271</v>
      </c>
      <c r="E20" s="48">
        <v>0</v>
      </c>
      <c r="F20" s="4">
        <f t="shared" si="8"/>
        <v>5271</v>
      </c>
      <c r="G20" s="5">
        <v>124233</v>
      </c>
      <c r="H20" s="4">
        <f t="shared" si="9"/>
        <v>4.4518581081081079</v>
      </c>
      <c r="I20" s="5">
        <f t="shared" si="10"/>
        <v>104.92652027027027</v>
      </c>
      <c r="J20" s="44">
        <f>I20/H20</f>
        <v>23.569151963574278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1.1636564332528458</v>
      </c>
      <c r="G21" s="16">
        <f t="shared" ref="G21" si="11">G20/G19</f>
        <v>0.85707485339772338</v>
      </c>
      <c r="H21" s="16"/>
      <c r="I21" s="16"/>
      <c r="J21" s="45"/>
      <c r="K21" s="45"/>
    </row>
    <row r="22" spans="1:11" ht="16.5" thickTop="1" thickBot="1" x14ac:dyDescent="0.25">
      <c r="A22" s="1">
        <f>$A$7</f>
        <v>2019</v>
      </c>
      <c r="B22" s="3">
        <f>$B$7</f>
        <v>211</v>
      </c>
      <c r="C22" s="4">
        <f>$C$7</f>
        <v>1184</v>
      </c>
      <c r="D22" s="4">
        <f>G22/$J$7</f>
        <v>9207.34375</v>
      </c>
      <c r="E22" s="4">
        <v>0</v>
      </c>
      <c r="F22" s="13">
        <f>SUM(D22:E22)</f>
        <v>9207.34375</v>
      </c>
      <c r="G22" s="14">
        <v>294635</v>
      </c>
      <c r="H22" s="13">
        <f>F22/C22</f>
        <v>7.7764727618243246</v>
      </c>
      <c r="I22" s="14">
        <f>G22/C22</f>
        <v>248.84712837837839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2019</v>
      </c>
      <c r="B23" s="3">
        <f>$B$7</f>
        <v>211</v>
      </c>
      <c r="C23" s="4">
        <f>$C$7</f>
        <v>1184</v>
      </c>
      <c r="D23" s="48">
        <v>16040</v>
      </c>
      <c r="E23" s="48">
        <v>0</v>
      </c>
      <c r="F23" s="4">
        <f>SUM(D23:E23)</f>
        <v>16040</v>
      </c>
      <c r="G23" s="5">
        <v>301244</v>
      </c>
      <c r="H23" s="4">
        <f>F23/C23</f>
        <v>13.547297297297296</v>
      </c>
      <c r="I23" s="5">
        <f>G23/C23</f>
        <v>254.42905405405406</v>
      </c>
      <c r="J23" s="44">
        <f>I23/H23</f>
        <v>18.780798004987535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1.7420876677923534</v>
      </c>
      <c r="G24" s="16">
        <f t="shared" ref="G24" si="12">G23/G22</f>
        <v>1.0224311436183753</v>
      </c>
      <c r="H24" s="16"/>
      <c r="I24" s="16"/>
      <c r="J24" s="17"/>
      <c r="K24" s="17"/>
    </row>
    <row r="25" spans="1:11" ht="16.5" thickTop="1" thickBot="1" x14ac:dyDescent="0.25">
      <c r="A25" s="1">
        <f>$A$7</f>
        <v>2019</v>
      </c>
      <c r="B25" s="3">
        <f>$B$7</f>
        <v>211</v>
      </c>
      <c r="C25" s="4">
        <v>1180</v>
      </c>
      <c r="D25" s="4">
        <f>G25/$J$7</f>
        <v>1730.40625</v>
      </c>
      <c r="E25" s="4">
        <v>0</v>
      </c>
      <c r="F25" s="13">
        <f>SUM(D25:E25)</f>
        <v>1730.40625</v>
      </c>
      <c r="G25" s="14">
        <v>55373</v>
      </c>
      <c r="H25" s="13">
        <f>F25/C25</f>
        <v>1.4664459745762712</v>
      </c>
      <c r="I25" s="14">
        <f>G25/C25</f>
        <v>46.92627118644068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2019</v>
      </c>
      <c r="B26" s="3">
        <f>$B$7</f>
        <v>211</v>
      </c>
      <c r="C26" s="4">
        <f>C25</f>
        <v>1180</v>
      </c>
      <c r="D26" s="48">
        <v>1790</v>
      </c>
      <c r="E26" s="48">
        <v>0</v>
      </c>
      <c r="F26" s="4">
        <f>SUM(D26:E26)</f>
        <v>1790</v>
      </c>
      <c r="G26" s="5">
        <v>36001</v>
      </c>
      <c r="H26" s="4">
        <f>F26/C26</f>
        <v>1.5169491525423728</v>
      </c>
      <c r="I26" s="5">
        <f>G26/C26</f>
        <v>30.509322033898304</v>
      </c>
      <c r="J26" s="44">
        <f>I26/H26</f>
        <v>20.112290502793297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1.0344391671031008</v>
      </c>
      <c r="G27" s="16">
        <f t="shared" ref="G27" si="13">G26/G25</f>
        <v>0.65015440738265939</v>
      </c>
      <c r="H27" s="16"/>
      <c r="I27" s="16"/>
      <c r="J27" s="17"/>
      <c r="K27" s="17"/>
    </row>
    <row r="28" spans="1:11" ht="16.5" thickTop="1" thickBot="1" x14ac:dyDescent="0.25">
      <c r="A28" s="1">
        <f>$A$7</f>
        <v>2019</v>
      </c>
      <c r="B28" s="3">
        <f>$B$7</f>
        <v>211</v>
      </c>
      <c r="C28" s="4">
        <f>$C$7</f>
        <v>1184</v>
      </c>
      <c r="D28" s="4">
        <f>G28/$J$7</f>
        <v>3273.59375</v>
      </c>
      <c r="E28" s="4">
        <v>0</v>
      </c>
      <c r="F28" s="13">
        <f>SUM(D28:E28)</f>
        <v>3273.59375</v>
      </c>
      <c r="G28" s="14">
        <v>104755</v>
      </c>
      <c r="H28" s="13">
        <f>F28/C28</f>
        <v>2.7648595861486487</v>
      </c>
      <c r="I28" s="14">
        <f>G28/C28</f>
        <v>88.475506756756758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2019</v>
      </c>
      <c r="B29" s="3">
        <f>$B$7</f>
        <v>211</v>
      </c>
      <c r="C29" s="4">
        <f>$C$7</f>
        <v>1184</v>
      </c>
      <c r="D29" s="48">
        <v>2719</v>
      </c>
      <c r="E29" s="48">
        <v>0</v>
      </c>
      <c r="F29" s="4">
        <f>SUM(D29:E29)</f>
        <v>2719</v>
      </c>
      <c r="G29" s="5">
        <v>52778</v>
      </c>
      <c r="H29" s="4">
        <f>F29/C29</f>
        <v>2.2964527027027026</v>
      </c>
      <c r="I29" s="5">
        <f>G29/C29</f>
        <v>44.576013513513516</v>
      </c>
      <c r="J29" s="44">
        <f>I29/H29</f>
        <v>19.410812798823098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0.83058565223617009</v>
      </c>
      <c r="G30" s="16">
        <f t="shared" ref="G30" si="14">G29/G28</f>
        <v>0.50382320652952128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2019</v>
      </c>
      <c r="B33" s="3">
        <f>$B$7</f>
        <v>211</v>
      </c>
      <c r="C33" s="4">
        <f>$C$7</f>
        <v>1184</v>
      </c>
      <c r="D33" s="13">
        <f>SUM(D28,D22,D19)</f>
        <v>17010.625</v>
      </c>
      <c r="E33" s="13">
        <v>0</v>
      </c>
      <c r="F33" s="13">
        <f t="shared" ref="F33" si="15">SUM(D33:E33)</f>
        <v>17010.625</v>
      </c>
      <c r="G33" s="14">
        <f>SUM(G28,G22,G19)</f>
        <v>544340</v>
      </c>
      <c r="H33" s="34">
        <f t="shared" ref="H33:H34" si="16">F33/C33</f>
        <v>14.367081925675675</v>
      </c>
      <c r="I33" s="39">
        <f t="shared" ref="I33:I34" si="17">G33/C33</f>
        <v>459.74662162162161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2019</v>
      </c>
      <c r="B34" s="3">
        <f>$B$7</f>
        <v>211</v>
      </c>
      <c r="C34" s="4">
        <f>$C$7</f>
        <v>1184</v>
      </c>
      <c r="D34" s="4">
        <f>SUM(D29,D23,D20)</f>
        <v>24030</v>
      </c>
      <c r="E34" s="49">
        <v>0</v>
      </c>
      <c r="F34" s="4">
        <f>SUM(D34)</f>
        <v>24030</v>
      </c>
      <c r="G34" s="50">
        <f>SUM(G29,G23,G20)</f>
        <v>478255</v>
      </c>
      <c r="H34" s="41">
        <f t="shared" si="16"/>
        <v>20.295608108108109</v>
      </c>
      <c r="I34" s="42">
        <f t="shared" si="17"/>
        <v>403.93158783783781</v>
      </c>
      <c r="J34" s="43">
        <f>I34/H34</f>
        <v>19.902413649604657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0.87859609802696848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20.295608108108109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1.5169491525423728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22.602195945945947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2020</v>
      </c>
      <c r="B7" s="3">
        <v>256</v>
      </c>
      <c r="C7" s="4">
        <v>1398</v>
      </c>
      <c r="D7" s="4">
        <f>G7/$J$7</f>
        <v>18786.6875</v>
      </c>
      <c r="E7" s="4">
        <v>0</v>
      </c>
      <c r="F7" s="4">
        <f t="shared" ref="F7" si="0">SUM(D7:E7)</f>
        <v>18786.6875</v>
      </c>
      <c r="G7" s="5">
        <f>SUM(G16,G19,G22,G25,G28)</f>
        <v>601174</v>
      </c>
      <c r="H7" s="9">
        <f t="shared" ref="H7" si="1">F7/C7</f>
        <v>13.438260014306152</v>
      </c>
      <c r="I7" s="11">
        <f t="shared" ref="I7:I8" si="2">G7/C7</f>
        <v>430.02432045779688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2020</v>
      </c>
      <c r="B8" s="3">
        <f>B7</f>
        <v>256</v>
      </c>
      <c r="C8" s="4">
        <f>C7</f>
        <v>1398</v>
      </c>
      <c r="D8" s="4">
        <f>SUM(D17,D20,D23,D26,D29)</f>
        <v>39281</v>
      </c>
      <c r="E8" s="4">
        <v>0</v>
      </c>
      <c r="F8" s="4">
        <f>SUM(D8)</f>
        <v>39281</v>
      </c>
      <c r="G8" s="5">
        <f>SUM(G17,G20,G23,G26,G29)</f>
        <v>780619</v>
      </c>
      <c r="H8" s="58">
        <f>F8/C8</f>
        <v>28.097997138769671</v>
      </c>
      <c r="I8" s="42">
        <f t="shared" si="2"/>
        <v>558.38268955650926</v>
      </c>
      <c r="J8" s="43">
        <f>I8/H8</f>
        <v>19.872686540566686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2.0908954811751674</v>
      </c>
      <c r="G10" s="62">
        <f t="shared" ref="G10" si="3">G8/G7</f>
        <v>1.2984909527025454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-20494.3125</v>
      </c>
      <c r="G12" s="47">
        <f>G7-G8</f>
        <v>-179445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2020</v>
      </c>
      <c r="B16" s="3">
        <f>$B$7</f>
        <v>256</v>
      </c>
      <c r="C16" s="4">
        <f>$C$7</f>
        <v>1398</v>
      </c>
      <c r="D16" s="4">
        <f>G16/$J$7</f>
        <v>969.0625</v>
      </c>
      <c r="E16" s="4">
        <v>0</v>
      </c>
      <c r="F16" s="13">
        <f t="shared" ref="F16:F17" si="4">SUM(D16:E16)</f>
        <v>969.0625</v>
      </c>
      <c r="G16" s="14">
        <v>31010</v>
      </c>
      <c r="H16" s="13">
        <f t="shared" ref="H16:H17" si="5">F16/C16</f>
        <v>0.69317775393419168</v>
      </c>
      <c r="I16" s="14">
        <f t="shared" ref="I16:I17" si="6">G16/C16</f>
        <v>22.181688125894134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2020</v>
      </c>
      <c r="B17" s="3">
        <f>$B$7</f>
        <v>256</v>
      </c>
      <c r="C17" s="4">
        <f>$C$7</f>
        <v>1398</v>
      </c>
      <c r="D17" s="48">
        <v>735</v>
      </c>
      <c r="E17" s="48">
        <v>0</v>
      </c>
      <c r="F17" s="4">
        <f t="shared" si="4"/>
        <v>735</v>
      </c>
      <c r="G17" s="5">
        <v>31579</v>
      </c>
      <c r="H17" s="4">
        <f t="shared" si="5"/>
        <v>0.52575107296137336</v>
      </c>
      <c r="I17" s="5">
        <f t="shared" si="6"/>
        <v>22.588698140200286</v>
      </c>
      <c r="J17" s="44">
        <f>I17/H17</f>
        <v>42.964625850340141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0.75846501128668176</v>
      </c>
      <c r="G18" s="16">
        <f t="shared" ref="G18" si="7">G17/G16</f>
        <v>1.0183489197033215</v>
      </c>
      <c r="H18" s="16"/>
      <c r="I18" s="16"/>
      <c r="J18" s="16"/>
      <c r="K18" s="45"/>
    </row>
    <row r="19" spans="1:11" ht="16.5" thickTop="1" thickBot="1" x14ac:dyDescent="0.25">
      <c r="A19" s="1">
        <f>$A$7</f>
        <v>2020</v>
      </c>
      <c r="B19" s="3">
        <f>$B$7</f>
        <v>256</v>
      </c>
      <c r="C19" s="4">
        <f>$C$7</f>
        <v>1398</v>
      </c>
      <c r="D19" s="4">
        <f>G19/$J$7</f>
        <v>4832.78125</v>
      </c>
      <c r="E19" s="4">
        <v>0</v>
      </c>
      <c r="F19" s="13">
        <f t="shared" ref="F19:F20" si="8">SUM(D19:E19)</f>
        <v>4832.78125</v>
      </c>
      <c r="G19" s="14">
        <v>154649</v>
      </c>
      <c r="H19" s="13">
        <f t="shared" ref="H19:H20" si="9">F19/C19</f>
        <v>3.4569250715307582</v>
      </c>
      <c r="I19" s="14">
        <f t="shared" ref="I19:I20" si="10">G19/C19</f>
        <v>110.62160228898426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2020</v>
      </c>
      <c r="B20" s="3">
        <f>$B$7</f>
        <v>256</v>
      </c>
      <c r="C20" s="4">
        <f>$C$7</f>
        <v>1398</v>
      </c>
      <c r="D20" s="48">
        <v>8110</v>
      </c>
      <c r="E20" s="48">
        <v>0</v>
      </c>
      <c r="F20" s="4">
        <f t="shared" si="8"/>
        <v>8110</v>
      </c>
      <c r="G20" s="5">
        <v>178603</v>
      </c>
      <c r="H20" s="4">
        <f t="shared" si="9"/>
        <v>5.8011444921316162</v>
      </c>
      <c r="I20" s="5">
        <f t="shared" si="10"/>
        <v>127.75608011444922</v>
      </c>
      <c r="J20" s="44">
        <f>I20/H20</f>
        <v>22.022564734895195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1.6781227166034052</v>
      </c>
      <c r="G21" s="16">
        <f t="shared" ref="G21" si="11">G20/G19</f>
        <v>1.1548926924842708</v>
      </c>
      <c r="H21" s="16"/>
      <c r="I21" s="16"/>
      <c r="J21" s="45"/>
      <c r="K21" s="45"/>
    </row>
    <row r="22" spans="1:11" ht="16.5" thickTop="1" thickBot="1" x14ac:dyDescent="0.25">
      <c r="A22" s="1">
        <f>$A$7</f>
        <v>2020</v>
      </c>
      <c r="B22" s="3">
        <f>$B$7</f>
        <v>256</v>
      </c>
      <c r="C22" s="4">
        <f>$C$7</f>
        <v>1398</v>
      </c>
      <c r="D22" s="4">
        <f>G22/$J$7</f>
        <v>8314.21875</v>
      </c>
      <c r="E22" s="4">
        <v>0</v>
      </c>
      <c r="F22" s="13">
        <f>SUM(D22:E22)</f>
        <v>8314.21875</v>
      </c>
      <c r="G22" s="14">
        <v>266055</v>
      </c>
      <c r="H22" s="13">
        <f>F22/C22</f>
        <v>5.9472237124463518</v>
      </c>
      <c r="I22" s="14">
        <f>G22/C22</f>
        <v>190.31115879828326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2020</v>
      </c>
      <c r="B23" s="3">
        <f>$B$7</f>
        <v>256</v>
      </c>
      <c r="C23" s="4">
        <f>$C$7</f>
        <v>1398</v>
      </c>
      <c r="D23" s="48">
        <v>18981</v>
      </c>
      <c r="E23" s="48">
        <v>0</v>
      </c>
      <c r="F23" s="4">
        <f>SUM(D23:E23)</f>
        <v>18981</v>
      </c>
      <c r="G23" s="5">
        <v>348603</v>
      </c>
      <c r="H23" s="4">
        <f>F23/C23</f>
        <v>13.57725321888412</v>
      </c>
      <c r="I23" s="5">
        <f>G23/C23</f>
        <v>249.35836909871244</v>
      </c>
      <c r="J23" s="44">
        <f>I23/H23</f>
        <v>18.365892207997472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2.2829565315442295</v>
      </c>
      <c r="G24" s="16">
        <f t="shared" ref="G24" si="12">G23/G22</f>
        <v>1.3102666741839093</v>
      </c>
      <c r="H24" s="16"/>
      <c r="I24" s="16"/>
      <c r="J24" s="17"/>
      <c r="K24" s="17"/>
    </row>
    <row r="25" spans="1:11" ht="16.5" thickTop="1" thickBot="1" x14ac:dyDescent="0.25">
      <c r="A25" s="1">
        <f>$A$7</f>
        <v>2020</v>
      </c>
      <c r="B25" s="3">
        <f>$B$7</f>
        <v>256</v>
      </c>
      <c r="C25" s="4">
        <v>1390</v>
      </c>
      <c r="D25" s="4">
        <f>G25/$J$7</f>
        <v>1833.25</v>
      </c>
      <c r="E25" s="4">
        <v>0</v>
      </c>
      <c r="F25" s="13">
        <f>SUM(D25:E25)</f>
        <v>1833.25</v>
      </c>
      <c r="G25" s="14">
        <v>58664</v>
      </c>
      <c r="H25" s="13">
        <f>F25/C25</f>
        <v>1.318884892086331</v>
      </c>
      <c r="I25" s="14">
        <f>G25/C25</f>
        <v>42.204316546762591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2020</v>
      </c>
      <c r="B26" s="3">
        <f>$B$7</f>
        <v>256</v>
      </c>
      <c r="C26" s="4">
        <f>C25</f>
        <v>1390</v>
      </c>
      <c r="D26" s="48">
        <v>3322</v>
      </c>
      <c r="E26" s="48">
        <v>0</v>
      </c>
      <c r="F26" s="4">
        <f>SUM(D26:E26)</f>
        <v>3322</v>
      </c>
      <c r="G26" s="5">
        <v>64251</v>
      </c>
      <c r="H26" s="4">
        <f>F26/C26</f>
        <v>2.389928057553957</v>
      </c>
      <c r="I26" s="5">
        <f>G26/C26</f>
        <v>46.223741007194242</v>
      </c>
      <c r="J26" s="44">
        <f>I26/H26</f>
        <v>19.341059602649004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1.8120823673803355</v>
      </c>
      <c r="G27" s="16">
        <f t="shared" ref="G27" si="13">G26/G25</f>
        <v>1.095237283512887</v>
      </c>
      <c r="H27" s="16"/>
      <c r="I27" s="16"/>
      <c r="J27" s="17"/>
      <c r="K27" s="17"/>
    </row>
    <row r="28" spans="1:11" ht="16.5" thickTop="1" thickBot="1" x14ac:dyDescent="0.25">
      <c r="A28" s="1">
        <f>$A$7</f>
        <v>2020</v>
      </c>
      <c r="B28" s="3">
        <f>$B$7</f>
        <v>256</v>
      </c>
      <c r="C28" s="4">
        <f>$C$7</f>
        <v>1398</v>
      </c>
      <c r="D28" s="4">
        <f>G28/$J$7</f>
        <v>2837.375</v>
      </c>
      <c r="E28" s="4">
        <v>0</v>
      </c>
      <c r="F28" s="13">
        <f>SUM(D28:E28)</f>
        <v>2837.375</v>
      </c>
      <c r="G28" s="14">
        <v>90796</v>
      </c>
      <c r="H28" s="13">
        <f>F28/C28</f>
        <v>2.029595851216023</v>
      </c>
      <c r="I28" s="14">
        <f>G28/C28</f>
        <v>64.947067238912737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2020</v>
      </c>
      <c r="B29" s="3">
        <f>$B$7</f>
        <v>256</v>
      </c>
      <c r="C29" s="4">
        <f>$C$7</f>
        <v>1398</v>
      </c>
      <c r="D29" s="48">
        <v>8133</v>
      </c>
      <c r="E29" s="48">
        <v>0</v>
      </c>
      <c r="F29" s="4">
        <f>SUM(D29:E29)</f>
        <v>8133</v>
      </c>
      <c r="G29" s="5">
        <v>157583</v>
      </c>
      <c r="H29" s="4">
        <f>F29/C29</f>
        <v>5.8175965665236049</v>
      </c>
      <c r="I29" s="5">
        <f>G29/C29</f>
        <v>112.72031473533619</v>
      </c>
      <c r="J29" s="44">
        <f>I29/H29</f>
        <v>19.375753104635436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2.8663817789329928</v>
      </c>
      <c r="G30" s="16">
        <f t="shared" ref="G30" si="14">G29/G28</f>
        <v>1.7355720516322304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2020</v>
      </c>
      <c r="B33" s="3">
        <f>$B$7</f>
        <v>256</v>
      </c>
      <c r="C33" s="4">
        <f>$C$7</f>
        <v>1398</v>
      </c>
      <c r="D33" s="13">
        <f>SUM(D28,D22,D19)</f>
        <v>15984.375</v>
      </c>
      <c r="E33" s="13">
        <v>0</v>
      </c>
      <c r="F33" s="13">
        <f t="shared" ref="F33" si="15">SUM(D33:E33)</f>
        <v>15984.375</v>
      </c>
      <c r="G33" s="14">
        <f>SUM(G28,G22,G19)</f>
        <v>511500</v>
      </c>
      <c r="H33" s="34">
        <f t="shared" ref="H33:H34" si="16">F33/C33</f>
        <v>11.433744635193133</v>
      </c>
      <c r="I33" s="39">
        <f t="shared" ref="I33:I34" si="17">G33/C33</f>
        <v>365.87982832618025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2020</v>
      </c>
      <c r="B34" s="3">
        <f>$B$7</f>
        <v>256</v>
      </c>
      <c r="C34" s="4">
        <f>$C$7</f>
        <v>1398</v>
      </c>
      <c r="D34" s="4">
        <f>SUM(D29,D23,D20)</f>
        <v>35224</v>
      </c>
      <c r="E34" s="49">
        <v>0</v>
      </c>
      <c r="F34" s="4">
        <f>SUM(D34)</f>
        <v>35224</v>
      </c>
      <c r="G34" s="50">
        <f>SUM(G29,G23,G20)</f>
        <v>684789</v>
      </c>
      <c r="H34" s="41">
        <f t="shared" si="16"/>
        <v>25.195994277539342</v>
      </c>
      <c r="I34" s="42">
        <f t="shared" si="17"/>
        <v>489.83476394849788</v>
      </c>
      <c r="J34" s="43">
        <f>I34/H34</f>
        <v>19.440977742448332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1.3387859237536657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25.195994277539342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2.389928057553957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28.097997138769671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2021</v>
      </c>
      <c r="B7" s="3">
        <v>136</v>
      </c>
      <c r="C7" s="4">
        <v>836</v>
      </c>
      <c r="D7" s="4">
        <f>G7/$J$7</f>
        <v>12330.59375</v>
      </c>
      <c r="E7" s="4">
        <v>0</v>
      </c>
      <c r="F7" s="4">
        <f t="shared" ref="F7" si="0">SUM(D7:E7)</f>
        <v>12330.59375</v>
      </c>
      <c r="G7" s="5">
        <f>SUM(G16,G19,G22,G25,G28)</f>
        <v>394579</v>
      </c>
      <c r="H7" s="9">
        <f t="shared" ref="H7" si="1">F7/C7</f>
        <v>14.749514055023923</v>
      </c>
      <c r="I7" s="11">
        <f t="shared" ref="I7:I8" si="2">G7/C7</f>
        <v>471.98444976076553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2021</v>
      </c>
      <c r="B8" s="3">
        <f>B7</f>
        <v>136</v>
      </c>
      <c r="C8" s="4">
        <f>C7</f>
        <v>836</v>
      </c>
      <c r="D8" s="4">
        <f>SUM(D17,D20,D23,D26,D29)</f>
        <v>20685</v>
      </c>
      <c r="E8" s="4">
        <v>0</v>
      </c>
      <c r="F8" s="4">
        <f>SUM(D8)</f>
        <v>20685</v>
      </c>
      <c r="G8" s="5">
        <f>SUM(G17,G20,G23,G26,G29)</f>
        <v>449616</v>
      </c>
      <c r="H8" s="58">
        <f>F8/C8</f>
        <v>24.742822966507177</v>
      </c>
      <c r="I8" s="42">
        <f t="shared" si="2"/>
        <v>537.81818181818187</v>
      </c>
      <c r="J8" s="43">
        <f>I8/H8</f>
        <v>21.736330674401742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1.6775347902447926</v>
      </c>
      <c r="G10" s="62">
        <f t="shared" ref="G10" si="3">G8/G7</f>
        <v>1.1394828412054367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-8354.40625</v>
      </c>
      <c r="G12" s="47">
        <f>G7-G8</f>
        <v>-55037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2021</v>
      </c>
      <c r="B16" s="3">
        <f>$B$7</f>
        <v>136</v>
      </c>
      <c r="C16" s="4">
        <f>$C$7</f>
        <v>836</v>
      </c>
      <c r="D16" s="4">
        <f>G16/$J$7</f>
        <v>853.15625</v>
      </c>
      <c r="E16" s="4">
        <v>0</v>
      </c>
      <c r="F16" s="13">
        <f t="shared" ref="F16:F17" si="4">SUM(D16:E16)</f>
        <v>853.15625</v>
      </c>
      <c r="G16" s="14">
        <v>27301</v>
      </c>
      <c r="H16" s="13">
        <f t="shared" ref="H16:H17" si="5">F16/C16</f>
        <v>1.0205218301435406</v>
      </c>
      <c r="I16" s="14">
        <f t="shared" ref="I16:I17" si="6">G16/C16</f>
        <v>32.656698564593299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2021</v>
      </c>
      <c r="B17" s="3">
        <f>$B$7</f>
        <v>136</v>
      </c>
      <c r="C17" s="4">
        <f>$C$7</f>
        <v>836</v>
      </c>
      <c r="D17" s="48">
        <v>659</v>
      </c>
      <c r="E17" s="48">
        <v>0</v>
      </c>
      <c r="F17" s="4">
        <f t="shared" si="4"/>
        <v>659</v>
      </c>
      <c r="G17" s="5">
        <v>28157</v>
      </c>
      <c r="H17" s="4">
        <f t="shared" si="5"/>
        <v>0.78827751196172247</v>
      </c>
      <c r="I17" s="5">
        <f t="shared" si="6"/>
        <v>33.680622009569376</v>
      </c>
      <c r="J17" s="44">
        <f>I17/H17</f>
        <v>42.726858877086492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0.77242591846452513</v>
      </c>
      <c r="G18" s="16">
        <f t="shared" ref="G18" si="7">G17/G16</f>
        <v>1.0313541628511775</v>
      </c>
      <c r="H18" s="16"/>
      <c r="I18" s="16"/>
      <c r="J18" s="16"/>
      <c r="K18" s="45"/>
    </row>
    <row r="19" spans="1:11" ht="16.5" thickTop="1" thickBot="1" x14ac:dyDescent="0.25">
      <c r="A19" s="1">
        <f>$A$7</f>
        <v>2021</v>
      </c>
      <c r="B19" s="3">
        <f>$B$7</f>
        <v>136</v>
      </c>
      <c r="C19" s="4">
        <f>$C$7</f>
        <v>836</v>
      </c>
      <c r="D19" s="4">
        <f>G19/$J$7</f>
        <v>2362.1875</v>
      </c>
      <c r="E19" s="4">
        <v>0</v>
      </c>
      <c r="F19" s="13">
        <f t="shared" ref="F19:F20" si="8">SUM(D19:E19)</f>
        <v>2362.1875</v>
      </c>
      <c r="G19" s="14">
        <v>75590</v>
      </c>
      <c r="H19" s="13">
        <f t="shared" ref="H19:H20" si="9">F19/C19</f>
        <v>2.8255831339712918</v>
      </c>
      <c r="I19" s="14">
        <f t="shared" ref="I19:I20" si="10">G19/C19</f>
        <v>90.418660287081337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2021</v>
      </c>
      <c r="B20" s="3">
        <f>$B$7</f>
        <v>136</v>
      </c>
      <c r="C20" s="4">
        <f>$C$7</f>
        <v>836</v>
      </c>
      <c r="D20" s="48">
        <v>3228</v>
      </c>
      <c r="E20" s="48">
        <v>0</v>
      </c>
      <c r="F20" s="4">
        <f t="shared" si="8"/>
        <v>3228</v>
      </c>
      <c r="G20" s="5">
        <v>71216</v>
      </c>
      <c r="H20" s="4">
        <f t="shared" si="9"/>
        <v>3.861244019138756</v>
      </c>
      <c r="I20" s="5">
        <f t="shared" si="10"/>
        <v>85.186602870813402</v>
      </c>
      <c r="J20" s="44">
        <f>I20/H20</f>
        <v>22.061957868649319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1.3665299642809896</v>
      </c>
      <c r="G21" s="16">
        <f t="shared" ref="G21" si="11">G20/G19</f>
        <v>0.94213520306918908</v>
      </c>
      <c r="H21" s="16"/>
      <c r="I21" s="16"/>
      <c r="J21" s="45"/>
      <c r="K21" s="45"/>
    </row>
    <row r="22" spans="1:11" ht="16.5" thickTop="1" thickBot="1" x14ac:dyDescent="0.25">
      <c r="A22" s="1">
        <f>$A$7</f>
        <v>2021</v>
      </c>
      <c r="B22" s="3">
        <f>$B$7</f>
        <v>136</v>
      </c>
      <c r="C22" s="4">
        <f>$C$7</f>
        <v>836</v>
      </c>
      <c r="D22" s="4">
        <f>G22/$J$7</f>
        <v>6522.75</v>
      </c>
      <c r="E22" s="4">
        <v>0</v>
      </c>
      <c r="F22" s="13">
        <f>SUM(D22:E22)</f>
        <v>6522.75</v>
      </c>
      <c r="G22" s="14">
        <v>208728</v>
      </c>
      <c r="H22" s="13">
        <f>F22/C22</f>
        <v>7.8023325358851672</v>
      </c>
      <c r="I22" s="14">
        <f>G22/C22</f>
        <v>249.67464114832535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2021</v>
      </c>
      <c r="B23" s="3">
        <f>$B$7</f>
        <v>136</v>
      </c>
      <c r="C23" s="4">
        <f>$C$7</f>
        <v>836</v>
      </c>
      <c r="D23" s="48">
        <v>11449</v>
      </c>
      <c r="E23" s="48">
        <v>0</v>
      </c>
      <c r="F23" s="4">
        <f>SUM(D23:E23)</f>
        <v>11449</v>
      </c>
      <c r="G23" s="5">
        <v>232286</v>
      </c>
      <c r="H23" s="4">
        <f>F23/C23</f>
        <v>13.694976076555024</v>
      </c>
      <c r="I23" s="5">
        <f>G23/C23</f>
        <v>277.85406698564594</v>
      </c>
      <c r="J23" s="44">
        <f>I23/H23</f>
        <v>20.288758843567123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1.7552412709363383</v>
      </c>
      <c r="G24" s="16">
        <f t="shared" ref="G24" si="12">G23/G22</f>
        <v>1.1128645893219884</v>
      </c>
      <c r="H24" s="16"/>
      <c r="I24" s="16"/>
      <c r="J24" s="17"/>
      <c r="K24" s="17"/>
    </row>
    <row r="25" spans="1:11" ht="16.5" thickTop="1" thickBot="1" x14ac:dyDescent="0.25">
      <c r="A25" s="1">
        <f>$A$7</f>
        <v>2021</v>
      </c>
      <c r="B25" s="3">
        <f>$B$7</f>
        <v>136</v>
      </c>
      <c r="C25" s="4">
        <v>813</v>
      </c>
      <c r="D25" s="4">
        <f>G25/$J$7</f>
        <v>1018.125</v>
      </c>
      <c r="E25" s="4">
        <v>0</v>
      </c>
      <c r="F25" s="13">
        <f>SUM(D25:E25)</f>
        <v>1018.125</v>
      </c>
      <c r="G25" s="14">
        <v>32580</v>
      </c>
      <c r="H25" s="13">
        <f>F25/C25</f>
        <v>1.2523062730627306</v>
      </c>
      <c r="I25" s="14">
        <f>G25/C25</f>
        <v>40.073800738007378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2021</v>
      </c>
      <c r="B26" s="3">
        <f>$B$7</f>
        <v>136</v>
      </c>
      <c r="C26" s="4">
        <f>C25</f>
        <v>813</v>
      </c>
      <c r="D26" s="48">
        <v>1291</v>
      </c>
      <c r="E26" s="48">
        <v>0</v>
      </c>
      <c r="F26" s="4">
        <f>SUM(D26:E26)</f>
        <v>1291</v>
      </c>
      <c r="G26" s="5">
        <v>30179</v>
      </c>
      <c r="H26" s="4">
        <f>F26/C26</f>
        <v>1.5879458794587946</v>
      </c>
      <c r="I26" s="5">
        <f>G26/C26</f>
        <v>37.120541205412053</v>
      </c>
      <c r="J26" s="44">
        <f>I26/H26</f>
        <v>23.376452362509681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1.2680171884591773</v>
      </c>
      <c r="G27" s="16">
        <f t="shared" ref="G27" si="13">G26/G25</f>
        <v>0.92630448127685694</v>
      </c>
      <c r="H27" s="16"/>
      <c r="I27" s="16"/>
      <c r="J27" s="17"/>
      <c r="K27" s="17"/>
    </row>
    <row r="28" spans="1:11" ht="16.5" thickTop="1" thickBot="1" x14ac:dyDescent="0.25">
      <c r="A28" s="1">
        <f>$A$7</f>
        <v>2021</v>
      </c>
      <c r="B28" s="3">
        <f>$B$7</f>
        <v>136</v>
      </c>
      <c r="C28" s="4">
        <f>$C$7</f>
        <v>836</v>
      </c>
      <c r="D28" s="4">
        <f>G28/$J$7</f>
        <v>1574.375</v>
      </c>
      <c r="E28" s="4">
        <v>0</v>
      </c>
      <c r="F28" s="13">
        <f>SUM(D28:E28)</f>
        <v>1574.375</v>
      </c>
      <c r="G28" s="14">
        <v>50380</v>
      </c>
      <c r="H28" s="13">
        <f>F28/C28</f>
        <v>1.8832236842105263</v>
      </c>
      <c r="I28" s="14">
        <f>G28/C28</f>
        <v>60.263157894736842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2021</v>
      </c>
      <c r="B29" s="3">
        <f>$B$7</f>
        <v>136</v>
      </c>
      <c r="C29" s="4">
        <f>$C$7</f>
        <v>836</v>
      </c>
      <c r="D29" s="48">
        <v>4058</v>
      </c>
      <c r="E29" s="48">
        <v>0</v>
      </c>
      <c r="F29" s="4">
        <f>SUM(D29:E29)</f>
        <v>4058</v>
      </c>
      <c r="G29" s="5">
        <v>87778</v>
      </c>
      <c r="H29" s="4">
        <f>F29/C29</f>
        <v>4.8540669856459333</v>
      </c>
      <c r="I29" s="5">
        <f>G29/C29</f>
        <v>104.99760765550239</v>
      </c>
      <c r="J29" s="44">
        <f>I29/H29</f>
        <v>21.630852636766878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2.5775307661770546</v>
      </c>
      <c r="G30" s="16">
        <f t="shared" ref="G30" si="14">G29/G28</f>
        <v>1.7423183803096467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2021</v>
      </c>
      <c r="B33" s="3">
        <f>$B$7</f>
        <v>136</v>
      </c>
      <c r="C33" s="4">
        <f>$C$7</f>
        <v>836</v>
      </c>
      <c r="D33" s="13">
        <f>SUM(D28,D22,D19)</f>
        <v>10459.3125</v>
      </c>
      <c r="E33" s="13">
        <v>0</v>
      </c>
      <c r="F33" s="13">
        <f t="shared" ref="F33" si="15">SUM(D33:E33)</f>
        <v>10459.3125</v>
      </c>
      <c r="G33" s="14">
        <f>SUM(G28,G22,G19)</f>
        <v>334698</v>
      </c>
      <c r="H33" s="34">
        <f t="shared" ref="H33:H34" si="16">F33/C33</f>
        <v>12.511139354066986</v>
      </c>
      <c r="I33" s="39">
        <f t="shared" ref="I33:I34" si="17">G33/C33</f>
        <v>400.35645933014354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2021</v>
      </c>
      <c r="B34" s="3">
        <f>$B$7</f>
        <v>136</v>
      </c>
      <c r="C34" s="4">
        <f>$C$7</f>
        <v>836</v>
      </c>
      <c r="D34" s="4">
        <f>SUM(D29,D23,D20)</f>
        <v>18735</v>
      </c>
      <c r="E34" s="49">
        <v>0</v>
      </c>
      <c r="F34" s="4">
        <f>SUM(D34)</f>
        <v>18735</v>
      </c>
      <c r="G34" s="50">
        <f>SUM(G29,G23,G20)</f>
        <v>391280</v>
      </c>
      <c r="H34" s="41">
        <f t="shared" si="16"/>
        <v>22.410287081339714</v>
      </c>
      <c r="I34" s="42">
        <f t="shared" si="17"/>
        <v>468.03827751196172</v>
      </c>
      <c r="J34" s="43">
        <f>I34/H34</f>
        <v>20.884974646383771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1.1690538933605819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22.410287081339714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1.5879458794587946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24.742822966507177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2022</v>
      </c>
      <c r="B7" s="3">
        <v>18</v>
      </c>
      <c r="C7" s="4">
        <v>121</v>
      </c>
      <c r="D7" s="4">
        <f>G7/$J$7</f>
        <v>1662.5</v>
      </c>
      <c r="E7" s="4">
        <v>0</v>
      </c>
      <c r="F7" s="4">
        <f t="shared" ref="F7" si="0">SUM(D7:E7)</f>
        <v>1662.5</v>
      </c>
      <c r="G7" s="5">
        <f>SUM(G16,G19,G22,G25,G28)</f>
        <v>53200</v>
      </c>
      <c r="H7" s="9">
        <f t="shared" ref="H7" si="1">F7/C7</f>
        <v>13.739669421487603</v>
      </c>
      <c r="I7" s="11">
        <f t="shared" ref="I7:I8" si="2">G7/C7</f>
        <v>439.6694214876033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2022</v>
      </c>
      <c r="B8" s="3">
        <f>B7</f>
        <v>18</v>
      </c>
      <c r="C8" s="4">
        <f>C7</f>
        <v>121</v>
      </c>
      <c r="D8" s="4">
        <f>SUM(D17,D20,D23,D26,D29)</f>
        <v>2455</v>
      </c>
      <c r="E8" s="4">
        <v>0</v>
      </c>
      <c r="F8" s="4">
        <f>SUM(D8)</f>
        <v>2455</v>
      </c>
      <c r="G8" s="5">
        <f>SUM(G17,G20,G23,G26,G29)</f>
        <v>57919</v>
      </c>
      <c r="H8" s="58">
        <f>F8/C8</f>
        <v>20.289256198347108</v>
      </c>
      <c r="I8" s="42">
        <f t="shared" si="2"/>
        <v>478.6694214876033</v>
      </c>
      <c r="J8" s="43">
        <f>I8/H8</f>
        <v>23.592260692464357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1.4766917293233082</v>
      </c>
      <c r="G10" s="62">
        <f t="shared" ref="G10" si="3">G8/G7</f>
        <v>1.0887030075187969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-792.5</v>
      </c>
      <c r="G12" s="47">
        <f>G7-G8</f>
        <v>-4719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2022</v>
      </c>
      <c r="B16" s="3">
        <f>$B$7</f>
        <v>18</v>
      </c>
      <c r="C16" s="4">
        <f>$C$7</f>
        <v>121</v>
      </c>
      <c r="D16" s="4">
        <f>G16/$J$7</f>
        <v>264.0625</v>
      </c>
      <c r="E16" s="4">
        <v>0</v>
      </c>
      <c r="F16" s="13">
        <f t="shared" ref="F16:F17" si="4">SUM(D16:E16)</f>
        <v>264.0625</v>
      </c>
      <c r="G16" s="14">
        <v>8450</v>
      </c>
      <c r="H16" s="13">
        <f t="shared" ref="H16:H17" si="5">F16/C16</f>
        <v>2.1823347107438016</v>
      </c>
      <c r="I16" s="14">
        <f t="shared" ref="I16:I17" si="6">G16/C16</f>
        <v>69.834710743801651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2022</v>
      </c>
      <c r="B17" s="3">
        <f>$B$7</f>
        <v>18</v>
      </c>
      <c r="C17" s="4">
        <f>$C$7</f>
        <v>121</v>
      </c>
      <c r="D17" s="48">
        <v>97</v>
      </c>
      <c r="E17" s="48">
        <v>0</v>
      </c>
      <c r="F17" s="4">
        <f t="shared" si="4"/>
        <v>97</v>
      </c>
      <c r="G17" s="5">
        <v>4000</v>
      </c>
      <c r="H17" s="4">
        <f t="shared" si="5"/>
        <v>0.80165289256198347</v>
      </c>
      <c r="I17" s="5">
        <f t="shared" si="6"/>
        <v>33.057851239669418</v>
      </c>
      <c r="J17" s="44">
        <f>I17/H17</f>
        <v>41.237113402061851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0.3673372781065089</v>
      </c>
      <c r="G18" s="16">
        <f t="shared" ref="G18" si="7">G17/G16</f>
        <v>0.47337278106508873</v>
      </c>
      <c r="H18" s="16"/>
      <c r="I18" s="16"/>
      <c r="J18" s="16"/>
      <c r="K18" s="45"/>
    </row>
    <row r="19" spans="1:11" ht="16.5" thickTop="1" thickBot="1" x14ac:dyDescent="0.25">
      <c r="A19" s="1">
        <f>$A$7</f>
        <v>2022</v>
      </c>
      <c r="B19" s="3">
        <f>$B$7</f>
        <v>18</v>
      </c>
      <c r="C19" s="4">
        <f>$C$7</f>
        <v>121</v>
      </c>
      <c r="D19" s="4">
        <f>G19/$J$7</f>
        <v>215.9375</v>
      </c>
      <c r="E19" s="4">
        <v>0</v>
      </c>
      <c r="F19" s="13">
        <f t="shared" ref="F19:F20" si="8">SUM(D19:E19)</f>
        <v>215.9375</v>
      </c>
      <c r="G19" s="14">
        <v>6910</v>
      </c>
      <c r="H19" s="13">
        <f t="shared" ref="H19:H20" si="9">F19/C19</f>
        <v>1.7846074380165289</v>
      </c>
      <c r="I19" s="14">
        <f t="shared" ref="I19:I20" si="10">G19/C19</f>
        <v>57.107438016528924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2022</v>
      </c>
      <c r="B20" s="3">
        <f>$B$7</f>
        <v>18</v>
      </c>
      <c r="C20" s="4">
        <f>$C$7</f>
        <v>121</v>
      </c>
      <c r="D20" s="48">
        <v>349</v>
      </c>
      <c r="E20" s="48">
        <v>0</v>
      </c>
      <c r="F20" s="4">
        <f t="shared" si="8"/>
        <v>349</v>
      </c>
      <c r="G20" s="5">
        <v>8667</v>
      </c>
      <c r="H20" s="4">
        <f t="shared" si="9"/>
        <v>2.884297520661157</v>
      </c>
      <c r="I20" s="5">
        <f t="shared" si="10"/>
        <v>71.628099173553721</v>
      </c>
      <c r="J20" s="44">
        <f>I20/H20</f>
        <v>24.833810888252149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1.6162083936324168</v>
      </c>
      <c r="G21" s="16">
        <f t="shared" ref="G21" si="11">G20/G19</f>
        <v>1.2542691751085384</v>
      </c>
      <c r="H21" s="16"/>
      <c r="I21" s="16"/>
      <c r="J21" s="45"/>
      <c r="K21" s="45"/>
    </row>
    <row r="22" spans="1:11" ht="16.5" thickTop="1" thickBot="1" x14ac:dyDescent="0.25">
      <c r="A22" s="1">
        <f>$A$7</f>
        <v>2022</v>
      </c>
      <c r="B22" s="3">
        <f>$B$7</f>
        <v>18</v>
      </c>
      <c r="C22" s="4">
        <f>$C$7</f>
        <v>121</v>
      </c>
      <c r="D22" s="4">
        <f>G22/$J$7</f>
        <v>1012.5</v>
      </c>
      <c r="E22" s="4">
        <v>0</v>
      </c>
      <c r="F22" s="13">
        <f>SUM(D22:E22)</f>
        <v>1012.5</v>
      </c>
      <c r="G22" s="14">
        <v>32400</v>
      </c>
      <c r="H22" s="13">
        <f>F22/C22</f>
        <v>8.3677685950413228</v>
      </c>
      <c r="I22" s="14">
        <f>G22/C22</f>
        <v>267.76859504132233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2022</v>
      </c>
      <c r="B23" s="3">
        <f>$B$7</f>
        <v>18</v>
      </c>
      <c r="C23" s="4">
        <f>$C$7</f>
        <v>121</v>
      </c>
      <c r="D23" s="48">
        <v>1758</v>
      </c>
      <c r="E23" s="48">
        <v>0</v>
      </c>
      <c r="F23" s="4">
        <f>SUM(D23:E23)</f>
        <v>1758</v>
      </c>
      <c r="G23" s="5">
        <v>39477</v>
      </c>
      <c r="H23" s="4">
        <f>F23/C23</f>
        <v>14.528925619834711</v>
      </c>
      <c r="I23" s="5">
        <f>G23/C23</f>
        <v>326.25619834710744</v>
      </c>
      <c r="J23" s="44">
        <f>I23/H23</f>
        <v>22.455631399317408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1.7362962962962962</v>
      </c>
      <c r="G24" s="16">
        <f t="shared" ref="G24" si="12">G23/G22</f>
        <v>1.218425925925926</v>
      </c>
      <c r="H24" s="16"/>
      <c r="I24" s="16"/>
      <c r="J24" s="17"/>
      <c r="K24" s="17"/>
    </row>
    <row r="25" spans="1:11" ht="16.5" thickTop="1" thickBot="1" x14ac:dyDescent="0.25">
      <c r="A25" s="1">
        <f>$A$7</f>
        <v>2022</v>
      </c>
      <c r="B25" s="3">
        <f>$B$7</f>
        <v>18</v>
      </c>
      <c r="C25" s="4">
        <v>112</v>
      </c>
      <c r="D25" s="4">
        <f>G25/$J$7</f>
        <v>140</v>
      </c>
      <c r="E25" s="4">
        <v>0</v>
      </c>
      <c r="F25" s="13">
        <f>SUM(D25:E25)</f>
        <v>140</v>
      </c>
      <c r="G25" s="14">
        <v>4480</v>
      </c>
      <c r="H25" s="13">
        <f>F25/C25</f>
        <v>1.25</v>
      </c>
      <c r="I25" s="14">
        <f>G25/C25</f>
        <v>40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2022</v>
      </c>
      <c r="B26" s="3">
        <f>$B$7</f>
        <v>18</v>
      </c>
      <c r="C26" s="4">
        <f>C25</f>
        <v>112</v>
      </c>
      <c r="D26" s="48">
        <v>233</v>
      </c>
      <c r="E26" s="48">
        <v>0</v>
      </c>
      <c r="F26" s="4">
        <f>SUM(D26:E26)</f>
        <v>233</v>
      </c>
      <c r="G26" s="5">
        <v>5302</v>
      </c>
      <c r="H26" s="4">
        <f>F26/C26</f>
        <v>2.0803571428571428</v>
      </c>
      <c r="I26" s="5">
        <f>G26/C26</f>
        <v>47.339285714285715</v>
      </c>
      <c r="J26" s="44">
        <f>I26/H26</f>
        <v>22.755364806866954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1.6642857142857144</v>
      </c>
      <c r="G27" s="16">
        <f t="shared" ref="G27" si="13">G26/G25</f>
        <v>1.1834821428571429</v>
      </c>
      <c r="H27" s="16"/>
      <c r="I27" s="16"/>
      <c r="J27" s="17"/>
      <c r="K27" s="17"/>
    </row>
    <row r="28" spans="1:11" ht="16.5" thickTop="1" thickBot="1" x14ac:dyDescent="0.25">
      <c r="A28" s="1">
        <f>$A$7</f>
        <v>2022</v>
      </c>
      <c r="B28" s="3">
        <f>$B$7</f>
        <v>18</v>
      </c>
      <c r="C28" s="4">
        <f>$C$7</f>
        <v>121</v>
      </c>
      <c r="D28" s="4">
        <f>G28/$J$7</f>
        <v>30</v>
      </c>
      <c r="E28" s="4">
        <v>0</v>
      </c>
      <c r="F28" s="13">
        <f>SUM(D28:E28)</f>
        <v>30</v>
      </c>
      <c r="G28" s="14">
        <v>960</v>
      </c>
      <c r="H28" s="13">
        <f>F28/C28</f>
        <v>0.24793388429752067</v>
      </c>
      <c r="I28" s="14">
        <f>G28/C28</f>
        <v>7.9338842975206614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2022</v>
      </c>
      <c r="B29" s="3">
        <f>$B$7</f>
        <v>18</v>
      </c>
      <c r="C29" s="4">
        <f>$C$7</f>
        <v>121</v>
      </c>
      <c r="D29" s="48">
        <v>18</v>
      </c>
      <c r="E29" s="48">
        <v>0</v>
      </c>
      <c r="F29" s="4">
        <f>SUM(D29:E29)</f>
        <v>18</v>
      </c>
      <c r="G29" s="5">
        <v>473</v>
      </c>
      <c r="H29" s="4">
        <f>F29/C29</f>
        <v>0.1487603305785124</v>
      </c>
      <c r="I29" s="5">
        <f>G29/C29</f>
        <v>3.9090909090909092</v>
      </c>
      <c r="J29" s="44">
        <f>I29/H29</f>
        <v>26.277777777777779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</v>
      </c>
      <c r="G30" s="16">
        <f t="shared" ref="G30" si="14">G29/G28</f>
        <v>0.49270833333333336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2022</v>
      </c>
      <c r="B33" s="3">
        <f>$B$7</f>
        <v>18</v>
      </c>
      <c r="C33" s="4">
        <f>$C$7</f>
        <v>121</v>
      </c>
      <c r="D33" s="13">
        <f>SUM(D28,D22,D19)</f>
        <v>1258.4375</v>
      </c>
      <c r="E33" s="13">
        <v>0</v>
      </c>
      <c r="F33" s="13">
        <f t="shared" ref="F33" si="15">SUM(D33:E33)</f>
        <v>1258.4375</v>
      </c>
      <c r="G33" s="14">
        <f>SUM(G28,G22,G19)</f>
        <v>40270</v>
      </c>
      <c r="H33" s="34">
        <f t="shared" ref="H33:H34" si="16">F33/C33</f>
        <v>10.400309917355372</v>
      </c>
      <c r="I33" s="39">
        <f t="shared" ref="I33:I34" si="17">G33/C33</f>
        <v>332.80991735537191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2022</v>
      </c>
      <c r="B34" s="3">
        <f>$B$7</f>
        <v>18</v>
      </c>
      <c r="C34" s="4">
        <f>$C$7</f>
        <v>121</v>
      </c>
      <c r="D34" s="4">
        <f>SUM(D29,D23,D20)</f>
        <v>2125</v>
      </c>
      <c r="E34" s="49">
        <v>0</v>
      </c>
      <c r="F34" s="4">
        <f>SUM(D34)</f>
        <v>2125</v>
      </c>
      <c r="G34" s="50">
        <f>SUM(G29,G23,G20)</f>
        <v>48617</v>
      </c>
      <c r="H34" s="41">
        <f t="shared" si="16"/>
        <v>17.561983471074381</v>
      </c>
      <c r="I34" s="42">
        <f t="shared" si="17"/>
        <v>401.79338842975204</v>
      </c>
      <c r="J34" s="43">
        <f>I34/H34</f>
        <v>22.878588235294114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1.2072758877576359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17.561983471074381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2.0803571428571428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20.289256198347108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2023</v>
      </c>
      <c r="B7" s="3">
        <v>209</v>
      </c>
      <c r="C7" s="4">
        <v>1170</v>
      </c>
      <c r="D7" s="4">
        <f>G7/$J$7</f>
        <v>19032.84375</v>
      </c>
      <c r="E7" s="4">
        <v>0</v>
      </c>
      <c r="F7" s="4">
        <f t="shared" ref="F7" si="0">SUM(D7:E7)</f>
        <v>19032.84375</v>
      </c>
      <c r="G7" s="5">
        <f>SUM(G16,G19,G22,G25,G28)</f>
        <v>609051</v>
      </c>
      <c r="H7" s="9">
        <f t="shared" ref="H7" si="1">F7/C7</f>
        <v>16.26738782051282</v>
      </c>
      <c r="I7" s="11">
        <f t="shared" ref="I7:I8" si="2">G7/C7</f>
        <v>520.55641025641023</v>
      </c>
      <c r="J7" s="12">
        <v>32</v>
      </c>
      <c r="K7" s="37" t="s">
        <v>10</v>
      </c>
    </row>
    <row r="8" spans="1:11" ht="16.5" thickTop="1" thickBot="1" x14ac:dyDescent="0.25">
      <c r="A8" s="3"/>
      <c r="B8" s="3">
        <f>B7</f>
        <v>209</v>
      </c>
      <c r="C8" s="4">
        <f>C7</f>
        <v>1170</v>
      </c>
      <c r="D8" s="4">
        <f>SUM(D17,D20,D23,D26,D29)</f>
        <v>33105</v>
      </c>
      <c r="E8" s="4">
        <v>0</v>
      </c>
      <c r="F8" s="4">
        <f>SUM(D8)</f>
        <v>33105</v>
      </c>
      <c r="G8" s="5">
        <f>SUM(G17,G20,G23,G26,G29)</f>
        <v>702635</v>
      </c>
      <c r="H8" s="58">
        <f>F8/C8</f>
        <v>28.294871794871796</v>
      </c>
      <c r="I8" s="42">
        <f t="shared" si="2"/>
        <v>600.54273504273499</v>
      </c>
      <c r="J8" s="43">
        <f>I8/H8</f>
        <v>21.224437396163719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1.7393617283281695</v>
      </c>
      <c r="G10" s="62">
        <f t="shared" ref="G10" si="3">G8/G7</f>
        <v>1.1536554410057613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-14072.15625</v>
      </c>
      <c r="G12" s="47">
        <f>G7-G8</f>
        <v>-93584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2023</v>
      </c>
      <c r="B16" s="3">
        <f>$B$7</f>
        <v>209</v>
      </c>
      <c r="C16" s="4">
        <f>$C$7</f>
        <v>1170</v>
      </c>
      <c r="D16" s="4">
        <f>G16/$J$7</f>
        <v>1114.21875</v>
      </c>
      <c r="E16" s="4">
        <v>0</v>
      </c>
      <c r="F16" s="13">
        <f t="shared" ref="F16:F17" si="4">SUM(D16:E16)</f>
        <v>1114.21875</v>
      </c>
      <c r="G16" s="14">
        <v>35655</v>
      </c>
      <c r="H16" s="13">
        <f t="shared" ref="H16:H17" si="5">F16/C16</f>
        <v>0.95232371794871795</v>
      </c>
      <c r="I16" s="14">
        <f t="shared" ref="I16:I17" si="6">G16/C16</f>
        <v>30.474358974358974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2023</v>
      </c>
      <c r="B17" s="3">
        <f>$B$7</f>
        <v>209</v>
      </c>
      <c r="C17" s="4">
        <f>$C$7</f>
        <v>1170</v>
      </c>
      <c r="D17" s="48">
        <v>992</v>
      </c>
      <c r="E17" s="48">
        <v>0</v>
      </c>
      <c r="F17" s="4">
        <f t="shared" si="4"/>
        <v>992</v>
      </c>
      <c r="G17" s="5">
        <v>42989</v>
      </c>
      <c r="H17" s="4">
        <f t="shared" si="5"/>
        <v>0.84786324786324785</v>
      </c>
      <c r="I17" s="5">
        <f t="shared" si="6"/>
        <v>36.742735042735042</v>
      </c>
      <c r="J17" s="44">
        <f>I17/H17</f>
        <v>43.335685483870968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0.89030991445800023</v>
      </c>
      <c r="G18" s="16">
        <f t="shared" ref="G18" si="7">G17/G16</f>
        <v>1.2056934511288739</v>
      </c>
      <c r="H18" s="16"/>
      <c r="I18" s="16"/>
      <c r="J18" s="16"/>
      <c r="K18" s="45"/>
    </row>
    <row r="19" spans="1:11" ht="16.5" thickTop="1" thickBot="1" x14ac:dyDescent="0.25">
      <c r="A19" s="1">
        <f>$A$7</f>
        <v>2023</v>
      </c>
      <c r="B19" s="3">
        <f>$B$7</f>
        <v>209</v>
      </c>
      <c r="C19" s="4">
        <f>$C$7</f>
        <v>1170</v>
      </c>
      <c r="D19" s="4">
        <f>G19/$J$7</f>
        <v>5188.53125</v>
      </c>
      <c r="E19" s="4">
        <v>0</v>
      </c>
      <c r="F19" s="13">
        <f t="shared" ref="F19:F20" si="8">SUM(D19:E19)</f>
        <v>5188.53125</v>
      </c>
      <c r="G19" s="14">
        <v>166033</v>
      </c>
      <c r="H19" s="13">
        <f t="shared" ref="H19:H20" si="9">F19/C19</f>
        <v>4.4346420940170939</v>
      </c>
      <c r="I19" s="14">
        <f t="shared" ref="I19:I20" si="10">G19/C19</f>
        <v>141.908547008547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2023</v>
      </c>
      <c r="B20" s="3">
        <f>$B$7</f>
        <v>209</v>
      </c>
      <c r="C20" s="4">
        <f>$C$7</f>
        <v>1170</v>
      </c>
      <c r="D20" s="48">
        <v>6373</v>
      </c>
      <c r="E20" s="48">
        <v>0</v>
      </c>
      <c r="F20" s="4">
        <f t="shared" si="8"/>
        <v>6373</v>
      </c>
      <c r="G20" s="5">
        <v>126840</v>
      </c>
      <c r="H20" s="4">
        <f t="shared" si="9"/>
        <v>5.4470085470085472</v>
      </c>
      <c r="I20" s="5">
        <f t="shared" si="10"/>
        <v>108.41025641025641</v>
      </c>
      <c r="J20" s="44">
        <f>I20/H20</f>
        <v>19.902714577122232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1.2282859431558786</v>
      </c>
      <c r="G21" s="16">
        <f t="shared" ref="G21" si="11">G20/G19</f>
        <v>0.7639445170538387</v>
      </c>
      <c r="H21" s="16"/>
      <c r="I21" s="16"/>
      <c r="J21" s="45"/>
      <c r="K21" s="45"/>
    </row>
    <row r="22" spans="1:11" ht="16.5" thickTop="1" thickBot="1" x14ac:dyDescent="0.25">
      <c r="A22" s="1">
        <f>$A$7</f>
        <v>2023</v>
      </c>
      <c r="B22" s="3">
        <f>$B$7</f>
        <v>209</v>
      </c>
      <c r="C22" s="4">
        <f>$C$7</f>
        <v>1170</v>
      </c>
      <c r="D22" s="4">
        <f>G22/$J$7</f>
        <v>9503.03125</v>
      </c>
      <c r="E22" s="4">
        <v>0</v>
      </c>
      <c r="F22" s="13">
        <f>SUM(D22:E22)</f>
        <v>9503.03125</v>
      </c>
      <c r="G22" s="14">
        <v>304097</v>
      </c>
      <c r="H22" s="13">
        <f>F22/C22</f>
        <v>8.1222489316239308</v>
      </c>
      <c r="I22" s="14">
        <f>G22/C22</f>
        <v>259.91196581196579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2023</v>
      </c>
      <c r="B23" s="3">
        <f>$B$7</f>
        <v>209</v>
      </c>
      <c r="C23" s="4">
        <f>$C$7</f>
        <v>1170</v>
      </c>
      <c r="D23" s="48">
        <v>17765</v>
      </c>
      <c r="E23" s="48">
        <v>0</v>
      </c>
      <c r="F23" s="4">
        <f>SUM(D23:E23)</f>
        <v>17765</v>
      </c>
      <c r="G23" s="5">
        <v>373124</v>
      </c>
      <c r="H23" s="4">
        <f>F23/C23</f>
        <v>15.183760683760683</v>
      </c>
      <c r="I23" s="5">
        <f>G23/C23</f>
        <v>318.90940170940172</v>
      </c>
      <c r="J23" s="44">
        <f>I23/H23</f>
        <v>21.003321137067267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1.8694035126949624</v>
      </c>
      <c r="G24" s="16">
        <f t="shared" ref="G24" si="12">G23/G22</f>
        <v>1.2269900722466844</v>
      </c>
      <c r="H24" s="16"/>
      <c r="I24" s="16"/>
      <c r="J24" s="17"/>
      <c r="K24" s="17"/>
    </row>
    <row r="25" spans="1:11" ht="16.5" thickTop="1" thickBot="1" x14ac:dyDescent="0.25">
      <c r="A25" s="1">
        <f>$A$7</f>
        <v>2023</v>
      </c>
      <c r="B25" s="3">
        <f>$B$7</f>
        <v>209</v>
      </c>
      <c r="C25" s="4">
        <v>1154</v>
      </c>
      <c r="D25" s="4">
        <f>G25/$J$7</f>
        <v>1527</v>
      </c>
      <c r="E25" s="4">
        <v>0</v>
      </c>
      <c r="F25" s="13">
        <f>SUM(D25:E25)</f>
        <v>1527</v>
      </c>
      <c r="G25" s="14">
        <v>48864</v>
      </c>
      <c r="H25" s="13">
        <f>F25/C25</f>
        <v>1.3232235701906412</v>
      </c>
      <c r="I25" s="14">
        <f>G25/C25</f>
        <v>42.343154246100518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2023</v>
      </c>
      <c r="B26" s="3">
        <f>$B$7</f>
        <v>209</v>
      </c>
      <c r="C26" s="4">
        <f>C25</f>
        <v>1154</v>
      </c>
      <c r="D26" s="48">
        <v>2907</v>
      </c>
      <c r="E26" s="48">
        <v>0</v>
      </c>
      <c r="F26" s="4">
        <f>SUM(D26:E26)</f>
        <v>2907</v>
      </c>
      <c r="G26" s="5">
        <v>62631</v>
      </c>
      <c r="H26" s="4">
        <f>F26/C26</f>
        <v>2.5190641247833621</v>
      </c>
      <c r="I26" s="5">
        <f>G26/C26</f>
        <v>54.272963604852684</v>
      </c>
      <c r="J26" s="44">
        <f>I26/H26</f>
        <v>21.544891640866872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1.9037328094302555</v>
      </c>
      <c r="G27" s="16">
        <f t="shared" ref="G27" si="13">G26/G25</f>
        <v>1.2817411591355599</v>
      </c>
      <c r="H27" s="16"/>
      <c r="I27" s="16"/>
      <c r="J27" s="17"/>
      <c r="K27" s="17"/>
    </row>
    <row r="28" spans="1:11" ht="16.5" thickTop="1" thickBot="1" x14ac:dyDescent="0.25">
      <c r="A28" s="1">
        <f>$A$7</f>
        <v>2023</v>
      </c>
      <c r="B28" s="3">
        <f>$B$7</f>
        <v>209</v>
      </c>
      <c r="C28" s="4">
        <f>$C$7</f>
        <v>1170</v>
      </c>
      <c r="D28" s="4">
        <f>G28/$J$7</f>
        <v>1700.0625</v>
      </c>
      <c r="E28" s="4">
        <v>0</v>
      </c>
      <c r="F28" s="13">
        <f>SUM(D28:E28)</f>
        <v>1700.0625</v>
      </c>
      <c r="G28" s="14">
        <v>54402</v>
      </c>
      <c r="H28" s="13">
        <f>F28/C28</f>
        <v>1.4530448717948719</v>
      </c>
      <c r="I28" s="14">
        <f>G28/C28</f>
        <v>46.497435897435899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2023</v>
      </c>
      <c r="B29" s="3">
        <f>$B$7</f>
        <v>209</v>
      </c>
      <c r="C29" s="4">
        <f>$C$7</f>
        <v>1170</v>
      </c>
      <c r="D29" s="48">
        <v>5068</v>
      </c>
      <c r="E29" s="48">
        <v>0</v>
      </c>
      <c r="F29" s="4">
        <f>SUM(D29:E29)</f>
        <v>5068</v>
      </c>
      <c r="G29" s="5">
        <v>97051</v>
      </c>
      <c r="H29" s="4">
        <f>F29/C29</f>
        <v>4.3316239316239313</v>
      </c>
      <c r="I29" s="5">
        <f>G29/C29</f>
        <v>82.949572649572644</v>
      </c>
      <c r="J29" s="44">
        <f>I29/H29</f>
        <v>19.149763220205209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2.9810668725414509</v>
      </c>
      <c r="G30" s="16">
        <f t="shared" ref="G30" si="14">G29/G28</f>
        <v>1.7839601485239514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2023</v>
      </c>
      <c r="B33" s="3">
        <f>$B$7</f>
        <v>209</v>
      </c>
      <c r="C33" s="4">
        <f>$C$7</f>
        <v>1170</v>
      </c>
      <c r="D33" s="13">
        <f>SUM(D28,D22,D19)</f>
        <v>16391.625</v>
      </c>
      <c r="E33" s="13">
        <v>0</v>
      </c>
      <c r="F33" s="13">
        <f t="shared" ref="F33" si="15">SUM(D33:E33)</f>
        <v>16391.625</v>
      </c>
      <c r="G33" s="14">
        <f>SUM(G28,G22,G19)</f>
        <v>524532</v>
      </c>
      <c r="H33" s="34">
        <f t="shared" ref="H33:H34" si="16">F33/C33</f>
        <v>14.009935897435897</v>
      </c>
      <c r="I33" s="39">
        <f t="shared" ref="I33:I34" si="17">G33/C33</f>
        <v>448.3179487179487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2023</v>
      </c>
      <c r="B34" s="3">
        <f>$B$7</f>
        <v>209</v>
      </c>
      <c r="C34" s="4">
        <f>$C$7</f>
        <v>1170</v>
      </c>
      <c r="D34" s="4">
        <f>SUM(D29,D23,D20)</f>
        <v>29206</v>
      </c>
      <c r="E34" s="49">
        <v>0</v>
      </c>
      <c r="F34" s="4">
        <f>SUM(D34)</f>
        <v>29206</v>
      </c>
      <c r="G34" s="50">
        <f>SUM(G29,G23,G20)</f>
        <v>597015</v>
      </c>
      <c r="H34" s="41">
        <f t="shared" si="16"/>
        <v>24.962393162393163</v>
      </c>
      <c r="I34" s="42">
        <f t="shared" si="17"/>
        <v>510.26923076923077</v>
      </c>
      <c r="J34" s="43">
        <f>I34/H34</f>
        <v>20.441518865986442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1.138186040127199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24.962393162393163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2.5190641247833621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28.294871794871796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2024</v>
      </c>
      <c r="B7" s="3">
        <v>104</v>
      </c>
      <c r="C7" s="4">
        <v>611</v>
      </c>
      <c r="D7" s="4">
        <f>G7/$J$7</f>
        <v>12961.1875</v>
      </c>
      <c r="E7" s="4">
        <v>0</v>
      </c>
      <c r="F7" s="4">
        <f t="shared" ref="F7" si="0">SUM(D7:E7)</f>
        <v>12961.1875</v>
      </c>
      <c r="G7" s="5">
        <f>SUM(G16,G19,G22,G25,G28)</f>
        <v>414758</v>
      </c>
      <c r="H7" s="9">
        <f t="shared" ref="H7" si="1">F7/C7</f>
        <v>21.213072831423894</v>
      </c>
      <c r="I7" s="11">
        <f t="shared" ref="I7:I8" si="2">G7/C7</f>
        <v>678.8183306055646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2024</v>
      </c>
      <c r="B8" s="3">
        <f>B7</f>
        <v>104</v>
      </c>
      <c r="C8" s="4">
        <f>C7</f>
        <v>611</v>
      </c>
      <c r="D8" s="4">
        <f>SUM(D17,D20,D23,D26,D29)</f>
        <v>17090</v>
      </c>
      <c r="E8" s="4">
        <v>0</v>
      </c>
      <c r="F8" s="4">
        <f>SUM(D8)</f>
        <v>17090</v>
      </c>
      <c r="G8" s="5">
        <f>SUM(G17,G20,G23,G26,G29)</f>
        <v>379416</v>
      </c>
      <c r="H8" s="58">
        <f>F8/C8</f>
        <v>27.970540098199674</v>
      </c>
      <c r="I8" s="42">
        <f t="shared" si="2"/>
        <v>620.97545008183306</v>
      </c>
      <c r="J8" s="43">
        <f>I8/H8</f>
        <v>22.201053247513165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1.3185520231074506</v>
      </c>
      <c r="G10" s="62">
        <f t="shared" ref="G10" si="3">G8/G7</f>
        <v>0.91478886483202249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-4128.8125</v>
      </c>
      <c r="G12" s="47">
        <f>G7-G8</f>
        <v>35342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2024</v>
      </c>
      <c r="B16" s="3">
        <f>$B$7</f>
        <v>104</v>
      </c>
      <c r="C16" s="4">
        <f>$C$7</f>
        <v>611</v>
      </c>
      <c r="D16" s="4">
        <f>G16/$J$7</f>
        <v>1131.46875</v>
      </c>
      <c r="E16" s="4">
        <v>0</v>
      </c>
      <c r="F16" s="13">
        <f t="shared" ref="F16:F17" si="4">SUM(D16:E16)</f>
        <v>1131.46875</v>
      </c>
      <c r="G16" s="14">
        <v>36207</v>
      </c>
      <c r="H16" s="13">
        <f t="shared" ref="H16:H17" si="5">F16/C16</f>
        <v>1.8518310147299508</v>
      </c>
      <c r="I16" s="14">
        <f t="shared" ref="I16:I17" si="6">G16/C16</f>
        <v>59.258592471358426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2024</v>
      </c>
      <c r="B17" s="3">
        <f>$B$7</f>
        <v>104</v>
      </c>
      <c r="C17" s="4">
        <f>$C$7</f>
        <v>611</v>
      </c>
      <c r="D17" s="48">
        <v>767</v>
      </c>
      <c r="E17" s="48">
        <v>0</v>
      </c>
      <c r="F17" s="4">
        <f t="shared" si="4"/>
        <v>767</v>
      </c>
      <c r="G17" s="5">
        <v>32610</v>
      </c>
      <c r="H17" s="4">
        <f t="shared" si="5"/>
        <v>1.2553191489361701</v>
      </c>
      <c r="I17" s="5">
        <f t="shared" si="6"/>
        <v>53.371522094926348</v>
      </c>
      <c r="J17" s="44">
        <f>I17/H17</f>
        <v>42.516297262059972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0.67787996796199634</v>
      </c>
      <c r="G18" s="16">
        <f t="shared" ref="G18" si="7">G17/G16</f>
        <v>0.90065456955837264</v>
      </c>
      <c r="H18" s="16"/>
      <c r="I18" s="16"/>
      <c r="J18" s="16"/>
      <c r="K18" s="45"/>
    </row>
    <row r="19" spans="1:11" ht="16.5" thickTop="1" thickBot="1" x14ac:dyDescent="0.25">
      <c r="A19" s="1">
        <f>$A$7</f>
        <v>2024</v>
      </c>
      <c r="B19" s="3">
        <f>$B$7</f>
        <v>104</v>
      </c>
      <c r="C19" s="4">
        <f>$C$7</f>
        <v>611</v>
      </c>
      <c r="D19" s="4">
        <f>G19/$J$7</f>
        <v>3555.375</v>
      </c>
      <c r="E19" s="4">
        <v>0</v>
      </c>
      <c r="F19" s="13">
        <f t="shared" ref="F19:F20" si="8">SUM(D19:E19)</f>
        <v>3555.375</v>
      </c>
      <c r="G19" s="14">
        <v>113772</v>
      </c>
      <c r="H19" s="13">
        <f t="shared" ref="H19:H20" si="9">F19/C19</f>
        <v>5.8189443535188214</v>
      </c>
      <c r="I19" s="14">
        <f t="shared" ref="I19:I20" si="10">G19/C19</f>
        <v>186.20621931260229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2024</v>
      </c>
      <c r="B20" s="3">
        <f>$B$7</f>
        <v>104</v>
      </c>
      <c r="C20" s="4">
        <f>$C$7</f>
        <v>611</v>
      </c>
      <c r="D20" s="48">
        <v>3282</v>
      </c>
      <c r="E20" s="48">
        <v>0</v>
      </c>
      <c r="F20" s="4">
        <f t="shared" si="8"/>
        <v>3282</v>
      </c>
      <c r="G20" s="5">
        <v>80128</v>
      </c>
      <c r="H20" s="4">
        <f t="shared" si="9"/>
        <v>5.37152209492635</v>
      </c>
      <c r="I20" s="5">
        <f t="shared" si="10"/>
        <v>131.14238952536826</v>
      </c>
      <c r="J20" s="44">
        <f>I20/H20</f>
        <v>24.414381474710545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0.92310937664803294</v>
      </c>
      <c r="G21" s="16">
        <f t="shared" ref="G21" si="11">G20/G19</f>
        <v>0.70428576451147906</v>
      </c>
      <c r="H21" s="16"/>
      <c r="I21" s="16"/>
      <c r="J21" s="45"/>
      <c r="K21" s="45"/>
    </row>
    <row r="22" spans="1:11" ht="16.5" thickTop="1" thickBot="1" x14ac:dyDescent="0.25">
      <c r="A22" s="1">
        <f>$A$7</f>
        <v>2024</v>
      </c>
      <c r="B22" s="3">
        <f>$B$7</f>
        <v>104</v>
      </c>
      <c r="C22" s="4">
        <f>$C$7</f>
        <v>611</v>
      </c>
      <c r="D22" s="4">
        <f>G22/$J$7</f>
        <v>5957.71875</v>
      </c>
      <c r="E22" s="4">
        <v>0</v>
      </c>
      <c r="F22" s="13">
        <f>SUM(D22:E22)</f>
        <v>5957.71875</v>
      </c>
      <c r="G22" s="14">
        <v>190647</v>
      </c>
      <c r="H22" s="13">
        <f>F22/C22</f>
        <v>9.7507671849427169</v>
      </c>
      <c r="I22" s="14">
        <f>G22/C22</f>
        <v>312.02454991816694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2024</v>
      </c>
      <c r="B23" s="3">
        <f>$B$7</f>
        <v>104</v>
      </c>
      <c r="C23" s="4">
        <f>$C$7</f>
        <v>611</v>
      </c>
      <c r="D23" s="48">
        <v>8731</v>
      </c>
      <c r="E23" s="48">
        <v>0</v>
      </c>
      <c r="F23" s="4">
        <f>SUM(D23:E23)</f>
        <v>8731</v>
      </c>
      <c r="G23" s="5">
        <v>164177</v>
      </c>
      <c r="H23" s="4">
        <f>F23/C23</f>
        <v>14.289689034369886</v>
      </c>
      <c r="I23" s="5">
        <f>G23/C23</f>
        <v>268.70212765957444</v>
      </c>
      <c r="J23" s="44">
        <f>I23/H23</f>
        <v>18.80391707708166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1.4654938184183333</v>
      </c>
      <c r="G24" s="16">
        <f t="shared" ref="G24" si="12">G23/G22</f>
        <v>0.86115700745356605</v>
      </c>
      <c r="H24" s="16"/>
      <c r="I24" s="16"/>
      <c r="J24" s="17"/>
      <c r="K24" s="17"/>
    </row>
    <row r="25" spans="1:11" ht="16.5" thickTop="1" thickBot="1" x14ac:dyDescent="0.25">
      <c r="A25" s="1">
        <f>$A$7</f>
        <v>2024</v>
      </c>
      <c r="B25" s="3">
        <f>$B$7</f>
        <v>104</v>
      </c>
      <c r="C25" s="4">
        <v>585</v>
      </c>
      <c r="D25" s="4">
        <f>G25/$J$7</f>
        <v>977.78125</v>
      </c>
      <c r="E25" s="4">
        <v>0</v>
      </c>
      <c r="F25" s="13">
        <f>SUM(D25:E25)</f>
        <v>977.78125</v>
      </c>
      <c r="G25" s="14">
        <v>31289</v>
      </c>
      <c r="H25" s="13">
        <f>F25/C25</f>
        <v>1.6714209401709401</v>
      </c>
      <c r="I25" s="14">
        <f>G25/C25</f>
        <v>53.485470085470084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2024</v>
      </c>
      <c r="B26" s="3">
        <f>$B$7</f>
        <v>104</v>
      </c>
      <c r="C26" s="4">
        <f>C25</f>
        <v>585</v>
      </c>
      <c r="D26" s="48">
        <v>1151</v>
      </c>
      <c r="E26" s="48">
        <v>0</v>
      </c>
      <c r="F26" s="4">
        <f>SUM(D26:E26)</f>
        <v>1151</v>
      </c>
      <c r="G26" s="5">
        <v>28251</v>
      </c>
      <c r="H26" s="4">
        <f>F26/C26</f>
        <v>1.9675213675213674</v>
      </c>
      <c r="I26" s="5">
        <f>G26/C26</f>
        <v>48.292307692307695</v>
      </c>
      <c r="J26" s="44">
        <f>I26/H26</f>
        <v>24.544743701129455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1.177154910671482</v>
      </c>
      <c r="G27" s="16">
        <f t="shared" ref="G27" si="13">G26/G25</f>
        <v>0.90290517434242068</v>
      </c>
      <c r="H27" s="16"/>
      <c r="I27" s="16"/>
      <c r="J27" s="17"/>
      <c r="K27" s="17"/>
    </row>
    <row r="28" spans="1:11" ht="16.5" thickTop="1" thickBot="1" x14ac:dyDescent="0.25">
      <c r="A28" s="1">
        <f>$A$7</f>
        <v>2024</v>
      </c>
      <c r="B28" s="3">
        <f>$B$7</f>
        <v>104</v>
      </c>
      <c r="C28" s="4">
        <f>$C$7</f>
        <v>611</v>
      </c>
      <c r="D28" s="4">
        <f>G28/$J$7</f>
        <v>1338.84375</v>
      </c>
      <c r="E28" s="4">
        <v>0</v>
      </c>
      <c r="F28" s="13">
        <f>SUM(D28:E28)</f>
        <v>1338.84375</v>
      </c>
      <c r="G28" s="14">
        <v>42843</v>
      </c>
      <c r="H28" s="13">
        <f>F28/C28</f>
        <v>2.1912336333878888</v>
      </c>
      <c r="I28" s="14">
        <f>G28/C28</f>
        <v>70.119476268412441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2024</v>
      </c>
      <c r="B29" s="3">
        <f>$B$7</f>
        <v>104</v>
      </c>
      <c r="C29" s="4">
        <f>$C$7</f>
        <v>611</v>
      </c>
      <c r="D29" s="48">
        <v>3159</v>
      </c>
      <c r="E29" s="48">
        <v>0</v>
      </c>
      <c r="F29" s="4">
        <f>SUM(D29:E29)</f>
        <v>3159</v>
      </c>
      <c r="G29" s="5">
        <v>74250</v>
      </c>
      <c r="H29" s="4">
        <f>F29/C29</f>
        <v>5.1702127659574471</v>
      </c>
      <c r="I29" s="5">
        <f>G29/C29</f>
        <v>121.52209492635025</v>
      </c>
      <c r="J29" s="44">
        <f>I29/H29</f>
        <v>23.504273504273502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2.3594986345494013</v>
      </c>
      <c r="G30" s="16">
        <f t="shared" ref="G30" si="14">G29/G28</f>
        <v>1.7330719137315314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2024</v>
      </c>
      <c r="B33" s="3">
        <f>$B$7</f>
        <v>104</v>
      </c>
      <c r="C33" s="4">
        <f>$C$7</f>
        <v>611</v>
      </c>
      <c r="D33" s="13">
        <f>SUM(D28,D22,D19)</f>
        <v>10851.9375</v>
      </c>
      <c r="E33" s="13">
        <v>0</v>
      </c>
      <c r="F33" s="13">
        <f t="shared" ref="F33" si="15">SUM(D33:E33)</f>
        <v>10851.9375</v>
      </c>
      <c r="G33" s="14">
        <f>SUM(G28,G22,G19)</f>
        <v>347262</v>
      </c>
      <c r="H33" s="34">
        <f t="shared" ref="H33:H34" si="16">F33/C33</f>
        <v>17.760945171849428</v>
      </c>
      <c r="I33" s="39">
        <f t="shared" ref="I33:I34" si="17">G33/C33</f>
        <v>568.35024549918171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2024</v>
      </c>
      <c r="B34" s="3">
        <f>$B$7</f>
        <v>104</v>
      </c>
      <c r="C34" s="4">
        <f>$C$7</f>
        <v>611</v>
      </c>
      <c r="D34" s="4">
        <f>SUM(D29,D23,D20)</f>
        <v>15172</v>
      </c>
      <c r="E34" s="49">
        <v>0</v>
      </c>
      <c r="F34" s="4">
        <f>SUM(D34)</f>
        <v>15172</v>
      </c>
      <c r="G34" s="50">
        <f>SUM(G29,G23,G20)</f>
        <v>318555</v>
      </c>
      <c r="H34" s="41">
        <f t="shared" si="16"/>
        <v>24.831423895253682</v>
      </c>
      <c r="I34" s="42">
        <f t="shared" si="17"/>
        <v>521.36661211129297</v>
      </c>
      <c r="J34" s="43">
        <f>I34/H34</f>
        <v>20.996243079356709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0.91733331029597254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24.831423895253682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1.9675213675213674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27.970540098199674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2025</v>
      </c>
      <c r="B7" s="3">
        <v>75</v>
      </c>
      <c r="C7" s="4">
        <v>435</v>
      </c>
      <c r="D7" s="4">
        <f>G7/$J$7</f>
        <v>8614.25</v>
      </c>
      <c r="E7" s="4">
        <v>0</v>
      </c>
      <c r="F7" s="4">
        <f t="shared" ref="F7" si="0">SUM(D7:E7)</f>
        <v>8614.25</v>
      </c>
      <c r="G7" s="5">
        <f>SUM(G16,G19,G22,G25,G28)</f>
        <v>275656</v>
      </c>
      <c r="H7" s="9">
        <f t="shared" ref="H7" si="1">F7/C7</f>
        <v>19.802873563218391</v>
      </c>
      <c r="I7" s="11">
        <f t="shared" ref="I7:I8" si="2">G7/C7</f>
        <v>633.69195402298851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2025</v>
      </c>
      <c r="B8" s="3">
        <f>B7</f>
        <v>75</v>
      </c>
      <c r="C8" s="4">
        <f>C7</f>
        <v>435</v>
      </c>
      <c r="D8" s="4">
        <f>SUM(D17,D20,D23,D26,D29)</f>
        <v>11487</v>
      </c>
      <c r="E8" s="4">
        <v>0</v>
      </c>
      <c r="F8" s="4">
        <f>SUM(D8)</f>
        <v>11487</v>
      </c>
      <c r="G8" s="5">
        <f>SUM(G17,G20,G23,G26,G29)</f>
        <v>287218</v>
      </c>
      <c r="H8" s="58">
        <f>F8/C8</f>
        <v>26.406896551724138</v>
      </c>
      <c r="I8" s="42">
        <f t="shared" si="2"/>
        <v>660.27126436781612</v>
      </c>
      <c r="J8" s="43">
        <f>I8/H8</f>
        <v>25.00374336206146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1.3334881156223699</v>
      </c>
      <c r="G10" s="62">
        <f t="shared" ref="G10" si="3">G8/G7</f>
        <v>1.0419435818556462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-2872.75</v>
      </c>
      <c r="G12" s="47">
        <f>G7-G8</f>
        <v>-11562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2025</v>
      </c>
      <c r="B16" s="3">
        <f>$B$7</f>
        <v>75</v>
      </c>
      <c r="C16" s="4">
        <f>$C$7</f>
        <v>435</v>
      </c>
      <c r="D16" s="4">
        <f>G16/$J$7</f>
        <v>624.28125</v>
      </c>
      <c r="E16" s="4">
        <v>0</v>
      </c>
      <c r="F16" s="13">
        <f t="shared" ref="F16:F17" si="4">SUM(D16:E16)</f>
        <v>624.28125</v>
      </c>
      <c r="G16" s="14">
        <v>19977</v>
      </c>
      <c r="H16" s="13">
        <f t="shared" ref="H16:H17" si="5">F16/C16</f>
        <v>1.4351293103448275</v>
      </c>
      <c r="I16" s="14">
        <f t="shared" ref="I16:I17" si="6">G16/C16</f>
        <v>45.92413793103448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2025</v>
      </c>
      <c r="B17" s="3">
        <f>$B$7</f>
        <v>75</v>
      </c>
      <c r="C17" s="4">
        <f>$C$7</f>
        <v>435</v>
      </c>
      <c r="D17" s="48">
        <v>350</v>
      </c>
      <c r="E17" s="48">
        <v>0</v>
      </c>
      <c r="F17" s="4">
        <f t="shared" si="4"/>
        <v>350</v>
      </c>
      <c r="G17" s="5">
        <v>16202</v>
      </c>
      <c r="H17" s="4">
        <f t="shared" si="5"/>
        <v>0.8045977011494253</v>
      </c>
      <c r="I17" s="5">
        <f t="shared" si="6"/>
        <v>37.245977011494254</v>
      </c>
      <c r="J17" s="44">
        <f>I17/H17</f>
        <v>46.291428571428575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0.56064474145267063</v>
      </c>
      <c r="G18" s="16">
        <f t="shared" ref="G18" si="7">G17/G16</f>
        <v>0.81103268759072933</v>
      </c>
      <c r="H18" s="16"/>
      <c r="I18" s="16"/>
      <c r="J18" s="16"/>
      <c r="K18" s="45"/>
    </row>
    <row r="19" spans="1:11" ht="16.5" thickTop="1" thickBot="1" x14ac:dyDescent="0.25">
      <c r="A19" s="1">
        <f>$A$7</f>
        <v>2025</v>
      </c>
      <c r="B19" s="3">
        <f>$B$7</f>
        <v>75</v>
      </c>
      <c r="C19" s="4">
        <f>$C$7</f>
        <v>435</v>
      </c>
      <c r="D19" s="4">
        <f>G19/$J$7</f>
        <v>1757.46875</v>
      </c>
      <c r="E19" s="4">
        <v>0</v>
      </c>
      <c r="F19" s="13">
        <f t="shared" ref="F19:F20" si="8">SUM(D19:E19)</f>
        <v>1757.46875</v>
      </c>
      <c r="G19" s="14">
        <v>56239</v>
      </c>
      <c r="H19" s="13">
        <f t="shared" ref="H19:H20" si="9">F19/C19</f>
        <v>4.0401580459770114</v>
      </c>
      <c r="I19" s="14">
        <f t="shared" ref="I19:I20" si="10">G19/C19</f>
        <v>129.28505747126437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2025</v>
      </c>
      <c r="B20" s="3">
        <f>$B$7</f>
        <v>75</v>
      </c>
      <c r="C20" s="4">
        <f>$C$7</f>
        <v>435</v>
      </c>
      <c r="D20" s="48">
        <v>2107</v>
      </c>
      <c r="E20" s="48">
        <v>0</v>
      </c>
      <c r="F20" s="4">
        <f t="shared" si="8"/>
        <v>2107</v>
      </c>
      <c r="G20" s="5">
        <v>56825</v>
      </c>
      <c r="H20" s="4">
        <f t="shared" si="9"/>
        <v>4.8436781609195405</v>
      </c>
      <c r="I20" s="5">
        <f t="shared" si="10"/>
        <v>130.63218390804599</v>
      </c>
      <c r="J20" s="44">
        <f>I20/H20</f>
        <v>26.969625059326056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1.1988833371859386</v>
      </c>
      <c r="G21" s="16">
        <f t="shared" ref="G21" si="11">G20/G19</f>
        <v>1.010419815430573</v>
      </c>
      <c r="H21" s="16"/>
      <c r="I21" s="16"/>
      <c r="J21" s="45"/>
      <c r="K21" s="45"/>
    </row>
    <row r="22" spans="1:11" ht="16.5" thickTop="1" thickBot="1" x14ac:dyDescent="0.25">
      <c r="A22" s="1">
        <f>$A$7</f>
        <v>2025</v>
      </c>
      <c r="B22" s="3">
        <f>$B$7</f>
        <v>75</v>
      </c>
      <c r="C22" s="4">
        <f>$C$7</f>
        <v>435</v>
      </c>
      <c r="D22" s="4">
        <f>G22/$J$7</f>
        <v>3977.0625</v>
      </c>
      <c r="E22" s="4">
        <v>0</v>
      </c>
      <c r="F22" s="13">
        <f>SUM(D22:E22)</f>
        <v>3977.0625</v>
      </c>
      <c r="G22" s="14">
        <v>127266</v>
      </c>
      <c r="H22" s="13">
        <f>F22/C22</f>
        <v>9.1426724137931039</v>
      </c>
      <c r="I22" s="14">
        <f>G22/C22</f>
        <v>292.56551724137933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2025</v>
      </c>
      <c r="B23" s="3">
        <f>$B$7</f>
        <v>75</v>
      </c>
      <c r="C23" s="4">
        <f>$C$7</f>
        <v>435</v>
      </c>
      <c r="D23" s="48">
        <v>6350</v>
      </c>
      <c r="E23" s="48">
        <v>0</v>
      </c>
      <c r="F23" s="4">
        <f>SUM(D23:E23)</f>
        <v>6350</v>
      </c>
      <c r="G23" s="5">
        <v>150592</v>
      </c>
      <c r="H23" s="4">
        <f>F23/C23</f>
        <v>14.597701149425287</v>
      </c>
      <c r="I23" s="5">
        <f>G23/C23</f>
        <v>346.18850574712644</v>
      </c>
      <c r="J23" s="44">
        <f>I23/H23</f>
        <v>23.715275590551183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1.596655823236371</v>
      </c>
      <c r="G24" s="16">
        <f t="shared" ref="G24" si="12">G23/G22</f>
        <v>1.1832854022284034</v>
      </c>
      <c r="H24" s="16"/>
      <c r="I24" s="16"/>
      <c r="J24" s="17"/>
      <c r="K24" s="17"/>
    </row>
    <row r="25" spans="1:11" ht="16.5" thickTop="1" thickBot="1" x14ac:dyDescent="0.25">
      <c r="A25" s="1">
        <f>$A$7</f>
        <v>2025</v>
      </c>
      <c r="B25" s="3">
        <f>$B$7</f>
        <v>75</v>
      </c>
      <c r="C25" s="4">
        <v>432</v>
      </c>
      <c r="D25" s="4">
        <f>G25/$J$7</f>
        <v>771.625</v>
      </c>
      <c r="E25" s="4">
        <v>0</v>
      </c>
      <c r="F25" s="13">
        <f>SUM(D25:E25)</f>
        <v>771.625</v>
      </c>
      <c r="G25" s="14">
        <v>24692</v>
      </c>
      <c r="H25" s="13">
        <f>F25/C25</f>
        <v>1.7861689814814814</v>
      </c>
      <c r="I25" s="14">
        <f>G25/C25</f>
        <v>57.157407407407405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2025</v>
      </c>
      <c r="B26" s="3">
        <f>$B$7</f>
        <v>75</v>
      </c>
      <c r="C26" s="4">
        <f>C25</f>
        <v>432</v>
      </c>
      <c r="D26" s="48">
        <v>1069</v>
      </c>
      <c r="E26" s="48">
        <v>0</v>
      </c>
      <c r="F26" s="4">
        <f>SUM(D26:E26)</f>
        <v>1069</v>
      </c>
      <c r="G26" s="5">
        <v>23808</v>
      </c>
      <c r="H26" s="4">
        <f>F26/C26</f>
        <v>2.4745370370370372</v>
      </c>
      <c r="I26" s="5">
        <f>G26/C26</f>
        <v>55.111111111111114</v>
      </c>
      <c r="J26" s="44">
        <f>I26/H26</f>
        <v>22.271281571562209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1.3853879799125224</v>
      </c>
      <c r="G27" s="16">
        <f t="shared" ref="G27" si="13">G26/G25</f>
        <v>0.96419893082779851</v>
      </c>
      <c r="H27" s="16"/>
      <c r="I27" s="16"/>
      <c r="J27" s="17"/>
      <c r="K27" s="17"/>
    </row>
    <row r="28" spans="1:11" ht="16.5" thickTop="1" thickBot="1" x14ac:dyDescent="0.25">
      <c r="A28" s="1">
        <f>$A$7</f>
        <v>2025</v>
      </c>
      <c r="B28" s="3">
        <f>$B$7</f>
        <v>75</v>
      </c>
      <c r="C28" s="4">
        <f>$C$7</f>
        <v>435</v>
      </c>
      <c r="D28" s="4">
        <f>G28/$J$7</f>
        <v>1483.8125</v>
      </c>
      <c r="E28" s="4">
        <v>0</v>
      </c>
      <c r="F28" s="13">
        <f>SUM(D28:E28)</f>
        <v>1483.8125</v>
      </c>
      <c r="G28" s="14">
        <v>47482</v>
      </c>
      <c r="H28" s="13">
        <f>F28/C28</f>
        <v>3.4110632183908045</v>
      </c>
      <c r="I28" s="14">
        <f>G28/C28</f>
        <v>109.15402298850574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2025</v>
      </c>
      <c r="B29" s="3">
        <f>$B$7</f>
        <v>75</v>
      </c>
      <c r="C29" s="4">
        <f>$C$7</f>
        <v>435</v>
      </c>
      <c r="D29" s="48">
        <v>1611</v>
      </c>
      <c r="E29" s="48">
        <v>0</v>
      </c>
      <c r="F29" s="4">
        <f>SUM(D29:E29)</f>
        <v>1611</v>
      </c>
      <c r="G29" s="5">
        <v>39791</v>
      </c>
      <c r="H29" s="4">
        <f>F29/C29</f>
        <v>3.703448275862069</v>
      </c>
      <c r="I29" s="5">
        <f>G29/C29</f>
        <v>91.473563218390808</v>
      </c>
      <c r="J29" s="44">
        <f>I29/H29</f>
        <v>24.699565487274985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1.0857166926414221</v>
      </c>
      <c r="G30" s="16">
        <f t="shared" ref="G30" si="14">G29/G28</f>
        <v>0.83802282970388775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2025</v>
      </c>
      <c r="B33" s="3">
        <f>$B$7</f>
        <v>75</v>
      </c>
      <c r="C33" s="4">
        <f>$C$7</f>
        <v>435</v>
      </c>
      <c r="D33" s="13">
        <f>SUM(D28,D22,D19)</f>
        <v>7218.34375</v>
      </c>
      <c r="E33" s="13">
        <v>0</v>
      </c>
      <c r="F33" s="13">
        <f t="shared" ref="F33" si="15">SUM(D33:E33)</f>
        <v>7218.34375</v>
      </c>
      <c r="G33" s="14">
        <f>SUM(G28,G22,G19)</f>
        <v>230987</v>
      </c>
      <c r="H33" s="34">
        <f t="shared" ref="H33:H34" si="16">F33/C33</f>
        <v>16.593893678160921</v>
      </c>
      <c r="I33" s="39">
        <f t="shared" ref="I33:I34" si="17">G33/C33</f>
        <v>531.00459770114946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2025</v>
      </c>
      <c r="B34" s="3">
        <f>$B$7</f>
        <v>75</v>
      </c>
      <c r="C34" s="4">
        <f>$C$7</f>
        <v>435</v>
      </c>
      <c r="D34" s="4">
        <f>SUM(D29,D23,D20)</f>
        <v>10068</v>
      </c>
      <c r="E34" s="49">
        <v>0</v>
      </c>
      <c r="F34" s="4">
        <f>SUM(D34)</f>
        <v>10068</v>
      </c>
      <c r="G34" s="50">
        <f>SUM(G29,G23,G20)</f>
        <v>247208</v>
      </c>
      <c r="H34" s="41">
        <f t="shared" si="16"/>
        <v>23.144827586206898</v>
      </c>
      <c r="I34" s="42">
        <f t="shared" si="17"/>
        <v>568.29425287356321</v>
      </c>
      <c r="J34" s="43">
        <f>I34/H34</f>
        <v>24.553833929280888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1.0702247312619324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23.144827586206898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2.4745370370370372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26.406896551724138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2026</v>
      </c>
      <c r="B7" s="3">
        <v>49</v>
      </c>
      <c r="C7" s="4">
        <v>298</v>
      </c>
      <c r="D7" s="4">
        <f>G7/$J$7</f>
        <v>5997.53125</v>
      </c>
      <c r="E7" s="4">
        <v>0</v>
      </c>
      <c r="F7" s="4">
        <f t="shared" ref="F7" si="0">SUM(D7:E7)</f>
        <v>5997.53125</v>
      </c>
      <c r="G7" s="5">
        <f>SUM(G16,G19,G22,G25,G28)</f>
        <v>191921</v>
      </c>
      <c r="H7" s="9">
        <f t="shared" ref="H7" si="1">F7/C7</f>
        <v>20.125943791946309</v>
      </c>
      <c r="I7" s="11">
        <f t="shared" ref="I7:I8" si="2">G7/C7</f>
        <v>644.03020134228188</v>
      </c>
      <c r="J7" s="12">
        <v>32</v>
      </c>
      <c r="K7" s="37" t="s">
        <v>10</v>
      </c>
    </row>
    <row r="8" spans="1:11" ht="16.5" thickTop="1" thickBot="1" x14ac:dyDescent="0.25">
      <c r="A8" s="3">
        <v>2047</v>
      </c>
      <c r="B8" s="3">
        <f>B7</f>
        <v>49</v>
      </c>
      <c r="C8" s="4">
        <f>C7</f>
        <v>298</v>
      </c>
      <c r="D8" s="4">
        <f>SUM(D17,D20,D23,D26,D29)</f>
        <v>8540</v>
      </c>
      <c r="E8" s="4">
        <v>0</v>
      </c>
      <c r="F8" s="4">
        <f>SUM(D8)</f>
        <v>8540</v>
      </c>
      <c r="G8" s="5">
        <f>SUM(G17,G20,G23,G26,G29)</f>
        <v>210591</v>
      </c>
      <c r="H8" s="58">
        <f>F8/C8</f>
        <v>28.65771812080537</v>
      </c>
      <c r="I8" s="42">
        <f t="shared" si="2"/>
        <v>706.68120805369131</v>
      </c>
      <c r="J8" s="43">
        <f>I8/H8</f>
        <v>24.659367681498829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1.4239192167610633</v>
      </c>
      <c r="G10" s="62">
        <f t="shared" ref="G10" si="3">G8/G7</f>
        <v>1.0972796098394653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-2542.46875</v>
      </c>
      <c r="G12" s="47">
        <f>G7-G8</f>
        <v>-18670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2026</v>
      </c>
      <c r="B16" s="3">
        <f>$B$7</f>
        <v>49</v>
      </c>
      <c r="C16" s="4">
        <f>$C$7</f>
        <v>298</v>
      </c>
      <c r="D16" s="4">
        <f>G16/$J$7</f>
        <v>490</v>
      </c>
      <c r="E16" s="4">
        <v>0</v>
      </c>
      <c r="F16" s="13">
        <f t="shared" ref="F16:F17" si="4">SUM(D16:E16)</f>
        <v>490</v>
      </c>
      <c r="G16" s="14">
        <v>15680</v>
      </c>
      <c r="H16" s="13">
        <f t="shared" ref="H16:H17" si="5">F16/C16</f>
        <v>1.6442953020134228</v>
      </c>
      <c r="I16" s="14">
        <f t="shared" ref="I16:I17" si="6">G16/C16</f>
        <v>52.617449664429529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2026</v>
      </c>
      <c r="B17" s="3">
        <f>$B$7</f>
        <v>49</v>
      </c>
      <c r="C17" s="4">
        <f>$C$7</f>
        <v>298</v>
      </c>
      <c r="D17" s="48">
        <v>176</v>
      </c>
      <c r="E17" s="48">
        <v>0</v>
      </c>
      <c r="F17" s="4">
        <f t="shared" si="4"/>
        <v>176</v>
      </c>
      <c r="G17" s="5">
        <v>8077</v>
      </c>
      <c r="H17" s="4">
        <f t="shared" si="5"/>
        <v>0.59060402684563762</v>
      </c>
      <c r="I17" s="5">
        <f t="shared" si="6"/>
        <v>27.104026845637584</v>
      </c>
      <c r="J17" s="44">
        <f>I17/H17</f>
        <v>45.892045454545453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0.35918367346938773</v>
      </c>
      <c r="G18" s="16">
        <f t="shared" ref="G18" si="7">G17/G16</f>
        <v>0.5151147959183674</v>
      </c>
      <c r="H18" s="16"/>
      <c r="I18" s="16"/>
      <c r="J18" s="16"/>
      <c r="K18" s="45"/>
    </row>
    <row r="19" spans="1:11" ht="16.5" thickTop="1" thickBot="1" x14ac:dyDescent="0.25">
      <c r="A19" s="1">
        <f>$A$7</f>
        <v>2026</v>
      </c>
      <c r="B19" s="3">
        <f>$B$7</f>
        <v>49</v>
      </c>
      <c r="C19" s="4">
        <f>$C$7</f>
        <v>298</v>
      </c>
      <c r="D19" s="4">
        <f>G19/$J$7</f>
        <v>730.46875</v>
      </c>
      <c r="E19" s="4">
        <v>0</v>
      </c>
      <c r="F19" s="13">
        <f t="shared" ref="F19:F20" si="8">SUM(D19:E19)</f>
        <v>730.46875</v>
      </c>
      <c r="G19" s="14">
        <v>23375</v>
      </c>
      <c r="H19" s="13">
        <f t="shared" ref="H19:H20" si="9">F19/C19</f>
        <v>2.4512374161073827</v>
      </c>
      <c r="I19" s="14">
        <f t="shared" ref="I19:I20" si="10">G19/C19</f>
        <v>78.439597315436245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2026</v>
      </c>
      <c r="B20" s="3">
        <f>$B$7</f>
        <v>49</v>
      </c>
      <c r="C20" s="4">
        <f>$C$7</f>
        <v>298</v>
      </c>
      <c r="D20" s="48">
        <v>1301</v>
      </c>
      <c r="E20" s="48">
        <v>0</v>
      </c>
      <c r="F20" s="4">
        <f t="shared" si="8"/>
        <v>1301</v>
      </c>
      <c r="G20" s="5">
        <v>34913</v>
      </c>
      <c r="H20" s="4">
        <f t="shared" si="9"/>
        <v>4.3657718120805367</v>
      </c>
      <c r="I20" s="5">
        <f t="shared" si="10"/>
        <v>117.15771812080537</v>
      </c>
      <c r="J20" s="44">
        <f>I20/H20</f>
        <v>26.835511145272868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/>
      <c r="G21" s="16"/>
      <c r="H21" s="16"/>
      <c r="I21" s="16"/>
      <c r="J21" s="45"/>
      <c r="K21" s="45"/>
    </row>
    <row r="22" spans="1:11" ht="16.5" thickTop="1" thickBot="1" x14ac:dyDescent="0.25">
      <c r="A22" s="1">
        <f>$A$7</f>
        <v>2026</v>
      </c>
      <c r="B22" s="3">
        <f>$B$7</f>
        <v>49</v>
      </c>
      <c r="C22" s="4">
        <f>$C$7</f>
        <v>298</v>
      </c>
      <c r="D22" s="4">
        <f>G22/$J$7</f>
        <v>3185.8125</v>
      </c>
      <c r="E22" s="4">
        <v>0</v>
      </c>
      <c r="F22" s="13">
        <f>SUM(D22:E22)</f>
        <v>3185.8125</v>
      </c>
      <c r="G22" s="14">
        <v>101946</v>
      </c>
      <c r="H22" s="13">
        <f>F22/C22</f>
        <v>10.690645973154362</v>
      </c>
      <c r="I22" s="14">
        <f>G22/C22</f>
        <v>342.1006711409396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2026</v>
      </c>
      <c r="B23" s="3">
        <f>$B$7</f>
        <v>49</v>
      </c>
      <c r="C23" s="4">
        <f>$C$7</f>
        <v>298</v>
      </c>
      <c r="D23" s="48">
        <v>4901</v>
      </c>
      <c r="E23" s="48">
        <v>0</v>
      </c>
      <c r="F23" s="4">
        <f>SUM(D23:E23)</f>
        <v>4901</v>
      </c>
      <c r="G23" s="5">
        <v>116565</v>
      </c>
      <c r="H23" s="4">
        <f>F23/C23</f>
        <v>16.446308724832214</v>
      </c>
      <c r="I23" s="5">
        <f>G23/C23</f>
        <v>391.15771812080538</v>
      </c>
      <c r="J23" s="44">
        <f>I23/H23</f>
        <v>23.783921648643137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1.5383830655445039</v>
      </c>
      <c r="G24" s="16">
        <f t="shared" ref="G24" si="11">G23/G22</f>
        <v>1.143399446765935</v>
      </c>
      <c r="H24" s="16"/>
      <c r="I24" s="16"/>
      <c r="J24" s="17"/>
      <c r="K24" s="17"/>
    </row>
    <row r="25" spans="1:11" ht="16.5" thickTop="1" thickBot="1" x14ac:dyDescent="0.25">
      <c r="A25" s="1">
        <f>$A$7</f>
        <v>2026</v>
      </c>
      <c r="B25" s="3">
        <f>$B$7</f>
        <v>49</v>
      </c>
      <c r="C25" s="4">
        <v>296</v>
      </c>
      <c r="D25" s="4">
        <f>G25/$J$7</f>
        <v>528.75</v>
      </c>
      <c r="E25" s="4">
        <v>0</v>
      </c>
      <c r="F25" s="13">
        <f>SUM(D25:E25)</f>
        <v>528.75</v>
      </c>
      <c r="G25" s="14">
        <v>16920</v>
      </c>
      <c r="H25" s="13">
        <f>F25/C25</f>
        <v>1.7863175675675675</v>
      </c>
      <c r="I25" s="14">
        <f>G25/C25</f>
        <v>57.162162162162161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2026</v>
      </c>
      <c r="B26" s="3">
        <f>$B$7</f>
        <v>49</v>
      </c>
      <c r="C26" s="4">
        <f>C25</f>
        <v>296</v>
      </c>
      <c r="D26" s="48">
        <v>626</v>
      </c>
      <c r="E26" s="48">
        <v>0</v>
      </c>
      <c r="F26" s="4">
        <f>SUM(D26:E26)</f>
        <v>626</v>
      </c>
      <c r="G26" s="5">
        <v>12520</v>
      </c>
      <c r="H26" s="4">
        <f>F26/C26</f>
        <v>2.1148648648648649</v>
      </c>
      <c r="I26" s="5">
        <f>G26/C26</f>
        <v>42.297297297297298</v>
      </c>
      <c r="J26" s="44">
        <f>I26/H26</f>
        <v>20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1.1839243498817966</v>
      </c>
      <c r="G27" s="16">
        <f t="shared" ref="G27" si="12">G26/G25</f>
        <v>0.73995271867612289</v>
      </c>
      <c r="H27" s="16"/>
      <c r="I27" s="16"/>
      <c r="J27" s="17"/>
      <c r="K27" s="17"/>
    </row>
    <row r="28" spans="1:11" ht="16.5" thickTop="1" thickBot="1" x14ac:dyDescent="0.25">
      <c r="A28" s="1">
        <f>$A$7</f>
        <v>2026</v>
      </c>
      <c r="B28" s="3">
        <f>$B$7</f>
        <v>49</v>
      </c>
      <c r="C28" s="4">
        <f>$C$7</f>
        <v>298</v>
      </c>
      <c r="D28" s="4">
        <f>G28/$J$7</f>
        <v>1062.5</v>
      </c>
      <c r="E28" s="4">
        <v>0</v>
      </c>
      <c r="F28" s="13">
        <f>SUM(D28:E28)</f>
        <v>1062.5</v>
      </c>
      <c r="G28" s="14">
        <v>34000</v>
      </c>
      <c r="H28" s="13">
        <f>F28/C28</f>
        <v>3.5654362416107381</v>
      </c>
      <c r="I28" s="14">
        <f>G28/C28</f>
        <v>114.09395973154362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2026</v>
      </c>
      <c r="B29" s="3">
        <f>$B$7</f>
        <v>49</v>
      </c>
      <c r="C29" s="4">
        <f>$C$7</f>
        <v>298</v>
      </c>
      <c r="D29" s="48">
        <v>1536</v>
      </c>
      <c r="E29" s="48">
        <v>0</v>
      </c>
      <c r="F29" s="4">
        <f>SUM(D29:E29)</f>
        <v>1536</v>
      </c>
      <c r="G29" s="5">
        <v>38516</v>
      </c>
      <c r="H29" s="4">
        <f>F29/C29</f>
        <v>5.1543624161073822</v>
      </c>
      <c r="I29" s="5">
        <f>G29/C29</f>
        <v>129.24832214765101</v>
      </c>
      <c r="J29" s="44">
        <f>I29/H29</f>
        <v>25.075520833333336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2026</v>
      </c>
      <c r="B33" s="3">
        <f>$B$7</f>
        <v>49</v>
      </c>
      <c r="C33" s="4">
        <f>$C$7</f>
        <v>298</v>
      </c>
      <c r="D33" s="13">
        <f>SUM(D28,D22,D19)</f>
        <v>4978.78125</v>
      </c>
      <c r="E33" s="13">
        <v>0</v>
      </c>
      <c r="F33" s="13">
        <f t="shared" ref="F33" si="13">SUM(D33:E33)</f>
        <v>4978.78125</v>
      </c>
      <c r="G33" s="14">
        <f>SUM(G28,G22,G19)</f>
        <v>159321</v>
      </c>
      <c r="H33" s="34">
        <f t="shared" ref="H33:H34" si="14">F33/C33</f>
        <v>16.707319630872483</v>
      </c>
      <c r="I33" s="39">
        <f t="shared" ref="I33:I34" si="15">G33/C33</f>
        <v>534.63422818791946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2026</v>
      </c>
      <c r="B34" s="3">
        <f>$B$7</f>
        <v>49</v>
      </c>
      <c r="C34" s="4">
        <f>$C$7</f>
        <v>298</v>
      </c>
      <c r="D34" s="4">
        <f>SUM(D29,D23,D20)</f>
        <v>7738</v>
      </c>
      <c r="E34" s="49">
        <v>0</v>
      </c>
      <c r="F34" s="4">
        <f>SUM(D34)</f>
        <v>7738</v>
      </c>
      <c r="G34" s="50">
        <f>SUM(G29,G23,G20)</f>
        <v>189994</v>
      </c>
      <c r="H34" s="41">
        <f t="shared" si="14"/>
        <v>25.966442953020135</v>
      </c>
      <c r="I34" s="42">
        <f t="shared" si="15"/>
        <v>637.56375838926169</v>
      </c>
      <c r="J34" s="43">
        <f>I34/H34</f>
        <v>24.553372964590331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6">G34/G33</f>
        <v>1.1925232706297348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25.966442953020135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2.1148648648648649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28.65771812080537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/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2027</v>
      </c>
      <c r="B7" s="3">
        <v>170</v>
      </c>
      <c r="C7" s="4">
        <v>938</v>
      </c>
      <c r="D7" s="4">
        <f>G7/$J$7</f>
        <v>17490.6875</v>
      </c>
      <c r="E7" s="4"/>
      <c r="F7" s="4">
        <f t="shared" ref="F7" si="0">SUM(D7:E7)</f>
        <v>17490.6875</v>
      </c>
      <c r="G7" s="5">
        <f>SUM(G16,G19,G22,G25,G28)</f>
        <v>559702</v>
      </c>
      <c r="H7" s="9">
        <f t="shared" ref="H7" si="1">F7/C7</f>
        <v>18.646788379530918</v>
      </c>
      <c r="I7" s="11">
        <f t="shared" ref="I7:I8" si="2">G7/C7</f>
        <v>596.69722814498937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2027</v>
      </c>
      <c r="B8" s="3">
        <f>B7</f>
        <v>170</v>
      </c>
      <c r="C8" s="4">
        <f>C7</f>
        <v>938</v>
      </c>
      <c r="D8" s="4">
        <f>SUM(D17,D20,D23,D26,D29)</f>
        <v>21015</v>
      </c>
      <c r="E8" s="4"/>
      <c r="F8" s="4">
        <f>SUM(D8)</f>
        <v>21015</v>
      </c>
      <c r="G8" s="5">
        <f>SUM(G17,G20,G23,G26,G29)</f>
        <v>491252</v>
      </c>
      <c r="H8" s="58">
        <f>F8/C8</f>
        <v>22.404051172707888</v>
      </c>
      <c r="I8" s="42">
        <f t="shared" si="2"/>
        <v>523.72281449893387</v>
      </c>
      <c r="J8" s="43">
        <f>I8/H8</f>
        <v>23.376255055912445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1.2014965106431637</v>
      </c>
      <c r="G10" s="62">
        <f t="shared" ref="G10" si="3">G8/G7</f>
        <v>0.87770277754948167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-3524.3125</v>
      </c>
      <c r="G12" s="47">
        <f>G7-G8</f>
        <v>68450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2027</v>
      </c>
      <c r="B16" s="3">
        <f>$B$7</f>
        <v>170</v>
      </c>
      <c r="C16" s="4">
        <f>$C$7</f>
        <v>938</v>
      </c>
      <c r="D16" s="4">
        <f>G16/$J$7</f>
        <v>1000.34375</v>
      </c>
      <c r="E16" s="4"/>
      <c r="F16" s="13">
        <f t="shared" ref="F16:F17" si="4">SUM(D16:E16)</f>
        <v>1000.34375</v>
      </c>
      <c r="G16" s="14">
        <v>32011</v>
      </c>
      <c r="H16" s="13">
        <f t="shared" ref="H16:H17" si="5">F16/C16</f>
        <v>1.0664645522388059</v>
      </c>
      <c r="I16" s="14">
        <f t="shared" ref="I16:I17" si="6">G16/C16</f>
        <v>34.126865671641788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2027</v>
      </c>
      <c r="B17" s="3">
        <f>$B$7</f>
        <v>170</v>
      </c>
      <c r="C17" s="4">
        <f>$C$7</f>
        <v>938</v>
      </c>
      <c r="D17" s="48">
        <v>414</v>
      </c>
      <c r="E17" s="48"/>
      <c r="F17" s="4">
        <f t="shared" si="4"/>
        <v>414</v>
      </c>
      <c r="G17" s="5">
        <v>19178</v>
      </c>
      <c r="H17" s="4">
        <f t="shared" si="5"/>
        <v>0.44136460554371004</v>
      </c>
      <c r="I17" s="5">
        <f t="shared" si="6"/>
        <v>20.445628997867804</v>
      </c>
      <c r="J17" s="44">
        <f>I17/H17</f>
        <v>46.323671497584542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0.41385773640311141</v>
      </c>
      <c r="G18" s="16">
        <f t="shared" ref="G18" si="7">G17/G16</f>
        <v>0.5991065571209897</v>
      </c>
      <c r="H18" s="16"/>
      <c r="I18" s="16"/>
      <c r="J18" s="16"/>
      <c r="K18" s="45"/>
    </row>
    <row r="19" spans="1:11" ht="16.5" thickTop="1" thickBot="1" x14ac:dyDescent="0.25">
      <c r="A19" s="1">
        <f>$A$7</f>
        <v>2027</v>
      </c>
      <c r="B19" s="3">
        <f>$B$7</f>
        <v>170</v>
      </c>
      <c r="C19" s="4">
        <f>$C$7</f>
        <v>938</v>
      </c>
      <c r="D19" s="4">
        <f>G19/$J$7</f>
        <v>2800.21875</v>
      </c>
      <c r="E19" s="4"/>
      <c r="F19" s="13">
        <f t="shared" ref="F19:F20" si="8">SUM(D19:E19)</f>
        <v>2800.21875</v>
      </c>
      <c r="G19" s="14">
        <v>89607</v>
      </c>
      <c r="H19" s="13">
        <f t="shared" ref="H19:H20" si="9">F19/C19</f>
        <v>2.9853078358208953</v>
      </c>
      <c r="I19" s="14">
        <f t="shared" ref="I19:I20" si="10">G19/C19</f>
        <v>95.52985074626865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2027</v>
      </c>
      <c r="B20" s="3">
        <f>$B$7</f>
        <v>170</v>
      </c>
      <c r="C20" s="4">
        <f>$C$7</f>
        <v>938</v>
      </c>
      <c r="D20" s="48">
        <v>2814</v>
      </c>
      <c r="E20" s="48"/>
      <c r="F20" s="4">
        <f t="shared" si="8"/>
        <v>2814</v>
      </c>
      <c r="G20" s="5">
        <v>77475</v>
      </c>
      <c r="H20" s="4">
        <f t="shared" si="9"/>
        <v>3</v>
      </c>
      <c r="I20" s="5">
        <f t="shared" si="10"/>
        <v>82.595948827292105</v>
      </c>
      <c r="J20" s="44">
        <f>I20/H20</f>
        <v>27.531982942430702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1.0049214905085539</v>
      </c>
      <c r="G21" s="16">
        <f t="shared" ref="G21" si="11">G20/G19</f>
        <v>0.86460879172386085</v>
      </c>
      <c r="H21" s="16"/>
      <c r="I21" s="16"/>
      <c r="J21" s="45"/>
      <c r="K21" s="45"/>
    </row>
    <row r="22" spans="1:11" ht="16.5" thickTop="1" thickBot="1" x14ac:dyDescent="0.25">
      <c r="A22" s="1">
        <f>$A$7</f>
        <v>2027</v>
      </c>
      <c r="B22" s="3">
        <f>$B$7</f>
        <v>170</v>
      </c>
      <c r="C22" s="4">
        <f>$C$7</f>
        <v>938</v>
      </c>
      <c r="D22" s="4">
        <f>G22/$J$7</f>
        <v>9405.9375</v>
      </c>
      <c r="E22" s="4"/>
      <c r="F22" s="13">
        <f>SUM(D22:E22)</f>
        <v>9405.9375</v>
      </c>
      <c r="G22" s="14">
        <v>300990</v>
      </c>
      <c r="H22" s="13">
        <f>F22/C22</f>
        <v>10.027651918976545</v>
      </c>
      <c r="I22" s="14">
        <f>G22/C22</f>
        <v>320.88486140724945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2027</v>
      </c>
      <c r="B23" s="3">
        <f>$B$7</f>
        <v>170</v>
      </c>
      <c r="C23" s="4">
        <f>$C$7</f>
        <v>938</v>
      </c>
      <c r="D23" s="48">
        <v>12672</v>
      </c>
      <c r="E23" s="48"/>
      <c r="F23" s="4">
        <f>SUM(D23:E23)</f>
        <v>12672</v>
      </c>
      <c r="G23" s="5">
        <v>278596</v>
      </c>
      <c r="H23" s="4">
        <f>F23/C23</f>
        <v>13.50959488272921</v>
      </c>
      <c r="I23" s="5">
        <f>G23/C23</f>
        <v>297.01066098081026</v>
      </c>
      <c r="J23" s="44">
        <f>I23/H23</f>
        <v>21.985164141414145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1.3472341273796471</v>
      </c>
      <c r="G24" s="16">
        <f t="shared" ref="G24" si="12">G23/G22</f>
        <v>0.92559885710488721</v>
      </c>
      <c r="H24" s="16"/>
      <c r="I24" s="16"/>
      <c r="J24" s="17"/>
      <c r="K24" s="17"/>
    </row>
    <row r="25" spans="1:11" ht="16.5" thickTop="1" thickBot="1" x14ac:dyDescent="0.25">
      <c r="A25" s="1">
        <f>$A$7</f>
        <v>2027</v>
      </c>
      <c r="B25" s="3">
        <f>$B$7</f>
        <v>170</v>
      </c>
      <c r="C25" s="4">
        <v>935</v>
      </c>
      <c r="D25" s="4">
        <f>G25/$J$7</f>
        <v>1658.71875</v>
      </c>
      <c r="E25" s="4"/>
      <c r="F25" s="13">
        <f>SUM(D25:E25)</f>
        <v>1658.71875</v>
      </c>
      <c r="G25" s="14">
        <v>53079</v>
      </c>
      <c r="H25" s="13">
        <f>F25/C25</f>
        <v>1.7740307486631015</v>
      </c>
      <c r="I25" s="14">
        <f>G25/C25</f>
        <v>56.768983957219248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2027</v>
      </c>
      <c r="B26" s="3">
        <f>$B$7</f>
        <v>170</v>
      </c>
      <c r="C26" s="4">
        <f>C25</f>
        <v>935</v>
      </c>
      <c r="D26" s="48">
        <v>2158</v>
      </c>
      <c r="E26" s="48"/>
      <c r="F26" s="4">
        <f>SUM(D26:E26)</f>
        <v>2158</v>
      </c>
      <c r="G26" s="5">
        <v>48850</v>
      </c>
      <c r="H26" s="4">
        <f>F26/C26</f>
        <v>2.3080213903743316</v>
      </c>
      <c r="I26" s="5">
        <f>G26/C26</f>
        <v>52.245989304812831</v>
      </c>
      <c r="J26" s="44">
        <f>I26/H26</f>
        <v>22.636700648748839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1.3010041636051923</v>
      </c>
      <c r="G27" s="16">
        <f t="shared" ref="G27" si="13">G26/G25</f>
        <v>0.92032630607208121</v>
      </c>
      <c r="H27" s="16"/>
      <c r="I27" s="16"/>
      <c r="J27" s="17"/>
      <c r="K27" s="17"/>
    </row>
    <row r="28" spans="1:11" ht="16.5" thickTop="1" thickBot="1" x14ac:dyDescent="0.25">
      <c r="A28" s="1">
        <f>$A$7</f>
        <v>2027</v>
      </c>
      <c r="B28" s="3">
        <f>$B$7</f>
        <v>170</v>
      </c>
      <c r="C28" s="4">
        <f>$C$7</f>
        <v>938</v>
      </c>
      <c r="D28" s="4">
        <f>G28/$J$7</f>
        <v>2625.46875</v>
      </c>
      <c r="E28" s="4"/>
      <c r="F28" s="13">
        <f>SUM(D28:E28)</f>
        <v>2625.46875</v>
      </c>
      <c r="G28" s="14">
        <v>84015</v>
      </c>
      <c r="H28" s="13">
        <f>F28/C28</f>
        <v>2.7990071961620471</v>
      </c>
      <c r="I28" s="14">
        <f>G28/C28</f>
        <v>89.568230277185506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2027</v>
      </c>
      <c r="B29" s="3">
        <f>$B$7</f>
        <v>170</v>
      </c>
      <c r="C29" s="4">
        <f>$C$7</f>
        <v>938</v>
      </c>
      <c r="D29" s="48">
        <v>2957</v>
      </c>
      <c r="E29" s="48"/>
      <c r="F29" s="4">
        <f>SUM(D29:E29)</f>
        <v>2957</v>
      </c>
      <c r="G29" s="5">
        <v>67153</v>
      </c>
      <c r="H29" s="4">
        <f>F29/C29</f>
        <v>3.1524520255863537</v>
      </c>
      <c r="I29" s="5">
        <f>G29/C29</f>
        <v>71.591684434968016</v>
      </c>
      <c r="J29" s="44">
        <f>I29/H29</f>
        <v>22.709841055123437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2027</v>
      </c>
      <c r="B33" s="3">
        <f>$B$7</f>
        <v>170</v>
      </c>
      <c r="C33" s="4">
        <f>$C$7</f>
        <v>938</v>
      </c>
      <c r="D33" s="13">
        <f>SUM(D28,D22,D19)</f>
        <v>14831.625</v>
      </c>
      <c r="E33" s="13"/>
      <c r="F33" s="13">
        <f t="shared" ref="F33" si="14">SUM(D33:E33)</f>
        <v>14831.625</v>
      </c>
      <c r="G33" s="14">
        <f>SUM(G28,G22,G19)</f>
        <v>474612</v>
      </c>
      <c r="H33" s="34">
        <f t="shared" ref="H33:H34" si="15">F33/C33</f>
        <v>15.811966950959489</v>
      </c>
      <c r="I33" s="39">
        <f t="shared" ref="I33:I34" si="16">G33/C33</f>
        <v>505.98294243070364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2027</v>
      </c>
      <c r="B34" s="3">
        <f>$B$7</f>
        <v>170</v>
      </c>
      <c r="C34" s="4">
        <f>$C$7</f>
        <v>938</v>
      </c>
      <c r="D34" s="4">
        <f>SUM(D29,D23,D20)</f>
        <v>18443</v>
      </c>
      <c r="E34" s="49"/>
      <c r="F34" s="4">
        <f>SUM(D34)</f>
        <v>18443</v>
      </c>
      <c r="G34" s="50">
        <f>SUM(G29,G23,G20)</f>
        <v>423224</v>
      </c>
      <c r="H34" s="41">
        <f t="shared" si="15"/>
        <v>19.662046908315563</v>
      </c>
      <c r="I34" s="42">
        <f t="shared" si="16"/>
        <v>451.19829424307034</v>
      </c>
      <c r="J34" s="43">
        <f>I34/H34</f>
        <v>22.947676625277882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0.89172629432041328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19.662046908315563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2.3080213903743316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22.404051172707888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2028</v>
      </c>
      <c r="B7" s="3">
        <v>296</v>
      </c>
      <c r="C7" s="4">
        <v>1518</v>
      </c>
      <c r="D7" s="4">
        <f>G7/$J$7</f>
        <v>22110.21875</v>
      </c>
      <c r="E7" s="4">
        <v>0</v>
      </c>
      <c r="F7" s="4">
        <f t="shared" ref="F7" si="0">SUM(D7:E7)</f>
        <v>22110.21875</v>
      </c>
      <c r="G7" s="5">
        <f>SUM(G16,G19,G22,G25,G28)</f>
        <v>707527</v>
      </c>
      <c r="H7" s="9">
        <f t="shared" ref="H7" si="1">F7/C7</f>
        <v>14.56536149538867</v>
      </c>
      <c r="I7" s="11">
        <f t="shared" ref="I7:I8" si="2">G7/C7</f>
        <v>466.09156785243744</v>
      </c>
      <c r="J7" s="12">
        <v>32</v>
      </c>
      <c r="K7" s="37" t="s">
        <v>10</v>
      </c>
    </row>
    <row r="8" spans="1:11" ht="16.5" thickTop="1" thickBot="1" x14ac:dyDescent="0.25">
      <c r="A8" s="3">
        <v>2028</v>
      </c>
      <c r="B8" s="3">
        <v>296</v>
      </c>
      <c r="C8" s="4">
        <v>1518</v>
      </c>
      <c r="D8" s="4">
        <f>SUM(D17,D20,D23,D26,D29)</f>
        <v>24091</v>
      </c>
      <c r="E8" s="4">
        <v>0</v>
      </c>
      <c r="F8" s="4">
        <f>SUM(D8)</f>
        <v>24091</v>
      </c>
      <c r="G8" s="5">
        <f>SUM(G17,G20,G23,G26,G29)</f>
        <v>567412</v>
      </c>
      <c r="H8" s="58">
        <f>F8/C8</f>
        <v>15.870223978919631</v>
      </c>
      <c r="I8" s="42">
        <f t="shared" si="2"/>
        <v>373.78919631093544</v>
      </c>
      <c r="J8" s="43">
        <f>I8/H8</f>
        <v>23.552862064671455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1.0895866871511617</v>
      </c>
      <c r="G10" s="62">
        <f t="shared" ref="G10" si="3">G8/G7</f>
        <v>0.80196515468667628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-1980.78125</v>
      </c>
      <c r="G12" s="47">
        <f>G7-G8</f>
        <v>140115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2028</v>
      </c>
      <c r="B16" s="3">
        <f>$B$7</f>
        <v>296</v>
      </c>
      <c r="C16" s="4">
        <f>$C$7</f>
        <v>1518</v>
      </c>
      <c r="D16" s="4">
        <f>G16/$J$7</f>
        <v>895.40625</v>
      </c>
      <c r="E16" s="4">
        <v>0</v>
      </c>
      <c r="F16" s="13">
        <f t="shared" ref="F16:F17" si="4">SUM(D16:E16)</f>
        <v>895.40625</v>
      </c>
      <c r="G16" s="14">
        <v>28653</v>
      </c>
      <c r="H16" s="13">
        <f t="shared" ref="H16:H17" si="5">F16/C16</f>
        <v>0.58985918972332019</v>
      </c>
      <c r="I16" s="14">
        <f t="shared" ref="I16:I17" si="6">G16/C16</f>
        <v>18.875494071146246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2028</v>
      </c>
      <c r="B17" s="3">
        <f>$B$7</f>
        <v>296</v>
      </c>
      <c r="C17" s="4">
        <f>$C$7</f>
        <v>1518</v>
      </c>
      <c r="D17" s="48">
        <v>590</v>
      </c>
      <c r="E17" s="48">
        <v>0</v>
      </c>
      <c r="F17" s="4">
        <f t="shared" si="4"/>
        <v>590</v>
      </c>
      <c r="G17" s="5">
        <v>26531</v>
      </c>
      <c r="H17" s="4">
        <f t="shared" si="5"/>
        <v>0.38866930171277997</v>
      </c>
      <c r="I17" s="5">
        <f t="shared" si="6"/>
        <v>17.477602108036891</v>
      </c>
      <c r="J17" s="44">
        <f>I17/H17</f>
        <v>44.967796610169493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0.65891878686350469</v>
      </c>
      <c r="G18" s="16">
        <f t="shared" ref="G18" si="7">G17/G16</f>
        <v>0.92594143719680311</v>
      </c>
      <c r="H18" s="16"/>
      <c r="I18" s="16"/>
      <c r="J18" s="16"/>
      <c r="K18" s="45"/>
    </row>
    <row r="19" spans="1:11" ht="16.5" thickTop="1" thickBot="1" x14ac:dyDescent="0.25">
      <c r="A19" s="1">
        <f>$A$7</f>
        <v>2028</v>
      </c>
      <c r="B19" s="3">
        <f>$B$7</f>
        <v>296</v>
      </c>
      <c r="C19" s="4">
        <f>$C$7</f>
        <v>1518</v>
      </c>
      <c r="D19" s="4">
        <f>G19/$J$7</f>
        <v>5449.9375</v>
      </c>
      <c r="E19" s="4">
        <v>0</v>
      </c>
      <c r="F19" s="13">
        <f t="shared" ref="F19:F20" si="8">SUM(D19:E19)</f>
        <v>5449.9375</v>
      </c>
      <c r="G19" s="14">
        <v>174398</v>
      </c>
      <c r="H19" s="13">
        <f t="shared" ref="H19:H20" si="9">F19/C19</f>
        <v>3.5902091567852437</v>
      </c>
      <c r="I19" s="14">
        <f t="shared" ref="I19:I20" si="10">G19/C19</f>
        <v>114.8866930171278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2028</v>
      </c>
      <c r="B20" s="3">
        <f>$B$7</f>
        <v>296</v>
      </c>
      <c r="C20" s="4">
        <f>$C$7</f>
        <v>1518</v>
      </c>
      <c r="D20" s="48">
        <v>3293</v>
      </c>
      <c r="E20" s="48">
        <v>0</v>
      </c>
      <c r="F20" s="4">
        <f t="shared" si="8"/>
        <v>3293</v>
      </c>
      <c r="G20" s="5">
        <v>83561</v>
      </c>
      <c r="H20" s="4">
        <f t="shared" si="9"/>
        <v>2.1693017127799736</v>
      </c>
      <c r="I20" s="5">
        <f t="shared" si="10"/>
        <v>55.046772068511196</v>
      </c>
      <c r="J20" s="44">
        <f>I20/H20</f>
        <v>25.375341633768599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0.60422711269624652</v>
      </c>
      <c r="G21" s="16">
        <f t="shared" ref="G21" si="11">G20/G19</f>
        <v>0.47913966903290173</v>
      </c>
      <c r="H21" s="16"/>
      <c r="I21" s="16"/>
      <c r="J21" s="45"/>
      <c r="K21" s="45"/>
    </row>
    <row r="22" spans="1:11" ht="16.5" thickTop="1" thickBot="1" x14ac:dyDescent="0.25">
      <c r="A22" s="1">
        <f>$A$7</f>
        <v>2028</v>
      </c>
      <c r="B22" s="3">
        <f>$B$7</f>
        <v>296</v>
      </c>
      <c r="C22" s="4">
        <f>$C$7</f>
        <v>1518</v>
      </c>
      <c r="D22" s="4">
        <f>G22/$J$7</f>
        <v>10947.0625</v>
      </c>
      <c r="E22" s="4">
        <v>0</v>
      </c>
      <c r="F22" s="13">
        <f>SUM(D22:E22)</f>
        <v>10947.0625</v>
      </c>
      <c r="G22" s="14">
        <v>350306</v>
      </c>
      <c r="H22" s="13">
        <f>F22/C22</f>
        <v>7.2115036231884062</v>
      </c>
      <c r="I22" s="14">
        <f>G22/C22</f>
        <v>230.768115942029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2028</v>
      </c>
      <c r="B23" s="3">
        <f>$B$7</f>
        <v>296</v>
      </c>
      <c r="C23" s="4">
        <f>$C$7</f>
        <v>1518</v>
      </c>
      <c r="D23" s="48">
        <v>16225</v>
      </c>
      <c r="E23" s="48">
        <v>0</v>
      </c>
      <c r="F23" s="4">
        <f>SUM(D23:E23)</f>
        <v>16225</v>
      </c>
      <c r="G23" s="5">
        <v>366999</v>
      </c>
      <c r="H23" s="4">
        <f>F23/C23</f>
        <v>10.688405797101449</v>
      </c>
      <c r="I23" s="5">
        <f>G23/C23</f>
        <v>241.76482213438734</v>
      </c>
      <c r="J23" s="44">
        <f>I23/H23</f>
        <v>22.61935285053929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1.4821327639263957</v>
      </c>
      <c r="G24" s="16">
        <f t="shared" ref="G24" si="12">G23/G22</f>
        <v>1.0476526237061312</v>
      </c>
      <c r="H24" s="16"/>
      <c r="I24" s="16"/>
      <c r="J24" s="17"/>
      <c r="K24" s="17"/>
    </row>
    <row r="25" spans="1:11" ht="16.5" thickTop="1" thickBot="1" x14ac:dyDescent="0.25">
      <c r="A25" s="1">
        <f>$A$7</f>
        <v>2028</v>
      </c>
      <c r="B25" s="3">
        <f>$B$7</f>
        <v>296</v>
      </c>
      <c r="C25" s="4">
        <v>1521</v>
      </c>
      <c r="D25" s="4">
        <f>G25/$J$7</f>
        <v>22.5</v>
      </c>
      <c r="E25" s="4">
        <v>0</v>
      </c>
      <c r="F25" s="13">
        <f>SUM(D25:E25)</f>
        <v>22.5</v>
      </c>
      <c r="G25" s="14">
        <v>720</v>
      </c>
      <c r="H25" s="13">
        <f>F25/C25</f>
        <v>1.4792899408284023E-2</v>
      </c>
      <c r="I25" s="14">
        <f>G25/C25</f>
        <v>0.47337278106508873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2028</v>
      </c>
      <c r="B26" s="3">
        <f>$B$7</f>
        <v>296</v>
      </c>
      <c r="C26" s="4">
        <v>1521</v>
      </c>
      <c r="D26" s="48">
        <v>19</v>
      </c>
      <c r="E26" s="48">
        <v>0</v>
      </c>
      <c r="F26" s="4">
        <f>SUM(D26:E26)</f>
        <v>19</v>
      </c>
      <c r="G26" s="5">
        <v>719</v>
      </c>
      <c r="H26" s="4">
        <f>F26/C26</f>
        <v>1.2491781722550954E-2</v>
      </c>
      <c r="I26" s="5">
        <f>G26/C26</f>
        <v>0.47271531886916501</v>
      </c>
      <c r="J26" s="44">
        <f>I26/H26</f>
        <v>37.84210526315789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0.84444444444444444</v>
      </c>
      <c r="G27" s="16">
        <f t="shared" ref="G27" si="13">G26/G25</f>
        <v>0.99861111111111112</v>
      </c>
      <c r="H27" s="16"/>
      <c r="I27" s="16"/>
      <c r="J27" s="17"/>
      <c r="K27" s="17"/>
    </row>
    <row r="28" spans="1:11" ht="16.5" thickTop="1" thickBot="1" x14ac:dyDescent="0.25">
      <c r="A28" s="1">
        <f>$A$7</f>
        <v>2028</v>
      </c>
      <c r="B28" s="3">
        <f>$B$7</f>
        <v>296</v>
      </c>
      <c r="C28" s="4">
        <f>$C$7</f>
        <v>1518</v>
      </c>
      <c r="D28" s="4">
        <f>G28/$J$7</f>
        <v>4795.3125</v>
      </c>
      <c r="E28" s="4">
        <v>0</v>
      </c>
      <c r="F28" s="13">
        <f>SUM(D28:E28)</f>
        <v>4795.3125</v>
      </c>
      <c r="G28" s="14">
        <v>153450</v>
      </c>
      <c r="H28" s="13">
        <f>F28/C28</f>
        <v>3.1589673913043477</v>
      </c>
      <c r="I28" s="14">
        <f>G28/C28</f>
        <v>101.08695652173913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2028</v>
      </c>
      <c r="B29" s="3">
        <f>$B$7</f>
        <v>296</v>
      </c>
      <c r="C29" s="4">
        <f>$C$7</f>
        <v>1518</v>
      </c>
      <c r="D29" s="48">
        <v>3964</v>
      </c>
      <c r="E29" s="48">
        <v>0</v>
      </c>
      <c r="F29" s="4">
        <f>SUM(D29:E29)</f>
        <v>3964</v>
      </c>
      <c r="G29" s="5">
        <v>89602</v>
      </c>
      <c r="H29" s="4">
        <f>F29/C29</f>
        <v>2.6113306982872202</v>
      </c>
      <c r="I29" s="5">
        <f>G29/C29</f>
        <v>59.02635046113307</v>
      </c>
      <c r="J29" s="44">
        <f>I29/H29</f>
        <v>22.60393541876892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0.82664059954382541</v>
      </c>
      <c r="G30" s="16">
        <f t="shared" ref="G30" si="14">G29/G28</f>
        <v>0.58391658520690781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2028</v>
      </c>
      <c r="B33" s="3">
        <f>$B$7</f>
        <v>296</v>
      </c>
      <c r="C33" s="4">
        <f>$C$7</f>
        <v>1518</v>
      </c>
      <c r="D33" s="13">
        <f>SUM(D28,D22,D19)</f>
        <v>21192.3125</v>
      </c>
      <c r="E33" s="13">
        <v>0</v>
      </c>
      <c r="F33" s="13">
        <f t="shared" ref="F33" si="15">SUM(D33:E33)</f>
        <v>21192.3125</v>
      </c>
      <c r="G33" s="14">
        <f>SUM(G28,G22,G19)</f>
        <v>678154</v>
      </c>
      <c r="H33" s="34">
        <f t="shared" ref="H33:H34" si="16">F33/C33</f>
        <v>13.960680171277998</v>
      </c>
      <c r="I33" s="39">
        <f t="shared" ref="I33:I34" si="17">G33/C33</f>
        <v>446.74176548089594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2028</v>
      </c>
      <c r="B34" s="3">
        <f>$B$7</f>
        <v>296</v>
      </c>
      <c r="C34" s="4">
        <f>$C$7</f>
        <v>1518</v>
      </c>
      <c r="D34" s="4">
        <f>SUM(D29,D23,D20)</f>
        <v>23482</v>
      </c>
      <c r="E34" s="49">
        <v>0</v>
      </c>
      <c r="F34" s="4">
        <f>SUM(D34)</f>
        <v>23482</v>
      </c>
      <c r="G34" s="50">
        <f>SUM(G29,G23,G20)</f>
        <v>540162</v>
      </c>
      <c r="H34" s="41">
        <f t="shared" si="16"/>
        <v>15.469038208168643</v>
      </c>
      <c r="I34" s="42">
        <f t="shared" si="17"/>
        <v>355.83794466403162</v>
      </c>
      <c r="J34" s="43">
        <f>I34/H34</f>
        <v>23.003236521591006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0.79651819498226062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15.469038208168643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1.2491781722550954E-2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15.870223978919631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2029</v>
      </c>
      <c r="B7" s="3">
        <v>84</v>
      </c>
      <c r="C7" s="4">
        <v>403</v>
      </c>
      <c r="D7" s="4">
        <f>G7/$J$7</f>
        <v>8347.78125</v>
      </c>
      <c r="E7" s="4">
        <v>0</v>
      </c>
      <c r="F7" s="4">
        <f t="shared" ref="F7" si="0">SUM(D7:E7)</f>
        <v>8347.78125</v>
      </c>
      <c r="G7" s="5">
        <f>SUM(G16,G19,G22,G25,G28)</f>
        <v>267129</v>
      </c>
      <c r="H7" s="9">
        <f t="shared" ref="H7" si="1">F7/C7</f>
        <v>20.714097394540943</v>
      </c>
      <c r="I7" s="11">
        <f t="shared" ref="I7:I8" si="2">G7/C7</f>
        <v>662.85111662531017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2029</v>
      </c>
      <c r="B8" s="3">
        <f>B7</f>
        <v>84</v>
      </c>
      <c r="C8" s="4">
        <f>C7</f>
        <v>403</v>
      </c>
      <c r="D8" s="4">
        <f>SUM(D17,D20,D23,D26,D29)</f>
        <v>7589</v>
      </c>
      <c r="E8" s="4">
        <v>0</v>
      </c>
      <c r="F8" s="4">
        <f>SUM(D8)</f>
        <v>7589</v>
      </c>
      <c r="G8" s="5">
        <f>SUM(G17,G20,G23,G26,G29)</f>
        <v>187726</v>
      </c>
      <c r="H8" s="58">
        <f>F8/C8</f>
        <v>18.831265508684865</v>
      </c>
      <c r="I8" s="42">
        <f t="shared" si="2"/>
        <v>465.82133995037219</v>
      </c>
      <c r="J8" s="43">
        <f>I8/H8</f>
        <v>24.736592436421134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0.90910384121529297</v>
      </c>
      <c r="G10" s="62">
        <f t="shared" ref="G10" si="3">G8/G7</f>
        <v>0.70275410007898809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758.78125</v>
      </c>
      <c r="G12" s="47">
        <f>G7-G8</f>
        <v>79403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2029</v>
      </c>
      <c r="B16" s="3">
        <f>$B$7</f>
        <v>84</v>
      </c>
      <c r="C16" s="4">
        <f>$C$7</f>
        <v>403</v>
      </c>
      <c r="D16" s="4">
        <f>G16/$J$7</f>
        <v>707.59375</v>
      </c>
      <c r="E16" s="4">
        <v>0</v>
      </c>
      <c r="F16" s="13">
        <f t="shared" ref="F16:F17" si="4">SUM(D16:E16)</f>
        <v>707.59375</v>
      </c>
      <c r="G16" s="14">
        <v>22643</v>
      </c>
      <c r="H16" s="13">
        <f t="shared" ref="H16:H17" si="5">F16/C16</f>
        <v>1.7558157568238213</v>
      </c>
      <c r="I16" s="14">
        <f t="shared" ref="I16:I17" si="6">G16/C16</f>
        <v>56.186104218362281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2029</v>
      </c>
      <c r="B17" s="3">
        <f>$B$7</f>
        <v>84</v>
      </c>
      <c r="C17" s="4">
        <f>$C$7</f>
        <v>403</v>
      </c>
      <c r="D17" s="48">
        <v>275</v>
      </c>
      <c r="E17" s="48">
        <v>0</v>
      </c>
      <c r="F17" s="4">
        <f t="shared" si="4"/>
        <v>275</v>
      </c>
      <c r="G17" s="5">
        <v>12782</v>
      </c>
      <c r="H17" s="4">
        <f t="shared" si="5"/>
        <v>0.68238213399503722</v>
      </c>
      <c r="I17" s="5">
        <f t="shared" si="6"/>
        <v>31.717121588089331</v>
      </c>
      <c r="J17" s="44">
        <f>I17/H17</f>
        <v>46.480000000000004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0.38864108112882567</v>
      </c>
      <c r="G18" s="16">
        <f t="shared" ref="G18" si="7">G17/G16</f>
        <v>0.56450117033961933</v>
      </c>
      <c r="H18" s="16"/>
      <c r="I18" s="16"/>
      <c r="J18" s="16"/>
      <c r="K18" s="45"/>
    </row>
    <row r="19" spans="1:11" ht="16.5" thickTop="1" thickBot="1" x14ac:dyDescent="0.25">
      <c r="A19" s="1">
        <f>$A$7</f>
        <v>2029</v>
      </c>
      <c r="B19" s="3">
        <f>$B$7</f>
        <v>84</v>
      </c>
      <c r="C19" s="4">
        <f>$C$7</f>
        <v>403</v>
      </c>
      <c r="D19" s="4">
        <f>G19/$J$7</f>
        <v>591.09375</v>
      </c>
      <c r="E19" s="4">
        <v>0</v>
      </c>
      <c r="F19" s="13">
        <f t="shared" ref="F19:F20" si="8">SUM(D19:E19)</f>
        <v>591.09375</v>
      </c>
      <c r="G19" s="14">
        <v>18915</v>
      </c>
      <c r="H19" s="13">
        <f t="shared" ref="H19:H20" si="9">F19/C19</f>
        <v>1.466733870967742</v>
      </c>
      <c r="I19" s="14">
        <f t="shared" ref="I19:I20" si="10">G19/C19</f>
        <v>46.935483870967744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2029</v>
      </c>
      <c r="B20" s="3">
        <f>$B$7</f>
        <v>84</v>
      </c>
      <c r="C20" s="4">
        <f>$C$7</f>
        <v>403</v>
      </c>
      <c r="D20" s="48">
        <v>672</v>
      </c>
      <c r="E20" s="48">
        <v>0</v>
      </c>
      <c r="F20" s="4">
        <f t="shared" si="8"/>
        <v>672</v>
      </c>
      <c r="G20" s="5">
        <v>18887</v>
      </c>
      <c r="H20" s="4">
        <f t="shared" si="9"/>
        <v>1.6674937965260546</v>
      </c>
      <c r="I20" s="5">
        <f t="shared" si="10"/>
        <v>46.866004962779158</v>
      </c>
      <c r="J20" s="44">
        <f>I20/H20</f>
        <v>28.105654761904763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1.1368754956383822</v>
      </c>
      <c r="G21" s="16">
        <f t="shared" ref="G21" si="11">G20/G19</f>
        <v>0.9985196933650542</v>
      </c>
      <c r="H21" s="16"/>
      <c r="I21" s="16"/>
      <c r="J21" s="45"/>
      <c r="K21" s="45"/>
    </row>
    <row r="22" spans="1:11" ht="16.5" thickTop="1" thickBot="1" x14ac:dyDescent="0.25">
      <c r="A22" s="1">
        <f>$A$7</f>
        <v>2029</v>
      </c>
      <c r="B22" s="3">
        <f>$B$7</f>
        <v>84</v>
      </c>
      <c r="C22" s="4">
        <f>$C$7</f>
        <v>403</v>
      </c>
      <c r="D22" s="4">
        <f>G22/$J$7</f>
        <v>4664.09375</v>
      </c>
      <c r="E22" s="4">
        <v>0</v>
      </c>
      <c r="F22" s="13">
        <f>SUM(D22:E22)</f>
        <v>4664.09375</v>
      </c>
      <c r="G22" s="14">
        <v>149251</v>
      </c>
      <c r="H22" s="13">
        <f>F22/C22</f>
        <v>11.573433622828784</v>
      </c>
      <c r="I22" s="14">
        <f>G22/C22</f>
        <v>370.34987593052108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2029</v>
      </c>
      <c r="B23" s="3">
        <f>$B$7</f>
        <v>84</v>
      </c>
      <c r="C23" s="4">
        <f>$C$7</f>
        <v>403</v>
      </c>
      <c r="D23" s="48">
        <v>4554</v>
      </c>
      <c r="E23" s="48">
        <v>0</v>
      </c>
      <c r="F23" s="4">
        <f>SUM(D23:E23)</f>
        <v>4554</v>
      </c>
      <c r="G23" s="5">
        <v>103433</v>
      </c>
      <c r="H23" s="4">
        <f>F23/C23</f>
        <v>11.300248138957816</v>
      </c>
      <c r="I23" s="5">
        <f>G23/C23</f>
        <v>256.6575682382134</v>
      </c>
      <c r="J23" s="44">
        <f>I23/H23</f>
        <v>22.712560386473431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0.97639546803706512</v>
      </c>
      <c r="G24" s="16">
        <f t="shared" ref="G24" si="12">G23/G22</f>
        <v>0.69301378215221343</v>
      </c>
      <c r="H24" s="16"/>
      <c r="I24" s="16"/>
      <c r="J24" s="17"/>
      <c r="K24" s="17"/>
    </row>
    <row r="25" spans="1:11" ht="16.5" thickTop="1" thickBot="1" x14ac:dyDescent="0.25">
      <c r="A25" s="1">
        <f>$A$7</f>
        <v>2029</v>
      </c>
      <c r="B25" s="3">
        <f>$B$7</f>
        <v>84</v>
      </c>
      <c r="C25" s="4">
        <v>403</v>
      </c>
      <c r="D25" s="4">
        <f>G25/$J$7</f>
        <v>837.75</v>
      </c>
      <c r="E25" s="4">
        <v>0</v>
      </c>
      <c r="F25" s="13">
        <f>SUM(D25:E25)</f>
        <v>837.75</v>
      </c>
      <c r="G25" s="14">
        <v>26808</v>
      </c>
      <c r="H25" s="13">
        <f>F25/C25</f>
        <v>2.0787841191066998</v>
      </c>
      <c r="I25" s="14">
        <f>G25/C25</f>
        <v>66.521091811414394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2029</v>
      </c>
      <c r="B26" s="3">
        <f>$B$7</f>
        <v>84</v>
      </c>
      <c r="C26" s="4">
        <f>C25</f>
        <v>403</v>
      </c>
      <c r="D26" s="48">
        <v>979</v>
      </c>
      <c r="E26" s="48">
        <v>0</v>
      </c>
      <c r="F26" s="4">
        <f>SUM(D26:E26)</f>
        <v>979</v>
      </c>
      <c r="G26" s="5">
        <v>25916</v>
      </c>
      <c r="H26" s="4">
        <f>F26/C26</f>
        <v>2.4292803970223327</v>
      </c>
      <c r="I26" s="5">
        <f>G26/C26</f>
        <v>64.307692307692307</v>
      </c>
      <c r="J26" s="44">
        <f>I26/H26</f>
        <v>26.471910112359549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1.1686063861533871</v>
      </c>
      <c r="G27" s="16">
        <f t="shared" ref="G27" si="13">G26/G25</f>
        <v>0.96672635034318111</v>
      </c>
      <c r="H27" s="16"/>
      <c r="I27" s="16"/>
      <c r="J27" s="17"/>
      <c r="K27" s="17"/>
    </row>
    <row r="28" spans="1:11" ht="16.5" thickTop="1" thickBot="1" x14ac:dyDescent="0.25">
      <c r="A28" s="1">
        <f>$A$7</f>
        <v>2029</v>
      </c>
      <c r="B28" s="3">
        <f>$B$7</f>
        <v>84</v>
      </c>
      <c r="C28" s="4">
        <f>$C$7</f>
        <v>403</v>
      </c>
      <c r="D28" s="4">
        <f>G28/$J$7</f>
        <v>1547.25</v>
      </c>
      <c r="E28" s="4">
        <v>0</v>
      </c>
      <c r="F28" s="13">
        <f>SUM(D28:E28)</f>
        <v>1547.25</v>
      </c>
      <c r="G28" s="14">
        <v>49512</v>
      </c>
      <c r="H28" s="13">
        <f>F28/C28</f>
        <v>3.8393300248138957</v>
      </c>
      <c r="I28" s="14">
        <f>G28/C28</f>
        <v>122.85856079404466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2029</v>
      </c>
      <c r="B29" s="3">
        <f>$B$7</f>
        <v>84</v>
      </c>
      <c r="C29" s="4">
        <f>$C$7</f>
        <v>403</v>
      </c>
      <c r="D29" s="48">
        <v>1109</v>
      </c>
      <c r="E29" s="48">
        <v>0</v>
      </c>
      <c r="F29" s="4">
        <f>SUM(D29:E29)</f>
        <v>1109</v>
      </c>
      <c r="G29" s="5">
        <v>26708</v>
      </c>
      <c r="H29" s="4">
        <f>F29/C29</f>
        <v>2.7518610421836227</v>
      </c>
      <c r="I29" s="5">
        <f>G29/C29</f>
        <v>66.272952853598014</v>
      </c>
      <c r="J29" s="44">
        <f>I29/H29</f>
        <v>24.082957619477007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0.71675553401195669</v>
      </c>
      <c r="G30" s="16">
        <f t="shared" ref="G30" si="14">G29/G28</f>
        <v>0.53942478591048637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2029</v>
      </c>
      <c r="B33" s="3">
        <f>$B$7</f>
        <v>84</v>
      </c>
      <c r="C33" s="4">
        <f>$C$7</f>
        <v>403</v>
      </c>
      <c r="D33" s="13">
        <f>SUM(D28,D22,D19)</f>
        <v>6802.4375</v>
      </c>
      <c r="E33" s="13">
        <v>0</v>
      </c>
      <c r="F33" s="13">
        <f t="shared" ref="F33" si="15">SUM(D33:E33)</f>
        <v>6802.4375</v>
      </c>
      <c r="G33" s="14">
        <f>SUM(G28,G22,G19)</f>
        <v>217678</v>
      </c>
      <c r="H33" s="34">
        <f t="shared" ref="H33:H34" si="16">F33/C33</f>
        <v>16.879497518610421</v>
      </c>
      <c r="I33" s="39">
        <f t="shared" ref="I33:I34" si="17">G33/C33</f>
        <v>540.14392059553347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2029</v>
      </c>
      <c r="B34" s="3">
        <f>$B$7</f>
        <v>84</v>
      </c>
      <c r="C34" s="4">
        <f>$C$7</f>
        <v>403</v>
      </c>
      <c r="D34" s="4">
        <f>SUM(D29,D23,D20)</f>
        <v>6335</v>
      </c>
      <c r="E34" s="49">
        <v>0</v>
      </c>
      <c r="F34" s="4">
        <f>SUM(D34)</f>
        <v>6335</v>
      </c>
      <c r="G34" s="50">
        <f>SUM(G29,G23,G20)</f>
        <v>149028</v>
      </c>
      <c r="H34" s="41">
        <f t="shared" si="16"/>
        <v>15.719602977667494</v>
      </c>
      <c r="I34" s="42">
        <f t="shared" si="17"/>
        <v>369.79652605459057</v>
      </c>
      <c r="J34" s="43">
        <f>I34/H34</f>
        <v>23.524546172059985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0.68462591534284589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15.719602977667494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2.4292803970223327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18.831265508684865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2030</v>
      </c>
      <c r="B7" s="3">
        <v>144</v>
      </c>
      <c r="C7" s="4">
        <v>824</v>
      </c>
      <c r="D7" s="4">
        <f>G7/$J$7</f>
        <v>17988.46875</v>
      </c>
      <c r="E7" s="4">
        <v>0</v>
      </c>
      <c r="F7" s="4">
        <f t="shared" ref="F7" si="0">SUM(D7:E7)</f>
        <v>17988.46875</v>
      </c>
      <c r="G7" s="5">
        <f>SUM(G16,G19,G22,G25,G28)</f>
        <v>575631</v>
      </c>
      <c r="H7" s="9">
        <f t="shared" ref="H7" si="1">F7/C7</f>
        <v>21.830665958737864</v>
      </c>
      <c r="I7" s="11">
        <f t="shared" ref="I7:I8" si="2">G7/C7</f>
        <v>698.58131067961165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2030</v>
      </c>
      <c r="B8" s="3">
        <f>B7</f>
        <v>144</v>
      </c>
      <c r="C8" s="4">
        <v>1013</v>
      </c>
      <c r="D8" s="4">
        <f>SUM(D17,D20,D23,D26,D29)</f>
        <v>18666</v>
      </c>
      <c r="E8" s="4">
        <v>0</v>
      </c>
      <c r="F8" s="4">
        <f>SUM(D8)</f>
        <v>18666</v>
      </c>
      <c r="G8" s="5">
        <f>SUM(G17,G20,G23,G26,G29)</f>
        <v>504092</v>
      </c>
      <c r="H8" s="58">
        <f>F8/C8</f>
        <v>18.426456071076011</v>
      </c>
      <c r="I8" s="42">
        <f t="shared" si="2"/>
        <v>497.62290227048373</v>
      </c>
      <c r="J8" s="43">
        <f>I8/H8</f>
        <v>27.005893067609559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1.0376647539830204</v>
      </c>
      <c r="G10" s="62">
        <f t="shared" ref="G10" si="3">G8/G7</f>
        <v>0.87572073081540081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-677.53125</v>
      </c>
      <c r="G12" s="47">
        <f>G7-G8</f>
        <v>71539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2030</v>
      </c>
      <c r="B16" s="3">
        <f>$B$7</f>
        <v>144</v>
      </c>
      <c r="C16" s="4">
        <f>$C$7</f>
        <v>824</v>
      </c>
      <c r="D16" s="4">
        <f>G16/$J$7</f>
        <v>1285.625</v>
      </c>
      <c r="E16" s="4">
        <v>0</v>
      </c>
      <c r="F16" s="13">
        <f t="shared" ref="F16:F17" si="4">SUM(D16:E16)</f>
        <v>1285.625</v>
      </c>
      <c r="G16" s="14">
        <v>41140</v>
      </c>
      <c r="H16" s="13">
        <f t="shared" ref="H16:H17" si="5">F16/C16</f>
        <v>1.5602245145631068</v>
      </c>
      <c r="I16" s="14">
        <f t="shared" ref="I16:I17" si="6">G16/C16</f>
        <v>49.927184466019419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2030</v>
      </c>
      <c r="B17" s="3">
        <f>$B$7</f>
        <v>144</v>
      </c>
      <c r="C17" s="4">
        <f>$C$7</f>
        <v>824</v>
      </c>
      <c r="D17" s="48">
        <v>495</v>
      </c>
      <c r="E17" s="48">
        <v>0</v>
      </c>
      <c r="F17" s="4">
        <f t="shared" si="4"/>
        <v>495</v>
      </c>
      <c r="G17" s="5">
        <v>24742</v>
      </c>
      <c r="H17" s="4">
        <f t="shared" si="5"/>
        <v>0.60072815533980584</v>
      </c>
      <c r="I17" s="5">
        <f t="shared" si="6"/>
        <v>30.026699029126213</v>
      </c>
      <c r="J17" s="44">
        <f>I17/H17</f>
        <v>49.983838383838382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0.38502673796791442</v>
      </c>
      <c r="G18" s="16">
        <f t="shared" ref="G18" si="7">G17/G16</f>
        <v>0.60140982012639765</v>
      </c>
      <c r="H18" s="16"/>
      <c r="I18" s="16"/>
      <c r="J18" s="16"/>
      <c r="K18" s="45"/>
    </row>
    <row r="19" spans="1:11" ht="16.5" thickTop="1" thickBot="1" x14ac:dyDescent="0.25">
      <c r="A19" s="1">
        <f>$A$7</f>
        <v>2030</v>
      </c>
      <c r="B19" s="3">
        <f>$B$7</f>
        <v>144</v>
      </c>
      <c r="C19" s="4">
        <f>$C$7</f>
        <v>824</v>
      </c>
      <c r="D19" s="4">
        <f>G19/$J$7</f>
        <v>4841.125</v>
      </c>
      <c r="E19" s="4">
        <v>0</v>
      </c>
      <c r="F19" s="13">
        <f t="shared" ref="F19:F20" si="8">SUM(D19:E19)</f>
        <v>4841.125</v>
      </c>
      <c r="G19" s="14">
        <v>154916</v>
      </c>
      <c r="H19" s="13">
        <f t="shared" ref="H19:H20" si="9">F19/C19</f>
        <v>5.8751516990291259</v>
      </c>
      <c r="I19" s="14">
        <f t="shared" ref="I19:I20" si="10">G19/C19</f>
        <v>188.00485436893203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2030</v>
      </c>
      <c r="B20" s="3">
        <f>$B$7</f>
        <v>144</v>
      </c>
      <c r="C20" s="4">
        <f>$C$7</f>
        <v>824</v>
      </c>
      <c r="D20" s="48">
        <v>3657</v>
      </c>
      <c r="E20" s="48">
        <v>0</v>
      </c>
      <c r="F20" s="4">
        <f t="shared" si="8"/>
        <v>3657</v>
      </c>
      <c r="G20" s="5">
        <v>98609</v>
      </c>
      <c r="H20" s="4">
        <f t="shared" si="9"/>
        <v>4.4381067961165046</v>
      </c>
      <c r="I20" s="5">
        <f t="shared" si="10"/>
        <v>119.67111650485437</v>
      </c>
      <c r="J20" s="44">
        <f>I20/H20</f>
        <v>26.964451736395954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0.7554029280384208</v>
      </c>
      <c r="G21" s="16">
        <f t="shared" ref="G21" si="11">G20/G19</f>
        <v>0.63653205608200569</v>
      </c>
      <c r="H21" s="16"/>
      <c r="I21" s="16"/>
      <c r="J21" s="45"/>
      <c r="K21" s="45"/>
    </row>
    <row r="22" spans="1:11" ht="16.5" thickTop="1" thickBot="1" x14ac:dyDescent="0.25">
      <c r="A22" s="1">
        <f>$A$7</f>
        <v>2030</v>
      </c>
      <c r="B22" s="3">
        <f>$B$7</f>
        <v>144</v>
      </c>
      <c r="C22" s="4">
        <f>$C$7</f>
        <v>824</v>
      </c>
      <c r="D22" s="4">
        <f>G22/$J$7</f>
        <v>7670.21875</v>
      </c>
      <c r="E22" s="4">
        <v>0</v>
      </c>
      <c r="F22" s="13">
        <f>SUM(D22:E22)</f>
        <v>7670.21875</v>
      </c>
      <c r="G22" s="14">
        <v>245447</v>
      </c>
      <c r="H22" s="13">
        <f>F22/C22</f>
        <v>9.3085179004854375</v>
      </c>
      <c r="I22" s="14">
        <f>G22/C22</f>
        <v>297.872572815534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2030</v>
      </c>
      <c r="B23" s="3">
        <f>$B$7</f>
        <v>144</v>
      </c>
      <c r="C23" s="4">
        <f>$C$7</f>
        <v>824</v>
      </c>
      <c r="D23" s="48">
        <v>9692</v>
      </c>
      <c r="E23" s="48">
        <v>0</v>
      </c>
      <c r="F23" s="4">
        <f>SUM(D23:E23)</f>
        <v>9692</v>
      </c>
      <c r="G23" s="5">
        <v>255361</v>
      </c>
      <c r="H23" s="4">
        <f>F23/C23</f>
        <v>11.762135922330097</v>
      </c>
      <c r="I23" s="5">
        <f>G23/C23</f>
        <v>309.90412621359224</v>
      </c>
      <c r="J23" s="44">
        <f>I23/H23</f>
        <v>26.347606273215021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1.2635884732752896</v>
      </c>
      <c r="G24" s="16">
        <f t="shared" ref="G24" si="12">G23/G22</f>
        <v>1.0403916120384442</v>
      </c>
      <c r="H24" s="16"/>
      <c r="I24" s="16"/>
      <c r="J24" s="17"/>
      <c r="K24" s="17"/>
    </row>
    <row r="25" spans="1:11" ht="16.5" thickTop="1" thickBot="1" x14ac:dyDescent="0.25">
      <c r="A25" s="1">
        <f>$A$7</f>
        <v>2030</v>
      </c>
      <c r="B25" s="3">
        <f>$B$7</f>
        <v>144</v>
      </c>
      <c r="C25" s="4">
        <v>805</v>
      </c>
      <c r="D25" s="4">
        <f>G25/$J$7</f>
        <v>1513.65625</v>
      </c>
      <c r="E25" s="4">
        <v>0</v>
      </c>
      <c r="F25" s="13">
        <f>SUM(D25:E25)</f>
        <v>1513.65625</v>
      </c>
      <c r="G25" s="14">
        <v>48437</v>
      </c>
      <c r="H25" s="13">
        <f>F25/C25</f>
        <v>1.8803183229813665</v>
      </c>
      <c r="I25" s="14">
        <f>G25/C25</f>
        <v>60.170186335403727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2030</v>
      </c>
      <c r="B26" s="3">
        <f>$B$7</f>
        <v>144</v>
      </c>
      <c r="C26" s="4">
        <f>C25</f>
        <v>805</v>
      </c>
      <c r="D26" s="48">
        <v>1738</v>
      </c>
      <c r="E26" s="48">
        <v>0</v>
      </c>
      <c r="F26" s="4">
        <f>SUM(D26:E26)</f>
        <v>1738</v>
      </c>
      <c r="G26" s="5">
        <v>47557</v>
      </c>
      <c r="H26" s="4">
        <f>F26/C26</f>
        <v>2.1590062111801243</v>
      </c>
      <c r="I26" s="5">
        <f>G26/C26</f>
        <v>59.077018633540369</v>
      </c>
      <c r="J26" s="44">
        <f>I26/H26</f>
        <v>27.363060989643266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1.1482131428453455</v>
      </c>
      <c r="G27" s="16">
        <f t="shared" ref="G27" si="13">G26/G25</f>
        <v>0.98183207052459898</v>
      </c>
      <c r="H27" s="16"/>
      <c r="I27" s="16"/>
      <c r="J27" s="17"/>
      <c r="K27" s="17"/>
    </row>
    <row r="28" spans="1:11" ht="16.5" thickTop="1" thickBot="1" x14ac:dyDescent="0.25">
      <c r="A28" s="1">
        <f>$A$7</f>
        <v>2030</v>
      </c>
      <c r="B28" s="3">
        <f>$B$7</f>
        <v>144</v>
      </c>
      <c r="C28" s="4">
        <f>$C$7</f>
        <v>824</v>
      </c>
      <c r="D28" s="4">
        <f>G28/$J$7</f>
        <v>2677.84375</v>
      </c>
      <c r="E28" s="4">
        <v>0</v>
      </c>
      <c r="F28" s="13">
        <f>SUM(D28:E28)</f>
        <v>2677.84375</v>
      </c>
      <c r="G28" s="14">
        <v>85691</v>
      </c>
      <c r="H28" s="13">
        <f>F28/C28</f>
        <v>3.2498103762135924</v>
      </c>
      <c r="I28" s="14">
        <f>G28/C28</f>
        <v>103.99393203883496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2030</v>
      </c>
      <c r="B29" s="3">
        <f>$B$7</f>
        <v>144</v>
      </c>
      <c r="C29" s="4">
        <f>$C$7</f>
        <v>824</v>
      </c>
      <c r="D29" s="48">
        <v>3084</v>
      </c>
      <c r="E29" s="48">
        <v>0</v>
      </c>
      <c r="F29" s="4">
        <f>SUM(D29:E29)</f>
        <v>3084</v>
      </c>
      <c r="G29" s="5">
        <v>77823</v>
      </c>
      <c r="H29" s="4">
        <f>F29/C29</f>
        <v>3.7427184466019416</v>
      </c>
      <c r="I29" s="5">
        <f>G29/C29</f>
        <v>94.445388349514559</v>
      </c>
      <c r="J29" s="44">
        <f>I29/H29</f>
        <v>25.23443579766537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1.1516728711299904</v>
      </c>
      <c r="G30" s="16">
        <f t="shared" ref="G30" si="14">G29/G28</f>
        <v>0.9081817227013339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2030</v>
      </c>
      <c r="B33" s="3">
        <f>$B$7</f>
        <v>144</v>
      </c>
      <c r="C33" s="4">
        <f>$C$7</f>
        <v>824</v>
      </c>
      <c r="D33" s="13">
        <f>SUM(D28,D22,D19)</f>
        <v>15189.1875</v>
      </c>
      <c r="E33" s="13">
        <v>0</v>
      </c>
      <c r="F33" s="13">
        <f t="shared" ref="F33" si="15">SUM(D33:E33)</f>
        <v>15189.1875</v>
      </c>
      <c r="G33" s="14">
        <f>SUM(G28,G22,G19)</f>
        <v>486054</v>
      </c>
      <c r="H33" s="34">
        <f t="shared" ref="H33:H34" si="16">F33/C33</f>
        <v>18.433479975728154</v>
      </c>
      <c r="I33" s="39">
        <f t="shared" ref="I33:I34" si="17">G33/C33</f>
        <v>589.87135922330094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2030</v>
      </c>
      <c r="B34" s="3">
        <f>$B$7</f>
        <v>144</v>
      </c>
      <c r="C34" s="4">
        <f>$C$7</f>
        <v>824</v>
      </c>
      <c r="D34" s="4">
        <f>SUM(D29,D23,D20)</f>
        <v>16433</v>
      </c>
      <c r="E34" s="49">
        <v>0</v>
      </c>
      <c r="F34" s="4">
        <f>SUM(D34)</f>
        <v>16433</v>
      </c>
      <c r="G34" s="50">
        <f>SUM(G29,G23,G20)</f>
        <v>431793</v>
      </c>
      <c r="H34" s="41">
        <f t="shared" si="16"/>
        <v>19.942961165048544</v>
      </c>
      <c r="I34" s="42">
        <f t="shared" si="17"/>
        <v>524.02063106796118</v>
      </c>
      <c r="J34" s="43">
        <f>I34/H34</f>
        <v>26.275969086594049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0.88836425582342704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19.942961165048544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2.1590062111801243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18.426456071076011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3:K46"/>
  <sheetViews>
    <sheetView view="pageBreakPreview" zoomScaleNormal="120" zoomScaleSheetLayoutView="100" workbookViewId="0">
      <selection activeCell="H50" sqref="H5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2031</v>
      </c>
      <c r="B7" s="3">
        <v>310</v>
      </c>
      <c r="C7" s="4">
        <v>2325</v>
      </c>
      <c r="D7" s="4">
        <f>G7/$J$7</f>
        <v>25039.59375</v>
      </c>
      <c r="E7" s="4">
        <v>0</v>
      </c>
      <c r="F7" s="4">
        <f t="shared" ref="F7" si="0">SUM(D7:E7)</f>
        <v>25039.59375</v>
      </c>
      <c r="G7" s="5">
        <f>SUM(G16,G19,G22,G25,G28)</f>
        <v>801267</v>
      </c>
      <c r="H7" s="9">
        <f t="shared" ref="H7" si="1">F7/C7</f>
        <v>10.769717741935484</v>
      </c>
      <c r="I7" s="11">
        <f t="shared" ref="I7:I8" si="2">G7/C7</f>
        <v>344.63096774193548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2031</v>
      </c>
      <c r="B8" s="3">
        <f>B7</f>
        <v>310</v>
      </c>
      <c r="C8" s="4">
        <f>C7</f>
        <v>2325</v>
      </c>
      <c r="D8" s="4">
        <f>SUM(D17,D20,D23,D26,D29)</f>
        <v>30481</v>
      </c>
      <c r="E8" s="4">
        <v>0</v>
      </c>
      <c r="F8" s="4">
        <f>SUM(D8)</f>
        <v>30481</v>
      </c>
      <c r="G8" s="5">
        <f>SUM(G17,G20,G23,G26,G29)</f>
        <v>708448</v>
      </c>
      <c r="H8" s="58">
        <f>F8/C8</f>
        <v>13.11010752688172</v>
      </c>
      <c r="I8" s="42">
        <f t="shared" si="2"/>
        <v>304.70881720430106</v>
      </c>
      <c r="J8" s="43">
        <f>I8/H8</f>
        <v>23.242282077359665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1.2173120819901482</v>
      </c>
      <c r="G10" s="62">
        <f t="shared" ref="G10" si="3">G8/G7</f>
        <v>0.88415971205603128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-5441.40625</v>
      </c>
      <c r="G12" s="47">
        <f>G7-G8</f>
        <v>92819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2031</v>
      </c>
      <c r="B16" s="3">
        <f>$B$7</f>
        <v>310</v>
      </c>
      <c r="C16" s="4">
        <f>$C$7</f>
        <v>2325</v>
      </c>
      <c r="D16" s="4">
        <f>G16/$J$7</f>
        <v>2980.3125</v>
      </c>
      <c r="E16" s="4">
        <v>0</v>
      </c>
      <c r="F16" s="13">
        <f t="shared" ref="F16:F17" si="4">SUM(D16:E16)</f>
        <v>2980.3125</v>
      </c>
      <c r="G16" s="14">
        <v>95370</v>
      </c>
      <c r="H16" s="13">
        <f t="shared" ref="H16:H17" si="5">F16/C16</f>
        <v>1.2818548387096773</v>
      </c>
      <c r="I16" s="14">
        <f t="shared" ref="I16:I17" si="6">G16/C16</f>
        <v>41.019354838709674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2031</v>
      </c>
      <c r="B17" s="3">
        <f>$B$7</f>
        <v>310</v>
      </c>
      <c r="C17" s="4">
        <f>$C$7</f>
        <v>2325</v>
      </c>
      <c r="D17" s="48">
        <v>335</v>
      </c>
      <c r="E17" s="48">
        <v>0</v>
      </c>
      <c r="F17" s="4">
        <f t="shared" si="4"/>
        <v>335</v>
      </c>
      <c r="G17" s="5">
        <v>35591</v>
      </c>
      <c r="H17" s="4">
        <f t="shared" si="5"/>
        <v>0.14408602150537633</v>
      </c>
      <c r="I17" s="5">
        <f t="shared" si="6"/>
        <v>15.307956989247312</v>
      </c>
      <c r="J17" s="44">
        <f>I17/H17</f>
        <v>106.24179104477614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0.11240432001677676</v>
      </c>
      <c r="G18" s="16">
        <f t="shared" ref="G18" si="7">G17/G16</f>
        <v>0.37318863374226696</v>
      </c>
      <c r="H18" s="16"/>
      <c r="I18" s="16"/>
      <c r="J18" s="16"/>
      <c r="K18" s="45"/>
    </row>
    <row r="19" spans="1:11" ht="16.5" thickTop="1" thickBot="1" x14ac:dyDescent="0.25">
      <c r="A19" s="1">
        <f>$A$7</f>
        <v>2031</v>
      </c>
      <c r="B19" s="3">
        <f>$B$7</f>
        <v>310</v>
      </c>
      <c r="C19" s="4">
        <f>$C$7</f>
        <v>2325</v>
      </c>
      <c r="D19" s="4">
        <f>G19/$J$7</f>
        <v>4323.03125</v>
      </c>
      <c r="E19" s="4">
        <v>0</v>
      </c>
      <c r="F19" s="13">
        <f t="shared" ref="F19:F20" si="8">SUM(D19:E19)</f>
        <v>4323.03125</v>
      </c>
      <c r="G19" s="14">
        <v>138337</v>
      </c>
      <c r="H19" s="13">
        <f t="shared" ref="H19:H20" si="9">F19/C19</f>
        <v>1.8593682795698925</v>
      </c>
      <c r="I19" s="14">
        <f t="shared" ref="I19:I20" si="10">G19/C19</f>
        <v>59.499784946236559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2031</v>
      </c>
      <c r="B20" s="3">
        <f>$B$7</f>
        <v>310</v>
      </c>
      <c r="C20" s="4">
        <f>$C$7</f>
        <v>2325</v>
      </c>
      <c r="D20" s="48">
        <v>4230</v>
      </c>
      <c r="E20" s="48">
        <v>0</v>
      </c>
      <c r="F20" s="4">
        <f t="shared" si="8"/>
        <v>4230</v>
      </c>
      <c r="G20" s="5">
        <v>101968</v>
      </c>
      <c r="H20" s="4">
        <f t="shared" si="9"/>
        <v>1.8193548387096774</v>
      </c>
      <c r="I20" s="5">
        <f t="shared" si="10"/>
        <v>43.857204301075271</v>
      </c>
      <c r="J20" s="44">
        <f>I20/H20</f>
        <v>24.105910165484634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0.97848008847958245</v>
      </c>
      <c r="G21" s="16">
        <f t="shared" ref="G21" si="11">G20/G19</f>
        <v>0.73709853473763343</v>
      </c>
      <c r="H21" s="16"/>
      <c r="I21" s="16"/>
      <c r="J21" s="45"/>
      <c r="K21" s="45"/>
    </row>
    <row r="22" spans="1:11" ht="16.5" thickTop="1" thickBot="1" x14ac:dyDescent="0.25">
      <c r="A22" s="1">
        <f>$A$7</f>
        <v>2031</v>
      </c>
      <c r="B22" s="3">
        <f>$B$7</f>
        <v>310</v>
      </c>
      <c r="C22" s="4">
        <f>$C$7</f>
        <v>2325</v>
      </c>
      <c r="D22" s="4">
        <f>G22/$J$7</f>
        <v>14038.4375</v>
      </c>
      <c r="E22" s="4">
        <v>0</v>
      </c>
      <c r="F22" s="13">
        <f>SUM(D22:E22)</f>
        <v>14038.4375</v>
      </c>
      <c r="G22" s="14">
        <v>449230</v>
      </c>
      <c r="H22" s="13">
        <f>F22/C22</f>
        <v>6.0380376344086022</v>
      </c>
      <c r="I22" s="14">
        <f>G22/C22</f>
        <v>193.21720430107527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2031</v>
      </c>
      <c r="B23" s="3">
        <f>$B$7</f>
        <v>310</v>
      </c>
      <c r="C23" s="4">
        <f>$C$7</f>
        <v>2325</v>
      </c>
      <c r="D23" s="48">
        <v>21199</v>
      </c>
      <c r="E23" s="48">
        <v>0</v>
      </c>
      <c r="F23" s="4">
        <f>SUM(D23:E23)</f>
        <v>21199</v>
      </c>
      <c r="G23" s="5">
        <v>452849</v>
      </c>
      <c r="H23" s="4">
        <f>F23/C23</f>
        <v>9.1178494623655908</v>
      </c>
      <c r="I23" s="5">
        <f>G23/C23</f>
        <v>194.77376344086022</v>
      </c>
      <c r="J23" s="44">
        <f>I23/H23</f>
        <v>21.361809519316949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1.5100683391581149</v>
      </c>
      <c r="G24" s="16">
        <f t="shared" ref="G24" si="12">G23/G22</f>
        <v>1.0080560069452174</v>
      </c>
      <c r="H24" s="16"/>
      <c r="I24" s="16"/>
      <c r="J24" s="17"/>
      <c r="K24" s="17"/>
    </row>
    <row r="25" spans="1:11" ht="16.5" thickTop="1" thickBot="1" x14ac:dyDescent="0.25">
      <c r="A25" s="1">
        <f>$A$7</f>
        <v>2031</v>
      </c>
      <c r="B25" s="3">
        <f>$B$7</f>
        <v>310</v>
      </c>
      <c r="C25" s="4">
        <v>2325</v>
      </c>
      <c r="D25" s="4">
        <f>G25/$J$7</f>
        <v>3697.8125</v>
      </c>
      <c r="E25" s="4">
        <v>0</v>
      </c>
      <c r="F25" s="13">
        <f>SUM(D25:E25)</f>
        <v>3697.8125</v>
      </c>
      <c r="G25" s="14">
        <v>118330</v>
      </c>
      <c r="H25" s="13">
        <f>F25/C25</f>
        <v>1.5904569892473119</v>
      </c>
      <c r="I25" s="14">
        <f>G25/C25</f>
        <v>50.894623655913982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2031</v>
      </c>
      <c r="B26" s="3">
        <f>$B$7</f>
        <v>310</v>
      </c>
      <c r="C26" s="4">
        <f>C25</f>
        <v>2325</v>
      </c>
      <c r="D26" s="48">
        <v>4717</v>
      </c>
      <c r="E26" s="48">
        <v>0</v>
      </c>
      <c r="F26" s="4">
        <f>SUM(D26:E26)</f>
        <v>4717</v>
      </c>
      <c r="G26" s="5">
        <v>118040</v>
      </c>
      <c r="H26" s="4">
        <f>F26/C26</f>
        <v>2.0288172043010753</v>
      </c>
      <c r="I26" s="5">
        <f>G26/C26</f>
        <v>50.769892473118283</v>
      </c>
      <c r="J26" s="44">
        <f>I26/H26</f>
        <v>25.024379902480391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1.2756190315220146</v>
      </c>
      <c r="G27" s="16">
        <f t="shared" ref="G27" si="13">G26/G25</f>
        <v>0.99754922673878132</v>
      </c>
      <c r="H27" s="16"/>
      <c r="I27" s="16"/>
      <c r="J27" s="17"/>
      <c r="K27" s="17"/>
    </row>
    <row r="28" spans="1:11" ht="16.5" thickTop="1" thickBot="1" x14ac:dyDescent="0.25">
      <c r="A28" s="1">
        <f>$A$7</f>
        <v>2031</v>
      </c>
      <c r="B28" s="3">
        <f>$B$7</f>
        <v>310</v>
      </c>
      <c r="C28" s="4">
        <f>$C$7</f>
        <v>2325</v>
      </c>
      <c r="D28" s="4">
        <f>G28/$J$7</f>
        <v>0</v>
      </c>
      <c r="E28" s="4">
        <v>0</v>
      </c>
      <c r="F28" s="13">
        <f>SUM(D28:E28)</f>
        <v>0</v>
      </c>
      <c r="G28" s="14">
        <v>0</v>
      </c>
      <c r="H28" s="13">
        <f>F28/C28</f>
        <v>0</v>
      </c>
      <c r="I28" s="14">
        <f>G28/C28</f>
        <v>0</v>
      </c>
      <c r="J28" s="6" t="e">
        <f>I28/H28</f>
        <v>#DIV/0!</v>
      </c>
      <c r="K28" s="27" t="s">
        <v>10</v>
      </c>
    </row>
    <row r="29" spans="1:11" ht="16.5" thickTop="1" thickBot="1" x14ac:dyDescent="0.25">
      <c r="A29" s="1">
        <f>$A$7</f>
        <v>2031</v>
      </c>
      <c r="B29" s="3">
        <f>$B$7</f>
        <v>310</v>
      </c>
      <c r="C29" s="4">
        <f>$C$7</f>
        <v>2325</v>
      </c>
      <c r="D29" s="48"/>
      <c r="E29" s="48">
        <v>0</v>
      </c>
      <c r="F29" s="4">
        <f>SUM(D29:E29)</f>
        <v>0</v>
      </c>
      <c r="G29" s="5">
        <v>0</v>
      </c>
      <c r="H29" s="4">
        <f>F29/C29</f>
        <v>0</v>
      </c>
      <c r="I29" s="5">
        <f>G29/C29</f>
        <v>0</v>
      </c>
      <c r="J29" s="44" t="e">
        <f>I29/H29</f>
        <v>#DIV/0!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v>0</v>
      </c>
      <c r="G30" s="16">
        <v>0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2031</v>
      </c>
      <c r="B33" s="3">
        <f>$B$7</f>
        <v>310</v>
      </c>
      <c r="C33" s="4">
        <f>$C$7</f>
        <v>2325</v>
      </c>
      <c r="D33" s="13">
        <f>SUM(D28,D22,D19)</f>
        <v>18361.46875</v>
      </c>
      <c r="E33" s="13">
        <v>0</v>
      </c>
      <c r="F33" s="13">
        <f t="shared" ref="F33" si="14">SUM(D33:E33)</f>
        <v>18361.46875</v>
      </c>
      <c r="G33" s="14">
        <f>SUM(G28,G22,G19)</f>
        <v>587567</v>
      </c>
      <c r="H33" s="34">
        <f t="shared" ref="H33:H34" si="15">F33/C33</f>
        <v>7.8974059139784947</v>
      </c>
      <c r="I33" s="39">
        <f t="shared" ref="I33:I34" si="16">G33/C33</f>
        <v>252.71698924731183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2031</v>
      </c>
      <c r="B34" s="3">
        <f>$B$7</f>
        <v>310</v>
      </c>
      <c r="C34" s="4">
        <f>$C$7</f>
        <v>2325</v>
      </c>
      <c r="D34" s="4">
        <f>SUM(D29,D23,D20)</f>
        <v>25429</v>
      </c>
      <c r="E34" s="49">
        <v>0</v>
      </c>
      <c r="F34" s="4">
        <f>SUM(D34)</f>
        <v>25429</v>
      </c>
      <c r="G34" s="50">
        <f>SUM(G29,G23,G20)</f>
        <v>554817</v>
      </c>
      <c r="H34" s="41">
        <f t="shared" si="15"/>
        <v>10.937204301075269</v>
      </c>
      <c r="I34" s="42">
        <f t="shared" si="16"/>
        <v>238.63096774193548</v>
      </c>
      <c r="J34" s="43">
        <f>I34/H34</f>
        <v>21.818278343623422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0.94426167568975117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10.937204301075269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2.0288172043010753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13.11010752688172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K46"/>
  <sheetViews>
    <sheetView view="pageBreakPreview" zoomScaleNormal="120" zoomScaleSheetLayoutView="100" workbookViewId="0">
      <selection activeCell="D40" sqref="D40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2031</v>
      </c>
      <c r="B7" s="3">
        <v>158</v>
      </c>
      <c r="C7" s="4">
        <v>1020</v>
      </c>
      <c r="D7" s="4">
        <f>G7/$J$7</f>
        <v>17293.59375</v>
      </c>
      <c r="E7" s="4">
        <v>0</v>
      </c>
      <c r="F7" s="4">
        <f t="shared" ref="F7" si="0">SUM(D7:E7)</f>
        <v>17293.59375</v>
      </c>
      <c r="G7" s="5">
        <f>SUM(G16,G19,G22,G25,G28)</f>
        <v>553395</v>
      </c>
      <c r="H7" s="9">
        <f t="shared" ref="H7" si="1">F7/C7</f>
        <v>16.954503676470587</v>
      </c>
      <c r="I7" s="11">
        <f t="shared" ref="I7:I8" si="2">G7/C7</f>
        <v>542.54411764705878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2031</v>
      </c>
      <c r="B8" s="3">
        <f>B7</f>
        <v>158</v>
      </c>
      <c r="C8" s="4">
        <f>C7</f>
        <v>1020</v>
      </c>
      <c r="D8" s="4">
        <f>SUM(D17,D20,D23,D26,D29)</f>
        <v>22025</v>
      </c>
      <c r="E8" s="4">
        <v>0</v>
      </c>
      <c r="F8" s="4">
        <f>SUM(D8)</f>
        <v>22025</v>
      </c>
      <c r="G8" s="5">
        <f>SUM(G17,G20,G23,G26,G29)</f>
        <v>529330</v>
      </c>
      <c r="H8" s="58">
        <f>F8/C8</f>
        <v>21.593137254901961</v>
      </c>
      <c r="I8" s="42">
        <f t="shared" si="2"/>
        <v>518.95098039215691</v>
      </c>
      <c r="J8" s="43">
        <f>I8/H8</f>
        <v>24.033144154370035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1.2735930031894036</v>
      </c>
      <c r="G10" s="62">
        <f t="shared" ref="G10" si="3">G8/G7</f>
        <v>0.95651388248899971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-4731.40625</v>
      </c>
      <c r="G12" s="47">
        <f>G7-G8</f>
        <v>24065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2031</v>
      </c>
      <c r="B16" s="3">
        <f>$B$7</f>
        <v>158</v>
      </c>
      <c r="C16" s="4">
        <f>$C$7</f>
        <v>1020</v>
      </c>
      <c r="D16" s="4">
        <f>G16/$J$7</f>
        <v>1535.3125</v>
      </c>
      <c r="E16" s="4">
        <v>0</v>
      </c>
      <c r="F16" s="13">
        <f t="shared" ref="F16:F17" si="4">SUM(D16:E16)</f>
        <v>1535.3125</v>
      </c>
      <c r="G16" s="14">
        <v>49130</v>
      </c>
      <c r="H16" s="13">
        <f t="shared" ref="H16:H17" si="5">F16/C16</f>
        <v>1.5052083333333333</v>
      </c>
      <c r="I16" s="14">
        <f t="shared" ref="I16:I17" si="6">G16/C16</f>
        <v>48.166666666666664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2031</v>
      </c>
      <c r="B17" s="3">
        <f>$B$7</f>
        <v>158</v>
      </c>
      <c r="C17" s="4">
        <f>$C$7</f>
        <v>1020</v>
      </c>
      <c r="D17" s="48">
        <v>1121</v>
      </c>
      <c r="E17" s="48">
        <v>0</v>
      </c>
      <c r="F17" s="4">
        <f t="shared" si="4"/>
        <v>1121</v>
      </c>
      <c r="G17" s="5">
        <v>18335</v>
      </c>
      <c r="H17" s="4">
        <f t="shared" si="5"/>
        <v>1.0990196078431373</v>
      </c>
      <c r="I17" s="5">
        <f t="shared" si="6"/>
        <v>17.975490196078432</v>
      </c>
      <c r="J17" s="44">
        <f>I17/H17</f>
        <v>16.35593220338983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0.73014451455322615</v>
      </c>
      <c r="G18" s="16">
        <f t="shared" ref="G18" si="7">G17/G16</f>
        <v>0.3731935680846733</v>
      </c>
      <c r="H18" s="16"/>
      <c r="I18" s="16"/>
      <c r="J18" s="16"/>
      <c r="K18" s="45"/>
    </row>
    <row r="19" spans="1:11" ht="16.5" thickTop="1" thickBot="1" x14ac:dyDescent="0.25">
      <c r="A19" s="1">
        <f>$A$7</f>
        <v>2031</v>
      </c>
      <c r="B19" s="3">
        <f>$B$7</f>
        <v>158</v>
      </c>
      <c r="C19" s="4">
        <f>$C$7</f>
        <v>1020</v>
      </c>
      <c r="D19" s="4">
        <f>G19/$J$7</f>
        <v>2618.0625</v>
      </c>
      <c r="E19" s="4">
        <v>0</v>
      </c>
      <c r="F19" s="13">
        <f t="shared" ref="F19:F20" si="8">SUM(D19:E19)</f>
        <v>2618.0625</v>
      </c>
      <c r="G19" s="14">
        <v>83778</v>
      </c>
      <c r="H19" s="13">
        <f t="shared" ref="H19:H20" si="9">F19/C19</f>
        <v>2.5667279411764707</v>
      </c>
      <c r="I19" s="14">
        <f t="shared" ref="I19:I20" si="10">G19/C19</f>
        <v>82.135294117647064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2031</v>
      </c>
      <c r="B20" s="3">
        <f>$B$7</f>
        <v>158</v>
      </c>
      <c r="C20" s="4">
        <f>$C$7</f>
        <v>1020</v>
      </c>
      <c r="D20" s="48">
        <v>3101</v>
      </c>
      <c r="E20" s="48">
        <v>0</v>
      </c>
      <c r="F20" s="4">
        <f t="shared" si="8"/>
        <v>3101</v>
      </c>
      <c r="G20" s="5">
        <v>79250</v>
      </c>
      <c r="H20" s="4">
        <f t="shared" si="9"/>
        <v>3.0401960784313724</v>
      </c>
      <c r="I20" s="5">
        <f t="shared" si="10"/>
        <v>77.696078431372555</v>
      </c>
      <c r="J20" s="44">
        <f>I20/H20</f>
        <v>25.556272170267658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1.1844637016877939</v>
      </c>
      <c r="G21" s="16">
        <f t="shared" ref="G21" si="11">G20/G19</f>
        <v>0.94595239800424935</v>
      </c>
      <c r="H21" s="16"/>
      <c r="I21" s="16"/>
      <c r="J21" s="45"/>
      <c r="K21" s="45"/>
    </row>
    <row r="22" spans="1:11" ht="16.5" thickTop="1" thickBot="1" x14ac:dyDescent="0.25">
      <c r="A22" s="1">
        <f>$A$7</f>
        <v>2031</v>
      </c>
      <c r="B22" s="3">
        <f>$B$7</f>
        <v>158</v>
      </c>
      <c r="C22" s="4">
        <f>$C$7</f>
        <v>1020</v>
      </c>
      <c r="D22" s="4">
        <f>G22/$J$7</f>
        <v>8170.625</v>
      </c>
      <c r="E22" s="4">
        <v>0</v>
      </c>
      <c r="F22" s="13">
        <f>SUM(D22:E22)</f>
        <v>8170.625</v>
      </c>
      <c r="G22" s="14">
        <v>261460</v>
      </c>
      <c r="H22" s="13">
        <f>F22/C22</f>
        <v>8.0104166666666661</v>
      </c>
      <c r="I22" s="14">
        <f>G22/C22</f>
        <v>256.33333333333331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2031</v>
      </c>
      <c r="B23" s="3">
        <f>$B$7</f>
        <v>158</v>
      </c>
      <c r="C23" s="4">
        <f>$C$7</f>
        <v>1020</v>
      </c>
      <c r="D23" s="48">
        <v>12465</v>
      </c>
      <c r="E23" s="48">
        <v>0</v>
      </c>
      <c r="F23" s="4">
        <f>SUM(D23:E23)</f>
        <v>12465</v>
      </c>
      <c r="G23" s="5">
        <v>289349</v>
      </c>
      <c r="H23" s="4">
        <f>F23/C23</f>
        <v>12.220588235294118</v>
      </c>
      <c r="I23" s="5">
        <f>G23/C23</f>
        <v>283.67549019607844</v>
      </c>
      <c r="J23" s="44">
        <f>I23/H23</f>
        <v>23.212916165262737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1.5255870878910731</v>
      </c>
      <c r="G24" s="16">
        <f t="shared" ref="G24" si="12">G23/G22</f>
        <v>1.1066664116882123</v>
      </c>
      <c r="H24" s="16"/>
      <c r="I24" s="16"/>
      <c r="J24" s="17"/>
      <c r="K24" s="17"/>
    </row>
    <row r="25" spans="1:11" ht="16.5" thickTop="1" thickBot="1" x14ac:dyDescent="0.25">
      <c r="A25" s="1">
        <f>$A$7</f>
        <v>2031</v>
      </c>
      <c r="B25" s="3">
        <f>$B$7</f>
        <v>158</v>
      </c>
      <c r="C25" s="4">
        <v>781</v>
      </c>
      <c r="D25" s="4">
        <f>G25/$J$7</f>
        <v>2013.75</v>
      </c>
      <c r="E25" s="4">
        <v>0</v>
      </c>
      <c r="F25" s="13">
        <f>SUM(D25:E25)</f>
        <v>2013.75</v>
      </c>
      <c r="G25" s="14">
        <v>64440</v>
      </c>
      <c r="H25" s="13">
        <f>F25/C25</f>
        <v>2.5784250960307298</v>
      </c>
      <c r="I25" s="14">
        <f>G25/C25</f>
        <v>82.509603072983353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2031</v>
      </c>
      <c r="B26" s="3">
        <f>$B$7</f>
        <v>158</v>
      </c>
      <c r="C26" s="4">
        <f>C25</f>
        <v>781</v>
      </c>
      <c r="D26" s="48">
        <v>2670</v>
      </c>
      <c r="E26" s="48">
        <v>0</v>
      </c>
      <c r="F26" s="4">
        <f>SUM(D26:E26)</f>
        <v>2670</v>
      </c>
      <c r="G26" s="5">
        <v>69831</v>
      </c>
      <c r="H26" s="4">
        <f>F26/C26</f>
        <v>3.4186939820742639</v>
      </c>
      <c r="I26" s="5">
        <f>G26/C26</f>
        <v>89.4122919334187</v>
      </c>
      <c r="J26" s="44">
        <f>I26/H26</f>
        <v>26.153932584269665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1.3258845437616387</v>
      </c>
      <c r="G27" s="16">
        <f t="shared" ref="G27" si="13">G26/G25</f>
        <v>1.083659217877095</v>
      </c>
      <c r="H27" s="16"/>
      <c r="I27" s="16"/>
      <c r="J27" s="17"/>
      <c r="K27" s="17"/>
    </row>
    <row r="28" spans="1:11" ht="16.5" thickTop="1" thickBot="1" x14ac:dyDescent="0.25">
      <c r="A28" s="1">
        <f>$A$7</f>
        <v>2031</v>
      </c>
      <c r="B28" s="3">
        <f>$B$7</f>
        <v>158</v>
      </c>
      <c r="C28" s="4">
        <f>$C$7</f>
        <v>1020</v>
      </c>
      <c r="D28" s="4">
        <f>G28/$J$7</f>
        <v>2955.84375</v>
      </c>
      <c r="E28" s="4">
        <v>0</v>
      </c>
      <c r="F28" s="13">
        <f>SUM(D28:E28)</f>
        <v>2955.84375</v>
      </c>
      <c r="G28" s="14">
        <v>94587</v>
      </c>
      <c r="H28" s="13">
        <f>F28/C28</f>
        <v>2.8978860294117648</v>
      </c>
      <c r="I28" s="14">
        <f>G28/C28</f>
        <v>92.732352941176472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2031</v>
      </c>
      <c r="B29" s="3">
        <f>$B$7</f>
        <v>158</v>
      </c>
      <c r="C29" s="4">
        <f>$C$7</f>
        <v>1020</v>
      </c>
      <c r="D29" s="48">
        <v>2668</v>
      </c>
      <c r="E29" s="48">
        <v>0</v>
      </c>
      <c r="F29" s="4">
        <f>SUM(D29:E29)</f>
        <v>2668</v>
      </c>
      <c r="G29" s="5">
        <v>72565</v>
      </c>
      <c r="H29" s="4">
        <f>F29/C29</f>
        <v>2.615686274509804</v>
      </c>
      <c r="I29" s="5">
        <f>G29/C29</f>
        <v>71.142156862745097</v>
      </c>
      <c r="J29" s="44">
        <f>I29/H29</f>
        <v>27.198275862068964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0.90261875310560646</v>
      </c>
      <c r="G30" s="16">
        <f t="shared" ref="G30" si="14">G29/G28</f>
        <v>0.76717730766384384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2031</v>
      </c>
      <c r="B33" s="3">
        <f>$B$7</f>
        <v>158</v>
      </c>
      <c r="C33" s="4">
        <f>$C$7</f>
        <v>1020</v>
      </c>
      <c r="D33" s="13">
        <f>SUM(D28,D22,D19)</f>
        <v>13744.53125</v>
      </c>
      <c r="E33" s="13">
        <v>0</v>
      </c>
      <c r="F33" s="13">
        <f t="shared" ref="F33" si="15">SUM(D33:E33)</f>
        <v>13744.53125</v>
      </c>
      <c r="G33" s="14">
        <f>SUM(G28,G22,G19)</f>
        <v>439825</v>
      </c>
      <c r="H33" s="34">
        <f t="shared" ref="H33:H34" si="16">F33/C33</f>
        <v>13.475030637254902</v>
      </c>
      <c r="I33" s="39">
        <f t="shared" ref="I33:I34" si="17">G33/C33</f>
        <v>431.20098039215685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2031</v>
      </c>
      <c r="B34" s="3">
        <f>$B$7</f>
        <v>158</v>
      </c>
      <c r="C34" s="4">
        <f>$C$7</f>
        <v>1020</v>
      </c>
      <c r="D34" s="4">
        <f>SUM(D29,D23,D20)</f>
        <v>18234</v>
      </c>
      <c r="E34" s="49">
        <v>0</v>
      </c>
      <c r="F34" s="4">
        <f>SUM(D34)</f>
        <v>18234</v>
      </c>
      <c r="G34" s="50">
        <f>SUM(G29,G23,G20)</f>
        <v>441164</v>
      </c>
      <c r="H34" s="41">
        <f t="shared" si="16"/>
        <v>17.876470588235293</v>
      </c>
      <c r="I34" s="42">
        <f t="shared" si="17"/>
        <v>432.51372549019607</v>
      </c>
      <c r="J34" s="43">
        <f>I34/H34</f>
        <v>24.194581550948779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1.0030443926561701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17.876470588235293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3.4186939820742639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21.593137254901961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2032</v>
      </c>
      <c r="B7" s="3">
        <v>71</v>
      </c>
      <c r="C7" s="4">
        <v>364</v>
      </c>
      <c r="D7" s="4">
        <f>G7/$J$7</f>
        <v>5675.71875</v>
      </c>
      <c r="E7" s="4">
        <v>0</v>
      </c>
      <c r="F7" s="4">
        <f t="shared" ref="F7" si="0">SUM(D7:E7)</f>
        <v>5675.71875</v>
      </c>
      <c r="G7" s="5">
        <f>SUM(G16,G19,G22,G25,G28)</f>
        <v>181623</v>
      </c>
      <c r="H7" s="9">
        <f t="shared" ref="H7" si="1">F7/C7</f>
        <v>15.592633928571429</v>
      </c>
      <c r="I7" s="11">
        <f t="shared" ref="I7:I8" si="2">G7/C7</f>
        <v>498.96428571428572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2032</v>
      </c>
      <c r="B8" s="3">
        <f>B7</f>
        <v>71</v>
      </c>
      <c r="C8" s="4">
        <v>363</v>
      </c>
      <c r="D8" s="4">
        <f>SUM(D17,D20,D23,D26,D29)</f>
        <v>5158</v>
      </c>
      <c r="E8" s="4">
        <v>0</v>
      </c>
      <c r="F8" s="4">
        <f>SUM(D8)</f>
        <v>5158</v>
      </c>
      <c r="G8" s="5">
        <f>SUM(G17,G20,G23,G26,G29)</f>
        <v>134466</v>
      </c>
      <c r="H8" s="58">
        <f>F8/C8</f>
        <v>14.209366391184574</v>
      </c>
      <c r="I8" s="42">
        <f t="shared" si="2"/>
        <v>370.42975206611573</v>
      </c>
      <c r="J8" s="43">
        <f>I8/H8</f>
        <v>26.069406746801086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0.9087835791722414</v>
      </c>
      <c r="G10" s="62">
        <f t="shared" ref="G10" si="3">G8/G7</f>
        <v>0.74035777407046466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517.71875</v>
      </c>
      <c r="G12" s="47">
        <f>G7-G8</f>
        <v>47157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2032</v>
      </c>
      <c r="B16" s="3">
        <f>$B$7</f>
        <v>71</v>
      </c>
      <c r="C16" s="4">
        <f>$C$7</f>
        <v>364</v>
      </c>
      <c r="D16" s="4">
        <f>G16/$J$7</f>
        <v>540.5</v>
      </c>
      <c r="E16" s="4">
        <v>0</v>
      </c>
      <c r="F16" s="13">
        <f t="shared" ref="F16:F17" si="4">SUM(D16:E16)</f>
        <v>540.5</v>
      </c>
      <c r="G16" s="14">
        <v>17296</v>
      </c>
      <c r="H16" s="13">
        <f t="shared" ref="H16:H17" si="5">F16/C16</f>
        <v>1.4848901098901099</v>
      </c>
      <c r="I16" s="14">
        <f t="shared" ref="I16:I17" si="6">G16/C16</f>
        <v>47.516483516483518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2032</v>
      </c>
      <c r="B17" s="3">
        <f>$B$7</f>
        <v>71</v>
      </c>
      <c r="C17" s="4">
        <f>$C$7</f>
        <v>364</v>
      </c>
      <c r="D17" s="48">
        <v>229</v>
      </c>
      <c r="E17" s="48">
        <v>0</v>
      </c>
      <c r="F17" s="4">
        <f t="shared" si="4"/>
        <v>229</v>
      </c>
      <c r="G17" s="5">
        <v>11048</v>
      </c>
      <c r="H17" s="4">
        <f t="shared" si="5"/>
        <v>0.62912087912087911</v>
      </c>
      <c r="I17" s="5">
        <f t="shared" si="6"/>
        <v>30.35164835164835</v>
      </c>
      <c r="J17" s="44">
        <f>I17/H17</f>
        <v>48.244541484716159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0.42368177613321001</v>
      </c>
      <c r="G18" s="16">
        <f t="shared" ref="G18" si="7">G17/G16</f>
        <v>0.63876040703052728</v>
      </c>
      <c r="H18" s="16"/>
      <c r="I18" s="16"/>
      <c r="J18" s="16"/>
      <c r="K18" s="45"/>
    </row>
    <row r="19" spans="1:11" ht="16.5" thickTop="1" thickBot="1" x14ac:dyDescent="0.25">
      <c r="A19" s="1">
        <f>$A$7</f>
        <v>2032</v>
      </c>
      <c r="B19" s="3">
        <f>$B$7</f>
        <v>71</v>
      </c>
      <c r="C19" s="4">
        <f>$C$7</f>
        <v>364</v>
      </c>
      <c r="D19" s="4">
        <f>G19/$J$7</f>
        <v>255.3125</v>
      </c>
      <c r="E19" s="4">
        <v>0</v>
      </c>
      <c r="F19" s="13">
        <f t="shared" ref="F19:F20" si="8">SUM(D19:E19)</f>
        <v>255.3125</v>
      </c>
      <c r="G19" s="14">
        <v>8170</v>
      </c>
      <c r="H19" s="13">
        <f t="shared" ref="H19:H20" si="9">F19/C19</f>
        <v>0.70140796703296704</v>
      </c>
      <c r="I19" s="14">
        <f t="shared" ref="I19:I20" si="10">G19/C19</f>
        <v>22.445054945054945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2032</v>
      </c>
      <c r="B20" s="3">
        <f>$B$7</f>
        <v>71</v>
      </c>
      <c r="C20" s="4">
        <f>$C$7</f>
        <v>364</v>
      </c>
      <c r="D20" s="48">
        <v>231</v>
      </c>
      <c r="E20" s="48">
        <v>0</v>
      </c>
      <c r="F20" s="4">
        <f t="shared" si="8"/>
        <v>231</v>
      </c>
      <c r="G20" s="5">
        <v>6693</v>
      </c>
      <c r="H20" s="4">
        <f t="shared" si="9"/>
        <v>0.63461538461538458</v>
      </c>
      <c r="I20" s="5">
        <f t="shared" si="10"/>
        <v>18.387362637362639</v>
      </c>
      <c r="J20" s="44">
        <f>I20/H20</f>
        <v>28.974025974025977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0.90477356181150548</v>
      </c>
      <c r="G21" s="16">
        <f t="shared" ref="G21" si="11">G20/G19</f>
        <v>0.81921664626682988</v>
      </c>
      <c r="H21" s="16"/>
      <c r="I21" s="16"/>
      <c r="J21" s="45"/>
      <c r="K21" s="45"/>
    </row>
    <row r="22" spans="1:11" ht="16.5" thickTop="1" thickBot="1" x14ac:dyDescent="0.25">
      <c r="A22" s="1">
        <f>$A$7</f>
        <v>2032</v>
      </c>
      <c r="B22" s="3">
        <f>$B$7</f>
        <v>71</v>
      </c>
      <c r="C22" s="4">
        <f>$C$7</f>
        <v>364</v>
      </c>
      <c r="D22" s="4">
        <f>G22/$J$7</f>
        <v>2749.71875</v>
      </c>
      <c r="E22" s="4">
        <v>0</v>
      </c>
      <c r="F22" s="13">
        <f>SUM(D22:E22)</f>
        <v>2749.71875</v>
      </c>
      <c r="G22" s="14">
        <v>87991</v>
      </c>
      <c r="H22" s="13">
        <f>F22/C22</f>
        <v>7.5541723901098905</v>
      </c>
      <c r="I22" s="14">
        <f>G22/C22</f>
        <v>241.7335164835165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2032</v>
      </c>
      <c r="B23" s="3">
        <f>$B$7</f>
        <v>71</v>
      </c>
      <c r="C23" s="4">
        <f>$C$7</f>
        <v>364</v>
      </c>
      <c r="D23" s="48">
        <v>3132</v>
      </c>
      <c r="E23" s="48">
        <v>0</v>
      </c>
      <c r="F23" s="4">
        <f>SUM(D23:E23)</f>
        <v>3132</v>
      </c>
      <c r="G23" s="5">
        <v>77200</v>
      </c>
      <c r="H23" s="4">
        <f>F23/C23</f>
        <v>8.604395604395604</v>
      </c>
      <c r="I23" s="5">
        <f>G23/C23</f>
        <v>212.08791208791209</v>
      </c>
      <c r="J23" s="44">
        <f>I23/H23</f>
        <v>24.648786717752238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1.139025582161812</v>
      </c>
      <c r="G24" s="16">
        <f t="shared" ref="G24" si="12">G23/G22</f>
        <v>0.87736245752406494</v>
      </c>
      <c r="H24" s="16"/>
      <c r="I24" s="16"/>
      <c r="J24" s="17"/>
      <c r="K24" s="17"/>
    </row>
    <row r="25" spans="1:11" ht="16.5" thickTop="1" thickBot="1" x14ac:dyDescent="0.25">
      <c r="A25" s="1">
        <f>$A$7</f>
        <v>2032</v>
      </c>
      <c r="B25" s="3">
        <f>$B$7</f>
        <v>71</v>
      </c>
      <c r="C25" s="4">
        <v>359</v>
      </c>
      <c r="D25" s="4">
        <f>G25/$J$7</f>
        <v>755.4375</v>
      </c>
      <c r="E25" s="4">
        <v>0</v>
      </c>
      <c r="F25" s="13">
        <f>SUM(D25:E25)</f>
        <v>755.4375</v>
      </c>
      <c r="G25" s="14">
        <v>24174</v>
      </c>
      <c r="H25" s="13">
        <f>F25/C25</f>
        <v>2.1042827298050137</v>
      </c>
      <c r="I25" s="14">
        <f>G25/C25</f>
        <v>67.33704735376044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2032</v>
      </c>
      <c r="B26" s="3">
        <f>$B$7</f>
        <v>71</v>
      </c>
      <c r="C26" s="4">
        <f>C25</f>
        <v>359</v>
      </c>
      <c r="D26" s="48">
        <v>683</v>
      </c>
      <c r="E26" s="48">
        <v>0</v>
      </c>
      <c r="F26" s="4">
        <f>SUM(D26:E26)</f>
        <v>683</v>
      </c>
      <c r="G26" s="5">
        <v>15430</v>
      </c>
      <c r="H26" s="4">
        <f>F26/C26</f>
        <v>1.9025069637883008</v>
      </c>
      <c r="I26" s="5">
        <f>G26/C26</f>
        <v>42.98050139275766</v>
      </c>
      <c r="J26" s="44">
        <f>I26/H26</f>
        <v>22.59150805270864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0.90411185571274921</v>
      </c>
      <c r="G27" s="16">
        <f t="shared" ref="G27" si="13">G26/G25</f>
        <v>0.63828907090262266</v>
      </c>
      <c r="H27" s="16"/>
      <c r="I27" s="16"/>
      <c r="J27" s="17"/>
      <c r="K27" s="17"/>
    </row>
    <row r="28" spans="1:11" ht="16.5" thickTop="1" thickBot="1" x14ac:dyDescent="0.25">
      <c r="A28" s="1">
        <f>$A$7</f>
        <v>2032</v>
      </c>
      <c r="B28" s="3">
        <f>$B$7</f>
        <v>71</v>
      </c>
      <c r="C28" s="4">
        <f>$C$7</f>
        <v>364</v>
      </c>
      <c r="D28" s="4">
        <f>G28/$J$7</f>
        <v>1374.75</v>
      </c>
      <c r="E28" s="4">
        <v>0</v>
      </c>
      <c r="F28" s="13">
        <f>SUM(D28:E28)</f>
        <v>1374.75</v>
      </c>
      <c r="G28" s="14">
        <v>43992</v>
      </c>
      <c r="H28" s="13">
        <f>F28/C28</f>
        <v>3.7767857142857144</v>
      </c>
      <c r="I28" s="14">
        <f>G28/C28</f>
        <v>120.85714285714286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2032</v>
      </c>
      <c r="B29" s="3">
        <f>$B$7</f>
        <v>71</v>
      </c>
      <c r="C29" s="4">
        <f>$C$7</f>
        <v>364</v>
      </c>
      <c r="D29" s="48">
        <v>883</v>
      </c>
      <c r="E29" s="48">
        <v>0</v>
      </c>
      <c r="F29" s="4">
        <f>SUM(D29:E29)</f>
        <v>883</v>
      </c>
      <c r="G29" s="5">
        <v>24095</v>
      </c>
      <c r="H29" s="4">
        <f>F29/C29</f>
        <v>2.4258241758241756</v>
      </c>
      <c r="I29" s="5">
        <f>G29/C29</f>
        <v>66.195054945054949</v>
      </c>
      <c r="J29" s="44">
        <f>I29/H29</f>
        <v>27.287655719139302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0.64229859974540826</v>
      </c>
      <c r="G30" s="16">
        <f t="shared" ref="G30" si="14">G29/G28</f>
        <v>0.54771322058556104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2032</v>
      </c>
      <c r="B33" s="3">
        <f>$B$7</f>
        <v>71</v>
      </c>
      <c r="C33" s="4">
        <f>$C$7</f>
        <v>364</v>
      </c>
      <c r="D33" s="13">
        <f>SUM(D28,D22,D19)</f>
        <v>4379.78125</v>
      </c>
      <c r="E33" s="13">
        <v>0</v>
      </c>
      <c r="F33" s="13">
        <f t="shared" ref="F33" si="15">SUM(D33:E33)</f>
        <v>4379.78125</v>
      </c>
      <c r="G33" s="14">
        <f>SUM(G28,G22,G19)</f>
        <v>140153</v>
      </c>
      <c r="H33" s="34">
        <f t="shared" ref="H33:H34" si="16">F33/C33</f>
        <v>12.032366071428571</v>
      </c>
      <c r="I33" s="39">
        <f t="shared" ref="I33:I34" si="17">G33/C33</f>
        <v>385.03571428571428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2032</v>
      </c>
      <c r="B34" s="3">
        <f>$B$7</f>
        <v>71</v>
      </c>
      <c r="C34" s="4">
        <f>$C$7</f>
        <v>364</v>
      </c>
      <c r="D34" s="4">
        <f>SUM(D29,D23,D20)</f>
        <v>4246</v>
      </c>
      <c r="E34" s="49">
        <v>0</v>
      </c>
      <c r="F34" s="4">
        <f>SUM(D34)</f>
        <v>4246</v>
      </c>
      <c r="G34" s="50">
        <f>SUM(G29,G23,G20)</f>
        <v>107988</v>
      </c>
      <c r="H34" s="41">
        <f t="shared" si="16"/>
        <v>11.664835164835164</v>
      </c>
      <c r="I34" s="42">
        <f t="shared" si="17"/>
        <v>296.67032967032969</v>
      </c>
      <c r="J34" s="43">
        <f>I34/H34</f>
        <v>25.432878002826193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0.77050080982925806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11.664835164835164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1.9025069637883008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14.209366391184574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2033</v>
      </c>
      <c r="B7" s="3">
        <v>139</v>
      </c>
      <c r="C7" s="4">
        <v>856</v>
      </c>
      <c r="D7" s="4">
        <f>G7/$J$7</f>
        <v>17789.28125</v>
      </c>
      <c r="E7" s="4">
        <v>0</v>
      </c>
      <c r="F7" s="4">
        <f t="shared" ref="F7" si="0">SUM(D7:E7)</f>
        <v>17789.28125</v>
      </c>
      <c r="G7" s="5">
        <f>SUM(G16,G19,G22,G25,G28)</f>
        <v>569257</v>
      </c>
      <c r="H7" s="9">
        <f t="shared" ref="H7" si="1">F7/C7</f>
        <v>20.78187061915888</v>
      </c>
      <c r="I7" s="11">
        <f t="shared" ref="I7:I8" si="2">G7/C7</f>
        <v>665.01985981308417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2033</v>
      </c>
      <c r="B8" s="3">
        <f>B7</f>
        <v>139</v>
      </c>
      <c r="C8" s="4">
        <f>C7</f>
        <v>856</v>
      </c>
      <c r="D8" s="4">
        <f>SUM(D17,D20,D23,D26,D29)</f>
        <v>19510</v>
      </c>
      <c r="E8" s="4">
        <v>0</v>
      </c>
      <c r="F8" s="4">
        <f>SUM(D8)</f>
        <v>19510</v>
      </c>
      <c r="G8" s="5">
        <f>SUM(G17,G20,G23,G26,G29)</f>
        <v>526279</v>
      </c>
      <c r="H8" s="58">
        <f>F8/C8</f>
        <v>22.792056074766354</v>
      </c>
      <c r="I8" s="42">
        <f t="shared" si="2"/>
        <v>614.81191588785043</v>
      </c>
      <c r="J8" s="43">
        <f>I8/H8</f>
        <v>26.974833418759612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1.0967278399738607</v>
      </c>
      <c r="G10" s="62">
        <f t="shared" ref="G10" si="3">G8/G7</f>
        <v>0.92450158715659181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-1720.71875</v>
      </c>
      <c r="G12" s="47">
        <f>G7-G8</f>
        <v>42978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2033</v>
      </c>
      <c r="B16" s="3">
        <f>$B$7</f>
        <v>139</v>
      </c>
      <c r="C16" s="4">
        <f>$C$7</f>
        <v>856</v>
      </c>
      <c r="D16" s="4">
        <f>G16/$J$7</f>
        <v>1071.46875</v>
      </c>
      <c r="E16" s="4">
        <v>0</v>
      </c>
      <c r="F16" s="13">
        <f t="shared" ref="F16:F17" si="4">SUM(D16:E16)</f>
        <v>1071.46875</v>
      </c>
      <c r="G16" s="14">
        <v>34287</v>
      </c>
      <c r="H16" s="13">
        <f t="shared" ref="H16:H17" si="5">F16/C16</f>
        <v>1.2517158294392523</v>
      </c>
      <c r="I16" s="14">
        <f t="shared" ref="I16:I17" si="6">G16/C16</f>
        <v>40.054906542056074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2033</v>
      </c>
      <c r="B17" s="3">
        <f>$B$7</f>
        <v>139</v>
      </c>
      <c r="C17" s="4">
        <f>$C$7</f>
        <v>856</v>
      </c>
      <c r="D17" s="48">
        <v>319</v>
      </c>
      <c r="E17" s="48">
        <v>0</v>
      </c>
      <c r="F17" s="4">
        <f t="shared" si="4"/>
        <v>319</v>
      </c>
      <c r="G17" s="5">
        <v>15590</v>
      </c>
      <c r="H17" s="4">
        <f t="shared" si="5"/>
        <v>0.37266355140186919</v>
      </c>
      <c r="I17" s="5">
        <f t="shared" si="6"/>
        <v>18.212616822429908</v>
      </c>
      <c r="J17" s="44">
        <f>I17/H17</f>
        <v>48.871473354231973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0.29772216875200513</v>
      </c>
      <c r="G18" s="16">
        <f t="shared" ref="G18" si="7">G17/G16</f>
        <v>0.45469128241024293</v>
      </c>
      <c r="H18" s="16"/>
      <c r="I18" s="16"/>
      <c r="J18" s="16"/>
      <c r="K18" s="45"/>
    </row>
    <row r="19" spans="1:11" ht="16.5" thickTop="1" thickBot="1" x14ac:dyDescent="0.25">
      <c r="A19" s="1">
        <f>$A$7</f>
        <v>2033</v>
      </c>
      <c r="B19" s="3">
        <f>$B$7</f>
        <v>139</v>
      </c>
      <c r="C19" s="4">
        <f>$C$7</f>
        <v>856</v>
      </c>
      <c r="D19" s="4">
        <f>G19/$J$7</f>
        <v>2539.59375</v>
      </c>
      <c r="E19" s="4">
        <v>0</v>
      </c>
      <c r="F19" s="13">
        <f t="shared" ref="F19:F20" si="8">SUM(D19:E19)</f>
        <v>2539.59375</v>
      </c>
      <c r="G19" s="14">
        <v>81267</v>
      </c>
      <c r="H19" s="13">
        <f t="shared" ref="H19:H20" si="9">F19/C19</f>
        <v>2.9668151285046731</v>
      </c>
      <c r="I19" s="14">
        <f t="shared" ref="I19:I20" si="10">G19/C19</f>
        <v>94.938084112149539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2033</v>
      </c>
      <c r="B20" s="3">
        <f>$B$7</f>
        <v>139</v>
      </c>
      <c r="C20" s="4">
        <f>$C$7</f>
        <v>856</v>
      </c>
      <c r="D20" s="48">
        <v>3002</v>
      </c>
      <c r="E20" s="48">
        <v>0</v>
      </c>
      <c r="F20" s="4">
        <f t="shared" si="8"/>
        <v>3002</v>
      </c>
      <c r="G20" s="5">
        <v>85862</v>
      </c>
      <c r="H20" s="4">
        <f t="shared" si="9"/>
        <v>3.5070093457943927</v>
      </c>
      <c r="I20" s="5">
        <f t="shared" si="10"/>
        <v>100.30607476635514</v>
      </c>
      <c r="J20" s="44">
        <f>I20/H20</f>
        <v>28.60159893404397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1.1820788265839763</v>
      </c>
      <c r="G21" s="16">
        <f t="shared" ref="G21" si="11">G20/G19</f>
        <v>1.0565420158243815</v>
      </c>
      <c r="H21" s="16"/>
      <c r="I21" s="16"/>
      <c r="J21" s="45"/>
      <c r="K21" s="45"/>
    </row>
    <row r="22" spans="1:11" ht="16.5" thickTop="1" thickBot="1" x14ac:dyDescent="0.25">
      <c r="A22" s="1">
        <f>$A$7</f>
        <v>2033</v>
      </c>
      <c r="B22" s="3">
        <f>$B$7</f>
        <v>139</v>
      </c>
      <c r="C22" s="4">
        <f>$C$7</f>
        <v>856</v>
      </c>
      <c r="D22" s="4">
        <f>G22/$J$7</f>
        <v>10299.28125</v>
      </c>
      <c r="E22" s="4">
        <v>0</v>
      </c>
      <c r="F22" s="13">
        <f>SUM(D22:E22)</f>
        <v>10299.28125</v>
      </c>
      <c r="G22" s="14">
        <v>329577</v>
      </c>
      <c r="H22" s="13">
        <f>F22/C22</f>
        <v>12.031870619158878</v>
      </c>
      <c r="I22" s="14">
        <f>G22/C22</f>
        <v>385.01985981308411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2033</v>
      </c>
      <c r="B23" s="3">
        <f>$B$7</f>
        <v>139</v>
      </c>
      <c r="C23" s="4">
        <f>$C$7</f>
        <v>856</v>
      </c>
      <c r="D23" s="48">
        <v>11451</v>
      </c>
      <c r="E23" s="48">
        <v>0</v>
      </c>
      <c r="F23" s="4">
        <f>SUM(D23:E23)</f>
        <v>11451</v>
      </c>
      <c r="G23" s="5">
        <v>299136</v>
      </c>
      <c r="H23" s="4">
        <f>F23/C23</f>
        <v>13.377336448598131</v>
      </c>
      <c r="I23" s="5">
        <f>G23/C23</f>
        <v>349.45794392523362</v>
      </c>
      <c r="J23" s="44">
        <f>I23/H23</f>
        <v>26.123133350799055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1.1118251577021454</v>
      </c>
      <c r="G24" s="16">
        <f t="shared" ref="G24" si="12">G23/G22</f>
        <v>0.90763615179457302</v>
      </c>
      <c r="H24" s="16"/>
      <c r="I24" s="16"/>
      <c r="J24" s="17"/>
      <c r="K24" s="17"/>
    </row>
    <row r="25" spans="1:11" ht="16.5" thickTop="1" thickBot="1" x14ac:dyDescent="0.25">
      <c r="A25" s="1">
        <f>$A$7</f>
        <v>2033</v>
      </c>
      <c r="B25" s="3">
        <f>$B$7</f>
        <v>139</v>
      </c>
      <c r="C25" s="4">
        <v>843</v>
      </c>
      <c r="D25" s="4">
        <f>G25/$J$7</f>
        <v>1596.8125</v>
      </c>
      <c r="E25" s="4">
        <v>0</v>
      </c>
      <c r="F25" s="13">
        <f>SUM(D25:E25)</f>
        <v>1596.8125</v>
      </c>
      <c r="G25" s="14">
        <v>51098</v>
      </c>
      <c r="H25" s="13">
        <f>F25/C25</f>
        <v>1.8942022538552787</v>
      </c>
      <c r="I25" s="14">
        <f>G25/C25</f>
        <v>60.61447212336892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2033</v>
      </c>
      <c r="B26" s="3">
        <f>$B$7</f>
        <v>139</v>
      </c>
      <c r="C26" s="4">
        <f>C25</f>
        <v>843</v>
      </c>
      <c r="D26" s="48">
        <v>1845</v>
      </c>
      <c r="E26" s="48">
        <v>0</v>
      </c>
      <c r="F26" s="4">
        <f>SUM(D26:E26)</f>
        <v>1845</v>
      </c>
      <c r="G26" s="5">
        <v>42784</v>
      </c>
      <c r="H26" s="4">
        <f>F26/C26</f>
        <v>2.1886120996441281</v>
      </c>
      <c r="I26" s="5">
        <f>G26/C26</f>
        <v>50.752075919335702</v>
      </c>
      <c r="J26" s="44">
        <f>I26/H26</f>
        <v>23.189159891598916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1.1554268268816783</v>
      </c>
      <c r="G27" s="16">
        <f t="shared" ref="G27" si="13">G26/G25</f>
        <v>0.83729304473756316</v>
      </c>
      <c r="H27" s="16"/>
      <c r="I27" s="16"/>
      <c r="J27" s="17"/>
      <c r="K27" s="17"/>
    </row>
    <row r="28" spans="1:11" ht="16.5" thickTop="1" thickBot="1" x14ac:dyDescent="0.25">
      <c r="A28" s="1">
        <f>$A$7</f>
        <v>2033</v>
      </c>
      <c r="B28" s="3">
        <f>$B$7</f>
        <v>139</v>
      </c>
      <c r="C28" s="4">
        <f>$C$7</f>
        <v>856</v>
      </c>
      <c r="D28" s="4">
        <f>G28/$J$7</f>
        <v>2282.125</v>
      </c>
      <c r="E28" s="4">
        <v>0</v>
      </c>
      <c r="F28" s="13">
        <f>SUM(D28:E28)</f>
        <v>2282.125</v>
      </c>
      <c r="G28" s="14">
        <v>73028</v>
      </c>
      <c r="H28" s="13">
        <f>F28/C28</f>
        <v>2.6660338785046731</v>
      </c>
      <c r="I28" s="14">
        <f>G28/C28</f>
        <v>85.313084112149539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2033</v>
      </c>
      <c r="B29" s="3">
        <f>$B$7</f>
        <v>139</v>
      </c>
      <c r="C29" s="4">
        <f>$C$7</f>
        <v>856</v>
      </c>
      <c r="D29" s="48">
        <v>2893</v>
      </c>
      <c r="E29" s="48">
        <v>0</v>
      </c>
      <c r="F29" s="4">
        <f>SUM(D29:E29)</f>
        <v>2893</v>
      </c>
      <c r="G29" s="5">
        <v>82907</v>
      </c>
      <c r="H29" s="4">
        <f>F29/C29</f>
        <v>3.3796728971962615</v>
      </c>
      <c r="I29" s="5">
        <f>G29/C29</f>
        <v>96.853971962616825</v>
      </c>
      <c r="J29" s="44">
        <f>I29/H29</f>
        <v>28.657794676806084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1.2676781508462507</v>
      </c>
      <c r="G30" s="16">
        <f t="shared" ref="G30" si="14">G29/G28</f>
        <v>1.1352768801007833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2033</v>
      </c>
      <c r="B33" s="3">
        <f>$B$7</f>
        <v>139</v>
      </c>
      <c r="C33" s="4">
        <f>$C$7</f>
        <v>856</v>
      </c>
      <c r="D33" s="13">
        <f>SUM(D28,D22,D19)</f>
        <v>15121</v>
      </c>
      <c r="E33" s="13">
        <v>0</v>
      </c>
      <c r="F33" s="13">
        <f t="shared" ref="F33" si="15">SUM(D33:E33)</f>
        <v>15121</v>
      </c>
      <c r="G33" s="14">
        <f>SUM(G28,G22,G19)</f>
        <v>483872</v>
      </c>
      <c r="H33" s="34">
        <f t="shared" ref="H33:H34" si="16">F33/C33</f>
        <v>17.664719626168225</v>
      </c>
      <c r="I33" s="39">
        <f t="shared" ref="I33:I34" si="17">G33/C33</f>
        <v>565.27102803738319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2033</v>
      </c>
      <c r="B34" s="3">
        <f>$B$7</f>
        <v>139</v>
      </c>
      <c r="C34" s="4">
        <f>$C$7</f>
        <v>856</v>
      </c>
      <c r="D34" s="4">
        <f>SUM(D29,D23,D20)</f>
        <v>17346</v>
      </c>
      <c r="E34" s="49">
        <v>0</v>
      </c>
      <c r="F34" s="4">
        <f>SUM(D34)</f>
        <v>17346</v>
      </c>
      <c r="G34" s="50">
        <f>SUM(G29,G23,G20)</f>
        <v>467905</v>
      </c>
      <c r="H34" s="41">
        <f t="shared" si="16"/>
        <v>20.264018691588785</v>
      </c>
      <c r="I34" s="42">
        <f t="shared" si="17"/>
        <v>546.61799065420564</v>
      </c>
      <c r="J34" s="43">
        <f>I34/H34</f>
        <v>26.974806871901304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0.96700160372991206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20.264018691588785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2.1886120996441281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22.792056074766354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2034</v>
      </c>
      <c r="B7" s="3">
        <v>128</v>
      </c>
      <c r="C7" s="4">
        <v>705</v>
      </c>
      <c r="D7" s="4">
        <f>G7/$J$7</f>
        <v>14911.8125</v>
      </c>
      <c r="E7" s="4">
        <v>0</v>
      </c>
      <c r="F7" s="4">
        <f t="shared" ref="F7" si="0">SUM(D7:E7)</f>
        <v>14911.8125</v>
      </c>
      <c r="G7" s="5">
        <f>SUM(G16,G19,G22,G25,G28)</f>
        <v>477178</v>
      </c>
      <c r="H7" s="9">
        <f t="shared" ref="H7" si="1">F7/C7</f>
        <v>21.151507092198582</v>
      </c>
      <c r="I7" s="11">
        <f t="shared" ref="I7:I8" si="2">G7/C7</f>
        <v>676.84822695035461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2034</v>
      </c>
      <c r="B8" s="3">
        <f>B7</f>
        <v>128</v>
      </c>
      <c r="C8" s="4">
        <f>C7</f>
        <v>705</v>
      </c>
      <c r="D8" s="4">
        <f>SUM(D17,D20,D23,D26,D29)</f>
        <v>21639</v>
      </c>
      <c r="E8" s="4">
        <v>0</v>
      </c>
      <c r="F8" s="4">
        <f>SUM(D8)</f>
        <v>21639</v>
      </c>
      <c r="G8" s="5">
        <f>SUM(G17,G20,G23,G26,G29)</f>
        <v>539466</v>
      </c>
      <c r="H8" s="58">
        <f>F8/C8</f>
        <v>30.693617021276594</v>
      </c>
      <c r="I8" s="42">
        <f t="shared" si="2"/>
        <v>765.2</v>
      </c>
      <c r="J8" s="43">
        <f>I8/H8</f>
        <v>24.93026479966727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1.4511314436122369</v>
      </c>
      <c r="G10" s="62">
        <f t="shared" ref="G10" si="3">G8/G7</f>
        <v>1.1305340983867656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-6727.1875</v>
      </c>
      <c r="G12" s="47">
        <f>G7-G8</f>
        <v>-62288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2034</v>
      </c>
      <c r="B16" s="3">
        <f>$B$7</f>
        <v>128</v>
      </c>
      <c r="C16" s="4">
        <f>$C$7</f>
        <v>705</v>
      </c>
      <c r="D16" s="4">
        <f>G16/$J$7</f>
        <v>1169.25</v>
      </c>
      <c r="E16" s="4">
        <v>0</v>
      </c>
      <c r="F16" s="13">
        <f t="shared" ref="F16:F17" si="4">SUM(D16:E16)</f>
        <v>1169.25</v>
      </c>
      <c r="G16" s="14">
        <v>37416</v>
      </c>
      <c r="H16" s="13">
        <f t="shared" ref="H16:H17" si="5">F16/C16</f>
        <v>1.6585106382978723</v>
      </c>
      <c r="I16" s="14">
        <f t="shared" ref="I16:I17" si="6">G16/C16</f>
        <v>53.072340425531912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2034</v>
      </c>
      <c r="B17" s="3">
        <f>$B$7</f>
        <v>128</v>
      </c>
      <c r="C17" s="4">
        <f>$C$7</f>
        <v>705</v>
      </c>
      <c r="D17" s="48">
        <v>359</v>
      </c>
      <c r="E17" s="48">
        <v>0</v>
      </c>
      <c r="F17" s="4">
        <f t="shared" si="4"/>
        <v>359</v>
      </c>
      <c r="G17" s="5">
        <v>17736</v>
      </c>
      <c r="H17" s="4">
        <f t="shared" si="5"/>
        <v>0.50921985815602833</v>
      </c>
      <c r="I17" s="5">
        <f t="shared" si="6"/>
        <v>25.157446808510638</v>
      </c>
      <c r="J17" s="44">
        <f>I17/H17</f>
        <v>49.403899721448475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0.30703442377592471</v>
      </c>
      <c r="G18" s="16">
        <f t="shared" ref="G18" si="7">G17/G16</f>
        <v>0.4740218088518281</v>
      </c>
      <c r="H18" s="16"/>
      <c r="I18" s="16"/>
      <c r="J18" s="16"/>
      <c r="K18" s="45"/>
    </row>
    <row r="19" spans="1:11" ht="16.5" thickTop="1" thickBot="1" x14ac:dyDescent="0.25">
      <c r="A19" s="1">
        <f>$A$7</f>
        <v>2034</v>
      </c>
      <c r="B19" s="3">
        <f>$B$7</f>
        <v>128</v>
      </c>
      <c r="C19" s="4">
        <f>$C$7</f>
        <v>705</v>
      </c>
      <c r="D19" s="4">
        <f>G19/$J$7</f>
        <v>2265.90625</v>
      </c>
      <c r="E19" s="4">
        <v>0</v>
      </c>
      <c r="F19" s="13">
        <f t="shared" ref="F19:F20" si="8">SUM(D19:E19)</f>
        <v>2265.90625</v>
      </c>
      <c r="G19" s="14">
        <v>72509</v>
      </c>
      <c r="H19" s="13">
        <f t="shared" ref="H19:H20" si="9">F19/C19</f>
        <v>3.2140514184397162</v>
      </c>
      <c r="I19" s="14">
        <f t="shared" ref="I19:I20" si="10">G19/C19</f>
        <v>102.84964539007092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2034</v>
      </c>
      <c r="B20" s="3">
        <f>$B$7</f>
        <v>128</v>
      </c>
      <c r="C20" s="4">
        <f>$C$7</f>
        <v>705</v>
      </c>
      <c r="D20" s="48">
        <v>4625</v>
      </c>
      <c r="E20" s="48">
        <v>0</v>
      </c>
      <c r="F20" s="4">
        <f t="shared" si="8"/>
        <v>4625</v>
      </c>
      <c r="G20" s="5">
        <v>118786</v>
      </c>
      <c r="H20" s="4">
        <f t="shared" si="9"/>
        <v>6.5602836879432624</v>
      </c>
      <c r="I20" s="5">
        <f t="shared" si="10"/>
        <v>168.49078014184397</v>
      </c>
      <c r="J20" s="44">
        <f>I20/H20</f>
        <v>25.68345945945946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2.0411259291949966</v>
      </c>
      <c r="G21" s="16">
        <f t="shared" ref="G21" si="11">G20/G19</f>
        <v>1.6382242204416004</v>
      </c>
      <c r="H21" s="16"/>
      <c r="I21" s="16"/>
      <c r="J21" s="45"/>
      <c r="K21" s="45"/>
    </row>
    <row r="22" spans="1:11" ht="16.5" thickTop="1" thickBot="1" x14ac:dyDescent="0.25">
      <c r="A22" s="1">
        <f>$A$7</f>
        <v>2034</v>
      </c>
      <c r="B22" s="3">
        <f>$B$7</f>
        <v>128</v>
      </c>
      <c r="C22" s="4">
        <f>$C$7</f>
        <v>705</v>
      </c>
      <c r="D22" s="4">
        <f>G22/$J$7</f>
        <v>7968.90625</v>
      </c>
      <c r="E22" s="4">
        <v>0</v>
      </c>
      <c r="F22" s="13">
        <f>SUM(D22:E22)</f>
        <v>7968.90625</v>
      </c>
      <c r="G22" s="14">
        <v>255005</v>
      </c>
      <c r="H22" s="13">
        <f>F22/C22</f>
        <v>11.303413120567376</v>
      </c>
      <c r="I22" s="14">
        <f>G22/C22</f>
        <v>361.70921985815602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2034</v>
      </c>
      <c r="B23" s="3">
        <f>$B$7</f>
        <v>128</v>
      </c>
      <c r="C23" s="4">
        <f>$C$7</f>
        <v>705</v>
      </c>
      <c r="D23" s="48">
        <v>10612</v>
      </c>
      <c r="E23" s="48">
        <v>0</v>
      </c>
      <c r="F23" s="4">
        <f>SUM(D23:E23)</f>
        <v>10612</v>
      </c>
      <c r="G23" s="5">
        <v>248837</v>
      </c>
      <c r="H23" s="4">
        <f>F23/C23</f>
        <v>15.052482269503546</v>
      </c>
      <c r="I23" s="5">
        <f>G23/C23</f>
        <v>352.96028368794327</v>
      </c>
      <c r="J23" s="44">
        <f>I23/H23</f>
        <v>23.448643045608744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1.3316758494931471</v>
      </c>
      <c r="G24" s="16">
        <f t="shared" ref="G24" si="12">G23/G22</f>
        <v>0.97581223897570635</v>
      </c>
      <c r="H24" s="16"/>
      <c r="I24" s="16"/>
      <c r="J24" s="17"/>
      <c r="K24" s="17"/>
    </row>
    <row r="25" spans="1:11" ht="16.5" thickTop="1" thickBot="1" x14ac:dyDescent="0.25">
      <c r="A25" s="1">
        <f>$A$7</f>
        <v>2034</v>
      </c>
      <c r="B25" s="3">
        <f>$B$7</f>
        <v>128</v>
      </c>
      <c r="C25" s="4">
        <v>695</v>
      </c>
      <c r="D25" s="4">
        <f>G25/$J$7</f>
        <v>1350.9375</v>
      </c>
      <c r="E25" s="4">
        <v>0</v>
      </c>
      <c r="F25" s="13">
        <f>SUM(D25:E25)</f>
        <v>1350.9375</v>
      </c>
      <c r="G25" s="14">
        <v>43230</v>
      </c>
      <c r="H25" s="13">
        <f>F25/C25</f>
        <v>1.9437949640287771</v>
      </c>
      <c r="I25" s="14">
        <f>G25/C25</f>
        <v>62.201438848920866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2034</v>
      </c>
      <c r="B26" s="3">
        <f>$B$7</f>
        <v>128</v>
      </c>
      <c r="C26" s="4">
        <f>C25</f>
        <v>695</v>
      </c>
      <c r="D26" s="48">
        <v>1469</v>
      </c>
      <c r="E26" s="48">
        <v>0</v>
      </c>
      <c r="F26" s="4">
        <f>SUM(D26:E26)</f>
        <v>1469</v>
      </c>
      <c r="G26" s="5">
        <v>37412</v>
      </c>
      <c r="H26" s="4">
        <f>F26/C26</f>
        <v>2.1136690647482013</v>
      </c>
      <c r="I26" s="5">
        <f>G26/C26</f>
        <v>53.830215827338129</v>
      </c>
      <c r="J26" s="44">
        <f>I26/H26</f>
        <v>25.467665078284551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1.0873930141105714</v>
      </c>
      <c r="G27" s="16">
        <f t="shared" ref="G27" si="13">G26/G25</f>
        <v>0.86541753411982425</v>
      </c>
      <c r="H27" s="16"/>
      <c r="I27" s="16"/>
      <c r="J27" s="17"/>
      <c r="K27" s="17"/>
    </row>
    <row r="28" spans="1:11" ht="16.5" thickTop="1" thickBot="1" x14ac:dyDescent="0.25">
      <c r="A28" s="1">
        <f>$A$7</f>
        <v>2034</v>
      </c>
      <c r="B28" s="3">
        <f>$B$7</f>
        <v>128</v>
      </c>
      <c r="C28" s="4">
        <f>$C$7</f>
        <v>705</v>
      </c>
      <c r="D28" s="4">
        <f>G28/$J$7</f>
        <v>2156.8125</v>
      </c>
      <c r="E28" s="4">
        <v>0</v>
      </c>
      <c r="F28" s="13">
        <f>SUM(D28:E28)</f>
        <v>2156.8125</v>
      </c>
      <c r="G28" s="14">
        <v>69018</v>
      </c>
      <c r="H28" s="13">
        <f>F28/C28</f>
        <v>3.059308510638298</v>
      </c>
      <c r="I28" s="14">
        <f>G28/C28</f>
        <v>97.897872340425536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2034</v>
      </c>
      <c r="B29" s="3">
        <f>$B$7</f>
        <v>128</v>
      </c>
      <c r="C29" s="4">
        <f>$C$7</f>
        <v>705</v>
      </c>
      <c r="D29" s="48">
        <v>4574</v>
      </c>
      <c r="E29" s="48">
        <v>0</v>
      </c>
      <c r="F29" s="4">
        <f>SUM(D29:E29)</f>
        <v>4574</v>
      </c>
      <c r="G29" s="5">
        <v>116695</v>
      </c>
      <c r="H29" s="4">
        <f>F29/C29</f>
        <v>6.4879432624113473</v>
      </c>
      <c r="I29" s="5">
        <f>G29/C29</f>
        <v>165.52482269503545</v>
      </c>
      <c r="J29" s="44">
        <f>I29/H29</f>
        <v>25.512680367293395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2.1207221304587209</v>
      </c>
      <c r="G30" s="16">
        <f t="shared" ref="G30" si="14">G29/G28</f>
        <v>1.6907908081949636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2034</v>
      </c>
      <c r="B33" s="3">
        <f>$B$7</f>
        <v>128</v>
      </c>
      <c r="C33" s="4">
        <f>$C$7</f>
        <v>705</v>
      </c>
      <c r="D33" s="13">
        <f>SUM(D28,D22,D19)</f>
        <v>12391.625</v>
      </c>
      <c r="E33" s="13">
        <v>0</v>
      </c>
      <c r="F33" s="13">
        <f t="shared" ref="F33" si="15">SUM(D33:E33)</f>
        <v>12391.625</v>
      </c>
      <c r="G33" s="14">
        <f>SUM(G28,G22,G19)</f>
        <v>396532</v>
      </c>
      <c r="H33" s="34">
        <f t="shared" ref="H33:H34" si="16">F33/C33</f>
        <v>17.576773049645389</v>
      </c>
      <c r="I33" s="39">
        <f t="shared" ref="I33:I34" si="17">G33/C33</f>
        <v>562.45673758865246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2034</v>
      </c>
      <c r="B34" s="3">
        <f>$B$7</f>
        <v>128</v>
      </c>
      <c r="C34" s="4">
        <f>$C$7</f>
        <v>705</v>
      </c>
      <c r="D34" s="4">
        <f>SUM(D29,D23,D20)</f>
        <v>19811</v>
      </c>
      <c r="E34" s="49">
        <v>0</v>
      </c>
      <c r="F34" s="4">
        <f>SUM(D34)</f>
        <v>19811</v>
      </c>
      <c r="G34" s="50">
        <f>SUM(G29,G23,G20)</f>
        <v>484318</v>
      </c>
      <c r="H34" s="41">
        <f t="shared" si="16"/>
        <v>28.100709219858157</v>
      </c>
      <c r="I34" s="42">
        <f t="shared" si="17"/>
        <v>686.97588652482273</v>
      </c>
      <c r="J34" s="43">
        <f>I34/H34</f>
        <v>24.446923426379286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1.2213844027720335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28.100709219858157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2.1136690647482013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30.693617021276594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2035</v>
      </c>
      <c r="B7" s="3">
        <v>92</v>
      </c>
      <c r="C7" s="4">
        <v>316</v>
      </c>
      <c r="D7" s="4">
        <f>G7/$J$7</f>
        <v>5789.8125</v>
      </c>
      <c r="E7" s="4">
        <v>0</v>
      </c>
      <c r="F7" s="4">
        <f t="shared" ref="F7" si="0">SUM(D7:E7)</f>
        <v>5789.8125</v>
      </c>
      <c r="G7" s="5">
        <f>SUM(G16,G19,G22,G25,G28)</f>
        <v>185274</v>
      </c>
      <c r="H7" s="9">
        <f t="shared" ref="H7" si="1">F7/C7</f>
        <v>18.322191455696203</v>
      </c>
      <c r="I7" s="11">
        <f t="shared" ref="I7:I8" si="2">G7/C7</f>
        <v>586.31012658227849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2035</v>
      </c>
      <c r="B8" s="3">
        <v>110</v>
      </c>
      <c r="C8" s="4">
        <f>C7</f>
        <v>316</v>
      </c>
      <c r="D8" s="4">
        <f>SUM(D17,D20,D23,D26,D29)</f>
        <v>5205</v>
      </c>
      <c r="E8" s="4">
        <v>0</v>
      </c>
      <c r="F8" s="4">
        <f>SUM(D8)</f>
        <v>5205</v>
      </c>
      <c r="G8" s="5">
        <f>SUM(G17,G20,G23,G26,G29)</f>
        <v>133453</v>
      </c>
      <c r="H8" s="58">
        <f>F8/C8</f>
        <v>16.471518987341771</v>
      </c>
      <c r="I8" s="42">
        <f t="shared" si="2"/>
        <v>422.31962025316454</v>
      </c>
      <c r="J8" s="43">
        <f>I8/H8</f>
        <v>25.639385206532182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0.89899284303248161</v>
      </c>
      <c r="G10" s="62">
        <f t="shared" ref="G10" si="3">G8/G7</f>
        <v>0.72030074376329112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584.8125</v>
      </c>
      <c r="G12" s="47">
        <f>G7-G8</f>
        <v>51821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2035</v>
      </c>
      <c r="B16" s="3">
        <f>$B$7</f>
        <v>92</v>
      </c>
      <c r="C16" s="4">
        <f>$C$7</f>
        <v>316</v>
      </c>
      <c r="D16" s="4">
        <f>G16/$J$7</f>
        <v>582.8125</v>
      </c>
      <c r="E16" s="4">
        <v>0</v>
      </c>
      <c r="F16" s="13">
        <f t="shared" ref="F16:F17" si="4">SUM(D16:E16)</f>
        <v>582.8125</v>
      </c>
      <c r="G16" s="14">
        <v>18650</v>
      </c>
      <c r="H16" s="13">
        <f t="shared" ref="H16:H17" si="5">F16/C16</f>
        <v>1.8443433544303798</v>
      </c>
      <c r="I16" s="14">
        <f t="shared" ref="I16:I17" si="6">G16/C16</f>
        <v>59.018987341772153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2035</v>
      </c>
      <c r="B17" s="3">
        <f>$B$7</f>
        <v>92</v>
      </c>
      <c r="C17" s="4">
        <f>$C$7</f>
        <v>316</v>
      </c>
      <c r="D17" s="48">
        <v>293</v>
      </c>
      <c r="E17" s="48">
        <v>0</v>
      </c>
      <c r="F17" s="4">
        <f t="shared" si="4"/>
        <v>293</v>
      </c>
      <c r="G17" s="5">
        <v>13767</v>
      </c>
      <c r="H17" s="4">
        <f t="shared" si="5"/>
        <v>0.92721518987341767</v>
      </c>
      <c r="I17" s="5">
        <f t="shared" si="6"/>
        <v>43.566455696202532</v>
      </c>
      <c r="J17" s="44">
        <f>I17/H17</f>
        <v>46.9863481228669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0.5027345844504022</v>
      </c>
      <c r="G18" s="16">
        <f t="shared" ref="G18" si="7">G17/G16</f>
        <v>0.73817694369973186</v>
      </c>
      <c r="H18" s="16"/>
      <c r="I18" s="16"/>
      <c r="J18" s="16"/>
      <c r="K18" s="45"/>
    </row>
    <row r="19" spans="1:11" ht="16.5" thickTop="1" thickBot="1" x14ac:dyDescent="0.25">
      <c r="A19" s="1">
        <f>$A$7</f>
        <v>2035</v>
      </c>
      <c r="B19" s="3">
        <f>$B$7</f>
        <v>92</v>
      </c>
      <c r="C19" s="4">
        <f>$C$7</f>
        <v>316</v>
      </c>
      <c r="D19" s="4">
        <f>G19/$J$7</f>
        <v>1058.125</v>
      </c>
      <c r="E19" s="4">
        <v>0</v>
      </c>
      <c r="F19" s="13">
        <f t="shared" ref="F19:F20" si="8">SUM(D19:E19)</f>
        <v>1058.125</v>
      </c>
      <c r="G19" s="14">
        <v>33860</v>
      </c>
      <c r="H19" s="13">
        <f t="shared" ref="H19:H20" si="9">F19/C19</f>
        <v>3.3484968354430378</v>
      </c>
      <c r="I19" s="14">
        <f t="shared" ref="I19:I20" si="10">G19/C19</f>
        <v>107.15189873417721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2035</v>
      </c>
      <c r="B20" s="3">
        <f>$B$7</f>
        <v>92</v>
      </c>
      <c r="C20" s="4">
        <f>$C$7</f>
        <v>316</v>
      </c>
      <c r="D20" s="48">
        <v>821</v>
      </c>
      <c r="E20" s="48">
        <v>0</v>
      </c>
      <c r="F20" s="4">
        <f t="shared" si="8"/>
        <v>821</v>
      </c>
      <c r="G20" s="5">
        <v>25028</v>
      </c>
      <c r="H20" s="4">
        <f t="shared" si="9"/>
        <v>2.5981012658227849</v>
      </c>
      <c r="I20" s="5">
        <f t="shared" si="10"/>
        <v>79.202531645569621</v>
      </c>
      <c r="J20" s="44">
        <f>I20/H20</f>
        <v>30.484774665042629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0.77590076786769047</v>
      </c>
      <c r="G21" s="16">
        <f t="shared" ref="G21" si="11">G20/G19</f>
        <v>0.73916125221500295</v>
      </c>
      <c r="H21" s="16"/>
      <c r="I21" s="16"/>
      <c r="J21" s="45"/>
      <c r="K21" s="45"/>
    </row>
    <row r="22" spans="1:11" ht="16.5" thickTop="1" thickBot="1" x14ac:dyDescent="0.25">
      <c r="A22" s="1">
        <f>$A$7</f>
        <v>2035</v>
      </c>
      <c r="B22" s="3">
        <f>$B$7</f>
        <v>92</v>
      </c>
      <c r="C22" s="4">
        <f>$C$7</f>
        <v>316</v>
      </c>
      <c r="D22" s="4">
        <f>G22/$J$7</f>
        <v>2603.75</v>
      </c>
      <c r="E22" s="4">
        <v>0</v>
      </c>
      <c r="F22" s="13">
        <f>SUM(D22:E22)</f>
        <v>2603.75</v>
      </c>
      <c r="G22" s="14">
        <v>83320</v>
      </c>
      <c r="H22" s="13">
        <f>F22/C22</f>
        <v>8.2397151898734169</v>
      </c>
      <c r="I22" s="14">
        <f>G22/C22</f>
        <v>263.67088607594934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2035</v>
      </c>
      <c r="B23" s="3">
        <f>$B$7</f>
        <v>92</v>
      </c>
      <c r="C23" s="4">
        <f>$C$7</f>
        <v>316</v>
      </c>
      <c r="D23" s="48">
        <v>2891</v>
      </c>
      <c r="E23" s="48">
        <v>0</v>
      </c>
      <c r="F23" s="4">
        <f>SUM(D23:E23)</f>
        <v>2891</v>
      </c>
      <c r="G23" s="5">
        <v>65658</v>
      </c>
      <c r="H23" s="4">
        <f>F23/C23</f>
        <v>9.1487341772151893</v>
      </c>
      <c r="I23" s="5">
        <f>G23/C23</f>
        <v>207.77848101265823</v>
      </c>
      <c r="J23" s="44">
        <f>I23/H23</f>
        <v>22.711172604635077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1.1103216514642342</v>
      </c>
      <c r="G24" s="16">
        <f t="shared" ref="G24" si="12">G23/G22</f>
        <v>0.78802208353336534</v>
      </c>
      <c r="H24" s="16"/>
      <c r="I24" s="16"/>
      <c r="J24" s="17"/>
      <c r="K24" s="17"/>
    </row>
    <row r="25" spans="1:11" ht="16.5" thickTop="1" thickBot="1" x14ac:dyDescent="0.25">
      <c r="A25" s="1">
        <f>$A$7</f>
        <v>2035</v>
      </c>
      <c r="B25" s="3">
        <f>$B$7</f>
        <v>92</v>
      </c>
      <c r="C25" s="4">
        <v>316</v>
      </c>
      <c r="D25" s="4">
        <f>G25/$J$7</f>
        <v>602.625</v>
      </c>
      <c r="E25" s="4">
        <v>0</v>
      </c>
      <c r="F25" s="13">
        <f>SUM(D25:E25)</f>
        <v>602.625</v>
      </c>
      <c r="G25" s="14">
        <v>19284</v>
      </c>
      <c r="H25" s="13">
        <f>F25/C25</f>
        <v>1.9070411392405062</v>
      </c>
      <c r="I25" s="14">
        <f>G25/C25</f>
        <v>61.025316455696199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2035</v>
      </c>
      <c r="B26" s="3">
        <f>$B$7</f>
        <v>92</v>
      </c>
      <c r="C26" s="4">
        <f>C25</f>
        <v>316</v>
      </c>
      <c r="D26" s="48">
        <v>590</v>
      </c>
      <c r="E26" s="48">
        <v>0</v>
      </c>
      <c r="F26" s="4">
        <f>SUM(D26:E26)</f>
        <v>590</v>
      </c>
      <c r="G26" s="5">
        <v>15449</v>
      </c>
      <c r="H26" s="4">
        <f>F26/C26</f>
        <v>1.8670886075949367</v>
      </c>
      <c r="I26" s="5">
        <f>G26/C26</f>
        <v>48.889240506329116</v>
      </c>
      <c r="J26" s="44">
        <f>I26/H26</f>
        <v>26.184745762711866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0.97904998962870771</v>
      </c>
      <c r="G27" s="16">
        <f t="shared" ref="G27" si="13">G26/G25</f>
        <v>0.80113047085666877</v>
      </c>
      <c r="H27" s="16"/>
      <c r="I27" s="16"/>
      <c r="J27" s="17"/>
      <c r="K27" s="17"/>
    </row>
    <row r="28" spans="1:11" ht="16.5" thickTop="1" thickBot="1" x14ac:dyDescent="0.25">
      <c r="A28" s="1">
        <f>$A$7</f>
        <v>2035</v>
      </c>
      <c r="B28" s="3">
        <f>$B$7</f>
        <v>92</v>
      </c>
      <c r="C28" s="4">
        <f>$C$7</f>
        <v>316</v>
      </c>
      <c r="D28" s="4">
        <f>G28/$J$7</f>
        <v>942.5</v>
      </c>
      <c r="E28" s="4">
        <v>0</v>
      </c>
      <c r="F28" s="13">
        <f>SUM(D28:E28)</f>
        <v>942.5</v>
      </c>
      <c r="G28" s="14">
        <v>30160</v>
      </c>
      <c r="H28" s="13">
        <f>F28/C28</f>
        <v>2.9825949367088609</v>
      </c>
      <c r="I28" s="14">
        <f>G28/C28</f>
        <v>95.443037974683548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2035</v>
      </c>
      <c r="B29" s="3">
        <f>$B$7</f>
        <v>92</v>
      </c>
      <c r="C29" s="4">
        <f>$C$7</f>
        <v>316</v>
      </c>
      <c r="D29" s="48">
        <v>610</v>
      </c>
      <c r="E29" s="48">
        <v>0</v>
      </c>
      <c r="F29" s="4">
        <f>SUM(D29:E29)</f>
        <v>610</v>
      </c>
      <c r="G29" s="5">
        <v>13551</v>
      </c>
      <c r="H29" s="4">
        <f>F29/C29</f>
        <v>1.9303797468354431</v>
      </c>
      <c r="I29" s="5">
        <f>G29/C29</f>
        <v>42.882911392405063</v>
      </c>
      <c r="J29" s="44">
        <f>I29/H29</f>
        <v>22.214754098360654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0.64721485411140589</v>
      </c>
      <c r="G30" s="16">
        <f t="shared" ref="G30" si="14">G29/G28</f>
        <v>0.44930371352785148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2035</v>
      </c>
      <c r="B33" s="3">
        <f>$B$7</f>
        <v>92</v>
      </c>
      <c r="C33" s="4">
        <f>$C$7</f>
        <v>316</v>
      </c>
      <c r="D33" s="13">
        <f>SUM(D28,D22,D19)</f>
        <v>4604.375</v>
      </c>
      <c r="E33" s="13">
        <v>0</v>
      </c>
      <c r="F33" s="13">
        <f t="shared" ref="F33" si="15">SUM(D33:E33)</f>
        <v>4604.375</v>
      </c>
      <c r="G33" s="14">
        <f>SUM(G28,G22,G19)</f>
        <v>147340</v>
      </c>
      <c r="H33" s="34">
        <f t="shared" ref="H33:H34" si="16">F33/C33</f>
        <v>14.570806962025317</v>
      </c>
      <c r="I33" s="39">
        <f t="shared" ref="I33:I34" si="17">G33/C33</f>
        <v>466.26582278481015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2035</v>
      </c>
      <c r="B34" s="3">
        <f>$B$7</f>
        <v>92</v>
      </c>
      <c r="C34" s="4">
        <f>$C$7</f>
        <v>316</v>
      </c>
      <c r="D34" s="4">
        <f>SUM(D29,D23,D20)</f>
        <v>4322</v>
      </c>
      <c r="E34" s="49">
        <v>0</v>
      </c>
      <c r="F34" s="4">
        <f>SUM(D34)</f>
        <v>4322</v>
      </c>
      <c r="G34" s="50">
        <f>SUM(G29,G23,G20)</f>
        <v>104237</v>
      </c>
      <c r="H34" s="41">
        <f t="shared" si="16"/>
        <v>13.677215189873417</v>
      </c>
      <c r="I34" s="42">
        <f t="shared" si="17"/>
        <v>329.86392405063293</v>
      </c>
      <c r="J34" s="43">
        <f>I34/H34</f>
        <v>24.117769551133737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0.70745893850956976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13.677215189873417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1.8670886075949367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16.471518987341771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2036</v>
      </c>
      <c r="B7" s="3">
        <v>31</v>
      </c>
      <c r="C7" s="4">
        <v>236</v>
      </c>
      <c r="D7" s="4">
        <f>G7/$J$7</f>
        <v>3516.5625</v>
      </c>
      <c r="E7" s="4">
        <v>0</v>
      </c>
      <c r="F7" s="4">
        <f t="shared" ref="F7" si="0">SUM(D7:E7)</f>
        <v>3516.5625</v>
      </c>
      <c r="G7" s="5">
        <f>SUM(G16,G19,G22,G25,G28)</f>
        <v>112530</v>
      </c>
      <c r="H7" s="9">
        <f t="shared" ref="H7" si="1">F7/C7</f>
        <v>14.900688559322035</v>
      </c>
      <c r="I7" s="11">
        <f t="shared" ref="I7:I8" si="2">G7/C7</f>
        <v>476.82203389830511</v>
      </c>
      <c r="J7" s="12">
        <v>32</v>
      </c>
      <c r="K7" s="37" t="s">
        <v>10</v>
      </c>
    </row>
    <row r="8" spans="1:11" ht="16.5" thickTop="1" thickBot="1" x14ac:dyDescent="0.25">
      <c r="A8" s="1">
        <f>A7</f>
        <v>2036</v>
      </c>
      <c r="B8" s="3">
        <f>B7</f>
        <v>31</v>
      </c>
      <c r="C8" s="4">
        <f>C7</f>
        <v>236</v>
      </c>
      <c r="D8" s="4">
        <f>SUM(D17,D20,D23,D26,D29)</f>
        <v>4100</v>
      </c>
      <c r="E8" s="4">
        <v>0</v>
      </c>
      <c r="F8" s="4">
        <f>SUM(D8)</f>
        <v>4100</v>
      </c>
      <c r="G8" s="5">
        <f>SUM(G17,G20,G23,G26,G29)</f>
        <v>112587</v>
      </c>
      <c r="H8" s="58">
        <f>F8/C8</f>
        <v>17.372881355932204</v>
      </c>
      <c r="I8" s="42">
        <f t="shared" si="2"/>
        <v>477.06355932203388</v>
      </c>
      <c r="J8" s="43">
        <f>I8/H8</f>
        <v>27.460243902439021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1.1659113125388785</v>
      </c>
      <c r="G10" s="62">
        <f t="shared" ref="G10" si="3">G8/G7</f>
        <v>1.0005065315915755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-583.4375</v>
      </c>
      <c r="G12" s="47">
        <f>G7-G8</f>
        <v>-57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2036</v>
      </c>
      <c r="B16" s="3">
        <f>$B$7</f>
        <v>31</v>
      </c>
      <c r="C16" s="4">
        <f>$C$7</f>
        <v>236</v>
      </c>
      <c r="D16" s="4">
        <f>G16/$J$7</f>
        <v>352.5</v>
      </c>
      <c r="E16" s="4">
        <v>0</v>
      </c>
      <c r="F16" s="13">
        <f t="shared" ref="F16:F17" si="4">SUM(D16:E16)</f>
        <v>352.5</v>
      </c>
      <c r="G16" s="14">
        <v>11280</v>
      </c>
      <c r="H16" s="13">
        <f t="shared" ref="H16:H17" si="5">F16/C16</f>
        <v>1.4936440677966101</v>
      </c>
      <c r="I16" s="14">
        <f t="shared" ref="I16:I17" si="6">G16/C16</f>
        <v>47.796610169491522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2036</v>
      </c>
      <c r="B17" s="3">
        <f>$B$7</f>
        <v>31</v>
      </c>
      <c r="C17" s="4">
        <f>$C$7</f>
        <v>236</v>
      </c>
      <c r="D17" s="48">
        <v>194</v>
      </c>
      <c r="E17" s="48">
        <v>0</v>
      </c>
      <c r="F17" s="4">
        <f t="shared" si="4"/>
        <v>194</v>
      </c>
      <c r="G17" s="5">
        <v>9516</v>
      </c>
      <c r="H17" s="4">
        <f t="shared" si="5"/>
        <v>0.82203389830508478</v>
      </c>
      <c r="I17" s="5">
        <f t="shared" si="6"/>
        <v>40.322033898305087</v>
      </c>
      <c r="J17" s="44">
        <f>I17/H17</f>
        <v>49.051546391752581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0.55035460992907803</v>
      </c>
      <c r="G18" s="16">
        <f t="shared" ref="G18" si="7">G17/G16</f>
        <v>0.84361702127659577</v>
      </c>
      <c r="H18" s="16"/>
      <c r="I18" s="16"/>
      <c r="J18" s="16"/>
      <c r="K18" s="45"/>
    </row>
    <row r="19" spans="1:11" ht="16.5" thickTop="1" thickBot="1" x14ac:dyDescent="0.25">
      <c r="A19" s="1">
        <f>$A$7</f>
        <v>2036</v>
      </c>
      <c r="B19" s="3">
        <f>$B$7</f>
        <v>31</v>
      </c>
      <c r="C19" s="4">
        <f>$C$7</f>
        <v>236</v>
      </c>
      <c r="D19" s="4">
        <f>G19/$J$7</f>
        <v>323.125</v>
      </c>
      <c r="E19" s="4">
        <v>0</v>
      </c>
      <c r="F19" s="13">
        <f t="shared" ref="F19:F20" si="8">SUM(D19:E19)</f>
        <v>323.125</v>
      </c>
      <c r="G19" s="14">
        <v>10340</v>
      </c>
      <c r="H19" s="13">
        <f t="shared" ref="H19:H20" si="9">F19/C19</f>
        <v>1.3691737288135593</v>
      </c>
      <c r="I19" s="14">
        <f t="shared" ref="I19:I20" si="10">G19/C19</f>
        <v>43.813559322033896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2036</v>
      </c>
      <c r="B20" s="3">
        <f>$B$7</f>
        <v>31</v>
      </c>
      <c r="C20" s="4">
        <f>$C$7</f>
        <v>236</v>
      </c>
      <c r="D20" s="48">
        <v>401</v>
      </c>
      <c r="E20" s="48">
        <v>0</v>
      </c>
      <c r="F20" s="4">
        <f t="shared" si="8"/>
        <v>401</v>
      </c>
      <c r="G20" s="5">
        <v>11914</v>
      </c>
      <c r="H20" s="4">
        <f t="shared" si="9"/>
        <v>1.6991525423728813</v>
      </c>
      <c r="I20" s="5">
        <f t="shared" si="10"/>
        <v>50.483050847457626</v>
      </c>
      <c r="J20" s="44">
        <f>I20/H20</f>
        <v>29.710723192019952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/>
      <c r="G21" s="16"/>
      <c r="H21" s="16"/>
      <c r="I21" s="16"/>
      <c r="J21" s="45"/>
      <c r="K21" s="45"/>
    </row>
    <row r="22" spans="1:11" ht="16.5" thickTop="1" thickBot="1" x14ac:dyDescent="0.25">
      <c r="A22" s="1">
        <f>$A$7</f>
        <v>2036</v>
      </c>
      <c r="B22" s="3">
        <f>$B$7</f>
        <v>31</v>
      </c>
      <c r="C22" s="4">
        <f>$C$7</f>
        <v>236</v>
      </c>
      <c r="D22" s="4">
        <f>G22/$J$7</f>
        <v>2083.4375</v>
      </c>
      <c r="E22" s="4">
        <v>0</v>
      </c>
      <c r="F22" s="13">
        <f>SUM(D22:E22)</f>
        <v>2083.4375</v>
      </c>
      <c r="G22" s="14">
        <v>66670</v>
      </c>
      <c r="H22" s="13">
        <f>F22/C22</f>
        <v>8.828125</v>
      </c>
      <c r="I22" s="14">
        <f>G22/C22</f>
        <v>282.5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2036</v>
      </c>
      <c r="B23" s="3">
        <f>$B$7</f>
        <v>31</v>
      </c>
      <c r="C23" s="4">
        <f>$C$7</f>
        <v>236</v>
      </c>
      <c r="D23" s="48">
        <v>2583</v>
      </c>
      <c r="E23" s="48">
        <v>0</v>
      </c>
      <c r="F23" s="4">
        <f>SUM(D23:E23)</f>
        <v>2583</v>
      </c>
      <c r="G23" s="5">
        <v>66605</v>
      </c>
      <c r="H23" s="4">
        <f>F23/C23</f>
        <v>10.944915254237289</v>
      </c>
      <c r="I23" s="5">
        <f>G23/C23</f>
        <v>282.22457627118644</v>
      </c>
      <c r="J23" s="44">
        <f>I23/H23</f>
        <v>25.785907859078588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1.239778011099445</v>
      </c>
      <c r="G24" s="16">
        <f t="shared" ref="G24" si="11">G23/G22</f>
        <v>0.99902504874756259</v>
      </c>
      <c r="H24" s="16"/>
      <c r="I24" s="16"/>
      <c r="J24" s="17"/>
      <c r="K24" s="17"/>
    </row>
    <row r="25" spans="1:11" ht="16.5" thickTop="1" thickBot="1" x14ac:dyDescent="0.25">
      <c r="A25" s="1">
        <f>$A$7</f>
        <v>2036</v>
      </c>
      <c r="B25" s="3">
        <f>$B$7</f>
        <v>31</v>
      </c>
      <c r="C25" s="4">
        <v>292</v>
      </c>
      <c r="D25" s="4">
        <f>G25/$J$7</f>
        <v>547.5</v>
      </c>
      <c r="E25" s="4">
        <v>0</v>
      </c>
      <c r="F25" s="13">
        <f>SUM(D25:E25)</f>
        <v>547.5</v>
      </c>
      <c r="G25" s="14">
        <v>17520</v>
      </c>
      <c r="H25" s="13">
        <f>F25/C25</f>
        <v>1.875</v>
      </c>
      <c r="I25" s="14">
        <f>G25/C25</f>
        <v>60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2036</v>
      </c>
      <c r="B26" s="3">
        <f>$B$7</f>
        <v>31</v>
      </c>
      <c r="C26" s="4">
        <f>C25</f>
        <v>292</v>
      </c>
      <c r="D26" s="48">
        <v>732</v>
      </c>
      <c r="E26" s="48">
        <v>0</v>
      </c>
      <c r="F26" s="4">
        <f>SUM(D26:E26)</f>
        <v>732</v>
      </c>
      <c r="G26" s="5">
        <v>18527</v>
      </c>
      <c r="H26" s="4">
        <f>F26/C26</f>
        <v>2.506849315068493</v>
      </c>
      <c r="I26" s="5">
        <f>G26/C26</f>
        <v>63.448630136986303</v>
      </c>
      <c r="J26" s="44">
        <f>I26/H26</f>
        <v>25.31010928961749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1.3369863013698631</v>
      </c>
      <c r="G27" s="16">
        <f t="shared" ref="G27" si="12">G26/G25</f>
        <v>1.0574771689497717</v>
      </c>
      <c r="H27" s="16"/>
      <c r="I27" s="16"/>
      <c r="J27" s="17"/>
      <c r="K27" s="17"/>
    </row>
    <row r="28" spans="1:11" ht="16.5" thickTop="1" thickBot="1" x14ac:dyDescent="0.25">
      <c r="A28" s="1">
        <f>$A$7</f>
        <v>2036</v>
      </c>
      <c r="B28" s="3">
        <f>$B$7</f>
        <v>31</v>
      </c>
      <c r="C28" s="4">
        <f>$C$7</f>
        <v>236</v>
      </c>
      <c r="D28" s="4">
        <f>G28/$J$7</f>
        <v>210</v>
      </c>
      <c r="E28" s="4">
        <v>0</v>
      </c>
      <c r="F28" s="13">
        <f>SUM(D28:E28)</f>
        <v>210</v>
      </c>
      <c r="G28" s="14">
        <v>6720</v>
      </c>
      <c r="H28" s="13">
        <f>F28/C28</f>
        <v>0.88983050847457623</v>
      </c>
      <c r="I28" s="14">
        <f>G28/C28</f>
        <v>28.474576271186439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2036</v>
      </c>
      <c r="B29" s="3">
        <f>$B$7</f>
        <v>31</v>
      </c>
      <c r="C29" s="4">
        <f>$C$7</f>
        <v>236</v>
      </c>
      <c r="D29" s="48">
        <v>190</v>
      </c>
      <c r="E29" s="48">
        <v>0</v>
      </c>
      <c r="F29" s="4">
        <f>SUM(D29:E29)</f>
        <v>190</v>
      </c>
      <c r="G29" s="5">
        <v>6025</v>
      </c>
      <c r="H29" s="4">
        <f>F29/C29</f>
        <v>0.80508474576271183</v>
      </c>
      <c r="I29" s="5">
        <f>G29/C29</f>
        <v>25.529661016949152</v>
      </c>
      <c r="J29" s="44">
        <f>I29/H29</f>
        <v>31.710526315789476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2036</v>
      </c>
      <c r="B33" s="3">
        <f>$B$7</f>
        <v>31</v>
      </c>
      <c r="C33" s="4">
        <f>$C$7</f>
        <v>236</v>
      </c>
      <c r="D33" s="13">
        <f>SUM(D28,D22,D19)</f>
        <v>2616.5625</v>
      </c>
      <c r="E33" s="13">
        <v>0</v>
      </c>
      <c r="F33" s="13">
        <f t="shared" ref="F33" si="13">SUM(D33:E33)</f>
        <v>2616.5625</v>
      </c>
      <c r="G33" s="14">
        <f>SUM(G28,G22,G19)</f>
        <v>83730</v>
      </c>
      <c r="H33" s="34">
        <f t="shared" ref="H33:H34" si="14">F33/C33</f>
        <v>11.087129237288135</v>
      </c>
      <c r="I33" s="39">
        <f t="shared" ref="I33:I34" si="15">G33/C33</f>
        <v>354.78813559322032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2036</v>
      </c>
      <c r="B34" s="3">
        <f>$B$7</f>
        <v>31</v>
      </c>
      <c r="C34" s="4">
        <f>$C$7</f>
        <v>236</v>
      </c>
      <c r="D34" s="4">
        <f>SUM(D29,D23,D20)</f>
        <v>3174</v>
      </c>
      <c r="E34" s="49">
        <v>0</v>
      </c>
      <c r="F34" s="4">
        <f>SUM(D34)</f>
        <v>3174</v>
      </c>
      <c r="G34" s="50">
        <f>SUM(G29,G23,G20)</f>
        <v>84544</v>
      </c>
      <c r="H34" s="41">
        <f t="shared" si="14"/>
        <v>13.449152542372881</v>
      </c>
      <c r="I34" s="42">
        <f t="shared" si="15"/>
        <v>358.23728813559325</v>
      </c>
      <c r="J34" s="43">
        <f>I34/H34</f>
        <v>26.6364209199748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1.2130419204586169</v>
      </c>
      <c r="G35" s="63">
        <f t="shared" ref="G35" si="16">G34/G33</f>
        <v>1.0097217245909471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13.449152542372881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2.506849315068493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17.372881355932204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2037</v>
      </c>
      <c r="B7" s="3">
        <v>122</v>
      </c>
      <c r="C7" s="4">
        <v>652</v>
      </c>
      <c r="D7" s="4">
        <f>G7/$J$7</f>
        <v>16585.9375</v>
      </c>
      <c r="E7" s="4">
        <v>0</v>
      </c>
      <c r="F7" s="4">
        <f t="shared" ref="F7" si="0">SUM(D7:E7)</f>
        <v>16585.9375</v>
      </c>
      <c r="G7" s="5">
        <f>SUM(G16,G19,G22,G25,G28)</f>
        <v>530750</v>
      </c>
      <c r="H7" s="9">
        <f t="shared" ref="H7" si="1">F7/C7</f>
        <v>25.438554447852759</v>
      </c>
      <c r="I7" s="11">
        <f t="shared" ref="I7:I8" si="2">G7/C7</f>
        <v>814.03374233128829</v>
      </c>
      <c r="J7" s="12">
        <v>32</v>
      </c>
      <c r="K7" s="37" t="s">
        <v>10</v>
      </c>
    </row>
    <row r="8" spans="1:11" ht="16.5" thickTop="1" thickBot="1" x14ac:dyDescent="0.25">
      <c r="A8" s="3">
        <v>2037</v>
      </c>
      <c r="B8" s="3">
        <f>B7</f>
        <v>122</v>
      </c>
      <c r="C8" s="4">
        <f>C7</f>
        <v>652</v>
      </c>
      <c r="D8" s="4">
        <f>SUM(D17,D20,D23,D26,D29)</f>
        <v>14795</v>
      </c>
      <c r="E8" s="4">
        <v>0</v>
      </c>
      <c r="F8" s="4">
        <f>SUM(D8)</f>
        <v>14795</v>
      </c>
      <c r="G8" s="5">
        <f>SUM(G17,G20,G23,G26,G29)</f>
        <v>439896</v>
      </c>
      <c r="H8" s="58">
        <f>F8/C8</f>
        <v>22.691717791411044</v>
      </c>
      <c r="I8" s="42">
        <f t="shared" si="2"/>
        <v>674.68711656441712</v>
      </c>
      <c r="J8" s="43">
        <f>I8/H8</f>
        <v>29.732747549847918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0.892020725388601</v>
      </c>
      <c r="G10" s="62">
        <f t="shared" ref="G10" si="3">G8/G7</f>
        <v>0.82881959491285917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1790.9375</v>
      </c>
      <c r="G12" s="47">
        <f>G7-G8</f>
        <v>90854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2037</v>
      </c>
      <c r="B16" s="3">
        <f>$B$7</f>
        <v>122</v>
      </c>
      <c r="C16" s="4">
        <f>$C$7</f>
        <v>652</v>
      </c>
      <c r="D16" s="4">
        <f>G16/$J$7</f>
        <v>997.96875</v>
      </c>
      <c r="E16" s="4">
        <v>0</v>
      </c>
      <c r="F16" s="13">
        <f t="shared" ref="F16:F17" si="4">SUM(D16:E16)</f>
        <v>997.96875</v>
      </c>
      <c r="G16" s="14">
        <v>31935</v>
      </c>
      <c r="H16" s="13">
        <f t="shared" ref="H16:H17" si="5">F16/C16</f>
        <v>1.5306269171779141</v>
      </c>
      <c r="I16" s="14">
        <f t="shared" ref="I16:I17" si="6">G16/C16</f>
        <v>48.980061349693251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2037</v>
      </c>
      <c r="B17" s="3">
        <f>$B$7</f>
        <v>122</v>
      </c>
      <c r="C17" s="4">
        <f>$C$7</f>
        <v>652</v>
      </c>
      <c r="D17" s="48">
        <v>422</v>
      </c>
      <c r="E17" s="48">
        <v>0</v>
      </c>
      <c r="F17" s="4">
        <f t="shared" si="4"/>
        <v>422</v>
      </c>
      <c r="G17" s="5">
        <v>22088</v>
      </c>
      <c r="H17" s="4">
        <f t="shared" si="5"/>
        <v>0.64723926380368102</v>
      </c>
      <c r="I17" s="5">
        <f t="shared" si="6"/>
        <v>33.877300613496935</v>
      </c>
      <c r="J17" s="44">
        <f>I17/H17</f>
        <v>52.341232227488149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0.42285893220604354</v>
      </c>
      <c r="G18" s="16">
        <f t="shared" ref="G18" si="7">G17/G16</f>
        <v>0.69165492406450602</v>
      </c>
      <c r="H18" s="16"/>
      <c r="I18" s="16"/>
      <c r="J18" s="16"/>
      <c r="K18" s="45"/>
    </row>
    <row r="19" spans="1:11" ht="16.5" thickTop="1" thickBot="1" x14ac:dyDescent="0.25">
      <c r="A19" s="1">
        <f>$A$7</f>
        <v>2037</v>
      </c>
      <c r="B19" s="3">
        <f>$B$7</f>
        <v>122</v>
      </c>
      <c r="C19" s="4">
        <f>$C$7</f>
        <v>652</v>
      </c>
      <c r="D19" s="4">
        <f>G19/$J$7</f>
        <v>2981.71875</v>
      </c>
      <c r="E19" s="4">
        <v>0</v>
      </c>
      <c r="F19" s="13">
        <f t="shared" ref="F19:F20" si="8">SUM(D19:E19)</f>
        <v>2981.71875</v>
      </c>
      <c r="G19" s="14">
        <v>95415</v>
      </c>
      <c r="H19" s="13">
        <f t="shared" ref="H19:H20" si="9">F19/C19</f>
        <v>4.5731882668711661</v>
      </c>
      <c r="I19" s="14">
        <f t="shared" ref="I19:I20" si="10">G19/C19</f>
        <v>146.34202453987731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2037</v>
      </c>
      <c r="B20" s="3">
        <f>$B$7</f>
        <v>122</v>
      </c>
      <c r="C20" s="4">
        <f>$C$7</f>
        <v>652</v>
      </c>
      <c r="D20" s="48">
        <v>2924</v>
      </c>
      <c r="E20" s="48">
        <v>0</v>
      </c>
      <c r="F20" s="4">
        <f t="shared" si="8"/>
        <v>2924</v>
      </c>
      <c r="G20" s="5">
        <v>85555</v>
      </c>
      <c r="H20" s="4">
        <f t="shared" si="9"/>
        <v>4.4846625766871169</v>
      </c>
      <c r="I20" s="5">
        <f t="shared" si="10"/>
        <v>131.21932515337423</v>
      </c>
      <c r="J20" s="44">
        <f>I20/H20</f>
        <v>29.25957592339261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0.98064245663679717</v>
      </c>
      <c r="G21" s="16">
        <f t="shared" ref="G21" si="11">G20/G19</f>
        <v>0.89666195042708174</v>
      </c>
      <c r="H21" s="16"/>
      <c r="I21" s="16"/>
      <c r="J21" s="45"/>
      <c r="K21" s="45"/>
    </row>
    <row r="22" spans="1:11" ht="16.5" thickTop="1" thickBot="1" x14ac:dyDescent="0.25">
      <c r="A22" s="1">
        <f>$A$7</f>
        <v>2037</v>
      </c>
      <c r="B22" s="3">
        <f>$B$7</f>
        <v>122</v>
      </c>
      <c r="C22" s="4">
        <f>$C$7</f>
        <v>652</v>
      </c>
      <c r="D22" s="4">
        <f>G22/$J$7</f>
        <v>8311.5625</v>
      </c>
      <c r="E22" s="4">
        <v>0</v>
      </c>
      <c r="F22" s="13">
        <f>SUM(D22:E22)</f>
        <v>8311.5625</v>
      </c>
      <c r="G22" s="14">
        <v>265970</v>
      </c>
      <c r="H22" s="13">
        <f>F22/C22</f>
        <v>12.747795245398773</v>
      </c>
      <c r="I22" s="14">
        <f>G22/C22</f>
        <v>407.92944785276075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2037</v>
      </c>
      <c r="B23" s="3">
        <f>$B$7</f>
        <v>122</v>
      </c>
      <c r="C23" s="4">
        <f>$C$7</f>
        <v>652</v>
      </c>
      <c r="D23" s="48">
        <v>8157</v>
      </c>
      <c r="E23" s="48">
        <v>0</v>
      </c>
      <c r="F23" s="4">
        <f>SUM(D23:E23)</f>
        <v>8157</v>
      </c>
      <c r="G23" s="5">
        <v>240637</v>
      </c>
      <c r="H23" s="4">
        <f>F23/C23</f>
        <v>12.510736196319018</v>
      </c>
      <c r="I23" s="5">
        <f>G23/C23</f>
        <v>369.07515337423314</v>
      </c>
      <c r="J23" s="44">
        <f>I23/H23</f>
        <v>29.500674267500308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0.98140391773508295</v>
      </c>
      <c r="G24" s="16">
        <f t="shared" ref="G24" si="12">G23/G22</f>
        <v>0.90475241568597964</v>
      </c>
      <c r="H24" s="16"/>
      <c r="I24" s="16"/>
      <c r="J24" s="17"/>
      <c r="K24" s="17"/>
    </row>
    <row r="25" spans="1:11" ht="16.5" thickTop="1" thickBot="1" x14ac:dyDescent="0.25">
      <c r="A25" s="1">
        <f>$A$7</f>
        <v>2037</v>
      </c>
      <c r="B25" s="3">
        <f>$B$7</f>
        <v>122</v>
      </c>
      <c r="C25" s="4">
        <v>648</v>
      </c>
      <c r="D25" s="4">
        <f>G25/$J$7</f>
        <v>1379.6875</v>
      </c>
      <c r="E25" s="4">
        <v>0</v>
      </c>
      <c r="F25" s="13">
        <f>SUM(D25:E25)</f>
        <v>1379.6875</v>
      </c>
      <c r="G25" s="14">
        <v>44150</v>
      </c>
      <c r="H25" s="13">
        <f>F25/C25</f>
        <v>2.1291473765432101</v>
      </c>
      <c r="I25" s="14">
        <f>G25/C25</f>
        <v>68.132716049382722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2037</v>
      </c>
      <c r="B26" s="3">
        <f>$B$7</f>
        <v>122</v>
      </c>
      <c r="C26" s="4">
        <f>C25</f>
        <v>648</v>
      </c>
      <c r="D26" s="48">
        <v>1644</v>
      </c>
      <c r="E26" s="48">
        <v>0</v>
      </c>
      <c r="F26" s="4">
        <f>SUM(D26:E26)</f>
        <v>1644</v>
      </c>
      <c r="G26" s="5">
        <v>41887</v>
      </c>
      <c r="H26" s="4">
        <f>F26/C26</f>
        <v>2.5370370370370372</v>
      </c>
      <c r="I26" s="5">
        <f>G26/C26</f>
        <v>64.64043209876543</v>
      </c>
      <c r="J26" s="44">
        <f>I26/H26</f>
        <v>25.478710462287101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1.1915741789354473</v>
      </c>
      <c r="G27" s="16">
        <f t="shared" ref="G27" si="13">G26/G25</f>
        <v>0.94874292185730469</v>
      </c>
      <c r="H27" s="16"/>
      <c r="I27" s="16"/>
      <c r="J27" s="17"/>
      <c r="K27" s="17"/>
    </row>
    <row r="28" spans="1:11" ht="16.5" thickTop="1" thickBot="1" x14ac:dyDescent="0.25">
      <c r="A28" s="1">
        <f>$A$7</f>
        <v>2037</v>
      </c>
      <c r="B28" s="3">
        <f>$B$7</f>
        <v>122</v>
      </c>
      <c r="C28" s="4">
        <f>$C$7</f>
        <v>652</v>
      </c>
      <c r="D28" s="4">
        <f>G28/$J$7</f>
        <v>2915</v>
      </c>
      <c r="E28" s="4">
        <v>0</v>
      </c>
      <c r="F28" s="13">
        <f>SUM(D28:E28)</f>
        <v>2915</v>
      </c>
      <c r="G28" s="14">
        <v>93280</v>
      </c>
      <c r="H28" s="13">
        <f>F28/C28</f>
        <v>4.4708588957055211</v>
      </c>
      <c r="I28" s="14">
        <f>G28/C28</f>
        <v>143.06748466257667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2037</v>
      </c>
      <c r="B29" s="3">
        <f>$B$7</f>
        <v>122</v>
      </c>
      <c r="C29" s="4">
        <f>$C$7</f>
        <v>652</v>
      </c>
      <c r="D29" s="48">
        <v>1648</v>
      </c>
      <c r="E29" s="48">
        <v>0</v>
      </c>
      <c r="F29" s="4">
        <f>SUM(D29:E29)</f>
        <v>1648</v>
      </c>
      <c r="G29" s="5">
        <v>49729</v>
      </c>
      <c r="H29" s="4">
        <f>F29/C29</f>
        <v>2.5276073619631902</v>
      </c>
      <c r="I29" s="5">
        <f>G29/C29</f>
        <v>76.271472392638032</v>
      </c>
      <c r="J29" s="44">
        <f>I29/H29</f>
        <v>30.175364077669901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2037</v>
      </c>
      <c r="B33" s="3">
        <f>$B$7</f>
        <v>122</v>
      </c>
      <c r="C33" s="4">
        <f>$C$7</f>
        <v>652</v>
      </c>
      <c r="D33" s="13">
        <f>SUM(D28,D22,D19)</f>
        <v>14208.28125</v>
      </c>
      <c r="E33" s="13">
        <v>0</v>
      </c>
      <c r="F33" s="13">
        <f t="shared" ref="F33" si="14">SUM(D33:E33)</f>
        <v>14208.28125</v>
      </c>
      <c r="G33" s="14">
        <f>SUM(G28,G22,G19)</f>
        <v>454665</v>
      </c>
      <c r="H33" s="34">
        <f t="shared" ref="H33:H34" si="15">F33/C33</f>
        <v>21.791842407975459</v>
      </c>
      <c r="I33" s="39">
        <f t="shared" ref="I33:I34" si="16">G33/C33</f>
        <v>697.33895705521468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2037</v>
      </c>
      <c r="B34" s="3">
        <f>$B$7</f>
        <v>122</v>
      </c>
      <c r="C34" s="4">
        <f>$C$7</f>
        <v>652</v>
      </c>
      <c r="D34" s="4">
        <f>SUM(D29,D23,D20)</f>
        <v>12729</v>
      </c>
      <c r="E34" s="49">
        <v>0</v>
      </c>
      <c r="F34" s="4">
        <f>SUM(D34)</f>
        <v>12729</v>
      </c>
      <c r="G34" s="50">
        <f>SUM(G29,G23,G20)</f>
        <v>375921</v>
      </c>
      <c r="H34" s="41">
        <f t="shared" si="15"/>
        <v>19.523006134969325</v>
      </c>
      <c r="I34" s="42">
        <f t="shared" si="16"/>
        <v>576.56595092024543</v>
      </c>
      <c r="J34" s="43">
        <f>I34/H34</f>
        <v>29.532641998585909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0.82680874929893433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19.523006134969325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2.5370370370370372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22.691717791411044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2038</v>
      </c>
      <c r="B7" s="3">
        <v>80</v>
      </c>
      <c r="C7" s="4">
        <v>436</v>
      </c>
      <c r="D7" s="4">
        <f>G7/$J$7</f>
        <v>9392.1875</v>
      </c>
      <c r="E7" s="4">
        <v>0</v>
      </c>
      <c r="F7" s="4">
        <f t="shared" ref="F7" si="0">SUM(D7:E7)</f>
        <v>9392.1875</v>
      </c>
      <c r="G7" s="5">
        <f>SUM(G16,G19,G22,G25,G28)</f>
        <v>300550</v>
      </c>
      <c r="H7" s="9">
        <f t="shared" ref="H7" si="1">F7/C7</f>
        <v>21.541714449541285</v>
      </c>
      <c r="I7" s="11">
        <f t="shared" ref="I7:I8" si="2">G7/C7</f>
        <v>689.33486238532112</v>
      </c>
      <c r="J7" s="12">
        <v>32</v>
      </c>
      <c r="K7" s="37" t="s">
        <v>10</v>
      </c>
    </row>
    <row r="8" spans="1:11" ht="16.5" thickTop="1" thickBot="1" x14ac:dyDescent="0.25">
      <c r="A8" s="3">
        <v>2049</v>
      </c>
      <c r="B8" s="3">
        <f>B7</f>
        <v>80</v>
      </c>
      <c r="C8" s="4">
        <f>C7</f>
        <v>436</v>
      </c>
      <c r="D8" s="4">
        <f>SUM(D17,D20,D23,D26,D29)</f>
        <v>11986</v>
      </c>
      <c r="E8" s="4">
        <v>0</v>
      </c>
      <c r="F8" s="4">
        <f>SUM(D8)</f>
        <v>11986</v>
      </c>
      <c r="G8" s="5">
        <f>SUM(G17,G20,G23,G26,G29)</f>
        <v>324107</v>
      </c>
      <c r="H8" s="58">
        <f>F8/C8</f>
        <v>27.490825688073393</v>
      </c>
      <c r="I8" s="42">
        <f t="shared" si="2"/>
        <v>743.36467889908261</v>
      </c>
      <c r="J8" s="43">
        <f>I8/H8</f>
        <v>27.040463874520277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1.2761670271169523</v>
      </c>
      <c r="G10" s="62">
        <f t="shared" ref="G10" si="3">G8/G7</f>
        <v>1.0783796373315588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-2593.8125</v>
      </c>
      <c r="G12" s="47">
        <f>G7-G8</f>
        <v>-23557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2038</v>
      </c>
      <c r="B16" s="3">
        <f>$B$7</f>
        <v>80</v>
      </c>
      <c r="C16" s="4">
        <f>$C$7</f>
        <v>436</v>
      </c>
      <c r="D16" s="4">
        <f>G16/$J$7</f>
        <v>631.5625</v>
      </c>
      <c r="E16" s="4">
        <v>0</v>
      </c>
      <c r="F16" s="13">
        <f t="shared" ref="F16:F17" si="4">SUM(D16:E16)</f>
        <v>631.5625</v>
      </c>
      <c r="G16" s="14">
        <v>20210</v>
      </c>
      <c r="H16" s="13">
        <f t="shared" ref="H16:H17" si="5">F16/C16</f>
        <v>1.4485378440366972</v>
      </c>
      <c r="I16" s="14">
        <f t="shared" ref="I16:I17" si="6">G16/C16</f>
        <v>46.353211009174309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2038</v>
      </c>
      <c r="B17" s="3">
        <f>$B$7</f>
        <v>80</v>
      </c>
      <c r="C17" s="4">
        <f>$C$7</f>
        <v>436</v>
      </c>
      <c r="D17" s="48">
        <v>260</v>
      </c>
      <c r="E17" s="48">
        <v>0</v>
      </c>
      <c r="F17" s="4">
        <f t="shared" si="4"/>
        <v>260</v>
      </c>
      <c r="G17" s="5">
        <v>13605</v>
      </c>
      <c r="H17" s="4">
        <f t="shared" si="5"/>
        <v>0.59633027522935778</v>
      </c>
      <c r="I17" s="5">
        <f t="shared" si="6"/>
        <v>31.204128440366972</v>
      </c>
      <c r="J17" s="44">
        <f>I17/H17</f>
        <v>52.32692307692308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0.41167738743196436</v>
      </c>
      <c r="G18" s="16">
        <f t="shared" ref="G18" si="7">G17/G16</f>
        <v>0.67318159327065807</v>
      </c>
      <c r="H18" s="16"/>
      <c r="I18" s="16"/>
      <c r="J18" s="16"/>
      <c r="K18" s="45"/>
    </row>
    <row r="19" spans="1:11" ht="16.5" thickTop="1" thickBot="1" x14ac:dyDescent="0.25">
      <c r="A19" s="1">
        <f>$A$7</f>
        <v>2038</v>
      </c>
      <c r="B19" s="3">
        <f>$B$7</f>
        <v>80</v>
      </c>
      <c r="C19" s="4">
        <f>$C$7</f>
        <v>436</v>
      </c>
      <c r="D19" s="4">
        <f>G19/$J$7</f>
        <v>1734.21875</v>
      </c>
      <c r="E19" s="4">
        <v>0</v>
      </c>
      <c r="F19" s="13">
        <f t="shared" ref="F19:F20" si="8">SUM(D19:E19)</f>
        <v>1734.21875</v>
      </c>
      <c r="G19" s="14">
        <v>55495</v>
      </c>
      <c r="H19" s="13">
        <f t="shared" ref="H19:H20" si="9">F19/C19</f>
        <v>3.9775659403669725</v>
      </c>
      <c r="I19" s="14">
        <f t="shared" ref="I19:I20" si="10">G19/C19</f>
        <v>127.28211009174312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2038</v>
      </c>
      <c r="B20" s="3">
        <f>$B$7</f>
        <v>80</v>
      </c>
      <c r="C20" s="4">
        <f>$C$7</f>
        <v>436</v>
      </c>
      <c r="D20" s="48">
        <v>2141</v>
      </c>
      <c r="E20" s="48">
        <v>0</v>
      </c>
      <c r="F20" s="4">
        <f t="shared" si="8"/>
        <v>2141</v>
      </c>
      <c r="G20" s="5">
        <v>59109</v>
      </c>
      <c r="H20" s="4">
        <f t="shared" si="9"/>
        <v>4.9105504587155959</v>
      </c>
      <c r="I20" s="5">
        <f t="shared" si="10"/>
        <v>135.57110091743118</v>
      </c>
      <c r="J20" s="44">
        <f>I20/H20</f>
        <v>27.608127043437644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1.2345616722227228</v>
      </c>
      <c r="G21" s="16">
        <f t="shared" ref="G21" si="11">G20/G19</f>
        <v>1.0651229840526173</v>
      </c>
      <c r="H21" s="16"/>
      <c r="I21" s="16"/>
      <c r="J21" s="45"/>
      <c r="K21" s="45"/>
    </row>
    <row r="22" spans="1:11" ht="16.5" thickTop="1" thickBot="1" x14ac:dyDescent="0.25">
      <c r="A22" s="1">
        <f>$A$7</f>
        <v>2038</v>
      </c>
      <c r="B22" s="3">
        <f>$B$7</f>
        <v>80</v>
      </c>
      <c r="C22" s="4">
        <f>$C$7</f>
        <v>436</v>
      </c>
      <c r="D22" s="4">
        <f>G22/$J$7</f>
        <v>4482.34375</v>
      </c>
      <c r="E22" s="4">
        <v>0</v>
      </c>
      <c r="F22" s="13">
        <f>SUM(D22:E22)</f>
        <v>4482.34375</v>
      </c>
      <c r="G22" s="14">
        <v>143435</v>
      </c>
      <c r="H22" s="13">
        <f>F22/C22</f>
        <v>10.280604931192661</v>
      </c>
      <c r="I22" s="14">
        <f>G22/C22</f>
        <v>328.97935779816515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2038</v>
      </c>
      <c r="B23" s="3">
        <f>$B$7</f>
        <v>80</v>
      </c>
      <c r="C23" s="4">
        <f>$C$7</f>
        <v>436</v>
      </c>
      <c r="D23" s="48">
        <v>7100</v>
      </c>
      <c r="E23" s="48">
        <v>0</v>
      </c>
      <c r="F23" s="4">
        <f>SUM(D23:E23)</f>
        <v>7100</v>
      </c>
      <c r="G23" s="5">
        <v>181998</v>
      </c>
      <c r="H23" s="4">
        <f>F23/C23</f>
        <v>16.284403669724771</v>
      </c>
      <c r="I23" s="5">
        <f>G23/C23</f>
        <v>417.42660550458714</v>
      </c>
      <c r="J23" s="44">
        <f>I23/H23</f>
        <v>25.633521126760563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1.5839927493289643</v>
      </c>
      <c r="G24" s="16">
        <f t="shared" ref="G24" si="12">G23/G22</f>
        <v>1.2688534876424862</v>
      </c>
      <c r="H24" s="16"/>
      <c r="I24" s="16"/>
      <c r="J24" s="17"/>
      <c r="K24" s="17"/>
    </row>
    <row r="25" spans="1:11" ht="16.5" thickTop="1" thickBot="1" x14ac:dyDescent="0.25">
      <c r="A25" s="1">
        <f>$A$7</f>
        <v>2038</v>
      </c>
      <c r="B25" s="3">
        <f>$B$7</f>
        <v>80</v>
      </c>
      <c r="C25" s="4">
        <v>431</v>
      </c>
      <c r="D25" s="4">
        <f>G25/$J$7</f>
        <v>814.0625</v>
      </c>
      <c r="E25" s="4">
        <v>0</v>
      </c>
      <c r="F25" s="13">
        <f>SUM(D25:E25)</f>
        <v>814.0625</v>
      </c>
      <c r="G25" s="14">
        <v>26050</v>
      </c>
      <c r="H25" s="13">
        <f>F25/C25</f>
        <v>1.888776102088167</v>
      </c>
      <c r="I25" s="14">
        <f>G25/C25</f>
        <v>60.440835266821345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2038</v>
      </c>
      <c r="B26" s="3">
        <f>$B$7</f>
        <v>80</v>
      </c>
      <c r="C26" s="4">
        <f>C25</f>
        <v>431</v>
      </c>
      <c r="D26" s="48">
        <v>873</v>
      </c>
      <c r="E26" s="48">
        <v>0</v>
      </c>
      <c r="F26" s="4">
        <f>SUM(D26:E26)</f>
        <v>873</v>
      </c>
      <c r="G26" s="5">
        <v>20959</v>
      </c>
      <c r="H26" s="4">
        <f>F26/C26</f>
        <v>2.0255220417633413</v>
      </c>
      <c r="I26" s="5">
        <f>G26/C26</f>
        <v>48.62877030162413</v>
      </c>
      <c r="J26" s="44">
        <f>I26/H26</f>
        <v>24.008018327605953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1.0723992322456815</v>
      </c>
      <c r="G27" s="16">
        <f t="shared" ref="G27" si="13">G26/G25</f>
        <v>0.80456813819577733</v>
      </c>
      <c r="H27" s="16"/>
      <c r="I27" s="16"/>
      <c r="J27" s="17"/>
      <c r="K27" s="17"/>
    </row>
    <row r="28" spans="1:11" ht="16.5" thickTop="1" thickBot="1" x14ac:dyDescent="0.25">
      <c r="A28" s="1">
        <f>$A$7</f>
        <v>2038</v>
      </c>
      <c r="B28" s="3">
        <f>$B$7</f>
        <v>80</v>
      </c>
      <c r="C28" s="4">
        <f>$C$7</f>
        <v>436</v>
      </c>
      <c r="D28" s="4">
        <f>G28/$J$7</f>
        <v>1730</v>
      </c>
      <c r="E28" s="4">
        <v>0</v>
      </c>
      <c r="F28" s="13">
        <f>SUM(D28:E28)</f>
        <v>1730</v>
      </c>
      <c r="G28" s="14">
        <v>55360</v>
      </c>
      <c r="H28" s="13">
        <f>F28/C28</f>
        <v>3.9678899082568808</v>
      </c>
      <c r="I28" s="14">
        <f>G28/C28</f>
        <v>126.97247706422019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2038</v>
      </c>
      <c r="B29" s="3">
        <f>$B$7</f>
        <v>80</v>
      </c>
      <c r="C29" s="4">
        <f>$C$7</f>
        <v>436</v>
      </c>
      <c r="D29" s="48">
        <v>1612</v>
      </c>
      <c r="E29" s="48">
        <v>0</v>
      </c>
      <c r="F29" s="4">
        <f>SUM(D29:E29)</f>
        <v>1612</v>
      </c>
      <c r="G29" s="5">
        <v>48436</v>
      </c>
      <c r="H29" s="4">
        <f>F29/C29</f>
        <v>3.6972477064220182</v>
      </c>
      <c r="I29" s="5">
        <f>G29/C29</f>
        <v>111.09174311926606</v>
      </c>
      <c r="J29" s="44">
        <f>I29/H29</f>
        <v>30.047146401985113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0.93179190751445085</v>
      </c>
      <c r="G30" s="16">
        <f t="shared" ref="G30" si="14">G29/G28</f>
        <v>0.87492774566473985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2038</v>
      </c>
      <c r="B33" s="3">
        <f>$B$7</f>
        <v>80</v>
      </c>
      <c r="C33" s="4">
        <f>$C$7</f>
        <v>436</v>
      </c>
      <c r="D33" s="13">
        <f>SUM(D28,D22,D19)</f>
        <v>7946.5625</v>
      </c>
      <c r="E33" s="13">
        <v>0</v>
      </c>
      <c r="F33" s="13">
        <f t="shared" ref="F33" si="15">SUM(D33:E33)</f>
        <v>7946.5625</v>
      </c>
      <c r="G33" s="14">
        <f>SUM(G28,G22,G19)</f>
        <v>254290</v>
      </c>
      <c r="H33" s="34">
        <f t="shared" ref="H33:H34" si="16">F33/C33</f>
        <v>18.226060779816514</v>
      </c>
      <c r="I33" s="39">
        <f t="shared" ref="I33:I34" si="17">G33/C33</f>
        <v>583.23394495412845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2038</v>
      </c>
      <c r="B34" s="3">
        <f>$B$7</f>
        <v>80</v>
      </c>
      <c r="C34" s="4">
        <f>$C$7</f>
        <v>436</v>
      </c>
      <c r="D34" s="4">
        <f>SUM(D29,D23,D20)</f>
        <v>10853</v>
      </c>
      <c r="E34" s="49">
        <v>0</v>
      </c>
      <c r="F34" s="4">
        <f>SUM(D34)</f>
        <v>10853</v>
      </c>
      <c r="G34" s="50">
        <f>SUM(G29,G23,G20)</f>
        <v>289543</v>
      </c>
      <c r="H34" s="41">
        <f t="shared" si="16"/>
        <v>24.892201834862384</v>
      </c>
      <c r="I34" s="42">
        <f t="shared" si="17"/>
        <v>664.08944954128435</v>
      </c>
      <c r="J34" s="43">
        <f>I34/H34</f>
        <v>26.678614208053073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1.1386330567462346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24.892201834862384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2.0255220417633413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27.490825688073393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2039</v>
      </c>
      <c r="B7" s="3">
        <v>102</v>
      </c>
      <c r="C7" s="4">
        <v>8</v>
      </c>
      <c r="D7" s="4">
        <f>G7/$J$7</f>
        <v>311.75</v>
      </c>
      <c r="E7" s="4">
        <v>0</v>
      </c>
      <c r="F7" s="4">
        <f t="shared" ref="F7" si="0">SUM(D7:E7)</f>
        <v>311.75</v>
      </c>
      <c r="G7" s="5">
        <f>SUM(G16,G19,G22,G25,G28)</f>
        <v>9976</v>
      </c>
      <c r="H7" s="9">
        <f t="shared" ref="H7" si="1">F7/C7</f>
        <v>38.96875</v>
      </c>
      <c r="I7" s="11">
        <f t="shared" ref="I7:I8" si="2">G7/C7</f>
        <v>1247</v>
      </c>
      <c r="J7" s="12">
        <v>32</v>
      </c>
      <c r="K7" s="37" t="s">
        <v>10</v>
      </c>
    </row>
    <row r="8" spans="1:11" ht="16.5" thickTop="1" thickBot="1" x14ac:dyDescent="0.25">
      <c r="A8" s="3">
        <f>A7</f>
        <v>2039</v>
      </c>
      <c r="B8" s="3">
        <v>158</v>
      </c>
      <c r="C8" s="4">
        <f>C7</f>
        <v>8</v>
      </c>
      <c r="D8" s="4">
        <f>SUM(D17,D20,D23,D26,D29)</f>
        <v>238</v>
      </c>
      <c r="E8" s="4">
        <v>0</v>
      </c>
      <c r="F8" s="4">
        <f>SUM(D8)</f>
        <v>238</v>
      </c>
      <c r="G8" s="5">
        <f>SUM(G17,G20,G23,G26,G29)</f>
        <v>8173</v>
      </c>
      <c r="H8" s="58">
        <f>F8/C8</f>
        <v>29.75</v>
      </c>
      <c r="I8" s="42">
        <f t="shared" si="2"/>
        <v>1021.625</v>
      </c>
      <c r="J8" s="43">
        <f>I8/H8</f>
        <v>34.340336134453779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0.76343223736968724</v>
      </c>
      <c r="G10" s="62">
        <f t="shared" ref="G10" si="3">G8/G7</f>
        <v>0.81926623897353645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73.75</v>
      </c>
      <c r="G12" s="47">
        <f>G7-G8</f>
        <v>1803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2039</v>
      </c>
      <c r="B16" s="3">
        <f>$B$7</f>
        <v>102</v>
      </c>
      <c r="C16" s="4">
        <f>$C$7</f>
        <v>8</v>
      </c>
      <c r="D16" s="4">
        <f>G16/$J$7</f>
        <v>70.5</v>
      </c>
      <c r="E16" s="4">
        <v>0</v>
      </c>
      <c r="F16" s="13">
        <f t="shared" ref="F16:F17" si="4">SUM(D16:E16)</f>
        <v>70.5</v>
      </c>
      <c r="G16" s="14">
        <v>2256</v>
      </c>
      <c r="H16" s="13">
        <f t="shared" ref="H16:H17" si="5">F16/C16</f>
        <v>8.8125</v>
      </c>
      <c r="I16" s="14">
        <f t="shared" ref="I16:I17" si="6">G16/C16</f>
        <v>282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2039</v>
      </c>
      <c r="B17" s="3">
        <f>$B$7</f>
        <v>102</v>
      </c>
      <c r="C17" s="4">
        <f>$C$7</f>
        <v>8</v>
      </c>
      <c r="D17" s="48">
        <v>10</v>
      </c>
      <c r="E17" s="48">
        <v>0</v>
      </c>
      <c r="F17" s="4">
        <f t="shared" si="4"/>
        <v>10</v>
      </c>
      <c r="G17" s="5">
        <v>501</v>
      </c>
      <c r="H17" s="4">
        <f t="shared" si="5"/>
        <v>1.25</v>
      </c>
      <c r="I17" s="5">
        <f t="shared" si="6"/>
        <v>62.625</v>
      </c>
      <c r="J17" s="44">
        <f>I17/H17</f>
        <v>50.1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0.14184397163120568</v>
      </c>
      <c r="G18" s="16">
        <f t="shared" ref="G18" si="7">G17/G16</f>
        <v>0.22207446808510639</v>
      </c>
      <c r="H18" s="16"/>
      <c r="I18" s="16"/>
      <c r="J18" s="16"/>
      <c r="K18" s="45"/>
    </row>
    <row r="19" spans="1:11" ht="16.5" thickTop="1" thickBot="1" x14ac:dyDescent="0.25">
      <c r="A19" s="1">
        <f>$A$7</f>
        <v>2039</v>
      </c>
      <c r="B19" s="3">
        <f>$B$7</f>
        <v>102</v>
      </c>
      <c r="C19" s="4">
        <f>$C$7</f>
        <v>8</v>
      </c>
      <c r="D19" s="4">
        <f>G19/$J$7</f>
        <v>11.25</v>
      </c>
      <c r="E19" s="4">
        <v>0</v>
      </c>
      <c r="F19" s="13">
        <f t="shared" ref="F19:F20" si="8">SUM(D19:E19)</f>
        <v>11.25</v>
      </c>
      <c r="G19" s="14">
        <v>360</v>
      </c>
      <c r="H19" s="13">
        <f t="shared" ref="H19:H20" si="9">F19/C19</f>
        <v>1.40625</v>
      </c>
      <c r="I19" s="14">
        <f t="shared" ref="I19:I20" si="10">G19/C19</f>
        <v>45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2039</v>
      </c>
      <c r="B20" s="3">
        <f>$B$7</f>
        <v>102</v>
      </c>
      <c r="C20" s="4">
        <f>$C$7</f>
        <v>8</v>
      </c>
      <c r="D20" s="48">
        <v>2</v>
      </c>
      <c r="E20" s="48">
        <v>0</v>
      </c>
      <c r="F20" s="4">
        <f t="shared" si="8"/>
        <v>2</v>
      </c>
      <c r="G20" s="5">
        <v>72</v>
      </c>
      <c r="H20" s="4">
        <f t="shared" si="9"/>
        <v>0.25</v>
      </c>
      <c r="I20" s="5">
        <f t="shared" si="10"/>
        <v>9</v>
      </c>
      <c r="J20" s="44">
        <f>I20/H20</f>
        <v>36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0.17777777777777778</v>
      </c>
      <c r="G21" s="16">
        <f t="shared" ref="G21" si="11">G20/G19</f>
        <v>0.2</v>
      </c>
      <c r="H21" s="16"/>
      <c r="I21" s="16"/>
      <c r="J21" s="45"/>
      <c r="K21" s="45"/>
    </row>
    <row r="22" spans="1:11" ht="16.5" thickTop="1" thickBot="1" x14ac:dyDescent="0.25">
      <c r="A22" s="1">
        <f>$A$7</f>
        <v>2039</v>
      </c>
      <c r="B22" s="3">
        <f>$B$7</f>
        <v>102</v>
      </c>
      <c r="C22" s="4">
        <f>$C$7</f>
        <v>8</v>
      </c>
      <c r="D22" s="4">
        <f>G22/$J$7</f>
        <v>0</v>
      </c>
      <c r="E22" s="4">
        <v>0</v>
      </c>
      <c r="F22" s="13">
        <f>SUM(D22:E22)</f>
        <v>0</v>
      </c>
      <c r="G22" s="14">
        <v>0</v>
      </c>
      <c r="H22" s="13">
        <f>F22/C22</f>
        <v>0</v>
      </c>
      <c r="I22" s="14">
        <f>G22/C22</f>
        <v>0</v>
      </c>
      <c r="J22" s="6" t="e">
        <f>I22/H22</f>
        <v>#DIV/0!</v>
      </c>
      <c r="K22" s="27" t="s">
        <v>10</v>
      </c>
    </row>
    <row r="23" spans="1:11" ht="16.5" thickTop="1" thickBot="1" x14ac:dyDescent="0.25">
      <c r="A23" s="1">
        <f>$A$7</f>
        <v>2039</v>
      </c>
      <c r="B23" s="3">
        <f>$B$7</f>
        <v>102</v>
      </c>
      <c r="C23" s="4">
        <f>$C$7</f>
        <v>8</v>
      </c>
      <c r="D23" s="48">
        <v>0</v>
      </c>
      <c r="E23" s="48">
        <v>0</v>
      </c>
      <c r="F23" s="4">
        <f>SUM(D23:E23)</f>
        <v>0</v>
      </c>
      <c r="G23" s="5">
        <v>0</v>
      </c>
      <c r="H23" s="4">
        <f>F23/C23</f>
        <v>0</v>
      </c>
      <c r="I23" s="5">
        <f>G23/C23</f>
        <v>0</v>
      </c>
      <c r="J23" s="44" t="e">
        <f>I23/H23</f>
        <v>#DIV/0!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 t="e">
        <f>F23/F22</f>
        <v>#DIV/0!</v>
      </c>
      <c r="G24" s="16">
        <v>0</v>
      </c>
      <c r="H24" s="16"/>
      <c r="I24" s="16"/>
      <c r="J24" s="17"/>
      <c r="K24" s="17"/>
    </row>
    <row r="25" spans="1:11" ht="16.5" thickTop="1" thickBot="1" x14ac:dyDescent="0.25">
      <c r="A25" s="1">
        <f>$A$7</f>
        <v>2039</v>
      </c>
      <c r="B25" s="3">
        <f>$B$7</f>
        <v>102</v>
      </c>
      <c r="C25" s="4">
        <v>1178</v>
      </c>
      <c r="D25" s="4">
        <f>G25/$J$7</f>
        <v>0</v>
      </c>
      <c r="E25" s="4">
        <v>0</v>
      </c>
      <c r="F25" s="13">
        <f>SUM(D25:E25)</f>
        <v>0</v>
      </c>
      <c r="G25" s="14">
        <v>0</v>
      </c>
      <c r="H25" s="13">
        <f>F25/C25</f>
        <v>0</v>
      </c>
      <c r="I25" s="14">
        <f>G25/C25</f>
        <v>0</v>
      </c>
      <c r="J25" s="6" t="e">
        <f>I25/H25</f>
        <v>#DIV/0!</v>
      </c>
      <c r="K25" s="27" t="s">
        <v>10</v>
      </c>
    </row>
    <row r="26" spans="1:11" ht="16.5" thickTop="1" thickBot="1" x14ac:dyDescent="0.25">
      <c r="A26" s="1">
        <f>$A$7</f>
        <v>2039</v>
      </c>
      <c r="B26" s="3">
        <f>$B$7</f>
        <v>102</v>
      </c>
      <c r="C26" s="4">
        <f>C25</f>
        <v>1178</v>
      </c>
      <c r="D26" s="48">
        <v>0</v>
      </c>
      <c r="E26" s="48">
        <v>0</v>
      </c>
      <c r="F26" s="4">
        <f>SUM(D26:E26)</f>
        <v>0</v>
      </c>
      <c r="G26" s="5">
        <v>0</v>
      </c>
      <c r="H26" s="4">
        <f>F26/C26</f>
        <v>0</v>
      </c>
      <c r="I26" s="5">
        <f>G26/C26</f>
        <v>0</v>
      </c>
      <c r="J26" s="44" t="e">
        <f>I26/H26</f>
        <v>#DIV/0!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 t="e">
        <f>F26/F25</f>
        <v>#DIV/0!</v>
      </c>
      <c r="G27" s="16" t="e">
        <f t="shared" ref="G27" si="12">G26/G25</f>
        <v>#DIV/0!</v>
      </c>
      <c r="H27" s="16"/>
      <c r="I27" s="16"/>
      <c r="J27" s="17"/>
      <c r="K27" s="17"/>
    </row>
    <row r="28" spans="1:11" ht="16.5" thickTop="1" thickBot="1" x14ac:dyDescent="0.25">
      <c r="A28" s="1">
        <f>$A$7</f>
        <v>2039</v>
      </c>
      <c r="B28" s="3">
        <f>$B$7</f>
        <v>102</v>
      </c>
      <c r="C28" s="4">
        <f>$C$7</f>
        <v>8</v>
      </c>
      <c r="D28" s="4">
        <f>G28/$J$7</f>
        <v>230</v>
      </c>
      <c r="E28" s="4">
        <v>0</v>
      </c>
      <c r="F28" s="13">
        <f>SUM(D28:E28)</f>
        <v>230</v>
      </c>
      <c r="G28" s="14">
        <v>7360</v>
      </c>
      <c r="H28" s="13">
        <f>F28/C28</f>
        <v>28.75</v>
      </c>
      <c r="I28" s="14">
        <f>G28/C28</f>
        <v>920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2039</v>
      </c>
      <c r="B29" s="3">
        <f>$B$7</f>
        <v>102</v>
      </c>
      <c r="C29" s="4">
        <f>$C$7</f>
        <v>8</v>
      </c>
      <c r="D29" s="48">
        <v>226</v>
      </c>
      <c r="E29" s="48">
        <v>0</v>
      </c>
      <c r="F29" s="4">
        <f>SUM(D29:E29)</f>
        <v>226</v>
      </c>
      <c r="G29" s="5">
        <v>7600</v>
      </c>
      <c r="H29" s="4">
        <f>F29/C29</f>
        <v>28.25</v>
      </c>
      <c r="I29" s="5">
        <f>G29/C29</f>
        <v>950</v>
      </c>
      <c r="J29" s="44">
        <f>I29/H29</f>
        <v>33.628318584070797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0.9826086956521739</v>
      </c>
      <c r="G30" s="16">
        <f t="shared" ref="G30" si="13">G29/G28</f>
        <v>1.0326086956521738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2039</v>
      </c>
      <c r="B33" s="3">
        <f>$B$7</f>
        <v>102</v>
      </c>
      <c r="C33" s="4">
        <f>$C$7</f>
        <v>8</v>
      </c>
      <c r="D33" s="13">
        <f>SUM(D28,D22,D19)</f>
        <v>241.25</v>
      </c>
      <c r="E33" s="13">
        <v>0</v>
      </c>
      <c r="F33" s="13">
        <f t="shared" ref="F33" si="14">SUM(D33:E33)</f>
        <v>241.25</v>
      </c>
      <c r="G33" s="14">
        <f>SUM(G28,G22,G19)</f>
        <v>7720</v>
      </c>
      <c r="H33" s="34">
        <f t="shared" ref="H33:H34" si="15">F33/C33</f>
        <v>30.15625</v>
      </c>
      <c r="I33" s="39">
        <f t="shared" ref="I33:I34" si="16">G33/C33</f>
        <v>965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2039</v>
      </c>
      <c r="B34" s="3">
        <f>$B$7</f>
        <v>102</v>
      </c>
      <c r="C34" s="4">
        <f>$C$7</f>
        <v>8</v>
      </c>
      <c r="D34" s="4">
        <f>SUM(D29,D23,D20)</f>
        <v>228</v>
      </c>
      <c r="E34" s="49">
        <v>0</v>
      </c>
      <c r="F34" s="4">
        <f>SUM(D34)</f>
        <v>228</v>
      </c>
      <c r="G34" s="50">
        <f>SUM(G29,G23,G20)</f>
        <v>7672</v>
      </c>
      <c r="H34" s="41">
        <f t="shared" si="15"/>
        <v>28.5</v>
      </c>
      <c r="I34" s="42">
        <f t="shared" si="16"/>
        <v>959</v>
      </c>
      <c r="J34" s="43">
        <f>I34/H34</f>
        <v>33.649122807017541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0.99378238341968916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28.5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0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29.75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2040</v>
      </c>
      <c r="B7" s="3">
        <v>55</v>
      </c>
      <c r="C7" s="4">
        <v>296</v>
      </c>
      <c r="D7" s="4">
        <f>G7/$J$7</f>
        <v>4905.15625</v>
      </c>
      <c r="E7" s="4">
        <v>0</v>
      </c>
      <c r="F7" s="4">
        <f t="shared" ref="F7" si="0">SUM(D7:E7)</f>
        <v>4905.15625</v>
      </c>
      <c r="G7" s="5">
        <f>SUM(G16,G19,G22,G25,G28)</f>
        <v>156965</v>
      </c>
      <c r="H7" s="9">
        <f t="shared" ref="H7" si="1">F7/C7</f>
        <v>16.571473817567568</v>
      </c>
      <c r="I7" s="11">
        <f t="shared" ref="I7:I8" si="2">G7/C7</f>
        <v>530.28716216216219</v>
      </c>
      <c r="J7" s="12">
        <v>32</v>
      </c>
      <c r="K7" s="37" t="s">
        <v>10</v>
      </c>
    </row>
    <row r="8" spans="1:11" ht="16.5" thickTop="1" thickBot="1" x14ac:dyDescent="0.25">
      <c r="A8" s="3">
        <v>2040</v>
      </c>
      <c r="B8" s="3">
        <f>B7</f>
        <v>55</v>
      </c>
      <c r="C8" s="4">
        <f>C7</f>
        <v>296</v>
      </c>
      <c r="D8" s="4">
        <f>SUM(D17,D20,D23,D26,D29)</f>
        <v>5454</v>
      </c>
      <c r="E8" s="4">
        <v>0</v>
      </c>
      <c r="F8" s="4">
        <f>SUM(D8)</f>
        <v>5454</v>
      </c>
      <c r="G8" s="5">
        <f>SUM(G17,G20,G23,G26,G29)</f>
        <v>146652</v>
      </c>
      <c r="H8" s="58">
        <f>F8/C8</f>
        <v>18.425675675675677</v>
      </c>
      <c r="I8" s="42">
        <f t="shared" si="2"/>
        <v>495.44594594594594</v>
      </c>
      <c r="J8" s="43">
        <f>I8/H8</f>
        <v>26.888888888888886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1.1118911859331697</v>
      </c>
      <c r="G10" s="62">
        <f t="shared" ref="G10" si="3">G8/G7</f>
        <v>0.93429745484662186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-548.84375</v>
      </c>
      <c r="G12" s="47">
        <f>G7-G8</f>
        <v>10313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2040</v>
      </c>
      <c r="B16" s="3">
        <f>$B$7</f>
        <v>55</v>
      </c>
      <c r="C16" s="4">
        <f>$C$7</f>
        <v>296</v>
      </c>
      <c r="D16" s="4">
        <f>G16/$J$7</f>
        <v>421.09375</v>
      </c>
      <c r="E16" s="4">
        <v>0</v>
      </c>
      <c r="F16" s="13">
        <f t="shared" ref="F16:F17" si="4">SUM(D16:E16)</f>
        <v>421.09375</v>
      </c>
      <c r="G16" s="14">
        <v>13475</v>
      </c>
      <c r="H16" s="13">
        <f t="shared" ref="H16:H17" si="5">F16/C16</f>
        <v>1.4226140202702702</v>
      </c>
      <c r="I16" s="14">
        <f t="shared" ref="I16:I17" si="6">G16/C16</f>
        <v>45.523648648648646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2040</v>
      </c>
      <c r="B17" s="3">
        <f>$B$7</f>
        <v>55</v>
      </c>
      <c r="C17" s="4">
        <f>$C$7</f>
        <v>296</v>
      </c>
      <c r="D17" s="48">
        <v>140</v>
      </c>
      <c r="E17" s="48">
        <v>0</v>
      </c>
      <c r="F17" s="4">
        <f t="shared" si="4"/>
        <v>140</v>
      </c>
      <c r="G17" s="5">
        <v>7237</v>
      </c>
      <c r="H17" s="4">
        <f t="shared" si="5"/>
        <v>0.47297297297297297</v>
      </c>
      <c r="I17" s="5">
        <f t="shared" si="6"/>
        <v>24.449324324324323</v>
      </c>
      <c r="J17" s="44">
        <f>I17/H17</f>
        <v>51.692857142857143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0.33246753246753247</v>
      </c>
      <c r="G18" s="16">
        <f t="shared" ref="G18" si="7">G17/G16</f>
        <v>0.53706864564007417</v>
      </c>
      <c r="H18" s="16"/>
      <c r="I18" s="16"/>
      <c r="J18" s="16"/>
      <c r="K18" s="45"/>
    </row>
    <row r="19" spans="1:11" ht="16.5" thickTop="1" thickBot="1" x14ac:dyDescent="0.25">
      <c r="A19" s="1">
        <f>$A$7</f>
        <v>2040</v>
      </c>
      <c r="B19" s="3">
        <f>$B$7</f>
        <v>55</v>
      </c>
      <c r="C19" s="4">
        <f>$C$7</f>
        <v>296</v>
      </c>
      <c r="D19" s="4">
        <f>G19/$J$7</f>
        <v>302.03125</v>
      </c>
      <c r="E19" s="4">
        <v>0</v>
      </c>
      <c r="F19" s="13">
        <f t="shared" ref="F19:F20" si="8">SUM(D19:E19)</f>
        <v>302.03125</v>
      </c>
      <c r="G19" s="14">
        <v>9665</v>
      </c>
      <c r="H19" s="13">
        <f t="shared" ref="H19:H20" si="9">F19/C19</f>
        <v>1.0203758445945945</v>
      </c>
      <c r="I19" s="14">
        <f t="shared" ref="I19:I20" si="10">G19/C19</f>
        <v>32.652027027027025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2040</v>
      </c>
      <c r="B20" s="3">
        <f>$B$7</f>
        <v>55</v>
      </c>
      <c r="C20" s="4">
        <f>$C$7</f>
        <v>296</v>
      </c>
      <c r="D20" s="48">
        <v>441</v>
      </c>
      <c r="E20" s="48">
        <v>0</v>
      </c>
      <c r="F20" s="4">
        <f t="shared" si="8"/>
        <v>441</v>
      </c>
      <c r="G20" s="5">
        <v>14102</v>
      </c>
      <c r="H20" s="4">
        <f t="shared" si="9"/>
        <v>1.4898648648648649</v>
      </c>
      <c r="I20" s="5">
        <f t="shared" si="10"/>
        <v>47.641891891891895</v>
      </c>
      <c r="J20" s="44">
        <f>I20/H20</f>
        <v>31.97732426303855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1.4601138127263322</v>
      </c>
      <c r="G21" s="16">
        <f t="shared" ref="G21" si="11">G20/G19</f>
        <v>1.4590791515778583</v>
      </c>
      <c r="H21" s="16"/>
      <c r="I21" s="16"/>
      <c r="J21" s="45"/>
      <c r="K21" s="45"/>
    </row>
    <row r="22" spans="1:11" ht="16.5" thickTop="1" thickBot="1" x14ac:dyDescent="0.25">
      <c r="A22" s="1">
        <f>$A$7</f>
        <v>2040</v>
      </c>
      <c r="B22" s="3">
        <f>$B$7</f>
        <v>55</v>
      </c>
      <c r="C22" s="4">
        <f>$C$7</f>
        <v>296</v>
      </c>
      <c r="D22" s="4">
        <f>G22/$J$7</f>
        <v>2372.1875</v>
      </c>
      <c r="E22" s="4">
        <v>0</v>
      </c>
      <c r="F22" s="13">
        <f>SUM(D22:E22)</f>
        <v>2372.1875</v>
      </c>
      <c r="G22" s="14">
        <v>75910</v>
      </c>
      <c r="H22" s="13">
        <f>F22/C22</f>
        <v>8.0141469594594597</v>
      </c>
      <c r="I22" s="14">
        <f>G22/C22</f>
        <v>256.45270270270271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2040</v>
      </c>
      <c r="B23" s="3">
        <f>$B$7</f>
        <v>55</v>
      </c>
      <c r="C23" s="4">
        <f>$C$7</f>
        <v>296</v>
      </c>
      <c r="D23" s="48">
        <v>3430</v>
      </c>
      <c r="E23" s="48">
        <v>0</v>
      </c>
      <c r="F23" s="4">
        <f>SUM(D23:E23)</f>
        <v>3430</v>
      </c>
      <c r="G23" s="5">
        <v>86788</v>
      </c>
      <c r="H23" s="4">
        <f>F23/C23</f>
        <v>11.587837837837839</v>
      </c>
      <c r="I23" s="5">
        <f>G23/C23</f>
        <v>293.20270270270271</v>
      </c>
      <c r="J23" s="44">
        <f>I23/H23</f>
        <v>25.302623906705538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1.4459228033197207</v>
      </c>
      <c r="G24" s="16">
        <f t="shared" ref="G24" si="12">G23/G22</f>
        <v>1.1433012778290081</v>
      </c>
      <c r="H24" s="16"/>
      <c r="I24" s="16"/>
      <c r="J24" s="17"/>
      <c r="K24" s="17"/>
    </row>
    <row r="25" spans="1:11" ht="16.5" thickTop="1" thickBot="1" x14ac:dyDescent="0.25">
      <c r="A25" s="1">
        <f>$A$7</f>
        <v>2040</v>
      </c>
      <c r="B25" s="3">
        <f>$B$7</f>
        <v>55</v>
      </c>
      <c r="C25" s="4">
        <v>281</v>
      </c>
      <c r="D25" s="4">
        <f>G25/$J$7</f>
        <v>528.75</v>
      </c>
      <c r="E25" s="4">
        <v>0</v>
      </c>
      <c r="F25" s="13">
        <f>SUM(D25:E25)</f>
        <v>528.75</v>
      </c>
      <c r="G25" s="14">
        <v>16920</v>
      </c>
      <c r="H25" s="13">
        <f>F25/C25</f>
        <v>1.8816725978647686</v>
      </c>
      <c r="I25" s="14">
        <f>G25/C25</f>
        <v>60.213523131672595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2040</v>
      </c>
      <c r="B26" s="3">
        <f>$B$7</f>
        <v>55</v>
      </c>
      <c r="C26" s="4">
        <f>C25</f>
        <v>281</v>
      </c>
      <c r="D26" s="48">
        <v>532</v>
      </c>
      <c r="E26" s="48">
        <v>0</v>
      </c>
      <c r="F26" s="4">
        <f>SUM(D26:E26)</f>
        <v>532</v>
      </c>
      <c r="G26" s="5">
        <v>13510</v>
      </c>
      <c r="H26" s="4">
        <f>F26/C26</f>
        <v>1.893238434163701</v>
      </c>
      <c r="I26" s="5">
        <f>G26/C26</f>
        <v>48.078291814946617</v>
      </c>
      <c r="J26" s="44">
        <f>I26/H26</f>
        <v>25.394736842105264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1.0061465721040188</v>
      </c>
      <c r="G27" s="16">
        <f t="shared" ref="G27" si="13">G26/G25</f>
        <v>0.79846335697399529</v>
      </c>
      <c r="H27" s="16"/>
      <c r="I27" s="16"/>
      <c r="J27" s="17"/>
      <c r="K27" s="17"/>
    </row>
    <row r="28" spans="1:11" ht="16.5" thickTop="1" thickBot="1" x14ac:dyDescent="0.25">
      <c r="A28" s="1">
        <f>$A$7</f>
        <v>2040</v>
      </c>
      <c r="B28" s="3">
        <f>$B$7</f>
        <v>55</v>
      </c>
      <c r="C28" s="4">
        <f>$C$7</f>
        <v>296</v>
      </c>
      <c r="D28" s="4">
        <f>G28/$J$7</f>
        <v>1281.09375</v>
      </c>
      <c r="E28" s="4">
        <v>0</v>
      </c>
      <c r="F28" s="13">
        <f>SUM(D28:E28)</f>
        <v>1281.09375</v>
      </c>
      <c r="G28" s="14">
        <v>40995</v>
      </c>
      <c r="H28" s="13">
        <f>F28/C28</f>
        <v>4.3280194256756754</v>
      </c>
      <c r="I28" s="14">
        <f>G28/C28</f>
        <v>138.49662162162161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2040</v>
      </c>
      <c r="B29" s="3">
        <f>$B$7</f>
        <v>55</v>
      </c>
      <c r="C29" s="4">
        <f>$C$7</f>
        <v>296</v>
      </c>
      <c r="D29" s="48">
        <v>911</v>
      </c>
      <c r="E29" s="48">
        <v>0</v>
      </c>
      <c r="F29" s="4">
        <f>SUM(D29:E29)</f>
        <v>911</v>
      </c>
      <c r="G29" s="5">
        <v>25015</v>
      </c>
      <c r="H29" s="4">
        <f>F29/C29</f>
        <v>3.0777027027027026</v>
      </c>
      <c r="I29" s="5">
        <f>G29/C29</f>
        <v>84.51013513513513</v>
      </c>
      <c r="J29" s="44">
        <f>I29/H29</f>
        <v>27.458836443468716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0.71111111111111114</v>
      </c>
      <c r="G30" s="16">
        <f t="shared" ref="G30" si="14">G29/G28</f>
        <v>0.61019636541041589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2040</v>
      </c>
      <c r="B33" s="3">
        <f>$B$7</f>
        <v>55</v>
      </c>
      <c r="C33" s="4">
        <f>$C$7</f>
        <v>296</v>
      </c>
      <c r="D33" s="13">
        <f>SUM(D28,D22,D19)</f>
        <v>3955.3125</v>
      </c>
      <c r="E33" s="13">
        <v>0</v>
      </c>
      <c r="F33" s="13">
        <f t="shared" ref="F33" si="15">SUM(D33:E33)</f>
        <v>3955.3125</v>
      </c>
      <c r="G33" s="14">
        <f>SUM(G28,G22,G19)</f>
        <v>126570</v>
      </c>
      <c r="H33" s="34">
        <f t="shared" ref="H33:H34" si="16">F33/C33</f>
        <v>13.36254222972973</v>
      </c>
      <c r="I33" s="39">
        <f t="shared" ref="I33:I34" si="17">G33/C33</f>
        <v>427.60135135135135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2040</v>
      </c>
      <c r="B34" s="3">
        <f>$B$7</f>
        <v>55</v>
      </c>
      <c r="C34" s="4">
        <f>$C$7</f>
        <v>296</v>
      </c>
      <c r="D34" s="4">
        <f>SUM(D29,D23,D20)</f>
        <v>4782</v>
      </c>
      <c r="E34" s="49">
        <v>0</v>
      </c>
      <c r="F34" s="4">
        <f>SUM(D34)</f>
        <v>4782</v>
      </c>
      <c r="G34" s="50">
        <f>SUM(G29,G23,G20)</f>
        <v>125905</v>
      </c>
      <c r="H34" s="41">
        <f t="shared" si="16"/>
        <v>16.155405405405407</v>
      </c>
      <c r="I34" s="42">
        <f t="shared" si="17"/>
        <v>425.35472972972974</v>
      </c>
      <c r="J34" s="43">
        <f>I34/H34</f>
        <v>26.328941865328314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0.99474599036106504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16.155405405405407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1.893238434163701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18.425675675675677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2041</v>
      </c>
      <c r="B7" s="3">
        <v>108</v>
      </c>
      <c r="C7" s="4">
        <v>564</v>
      </c>
      <c r="D7" s="4">
        <f>G7/$J$7</f>
        <v>14028.4375</v>
      </c>
      <c r="E7" s="4">
        <v>0</v>
      </c>
      <c r="F7" s="4">
        <f t="shared" ref="F7" si="0">SUM(D7:E7)</f>
        <v>14028.4375</v>
      </c>
      <c r="G7" s="5">
        <f>SUM(G16,G19,G22,G25,G28)</f>
        <v>448910</v>
      </c>
      <c r="H7" s="9">
        <f t="shared" ref="H7" si="1">F7/C7</f>
        <v>24.873116134751772</v>
      </c>
      <c r="I7" s="11">
        <f t="shared" ref="I7:I8" si="2">G7/C7</f>
        <v>795.9397163120567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2041</v>
      </c>
      <c r="B8" s="3">
        <f>B7</f>
        <v>108</v>
      </c>
      <c r="C8" s="4">
        <f>C7</f>
        <v>564</v>
      </c>
      <c r="D8" s="4">
        <f>SUM(D17,D20,D23,D26,D29)</f>
        <v>14565</v>
      </c>
      <c r="E8" s="4">
        <v>0</v>
      </c>
      <c r="F8" s="4">
        <f>SUM(D8)</f>
        <v>14565</v>
      </c>
      <c r="G8" s="5">
        <f>SUM(G17,G20,G23,G26,G29)</f>
        <v>467225</v>
      </c>
      <c r="H8" s="58">
        <f>F8/C8</f>
        <v>25.824468085106382</v>
      </c>
      <c r="I8" s="42">
        <f t="shared" si="2"/>
        <v>828.41312056737593</v>
      </c>
      <c r="J8" s="43">
        <f>I8/H8</f>
        <v>32.078613113628563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1.0382482011984584</v>
      </c>
      <c r="G10" s="62">
        <f t="shared" ref="G10" si="3">G8/G7</f>
        <v>1.0407988238176917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-536.5625</v>
      </c>
      <c r="G12" s="47">
        <f>G7-G8</f>
        <v>-18315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2041</v>
      </c>
      <c r="B16" s="3">
        <f>$B$7</f>
        <v>108</v>
      </c>
      <c r="C16" s="4">
        <f>$C$7</f>
        <v>564</v>
      </c>
      <c r="D16" s="4">
        <f>G16/$J$7</f>
        <v>795.625</v>
      </c>
      <c r="E16" s="4">
        <v>0</v>
      </c>
      <c r="F16" s="13">
        <f t="shared" ref="F16:F17" si="4">SUM(D16:E16)</f>
        <v>795.625</v>
      </c>
      <c r="G16" s="14">
        <v>25460</v>
      </c>
      <c r="H16" s="13">
        <f t="shared" ref="H16:H17" si="5">F16/C16</f>
        <v>1.4106826241134751</v>
      </c>
      <c r="I16" s="14">
        <f t="shared" ref="I16:I17" si="6">G16/C16</f>
        <v>45.141843971631204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2041</v>
      </c>
      <c r="B17" s="3">
        <f>$B$7</f>
        <v>108</v>
      </c>
      <c r="C17" s="4">
        <f>$C$7</f>
        <v>564</v>
      </c>
      <c r="D17" s="48">
        <v>397</v>
      </c>
      <c r="E17" s="48">
        <v>0</v>
      </c>
      <c r="F17" s="4">
        <f t="shared" si="4"/>
        <v>397</v>
      </c>
      <c r="G17" s="5">
        <v>22176</v>
      </c>
      <c r="H17" s="4">
        <f t="shared" si="5"/>
        <v>0.70390070921985815</v>
      </c>
      <c r="I17" s="5">
        <f t="shared" si="6"/>
        <v>39.319148936170215</v>
      </c>
      <c r="J17" s="44">
        <f>I17/H17</f>
        <v>55.858942065491192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0.49897879025923014</v>
      </c>
      <c r="G18" s="16">
        <f t="shared" ref="G18" si="7">G17/G16</f>
        <v>0.8710133542812255</v>
      </c>
      <c r="H18" s="16"/>
      <c r="I18" s="16"/>
      <c r="J18" s="16"/>
      <c r="K18" s="45"/>
    </row>
    <row r="19" spans="1:11" ht="16.5" thickTop="1" thickBot="1" x14ac:dyDescent="0.25">
      <c r="A19" s="1">
        <f>$A$7</f>
        <v>2041</v>
      </c>
      <c r="B19" s="3">
        <f>$B$7</f>
        <v>108</v>
      </c>
      <c r="C19" s="4">
        <f>$C$7</f>
        <v>564</v>
      </c>
      <c r="D19" s="4">
        <f>G19/$J$7</f>
        <v>4614.375</v>
      </c>
      <c r="E19" s="4">
        <v>0</v>
      </c>
      <c r="F19" s="13">
        <f t="shared" ref="F19:F20" si="8">SUM(D19:E19)</f>
        <v>4614.375</v>
      </c>
      <c r="G19" s="14">
        <v>147660</v>
      </c>
      <c r="H19" s="13">
        <f t="shared" ref="H19:H20" si="9">F19/C19</f>
        <v>8.181515957446809</v>
      </c>
      <c r="I19" s="14">
        <f t="shared" ref="I19:I20" si="10">G19/C19</f>
        <v>261.80851063829789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2041</v>
      </c>
      <c r="B20" s="3">
        <f>$B$7</f>
        <v>108</v>
      </c>
      <c r="C20" s="4">
        <f>$C$7</f>
        <v>564</v>
      </c>
      <c r="D20" s="48">
        <v>4339</v>
      </c>
      <c r="E20" s="48">
        <v>0</v>
      </c>
      <c r="F20" s="4">
        <f t="shared" si="8"/>
        <v>4339</v>
      </c>
      <c r="G20" s="5">
        <v>145643</v>
      </c>
      <c r="H20" s="4">
        <f t="shared" si="9"/>
        <v>7.6932624113475176</v>
      </c>
      <c r="I20" s="5">
        <f t="shared" si="10"/>
        <v>258.23226950354609</v>
      </c>
      <c r="J20" s="44">
        <f>I20/H20</f>
        <v>33.566029038949068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0.94032236218339427</v>
      </c>
      <c r="G21" s="16">
        <f t="shared" ref="G21" si="11">G20/G19</f>
        <v>0.9863402410944061</v>
      </c>
      <c r="H21" s="16"/>
      <c r="I21" s="16"/>
      <c r="J21" s="45"/>
      <c r="K21" s="45"/>
    </row>
    <row r="22" spans="1:11" ht="16.5" thickTop="1" thickBot="1" x14ac:dyDescent="0.25">
      <c r="A22" s="1">
        <f>$A$7</f>
        <v>2041</v>
      </c>
      <c r="B22" s="3">
        <f>$B$7</f>
        <v>108</v>
      </c>
      <c r="C22" s="4">
        <f>$C$7</f>
        <v>564</v>
      </c>
      <c r="D22" s="4">
        <f>G22/$J$7</f>
        <v>4716.25</v>
      </c>
      <c r="E22" s="4">
        <v>0</v>
      </c>
      <c r="F22" s="13">
        <f>SUM(D22:E22)</f>
        <v>4716.25</v>
      </c>
      <c r="G22" s="14">
        <v>150920</v>
      </c>
      <c r="H22" s="13">
        <f>F22/C22</f>
        <v>8.3621453900709213</v>
      </c>
      <c r="I22" s="14">
        <f>G22/C22</f>
        <v>267.58865248226948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2041</v>
      </c>
      <c r="B23" s="3">
        <f>$B$7</f>
        <v>108</v>
      </c>
      <c r="C23" s="4">
        <f>$C$7</f>
        <v>564</v>
      </c>
      <c r="D23" s="48">
        <v>6131</v>
      </c>
      <c r="E23" s="48">
        <v>0</v>
      </c>
      <c r="F23" s="4">
        <f>SUM(D23:E23)</f>
        <v>6131</v>
      </c>
      <c r="G23" s="5">
        <v>187352</v>
      </c>
      <c r="H23" s="4">
        <f>F23/C23</f>
        <v>10.870567375886525</v>
      </c>
      <c r="I23" s="5">
        <f>G23/C23</f>
        <v>332.18439716312059</v>
      </c>
      <c r="J23" s="44">
        <f>I23/H23</f>
        <v>30.55814712118741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1.2999734958918632</v>
      </c>
      <c r="G24" s="16">
        <f t="shared" ref="G24" si="12">G23/G22</f>
        <v>1.241399416909621</v>
      </c>
      <c r="H24" s="16"/>
      <c r="I24" s="16"/>
      <c r="J24" s="17"/>
      <c r="K24" s="17"/>
    </row>
    <row r="25" spans="1:11" ht="16.5" thickTop="1" thickBot="1" x14ac:dyDescent="0.25">
      <c r="A25" s="1">
        <f>$A$7</f>
        <v>2041</v>
      </c>
      <c r="B25" s="3">
        <f>$B$7</f>
        <v>108</v>
      </c>
      <c r="C25" s="4">
        <v>559</v>
      </c>
      <c r="D25" s="4">
        <f>G25/$J$7</f>
        <v>1356.875</v>
      </c>
      <c r="E25" s="4">
        <v>0</v>
      </c>
      <c r="F25" s="13">
        <f>SUM(D25:E25)</f>
        <v>1356.875</v>
      </c>
      <c r="G25" s="14">
        <v>43420</v>
      </c>
      <c r="H25" s="13">
        <f>F25/C25</f>
        <v>2.4273255813953489</v>
      </c>
      <c r="I25" s="14">
        <f>G25/C25</f>
        <v>77.674418604651166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2041</v>
      </c>
      <c r="B26" s="3">
        <f>$B$7</f>
        <v>108</v>
      </c>
      <c r="C26" s="4">
        <f>C25</f>
        <v>559</v>
      </c>
      <c r="D26" s="48">
        <v>1290</v>
      </c>
      <c r="E26" s="48">
        <v>0</v>
      </c>
      <c r="F26" s="4">
        <f>SUM(D26:E26)</f>
        <v>1290</v>
      </c>
      <c r="G26" s="5">
        <v>33336</v>
      </c>
      <c r="H26" s="4">
        <f>F26/C26</f>
        <v>2.3076923076923075</v>
      </c>
      <c r="I26" s="5">
        <f>G26/C26</f>
        <v>59.635062611806795</v>
      </c>
      <c r="J26" s="44">
        <f>I26/H26</f>
        <v>25.84186046511628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0.95071395670198067</v>
      </c>
      <c r="G27" s="16">
        <f t="shared" ref="G27" si="13">G26/G25</f>
        <v>0.76775679410409947</v>
      </c>
      <c r="H27" s="16"/>
      <c r="I27" s="16"/>
      <c r="J27" s="17"/>
      <c r="K27" s="17"/>
    </row>
    <row r="28" spans="1:11" ht="16.5" thickTop="1" thickBot="1" x14ac:dyDescent="0.25">
      <c r="A28" s="1">
        <f>$A$7</f>
        <v>2041</v>
      </c>
      <c r="B28" s="3">
        <f>$B$7</f>
        <v>108</v>
      </c>
      <c r="C28" s="4">
        <f>$C$7</f>
        <v>564</v>
      </c>
      <c r="D28" s="4">
        <f>G28/$J$7</f>
        <v>2545.3125</v>
      </c>
      <c r="E28" s="4">
        <v>0</v>
      </c>
      <c r="F28" s="13">
        <f>SUM(D28:E28)</f>
        <v>2545.3125</v>
      </c>
      <c r="G28" s="14">
        <v>81450</v>
      </c>
      <c r="H28" s="13">
        <f>F28/C28</f>
        <v>4.5129654255319149</v>
      </c>
      <c r="I28" s="14">
        <f>G28/C28</f>
        <v>144.41489361702128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2041</v>
      </c>
      <c r="B29" s="3">
        <f>$B$7</f>
        <v>108</v>
      </c>
      <c r="C29" s="4">
        <f>$C$7</f>
        <v>564</v>
      </c>
      <c r="D29" s="48">
        <v>2408</v>
      </c>
      <c r="E29" s="48">
        <v>0</v>
      </c>
      <c r="F29" s="4">
        <f>SUM(D29:E29)</f>
        <v>2408</v>
      </c>
      <c r="G29" s="5">
        <v>78718</v>
      </c>
      <c r="H29" s="4">
        <f>F29/C29</f>
        <v>4.2695035460992905</v>
      </c>
      <c r="I29" s="5">
        <f>G29/C29</f>
        <v>139.5709219858156</v>
      </c>
      <c r="J29" s="44">
        <f>I29/H29</f>
        <v>32.690199335548172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0.94605279312461632</v>
      </c>
      <c r="G30" s="16">
        <f t="shared" ref="G30" si="14">G29/G28</f>
        <v>0.96645794966236953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2041</v>
      </c>
      <c r="B33" s="3">
        <f>$B$7</f>
        <v>108</v>
      </c>
      <c r="C33" s="4">
        <f>$C$7</f>
        <v>564</v>
      </c>
      <c r="D33" s="13">
        <f>SUM(D28,D22,D19)</f>
        <v>11875.9375</v>
      </c>
      <c r="E33" s="13">
        <v>0</v>
      </c>
      <c r="F33" s="13">
        <f t="shared" ref="F33" si="15">SUM(D33:E33)</f>
        <v>11875.9375</v>
      </c>
      <c r="G33" s="14">
        <f>SUM(G28,G22,G19)</f>
        <v>380030</v>
      </c>
      <c r="H33" s="34">
        <f t="shared" ref="H33:H34" si="16">F33/C33</f>
        <v>21.056626773049647</v>
      </c>
      <c r="I33" s="39">
        <f t="shared" ref="I33:I34" si="17">G33/C33</f>
        <v>673.8120567375887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2041</v>
      </c>
      <c r="B34" s="3">
        <f>$B$7</f>
        <v>108</v>
      </c>
      <c r="C34" s="4">
        <f>$C$7</f>
        <v>564</v>
      </c>
      <c r="D34" s="4">
        <f>SUM(D29,D23,D20)</f>
        <v>12878</v>
      </c>
      <c r="E34" s="49">
        <v>0</v>
      </c>
      <c r="F34" s="4">
        <f>SUM(D34)</f>
        <v>12878</v>
      </c>
      <c r="G34" s="50">
        <f>SUM(G29,G23,G20)</f>
        <v>411713</v>
      </c>
      <c r="H34" s="41">
        <f t="shared" si="16"/>
        <v>22.833333333333332</v>
      </c>
      <c r="I34" s="42">
        <f t="shared" si="17"/>
        <v>729.98758865248226</v>
      </c>
      <c r="J34" s="43">
        <f>I34/H34</f>
        <v>31.97025935704302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1.083369733968371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22.833333333333332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2.3076923076923075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25.824468085106382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2042</v>
      </c>
      <c r="B7" s="3">
        <v>72</v>
      </c>
      <c r="C7" s="4">
        <v>398</v>
      </c>
      <c r="D7" s="4">
        <f>G7/$J$7</f>
        <v>6726.34375</v>
      </c>
      <c r="E7" s="4">
        <v>0</v>
      </c>
      <c r="F7" s="4">
        <f t="shared" ref="F7" si="0">SUM(D7:E7)</f>
        <v>6726.34375</v>
      </c>
      <c r="G7" s="5">
        <f>SUM(G16,G19,G22,G25,G28)</f>
        <v>215243</v>
      </c>
      <c r="H7" s="9">
        <f t="shared" ref="H7" si="1">F7/C7</f>
        <v>16.900361180904522</v>
      </c>
      <c r="I7" s="11">
        <f t="shared" ref="I7:I8" si="2">G7/C7</f>
        <v>540.8115577889447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2042</v>
      </c>
      <c r="B8" s="3">
        <v>158</v>
      </c>
      <c r="C8" s="4">
        <f>C7</f>
        <v>398</v>
      </c>
      <c r="D8" s="4">
        <f>SUM(D17,D20,D23,D26,D29)</f>
        <v>7093</v>
      </c>
      <c r="E8" s="4">
        <v>0</v>
      </c>
      <c r="F8" s="4">
        <f>SUM(D8)</f>
        <v>7093</v>
      </c>
      <c r="G8" s="5">
        <f>SUM(G17,G20,G23,G26,G29)</f>
        <v>194342</v>
      </c>
      <c r="H8" s="58">
        <f>F8/C8</f>
        <v>17.821608040201006</v>
      </c>
      <c r="I8" s="42">
        <f t="shared" si="2"/>
        <v>488.2964824120603</v>
      </c>
      <c r="J8" s="43">
        <f>I8/H8</f>
        <v>27.399125898773438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1.0545104835000441</v>
      </c>
      <c r="G10" s="62">
        <f t="shared" ref="G10" si="3">G8/G7</f>
        <v>0.90289579684356747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-366.65625</v>
      </c>
      <c r="G12" s="47">
        <f>G7-G8</f>
        <v>20901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2042</v>
      </c>
      <c r="B16" s="3">
        <f>$B$7</f>
        <v>72</v>
      </c>
      <c r="C16" s="4">
        <f>$C$7</f>
        <v>398</v>
      </c>
      <c r="D16" s="4">
        <f>G16/$J$7</f>
        <v>506.25</v>
      </c>
      <c r="E16" s="4">
        <v>0</v>
      </c>
      <c r="F16" s="13">
        <f t="shared" ref="F16:F17" si="4">SUM(D16:E16)</f>
        <v>506.25</v>
      </c>
      <c r="G16" s="14">
        <v>16200</v>
      </c>
      <c r="H16" s="13">
        <f t="shared" ref="H16:H17" si="5">F16/C16</f>
        <v>1.2719849246231156</v>
      </c>
      <c r="I16" s="14">
        <f t="shared" ref="I16:I17" si="6">G16/C16</f>
        <v>40.7035175879397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2042</v>
      </c>
      <c r="B17" s="3">
        <f>$B$7</f>
        <v>72</v>
      </c>
      <c r="C17" s="4">
        <f>$C$7</f>
        <v>398</v>
      </c>
      <c r="D17" s="48">
        <v>180</v>
      </c>
      <c r="E17" s="48">
        <v>0</v>
      </c>
      <c r="F17" s="4">
        <f t="shared" si="4"/>
        <v>180</v>
      </c>
      <c r="G17" s="5">
        <v>9579</v>
      </c>
      <c r="H17" s="4">
        <f t="shared" si="5"/>
        <v>0.45226130653266333</v>
      </c>
      <c r="I17" s="5">
        <f t="shared" si="6"/>
        <v>24.0678391959799</v>
      </c>
      <c r="J17" s="44">
        <f>I17/H17</f>
        <v>53.216666666666669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0.35555555555555557</v>
      </c>
      <c r="G18" s="16">
        <f t="shared" ref="G18" si="7">G17/G16</f>
        <v>0.59129629629629632</v>
      </c>
      <c r="H18" s="16"/>
      <c r="I18" s="16"/>
      <c r="J18" s="16"/>
      <c r="K18" s="45"/>
    </row>
    <row r="19" spans="1:11" ht="16.5" thickTop="1" thickBot="1" x14ac:dyDescent="0.25">
      <c r="A19" s="1">
        <f>$A$7</f>
        <v>2042</v>
      </c>
      <c r="B19" s="3">
        <f>$B$7</f>
        <v>72</v>
      </c>
      <c r="C19" s="4">
        <f>$C$7</f>
        <v>398</v>
      </c>
      <c r="D19" s="4">
        <f>G19/$J$7</f>
        <v>754.9375</v>
      </c>
      <c r="E19" s="4">
        <v>0</v>
      </c>
      <c r="F19" s="13">
        <f t="shared" ref="F19:F20" si="8">SUM(D19:E19)</f>
        <v>754.9375</v>
      </c>
      <c r="G19" s="14">
        <v>24158</v>
      </c>
      <c r="H19" s="13">
        <f t="shared" ref="H19:H20" si="9">F19/C19</f>
        <v>1.8968278894472361</v>
      </c>
      <c r="I19" s="14">
        <f t="shared" ref="I19:I20" si="10">G19/C19</f>
        <v>60.698492462311556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2042</v>
      </c>
      <c r="B20" s="3">
        <f>$B$7</f>
        <v>72</v>
      </c>
      <c r="C20" s="4">
        <f>$C$7</f>
        <v>398</v>
      </c>
      <c r="D20" s="48">
        <v>361</v>
      </c>
      <c r="E20" s="48">
        <v>0</v>
      </c>
      <c r="F20" s="4">
        <f t="shared" si="8"/>
        <v>361</v>
      </c>
      <c r="G20" s="5">
        <v>12475</v>
      </c>
      <c r="H20" s="4">
        <f t="shared" si="9"/>
        <v>0.90703517587939697</v>
      </c>
      <c r="I20" s="5">
        <f t="shared" si="10"/>
        <v>31.344221105527637</v>
      </c>
      <c r="J20" s="44">
        <f>I20/H20</f>
        <v>34.556786703601105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0.47818528023843032</v>
      </c>
      <c r="G21" s="16">
        <f t="shared" ref="G21" si="11">G20/G19</f>
        <v>0.51639208543753623</v>
      </c>
      <c r="H21" s="16"/>
      <c r="I21" s="16"/>
      <c r="J21" s="45"/>
      <c r="K21" s="45"/>
    </row>
    <row r="22" spans="1:11" ht="16.5" thickTop="1" thickBot="1" x14ac:dyDescent="0.25">
      <c r="A22" s="1">
        <f>$A$7</f>
        <v>2042</v>
      </c>
      <c r="B22" s="3">
        <f>$B$7</f>
        <v>72</v>
      </c>
      <c r="C22" s="4">
        <f>$C$7</f>
        <v>398</v>
      </c>
      <c r="D22" s="4">
        <f>G22/$J$7</f>
        <v>3314.375</v>
      </c>
      <c r="E22" s="4">
        <v>0</v>
      </c>
      <c r="F22" s="13">
        <f>SUM(D22:E22)</f>
        <v>3314.375</v>
      </c>
      <c r="G22" s="14">
        <v>106060</v>
      </c>
      <c r="H22" s="13">
        <f>F22/C22</f>
        <v>8.3275753768844218</v>
      </c>
      <c r="I22" s="14">
        <f>G22/C22</f>
        <v>266.4824120603015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2042</v>
      </c>
      <c r="B23" s="3">
        <f>$B$7</f>
        <v>72</v>
      </c>
      <c r="C23" s="4">
        <f>$C$7</f>
        <v>398</v>
      </c>
      <c r="D23" s="48">
        <v>4990</v>
      </c>
      <c r="E23" s="48">
        <v>0</v>
      </c>
      <c r="F23" s="4">
        <f>SUM(D23:E23)</f>
        <v>4990</v>
      </c>
      <c r="G23" s="5">
        <v>128045</v>
      </c>
      <c r="H23" s="4">
        <f>F23/C23</f>
        <v>12.537688442211055</v>
      </c>
      <c r="I23" s="5">
        <f>G23/C23</f>
        <v>321.7211055276382</v>
      </c>
      <c r="J23" s="44">
        <f>I23/H23</f>
        <v>25.660320641282567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1.5055628889307939</v>
      </c>
      <c r="G24" s="16">
        <f t="shared" ref="G24" si="12">G23/G22</f>
        <v>1.2072883273618706</v>
      </c>
      <c r="H24" s="16"/>
      <c r="I24" s="16"/>
      <c r="J24" s="17"/>
      <c r="K24" s="17"/>
    </row>
    <row r="25" spans="1:11" ht="16.5" thickTop="1" thickBot="1" x14ac:dyDescent="0.25">
      <c r="A25" s="1">
        <f>$A$7</f>
        <v>2042</v>
      </c>
      <c r="B25" s="3">
        <f>$B$7</f>
        <v>72</v>
      </c>
      <c r="C25" s="4">
        <v>392</v>
      </c>
      <c r="D25" s="4">
        <f>G25/$J$7</f>
        <v>706.09375</v>
      </c>
      <c r="E25" s="4">
        <v>0</v>
      </c>
      <c r="F25" s="13">
        <f>SUM(D25:E25)</f>
        <v>706.09375</v>
      </c>
      <c r="G25" s="14">
        <v>22595</v>
      </c>
      <c r="H25" s="13">
        <f>F25/C25</f>
        <v>1.8012595663265305</v>
      </c>
      <c r="I25" s="14">
        <f>G25/C25</f>
        <v>57.640306122448976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2042</v>
      </c>
      <c r="B26" s="3">
        <f>$B$7</f>
        <v>72</v>
      </c>
      <c r="C26" s="4">
        <f>C25</f>
        <v>392</v>
      </c>
      <c r="D26" s="48">
        <v>651</v>
      </c>
      <c r="E26" s="48">
        <v>0</v>
      </c>
      <c r="F26" s="4">
        <f>SUM(D26:E26)</f>
        <v>651</v>
      </c>
      <c r="G26" s="5">
        <v>16957</v>
      </c>
      <c r="H26" s="4">
        <f>F26/C26</f>
        <v>1.6607142857142858</v>
      </c>
      <c r="I26" s="5">
        <f>G26/C26</f>
        <v>43.257653061224488</v>
      </c>
      <c r="J26" s="44">
        <f>I26/H26</f>
        <v>26.047619047619044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0.92197388802832481</v>
      </c>
      <c r="G27" s="16">
        <f t="shared" ref="G27" si="13">G26/G25</f>
        <v>0.750475768975437</v>
      </c>
      <c r="H27" s="16"/>
      <c r="I27" s="16"/>
      <c r="J27" s="17"/>
      <c r="K27" s="17"/>
    </row>
    <row r="28" spans="1:11" ht="16.5" thickTop="1" thickBot="1" x14ac:dyDescent="0.25">
      <c r="A28" s="1">
        <f>$A$7</f>
        <v>2042</v>
      </c>
      <c r="B28" s="3">
        <f>$B$7</f>
        <v>72</v>
      </c>
      <c r="C28" s="4">
        <f>$C$7</f>
        <v>398</v>
      </c>
      <c r="D28" s="4">
        <f>G28/$J$7</f>
        <v>1444.6875</v>
      </c>
      <c r="E28" s="4">
        <v>0</v>
      </c>
      <c r="F28" s="13">
        <f>SUM(D28:E28)</f>
        <v>1444.6875</v>
      </c>
      <c r="G28" s="14">
        <v>46230</v>
      </c>
      <c r="H28" s="13">
        <f>F28/C28</f>
        <v>3.6298680904522613</v>
      </c>
      <c r="I28" s="14">
        <f>G28/C28</f>
        <v>116.15577889447236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2042</v>
      </c>
      <c r="B29" s="3">
        <f>$B$7</f>
        <v>72</v>
      </c>
      <c r="C29" s="4">
        <f>$C$7</f>
        <v>398</v>
      </c>
      <c r="D29" s="48">
        <v>911</v>
      </c>
      <c r="E29" s="48">
        <v>0</v>
      </c>
      <c r="F29" s="4">
        <f>SUM(D29:E29)</f>
        <v>911</v>
      </c>
      <c r="G29" s="5">
        <v>27286</v>
      </c>
      <c r="H29" s="4">
        <f>F29/C29</f>
        <v>2.2889447236180906</v>
      </c>
      <c r="I29" s="5">
        <f>G29/C29</f>
        <v>68.557788944723612</v>
      </c>
      <c r="J29" s="44">
        <f>I29/H29</f>
        <v>29.951701427003286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0.63058619943759464</v>
      </c>
      <c r="G30" s="16">
        <f t="shared" ref="G30" si="14">G29/G28</f>
        <v>0.59022279904823705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2042</v>
      </c>
      <c r="B33" s="3">
        <f>$B$7</f>
        <v>72</v>
      </c>
      <c r="C33" s="4">
        <f>$C$7</f>
        <v>398</v>
      </c>
      <c r="D33" s="13">
        <f>SUM(D28,D22,D19)</f>
        <v>5514</v>
      </c>
      <c r="E33" s="13">
        <v>0</v>
      </c>
      <c r="F33" s="13">
        <f t="shared" ref="F33" si="15">SUM(D33:E33)</f>
        <v>5514</v>
      </c>
      <c r="G33" s="14">
        <f>SUM(G28,G22,G19)</f>
        <v>176448</v>
      </c>
      <c r="H33" s="34">
        <f t="shared" ref="H33:H34" si="16">F33/C33</f>
        <v>13.85427135678392</v>
      </c>
      <c r="I33" s="39">
        <f t="shared" ref="I33:I34" si="17">G33/C33</f>
        <v>443.33668341708545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2042</v>
      </c>
      <c r="B34" s="3">
        <f>$B$7</f>
        <v>72</v>
      </c>
      <c r="C34" s="4">
        <f>$C$7</f>
        <v>398</v>
      </c>
      <c r="D34" s="4">
        <f>SUM(D29,D23,D20)</f>
        <v>6262</v>
      </c>
      <c r="E34" s="49">
        <v>0</v>
      </c>
      <c r="F34" s="4">
        <f>SUM(D34)</f>
        <v>6262</v>
      </c>
      <c r="G34" s="50">
        <f>SUM(G29,G23,G20)</f>
        <v>167806</v>
      </c>
      <c r="H34" s="41">
        <f t="shared" si="16"/>
        <v>15.733668341708542</v>
      </c>
      <c r="I34" s="42">
        <f t="shared" si="17"/>
        <v>421.62311557788945</v>
      </c>
      <c r="J34" s="43">
        <f>I34/H34</f>
        <v>26.797508783136379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0.951022397533551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15.733668341708542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1.6607142857142858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17.821608040201006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2043</v>
      </c>
      <c r="B7" s="3">
        <v>93</v>
      </c>
      <c r="C7" s="4">
        <v>455</v>
      </c>
      <c r="D7" s="4">
        <f>G7/$J$7</f>
        <v>11492.34375</v>
      </c>
      <c r="E7" s="4">
        <v>0</v>
      </c>
      <c r="F7" s="4">
        <f t="shared" ref="F7" si="0">SUM(D7:E7)</f>
        <v>11492.34375</v>
      </c>
      <c r="G7" s="5">
        <f>SUM(G16,G19,G22,G25,G28)</f>
        <v>367755</v>
      </c>
      <c r="H7" s="9">
        <f t="shared" ref="H7" si="1">F7/C7</f>
        <v>25.25789835164835</v>
      </c>
      <c r="I7" s="11">
        <f t="shared" ref="I7:I8" si="2">G7/C7</f>
        <v>808.25274725274721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2043</v>
      </c>
      <c r="B8" s="3">
        <v>158</v>
      </c>
      <c r="C8" s="4">
        <f>C7</f>
        <v>455</v>
      </c>
      <c r="D8" s="4">
        <f>SUM(D17,D20,D23,D26,D29)</f>
        <v>10970</v>
      </c>
      <c r="E8" s="4">
        <v>0</v>
      </c>
      <c r="F8" s="4">
        <f>SUM(D8)</f>
        <v>10970</v>
      </c>
      <c r="G8" s="5">
        <f>SUM(G17,G20,G23,G26,G29)</f>
        <v>325027</v>
      </c>
      <c r="H8" s="58">
        <f>F8/C8</f>
        <v>24.109890109890109</v>
      </c>
      <c r="I8" s="42">
        <f t="shared" si="2"/>
        <v>714.34505494505493</v>
      </c>
      <c r="J8" s="43">
        <f>I8/H8</f>
        <v>29.628714676390153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0.95454854454732085</v>
      </c>
      <c r="G10" s="62">
        <f t="shared" ref="G10" si="3">G8/G7</f>
        <v>0.88381395222362713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522.34375</v>
      </c>
      <c r="G12" s="47">
        <f>G7-G8</f>
        <v>42728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2043</v>
      </c>
      <c r="B16" s="3">
        <f>$B$7</f>
        <v>93</v>
      </c>
      <c r="C16" s="4">
        <f>$C$7</f>
        <v>455</v>
      </c>
      <c r="D16" s="4">
        <f>G16/$J$7</f>
        <v>1062.5</v>
      </c>
      <c r="E16" s="4">
        <v>0</v>
      </c>
      <c r="F16" s="13">
        <f t="shared" ref="F16:F17" si="4">SUM(D16:E16)</f>
        <v>1062.5</v>
      </c>
      <c r="G16" s="14">
        <v>34000</v>
      </c>
      <c r="H16" s="13">
        <f t="shared" ref="H16:H17" si="5">F16/C16</f>
        <v>2.3351648351648353</v>
      </c>
      <c r="I16" s="14">
        <f t="shared" ref="I16:I17" si="6">G16/C16</f>
        <v>74.72527472527473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2043</v>
      </c>
      <c r="B17" s="3">
        <f>$B$7</f>
        <v>93</v>
      </c>
      <c r="C17" s="4">
        <f>$C$7</f>
        <v>455</v>
      </c>
      <c r="D17" s="48">
        <v>347</v>
      </c>
      <c r="E17" s="48">
        <v>0</v>
      </c>
      <c r="F17" s="4">
        <f t="shared" si="4"/>
        <v>347</v>
      </c>
      <c r="G17" s="5">
        <v>18909</v>
      </c>
      <c r="H17" s="4">
        <f t="shared" si="5"/>
        <v>0.76263736263736259</v>
      </c>
      <c r="I17" s="5">
        <f t="shared" si="6"/>
        <v>41.558241758241756</v>
      </c>
      <c r="J17" s="44">
        <f>I17/H17</f>
        <v>54.492795389048993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0.32658823529411762</v>
      </c>
      <c r="G18" s="16">
        <f t="shared" ref="G18" si="7">G17/G16</f>
        <v>0.55614705882352944</v>
      </c>
      <c r="H18" s="16"/>
      <c r="I18" s="16"/>
      <c r="J18" s="16"/>
      <c r="K18" s="45"/>
    </row>
    <row r="19" spans="1:11" ht="16.5" thickTop="1" thickBot="1" x14ac:dyDescent="0.25">
      <c r="A19" s="1">
        <f>$A$7</f>
        <v>2043</v>
      </c>
      <c r="B19" s="3">
        <f>$B$7</f>
        <v>93</v>
      </c>
      <c r="C19" s="4">
        <f>$C$7</f>
        <v>455</v>
      </c>
      <c r="D19" s="4">
        <f>G19/$J$7</f>
        <v>3113.4375</v>
      </c>
      <c r="E19" s="4">
        <v>0</v>
      </c>
      <c r="F19" s="13">
        <f t="shared" ref="F19:F20" si="8">SUM(D19:E19)</f>
        <v>3113.4375</v>
      </c>
      <c r="G19" s="14">
        <v>99630</v>
      </c>
      <c r="H19" s="13">
        <f t="shared" ref="H19:H20" si="9">F19/C19</f>
        <v>6.8427197802197801</v>
      </c>
      <c r="I19" s="14">
        <f t="shared" ref="I19:I20" si="10">G19/C19</f>
        <v>218.96703296703296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2043</v>
      </c>
      <c r="B20" s="3">
        <f>$B$7</f>
        <v>93</v>
      </c>
      <c r="C20" s="4">
        <f>$C$7</f>
        <v>455</v>
      </c>
      <c r="D20" s="48">
        <v>1750</v>
      </c>
      <c r="E20" s="48">
        <v>0</v>
      </c>
      <c r="F20" s="4">
        <f t="shared" si="8"/>
        <v>1750</v>
      </c>
      <c r="G20" s="5">
        <v>55409</v>
      </c>
      <c r="H20" s="4">
        <f t="shared" si="9"/>
        <v>3.8461538461538463</v>
      </c>
      <c r="I20" s="5">
        <f t="shared" si="10"/>
        <v>121.77802197802198</v>
      </c>
      <c r="J20" s="44">
        <f>I20/H20</f>
        <v>31.662285714285716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0.56207969487102283</v>
      </c>
      <c r="G21" s="16">
        <f t="shared" ref="G21" si="11">G20/G19</f>
        <v>0.55614774666265177</v>
      </c>
      <c r="H21" s="16"/>
      <c r="I21" s="16"/>
      <c r="J21" s="45"/>
      <c r="K21" s="45"/>
    </row>
    <row r="22" spans="1:11" ht="16.5" thickTop="1" thickBot="1" x14ac:dyDescent="0.25">
      <c r="A22" s="1">
        <f>$A$7</f>
        <v>2043</v>
      </c>
      <c r="B22" s="3">
        <f>$B$7</f>
        <v>93</v>
      </c>
      <c r="C22" s="4">
        <f>$C$7</f>
        <v>455</v>
      </c>
      <c r="D22" s="4">
        <f>G22/$J$7</f>
        <v>4472.8125</v>
      </c>
      <c r="E22" s="4">
        <v>0</v>
      </c>
      <c r="F22" s="13">
        <f>SUM(D22:E22)</f>
        <v>4472.8125</v>
      </c>
      <c r="G22" s="14">
        <v>143130</v>
      </c>
      <c r="H22" s="13">
        <f>F22/C22</f>
        <v>9.8303571428571423</v>
      </c>
      <c r="I22" s="14">
        <f>G22/C22</f>
        <v>314.57142857142856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2043</v>
      </c>
      <c r="B23" s="3">
        <f>$B$7</f>
        <v>93</v>
      </c>
      <c r="C23" s="4">
        <f>$C$7</f>
        <v>455</v>
      </c>
      <c r="D23" s="48">
        <v>5253</v>
      </c>
      <c r="E23" s="48">
        <v>0</v>
      </c>
      <c r="F23" s="4">
        <f>SUM(D23:E23)</f>
        <v>5253</v>
      </c>
      <c r="G23" s="5">
        <v>146478</v>
      </c>
      <c r="H23" s="4">
        <f>F23/C23</f>
        <v>11.545054945054945</v>
      </c>
      <c r="I23" s="5">
        <f>G23/C23</f>
        <v>321.92967032967033</v>
      </c>
      <c r="J23" s="44">
        <f>I23/H23</f>
        <v>27.884637350085665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1.1744288409138546</v>
      </c>
      <c r="G24" s="16">
        <f t="shared" ref="G24" si="12">G23/G22</f>
        <v>1.023391322573884</v>
      </c>
      <c r="H24" s="16"/>
      <c r="I24" s="16"/>
      <c r="J24" s="17"/>
      <c r="K24" s="17"/>
    </row>
    <row r="25" spans="1:11" ht="16.5" thickTop="1" thickBot="1" x14ac:dyDescent="0.25">
      <c r="A25" s="1">
        <f>$A$7</f>
        <v>2043</v>
      </c>
      <c r="B25" s="3">
        <f>$B$7</f>
        <v>93</v>
      </c>
      <c r="C25" s="4">
        <v>438</v>
      </c>
      <c r="D25" s="4">
        <f>G25/$J$7</f>
        <v>897.96875</v>
      </c>
      <c r="E25" s="4">
        <v>0</v>
      </c>
      <c r="F25" s="13">
        <f>SUM(D25:E25)</f>
        <v>897.96875</v>
      </c>
      <c r="G25" s="14">
        <v>28735</v>
      </c>
      <c r="H25" s="13">
        <f>F25/C25</f>
        <v>2.0501569634703198</v>
      </c>
      <c r="I25" s="14">
        <f>G25/C25</f>
        <v>65.605022831050235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2043</v>
      </c>
      <c r="B26" s="3">
        <f>$B$7</f>
        <v>93</v>
      </c>
      <c r="C26" s="4">
        <f>C25</f>
        <v>438</v>
      </c>
      <c r="D26" s="48">
        <v>923</v>
      </c>
      <c r="E26" s="48">
        <v>0</v>
      </c>
      <c r="F26" s="4">
        <f>SUM(D26:E26)</f>
        <v>923</v>
      </c>
      <c r="G26" s="5">
        <v>25473</v>
      </c>
      <c r="H26" s="4">
        <f>F26/C26</f>
        <v>2.1073059360730593</v>
      </c>
      <c r="I26" s="5">
        <f>G26/C26</f>
        <v>58.157534246575345</v>
      </c>
      <c r="J26" s="44">
        <f>I26/H26</f>
        <v>27.59804983748646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1.0278754132590917</v>
      </c>
      <c r="G27" s="16">
        <f t="shared" ref="G27" si="13">G26/G25</f>
        <v>0.88647990255785625</v>
      </c>
      <c r="H27" s="16"/>
      <c r="I27" s="16"/>
      <c r="J27" s="17"/>
      <c r="K27" s="17"/>
    </row>
    <row r="28" spans="1:11" ht="16.5" thickTop="1" thickBot="1" x14ac:dyDescent="0.25">
      <c r="A28" s="1">
        <f>$A$7</f>
        <v>2043</v>
      </c>
      <c r="B28" s="3">
        <f>$B$7</f>
        <v>93</v>
      </c>
      <c r="C28" s="4">
        <f>$C$7</f>
        <v>455</v>
      </c>
      <c r="D28" s="4">
        <f>G28/$J$7</f>
        <v>1945.625</v>
      </c>
      <c r="E28" s="4">
        <v>0</v>
      </c>
      <c r="F28" s="13">
        <f>SUM(D28:E28)</f>
        <v>1945.625</v>
      </c>
      <c r="G28" s="14">
        <v>62260</v>
      </c>
      <c r="H28" s="13">
        <f>F28/C28</f>
        <v>4.2760989010989015</v>
      </c>
      <c r="I28" s="14">
        <f>G28/C28</f>
        <v>136.83516483516485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2043</v>
      </c>
      <c r="B29" s="3">
        <f>$B$7</f>
        <v>93</v>
      </c>
      <c r="C29" s="4">
        <f>$C$7</f>
        <v>455</v>
      </c>
      <c r="D29" s="48">
        <v>2697</v>
      </c>
      <c r="E29" s="48">
        <v>0</v>
      </c>
      <c r="F29" s="4">
        <f>SUM(D29:E29)</f>
        <v>2697</v>
      </c>
      <c r="G29" s="5">
        <v>78758</v>
      </c>
      <c r="H29" s="4">
        <f>F29/C29</f>
        <v>5.9274725274725277</v>
      </c>
      <c r="I29" s="5">
        <f>G29/C29</f>
        <v>173.09450549450548</v>
      </c>
      <c r="J29" s="44">
        <f>I29/H29</f>
        <v>29.202076381164254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1.3861869579184067</v>
      </c>
      <c r="G30" s="16">
        <f t="shared" ref="G30" si="14">G29/G28</f>
        <v>1.2649855444908449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2043</v>
      </c>
      <c r="B33" s="3">
        <f>$B$7</f>
        <v>93</v>
      </c>
      <c r="C33" s="4">
        <f>$C$7</f>
        <v>455</v>
      </c>
      <c r="D33" s="13">
        <f>SUM(D28,D22,D19)</f>
        <v>9531.875</v>
      </c>
      <c r="E33" s="13">
        <v>0</v>
      </c>
      <c r="F33" s="13">
        <f t="shared" ref="F33" si="15">SUM(D33:E33)</f>
        <v>9531.875</v>
      </c>
      <c r="G33" s="14">
        <f>SUM(G28,G22,G19)</f>
        <v>305020</v>
      </c>
      <c r="H33" s="34">
        <f t="shared" ref="H33:H34" si="16">F33/C33</f>
        <v>20.949175824175825</v>
      </c>
      <c r="I33" s="39">
        <f t="shared" ref="I33:I34" si="17">G33/C33</f>
        <v>670.37362637362639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2043</v>
      </c>
      <c r="B34" s="3">
        <f>$B$7</f>
        <v>93</v>
      </c>
      <c r="C34" s="4">
        <f>$C$7</f>
        <v>455</v>
      </c>
      <c r="D34" s="4">
        <f>SUM(D29,D23,D20)</f>
        <v>9700</v>
      </c>
      <c r="E34" s="49">
        <v>0</v>
      </c>
      <c r="F34" s="4">
        <f>SUM(D34)</f>
        <v>9700</v>
      </c>
      <c r="G34" s="50">
        <f>SUM(G29,G23,G20)</f>
        <v>280645</v>
      </c>
      <c r="H34" s="41">
        <f t="shared" si="16"/>
        <v>21.318681318681318</v>
      </c>
      <c r="I34" s="42">
        <f t="shared" si="17"/>
        <v>616.80219780219784</v>
      </c>
      <c r="J34" s="43">
        <f>I34/H34</f>
        <v>28.932474226804128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0.92008720739623628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21.318681318681318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2.1073059360730593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24.109890109890109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2044</v>
      </c>
      <c r="B7" s="3">
        <v>75</v>
      </c>
      <c r="C7" s="4">
        <v>397</v>
      </c>
      <c r="D7" s="4">
        <f>G7/$J$7</f>
        <v>6518.90625</v>
      </c>
      <c r="E7" s="4">
        <v>0</v>
      </c>
      <c r="F7" s="4">
        <f t="shared" ref="F7" si="0">SUM(D7:E7)</f>
        <v>6518.90625</v>
      </c>
      <c r="G7" s="5">
        <f>SUM(G16,G19,G22,G25,G28)</f>
        <v>208605</v>
      </c>
      <c r="H7" s="9">
        <f t="shared" ref="H7" si="1">F7/C7</f>
        <v>16.420418765743072</v>
      </c>
      <c r="I7" s="11">
        <f t="shared" ref="I7:I8" si="2">G7/C7</f>
        <v>525.45340050377831</v>
      </c>
      <c r="J7" s="12">
        <v>32</v>
      </c>
      <c r="K7" s="37" t="s">
        <v>10</v>
      </c>
    </row>
    <row r="8" spans="1:11" ht="16.5" thickTop="1" thickBot="1" x14ac:dyDescent="0.25">
      <c r="A8" s="3">
        <v>2044</v>
      </c>
      <c r="B8" s="3">
        <f>B7</f>
        <v>75</v>
      </c>
      <c r="C8" s="4">
        <f>C7</f>
        <v>397</v>
      </c>
      <c r="D8" s="4">
        <f>SUM(D17,D20,D23,D26,D29)</f>
        <v>7725</v>
      </c>
      <c r="E8" s="4">
        <v>0</v>
      </c>
      <c r="F8" s="4">
        <f>SUM(D8)</f>
        <v>7725</v>
      </c>
      <c r="G8" s="5">
        <f>SUM(G17,G20,G23,G26,G29)</f>
        <v>219026</v>
      </c>
      <c r="H8" s="58">
        <f>F8/C8</f>
        <v>19.458438287153651</v>
      </c>
      <c r="I8" s="42">
        <f t="shared" si="2"/>
        <v>551.70277078085644</v>
      </c>
      <c r="J8" s="43">
        <f>I8/H8</f>
        <v>28.352880258899678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1.1850147407780254</v>
      </c>
      <c r="G10" s="62">
        <f t="shared" ref="G10" si="3">G8/G7</f>
        <v>1.0499556578221998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-1206.09375</v>
      </c>
      <c r="G12" s="47">
        <f>G7-G8</f>
        <v>-10421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2044</v>
      </c>
      <c r="B16" s="3">
        <f>$B$7</f>
        <v>75</v>
      </c>
      <c r="C16" s="4">
        <f>$C$7</f>
        <v>397</v>
      </c>
      <c r="D16" s="4">
        <f>G16/$J$7</f>
        <v>550.78125</v>
      </c>
      <c r="E16" s="4">
        <v>0</v>
      </c>
      <c r="F16" s="13">
        <f t="shared" ref="F16:F17" si="4">SUM(D16:E16)</f>
        <v>550.78125</v>
      </c>
      <c r="G16" s="14">
        <v>17625</v>
      </c>
      <c r="H16" s="13">
        <f t="shared" ref="H16:H17" si="5">F16/C16</f>
        <v>1.3873583123425692</v>
      </c>
      <c r="I16" s="14">
        <f t="shared" ref="I16:I17" si="6">G16/C16</f>
        <v>44.395465994962215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2044</v>
      </c>
      <c r="B17" s="3">
        <f>$B$7</f>
        <v>75</v>
      </c>
      <c r="C17" s="4">
        <f>$C$7</f>
        <v>397</v>
      </c>
      <c r="D17" s="48">
        <v>116</v>
      </c>
      <c r="E17" s="48">
        <v>0</v>
      </c>
      <c r="F17" s="4">
        <f t="shared" si="4"/>
        <v>116</v>
      </c>
      <c r="G17" s="5">
        <v>6449</v>
      </c>
      <c r="H17" s="4">
        <f t="shared" si="5"/>
        <v>0.29219143576826195</v>
      </c>
      <c r="I17" s="5">
        <f t="shared" si="6"/>
        <v>16.244332493702771</v>
      </c>
      <c r="J17" s="44">
        <f>I17/H17</f>
        <v>55.594827586206897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0.21060992907801418</v>
      </c>
      <c r="G18" s="16">
        <f t="shared" ref="G18" si="7">G17/G16</f>
        <v>0.36590070921985818</v>
      </c>
      <c r="H18" s="16"/>
      <c r="I18" s="16"/>
      <c r="J18" s="16"/>
      <c r="K18" s="45"/>
    </row>
    <row r="19" spans="1:11" ht="16.5" thickTop="1" thickBot="1" x14ac:dyDescent="0.25">
      <c r="A19" s="1">
        <f>$A$7</f>
        <v>2044</v>
      </c>
      <c r="B19" s="3">
        <f>$B$7</f>
        <v>75</v>
      </c>
      <c r="C19" s="4">
        <f>$C$7</f>
        <v>397</v>
      </c>
      <c r="D19" s="4">
        <f>G19/$J$7</f>
        <v>763.59375</v>
      </c>
      <c r="E19" s="4">
        <v>0</v>
      </c>
      <c r="F19" s="13">
        <f t="shared" ref="F19:F20" si="8">SUM(D19:E19)</f>
        <v>763.59375</v>
      </c>
      <c r="G19" s="14">
        <v>24435</v>
      </c>
      <c r="H19" s="13">
        <f t="shared" ref="H19:H20" si="9">F19/C19</f>
        <v>1.9234099496221662</v>
      </c>
      <c r="I19" s="14">
        <f t="shared" ref="I19:I20" si="10">G19/C19</f>
        <v>61.549118387909317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2044</v>
      </c>
      <c r="B20" s="3">
        <f>$B$7</f>
        <v>75</v>
      </c>
      <c r="C20" s="4">
        <f>$C$7</f>
        <v>397</v>
      </c>
      <c r="D20" s="48">
        <v>196</v>
      </c>
      <c r="E20" s="48">
        <v>0</v>
      </c>
      <c r="F20" s="4">
        <f t="shared" si="8"/>
        <v>196</v>
      </c>
      <c r="G20" s="5">
        <v>6720</v>
      </c>
      <c r="H20" s="4">
        <f t="shared" si="9"/>
        <v>0.49370277078085645</v>
      </c>
      <c r="I20" s="5">
        <f t="shared" si="10"/>
        <v>16.926952141057935</v>
      </c>
      <c r="J20" s="44">
        <f>I20/H20</f>
        <v>34.285714285714285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0.25668099038264786</v>
      </c>
      <c r="G21" s="16">
        <f t="shared" ref="G21" si="11">G20/G19</f>
        <v>0.27501534683855128</v>
      </c>
      <c r="H21" s="16"/>
      <c r="I21" s="16"/>
      <c r="J21" s="45"/>
      <c r="K21" s="45"/>
    </row>
    <row r="22" spans="1:11" ht="16.5" thickTop="1" thickBot="1" x14ac:dyDescent="0.25">
      <c r="A22" s="1">
        <f>$A$7</f>
        <v>2044</v>
      </c>
      <c r="B22" s="3">
        <f>$B$7</f>
        <v>75</v>
      </c>
      <c r="C22" s="4">
        <f>$C$7</f>
        <v>397</v>
      </c>
      <c r="D22" s="4">
        <f>G22/$J$7</f>
        <v>3084.0625</v>
      </c>
      <c r="E22" s="4">
        <v>0</v>
      </c>
      <c r="F22" s="13">
        <f>SUM(D22:E22)</f>
        <v>3084.0625</v>
      </c>
      <c r="G22" s="14">
        <v>98690</v>
      </c>
      <c r="H22" s="13">
        <f>F22/C22</f>
        <v>7.7684193954659948</v>
      </c>
      <c r="I22" s="14">
        <f>G22/C22</f>
        <v>248.58942065491183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2044</v>
      </c>
      <c r="B23" s="3">
        <f>$B$7</f>
        <v>75</v>
      </c>
      <c r="C23" s="4">
        <f>$C$7</f>
        <v>397</v>
      </c>
      <c r="D23" s="48">
        <v>5295</v>
      </c>
      <c r="E23" s="48">
        <v>0</v>
      </c>
      <c r="F23" s="4">
        <f>SUM(D23:E23)</f>
        <v>5295</v>
      </c>
      <c r="G23" s="5">
        <v>150430</v>
      </c>
      <c r="H23" s="4">
        <f>F23/C23</f>
        <v>13.337531486146096</v>
      </c>
      <c r="I23" s="5">
        <f>G23/C23</f>
        <v>378.91687657430731</v>
      </c>
      <c r="J23" s="44">
        <f>I23/H23</f>
        <v>28.409820585457979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1.7168912757118249</v>
      </c>
      <c r="G24" s="16">
        <f t="shared" ref="G24" si="12">G23/G22</f>
        <v>1.5242679096159693</v>
      </c>
      <c r="H24" s="16"/>
      <c r="I24" s="16"/>
      <c r="J24" s="17"/>
      <c r="K24" s="17"/>
    </row>
    <row r="25" spans="1:11" ht="16.5" thickTop="1" thickBot="1" x14ac:dyDescent="0.25">
      <c r="A25" s="1">
        <f>$A$7</f>
        <v>2044</v>
      </c>
      <c r="B25" s="3">
        <f>$B$7</f>
        <v>75</v>
      </c>
      <c r="C25" s="4">
        <v>385</v>
      </c>
      <c r="D25" s="4">
        <f>G25/$J$7</f>
        <v>717.8125</v>
      </c>
      <c r="E25" s="4">
        <v>0</v>
      </c>
      <c r="F25" s="13">
        <f>SUM(D25:E25)</f>
        <v>717.8125</v>
      </c>
      <c r="G25" s="14">
        <v>22970</v>
      </c>
      <c r="H25" s="13">
        <f>F25/C25</f>
        <v>1.864448051948052</v>
      </c>
      <c r="I25" s="14">
        <f>G25/C25</f>
        <v>59.662337662337663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2044</v>
      </c>
      <c r="B26" s="3">
        <f>$B$7</f>
        <v>75</v>
      </c>
      <c r="C26" s="4">
        <f>C25</f>
        <v>385</v>
      </c>
      <c r="D26" s="48">
        <v>742</v>
      </c>
      <c r="E26" s="48">
        <v>0</v>
      </c>
      <c r="F26" s="4">
        <f>SUM(D26:E26)</f>
        <v>742</v>
      </c>
      <c r="G26" s="5">
        <v>17220</v>
      </c>
      <c r="H26" s="4">
        <f>F26/C26</f>
        <v>1.9272727272727272</v>
      </c>
      <c r="I26" s="5">
        <f>G26/C26</f>
        <v>44.727272727272727</v>
      </c>
      <c r="J26" s="44">
        <f>I26/H26</f>
        <v>23.20754716981132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1.0336961253809316</v>
      </c>
      <c r="G27" s="16">
        <f t="shared" ref="G27" si="13">G26/G25</f>
        <v>0.74967348715716153</v>
      </c>
      <c r="H27" s="16"/>
      <c r="I27" s="16"/>
      <c r="J27" s="17"/>
      <c r="K27" s="17"/>
    </row>
    <row r="28" spans="1:11" ht="16.5" thickTop="1" thickBot="1" x14ac:dyDescent="0.25">
      <c r="A28" s="1">
        <f>$A$7</f>
        <v>2044</v>
      </c>
      <c r="B28" s="3">
        <f>$B$7</f>
        <v>75</v>
      </c>
      <c r="C28" s="4">
        <f>$C$7</f>
        <v>397</v>
      </c>
      <c r="D28" s="4">
        <f>G28/$J$7</f>
        <v>1402.65625</v>
      </c>
      <c r="E28" s="4">
        <v>0</v>
      </c>
      <c r="F28" s="13">
        <f>SUM(D28:E28)</f>
        <v>1402.65625</v>
      </c>
      <c r="G28" s="14">
        <v>44885</v>
      </c>
      <c r="H28" s="13">
        <f>F28/C28</f>
        <v>3.533139168765743</v>
      </c>
      <c r="I28" s="14">
        <f>G28/C28</f>
        <v>113.06045340050377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2044</v>
      </c>
      <c r="B29" s="3">
        <f>$B$7</f>
        <v>75</v>
      </c>
      <c r="C29" s="4">
        <f>$C$7</f>
        <v>397</v>
      </c>
      <c r="D29" s="48">
        <v>1376</v>
      </c>
      <c r="E29" s="48">
        <v>0</v>
      </c>
      <c r="F29" s="4">
        <f>SUM(D29:E29)</f>
        <v>1376</v>
      </c>
      <c r="G29" s="5">
        <v>38207</v>
      </c>
      <c r="H29" s="4">
        <f>F29/C29</f>
        <v>3.4659949622166248</v>
      </c>
      <c r="I29" s="5">
        <f>G29/C29</f>
        <v>96.239294710327457</v>
      </c>
      <c r="J29" s="44">
        <f>I29/H29</f>
        <v>27.76671511627907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0.98099587835579816</v>
      </c>
      <c r="G30" s="16">
        <f t="shared" ref="G30" si="14">G29/G28</f>
        <v>0.8512197838921689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2044</v>
      </c>
      <c r="B33" s="3">
        <f>$B$7</f>
        <v>75</v>
      </c>
      <c r="C33" s="4">
        <f>$C$7</f>
        <v>397</v>
      </c>
      <c r="D33" s="13">
        <f>SUM(D28,D22,D19)</f>
        <v>5250.3125</v>
      </c>
      <c r="E33" s="13">
        <v>0</v>
      </c>
      <c r="F33" s="13">
        <f t="shared" ref="F33" si="15">SUM(D33:E33)</f>
        <v>5250.3125</v>
      </c>
      <c r="G33" s="14">
        <f>SUM(G28,G22,G19)</f>
        <v>168010</v>
      </c>
      <c r="H33" s="34">
        <f t="shared" ref="H33:H34" si="16">F33/C33</f>
        <v>13.224968513853904</v>
      </c>
      <c r="I33" s="39">
        <f t="shared" ref="I33:I34" si="17">G33/C33</f>
        <v>423.19899244332493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2044</v>
      </c>
      <c r="B34" s="3">
        <f>$B$7</f>
        <v>75</v>
      </c>
      <c r="C34" s="4">
        <f>$C$7</f>
        <v>397</v>
      </c>
      <c r="D34" s="4">
        <f>SUM(D29,D23,D20)</f>
        <v>6867</v>
      </c>
      <c r="E34" s="49">
        <v>0</v>
      </c>
      <c r="F34" s="4">
        <f>SUM(D34)</f>
        <v>6867</v>
      </c>
      <c r="G34" s="50">
        <f>SUM(G29,G23,G20)</f>
        <v>195357</v>
      </c>
      <c r="H34" s="41">
        <f t="shared" si="16"/>
        <v>17.297229219143578</v>
      </c>
      <c r="I34" s="42">
        <f t="shared" si="17"/>
        <v>492.08312342569269</v>
      </c>
      <c r="J34" s="43">
        <f>I34/H34</f>
        <v>28.448667540410657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1.162770073209928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17.297229219143578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1.9272727272727272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19.458438287153651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2045</v>
      </c>
      <c r="B7" s="3">
        <v>158</v>
      </c>
      <c r="C7" s="4">
        <v>1048</v>
      </c>
      <c r="D7" s="4">
        <f>G7/$J$7</f>
        <v>18622.46875</v>
      </c>
      <c r="E7" s="4">
        <v>0</v>
      </c>
      <c r="F7" s="4">
        <f t="shared" ref="F7" si="0">SUM(D7:E7)</f>
        <v>18622.46875</v>
      </c>
      <c r="G7" s="5">
        <f>SUM(G16,G19,G22,G25,G28)</f>
        <v>595919</v>
      </c>
      <c r="H7" s="9">
        <f t="shared" ref="H7" si="1">F7/C7</f>
        <v>17.76953125</v>
      </c>
      <c r="I7" s="11">
        <f t="shared" ref="I7:I8" si="2">G7/C7</f>
        <v>568.625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2045</v>
      </c>
      <c r="B8" s="3">
        <v>158</v>
      </c>
      <c r="C8" s="4">
        <f>C7</f>
        <v>1048</v>
      </c>
      <c r="D8" s="4">
        <f>SUM(D17,D20,D23,D26,D29)</f>
        <v>14543</v>
      </c>
      <c r="E8" s="4">
        <v>0</v>
      </c>
      <c r="F8" s="4">
        <f>SUM(D8)</f>
        <v>14543</v>
      </c>
      <c r="G8" s="5">
        <f>SUM(G17,G20,G23,G26,G29)</f>
        <v>404812</v>
      </c>
      <c r="H8" s="58">
        <f>F8/C8</f>
        <v>13.876908396946565</v>
      </c>
      <c r="I8" s="42">
        <f t="shared" si="2"/>
        <v>386.2709923664122</v>
      </c>
      <c r="J8" s="43">
        <f>I8/H8</f>
        <v>27.835522244378737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0.78093834900380754</v>
      </c>
      <c r="G10" s="62">
        <f t="shared" ref="G10" si="3">G8/G7</f>
        <v>0.6793070870369966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4079.46875</v>
      </c>
      <c r="G12" s="47">
        <f>G7-G8</f>
        <v>191107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2045</v>
      </c>
      <c r="B16" s="3">
        <f>$B$7</f>
        <v>158</v>
      </c>
      <c r="C16" s="4">
        <f>$C$7</f>
        <v>1048</v>
      </c>
      <c r="D16" s="4">
        <f>G16/$J$7</f>
        <v>1037.1875</v>
      </c>
      <c r="E16" s="4">
        <v>0</v>
      </c>
      <c r="F16" s="13">
        <f t="shared" ref="F16:F17" si="4">SUM(D16:E16)</f>
        <v>1037.1875</v>
      </c>
      <c r="G16" s="14">
        <v>33190</v>
      </c>
      <c r="H16" s="13">
        <f t="shared" ref="H16:H17" si="5">F16/C16</f>
        <v>0.98968272900763354</v>
      </c>
      <c r="I16" s="14">
        <f t="shared" ref="I16:I17" si="6">G16/C16</f>
        <v>31.669847328244273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2045</v>
      </c>
      <c r="B17" s="3">
        <f>$B$7</f>
        <v>158</v>
      </c>
      <c r="C17" s="4">
        <f>$C$7</f>
        <v>1048</v>
      </c>
      <c r="D17" s="48">
        <v>438</v>
      </c>
      <c r="E17" s="48">
        <v>0</v>
      </c>
      <c r="F17" s="4">
        <f t="shared" si="4"/>
        <v>438</v>
      </c>
      <c r="G17" s="5">
        <v>23290</v>
      </c>
      <c r="H17" s="4">
        <f t="shared" si="5"/>
        <v>0.41793893129770993</v>
      </c>
      <c r="I17" s="5">
        <f t="shared" si="6"/>
        <v>22.22328244274809</v>
      </c>
      <c r="J17" s="44">
        <f>I17/H17</f>
        <v>53.173515981735157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0.42229587225067794</v>
      </c>
      <c r="G18" s="16">
        <f t="shared" ref="G18" si="7">G17/G16</f>
        <v>0.70171738475444412</v>
      </c>
      <c r="H18" s="16"/>
      <c r="I18" s="16"/>
      <c r="J18" s="16"/>
      <c r="K18" s="45"/>
    </row>
    <row r="19" spans="1:11" ht="16.5" thickTop="1" thickBot="1" x14ac:dyDescent="0.25">
      <c r="A19" s="1">
        <f>$A$7</f>
        <v>2045</v>
      </c>
      <c r="B19" s="3">
        <f>$B$7</f>
        <v>158</v>
      </c>
      <c r="C19" s="4">
        <f>$C$7</f>
        <v>1048</v>
      </c>
      <c r="D19" s="4">
        <f>G19/$J$7</f>
        <v>2921.65625</v>
      </c>
      <c r="E19" s="4">
        <v>0</v>
      </c>
      <c r="F19" s="13">
        <f t="shared" ref="F19:F20" si="8">SUM(D19:E19)</f>
        <v>2921.65625</v>
      </c>
      <c r="G19" s="14">
        <v>93493</v>
      </c>
      <c r="H19" s="13">
        <f t="shared" ref="H19:H20" si="9">F19/C19</f>
        <v>2.787839933206107</v>
      </c>
      <c r="I19" s="14">
        <f t="shared" ref="I19:I20" si="10">G19/C19</f>
        <v>89.210877862595424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2045</v>
      </c>
      <c r="B20" s="3">
        <f>$B$7</f>
        <v>158</v>
      </c>
      <c r="C20" s="4">
        <f>$C$7</f>
        <v>1048</v>
      </c>
      <c r="D20" s="48">
        <v>2191</v>
      </c>
      <c r="E20" s="48">
        <v>0</v>
      </c>
      <c r="F20" s="4">
        <f t="shared" si="8"/>
        <v>2191</v>
      </c>
      <c r="G20" s="5">
        <v>61256</v>
      </c>
      <c r="H20" s="4">
        <f t="shared" si="9"/>
        <v>2.0906488549618323</v>
      </c>
      <c r="I20" s="5">
        <f t="shared" si="10"/>
        <v>58.450381679389317</v>
      </c>
      <c r="J20" s="44">
        <f>I20/H20</f>
        <v>27.958010041077131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0.74991710609350437</v>
      </c>
      <c r="G21" s="16">
        <f t="shared" ref="G21" si="11">G20/G19</f>
        <v>0.6551934369418031</v>
      </c>
      <c r="H21" s="16"/>
      <c r="I21" s="16"/>
      <c r="J21" s="45"/>
      <c r="K21" s="45"/>
    </row>
    <row r="22" spans="1:11" ht="16.5" thickTop="1" thickBot="1" x14ac:dyDescent="0.25">
      <c r="A22" s="1">
        <f>$A$7</f>
        <v>2045</v>
      </c>
      <c r="B22" s="3">
        <f>$B$7</f>
        <v>158</v>
      </c>
      <c r="C22" s="4">
        <f>$C$7</f>
        <v>1048</v>
      </c>
      <c r="D22" s="4">
        <f>G22/$J$7</f>
        <v>11264.875</v>
      </c>
      <c r="E22" s="4">
        <v>0</v>
      </c>
      <c r="F22" s="13">
        <f>SUM(D22:E22)</f>
        <v>11264.875</v>
      </c>
      <c r="G22" s="14">
        <v>360476</v>
      </c>
      <c r="H22" s="13">
        <f>F22/C22</f>
        <v>10.748926526717558</v>
      </c>
      <c r="I22" s="14">
        <f>G22/C22</f>
        <v>343.96564885496184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2045</v>
      </c>
      <c r="B23" s="3">
        <f>$B$7</f>
        <v>158</v>
      </c>
      <c r="C23" s="4">
        <f>$C$7</f>
        <v>1048</v>
      </c>
      <c r="D23" s="48">
        <v>8561</v>
      </c>
      <c r="E23" s="48">
        <v>0</v>
      </c>
      <c r="F23" s="4">
        <f>SUM(D23:E23)</f>
        <v>8561</v>
      </c>
      <c r="G23" s="5">
        <v>227602</v>
      </c>
      <c r="H23" s="4">
        <f>F23/C23</f>
        <v>8.1688931297709928</v>
      </c>
      <c r="I23" s="5">
        <f>G23/C23</f>
        <v>217.17748091603053</v>
      </c>
      <c r="J23" s="44">
        <f>I23/H23</f>
        <v>26.58591286064712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0.75997292468846744</v>
      </c>
      <c r="G24" s="16">
        <f t="shared" ref="G24" si="12">G23/G22</f>
        <v>0.63139293600683544</v>
      </c>
      <c r="H24" s="16"/>
      <c r="I24" s="16"/>
      <c r="J24" s="17"/>
      <c r="K24" s="17"/>
    </row>
    <row r="25" spans="1:11" ht="16.5" thickTop="1" thickBot="1" x14ac:dyDescent="0.25">
      <c r="A25" s="1">
        <f>$A$7</f>
        <v>2045</v>
      </c>
      <c r="B25" s="3">
        <f>$B$7</f>
        <v>158</v>
      </c>
      <c r="C25" s="4">
        <v>1178</v>
      </c>
      <c r="D25" s="4">
        <f>G25/$J$7</f>
        <v>2219.6875</v>
      </c>
      <c r="E25" s="4">
        <v>0</v>
      </c>
      <c r="F25" s="13">
        <f>SUM(D25:E25)</f>
        <v>2219.6875</v>
      </c>
      <c r="G25" s="14">
        <v>71030</v>
      </c>
      <c r="H25" s="13">
        <f>F25/C25</f>
        <v>1.8842848047538201</v>
      </c>
      <c r="I25" s="14">
        <f>G25/C25</f>
        <v>60.297113752122243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2045</v>
      </c>
      <c r="B26" s="3">
        <f>$B$7</f>
        <v>158</v>
      </c>
      <c r="C26" s="4">
        <f>C25</f>
        <v>1178</v>
      </c>
      <c r="D26" s="48">
        <v>2529</v>
      </c>
      <c r="E26" s="48">
        <v>0</v>
      </c>
      <c r="F26" s="4">
        <f>SUM(D26:E26)</f>
        <v>2529</v>
      </c>
      <c r="G26" s="5">
        <v>67247</v>
      </c>
      <c r="H26" s="4">
        <f>F26/C26</f>
        <v>2.1468590831918508</v>
      </c>
      <c r="I26" s="5">
        <f>G26/C26</f>
        <v>57.085738539898131</v>
      </c>
      <c r="J26" s="44">
        <f>I26/H26</f>
        <v>26.590351917754049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1.1393495706039702</v>
      </c>
      <c r="G27" s="16">
        <f t="shared" ref="G27" si="13">G26/G25</f>
        <v>0.94674081374067298</v>
      </c>
      <c r="H27" s="16"/>
      <c r="I27" s="16"/>
      <c r="J27" s="17"/>
      <c r="K27" s="17"/>
    </row>
    <row r="28" spans="1:11" ht="16.5" thickTop="1" thickBot="1" x14ac:dyDescent="0.25">
      <c r="A28" s="1">
        <f>$A$7</f>
        <v>2045</v>
      </c>
      <c r="B28" s="3">
        <f>$B$7</f>
        <v>158</v>
      </c>
      <c r="C28" s="4">
        <f>$C$7</f>
        <v>1048</v>
      </c>
      <c r="D28" s="4">
        <f>G28/$J$7</f>
        <v>1179.0625</v>
      </c>
      <c r="E28" s="4">
        <v>0</v>
      </c>
      <c r="F28" s="13">
        <f>SUM(D28:E28)</f>
        <v>1179.0625</v>
      </c>
      <c r="G28" s="14">
        <v>37730</v>
      </c>
      <c r="H28" s="13">
        <f>F28/C28</f>
        <v>1.1250596374045803</v>
      </c>
      <c r="I28" s="14">
        <f>G28/C28</f>
        <v>36.001908396946568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2045</v>
      </c>
      <c r="B29" s="3">
        <f>$B$7</f>
        <v>158</v>
      </c>
      <c r="C29" s="4">
        <f>$C$7</f>
        <v>1048</v>
      </c>
      <c r="D29" s="48">
        <v>824</v>
      </c>
      <c r="E29" s="48">
        <v>0</v>
      </c>
      <c r="F29" s="4">
        <f>SUM(D29:E29)</f>
        <v>824</v>
      </c>
      <c r="G29" s="5">
        <v>25417</v>
      </c>
      <c r="H29" s="4">
        <f>F29/C29</f>
        <v>0.7862595419847328</v>
      </c>
      <c r="I29" s="5">
        <f>G29/C29</f>
        <v>24.252862595419849</v>
      </c>
      <c r="J29" s="44">
        <f>I29/H29</f>
        <v>30.845873786407768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0.69886032335011927</v>
      </c>
      <c r="G30" s="16">
        <f t="shared" ref="G30" si="14">G29/G28</f>
        <v>0.67365491651205933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2045</v>
      </c>
      <c r="B33" s="3">
        <f>$B$7</f>
        <v>158</v>
      </c>
      <c r="C33" s="4">
        <f>$C$7</f>
        <v>1048</v>
      </c>
      <c r="D33" s="13">
        <f>SUM(D28,D22,D19)</f>
        <v>15365.59375</v>
      </c>
      <c r="E33" s="13">
        <v>0</v>
      </c>
      <c r="F33" s="13">
        <f t="shared" ref="F33" si="15">SUM(D33:E33)</f>
        <v>15365.59375</v>
      </c>
      <c r="G33" s="14">
        <f>SUM(G28,G22,G19)</f>
        <v>491699</v>
      </c>
      <c r="H33" s="34">
        <f t="shared" ref="H33:H34" si="16">F33/C33</f>
        <v>14.661826097328245</v>
      </c>
      <c r="I33" s="39">
        <f t="shared" ref="I33:I34" si="17">G33/C33</f>
        <v>469.17843511450383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2045</v>
      </c>
      <c r="B34" s="3">
        <f>$B$7</f>
        <v>158</v>
      </c>
      <c r="C34" s="4">
        <f>$C$7</f>
        <v>1048</v>
      </c>
      <c r="D34" s="4">
        <f>SUM(D29,D23,D20)</f>
        <v>11576</v>
      </c>
      <c r="E34" s="49">
        <v>0</v>
      </c>
      <c r="F34" s="4">
        <f>SUM(D34)</f>
        <v>11576</v>
      </c>
      <c r="G34" s="50">
        <f>SUM(G29,G23,G20)</f>
        <v>314275</v>
      </c>
      <c r="H34" s="41">
        <f t="shared" si="16"/>
        <v>11.045801526717558</v>
      </c>
      <c r="I34" s="42">
        <f t="shared" si="17"/>
        <v>299.88072519083971</v>
      </c>
      <c r="J34" s="43">
        <f>I34/H34</f>
        <v>27.148842432619212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0.63916135684636333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11.045801526717558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2.1468590831918508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13.876908396946565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2046</v>
      </c>
      <c r="B7" s="3">
        <v>110</v>
      </c>
      <c r="C7" s="4">
        <v>600</v>
      </c>
      <c r="D7" s="4">
        <f>G7/$J$7</f>
        <v>13724.6875</v>
      </c>
      <c r="E7" s="4">
        <v>0</v>
      </c>
      <c r="F7" s="4">
        <f t="shared" ref="F7" si="0">SUM(D7:E7)</f>
        <v>13724.6875</v>
      </c>
      <c r="G7" s="5">
        <f>SUM(G16,G19,G22,G25,G28)</f>
        <v>439190</v>
      </c>
      <c r="H7" s="9">
        <f t="shared" ref="H7" si="1">F7/C7</f>
        <v>22.874479166666667</v>
      </c>
      <c r="I7" s="11">
        <f t="shared" ref="I7:I8" si="2">G7/C7</f>
        <v>731.98333333333335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2046</v>
      </c>
      <c r="B8" s="3">
        <v>110</v>
      </c>
      <c r="C8" s="4">
        <f>C7</f>
        <v>600</v>
      </c>
      <c r="D8" s="4">
        <f>SUM(D17,D20,D23,D26,D29)</f>
        <v>12481</v>
      </c>
      <c r="E8" s="4">
        <v>0</v>
      </c>
      <c r="F8" s="4">
        <f>SUM(D8)</f>
        <v>12481</v>
      </c>
      <c r="G8" s="5">
        <f>SUM(G17,G20,G23,G26,G29)</f>
        <v>349618</v>
      </c>
      <c r="H8" s="58">
        <f>F8/C8</f>
        <v>20.801666666666666</v>
      </c>
      <c r="I8" s="42">
        <f t="shared" si="2"/>
        <v>582.69666666666672</v>
      </c>
      <c r="J8" s="43">
        <f>I8/H8</f>
        <v>28.012018267767008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0.9093831826772012</v>
      </c>
      <c r="G10" s="62">
        <f t="shared" ref="G10" si="3">G8/G7</f>
        <v>0.79605182267355812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1243.6875</v>
      </c>
      <c r="G12" s="47">
        <f>G7-G8</f>
        <v>89572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2046</v>
      </c>
      <c r="B16" s="3">
        <f>$B$7</f>
        <v>110</v>
      </c>
      <c r="C16" s="4">
        <f>$C$7</f>
        <v>600</v>
      </c>
      <c r="D16" s="4">
        <f>G16/$J$7</f>
        <v>1054.6875</v>
      </c>
      <c r="E16" s="4">
        <v>0</v>
      </c>
      <c r="F16" s="13">
        <f t="shared" ref="F16:F17" si="4">SUM(D16:E16)</f>
        <v>1054.6875</v>
      </c>
      <c r="G16" s="14">
        <v>33750</v>
      </c>
      <c r="H16" s="13">
        <f t="shared" ref="H16:H17" si="5">F16/C16</f>
        <v>1.7578125</v>
      </c>
      <c r="I16" s="14">
        <f t="shared" ref="I16:I17" si="6">G16/C16</f>
        <v>56.25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2046</v>
      </c>
      <c r="B17" s="3">
        <f>$B$7</f>
        <v>110</v>
      </c>
      <c r="C17" s="4">
        <f>$C$7</f>
        <v>600</v>
      </c>
      <c r="D17" s="48">
        <v>241</v>
      </c>
      <c r="E17" s="48">
        <v>0</v>
      </c>
      <c r="F17" s="4">
        <f t="shared" si="4"/>
        <v>241</v>
      </c>
      <c r="G17" s="5">
        <v>13258</v>
      </c>
      <c r="H17" s="4">
        <f t="shared" si="5"/>
        <v>0.40166666666666667</v>
      </c>
      <c r="I17" s="5">
        <f t="shared" si="6"/>
        <v>22.096666666666668</v>
      </c>
      <c r="J17" s="44">
        <f>I17/H17</f>
        <v>55.012448132780086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0.22850370370370371</v>
      </c>
      <c r="G18" s="16">
        <f t="shared" ref="G18" si="7">G17/G16</f>
        <v>0.39282962962962964</v>
      </c>
      <c r="H18" s="16"/>
      <c r="I18" s="16"/>
      <c r="J18" s="16"/>
      <c r="K18" s="45"/>
    </row>
    <row r="19" spans="1:11" ht="16.5" thickTop="1" thickBot="1" x14ac:dyDescent="0.25">
      <c r="A19" s="1">
        <f>$A$7</f>
        <v>2046</v>
      </c>
      <c r="B19" s="3">
        <f>$B$7</f>
        <v>110</v>
      </c>
      <c r="C19" s="4">
        <f>$C$7</f>
        <v>600</v>
      </c>
      <c r="D19" s="4">
        <f>G19/$J$7</f>
        <v>1849.375</v>
      </c>
      <c r="E19" s="4">
        <v>0</v>
      </c>
      <c r="F19" s="13">
        <f t="shared" ref="F19:F20" si="8">SUM(D19:E19)</f>
        <v>1849.375</v>
      </c>
      <c r="G19" s="14">
        <v>59180</v>
      </c>
      <c r="H19" s="13">
        <f t="shared" ref="H19:H20" si="9">F19/C19</f>
        <v>3.0822916666666669</v>
      </c>
      <c r="I19" s="14">
        <f t="shared" ref="I19:I20" si="10">G19/C19</f>
        <v>98.63333333333334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2046</v>
      </c>
      <c r="B20" s="3">
        <f>$B$7</f>
        <v>110</v>
      </c>
      <c r="C20" s="4">
        <f>$C$7</f>
        <v>600</v>
      </c>
      <c r="D20" s="48">
        <v>1009</v>
      </c>
      <c r="E20" s="48">
        <v>0</v>
      </c>
      <c r="F20" s="4">
        <f t="shared" si="8"/>
        <v>1009</v>
      </c>
      <c r="G20" s="5">
        <v>30106</v>
      </c>
      <c r="H20" s="4">
        <f t="shared" si="9"/>
        <v>1.6816666666666666</v>
      </c>
      <c r="I20" s="5">
        <f t="shared" si="10"/>
        <v>50.176666666666669</v>
      </c>
      <c r="J20" s="44">
        <f>I20/H20</f>
        <v>29.837462834489596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0.54558972625887125</v>
      </c>
      <c r="G21" s="16">
        <f t="shared" ref="G21" si="11">G20/G19</f>
        <v>0.50871916187901323</v>
      </c>
      <c r="H21" s="16"/>
      <c r="I21" s="16"/>
      <c r="J21" s="45"/>
      <c r="K21" s="45"/>
    </row>
    <row r="22" spans="1:11" ht="16.5" thickTop="1" thickBot="1" x14ac:dyDescent="0.25">
      <c r="A22" s="1">
        <f>$A$7</f>
        <v>2046</v>
      </c>
      <c r="B22" s="3">
        <f>$B$7</f>
        <v>110</v>
      </c>
      <c r="C22" s="4">
        <f>$C$7</f>
        <v>600</v>
      </c>
      <c r="D22" s="4">
        <f>G22/$J$7</f>
        <v>7774.53125</v>
      </c>
      <c r="E22" s="4">
        <v>0</v>
      </c>
      <c r="F22" s="13">
        <f>SUM(D22:E22)</f>
        <v>7774.53125</v>
      </c>
      <c r="G22" s="14">
        <v>248785</v>
      </c>
      <c r="H22" s="13">
        <f>F22/C22</f>
        <v>12.957552083333333</v>
      </c>
      <c r="I22" s="14">
        <f>G22/C22</f>
        <v>414.64166666666665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2046</v>
      </c>
      <c r="B23" s="3">
        <f>$B$7</f>
        <v>110</v>
      </c>
      <c r="C23" s="4">
        <f>$C$7</f>
        <v>600</v>
      </c>
      <c r="D23" s="48">
        <v>7415</v>
      </c>
      <c r="E23" s="48">
        <v>0</v>
      </c>
      <c r="F23" s="4">
        <f>SUM(D23:E23)</f>
        <v>7415</v>
      </c>
      <c r="G23" s="5">
        <v>199227</v>
      </c>
      <c r="H23" s="4">
        <f>F23/C23</f>
        <v>12.358333333333333</v>
      </c>
      <c r="I23" s="5">
        <f>G23/C23</f>
        <v>332.04500000000002</v>
      </c>
      <c r="J23" s="44">
        <f>I23/H23</f>
        <v>26.868105192178021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0.95375525051751509</v>
      </c>
      <c r="G24" s="16">
        <f t="shared" ref="G24" si="12">G23/G22</f>
        <v>0.80079988745302166</v>
      </c>
      <c r="H24" s="16"/>
      <c r="I24" s="16"/>
      <c r="J24" s="17"/>
      <c r="K24" s="17"/>
    </row>
    <row r="25" spans="1:11" ht="16.5" thickTop="1" thickBot="1" x14ac:dyDescent="0.25">
      <c r="A25" s="1">
        <f>$A$7</f>
        <v>2046</v>
      </c>
      <c r="B25" s="3">
        <f>$B$7</f>
        <v>110</v>
      </c>
      <c r="C25" s="4">
        <v>586</v>
      </c>
      <c r="D25" s="4">
        <f>G25/$J$7</f>
        <v>1121.25</v>
      </c>
      <c r="E25" s="4">
        <v>0</v>
      </c>
      <c r="F25" s="13">
        <f>SUM(D25:E25)</f>
        <v>1121.25</v>
      </c>
      <c r="G25" s="14">
        <v>35880</v>
      </c>
      <c r="H25" s="13">
        <f>F25/C25</f>
        <v>1.91339590443686</v>
      </c>
      <c r="I25" s="14">
        <f>G25/C25</f>
        <v>61.228668941979521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2046</v>
      </c>
      <c r="B26" s="3">
        <f>$B$7</f>
        <v>110</v>
      </c>
      <c r="C26" s="4">
        <f>C25</f>
        <v>586</v>
      </c>
      <c r="D26" s="48">
        <v>1053</v>
      </c>
      <c r="E26" s="48">
        <v>0</v>
      </c>
      <c r="F26" s="4">
        <f>SUM(D26:E26)</f>
        <v>1053</v>
      </c>
      <c r="G26" s="5">
        <v>36570</v>
      </c>
      <c r="H26" s="4">
        <f>F26/C26</f>
        <v>1.7969283276450512</v>
      </c>
      <c r="I26" s="5">
        <f>G26/C26</f>
        <v>62.406143344709896</v>
      </c>
      <c r="J26" s="44">
        <f>I26/H26</f>
        <v>34.729344729344731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0.93913043478260871</v>
      </c>
      <c r="G27" s="16">
        <f t="shared" ref="G27" si="13">G26/G25</f>
        <v>1.0192307692307692</v>
      </c>
      <c r="H27" s="16"/>
      <c r="I27" s="16"/>
      <c r="J27" s="17"/>
      <c r="K27" s="17"/>
    </row>
    <row r="28" spans="1:11" ht="16.5" thickTop="1" thickBot="1" x14ac:dyDescent="0.25">
      <c r="A28" s="1">
        <f>$A$7</f>
        <v>2046</v>
      </c>
      <c r="B28" s="3">
        <f>$B$7</f>
        <v>110</v>
      </c>
      <c r="C28" s="4">
        <f>$C$7</f>
        <v>600</v>
      </c>
      <c r="D28" s="4">
        <f>G28/$J$7</f>
        <v>1924.84375</v>
      </c>
      <c r="E28" s="4">
        <v>0</v>
      </c>
      <c r="F28" s="13">
        <f>SUM(D28:E28)</f>
        <v>1924.84375</v>
      </c>
      <c r="G28" s="14">
        <v>61595</v>
      </c>
      <c r="H28" s="13">
        <f>F28/C28</f>
        <v>3.2080729166666666</v>
      </c>
      <c r="I28" s="14">
        <f>G28/C28</f>
        <v>102.65833333333333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2046</v>
      </c>
      <c r="B29" s="3">
        <f>$B$7</f>
        <v>110</v>
      </c>
      <c r="C29" s="4">
        <f>$C$7</f>
        <v>600</v>
      </c>
      <c r="D29" s="48">
        <v>2763</v>
      </c>
      <c r="E29" s="48">
        <v>0</v>
      </c>
      <c r="F29" s="4">
        <f>SUM(D29:E29)</f>
        <v>2763</v>
      </c>
      <c r="G29" s="5">
        <v>70457</v>
      </c>
      <c r="H29" s="4">
        <f>F29/C29</f>
        <v>4.6050000000000004</v>
      </c>
      <c r="I29" s="5">
        <f>G29/C29</f>
        <v>117.42833333333333</v>
      </c>
      <c r="J29" s="44">
        <f>I29/H29</f>
        <v>25.500180962721675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1.4354411884081499</v>
      </c>
      <c r="G30" s="16">
        <f t="shared" ref="G30" si="14">G29/G28</f>
        <v>1.1438753145547529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2046</v>
      </c>
      <c r="B33" s="3">
        <f>$B$7</f>
        <v>110</v>
      </c>
      <c r="C33" s="4">
        <f>$C$7</f>
        <v>600</v>
      </c>
      <c r="D33" s="13">
        <f>SUM(D28,D22,D19)</f>
        <v>11548.75</v>
      </c>
      <c r="E33" s="13">
        <v>0</v>
      </c>
      <c r="F33" s="13">
        <f t="shared" ref="F33" si="15">SUM(D33:E33)</f>
        <v>11548.75</v>
      </c>
      <c r="G33" s="14">
        <f>SUM(G28,G22,G19)</f>
        <v>369560</v>
      </c>
      <c r="H33" s="34">
        <f t="shared" ref="H33:H34" si="16">F33/C33</f>
        <v>19.247916666666665</v>
      </c>
      <c r="I33" s="39">
        <f t="shared" ref="I33:I34" si="17">G33/C33</f>
        <v>615.93333333333328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2046</v>
      </c>
      <c r="B34" s="3">
        <f>$B$7</f>
        <v>110</v>
      </c>
      <c r="C34" s="4">
        <f>$C$7</f>
        <v>600</v>
      </c>
      <c r="D34" s="4">
        <f>SUM(D29,D23,D20)</f>
        <v>11187</v>
      </c>
      <c r="E34" s="49">
        <v>0</v>
      </c>
      <c r="F34" s="4">
        <f>SUM(D34)</f>
        <v>11187</v>
      </c>
      <c r="G34" s="50">
        <f>SUM(G29,G23,G20)</f>
        <v>299790</v>
      </c>
      <c r="H34" s="41">
        <f t="shared" si="16"/>
        <v>18.645</v>
      </c>
      <c r="I34" s="42">
        <f t="shared" si="17"/>
        <v>499.65</v>
      </c>
      <c r="J34" s="43">
        <f>I34/H34</f>
        <v>26.798069187449716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0.81120792293538257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18.645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1.7969283276450512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20.801666666666666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2047</v>
      </c>
      <c r="B7" s="3">
        <v>70</v>
      </c>
      <c r="C7" s="4">
        <v>361</v>
      </c>
      <c r="D7" s="4">
        <f>G7/$J$7</f>
        <v>4541.53125</v>
      </c>
      <c r="E7" s="4">
        <v>0</v>
      </c>
      <c r="F7" s="4">
        <f t="shared" ref="F7" si="0">SUM(D7:E7)</f>
        <v>4541.53125</v>
      </c>
      <c r="G7" s="5">
        <f>SUM(G16,G19,G22,G25,G28)</f>
        <v>145329</v>
      </c>
      <c r="H7" s="9">
        <f t="shared" ref="H7" si="1">F7/C7</f>
        <v>12.580418975069252</v>
      </c>
      <c r="I7" s="11">
        <f t="shared" ref="I7:I8" si="2">G7/C7</f>
        <v>402.57340720221606</v>
      </c>
      <c r="J7" s="12">
        <v>32</v>
      </c>
      <c r="K7" s="37" t="s">
        <v>10</v>
      </c>
    </row>
    <row r="8" spans="1:11" ht="16.5" thickTop="1" thickBot="1" x14ac:dyDescent="0.25">
      <c r="A8" s="3">
        <v>2047</v>
      </c>
      <c r="B8" s="3">
        <v>70</v>
      </c>
      <c r="C8" s="4">
        <v>361</v>
      </c>
      <c r="D8" s="4">
        <f>SUM(D17,D20,D23,D26,D29)</f>
        <v>5838</v>
      </c>
      <c r="E8" s="4">
        <v>0</v>
      </c>
      <c r="F8" s="4">
        <f>SUM(D8)</f>
        <v>5838</v>
      </c>
      <c r="G8" s="5">
        <f>SUM(G17,G20,G23,G26,G29)</f>
        <v>150691</v>
      </c>
      <c r="H8" s="58">
        <f>F8/C8</f>
        <v>16.171745152354571</v>
      </c>
      <c r="I8" s="42">
        <f t="shared" si="2"/>
        <v>417.42659279778394</v>
      </c>
      <c r="J8" s="43">
        <f>I8/H8</f>
        <v>25.812093182596779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1.2854695208802098</v>
      </c>
      <c r="G10" s="62">
        <f t="shared" ref="G10" si="3">G8/G7</f>
        <v>1.0368955955108754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-1296.46875</v>
      </c>
      <c r="G12" s="47">
        <f>G7-G8</f>
        <v>-5362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2047</v>
      </c>
      <c r="B16" s="3">
        <f>$B$7</f>
        <v>70</v>
      </c>
      <c r="C16" s="4">
        <f>$C$7</f>
        <v>361</v>
      </c>
      <c r="D16" s="4">
        <f>G16/$J$7</f>
        <v>414.0625</v>
      </c>
      <c r="E16" s="4">
        <v>0</v>
      </c>
      <c r="F16" s="13">
        <f t="shared" ref="F16:F17" si="4">SUM(D16:E16)</f>
        <v>414.0625</v>
      </c>
      <c r="G16" s="14">
        <v>13250</v>
      </c>
      <c r="H16" s="13">
        <f t="shared" ref="H16:H17" si="5">F16/C16</f>
        <v>1.1469875346260388</v>
      </c>
      <c r="I16" s="14">
        <f t="shared" ref="I16:I17" si="6">G16/C16</f>
        <v>36.70360110803324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2047</v>
      </c>
      <c r="B17" s="3">
        <f>$B$7</f>
        <v>70</v>
      </c>
      <c r="C17" s="4">
        <f>$C$7</f>
        <v>361</v>
      </c>
      <c r="D17" s="48">
        <v>152</v>
      </c>
      <c r="E17" s="48">
        <v>0</v>
      </c>
      <c r="F17" s="4">
        <f t="shared" si="4"/>
        <v>152</v>
      </c>
      <c r="G17" s="5">
        <v>7777</v>
      </c>
      <c r="H17" s="4">
        <f t="shared" si="5"/>
        <v>0.42105263157894735</v>
      </c>
      <c r="I17" s="5">
        <f t="shared" si="6"/>
        <v>21.542936288088644</v>
      </c>
      <c r="J17" s="44">
        <f>I17/H17</f>
        <v>51.164473684210535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0.36709433962264149</v>
      </c>
      <c r="G18" s="16">
        <f t="shared" ref="G18" si="7">G17/G16</f>
        <v>0.58694339622641512</v>
      </c>
      <c r="H18" s="16"/>
      <c r="I18" s="16"/>
      <c r="J18" s="16"/>
      <c r="K18" s="45"/>
    </row>
    <row r="19" spans="1:11" ht="16.5" thickTop="1" thickBot="1" x14ac:dyDescent="0.25">
      <c r="A19" s="1">
        <f>$A$7</f>
        <v>2047</v>
      </c>
      <c r="B19" s="3">
        <f>$B$7</f>
        <v>70</v>
      </c>
      <c r="C19" s="4">
        <f>$C$7</f>
        <v>361</v>
      </c>
      <c r="D19" s="4">
        <f>G19/$J$7</f>
        <v>0</v>
      </c>
      <c r="E19" s="4">
        <v>0</v>
      </c>
      <c r="F19" s="13">
        <f t="shared" ref="F19:F20" si="8">SUM(D19:E19)</f>
        <v>0</v>
      </c>
      <c r="G19" s="14">
        <v>0</v>
      </c>
      <c r="H19" s="13">
        <f t="shared" ref="H19:H20" si="9">F19/C19</f>
        <v>0</v>
      </c>
      <c r="I19" s="14">
        <f t="shared" ref="I19:I20" si="10">G19/C19</f>
        <v>0</v>
      </c>
      <c r="J19" s="6" t="e">
        <f>I19/H19</f>
        <v>#DIV/0!</v>
      </c>
      <c r="K19" s="27" t="s">
        <v>10</v>
      </c>
    </row>
    <row r="20" spans="1:11" ht="16.5" thickTop="1" thickBot="1" x14ac:dyDescent="0.25">
      <c r="A20" s="1">
        <f>$A$7</f>
        <v>2047</v>
      </c>
      <c r="B20" s="3">
        <f>$B$7</f>
        <v>70</v>
      </c>
      <c r="C20" s="4">
        <f>$C$7</f>
        <v>361</v>
      </c>
      <c r="D20" s="48">
        <v>0</v>
      </c>
      <c r="E20" s="48">
        <v>0</v>
      </c>
      <c r="F20" s="4">
        <f t="shared" si="8"/>
        <v>0</v>
      </c>
      <c r="G20" s="5">
        <v>0</v>
      </c>
      <c r="H20" s="4">
        <f t="shared" si="9"/>
        <v>0</v>
      </c>
      <c r="I20" s="5">
        <f t="shared" si="10"/>
        <v>0</v>
      </c>
      <c r="J20" s="44" t="e">
        <f>I20/H20</f>
        <v>#DIV/0!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/>
      <c r="G21" s="16"/>
      <c r="H21" s="16"/>
      <c r="I21" s="16"/>
      <c r="J21" s="45"/>
      <c r="K21" s="45"/>
    </row>
    <row r="22" spans="1:11" ht="16.5" thickTop="1" thickBot="1" x14ac:dyDescent="0.25">
      <c r="A22" s="1">
        <f>$A$7</f>
        <v>2047</v>
      </c>
      <c r="B22" s="3">
        <f>$B$7</f>
        <v>70</v>
      </c>
      <c r="C22" s="4">
        <f>$C$7</f>
        <v>361</v>
      </c>
      <c r="D22" s="4">
        <f>G22/$J$7</f>
        <v>3308.09375</v>
      </c>
      <c r="E22" s="4">
        <v>0</v>
      </c>
      <c r="F22" s="13">
        <f>SUM(D22:E22)</f>
        <v>3308.09375</v>
      </c>
      <c r="G22" s="14">
        <v>105859</v>
      </c>
      <c r="H22" s="13">
        <f>F22/C22</f>
        <v>9.1636945983379494</v>
      </c>
      <c r="I22" s="14">
        <f>G22/C22</f>
        <v>293.23822714681438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2047</v>
      </c>
      <c r="B23" s="3">
        <f>$B$7</f>
        <v>70</v>
      </c>
      <c r="C23" s="4">
        <f>$C$7</f>
        <v>361</v>
      </c>
      <c r="D23" s="48">
        <v>4762</v>
      </c>
      <c r="E23" s="48">
        <v>0</v>
      </c>
      <c r="F23" s="4">
        <f>SUM(D23:E23)</f>
        <v>4762</v>
      </c>
      <c r="G23" s="5">
        <v>119374</v>
      </c>
      <c r="H23" s="4">
        <f>F23/C23</f>
        <v>13.191135734072022</v>
      </c>
      <c r="I23" s="5">
        <f>G23/C23</f>
        <v>330.67590027700834</v>
      </c>
      <c r="J23" s="44">
        <f>I23/H23</f>
        <v>25.068038639227218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1.4394997118808981</v>
      </c>
      <c r="G24" s="16">
        <f t="shared" ref="G24" si="11">G23/G22</f>
        <v>1.1276698249558375</v>
      </c>
      <c r="H24" s="16"/>
      <c r="I24" s="16"/>
      <c r="J24" s="17"/>
      <c r="K24" s="17"/>
    </row>
    <row r="25" spans="1:11" ht="16.5" thickTop="1" thickBot="1" x14ac:dyDescent="0.25">
      <c r="A25" s="1">
        <f>$A$7</f>
        <v>2047</v>
      </c>
      <c r="B25" s="3">
        <f>$B$7</f>
        <v>70</v>
      </c>
      <c r="C25" s="4">
        <v>431</v>
      </c>
      <c r="D25" s="4">
        <f>G25/$J$7</f>
        <v>819.375</v>
      </c>
      <c r="E25" s="4">
        <v>0</v>
      </c>
      <c r="F25" s="13">
        <f>SUM(D25:E25)</f>
        <v>819.375</v>
      </c>
      <c r="G25" s="14">
        <v>26220</v>
      </c>
      <c r="H25" s="13">
        <f>F25/C25</f>
        <v>1.9011020881670533</v>
      </c>
      <c r="I25" s="14">
        <f>G25/C25</f>
        <v>60.835266821345705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2047</v>
      </c>
      <c r="B26" s="3">
        <f>$B$7</f>
        <v>70</v>
      </c>
      <c r="C26" s="4">
        <v>431</v>
      </c>
      <c r="D26" s="48">
        <v>924</v>
      </c>
      <c r="E26" s="48">
        <v>0</v>
      </c>
      <c r="F26" s="4">
        <f>SUM(D26:E26)</f>
        <v>924</v>
      </c>
      <c r="G26" s="5">
        <v>23540</v>
      </c>
      <c r="H26" s="4">
        <f>F26/C26</f>
        <v>2.1438515081206497</v>
      </c>
      <c r="I26" s="5">
        <f>G26/C26</f>
        <v>54.617169373549885</v>
      </c>
      <c r="J26" s="44">
        <f>I26/H26</f>
        <v>25.476190476190474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1.1276887871853547</v>
      </c>
      <c r="G27" s="16">
        <f t="shared" ref="G27" si="12">G26/G25</f>
        <v>0.89778794813119756</v>
      </c>
      <c r="H27" s="16"/>
      <c r="I27" s="16"/>
      <c r="J27" s="17"/>
      <c r="K27" s="17"/>
    </row>
    <row r="28" spans="1:11" ht="16.5" thickTop="1" thickBot="1" x14ac:dyDescent="0.25">
      <c r="A28" s="1">
        <f>$A$7</f>
        <v>2047</v>
      </c>
      <c r="B28" s="3">
        <f>$B$7</f>
        <v>70</v>
      </c>
      <c r="C28" s="4">
        <f>$C$7</f>
        <v>361</v>
      </c>
      <c r="D28" s="4">
        <f>G28/$J$7</f>
        <v>0</v>
      </c>
      <c r="E28" s="4">
        <v>0</v>
      </c>
      <c r="F28" s="13">
        <f>SUM(D28:E28)</f>
        <v>0</v>
      </c>
      <c r="G28" s="14">
        <v>0</v>
      </c>
      <c r="H28" s="13">
        <f>F28/C28</f>
        <v>0</v>
      </c>
      <c r="I28" s="14">
        <f>G28/C28</f>
        <v>0</v>
      </c>
      <c r="J28" s="6" t="e">
        <f>I28/H28</f>
        <v>#DIV/0!</v>
      </c>
      <c r="K28" s="27" t="s">
        <v>10</v>
      </c>
    </row>
    <row r="29" spans="1:11" ht="16.5" thickTop="1" thickBot="1" x14ac:dyDescent="0.25">
      <c r="A29" s="1">
        <f>$A$7</f>
        <v>2047</v>
      </c>
      <c r="B29" s="3">
        <f>$B$7</f>
        <v>70</v>
      </c>
      <c r="C29" s="4">
        <f>$C$7</f>
        <v>361</v>
      </c>
      <c r="D29" s="48">
        <v>0</v>
      </c>
      <c r="E29" s="48">
        <v>0</v>
      </c>
      <c r="F29" s="4">
        <f>SUM(D29:E29)</f>
        <v>0</v>
      </c>
      <c r="G29" s="5">
        <v>0</v>
      </c>
      <c r="H29" s="4">
        <f>F29/C29</f>
        <v>0</v>
      </c>
      <c r="I29" s="5">
        <f>G29/C29</f>
        <v>0</v>
      </c>
      <c r="J29" s="44" t="e">
        <f>I29/H29</f>
        <v>#DIV/0!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2047</v>
      </c>
      <c r="B33" s="3">
        <f>$B$7</f>
        <v>70</v>
      </c>
      <c r="C33" s="4">
        <f>$C$7</f>
        <v>361</v>
      </c>
      <c r="D33" s="13">
        <f>SUM(D28,D22,D19)</f>
        <v>3308.09375</v>
      </c>
      <c r="E33" s="13">
        <v>0</v>
      </c>
      <c r="F33" s="13">
        <f t="shared" ref="F33" si="13">SUM(D33:E33)</f>
        <v>3308.09375</v>
      </c>
      <c r="G33" s="14">
        <f>SUM(G28,G22,G19)</f>
        <v>105859</v>
      </c>
      <c r="H33" s="34">
        <f t="shared" ref="H33:H34" si="14">F33/C33</f>
        <v>9.1636945983379494</v>
      </c>
      <c r="I33" s="39">
        <f t="shared" ref="I33:I34" si="15">G33/C33</f>
        <v>293.23822714681438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2047</v>
      </c>
      <c r="B34" s="3">
        <f>$B$7</f>
        <v>70</v>
      </c>
      <c r="C34" s="4">
        <f>$C$7</f>
        <v>361</v>
      </c>
      <c r="D34" s="4">
        <f>SUM(D29,D23,D20)</f>
        <v>4762</v>
      </c>
      <c r="E34" s="49">
        <v>0</v>
      </c>
      <c r="F34" s="4">
        <f>SUM(D34)</f>
        <v>4762</v>
      </c>
      <c r="G34" s="50">
        <f>SUM(G29,G23,G20)</f>
        <v>119374</v>
      </c>
      <c r="H34" s="41">
        <f t="shared" si="14"/>
        <v>13.191135734072022</v>
      </c>
      <c r="I34" s="42">
        <f t="shared" si="15"/>
        <v>330.67590027700834</v>
      </c>
      <c r="J34" s="43">
        <f>I34/H34</f>
        <v>25.068038639227218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6">G34/G33</f>
        <v>1.1276698249558375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13.191135734072022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2.1438515081206497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16.171745152354571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2048</v>
      </c>
      <c r="B7" s="3">
        <v>70</v>
      </c>
      <c r="C7" s="4">
        <v>364</v>
      </c>
      <c r="D7" s="4">
        <f>G7/$J$7</f>
        <v>4571.8125</v>
      </c>
      <c r="E7" s="4">
        <v>0</v>
      </c>
      <c r="F7" s="4">
        <f t="shared" ref="F7" si="0">SUM(D7:E7)</f>
        <v>4571.8125</v>
      </c>
      <c r="G7" s="5">
        <f>SUM(G16,G19,G22,G25,G28)</f>
        <v>146298</v>
      </c>
      <c r="H7" s="9">
        <f t="shared" ref="H7" si="1">F7/C7</f>
        <v>12.559924450549451</v>
      </c>
      <c r="I7" s="11">
        <f t="shared" ref="I7:I8" si="2">G7/C7</f>
        <v>401.91758241758242</v>
      </c>
      <c r="J7" s="12">
        <v>32</v>
      </c>
      <c r="K7" s="37" t="s">
        <v>10</v>
      </c>
    </row>
    <row r="8" spans="1:11" ht="16.5" thickTop="1" thickBot="1" x14ac:dyDescent="0.25">
      <c r="A8" s="3">
        <v>2048</v>
      </c>
      <c r="B8" s="3">
        <v>70</v>
      </c>
      <c r="C8" s="4">
        <v>364</v>
      </c>
      <c r="D8" s="4">
        <f>SUM(D17,D20,D23,D26,D29)</f>
        <v>4660</v>
      </c>
      <c r="E8" s="4">
        <v>0</v>
      </c>
      <c r="F8" s="4">
        <f>SUM(D8)</f>
        <v>4660</v>
      </c>
      <c r="G8" s="5">
        <f>SUM(G17,G20,G23,G26,G29)</f>
        <v>117361</v>
      </c>
      <c r="H8" s="58">
        <f>F8/C8</f>
        <v>12.802197802197803</v>
      </c>
      <c r="I8" s="42">
        <f t="shared" si="2"/>
        <v>322.42032967032969</v>
      </c>
      <c r="J8" s="43">
        <f>I8/H8</f>
        <v>25.184763948497853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1.0192893956171649</v>
      </c>
      <c r="G10" s="62">
        <f t="shared" ref="G10" si="3">G8/G7</f>
        <v>0.80220508824454195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-88.1875</v>
      </c>
      <c r="G12" s="47">
        <f>G7-G8</f>
        <v>28937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2048</v>
      </c>
      <c r="B16" s="3">
        <f>$B$7</f>
        <v>70</v>
      </c>
      <c r="C16" s="4">
        <f>$C$7</f>
        <v>364</v>
      </c>
      <c r="D16" s="4">
        <f>G16/$J$7</f>
        <v>425.625</v>
      </c>
      <c r="E16" s="4">
        <v>0</v>
      </c>
      <c r="F16" s="13">
        <f t="shared" ref="F16:F17" si="4">SUM(D16:E16)</f>
        <v>425.625</v>
      </c>
      <c r="G16" s="14">
        <v>13620</v>
      </c>
      <c r="H16" s="13">
        <f t="shared" ref="H16:H17" si="5">F16/C16</f>
        <v>1.1692994505494505</v>
      </c>
      <c r="I16" s="14">
        <f t="shared" ref="I16:I17" si="6">G16/C16</f>
        <v>37.417582417582416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2048</v>
      </c>
      <c r="B17" s="3">
        <f>$B$7</f>
        <v>70</v>
      </c>
      <c r="C17" s="4">
        <f>$C$7</f>
        <v>364</v>
      </c>
      <c r="D17" s="48">
        <v>155</v>
      </c>
      <c r="E17" s="48">
        <v>0</v>
      </c>
      <c r="F17" s="4">
        <f t="shared" si="4"/>
        <v>155</v>
      </c>
      <c r="G17" s="5">
        <v>7805</v>
      </c>
      <c r="H17" s="4">
        <f t="shared" si="5"/>
        <v>0.42582417582417581</v>
      </c>
      <c r="I17" s="5">
        <f t="shared" si="6"/>
        <v>21.442307692307693</v>
      </c>
      <c r="J17" s="44">
        <f>I17/H17</f>
        <v>50.354838709677423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0.36417033773861968</v>
      </c>
      <c r="G18" s="16">
        <f t="shared" ref="G18" si="7">G17/G16</f>
        <v>0.57305433186490451</v>
      </c>
      <c r="H18" s="16"/>
      <c r="I18" s="16"/>
      <c r="J18" s="16"/>
      <c r="K18" s="45"/>
    </row>
    <row r="19" spans="1:11" ht="16.5" thickTop="1" thickBot="1" x14ac:dyDescent="0.25">
      <c r="A19" s="1">
        <f>$A$7</f>
        <v>2048</v>
      </c>
      <c r="B19" s="3">
        <f>$B$7</f>
        <v>70</v>
      </c>
      <c r="C19" s="4">
        <f>$C$7</f>
        <v>364</v>
      </c>
      <c r="D19" s="4">
        <f>G19/$J$7</f>
        <v>24.375</v>
      </c>
      <c r="E19" s="4">
        <v>0</v>
      </c>
      <c r="F19" s="13">
        <f t="shared" ref="F19:F20" si="8">SUM(D19:E19)</f>
        <v>24.375</v>
      </c>
      <c r="G19" s="14">
        <v>780</v>
      </c>
      <c r="H19" s="13">
        <f t="shared" ref="H19:H20" si="9">F19/C19</f>
        <v>6.6964285714285712E-2</v>
      </c>
      <c r="I19" s="14">
        <f t="shared" ref="I19:I20" si="10">G19/C19</f>
        <v>2.1428571428571428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2048</v>
      </c>
      <c r="B20" s="3">
        <f>$B$7</f>
        <v>70</v>
      </c>
      <c r="C20" s="4">
        <f>$C$7</f>
        <v>364</v>
      </c>
      <c r="D20" s="48">
        <v>0</v>
      </c>
      <c r="E20" s="48">
        <v>0</v>
      </c>
      <c r="F20" s="4">
        <f t="shared" si="8"/>
        <v>0</v>
      </c>
      <c r="G20" s="5">
        <v>0</v>
      </c>
      <c r="H20" s="4">
        <f t="shared" si="9"/>
        <v>0</v>
      </c>
      <c r="I20" s="5">
        <f t="shared" si="10"/>
        <v>0</v>
      </c>
      <c r="J20" s="44" t="e">
        <f>I20/H20</f>
        <v>#DIV/0!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</v>
      </c>
      <c r="G21" s="16">
        <f t="shared" ref="G21" si="11">G20/G19</f>
        <v>0</v>
      </c>
      <c r="H21" s="16"/>
      <c r="I21" s="16"/>
      <c r="J21" s="45"/>
      <c r="K21" s="45"/>
    </row>
    <row r="22" spans="1:11" ht="16.5" thickTop="1" thickBot="1" x14ac:dyDescent="0.25">
      <c r="A22" s="1">
        <f>$A$7</f>
        <v>2048</v>
      </c>
      <c r="B22" s="3">
        <f>$B$7</f>
        <v>70</v>
      </c>
      <c r="C22" s="4">
        <f>$C$7</f>
        <v>364</v>
      </c>
      <c r="D22" s="4">
        <f>G22/$J$7</f>
        <v>3270.1875</v>
      </c>
      <c r="E22" s="4">
        <v>0</v>
      </c>
      <c r="F22" s="13">
        <f>SUM(D22:E22)</f>
        <v>3270.1875</v>
      </c>
      <c r="G22" s="14">
        <v>104646</v>
      </c>
      <c r="H22" s="13">
        <f>F22/C22</f>
        <v>8.9840315934065931</v>
      </c>
      <c r="I22" s="14">
        <f>G22/C22</f>
        <v>287.48901098901098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2048</v>
      </c>
      <c r="B23" s="3">
        <f>$B$7</f>
        <v>70</v>
      </c>
      <c r="C23" s="4">
        <f>$C$7</f>
        <v>364</v>
      </c>
      <c r="D23" s="48">
        <v>3280</v>
      </c>
      <c r="E23" s="48">
        <v>0</v>
      </c>
      <c r="F23" s="4">
        <f>SUM(D23:E23)</f>
        <v>3280</v>
      </c>
      <c r="G23" s="5">
        <v>82885</v>
      </c>
      <c r="H23" s="4">
        <f>F23/C23</f>
        <v>9.0109890109890109</v>
      </c>
      <c r="I23" s="5">
        <f>G23/C23</f>
        <v>227.70604395604394</v>
      </c>
      <c r="J23" s="44">
        <f>I23/H23</f>
        <v>25.269817073170731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1.0030005924736731</v>
      </c>
      <c r="G24" s="16">
        <f t="shared" ref="G24" si="12">G23/G22</f>
        <v>0.79205129675286201</v>
      </c>
      <c r="H24" s="16"/>
      <c r="I24" s="16"/>
      <c r="J24" s="17"/>
      <c r="K24" s="17"/>
    </row>
    <row r="25" spans="1:11" ht="16.5" thickTop="1" thickBot="1" x14ac:dyDescent="0.25">
      <c r="A25" s="1">
        <f>$A$7</f>
        <v>2048</v>
      </c>
      <c r="B25" s="3">
        <f>$B$7</f>
        <v>70</v>
      </c>
      <c r="C25" s="4">
        <v>436</v>
      </c>
      <c r="D25" s="4">
        <f>G25/$J$7</f>
        <v>851.625</v>
      </c>
      <c r="E25" s="4">
        <v>0</v>
      </c>
      <c r="F25" s="13">
        <f>SUM(D25:E25)</f>
        <v>851.625</v>
      </c>
      <c r="G25" s="14">
        <v>27252</v>
      </c>
      <c r="H25" s="13">
        <f>F25/C25</f>
        <v>1.9532683486238531</v>
      </c>
      <c r="I25" s="14">
        <f>G25/C25</f>
        <v>62.5045871559633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2048</v>
      </c>
      <c r="B26" s="3">
        <f>$B$7</f>
        <v>70</v>
      </c>
      <c r="C26" s="4">
        <v>436</v>
      </c>
      <c r="D26" s="48">
        <v>1225</v>
      </c>
      <c r="E26" s="48">
        <v>0</v>
      </c>
      <c r="F26" s="4">
        <f>SUM(D26:E26)</f>
        <v>1225</v>
      </c>
      <c r="G26" s="5">
        <v>26671</v>
      </c>
      <c r="H26" s="4">
        <f>F26/C26</f>
        <v>2.8096330275229358</v>
      </c>
      <c r="I26" s="5">
        <f>G26/C26</f>
        <v>61.172018348623851</v>
      </c>
      <c r="J26" s="44">
        <f>I26/H26</f>
        <v>21.772244897959183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1.4384265375018348</v>
      </c>
      <c r="G27" s="16">
        <f t="shared" ref="G27" si="13">G26/G25</f>
        <v>0.97868046381916929</v>
      </c>
      <c r="H27" s="16"/>
      <c r="I27" s="16"/>
      <c r="J27" s="17"/>
      <c r="K27" s="17"/>
    </row>
    <row r="28" spans="1:11" ht="16.5" thickTop="1" thickBot="1" x14ac:dyDescent="0.25">
      <c r="A28" s="1">
        <f>$A$7</f>
        <v>2048</v>
      </c>
      <c r="B28" s="3">
        <f>$B$7</f>
        <v>70</v>
      </c>
      <c r="C28" s="4">
        <f>$C$7</f>
        <v>364</v>
      </c>
      <c r="D28" s="4">
        <f>G28/$J$7</f>
        <v>0</v>
      </c>
      <c r="E28" s="4">
        <v>0</v>
      </c>
      <c r="F28" s="13">
        <f>SUM(D28:E28)</f>
        <v>0</v>
      </c>
      <c r="G28" s="14">
        <v>0</v>
      </c>
      <c r="H28" s="13">
        <f>F28/C28</f>
        <v>0</v>
      </c>
      <c r="I28" s="14">
        <f>G28/C28</f>
        <v>0</v>
      </c>
      <c r="J28" s="6" t="e">
        <f>I28/H28</f>
        <v>#DIV/0!</v>
      </c>
      <c r="K28" s="27" t="s">
        <v>10</v>
      </c>
    </row>
    <row r="29" spans="1:11" ht="16.5" thickTop="1" thickBot="1" x14ac:dyDescent="0.25">
      <c r="A29" s="1">
        <f>$A$7</f>
        <v>2048</v>
      </c>
      <c r="B29" s="3">
        <f>$B$7</f>
        <v>70</v>
      </c>
      <c r="C29" s="4">
        <f>$C$7</f>
        <v>364</v>
      </c>
      <c r="D29" s="48"/>
      <c r="E29" s="48">
        <v>0</v>
      </c>
      <c r="F29" s="4">
        <f>SUM(D29:E29)</f>
        <v>0</v>
      </c>
      <c r="G29" s="5">
        <v>0</v>
      </c>
      <c r="H29" s="4">
        <f>F29/C29</f>
        <v>0</v>
      </c>
      <c r="I29" s="5">
        <f>G29/C29</f>
        <v>0</v>
      </c>
      <c r="J29" s="44" t="e">
        <f>I29/H29</f>
        <v>#DIV/0!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2048</v>
      </c>
      <c r="B33" s="3">
        <f>$B$7</f>
        <v>70</v>
      </c>
      <c r="C33" s="4">
        <f>$C$7</f>
        <v>364</v>
      </c>
      <c r="D33" s="13">
        <f>SUM(D28,D22,D19)</f>
        <v>3294.5625</v>
      </c>
      <c r="E33" s="13">
        <v>0</v>
      </c>
      <c r="F33" s="13">
        <f t="shared" ref="F33" si="14">SUM(D33:E33)</f>
        <v>3294.5625</v>
      </c>
      <c r="G33" s="14">
        <f>SUM(G28,G22,G19)</f>
        <v>105426</v>
      </c>
      <c r="H33" s="34">
        <f t="shared" ref="H33:H34" si="15">F33/C33</f>
        <v>9.0509958791208796</v>
      </c>
      <c r="I33" s="39">
        <f t="shared" ref="I33:I34" si="16">G33/C33</f>
        <v>289.63186813186815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2048</v>
      </c>
      <c r="B34" s="3">
        <f>$B$7</f>
        <v>70</v>
      </c>
      <c r="C34" s="4">
        <f>$C$7</f>
        <v>364</v>
      </c>
      <c r="D34" s="4">
        <f>SUM(D29,D23,D20)</f>
        <v>3280</v>
      </c>
      <c r="E34" s="49">
        <v>0</v>
      </c>
      <c r="F34" s="4">
        <f>SUM(D34)</f>
        <v>3280</v>
      </c>
      <c r="G34" s="50">
        <f>SUM(G29,G23,G20)</f>
        <v>82885</v>
      </c>
      <c r="H34" s="41">
        <f t="shared" si="15"/>
        <v>9.0109890109890109</v>
      </c>
      <c r="I34" s="42">
        <f t="shared" si="16"/>
        <v>227.70604395604394</v>
      </c>
      <c r="J34" s="43">
        <f>I34/H34</f>
        <v>25.269817073170731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7">G34/G33</f>
        <v>0.78619126211750423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9.0109890109890109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2.8096330275229358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12.802197802197803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2049</v>
      </c>
      <c r="B7" s="3">
        <v>296</v>
      </c>
      <c r="C7" s="4">
        <v>1518</v>
      </c>
      <c r="D7" s="4">
        <f>G7/$J$7</f>
        <v>26715.9375</v>
      </c>
      <c r="E7" s="4">
        <v>0</v>
      </c>
      <c r="F7" s="4">
        <f t="shared" ref="F7" si="0">SUM(D7:E7)</f>
        <v>26715.9375</v>
      </c>
      <c r="G7" s="5">
        <f>SUM(G16,G19,G22,G25,G28)</f>
        <v>854910</v>
      </c>
      <c r="H7" s="9">
        <f t="shared" ref="H7" si="1">F7/C7</f>
        <v>17.599431818181817</v>
      </c>
      <c r="I7" s="11">
        <f t="shared" ref="I7:I8" si="2">G7/C7</f>
        <v>563.18181818181813</v>
      </c>
      <c r="J7" s="12">
        <v>32</v>
      </c>
      <c r="K7" s="37" t="s">
        <v>10</v>
      </c>
    </row>
    <row r="8" spans="1:11" ht="16.5" thickTop="1" thickBot="1" x14ac:dyDescent="0.25">
      <c r="A8" s="3">
        <v>2049</v>
      </c>
      <c r="B8" s="3">
        <v>296</v>
      </c>
      <c r="C8" s="4">
        <v>1518</v>
      </c>
      <c r="D8" s="4">
        <f>SUM(D17,D20,D23,D26,D29)</f>
        <v>21791</v>
      </c>
      <c r="E8" s="4">
        <v>0</v>
      </c>
      <c r="F8" s="4">
        <f>SUM(D8)</f>
        <v>21791</v>
      </c>
      <c r="G8" s="5">
        <f>SUM(G17,G20,G23,G26,G29)</f>
        <v>568389</v>
      </c>
      <c r="H8" s="58">
        <f>F8/C8</f>
        <v>14.355072463768115</v>
      </c>
      <c r="I8" s="42">
        <f t="shared" si="2"/>
        <v>374.43280632411069</v>
      </c>
      <c r="J8" s="43">
        <f>I8/H8</f>
        <v>26.083658391078888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0.81565544911160237</v>
      </c>
      <c r="G10" s="62">
        <f t="shared" ref="G10" si="3">G8/G7</f>
        <v>0.66485244060778326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4924.9375</v>
      </c>
      <c r="G12" s="47">
        <f>G7-G8</f>
        <v>286521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2049</v>
      </c>
      <c r="B16" s="3">
        <f>$B$7</f>
        <v>296</v>
      </c>
      <c r="C16" s="4">
        <f>$C$7</f>
        <v>1518</v>
      </c>
      <c r="D16" s="4">
        <f>G16/$J$7</f>
        <v>1271.875</v>
      </c>
      <c r="E16" s="4">
        <v>0</v>
      </c>
      <c r="F16" s="13">
        <f t="shared" ref="F16:F17" si="4">SUM(D16:E16)</f>
        <v>1271.875</v>
      </c>
      <c r="G16" s="14">
        <v>40700</v>
      </c>
      <c r="H16" s="13">
        <f t="shared" ref="H16:H17" si="5">F16/C16</f>
        <v>0.83786231884057971</v>
      </c>
      <c r="I16" s="14">
        <f t="shared" ref="I16:I17" si="6">G16/C16</f>
        <v>26.811594202898551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2049</v>
      </c>
      <c r="B17" s="3">
        <f>$B$7</f>
        <v>296</v>
      </c>
      <c r="C17" s="4">
        <f>$C$7</f>
        <v>1518</v>
      </c>
      <c r="D17" s="48">
        <v>243</v>
      </c>
      <c r="E17" s="48">
        <v>0</v>
      </c>
      <c r="F17" s="4">
        <f t="shared" si="4"/>
        <v>243</v>
      </c>
      <c r="G17" s="5">
        <v>13240</v>
      </c>
      <c r="H17" s="4">
        <f t="shared" si="5"/>
        <v>0.1600790513833992</v>
      </c>
      <c r="I17" s="5">
        <f t="shared" si="6"/>
        <v>8.7220026350461133</v>
      </c>
      <c r="J17" s="44">
        <f>I17/H17</f>
        <v>54.485596707818935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0.19105651105651106</v>
      </c>
      <c r="G18" s="16">
        <f t="shared" ref="G18" si="7">G17/G16</f>
        <v>0.3253071253071253</v>
      </c>
      <c r="H18" s="16"/>
      <c r="I18" s="16"/>
      <c r="J18" s="16"/>
      <c r="K18" s="45"/>
    </row>
    <row r="19" spans="1:11" ht="16.5" thickTop="1" thickBot="1" x14ac:dyDescent="0.25">
      <c r="A19" s="1">
        <f>$A$7</f>
        <v>2049</v>
      </c>
      <c r="B19" s="3">
        <f>$B$7</f>
        <v>296</v>
      </c>
      <c r="C19" s="4">
        <f>$C$7</f>
        <v>1518</v>
      </c>
      <c r="D19" s="4">
        <f>G19/$J$7</f>
        <v>4245.9375</v>
      </c>
      <c r="E19" s="4">
        <v>0</v>
      </c>
      <c r="F19" s="13">
        <f t="shared" ref="F19:F20" si="8">SUM(D19:E19)</f>
        <v>4245.9375</v>
      </c>
      <c r="G19" s="14">
        <v>135870</v>
      </c>
      <c r="H19" s="13">
        <f t="shared" ref="H19:H20" si="9">F19/C19</f>
        <v>2.7970602766798418</v>
      </c>
      <c r="I19" s="14">
        <f t="shared" ref="I19:I20" si="10">G19/C19</f>
        <v>89.505928853754938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2049</v>
      </c>
      <c r="B20" s="3">
        <f>$B$7</f>
        <v>296</v>
      </c>
      <c r="C20" s="4">
        <f>$C$7</f>
        <v>1518</v>
      </c>
      <c r="D20" s="48">
        <v>1082</v>
      </c>
      <c r="E20" s="48">
        <v>0</v>
      </c>
      <c r="F20" s="4">
        <f t="shared" si="8"/>
        <v>1082</v>
      </c>
      <c r="G20" s="5">
        <v>30705</v>
      </c>
      <c r="H20" s="4">
        <f t="shared" si="9"/>
        <v>0.71277997364953882</v>
      </c>
      <c r="I20" s="5">
        <f t="shared" si="10"/>
        <v>20.227272727272727</v>
      </c>
      <c r="J20" s="44">
        <f>I20/H20</f>
        <v>28.378003696857672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0.2548318245381615</v>
      </c>
      <c r="G21" s="16">
        <f t="shared" ref="G21" si="11">G20/G19</f>
        <v>0.22598807683815411</v>
      </c>
      <c r="H21" s="16"/>
      <c r="I21" s="16"/>
      <c r="J21" s="45"/>
      <c r="K21" s="45"/>
    </row>
    <row r="22" spans="1:11" ht="16.5" thickTop="1" thickBot="1" x14ac:dyDescent="0.25">
      <c r="A22" s="1">
        <f>$A$7</f>
        <v>2049</v>
      </c>
      <c r="B22" s="3">
        <f>$B$7</f>
        <v>296</v>
      </c>
      <c r="C22" s="4">
        <f>$C$7</f>
        <v>1518</v>
      </c>
      <c r="D22" s="4">
        <f>G22/$J$7</f>
        <v>13514.6875</v>
      </c>
      <c r="E22" s="4">
        <v>0</v>
      </c>
      <c r="F22" s="13">
        <f>SUM(D22:E22)</f>
        <v>13514.6875</v>
      </c>
      <c r="G22" s="14">
        <v>432470</v>
      </c>
      <c r="H22" s="13">
        <f>F22/C22</f>
        <v>8.9029561923583671</v>
      </c>
      <c r="I22" s="14">
        <f>G22/C22</f>
        <v>284.89459815546775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2049</v>
      </c>
      <c r="B23" s="3">
        <f>$B$7</f>
        <v>296</v>
      </c>
      <c r="C23" s="4">
        <f>$C$7</f>
        <v>1518</v>
      </c>
      <c r="D23" s="48">
        <v>14406</v>
      </c>
      <c r="E23" s="48">
        <v>0</v>
      </c>
      <c r="F23" s="4">
        <f>SUM(D23:E23)</f>
        <v>14406</v>
      </c>
      <c r="G23" s="5">
        <v>361459</v>
      </c>
      <c r="H23" s="4">
        <f>F23/C23</f>
        <v>9.4901185770750995</v>
      </c>
      <c r="I23" s="5">
        <f>G23/C23</f>
        <v>238.11528326745719</v>
      </c>
      <c r="J23" s="44">
        <f>I23/H23</f>
        <v>25.090864917395528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1.0659513954725184</v>
      </c>
      <c r="G24" s="16">
        <f t="shared" ref="G24" si="12">G23/G22</f>
        <v>0.83580132725969436</v>
      </c>
      <c r="H24" s="16"/>
      <c r="I24" s="16"/>
      <c r="J24" s="17"/>
      <c r="K24" s="17"/>
    </row>
    <row r="25" spans="1:11" ht="16.5" thickTop="1" thickBot="1" x14ac:dyDescent="0.25">
      <c r="A25" s="1">
        <f>$A$7</f>
        <v>2049</v>
      </c>
      <c r="B25" s="3">
        <f>$B$7</f>
        <v>296</v>
      </c>
      <c r="C25" s="4">
        <v>1521</v>
      </c>
      <c r="D25" s="4">
        <f>G25/$J$7</f>
        <v>2626.5625</v>
      </c>
      <c r="E25" s="4">
        <v>0</v>
      </c>
      <c r="F25" s="13">
        <f>SUM(D25:E25)</f>
        <v>2626.5625</v>
      </c>
      <c r="G25" s="14">
        <v>84050</v>
      </c>
      <c r="H25" s="13">
        <f>F25/C25</f>
        <v>1.7268655489809337</v>
      </c>
      <c r="I25" s="14">
        <f>G25/C25</f>
        <v>55.259697567389878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2049</v>
      </c>
      <c r="B26" s="3">
        <f>$B$7</f>
        <v>296</v>
      </c>
      <c r="C26" s="4">
        <v>1521</v>
      </c>
      <c r="D26" s="48">
        <v>3029</v>
      </c>
      <c r="E26" s="48">
        <v>0</v>
      </c>
      <c r="F26" s="4">
        <f>SUM(D26:E26)</f>
        <v>3029</v>
      </c>
      <c r="G26" s="5">
        <v>83026</v>
      </c>
      <c r="H26" s="4">
        <f>F26/C26</f>
        <v>1.9914529914529915</v>
      </c>
      <c r="I26" s="5">
        <f>G26/C26</f>
        <v>54.586456278763968</v>
      </c>
      <c r="J26" s="44">
        <f>I26/H26</f>
        <v>27.410366457576757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1.1532183224271266</v>
      </c>
      <c r="G27" s="16">
        <f t="shared" ref="G27" si="13">G26/G25</f>
        <v>0.98781677572873294</v>
      </c>
      <c r="H27" s="16"/>
      <c r="I27" s="16"/>
      <c r="J27" s="17"/>
      <c r="K27" s="17"/>
    </row>
    <row r="28" spans="1:11" ht="16.5" thickTop="1" thickBot="1" x14ac:dyDescent="0.25">
      <c r="A28" s="1">
        <f>$A$7</f>
        <v>2049</v>
      </c>
      <c r="B28" s="3">
        <f>$B$7</f>
        <v>296</v>
      </c>
      <c r="C28" s="4">
        <f>$C$7</f>
        <v>1518</v>
      </c>
      <c r="D28" s="4">
        <f>G28/$J$7</f>
        <v>5056.875</v>
      </c>
      <c r="E28" s="4">
        <v>0</v>
      </c>
      <c r="F28" s="13">
        <f>SUM(D28:E28)</f>
        <v>5056.875</v>
      </c>
      <c r="G28" s="14">
        <v>161820</v>
      </c>
      <c r="H28" s="13">
        <f>F28/C28</f>
        <v>3.331274703557312</v>
      </c>
      <c r="I28" s="14">
        <f>G28/C28</f>
        <v>106.60079051383399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2049</v>
      </c>
      <c r="B29" s="3">
        <f>$B$7</f>
        <v>296</v>
      </c>
      <c r="C29" s="4">
        <f>$C$7</f>
        <v>1518</v>
      </c>
      <c r="D29" s="48">
        <v>3031</v>
      </c>
      <c r="E29" s="48">
        <v>0</v>
      </c>
      <c r="F29" s="4">
        <f>SUM(D29:E29)</f>
        <v>3031</v>
      </c>
      <c r="G29" s="5">
        <v>79959</v>
      </c>
      <c r="H29" s="4">
        <f>F29/C29</f>
        <v>1.9967061923583662</v>
      </c>
      <c r="I29" s="5">
        <f>G29/C29</f>
        <v>52.673913043478258</v>
      </c>
      <c r="J29" s="44">
        <f>I29/H29</f>
        <v>26.380402507423291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0.59938202941539986</v>
      </c>
      <c r="G30" s="16">
        <f t="shared" ref="G30" si="14">G29/G28</f>
        <v>0.49412309974045238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2049</v>
      </c>
      <c r="B33" s="3">
        <f>$B$7</f>
        <v>296</v>
      </c>
      <c r="C33" s="4">
        <f>$C$7</f>
        <v>1518</v>
      </c>
      <c r="D33" s="13">
        <f>SUM(D28,D22,D19)</f>
        <v>22817.5</v>
      </c>
      <c r="E33" s="13">
        <v>0</v>
      </c>
      <c r="F33" s="13">
        <f t="shared" ref="F33" si="15">SUM(D33:E33)</f>
        <v>22817.5</v>
      </c>
      <c r="G33" s="14">
        <f>SUM(G28,G22,G19)</f>
        <v>730160</v>
      </c>
      <c r="H33" s="34">
        <f t="shared" ref="H33:H34" si="16">F33/C33</f>
        <v>15.03129117259552</v>
      </c>
      <c r="I33" s="39">
        <f t="shared" ref="I33:I34" si="17">G33/C33</f>
        <v>481.00131752305663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2049</v>
      </c>
      <c r="B34" s="3">
        <f>$B$7</f>
        <v>296</v>
      </c>
      <c r="C34" s="4">
        <f>$C$7</f>
        <v>1518</v>
      </c>
      <c r="D34" s="4">
        <f>SUM(D29,D23,D20)</f>
        <v>18519</v>
      </c>
      <c r="E34" s="49">
        <v>0</v>
      </c>
      <c r="F34" s="4">
        <f>SUM(D34)</f>
        <v>18519</v>
      </c>
      <c r="G34" s="50">
        <f>SUM(G29,G23,G20)</f>
        <v>472123</v>
      </c>
      <c r="H34" s="41">
        <f t="shared" si="16"/>
        <v>12.199604743083004</v>
      </c>
      <c r="I34" s="42">
        <f t="shared" si="17"/>
        <v>311.01646903820819</v>
      </c>
      <c r="J34" s="43">
        <f>I34/H34</f>
        <v>25.493979156541933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0.64660211460501804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12.199604743083004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1.9914529914529915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14.355072463768115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2050</v>
      </c>
      <c r="B7" s="3">
        <v>55</v>
      </c>
      <c r="C7" s="4">
        <v>296</v>
      </c>
      <c r="D7" s="4">
        <f>G7/$J$7</f>
        <v>6482.03125</v>
      </c>
      <c r="E7" s="4">
        <v>0</v>
      </c>
      <c r="F7" s="4">
        <f t="shared" ref="F7" si="0">SUM(D7:E7)</f>
        <v>6482.03125</v>
      </c>
      <c r="G7" s="5">
        <f>SUM(G16,G19,G22,G25,G28)</f>
        <v>207425</v>
      </c>
      <c r="H7" s="9">
        <f t="shared" ref="H7" si="1">F7/C7</f>
        <v>21.898754222972972</v>
      </c>
      <c r="I7" s="11">
        <f t="shared" ref="I7:I8" si="2">G7/C7</f>
        <v>700.7601351351351</v>
      </c>
      <c r="J7" s="12">
        <v>32</v>
      </c>
      <c r="K7" s="37" t="s">
        <v>10</v>
      </c>
    </row>
    <row r="8" spans="1:11" ht="16.5" thickTop="1" thickBot="1" x14ac:dyDescent="0.25">
      <c r="A8" s="3">
        <v>2050</v>
      </c>
      <c r="B8" s="3">
        <v>55</v>
      </c>
      <c r="C8" s="4">
        <v>296</v>
      </c>
      <c r="D8" s="4">
        <f>SUM(D17,D20,D23,D26,D29)</f>
        <v>5680</v>
      </c>
      <c r="E8" s="4">
        <v>0</v>
      </c>
      <c r="F8" s="4">
        <f>SUM(D8)</f>
        <v>5680</v>
      </c>
      <c r="G8" s="5">
        <f>SUM(G17,G20,G23,G26,G29)</f>
        <v>163318</v>
      </c>
      <c r="H8" s="58">
        <f>F8/C8</f>
        <v>19.189189189189189</v>
      </c>
      <c r="I8" s="42">
        <f t="shared" si="2"/>
        <v>551.75</v>
      </c>
      <c r="J8" s="43">
        <f>I8/H8</f>
        <v>28.753169014084506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0.87626853079426303</v>
      </c>
      <c r="G10" s="62">
        <f t="shared" ref="G10" si="3">G8/G7</f>
        <v>0.78735928648909248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802.03125</v>
      </c>
      <c r="G12" s="47">
        <f>G7-G8</f>
        <v>44107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2050</v>
      </c>
      <c r="B16" s="3">
        <f>$B$7</f>
        <v>55</v>
      </c>
      <c r="C16" s="4">
        <f>$C$7</f>
        <v>296</v>
      </c>
      <c r="D16" s="4">
        <f>G16/$J$7</f>
        <v>503.125</v>
      </c>
      <c r="E16" s="4">
        <v>0</v>
      </c>
      <c r="F16" s="13">
        <f t="shared" ref="F16:F17" si="4">SUM(D16:E16)</f>
        <v>503.125</v>
      </c>
      <c r="G16" s="14">
        <v>16100</v>
      </c>
      <c r="H16" s="13">
        <f t="shared" ref="H16:H17" si="5">F16/C16</f>
        <v>1.6997466216216217</v>
      </c>
      <c r="I16" s="14">
        <f t="shared" ref="I16:I17" si="6">G16/C16</f>
        <v>54.391891891891895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2050</v>
      </c>
      <c r="B17" s="3">
        <f>$B$7</f>
        <v>55</v>
      </c>
      <c r="C17" s="4">
        <f>$C$7</f>
        <v>296</v>
      </c>
      <c r="D17" s="48">
        <v>175</v>
      </c>
      <c r="E17" s="48">
        <v>0</v>
      </c>
      <c r="F17" s="4">
        <f t="shared" si="4"/>
        <v>175</v>
      </c>
      <c r="G17" s="5">
        <v>10357</v>
      </c>
      <c r="H17" s="4">
        <f t="shared" si="5"/>
        <v>0.59121621621621623</v>
      </c>
      <c r="I17" s="5">
        <f t="shared" si="6"/>
        <v>34.989864864864863</v>
      </c>
      <c r="J17" s="44">
        <f>I17/H17</f>
        <v>59.182857142857138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0.34782608695652173</v>
      </c>
      <c r="G18" s="16">
        <f t="shared" ref="G18" si="7">G17/G16</f>
        <v>0.64329192546583847</v>
      </c>
      <c r="H18" s="16"/>
      <c r="I18" s="16"/>
      <c r="J18" s="16"/>
      <c r="K18" s="45"/>
    </row>
    <row r="19" spans="1:11" ht="16.5" thickTop="1" thickBot="1" x14ac:dyDescent="0.25">
      <c r="A19" s="1">
        <f>$A$7</f>
        <v>2050</v>
      </c>
      <c r="B19" s="3">
        <f>$B$7</f>
        <v>55</v>
      </c>
      <c r="C19" s="4">
        <f>$C$7</f>
        <v>296</v>
      </c>
      <c r="D19" s="4">
        <f>G19/$J$7</f>
        <v>1495.3125</v>
      </c>
      <c r="E19" s="4">
        <v>0</v>
      </c>
      <c r="F19" s="13">
        <f t="shared" ref="F19:F20" si="8">SUM(D19:E19)</f>
        <v>1495.3125</v>
      </c>
      <c r="G19" s="14">
        <v>47850</v>
      </c>
      <c r="H19" s="13">
        <f t="shared" ref="H19:H20" si="9">F19/C19</f>
        <v>5.0517314189189193</v>
      </c>
      <c r="I19" s="14">
        <f t="shared" ref="I19:I20" si="10">G19/C19</f>
        <v>161.65540540540542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2050</v>
      </c>
      <c r="B20" s="3">
        <f>$B$7</f>
        <v>55</v>
      </c>
      <c r="C20" s="4">
        <f>$C$7</f>
        <v>296</v>
      </c>
      <c r="D20" s="48">
        <v>1233</v>
      </c>
      <c r="E20" s="48">
        <v>0</v>
      </c>
      <c r="F20" s="4">
        <f t="shared" si="8"/>
        <v>1233</v>
      </c>
      <c r="G20" s="5">
        <v>36705</v>
      </c>
      <c r="H20" s="4">
        <f t="shared" si="9"/>
        <v>4.1655405405405403</v>
      </c>
      <c r="I20" s="5">
        <f t="shared" si="10"/>
        <v>124.00337837837837</v>
      </c>
      <c r="J20" s="44">
        <f>I20/H20</f>
        <v>29.768856447688563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0.82457680250783694</v>
      </c>
      <c r="G21" s="16">
        <f t="shared" ref="G21" si="11">G20/G19</f>
        <v>0.76708463949843264</v>
      </c>
      <c r="H21" s="16"/>
      <c r="I21" s="16"/>
      <c r="J21" s="45"/>
      <c r="K21" s="45"/>
    </row>
    <row r="22" spans="1:11" ht="16.5" thickTop="1" thickBot="1" x14ac:dyDescent="0.25">
      <c r="A22" s="1">
        <f>$A$7</f>
        <v>2050</v>
      </c>
      <c r="B22" s="3">
        <f>$B$7</f>
        <v>55</v>
      </c>
      <c r="C22" s="4">
        <f>$C$7</f>
        <v>296</v>
      </c>
      <c r="D22" s="4">
        <f>G22/$J$7</f>
        <v>2844.53125</v>
      </c>
      <c r="E22" s="4">
        <v>0</v>
      </c>
      <c r="F22" s="13">
        <f>SUM(D22:E22)</f>
        <v>2844.53125</v>
      </c>
      <c r="G22" s="14">
        <v>91025</v>
      </c>
      <c r="H22" s="13">
        <f>F22/C22</f>
        <v>9.609902871621621</v>
      </c>
      <c r="I22" s="14">
        <f>G22/C22</f>
        <v>307.51689189189187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2050</v>
      </c>
      <c r="B23" s="3">
        <f>$B$7</f>
        <v>55</v>
      </c>
      <c r="C23" s="4">
        <f>$C$7</f>
        <v>296</v>
      </c>
      <c r="D23" s="48">
        <v>2863</v>
      </c>
      <c r="E23" s="48">
        <v>0</v>
      </c>
      <c r="F23" s="4">
        <f>SUM(D23:E23)</f>
        <v>2863</v>
      </c>
      <c r="G23" s="5">
        <v>78450</v>
      </c>
      <c r="H23" s="4">
        <f>F23/C23</f>
        <v>9.6722972972972965</v>
      </c>
      <c r="I23" s="5">
        <f>G23/C23</f>
        <v>265.0337837837838</v>
      </c>
      <c r="J23" s="44">
        <f>I23/H23</f>
        <v>27.401327279077893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1.0064927217797308</v>
      </c>
      <c r="G24" s="16">
        <f t="shared" ref="G24" si="12">G23/G22</f>
        <v>0.86185113979675909</v>
      </c>
      <c r="H24" s="16"/>
      <c r="I24" s="16"/>
      <c r="J24" s="17"/>
      <c r="K24" s="17"/>
    </row>
    <row r="25" spans="1:11" ht="16.5" thickTop="1" thickBot="1" x14ac:dyDescent="0.25">
      <c r="A25" s="1">
        <f>$A$7</f>
        <v>2050</v>
      </c>
      <c r="B25" s="3">
        <f>$B$7</f>
        <v>55</v>
      </c>
      <c r="C25" s="4">
        <v>281</v>
      </c>
      <c r="D25" s="4">
        <f>G25/$J$7</f>
        <v>492.1875</v>
      </c>
      <c r="E25" s="4">
        <v>0</v>
      </c>
      <c r="F25" s="13">
        <f>SUM(D25:E25)</f>
        <v>492.1875</v>
      </c>
      <c r="G25" s="14">
        <v>15750</v>
      </c>
      <c r="H25" s="13">
        <f>F25/C25</f>
        <v>1.7515569395017794</v>
      </c>
      <c r="I25" s="14">
        <f>G25/C25</f>
        <v>56.04982206405694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2050</v>
      </c>
      <c r="B26" s="3">
        <f>$B$7</f>
        <v>55</v>
      </c>
      <c r="C26" s="4">
        <v>281</v>
      </c>
      <c r="D26" s="48">
        <v>503</v>
      </c>
      <c r="E26" s="48">
        <v>0</v>
      </c>
      <c r="F26" s="4">
        <f>SUM(D26:E26)</f>
        <v>503</v>
      </c>
      <c r="G26" s="5">
        <v>12091</v>
      </c>
      <c r="H26" s="4">
        <f>F26/C26</f>
        <v>1.790035587188612</v>
      </c>
      <c r="I26" s="5">
        <f>G26/C26</f>
        <v>43.028469750889677</v>
      </c>
      <c r="J26" s="44">
        <f>I26/H26</f>
        <v>24.037773359840955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1.021968253968254</v>
      </c>
      <c r="G27" s="16">
        <f t="shared" ref="G27" si="13">G26/G25</f>
        <v>0.76768253968253963</v>
      </c>
      <c r="H27" s="16"/>
      <c r="I27" s="16"/>
      <c r="J27" s="17"/>
      <c r="K27" s="17"/>
    </row>
    <row r="28" spans="1:11" ht="16.5" thickTop="1" thickBot="1" x14ac:dyDescent="0.25">
      <c r="A28" s="1">
        <f>$A$7</f>
        <v>2050</v>
      </c>
      <c r="B28" s="3">
        <f>$B$7</f>
        <v>55</v>
      </c>
      <c r="C28" s="4">
        <f>$C$7</f>
        <v>296</v>
      </c>
      <c r="D28" s="4">
        <f>G28/$J$7</f>
        <v>1146.875</v>
      </c>
      <c r="E28" s="4">
        <v>0</v>
      </c>
      <c r="F28" s="13">
        <f>SUM(D28:E28)</f>
        <v>1146.875</v>
      </c>
      <c r="G28" s="14">
        <v>36700</v>
      </c>
      <c r="H28" s="13">
        <f>F28/C28</f>
        <v>3.8745777027027026</v>
      </c>
      <c r="I28" s="14">
        <f>G28/C28</f>
        <v>123.98648648648648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2050</v>
      </c>
      <c r="B29" s="3">
        <f>$B$7</f>
        <v>55</v>
      </c>
      <c r="C29" s="4">
        <f>$C$7</f>
        <v>296</v>
      </c>
      <c r="D29" s="48">
        <v>906</v>
      </c>
      <c r="E29" s="48">
        <v>0</v>
      </c>
      <c r="F29" s="4">
        <f>SUM(D29:E29)</f>
        <v>906</v>
      </c>
      <c r="G29" s="5">
        <v>25715</v>
      </c>
      <c r="H29" s="4">
        <f>F29/C29</f>
        <v>3.060810810810811</v>
      </c>
      <c r="I29" s="5">
        <f>G29/C29</f>
        <v>86.875</v>
      </c>
      <c r="J29" s="44">
        <f>I29/H29</f>
        <v>28.383002207505516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0.78997275204359674</v>
      </c>
      <c r="G30" s="16">
        <f t="shared" ref="G30" si="14">G29/G28</f>
        <v>0.70068119891008174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2050</v>
      </c>
      <c r="B33" s="3">
        <f>$B$7</f>
        <v>55</v>
      </c>
      <c r="C33" s="4">
        <f>$C$7</f>
        <v>296</v>
      </c>
      <c r="D33" s="13">
        <f>SUM(D28,D22,D19)</f>
        <v>5486.71875</v>
      </c>
      <c r="E33" s="13">
        <v>0</v>
      </c>
      <c r="F33" s="13">
        <f t="shared" ref="F33" si="15">SUM(D33:E33)</f>
        <v>5486.71875</v>
      </c>
      <c r="G33" s="14">
        <f>SUM(G28,G22,G19)</f>
        <v>175575</v>
      </c>
      <c r="H33" s="34">
        <f t="shared" ref="H33:H34" si="16">F33/C33</f>
        <v>18.536211993243242</v>
      </c>
      <c r="I33" s="39">
        <f t="shared" ref="I33:I34" si="17">G33/C33</f>
        <v>593.15878378378375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2050</v>
      </c>
      <c r="B34" s="3">
        <f>$B$7</f>
        <v>55</v>
      </c>
      <c r="C34" s="4">
        <f>$C$7</f>
        <v>296</v>
      </c>
      <c r="D34" s="4">
        <f>SUM(D29,D23,D20)</f>
        <v>5002</v>
      </c>
      <c r="E34" s="49">
        <v>0</v>
      </c>
      <c r="F34" s="4">
        <f>SUM(D34)</f>
        <v>5002</v>
      </c>
      <c r="G34" s="50">
        <f>SUM(G29,G23,G20)</f>
        <v>140870</v>
      </c>
      <c r="H34" s="41">
        <f t="shared" si="16"/>
        <v>16.898648648648649</v>
      </c>
      <c r="I34" s="42">
        <f t="shared" si="17"/>
        <v>475.91216216216219</v>
      </c>
      <c r="J34" s="43">
        <f>I34/H34</f>
        <v>28.162734906037585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0.80233518439413354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16.898648648648649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1.790035587188612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19.189189189189189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2051</v>
      </c>
      <c r="B7" s="3">
        <v>163</v>
      </c>
      <c r="C7" s="4">
        <v>1013</v>
      </c>
      <c r="D7" s="4">
        <f>G7/$J$7</f>
        <v>20562</v>
      </c>
      <c r="E7" s="4">
        <v>0</v>
      </c>
      <c r="F7" s="4">
        <f t="shared" ref="F7" si="0">SUM(D7:E7)</f>
        <v>20562</v>
      </c>
      <c r="G7" s="5">
        <f>SUM(G16,G19,G22,G25,G28)</f>
        <v>657984</v>
      </c>
      <c r="H7" s="9">
        <f t="shared" ref="H7" si="1">F7/C7</f>
        <v>20.298124383020731</v>
      </c>
      <c r="I7" s="11">
        <f t="shared" ref="I7:I8" si="2">G7/C7</f>
        <v>649.5399802566634</v>
      </c>
      <c r="J7" s="12">
        <v>32</v>
      </c>
      <c r="K7" s="37" t="s">
        <v>10</v>
      </c>
    </row>
    <row r="8" spans="1:11" ht="16.5" thickTop="1" thickBot="1" x14ac:dyDescent="0.25">
      <c r="A8" s="3">
        <v>2051</v>
      </c>
      <c r="B8" s="3">
        <v>163</v>
      </c>
      <c r="C8" s="4">
        <v>1013</v>
      </c>
      <c r="D8" s="4">
        <f>SUM(D17,D20,D23,D26,D29)</f>
        <v>19191</v>
      </c>
      <c r="E8" s="4">
        <v>0</v>
      </c>
      <c r="F8" s="4">
        <f>SUM(D8)</f>
        <v>19191</v>
      </c>
      <c r="G8" s="5">
        <f>SUM(G17,G20,G23,G26,G29)</f>
        <v>536091</v>
      </c>
      <c r="H8" s="58">
        <f>F8/C8</f>
        <v>18.944718657453109</v>
      </c>
      <c r="I8" s="42">
        <f t="shared" si="2"/>
        <v>529.21125370187565</v>
      </c>
      <c r="J8" s="43">
        <f>I8/H8</f>
        <v>27.934500547131471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0.93332360665304936</v>
      </c>
      <c r="G10" s="62">
        <f t="shared" ref="G10" si="3">G8/G7</f>
        <v>0.814747775021885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1371</v>
      </c>
      <c r="G12" s="47">
        <f>G7-G8</f>
        <v>121893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2051</v>
      </c>
      <c r="B16" s="3">
        <f>$B$7</f>
        <v>163</v>
      </c>
      <c r="C16" s="4">
        <f>$C$7</f>
        <v>1013</v>
      </c>
      <c r="D16" s="4">
        <f>G16/$J$7</f>
        <v>1312.5</v>
      </c>
      <c r="E16" s="4">
        <v>0</v>
      </c>
      <c r="F16" s="13">
        <f t="shared" ref="F16:F17" si="4">SUM(D16:E16)</f>
        <v>1312.5</v>
      </c>
      <c r="G16" s="14">
        <v>42000</v>
      </c>
      <c r="H16" s="13">
        <f t="shared" ref="H16:H17" si="5">F16/C16</f>
        <v>1.2956564659427443</v>
      </c>
      <c r="I16" s="14">
        <f t="shared" ref="I16:I17" si="6">G16/C16</f>
        <v>41.461006910167818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2051</v>
      </c>
      <c r="B17" s="3">
        <f>$B$7</f>
        <v>163</v>
      </c>
      <c r="C17" s="4">
        <f>$C$7</f>
        <v>1013</v>
      </c>
      <c r="D17" s="48">
        <v>451</v>
      </c>
      <c r="E17" s="48">
        <v>0</v>
      </c>
      <c r="F17" s="4">
        <f t="shared" si="4"/>
        <v>451</v>
      </c>
      <c r="G17" s="5">
        <v>25874</v>
      </c>
      <c r="H17" s="4">
        <f t="shared" si="5"/>
        <v>0.44521224086870681</v>
      </c>
      <c r="I17" s="5">
        <f t="shared" si="6"/>
        <v>25.541954590325766</v>
      </c>
      <c r="J17" s="44">
        <f>I17/H17</f>
        <v>57.370288248337033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0.3436190476190476</v>
      </c>
      <c r="G18" s="16">
        <f t="shared" ref="G18" si="7">G17/G16</f>
        <v>0.61604761904761907</v>
      </c>
      <c r="H18" s="16"/>
      <c r="I18" s="16"/>
      <c r="J18" s="16"/>
      <c r="K18" s="45"/>
    </row>
    <row r="19" spans="1:11" ht="16.5" thickTop="1" thickBot="1" x14ac:dyDescent="0.25">
      <c r="A19" s="1">
        <f>$A$7</f>
        <v>2051</v>
      </c>
      <c r="B19" s="3">
        <f>$B$7</f>
        <v>163</v>
      </c>
      <c r="C19" s="4">
        <f>$C$7</f>
        <v>1013</v>
      </c>
      <c r="D19" s="4">
        <f>G19/$J$7</f>
        <v>4483.0625</v>
      </c>
      <c r="E19" s="4">
        <v>0</v>
      </c>
      <c r="F19" s="13">
        <f t="shared" ref="F19:F20" si="8">SUM(D19:E19)</f>
        <v>4483.0625</v>
      </c>
      <c r="G19" s="14">
        <v>143458</v>
      </c>
      <c r="H19" s="13">
        <f t="shared" ref="H19:H20" si="9">F19/C19</f>
        <v>4.4255306021717669</v>
      </c>
      <c r="I19" s="14">
        <f t="shared" ref="I19:I20" si="10">G19/C19</f>
        <v>141.61697926949654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2051</v>
      </c>
      <c r="B20" s="3">
        <f>$B$7</f>
        <v>163</v>
      </c>
      <c r="C20" s="4">
        <f>$C$7</f>
        <v>1013</v>
      </c>
      <c r="D20" s="48">
        <v>3251</v>
      </c>
      <c r="E20" s="48">
        <v>0</v>
      </c>
      <c r="F20" s="4">
        <f t="shared" si="8"/>
        <v>3251</v>
      </c>
      <c r="G20" s="5">
        <v>100944</v>
      </c>
      <c r="H20" s="4">
        <f t="shared" si="9"/>
        <v>3.2092793682132279</v>
      </c>
      <c r="I20" s="5">
        <f t="shared" si="10"/>
        <v>99.648568608094763</v>
      </c>
      <c r="J20" s="44">
        <f>I20/H20</f>
        <v>31.050138418948016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0.72517391849879409</v>
      </c>
      <c r="G21" s="16">
        <f t="shared" ref="G21" si="11">G20/G19</f>
        <v>0.70364845459995262</v>
      </c>
      <c r="H21" s="16"/>
      <c r="I21" s="16"/>
      <c r="J21" s="45"/>
      <c r="K21" s="45"/>
    </row>
    <row r="22" spans="1:11" ht="16.5" thickTop="1" thickBot="1" x14ac:dyDescent="0.25">
      <c r="A22" s="1">
        <f>$A$7</f>
        <v>2051</v>
      </c>
      <c r="B22" s="3">
        <f>$B$7</f>
        <v>163</v>
      </c>
      <c r="C22" s="4">
        <f>$C$7</f>
        <v>1013</v>
      </c>
      <c r="D22" s="4">
        <f>G22/$J$7</f>
        <v>10201.78125</v>
      </c>
      <c r="E22" s="4">
        <v>0</v>
      </c>
      <c r="F22" s="13">
        <f>SUM(D22:E22)</f>
        <v>10201.78125</v>
      </c>
      <c r="G22" s="14">
        <v>326457</v>
      </c>
      <c r="H22" s="13">
        <f>F22/C22</f>
        <v>10.070860069101679</v>
      </c>
      <c r="I22" s="14">
        <f>G22/C22</f>
        <v>322.26752221125372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2051</v>
      </c>
      <c r="B23" s="3">
        <f>$B$7</f>
        <v>163</v>
      </c>
      <c r="C23" s="4">
        <f>$C$7</f>
        <v>1013</v>
      </c>
      <c r="D23" s="48">
        <v>10088</v>
      </c>
      <c r="E23" s="48">
        <v>0</v>
      </c>
      <c r="F23" s="4">
        <f>SUM(D23:E23)</f>
        <v>10088</v>
      </c>
      <c r="G23" s="5">
        <v>261842</v>
      </c>
      <c r="H23" s="4">
        <f>F23/C23</f>
        <v>9.9585389930898316</v>
      </c>
      <c r="I23" s="5">
        <f>G23/C23</f>
        <v>258.48173741362291</v>
      </c>
      <c r="J23" s="44">
        <f>I23/H23</f>
        <v>25.955789056304521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0.98884692317824396</v>
      </c>
      <c r="G24" s="16">
        <f t="shared" ref="G24" si="12">G23/G22</f>
        <v>0.80207194209344568</v>
      </c>
      <c r="H24" s="16"/>
      <c r="I24" s="16"/>
      <c r="J24" s="17"/>
      <c r="K24" s="17"/>
    </row>
    <row r="25" spans="1:11" ht="16.5" thickTop="1" thickBot="1" x14ac:dyDescent="0.25">
      <c r="A25" s="1">
        <f>$A$7</f>
        <v>2051</v>
      </c>
      <c r="B25" s="3">
        <f>$B$7</f>
        <v>163</v>
      </c>
      <c r="C25" s="4">
        <v>946</v>
      </c>
      <c r="D25" s="4">
        <f>G25/$J$7</f>
        <v>1853.5625</v>
      </c>
      <c r="E25" s="4">
        <v>0</v>
      </c>
      <c r="F25" s="13">
        <f>SUM(D25:E25)</f>
        <v>1853.5625</v>
      </c>
      <c r="G25" s="14">
        <v>59314</v>
      </c>
      <c r="H25" s="13">
        <f>F25/C25</f>
        <v>1.9593683932346724</v>
      </c>
      <c r="I25" s="14">
        <f>G25/C25</f>
        <v>62.699788583509516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2051</v>
      </c>
      <c r="B26" s="3">
        <f>$B$7</f>
        <v>163</v>
      </c>
      <c r="C26" s="4">
        <v>946</v>
      </c>
      <c r="D26" s="48">
        <v>2739</v>
      </c>
      <c r="E26" s="48">
        <v>0</v>
      </c>
      <c r="F26" s="4">
        <f>SUM(D26:E26)</f>
        <v>2739</v>
      </c>
      <c r="G26" s="5">
        <v>74008</v>
      </c>
      <c r="H26" s="4">
        <f>F26/C26</f>
        <v>2.8953488372093021</v>
      </c>
      <c r="I26" s="5">
        <f>G26/C26</f>
        <v>78.232558139534888</v>
      </c>
      <c r="J26" s="44">
        <f>I26/H26</f>
        <v>27.020080321285143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1.4776949792629059</v>
      </c>
      <c r="G27" s="16">
        <f t="shared" ref="G27" si="13">G26/G25</f>
        <v>1.2477324071888594</v>
      </c>
      <c r="H27" s="16"/>
      <c r="I27" s="16"/>
      <c r="J27" s="17"/>
      <c r="K27" s="17"/>
    </row>
    <row r="28" spans="1:11" ht="16.5" thickTop="1" thickBot="1" x14ac:dyDescent="0.25">
      <c r="A28" s="1">
        <f>$A$7</f>
        <v>2051</v>
      </c>
      <c r="B28" s="3">
        <f>$B$7</f>
        <v>163</v>
      </c>
      <c r="C28" s="4">
        <f>$C$7</f>
        <v>1013</v>
      </c>
      <c r="D28" s="4">
        <f>G28/$J$7</f>
        <v>2711.09375</v>
      </c>
      <c r="E28" s="4">
        <v>0</v>
      </c>
      <c r="F28" s="13">
        <f>SUM(D28:E28)</f>
        <v>2711.09375</v>
      </c>
      <c r="G28" s="14">
        <v>86755</v>
      </c>
      <c r="H28" s="13">
        <f>F28/C28</f>
        <v>2.6763018262586376</v>
      </c>
      <c r="I28" s="14">
        <f>G28/C28</f>
        <v>85.641658440276402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2051</v>
      </c>
      <c r="B29" s="3">
        <f>$B$7</f>
        <v>163</v>
      </c>
      <c r="C29" s="4">
        <f>$C$7</f>
        <v>1013</v>
      </c>
      <c r="D29" s="48">
        <v>2662</v>
      </c>
      <c r="E29" s="48">
        <v>0</v>
      </c>
      <c r="F29" s="4">
        <f>SUM(D29:E29)</f>
        <v>2662</v>
      </c>
      <c r="G29" s="5">
        <v>73423</v>
      </c>
      <c r="H29" s="4">
        <f>F29/C29</f>
        <v>2.6278381046396841</v>
      </c>
      <c r="I29" s="5">
        <f>G29/C29</f>
        <v>72.480750246791715</v>
      </c>
      <c r="J29" s="44">
        <f>I29/H29</f>
        <v>27.581893313298274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0.98189153362918569</v>
      </c>
      <c r="G30" s="16">
        <f t="shared" ref="G30" si="14">G29/G28</f>
        <v>0.84632586018096945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2051</v>
      </c>
      <c r="B33" s="3">
        <f>$B$7</f>
        <v>163</v>
      </c>
      <c r="C33" s="4">
        <f>$C$7</f>
        <v>1013</v>
      </c>
      <c r="D33" s="13">
        <f>SUM(D28,D22,D19)</f>
        <v>17395.9375</v>
      </c>
      <c r="E33" s="13">
        <v>0</v>
      </c>
      <c r="F33" s="13">
        <f t="shared" ref="F33" si="15">SUM(D33:E33)</f>
        <v>17395.9375</v>
      </c>
      <c r="G33" s="14">
        <f>SUM(G28,G22,G19)</f>
        <v>556670</v>
      </c>
      <c r="H33" s="34">
        <f t="shared" ref="H33:H34" si="16">F33/C33</f>
        <v>17.172692497532083</v>
      </c>
      <c r="I33" s="39">
        <f t="shared" ref="I33:I34" si="17">G33/C33</f>
        <v>549.52615992102665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2051</v>
      </c>
      <c r="B34" s="3">
        <f>$B$7</f>
        <v>163</v>
      </c>
      <c r="C34" s="4">
        <f>$C$7</f>
        <v>1013</v>
      </c>
      <c r="D34" s="4">
        <f>SUM(D29,D23,D20)</f>
        <v>16001</v>
      </c>
      <c r="E34" s="49">
        <v>0</v>
      </c>
      <c r="F34" s="4">
        <f>SUM(D34)</f>
        <v>16001</v>
      </c>
      <c r="G34" s="50">
        <f>SUM(G29,G23,G20)</f>
        <v>436209</v>
      </c>
      <c r="H34" s="41">
        <f t="shared" si="16"/>
        <v>15.795656465942745</v>
      </c>
      <c r="I34" s="42">
        <f t="shared" si="17"/>
        <v>430.6110562685094</v>
      </c>
      <c r="J34" s="43">
        <f>I34/H34</f>
        <v>27.261358665083431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0.78360428979467189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15.795656465942745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2.8953488372093021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18.944718657453109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2052</v>
      </c>
      <c r="B7" s="3">
        <v>107</v>
      </c>
      <c r="C7" s="4">
        <v>597</v>
      </c>
      <c r="D7" s="4">
        <f>G7/$J$7</f>
        <v>16280.15625</v>
      </c>
      <c r="E7" s="4">
        <v>0</v>
      </c>
      <c r="F7" s="4">
        <f t="shared" ref="F7" si="0">SUM(D7:E7)</f>
        <v>16280.15625</v>
      </c>
      <c r="G7" s="5">
        <f>SUM(G16,G19,G22,G25,G28)</f>
        <v>520965</v>
      </c>
      <c r="H7" s="9">
        <f t="shared" ref="H7" si="1">F7/C7</f>
        <v>27.269943467336685</v>
      </c>
      <c r="I7" s="11">
        <f t="shared" ref="I7:I8" si="2">G7/C7</f>
        <v>872.6381909547739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2052</v>
      </c>
      <c r="B8" s="3">
        <v>107</v>
      </c>
      <c r="C8" s="4">
        <v>597</v>
      </c>
      <c r="D8" s="4">
        <f>SUM(D17,D20,D23,D26,D29)</f>
        <v>15403</v>
      </c>
      <c r="E8" s="4">
        <v>0</v>
      </c>
      <c r="F8" s="4">
        <f>SUM(D8)</f>
        <v>15403</v>
      </c>
      <c r="G8" s="5">
        <f>SUM(G17,G20,G23,G26,G29)</f>
        <v>443243</v>
      </c>
      <c r="H8" s="58">
        <f>F8/C8</f>
        <v>25.80067001675042</v>
      </c>
      <c r="I8" s="42">
        <f t="shared" si="2"/>
        <v>742.45058626465664</v>
      </c>
      <c r="J8" s="43">
        <f>I8/H8</f>
        <v>28.77640719340388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0.94612114057566243</v>
      </c>
      <c r="G10" s="62">
        <f t="shared" ref="G10" si="3">G8/G7</f>
        <v>0.85081147485915565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877.15625</v>
      </c>
      <c r="G12" s="47">
        <f>G7-G8</f>
        <v>77722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2052</v>
      </c>
      <c r="B16" s="3">
        <f>$B$7</f>
        <v>107</v>
      </c>
      <c r="C16" s="4">
        <f>$C$7</f>
        <v>597</v>
      </c>
      <c r="D16" s="4">
        <f>G16/$J$7</f>
        <v>985.625</v>
      </c>
      <c r="E16" s="4">
        <v>0</v>
      </c>
      <c r="F16" s="13">
        <f t="shared" ref="F16:F17" si="4">SUM(D16:E16)</f>
        <v>985.625</v>
      </c>
      <c r="G16" s="14">
        <v>31540</v>
      </c>
      <c r="H16" s="13">
        <f t="shared" ref="H16:H17" si="5">F16/C16</f>
        <v>1.6509631490787269</v>
      </c>
      <c r="I16" s="14">
        <f t="shared" ref="I16:I17" si="6">G16/C16</f>
        <v>52.83082077051926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2052</v>
      </c>
      <c r="B17" s="3">
        <f>$B$7</f>
        <v>107</v>
      </c>
      <c r="C17" s="4">
        <f>$C$7</f>
        <v>597</v>
      </c>
      <c r="D17" s="48">
        <v>335</v>
      </c>
      <c r="E17" s="48">
        <v>0</v>
      </c>
      <c r="F17" s="4">
        <f t="shared" si="4"/>
        <v>335</v>
      </c>
      <c r="G17" s="5">
        <v>18420</v>
      </c>
      <c r="H17" s="4">
        <f t="shared" si="5"/>
        <v>0.56113902847571184</v>
      </c>
      <c r="I17" s="5">
        <f t="shared" si="6"/>
        <v>30.854271356783919</v>
      </c>
      <c r="J17" s="44">
        <f>I17/H17</f>
        <v>54.985074626865675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0.33988585922637921</v>
      </c>
      <c r="G18" s="16">
        <f t="shared" ref="G18" si="7">G17/G16</f>
        <v>0.58402029169308811</v>
      </c>
      <c r="H18" s="16"/>
      <c r="I18" s="16"/>
      <c r="J18" s="16"/>
      <c r="K18" s="45"/>
    </row>
    <row r="19" spans="1:11" ht="16.5" thickTop="1" thickBot="1" x14ac:dyDescent="0.25">
      <c r="A19" s="1">
        <f>$A$7</f>
        <v>2052</v>
      </c>
      <c r="B19" s="3">
        <f>$B$7</f>
        <v>107</v>
      </c>
      <c r="C19" s="4">
        <f>$C$7</f>
        <v>597</v>
      </c>
      <c r="D19" s="4">
        <f>G19/$J$7</f>
        <v>5099.375</v>
      </c>
      <c r="E19" s="4">
        <v>0</v>
      </c>
      <c r="F19" s="13">
        <f t="shared" ref="F19:F20" si="8">SUM(D19:E19)</f>
        <v>5099.375</v>
      </c>
      <c r="G19" s="14">
        <v>163180</v>
      </c>
      <c r="H19" s="13">
        <f t="shared" ref="H19:H20" si="9">F19/C19</f>
        <v>8.5416666666666661</v>
      </c>
      <c r="I19" s="14">
        <f t="shared" ref="I19:I20" si="10">G19/C19</f>
        <v>273.33333333333331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2052</v>
      </c>
      <c r="B20" s="3">
        <f>$B$7</f>
        <v>107</v>
      </c>
      <c r="C20" s="4">
        <f>$C$7</f>
        <v>597</v>
      </c>
      <c r="D20" s="48">
        <v>1840</v>
      </c>
      <c r="E20" s="48">
        <v>0</v>
      </c>
      <c r="F20" s="4">
        <f t="shared" si="8"/>
        <v>1840</v>
      </c>
      <c r="G20" s="5">
        <v>56187</v>
      </c>
      <c r="H20" s="4">
        <f t="shared" si="9"/>
        <v>3.0820770519262983</v>
      </c>
      <c r="I20" s="5">
        <f t="shared" si="10"/>
        <v>94.115577889447238</v>
      </c>
      <c r="J20" s="44">
        <f>I20/H20</f>
        <v>30.536413043478259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0.36082853290844469</v>
      </c>
      <c r="G21" s="16">
        <f t="shared" ref="G21" si="11">G20/G19</f>
        <v>0.34432528496139231</v>
      </c>
      <c r="H21" s="16"/>
      <c r="I21" s="16"/>
      <c r="J21" s="45"/>
      <c r="K21" s="45"/>
    </row>
    <row r="22" spans="1:11" ht="16.5" thickTop="1" thickBot="1" x14ac:dyDescent="0.25">
      <c r="A22" s="1">
        <f>$A$7</f>
        <v>2052</v>
      </c>
      <c r="B22" s="3">
        <f>$B$7</f>
        <v>107</v>
      </c>
      <c r="C22" s="4">
        <f>$C$7</f>
        <v>597</v>
      </c>
      <c r="D22" s="4">
        <f>G22/$J$7</f>
        <v>6617.65625</v>
      </c>
      <c r="E22" s="4">
        <v>0</v>
      </c>
      <c r="F22" s="13">
        <f>SUM(D22:E22)</f>
        <v>6617.65625</v>
      </c>
      <c r="G22" s="14">
        <v>211765</v>
      </c>
      <c r="H22" s="13">
        <f>F22/C22</f>
        <v>11.0848513400335</v>
      </c>
      <c r="I22" s="14">
        <f>G22/C22</f>
        <v>354.71524288107202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2052</v>
      </c>
      <c r="B23" s="3">
        <f>$B$7</f>
        <v>107</v>
      </c>
      <c r="C23" s="4">
        <f>$C$7</f>
        <v>597</v>
      </c>
      <c r="D23" s="48">
        <v>7138</v>
      </c>
      <c r="E23" s="48">
        <v>0</v>
      </c>
      <c r="F23" s="4">
        <f>SUM(D23:E23)</f>
        <v>7138</v>
      </c>
      <c r="G23" s="5">
        <v>201053</v>
      </c>
      <c r="H23" s="4">
        <f>F23/C23</f>
        <v>11.956448911222781</v>
      </c>
      <c r="I23" s="5">
        <f>G23/C23</f>
        <v>336.77219430485763</v>
      </c>
      <c r="J23" s="44">
        <f>I23/H23</f>
        <v>28.166573269823481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1.0786296130144264</v>
      </c>
      <c r="G24" s="16">
        <f t="shared" ref="G24" si="12">G23/G22</f>
        <v>0.94941562581163086</v>
      </c>
      <c r="H24" s="16"/>
      <c r="I24" s="16"/>
      <c r="J24" s="17"/>
      <c r="K24" s="17"/>
    </row>
    <row r="25" spans="1:11" ht="16.5" thickTop="1" thickBot="1" x14ac:dyDescent="0.25">
      <c r="A25" s="1">
        <f>$A$7</f>
        <v>2052</v>
      </c>
      <c r="B25" s="3">
        <f>$B$7</f>
        <v>107</v>
      </c>
      <c r="C25" s="4">
        <v>594</v>
      </c>
      <c r="D25" s="4">
        <f>G25/$J$7</f>
        <v>1118.125</v>
      </c>
      <c r="E25" s="4">
        <v>0</v>
      </c>
      <c r="F25" s="13">
        <f>SUM(D25:E25)</f>
        <v>1118.125</v>
      </c>
      <c r="G25" s="14">
        <v>35780</v>
      </c>
      <c r="H25" s="13">
        <f>F25/C25</f>
        <v>1.8823653198653199</v>
      </c>
      <c r="I25" s="14">
        <f>G25/C25</f>
        <v>60.235690235690235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2052</v>
      </c>
      <c r="B26" s="3">
        <f>$B$7</f>
        <v>107</v>
      </c>
      <c r="C26" s="4">
        <v>594</v>
      </c>
      <c r="D26" s="48">
        <v>1130</v>
      </c>
      <c r="E26" s="48">
        <v>0</v>
      </c>
      <c r="F26" s="4">
        <f>SUM(D26:E26)</f>
        <v>1130</v>
      </c>
      <c r="G26" s="5">
        <v>34751</v>
      </c>
      <c r="H26" s="4">
        <f>F26/C26</f>
        <v>1.9023569023569022</v>
      </c>
      <c r="I26" s="5">
        <f>G26/C26</f>
        <v>58.503367003367003</v>
      </c>
      <c r="J26" s="44">
        <f>I26/H26</f>
        <v>30.753097345132744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1.0106204583566238</v>
      </c>
      <c r="G27" s="16">
        <f t="shared" ref="G27" si="13">G26/G25</f>
        <v>0.97124091671324764</v>
      </c>
      <c r="H27" s="16"/>
      <c r="I27" s="16"/>
      <c r="J27" s="17"/>
      <c r="K27" s="17"/>
    </row>
    <row r="28" spans="1:11" ht="16.5" thickTop="1" thickBot="1" x14ac:dyDescent="0.25">
      <c r="A28" s="1">
        <f>$A$7</f>
        <v>2052</v>
      </c>
      <c r="B28" s="3">
        <f>$B$7</f>
        <v>107</v>
      </c>
      <c r="C28" s="4">
        <f>$C$7</f>
        <v>597</v>
      </c>
      <c r="D28" s="4">
        <f>G28/$J$7</f>
        <v>2459.375</v>
      </c>
      <c r="E28" s="4">
        <v>0</v>
      </c>
      <c r="F28" s="13">
        <f>SUM(D28:E28)</f>
        <v>2459.375</v>
      </c>
      <c r="G28" s="14">
        <v>78700</v>
      </c>
      <c r="H28" s="13">
        <f>F28/C28</f>
        <v>4.1195561139028474</v>
      </c>
      <c r="I28" s="14">
        <f>G28/C28</f>
        <v>131.82579564489112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2052</v>
      </c>
      <c r="B29" s="3">
        <f>$B$7</f>
        <v>107</v>
      </c>
      <c r="C29" s="4">
        <f>$C$7</f>
        <v>597</v>
      </c>
      <c r="D29" s="48">
        <v>4960</v>
      </c>
      <c r="E29" s="48">
        <v>0</v>
      </c>
      <c r="F29" s="4">
        <f>SUM(D29:E29)</f>
        <v>4960</v>
      </c>
      <c r="G29" s="5">
        <v>132832</v>
      </c>
      <c r="H29" s="4">
        <f>F29/C29</f>
        <v>8.3082077051926291</v>
      </c>
      <c r="I29" s="5">
        <f>G29/C29</f>
        <v>222.49916247906197</v>
      </c>
      <c r="J29" s="44">
        <f>I29/H29</f>
        <v>26.780645161290323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2.0167725540025412</v>
      </c>
      <c r="G30" s="16">
        <f t="shared" ref="G30" si="14">G29/G28</f>
        <v>1.6878271918678527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2052</v>
      </c>
      <c r="B33" s="3">
        <f>$B$7</f>
        <v>107</v>
      </c>
      <c r="C33" s="4">
        <f>$C$7</f>
        <v>597</v>
      </c>
      <c r="D33" s="13">
        <f>SUM(D28,D22,D19)</f>
        <v>14176.40625</v>
      </c>
      <c r="E33" s="13">
        <v>0</v>
      </c>
      <c r="F33" s="13">
        <f t="shared" ref="F33" si="15">SUM(D33:E33)</f>
        <v>14176.40625</v>
      </c>
      <c r="G33" s="14">
        <f>SUM(G28,G22,G19)</f>
        <v>453645</v>
      </c>
      <c r="H33" s="34">
        <f t="shared" ref="H33:H34" si="16">F33/C33</f>
        <v>23.746074120603016</v>
      </c>
      <c r="I33" s="39">
        <f t="shared" ref="I33:I34" si="17">G33/C33</f>
        <v>759.8743718592965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2052</v>
      </c>
      <c r="B34" s="3">
        <f>$B$7</f>
        <v>107</v>
      </c>
      <c r="C34" s="4">
        <f>$C$7</f>
        <v>597</v>
      </c>
      <c r="D34" s="4">
        <f>SUM(D29,D23,D20)</f>
        <v>13938</v>
      </c>
      <c r="E34" s="49">
        <v>0</v>
      </c>
      <c r="F34" s="4">
        <f>SUM(D34)</f>
        <v>13938</v>
      </c>
      <c r="G34" s="50">
        <f>SUM(G29,G23,G20)</f>
        <v>390072</v>
      </c>
      <c r="H34" s="41">
        <f t="shared" si="16"/>
        <v>23.346733668341709</v>
      </c>
      <c r="I34" s="42">
        <f t="shared" si="17"/>
        <v>653.3869346733668</v>
      </c>
      <c r="J34" s="43">
        <f>I34/H34</f>
        <v>27.986224709427461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0.8598617861984591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23.346733668341709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1.9023569023569022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25.80067001675042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2053</v>
      </c>
      <c r="B7" s="3">
        <v>135</v>
      </c>
      <c r="C7" s="4">
        <v>803</v>
      </c>
      <c r="D7" s="4">
        <f>G7/$J$7</f>
        <v>16109.53125</v>
      </c>
      <c r="E7" s="4">
        <v>0</v>
      </c>
      <c r="F7" s="4">
        <f t="shared" ref="F7" si="0">SUM(D7:E7)</f>
        <v>16109.53125</v>
      </c>
      <c r="G7" s="5">
        <f>SUM(G16,G19,G22,G25,G28)</f>
        <v>515505</v>
      </c>
      <c r="H7" s="9">
        <f t="shared" ref="H7" si="1">F7/C7</f>
        <v>20.061682752179326</v>
      </c>
      <c r="I7" s="11">
        <f t="shared" ref="I7:I8" si="2">G7/C7</f>
        <v>641.97384806973844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2053</v>
      </c>
      <c r="B8" s="3">
        <v>135</v>
      </c>
      <c r="C8" s="4">
        <f>C7</f>
        <v>803</v>
      </c>
      <c r="D8" s="4">
        <f>SUM(D17,D20,D23,D26,D29)</f>
        <v>19335</v>
      </c>
      <c r="E8" s="4">
        <v>0</v>
      </c>
      <c r="F8" s="4">
        <f>SUM(D8)</f>
        <v>19335</v>
      </c>
      <c r="G8" s="5">
        <f>SUM(G17,G20,G23,G26,G29)</f>
        <v>557413</v>
      </c>
      <c r="H8" s="58">
        <f>F8/C8</f>
        <v>24.07845579078456</v>
      </c>
      <c r="I8" s="42">
        <f t="shared" si="2"/>
        <v>694.16313823163136</v>
      </c>
      <c r="J8" s="43">
        <f>I8/H8</f>
        <v>28.829221618825962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1.2002211423749527</v>
      </c>
      <c r="G10" s="62">
        <f t="shared" ref="G10" si="3">G8/G7</f>
        <v>1.0812950407852495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-3225.46875</v>
      </c>
      <c r="G12" s="47">
        <f>G7-G8</f>
        <v>-41908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2053</v>
      </c>
      <c r="B16" s="3">
        <f>$B$7</f>
        <v>135</v>
      </c>
      <c r="C16" s="4">
        <f>$C$7</f>
        <v>803</v>
      </c>
      <c r="D16" s="4">
        <f>G16/$J$7</f>
        <v>642.96875</v>
      </c>
      <c r="E16" s="4">
        <v>0</v>
      </c>
      <c r="F16" s="13">
        <f t="shared" ref="F16:F17" si="4">SUM(D16:E16)</f>
        <v>642.96875</v>
      </c>
      <c r="G16" s="14">
        <v>20575</v>
      </c>
      <c r="H16" s="13">
        <f t="shared" ref="H16:H17" si="5">F16/C16</f>
        <v>0.80070828144458284</v>
      </c>
      <c r="I16" s="14">
        <f t="shared" ref="I16:I17" si="6">G16/C16</f>
        <v>25.622665006226651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2053</v>
      </c>
      <c r="B17" s="3">
        <f>$B$7</f>
        <v>135</v>
      </c>
      <c r="C17" s="4">
        <f>$C$7</f>
        <v>803</v>
      </c>
      <c r="D17" s="48">
        <v>308</v>
      </c>
      <c r="E17" s="48">
        <v>0</v>
      </c>
      <c r="F17" s="4">
        <f t="shared" si="4"/>
        <v>308</v>
      </c>
      <c r="G17" s="5">
        <v>17946</v>
      </c>
      <c r="H17" s="4">
        <f t="shared" si="5"/>
        <v>0.38356164383561642</v>
      </c>
      <c r="I17" s="5">
        <f t="shared" si="6"/>
        <v>22.348692403486925</v>
      </c>
      <c r="J17" s="44">
        <f>I17/H17</f>
        <v>58.266233766233775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0.47902794653705955</v>
      </c>
      <c r="G18" s="16">
        <f t="shared" ref="G18" si="7">G17/G16</f>
        <v>0.87222357229647629</v>
      </c>
      <c r="H18" s="16"/>
      <c r="I18" s="16"/>
      <c r="J18" s="16"/>
      <c r="K18" s="45"/>
    </row>
    <row r="19" spans="1:11" ht="16.5" thickTop="1" thickBot="1" x14ac:dyDescent="0.25">
      <c r="A19" s="1">
        <f>$A$7</f>
        <v>2053</v>
      </c>
      <c r="B19" s="3">
        <f>$B$7</f>
        <v>135</v>
      </c>
      <c r="C19" s="4">
        <f>$C$7</f>
        <v>803</v>
      </c>
      <c r="D19" s="4">
        <f>G19/$J$7</f>
        <v>3823.59375</v>
      </c>
      <c r="E19" s="4">
        <v>0</v>
      </c>
      <c r="F19" s="13">
        <f t="shared" ref="F19:F20" si="8">SUM(D19:E19)</f>
        <v>3823.59375</v>
      </c>
      <c r="G19" s="14">
        <v>122355</v>
      </c>
      <c r="H19" s="13">
        <f t="shared" ref="H19:H20" si="9">F19/C19</f>
        <v>4.7616360523038601</v>
      </c>
      <c r="I19" s="14">
        <f t="shared" ref="I19:I20" si="10">G19/C19</f>
        <v>152.37235367372352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2053</v>
      </c>
      <c r="B20" s="3">
        <f>$B$7</f>
        <v>135</v>
      </c>
      <c r="C20" s="4">
        <f>$C$7</f>
        <v>803</v>
      </c>
      <c r="D20" s="48">
        <v>3053</v>
      </c>
      <c r="E20" s="48">
        <v>0</v>
      </c>
      <c r="F20" s="4">
        <f t="shared" si="8"/>
        <v>3053</v>
      </c>
      <c r="G20" s="5">
        <v>100556</v>
      </c>
      <c r="H20" s="4">
        <f t="shared" si="9"/>
        <v>3.8019925280199254</v>
      </c>
      <c r="I20" s="5">
        <f t="shared" si="10"/>
        <v>125.22540473225405</v>
      </c>
      <c r="J20" s="44">
        <f>I20/H20</f>
        <v>32.93678349164756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0.79846348739324102</v>
      </c>
      <c r="G21" s="16">
        <f t="shared" ref="G21" si="11">G20/G19</f>
        <v>0.82183809407053243</v>
      </c>
      <c r="H21" s="16"/>
      <c r="I21" s="16"/>
      <c r="J21" s="45"/>
      <c r="K21" s="45"/>
    </row>
    <row r="22" spans="1:11" ht="16.5" thickTop="1" thickBot="1" x14ac:dyDescent="0.25">
      <c r="A22" s="1">
        <f>$A$7</f>
        <v>2053</v>
      </c>
      <c r="B22" s="3">
        <f>$B$7</f>
        <v>135</v>
      </c>
      <c r="C22" s="4">
        <f>$C$7</f>
        <v>803</v>
      </c>
      <c r="D22" s="4">
        <f>G22/$J$7</f>
        <v>7730.15625</v>
      </c>
      <c r="E22" s="4">
        <v>0</v>
      </c>
      <c r="F22" s="13">
        <f>SUM(D22:E22)</f>
        <v>7730.15625</v>
      </c>
      <c r="G22" s="14">
        <v>247365</v>
      </c>
      <c r="H22" s="13">
        <f>F22/C22</f>
        <v>9.6265955790784563</v>
      </c>
      <c r="I22" s="14">
        <f>G22/C22</f>
        <v>308.0510585305106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2053</v>
      </c>
      <c r="B23" s="3">
        <f>$B$7</f>
        <v>135</v>
      </c>
      <c r="C23" s="4">
        <f>$C$7</f>
        <v>803</v>
      </c>
      <c r="D23" s="48">
        <v>11274</v>
      </c>
      <c r="E23" s="48">
        <v>0</v>
      </c>
      <c r="F23" s="4">
        <f>SUM(D23:E23)</f>
        <v>11274</v>
      </c>
      <c r="G23" s="5">
        <v>301988</v>
      </c>
      <c r="H23" s="4">
        <f>F23/C23</f>
        <v>14.039850560398506</v>
      </c>
      <c r="I23" s="5">
        <f>G23/C23</f>
        <v>376.07471980074718</v>
      </c>
      <c r="J23" s="44">
        <f>I23/H23</f>
        <v>26.786233812311512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1.4584439997574434</v>
      </c>
      <c r="G24" s="16">
        <f t="shared" ref="G24" si="12">G23/G22</f>
        <v>1.2208194368645524</v>
      </c>
      <c r="H24" s="16"/>
      <c r="I24" s="16"/>
      <c r="J24" s="17"/>
      <c r="K24" s="17"/>
    </row>
    <row r="25" spans="1:11" ht="16.5" thickTop="1" thickBot="1" x14ac:dyDescent="0.25">
      <c r="A25" s="1">
        <f>$A$7</f>
        <v>2053</v>
      </c>
      <c r="B25" s="3">
        <f>$B$7</f>
        <v>135</v>
      </c>
      <c r="C25" s="4">
        <v>781</v>
      </c>
      <c r="D25" s="4">
        <f>G25/$J$7</f>
        <v>1482.1875</v>
      </c>
      <c r="E25" s="4">
        <v>0</v>
      </c>
      <c r="F25" s="13">
        <f>SUM(D25:E25)</f>
        <v>1482.1875</v>
      </c>
      <c r="G25" s="14">
        <v>47430</v>
      </c>
      <c r="H25" s="13">
        <f>F25/C25</f>
        <v>1.8978072983354672</v>
      </c>
      <c r="I25" s="14">
        <f>G25/C25</f>
        <v>60.729833546734952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2053</v>
      </c>
      <c r="B26" s="3">
        <f>$B$7</f>
        <v>135</v>
      </c>
      <c r="C26" s="4">
        <f>C25</f>
        <v>781</v>
      </c>
      <c r="D26" s="48">
        <v>2181</v>
      </c>
      <c r="E26" s="48">
        <v>0</v>
      </c>
      <c r="F26" s="4">
        <f>SUM(D26:E26)</f>
        <v>2181</v>
      </c>
      <c r="G26" s="5">
        <v>58886</v>
      </c>
      <c r="H26" s="4">
        <f>F26/C26</f>
        <v>2.7925736235595391</v>
      </c>
      <c r="I26" s="5">
        <f>G26/C26</f>
        <v>75.398207426376445</v>
      </c>
      <c r="J26" s="44">
        <f>I26/H26</f>
        <v>26.99954149472719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1.4714737507906388</v>
      </c>
      <c r="G27" s="16">
        <f t="shared" ref="G27" si="13">G26/G25</f>
        <v>1.2415348935273034</v>
      </c>
      <c r="H27" s="16"/>
      <c r="I27" s="16"/>
      <c r="J27" s="17"/>
      <c r="K27" s="17"/>
    </row>
    <row r="28" spans="1:11" ht="16.5" thickTop="1" thickBot="1" x14ac:dyDescent="0.25">
      <c r="A28" s="1">
        <f>$A$7</f>
        <v>2053</v>
      </c>
      <c r="B28" s="3">
        <f>$B$7</f>
        <v>135</v>
      </c>
      <c r="C28" s="4">
        <f>$C$7</f>
        <v>803</v>
      </c>
      <c r="D28" s="4">
        <f>G28/$J$7</f>
        <v>2430.625</v>
      </c>
      <c r="E28" s="4">
        <v>0</v>
      </c>
      <c r="F28" s="13">
        <f>SUM(D28:E28)</f>
        <v>2430.625</v>
      </c>
      <c r="G28" s="14">
        <v>77780</v>
      </c>
      <c r="H28" s="13">
        <f>F28/C28</f>
        <v>3.0269302615193028</v>
      </c>
      <c r="I28" s="14">
        <f>G28/C28</f>
        <v>96.861768368617689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2053</v>
      </c>
      <c r="B29" s="3">
        <f>$B$7</f>
        <v>135</v>
      </c>
      <c r="C29" s="4">
        <f>$C$7</f>
        <v>803</v>
      </c>
      <c r="D29" s="48">
        <v>2519</v>
      </c>
      <c r="E29" s="48">
        <v>0</v>
      </c>
      <c r="F29" s="4">
        <f>SUM(D29:E29)</f>
        <v>2519</v>
      </c>
      <c r="G29" s="5">
        <v>78037</v>
      </c>
      <c r="H29" s="4">
        <f>F29/C29</f>
        <v>3.1369863013698631</v>
      </c>
      <c r="I29" s="5">
        <f>G29/C29</f>
        <v>97.181818181818187</v>
      </c>
      <c r="J29" s="44">
        <f>I29/H29</f>
        <v>30.979356887653832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1.0363589611725379</v>
      </c>
      <c r="G30" s="16">
        <f t="shared" ref="G30" si="14">G29/G28</f>
        <v>1.0033041913088196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2053</v>
      </c>
      <c r="B33" s="3">
        <f>$B$7</f>
        <v>135</v>
      </c>
      <c r="C33" s="4">
        <f>$C$7</f>
        <v>803</v>
      </c>
      <c r="D33" s="13">
        <f>SUM(D28,D22,D19)</f>
        <v>13984.375</v>
      </c>
      <c r="E33" s="13">
        <v>0</v>
      </c>
      <c r="F33" s="13">
        <f t="shared" ref="F33" si="15">SUM(D33:E33)</f>
        <v>13984.375</v>
      </c>
      <c r="G33" s="14">
        <f>SUM(G28,G22,G19)</f>
        <v>447500</v>
      </c>
      <c r="H33" s="34">
        <f t="shared" ref="H33:H34" si="16">F33/C33</f>
        <v>17.415161892901619</v>
      </c>
      <c r="I33" s="39">
        <f t="shared" ref="I33:I34" si="17">G33/C33</f>
        <v>557.2851805728518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2053</v>
      </c>
      <c r="B34" s="3">
        <f>$B$7</f>
        <v>135</v>
      </c>
      <c r="C34" s="4">
        <f>$C$7</f>
        <v>803</v>
      </c>
      <c r="D34" s="4">
        <f>SUM(D29,D23,D20)</f>
        <v>16846</v>
      </c>
      <c r="E34" s="49">
        <v>0</v>
      </c>
      <c r="F34" s="4">
        <f>SUM(D34)</f>
        <v>16846</v>
      </c>
      <c r="G34" s="50">
        <f>SUM(G29,G23,G20)</f>
        <v>480581</v>
      </c>
      <c r="H34" s="41">
        <f t="shared" si="16"/>
        <v>20.978829389788295</v>
      </c>
      <c r="I34" s="42">
        <f t="shared" si="17"/>
        <v>598.48194271481941</v>
      </c>
      <c r="J34" s="43">
        <f>I34/H34</f>
        <v>28.527899798171671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1.0739240223463686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20.978829389788295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2.7925736235595391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24.07845579078456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2054</v>
      </c>
      <c r="B7" s="3">
        <v>68</v>
      </c>
      <c r="C7" s="4">
        <v>363</v>
      </c>
      <c r="D7" s="4">
        <f>G7/$J$7</f>
        <v>6340.8125</v>
      </c>
      <c r="E7" s="4">
        <v>0</v>
      </c>
      <c r="F7" s="4">
        <f t="shared" ref="F7" si="0">SUM(D7:E7)</f>
        <v>6340.8125</v>
      </c>
      <c r="G7" s="5">
        <f>SUM(G16,G19,G22,G25,G28)</f>
        <v>202906</v>
      </c>
      <c r="H7" s="9">
        <f t="shared" ref="H7" si="1">F7/C7</f>
        <v>17.467803030303031</v>
      </c>
      <c r="I7" s="11">
        <f t="shared" ref="I7:I8" si="2">G7/C7</f>
        <v>558.969696969697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2054</v>
      </c>
      <c r="B8" s="3">
        <v>68</v>
      </c>
      <c r="C8" s="4">
        <v>363</v>
      </c>
      <c r="D8" s="4">
        <f>SUM(D17,D20,D23,D26,D29)</f>
        <v>9584</v>
      </c>
      <c r="E8" s="4">
        <v>0</v>
      </c>
      <c r="F8" s="4">
        <f>SUM(D8)</f>
        <v>9584</v>
      </c>
      <c r="G8" s="5">
        <f>SUM(G17,G20,G23,G26,G29)</f>
        <v>282898</v>
      </c>
      <c r="H8" s="58">
        <f>F8/C8</f>
        <v>26.40220385674931</v>
      </c>
      <c r="I8" s="42">
        <f t="shared" si="2"/>
        <v>779.33333333333337</v>
      </c>
      <c r="J8" s="43">
        <f>I8/H8</f>
        <v>29.517737896494161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1.5114782214424414</v>
      </c>
      <c r="G10" s="62">
        <f t="shared" ref="G10" si="3">G8/G7</f>
        <v>1.3942318117749106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-3243.1875</v>
      </c>
      <c r="G12" s="47">
        <f>G7-G8</f>
        <v>-79992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2054</v>
      </c>
      <c r="B16" s="3">
        <f>$B$7</f>
        <v>68</v>
      </c>
      <c r="C16" s="4">
        <f>$C$7</f>
        <v>363</v>
      </c>
      <c r="D16" s="4">
        <f>G16/$J$7</f>
        <v>505.625</v>
      </c>
      <c r="E16" s="4">
        <v>0</v>
      </c>
      <c r="F16" s="13">
        <f t="shared" ref="F16:F17" si="4">SUM(D16:E16)</f>
        <v>505.625</v>
      </c>
      <c r="G16" s="14">
        <v>16180</v>
      </c>
      <c r="H16" s="13">
        <f t="shared" ref="H16:H17" si="5">F16/C16</f>
        <v>1.3929063360881542</v>
      </c>
      <c r="I16" s="14">
        <f t="shared" ref="I16:I17" si="6">G16/C16</f>
        <v>44.573002754820934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2054</v>
      </c>
      <c r="B17" s="3">
        <f>$B$7</f>
        <v>68</v>
      </c>
      <c r="C17" s="4">
        <f>$C$7</f>
        <v>363</v>
      </c>
      <c r="D17" s="48">
        <v>126</v>
      </c>
      <c r="E17" s="48">
        <v>0</v>
      </c>
      <c r="F17" s="4">
        <f t="shared" si="4"/>
        <v>126</v>
      </c>
      <c r="G17" s="5">
        <v>7085</v>
      </c>
      <c r="H17" s="4">
        <f t="shared" si="5"/>
        <v>0.34710743801652894</v>
      </c>
      <c r="I17" s="5">
        <f t="shared" si="6"/>
        <v>19.517906336088153</v>
      </c>
      <c r="J17" s="44">
        <f>I17/H17</f>
        <v>56.230158730158728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0.2491965389369592</v>
      </c>
      <c r="G18" s="16">
        <f t="shared" ref="G18" si="7">G17/G16</f>
        <v>0.43788627935723112</v>
      </c>
      <c r="H18" s="16"/>
      <c r="I18" s="16"/>
      <c r="J18" s="16"/>
      <c r="K18" s="45"/>
    </row>
    <row r="19" spans="1:11" ht="16.5" thickTop="1" thickBot="1" x14ac:dyDescent="0.25">
      <c r="A19" s="1">
        <f>$A$7</f>
        <v>2054</v>
      </c>
      <c r="B19" s="3">
        <f>$B$7</f>
        <v>68</v>
      </c>
      <c r="C19" s="4">
        <f>$C$7</f>
        <v>363</v>
      </c>
      <c r="D19" s="4">
        <f>G19/$J$7</f>
        <v>797.4375</v>
      </c>
      <c r="E19" s="4">
        <v>0</v>
      </c>
      <c r="F19" s="13">
        <f t="shared" ref="F19:F20" si="8">SUM(D19:E19)</f>
        <v>797.4375</v>
      </c>
      <c r="G19" s="14">
        <v>25518</v>
      </c>
      <c r="H19" s="13">
        <f t="shared" ref="H19:H20" si="9">F19/C19</f>
        <v>2.196797520661157</v>
      </c>
      <c r="I19" s="14">
        <f t="shared" ref="I19:I20" si="10">G19/C19</f>
        <v>70.297520661157023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2054</v>
      </c>
      <c r="B20" s="3">
        <f>$B$7</f>
        <v>68</v>
      </c>
      <c r="C20" s="4">
        <f>$C$7</f>
        <v>363</v>
      </c>
      <c r="D20" s="48">
        <v>362</v>
      </c>
      <c r="E20" s="48">
        <v>0</v>
      </c>
      <c r="F20" s="4">
        <f t="shared" si="8"/>
        <v>362</v>
      </c>
      <c r="G20" s="5">
        <v>13216</v>
      </c>
      <c r="H20" s="4">
        <f t="shared" si="9"/>
        <v>0.99724517906336085</v>
      </c>
      <c r="I20" s="5">
        <f t="shared" si="10"/>
        <v>36.407713498622591</v>
      </c>
      <c r="J20" s="44">
        <f>I20/H20</f>
        <v>36.508287292817684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0.45395407163570811</v>
      </c>
      <c r="G21" s="16">
        <f t="shared" ref="G21" si="11">G20/G19</f>
        <v>0.51790892703189906</v>
      </c>
      <c r="H21" s="16"/>
      <c r="I21" s="16"/>
      <c r="J21" s="45"/>
      <c r="K21" s="45"/>
    </row>
    <row r="22" spans="1:11" ht="16.5" thickTop="1" thickBot="1" x14ac:dyDescent="0.25">
      <c r="A22" s="1">
        <f>$A$7</f>
        <v>2054</v>
      </c>
      <c r="B22" s="3">
        <f>$B$7</f>
        <v>68</v>
      </c>
      <c r="C22" s="4">
        <f>$C$7</f>
        <v>363</v>
      </c>
      <c r="D22" s="4">
        <f>G22/$J$7</f>
        <v>2946.03125</v>
      </c>
      <c r="E22" s="4">
        <v>0</v>
      </c>
      <c r="F22" s="13">
        <f>SUM(D22:E22)</f>
        <v>2946.03125</v>
      </c>
      <c r="G22" s="14">
        <v>94273</v>
      </c>
      <c r="H22" s="13">
        <f>F22/C22</f>
        <v>8.1157885674931123</v>
      </c>
      <c r="I22" s="14">
        <f>G22/C22</f>
        <v>259.70523415977959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2054</v>
      </c>
      <c r="B23" s="3">
        <f>$B$7</f>
        <v>68</v>
      </c>
      <c r="C23" s="4">
        <f>$C$7</f>
        <v>363</v>
      </c>
      <c r="D23" s="48">
        <v>4895</v>
      </c>
      <c r="E23" s="48">
        <v>0</v>
      </c>
      <c r="F23" s="4">
        <f>SUM(D23:E23)</f>
        <v>4895</v>
      </c>
      <c r="G23" s="5">
        <v>147002</v>
      </c>
      <c r="H23" s="4">
        <f>F23/C23</f>
        <v>13.484848484848484</v>
      </c>
      <c r="I23" s="5">
        <f>G23/C23</f>
        <v>404.96418732782371</v>
      </c>
      <c r="J23" s="44">
        <f>I23/H23</f>
        <v>30.031052093973443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1.6615573918301105</v>
      </c>
      <c r="G24" s="16">
        <f t="shared" ref="G24" si="12">G23/G22</f>
        <v>1.5593223934742715</v>
      </c>
      <c r="H24" s="16"/>
      <c r="I24" s="16"/>
      <c r="J24" s="17"/>
      <c r="K24" s="17"/>
    </row>
    <row r="25" spans="1:11" ht="16.5" thickTop="1" thickBot="1" x14ac:dyDescent="0.25">
      <c r="A25" s="1">
        <f>$A$7</f>
        <v>2054</v>
      </c>
      <c r="B25" s="3">
        <f>$B$7</f>
        <v>68</v>
      </c>
      <c r="C25" s="4">
        <v>345</v>
      </c>
      <c r="D25" s="4">
        <f>G25/$J$7</f>
        <v>646.875</v>
      </c>
      <c r="E25" s="4">
        <v>0</v>
      </c>
      <c r="F25" s="13">
        <f>SUM(D25:E25)</f>
        <v>646.875</v>
      </c>
      <c r="G25" s="14">
        <v>20700</v>
      </c>
      <c r="H25" s="13">
        <f>F25/C25</f>
        <v>1.875</v>
      </c>
      <c r="I25" s="14">
        <f>G25/C25</f>
        <v>60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2054</v>
      </c>
      <c r="B26" s="3">
        <f>$B$7</f>
        <v>68</v>
      </c>
      <c r="C26" s="4">
        <v>345</v>
      </c>
      <c r="D26" s="48">
        <v>721</v>
      </c>
      <c r="E26" s="48">
        <v>0</v>
      </c>
      <c r="F26" s="4">
        <f>SUM(D26:E26)</f>
        <v>721</v>
      </c>
      <c r="G26" s="5">
        <v>21750</v>
      </c>
      <c r="H26" s="4">
        <f>F26/C26</f>
        <v>2.0898550724637683</v>
      </c>
      <c r="I26" s="5">
        <f>G26/C26</f>
        <v>63.043478260869563</v>
      </c>
      <c r="J26" s="44">
        <f>I26/H26</f>
        <v>30.166435506241328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1.1145893719806763</v>
      </c>
      <c r="G27" s="16">
        <f t="shared" ref="G27" si="13">G26/G25</f>
        <v>1.0507246376811594</v>
      </c>
      <c r="H27" s="16"/>
      <c r="I27" s="16"/>
      <c r="J27" s="17"/>
      <c r="K27" s="17"/>
    </row>
    <row r="28" spans="1:11" ht="16.5" thickTop="1" thickBot="1" x14ac:dyDescent="0.25">
      <c r="A28" s="1">
        <f>$A$7</f>
        <v>2054</v>
      </c>
      <c r="B28" s="3">
        <f>$B$7</f>
        <v>68</v>
      </c>
      <c r="C28" s="4">
        <f>$C$7</f>
        <v>363</v>
      </c>
      <c r="D28" s="4">
        <f>G28/$J$7</f>
        <v>1444.84375</v>
      </c>
      <c r="E28" s="4">
        <v>0</v>
      </c>
      <c r="F28" s="13">
        <f>SUM(D28:E28)</f>
        <v>1444.84375</v>
      </c>
      <c r="G28" s="14">
        <v>46235</v>
      </c>
      <c r="H28" s="13">
        <f>F28/C28</f>
        <v>3.9802858126721765</v>
      </c>
      <c r="I28" s="14">
        <f>G28/C28</f>
        <v>127.36914600550965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2054</v>
      </c>
      <c r="B29" s="3">
        <f>$B$7</f>
        <v>68</v>
      </c>
      <c r="C29" s="4">
        <f>$C$7</f>
        <v>363</v>
      </c>
      <c r="D29" s="48">
        <v>3480</v>
      </c>
      <c r="E29" s="48">
        <v>0</v>
      </c>
      <c r="F29" s="4">
        <f>SUM(D29:E29)</f>
        <v>3480</v>
      </c>
      <c r="G29" s="5">
        <v>93845</v>
      </c>
      <c r="H29" s="4">
        <f>F29/C29</f>
        <v>9.5867768595041323</v>
      </c>
      <c r="I29" s="5">
        <f>G29/C29</f>
        <v>258.52617079889808</v>
      </c>
      <c r="J29" s="44">
        <f>I29/H29</f>
        <v>26.966954022988507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2.4085649399805344</v>
      </c>
      <c r="G30" s="16">
        <f t="shared" ref="G30" si="14">G29/G28</f>
        <v>2.0297393749324106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2054</v>
      </c>
      <c r="B33" s="3">
        <f>$B$7</f>
        <v>68</v>
      </c>
      <c r="C33" s="4">
        <f>$C$7</f>
        <v>363</v>
      </c>
      <c r="D33" s="13">
        <f>SUM(D28,D22,D19)</f>
        <v>5188.3125</v>
      </c>
      <c r="E33" s="13">
        <v>0</v>
      </c>
      <c r="F33" s="13">
        <f t="shared" ref="F33" si="15">SUM(D33:E33)</f>
        <v>5188.3125</v>
      </c>
      <c r="G33" s="14">
        <f>SUM(G28,G22,G19)</f>
        <v>166026</v>
      </c>
      <c r="H33" s="34">
        <f t="shared" ref="H33:H34" si="16">F33/C33</f>
        <v>14.292871900826446</v>
      </c>
      <c r="I33" s="39">
        <f t="shared" ref="I33:I34" si="17">G33/C33</f>
        <v>457.37190082644628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2054</v>
      </c>
      <c r="B34" s="3">
        <f>$B$7</f>
        <v>68</v>
      </c>
      <c r="C34" s="4">
        <f>$C$7</f>
        <v>363</v>
      </c>
      <c r="D34" s="4">
        <f>SUM(D29,D23,D20)</f>
        <v>8737</v>
      </c>
      <c r="E34" s="49">
        <v>0</v>
      </c>
      <c r="F34" s="4">
        <f>SUM(D34)</f>
        <v>8737</v>
      </c>
      <c r="G34" s="50">
        <f>SUM(G29,G23,G20)</f>
        <v>254063</v>
      </c>
      <c r="H34" s="41">
        <f t="shared" si="16"/>
        <v>24.068870523415978</v>
      </c>
      <c r="I34" s="42">
        <f t="shared" si="17"/>
        <v>699.8980716253443</v>
      </c>
      <c r="J34" s="43">
        <f>I34/H34</f>
        <v>29.078974476364884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1.5302603206726657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24.068870523415978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2.0898550724637683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26.40220385674931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2057</v>
      </c>
      <c r="B7" s="3">
        <v>107</v>
      </c>
      <c r="C7" s="4">
        <v>373</v>
      </c>
      <c r="D7" s="4">
        <f>G7/$J$7</f>
        <v>8210.53125</v>
      </c>
      <c r="E7" s="4">
        <v>0</v>
      </c>
      <c r="F7" s="4">
        <f t="shared" ref="F7" si="0">SUM(D7:E7)</f>
        <v>8210.53125</v>
      </c>
      <c r="G7" s="5">
        <f>SUM(G16,G19,G22,G25,G28)</f>
        <v>262737</v>
      </c>
      <c r="H7" s="9">
        <f t="shared" ref="H7" si="1">F7/C7</f>
        <v>22.012148123324398</v>
      </c>
      <c r="I7" s="11">
        <f t="shared" ref="I7:I8" si="2">G7/C7</f>
        <v>704.38873994638072</v>
      </c>
      <c r="J7" s="12">
        <v>32</v>
      </c>
      <c r="K7" s="37" t="s">
        <v>10</v>
      </c>
    </row>
    <row r="8" spans="1:11" ht="16.5" thickTop="1" thickBot="1" x14ac:dyDescent="0.25">
      <c r="A8" s="3">
        <v>2057</v>
      </c>
      <c r="B8" s="3">
        <v>107</v>
      </c>
      <c r="C8" s="4">
        <v>373</v>
      </c>
      <c r="D8" s="4">
        <f>SUM(D17,D20,D23,D26,D29)</f>
        <v>7092</v>
      </c>
      <c r="E8" s="4">
        <v>0</v>
      </c>
      <c r="F8" s="4">
        <f>SUM(D8)</f>
        <v>7092</v>
      </c>
      <c r="G8" s="5">
        <f>SUM(G17,G20,G23,G26,G29)</f>
        <v>221401</v>
      </c>
      <c r="H8" s="58">
        <f>F8/C8</f>
        <v>19.013404825737265</v>
      </c>
      <c r="I8" s="42">
        <f t="shared" si="2"/>
        <v>593.56836461126011</v>
      </c>
      <c r="J8" s="43">
        <f>I8/H8</f>
        <v>31.218415115623241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0.86376871167745695</v>
      </c>
      <c r="G10" s="62">
        <f t="shared" ref="G10" si="3">G8/G7</f>
        <v>0.84267156890731032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1118.53125</v>
      </c>
      <c r="G12" s="47">
        <f>G7-G8</f>
        <v>41336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2057</v>
      </c>
      <c r="B16" s="3">
        <f>$B$7</f>
        <v>107</v>
      </c>
      <c r="C16" s="4">
        <f>$C$7</f>
        <v>373</v>
      </c>
      <c r="D16" s="4">
        <f>G16/$J$7</f>
        <v>755.9375</v>
      </c>
      <c r="E16" s="4">
        <v>0</v>
      </c>
      <c r="F16" s="13">
        <f t="shared" ref="F16:F17" si="4">SUM(D16:E16)</f>
        <v>755.9375</v>
      </c>
      <c r="G16" s="14">
        <v>24190</v>
      </c>
      <c r="H16" s="13">
        <f t="shared" ref="H16:H17" si="5">F16/C16</f>
        <v>2.0266420911528149</v>
      </c>
      <c r="I16" s="14">
        <f t="shared" ref="I16:I17" si="6">G16/C16</f>
        <v>64.852546916890077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2057</v>
      </c>
      <c r="B17" s="3">
        <f>$B$7</f>
        <v>107</v>
      </c>
      <c r="C17" s="4">
        <f>$C$7</f>
        <v>373</v>
      </c>
      <c r="D17" s="48">
        <v>234</v>
      </c>
      <c r="E17" s="48">
        <v>0</v>
      </c>
      <c r="F17" s="4">
        <f t="shared" si="4"/>
        <v>234</v>
      </c>
      <c r="G17" s="5">
        <v>13027</v>
      </c>
      <c r="H17" s="4">
        <f t="shared" si="5"/>
        <v>0.62734584450402142</v>
      </c>
      <c r="I17" s="5">
        <f t="shared" si="6"/>
        <v>34.924932975871315</v>
      </c>
      <c r="J17" s="44">
        <f>I17/H17</f>
        <v>55.670940170940177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0.30954940057875158</v>
      </c>
      <c r="G18" s="16">
        <f t="shared" ref="G18" si="7">G17/G16</f>
        <v>0.53852831748656471</v>
      </c>
      <c r="H18" s="16"/>
      <c r="I18" s="16"/>
      <c r="J18" s="16"/>
      <c r="K18" s="45"/>
    </row>
    <row r="19" spans="1:11" ht="16.5" thickTop="1" thickBot="1" x14ac:dyDescent="0.25">
      <c r="A19" s="1">
        <f>$A$7</f>
        <v>2057</v>
      </c>
      <c r="B19" s="3">
        <f>$B$7</f>
        <v>107</v>
      </c>
      <c r="C19" s="4">
        <f>$C$7</f>
        <v>373</v>
      </c>
      <c r="D19" s="4">
        <f>G19/$J$7</f>
        <v>1732.78125</v>
      </c>
      <c r="E19" s="4">
        <v>0</v>
      </c>
      <c r="F19" s="13">
        <f t="shared" ref="F19:F20" si="8">SUM(D19:E19)</f>
        <v>1732.78125</v>
      </c>
      <c r="G19" s="14">
        <v>55449</v>
      </c>
      <c r="H19" s="13">
        <f t="shared" ref="H19:H20" si="9">F19/C19</f>
        <v>4.6455261394101877</v>
      </c>
      <c r="I19" s="14">
        <f t="shared" ref="I19:I20" si="10">G19/C19</f>
        <v>148.65683646112601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2057</v>
      </c>
      <c r="B20" s="3">
        <f>$B$7</f>
        <v>107</v>
      </c>
      <c r="C20" s="4">
        <f>$C$7</f>
        <v>373</v>
      </c>
      <c r="D20" s="48">
        <v>1401</v>
      </c>
      <c r="E20" s="48">
        <v>0</v>
      </c>
      <c r="F20" s="4">
        <f t="shared" si="8"/>
        <v>1401</v>
      </c>
      <c r="G20" s="5">
        <v>45342</v>
      </c>
      <c r="H20" s="4">
        <f t="shared" si="9"/>
        <v>3.7560321715817695</v>
      </c>
      <c r="I20" s="5">
        <f t="shared" si="10"/>
        <v>121.56032171581769</v>
      </c>
      <c r="J20" s="44">
        <f>I20/H20</f>
        <v>32.364025695931474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0.80852675431477572</v>
      </c>
      <c r="G21" s="16">
        <f t="shared" ref="G21" si="11">G20/G19</f>
        <v>0.81772439539035868</v>
      </c>
      <c r="H21" s="16"/>
      <c r="I21" s="16"/>
      <c r="J21" s="45"/>
      <c r="K21" s="45"/>
    </row>
    <row r="22" spans="1:11" ht="16.5" thickTop="1" thickBot="1" x14ac:dyDescent="0.25">
      <c r="A22" s="1">
        <f>$A$7</f>
        <v>2057</v>
      </c>
      <c r="B22" s="3">
        <f>$B$7</f>
        <v>107</v>
      </c>
      <c r="C22" s="4">
        <f>$C$7</f>
        <v>373</v>
      </c>
      <c r="D22" s="4">
        <f>G22/$J$7</f>
        <v>3070</v>
      </c>
      <c r="E22" s="4">
        <v>0</v>
      </c>
      <c r="F22" s="13">
        <f>SUM(D22:E22)</f>
        <v>3070</v>
      </c>
      <c r="G22" s="14">
        <v>98240</v>
      </c>
      <c r="H22" s="13">
        <f>F22/C22</f>
        <v>8.2305630026809649</v>
      </c>
      <c r="I22" s="14">
        <f>G22/C22</f>
        <v>263.37801608579088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2057</v>
      </c>
      <c r="B23" s="3">
        <f>$B$7</f>
        <v>107</v>
      </c>
      <c r="C23" s="4">
        <f>$C$7</f>
        <v>373</v>
      </c>
      <c r="D23" s="48">
        <v>3220</v>
      </c>
      <c r="E23" s="48">
        <v>0</v>
      </c>
      <c r="F23" s="4">
        <f>SUM(D23:E23)</f>
        <v>3220</v>
      </c>
      <c r="G23" s="5">
        <v>96775</v>
      </c>
      <c r="H23" s="4">
        <f>F23/C23</f>
        <v>8.6327077747989271</v>
      </c>
      <c r="I23" s="5">
        <f>G23/C23</f>
        <v>259.45040214477211</v>
      </c>
      <c r="J23" s="44">
        <f>I23/H23</f>
        <v>30.054347826086957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1.0488599348534202</v>
      </c>
      <c r="G24" s="16">
        <f t="shared" ref="G24" si="12">G23/G22</f>
        <v>0.98508754071661242</v>
      </c>
      <c r="H24" s="16"/>
      <c r="I24" s="16"/>
      <c r="J24" s="17"/>
      <c r="K24" s="17"/>
    </row>
    <row r="25" spans="1:11" ht="16.5" thickTop="1" thickBot="1" x14ac:dyDescent="0.25">
      <c r="A25" s="1">
        <f>$A$7</f>
        <v>2057</v>
      </c>
      <c r="B25" s="3">
        <f>$B$7</f>
        <v>107</v>
      </c>
      <c r="C25" s="4">
        <v>361</v>
      </c>
      <c r="D25" s="4">
        <f>G25/$J$7</f>
        <v>748.0625</v>
      </c>
      <c r="E25" s="4">
        <v>0</v>
      </c>
      <c r="F25" s="13">
        <f>SUM(D25:E25)</f>
        <v>748.0625</v>
      </c>
      <c r="G25" s="14">
        <v>23938</v>
      </c>
      <c r="H25" s="13">
        <f>F25/C25</f>
        <v>2.0721952908587258</v>
      </c>
      <c r="I25" s="14">
        <f>G25/C25</f>
        <v>66.310249307479225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2057</v>
      </c>
      <c r="B26" s="3">
        <f>$B$7</f>
        <v>107</v>
      </c>
      <c r="C26" s="4">
        <v>361</v>
      </c>
      <c r="D26" s="48">
        <v>686</v>
      </c>
      <c r="E26" s="48">
        <v>0</v>
      </c>
      <c r="F26" s="4">
        <f>SUM(D26:E26)</f>
        <v>686</v>
      </c>
      <c r="G26" s="5">
        <v>17090</v>
      </c>
      <c r="H26" s="4">
        <f>F26/C26</f>
        <v>1.9002770083102494</v>
      </c>
      <c r="I26" s="5">
        <f>G26/C26</f>
        <v>47.340720221606645</v>
      </c>
      <c r="J26" s="44">
        <f>I26/H26</f>
        <v>24.912536443148685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0.91703567549502885</v>
      </c>
      <c r="G27" s="16">
        <f t="shared" ref="G27" si="13">G26/G25</f>
        <v>0.71392764641991813</v>
      </c>
      <c r="H27" s="16"/>
      <c r="I27" s="16"/>
      <c r="J27" s="17"/>
      <c r="K27" s="17"/>
    </row>
    <row r="28" spans="1:11" ht="16.5" thickTop="1" thickBot="1" x14ac:dyDescent="0.25">
      <c r="A28" s="1">
        <f>$A$7</f>
        <v>2057</v>
      </c>
      <c r="B28" s="3">
        <f>$B$7</f>
        <v>107</v>
      </c>
      <c r="C28" s="4">
        <f>$C$7</f>
        <v>373</v>
      </c>
      <c r="D28" s="4">
        <f>G28/$J$7</f>
        <v>1903.75</v>
      </c>
      <c r="E28" s="4">
        <v>0</v>
      </c>
      <c r="F28" s="13">
        <f>SUM(D28:E28)</f>
        <v>1903.75</v>
      </c>
      <c r="G28" s="14">
        <v>60920</v>
      </c>
      <c r="H28" s="13">
        <f>F28/C28</f>
        <v>5.1038873994638072</v>
      </c>
      <c r="I28" s="14">
        <f>G28/C28</f>
        <v>163.32439678284183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2057</v>
      </c>
      <c r="B29" s="3">
        <f>$B$7</f>
        <v>107</v>
      </c>
      <c r="C29" s="4">
        <f>$C$7</f>
        <v>373</v>
      </c>
      <c r="D29" s="48">
        <v>1551</v>
      </c>
      <c r="E29" s="48">
        <v>0</v>
      </c>
      <c r="F29" s="4">
        <f>SUM(D29:E29)</f>
        <v>1551</v>
      </c>
      <c r="G29" s="5">
        <v>49167</v>
      </c>
      <c r="H29" s="4">
        <f>F29/C29</f>
        <v>4.1581769436997318</v>
      </c>
      <c r="I29" s="5">
        <f>G29/C29</f>
        <v>131.81501340482575</v>
      </c>
      <c r="J29" s="44">
        <f>I29/H29</f>
        <v>31.700193423597682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0.81470781352593569</v>
      </c>
      <c r="G30" s="16">
        <f t="shared" ref="G30" si="14">G29/G28</f>
        <v>0.80707485226526587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2057</v>
      </c>
      <c r="B33" s="3">
        <f>$B$7</f>
        <v>107</v>
      </c>
      <c r="C33" s="4">
        <f>$C$7</f>
        <v>373</v>
      </c>
      <c r="D33" s="13">
        <f>SUM(D28,D22,D19)</f>
        <v>6706.53125</v>
      </c>
      <c r="E33" s="13">
        <v>0</v>
      </c>
      <c r="F33" s="13">
        <f t="shared" ref="F33" si="15">SUM(D33:E33)</f>
        <v>6706.53125</v>
      </c>
      <c r="G33" s="14">
        <f>SUM(G28,G22,G19)</f>
        <v>214609</v>
      </c>
      <c r="H33" s="34">
        <f t="shared" ref="H33:H34" si="16">F33/C33</f>
        <v>17.979976541554961</v>
      </c>
      <c r="I33" s="39">
        <f t="shared" ref="I33:I34" si="17">G33/C33</f>
        <v>575.35924932975877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2057</v>
      </c>
      <c r="B34" s="3">
        <f>$B$7</f>
        <v>107</v>
      </c>
      <c r="C34" s="4">
        <f>$C$7</f>
        <v>373</v>
      </c>
      <c r="D34" s="4">
        <f>SUM(D29,D23,D20)</f>
        <v>6172</v>
      </c>
      <c r="E34" s="49">
        <v>0</v>
      </c>
      <c r="F34" s="4">
        <f>SUM(D34)</f>
        <v>6172</v>
      </c>
      <c r="G34" s="50">
        <f>SUM(G29,G23,G20)</f>
        <v>191284</v>
      </c>
      <c r="H34" s="41">
        <f t="shared" si="16"/>
        <v>16.546916890080428</v>
      </c>
      <c r="I34" s="42">
        <f t="shared" si="17"/>
        <v>512.82573726541557</v>
      </c>
      <c r="J34" s="43">
        <f>I34/H34</f>
        <v>30.992222942320158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0.89131397098910115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16.546916890080428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1.9002770083102494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19.013404825737265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3:K46"/>
  <sheetViews>
    <sheetView view="pageBreakPreview" zoomScaleNormal="120" zoomScaleSheetLayoutView="100" workbookViewId="0">
      <selection activeCell="D39" sqref="D39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2058</v>
      </c>
      <c r="B7" s="3">
        <v>76</v>
      </c>
      <c r="C7" s="4">
        <v>398</v>
      </c>
      <c r="D7" s="4">
        <f>G7/$J$7</f>
        <v>8210.53125</v>
      </c>
      <c r="E7" s="4">
        <v>0</v>
      </c>
      <c r="F7" s="4">
        <f t="shared" ref="F7" si="0">SUM(D7:E7)</f>
        <v>8210.53125</v>
      </c>
      <c r="G7" s="5">
        <f>SUM(G16,G19,G22,G25,G28)</f>
        <v>262737</v>
      </c>
      <c r="H7" s="9">
        <f t="shared" ref="H7" si="1">F7/C7</f>
        <v>20.629475502512562</v>
      </c>
      <c r="I7" s="11">
        <f t="shared" ref="I7:I8" si="2">G7/C7</f>
        <v>660.143216080402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2058</v>
      </c>
      <c r="B8" s="3">
        <v>76</v>
      </c>
      <c r="C8" s="4">
        <v>398</v>
      </c>
      <c r="D8" s="4">
        <f>SUM(D17,D20,D23,D26,D29)</f>
        <v>7092</v>
      </c>
      <c r="E8" s="4">
        <v>0</v>
      </c>
      <c r="F8" s="4">
        <f>SUM(D8)</f>
        <v>7092</v>
      </c>
      <c r="G8" s="5">
        <f>SUM(G17,G20,G23,G26,G29)</f>
        <v>221401</v>
      </c>
      <c r="H8" s="58">
        <f>F8/C8</f>
        <v>17.819095477386934</v>
      </c>
      <c r="I8" s="42">
        <f t="shared" si="2"/>
        <v>556.28391959798989</v>
      </c>
      <c r="J8" s="43">
        <f>I8/H8</f>
        <v>31.218415115623234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0.86376871167745695</v>
      </c>
      <c r="G10" s="62">
        <f t="shared" ref="G10" si="3">G8/G7</f>
        <v>0.84267156890731032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1118.53125</v>
      </c>
      <c r="G12" s="47">
        <f>G7-G8</f>
        <v>41336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2058</v>
      </c>
      <c r="B16" s="3">
        <f>$B$7</f>
        <v>76</v>
      </c>
      <c r="C16" s="4">
        <f>$C$7</f>
        <v>398</v>
      </c>
      <c r="D16" s="4">
        <f>G16/$J$7</f>
        <v>755.9375</v>
      </c>
      <c r="E16" s="4">
        <v>0</v>
      </c>
      <c r="F16" s="13">
        <f t="shared" ref="F16:F17" si="4">SUM(D16:E16)</f>
        <v>755.9375</v>
      </c>
      <c r="G16" s="14">
        <v>24190</v>
      </c>
      <c r="H16" s="13">
        <f t="shared" ref="H16:H17" si="5">F16/C16</f>
        <v>1.8993404522613064</v>
      </c>
      <c r="I16" s="14">
        <f t="shared" ref="I16:I17" si="6">G16/C16</f>
        <v>60.778894472361806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2058</v>
      </c>
      <c r="B17" s="3">
        <f>$B$7</f>
        <v>76</v>
      </c>
      <c r="C17" s="4">
        <f>$C$7</f>
        <v>398</v>
      </c>
      <c r="D17" s="48">
        <v>234</v>
      </c>
      <c r="E17" s="48">
        <v>0</v>
      </c>
      <c r="F17" s="4">
        <f t="shared" si="4"/>
        <v>234</v>
      </c>
      <c r="G17" s="5">
        <v>13027</v>
      </c>
      <c r="H17" s="4">
        <f t="shared" si="5"/>
        <v>0.5879396984924623</v>
      </c>
      <c r="I17" s="5">
        <f t="shared" si="6"/>
        <v>32.731155778894475</v>
      </c>
      <c r="J17" s="44">
        <f>I17/H17</f>
        <v>55.670940170940177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0.30954940057875158</v>
      </c>
      <c r="G18" s="16">
        <f t="shared" ref="G18" si="7">G17/G16</f>
        <v>0.53852831748656471</v>
      </c>
      <c r="H18" s="16"/>
      <c r="I18" s="16"/>
      <c r="J18" s="16"/>
      <c r="K18" s="45"/>
    </row>
    <row r="19" spans="1:11" ht="16.5" thickTop="1" thickBot="1" x14ac:dyDescent="0.25">
      <c r="A19" s="1">
        <f>$A$7</f>
        <v>2058</v>
      </c>
      <c r="B19" s="3">
        <f>$B$7</f>
        <v>76</v>
      </c>
      <c r="C19" s="4">
        <f>$C$7</f>
        <v>398</v>
      </c>
      <c r="D19" s="4">
        <f>G19/$J$7</f>
        <v>1732.78125</v>
      </c>
      <c r="E19" s="4">
        <v>0</v>
      </c>
      <c r="F19" s="13">
        <f t="shared" ref="F19:F20" si="8">SUM(D19:E19)</f>
        <v>1732.78125</v>
      </c>
      <c r="G19" s="14">
        <v>55449</v>
      </c>
      <c r="H19" s="13">
        <f t="shared" ref="H19:H20" si="9">F19/C19</f>
        <v>4.3537217336683414</v>
      </c>
      <c r="I19" s="14">
        <f t="shared" ref="I19:I20" si="10">G19/C19</f>
        <v>139.31909547738692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2058</v>
      </c>
      <c r="B20" s="3">
        <f>$B$7</f>
        <v>76</v>
      </c>
      <c r="C20" s="4">
        <f>$C$7</f>
        <v>398</v>
      </c>
      <c r="D20" s="48">
        <v>1401</v>
      </c>
      <c r="E20" s="48">
        <v>0</v>
      </c>
      <c r="F20" s="4">
        <f t="shared" si="8"/>
        <v>1401</v>
      </c>
      <c r="G20" s="5">
        <v>45342</v>
      </c>
      <c r="H20" s="4">
        <f t="shared" si="9"/>
        <v>3.5201005025125629</v>
      </c>
      <c r="I20" s="5">
        <f t="shared" si="10"/>
        <v>113.92462311557789</v>
      </c>
      <c r="J20" s="44">
        <f>I20/H20</f>
        <v>32.364025695931474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0.80852675431477572</v>
      </c>
      <c r="G21" s="16">
        <f t="shared" ref="G21" si="11">G20/G19</f>
        <v>0.81772439539035868</v>
      </c>
      <c r="H21" s="16"/>
      <c r="I21" s="16"/>
      <c r="J21" s="45"/>
      <c r="K21" s="45"/>
    </row>
    <row r="22" spans="1:11" ht="16.5" thickTop="1" thickBot="1" x14ac:dyDescent="0.25">
      <c r="A22" s="1">
        <f>$A$7</f>
        <v>2058</v>
      </c>
      <c r="B22" s="3">
        <f>$B$7</f>
        <v>76</v>
      </c>
      <c r="C22" s="4">
        <f>$C$7</f>
        <v>398</v>
      </c>
      <c r="D22" s="4">
        <f>G22/$J$7</f>
        <v>3070</v>
      </c>
      <c r="E22" s="4">
        <v>0</v>
      </c>
      <c r="F22" s="13">
        <f>SUM(D22:E22)</f>
        <v>3070</v>
      </c>
      <c r="G22" s="14">
        <v>98240</v>
      </c>
      <c r="H22" s="13">
        <f>F22/C22</f>
        <v>7.7135678391959797</v>
      </c>
      <c r="I22" s="14">
        <f>G22/C22</f>
        <v>246.83417085427135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2058</v>
      </c>
      <c r="B23" s="3">
        <f>$B$7</f>
        <v>76</v>
      </c>
      <c r="C23" s="4">
        <f>$C$7</f>
        <v>398</v>
      </c>
      <c r="D23" s="48">
        <v>3220</v>
      </c>
      <c r="E23" s="48">
        <v>0</v>
      </c>
      <c r="F23" s="4">
        <f>SUM(D23:E23)</f>
        <v>3220</v>
      </c>
      <c r="G23" s="5">
        <v>96775</v>
      </c>
      <c r="H23" s="4">
        <f>F23/C23</f>
        <v>8.0904522613065328</v>
      </c>
      <c r="I23" s="5">
        <f>G23/C23</f>
        <v>243.1532663316583</v>
      </c>
      <c r="J23" s="44">
        <f>I23/H23</f>
        <v>30.054347826086957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1.0488599348534202</v>
      </c>
      <c r="G24" s="16">
        <f t="shared" ref="G24" si="12">G23/G22</f>
        <v>0.98508754071661242</v>
      </c>
      <c r="H24" s="16"/>
      <c r="I24" s="16"/>
      <c r="J24" s="17"/>
      <c r="K24" s="17"/>
    </row>
    <row r="25" spans="1:11" ht="16.5" thickTop="1" thickBot="1" x14ac:dyDescent="0.25">
      <c r="A25" s="1">
        <f>$A$7</f>
        <v>2058</v>
      </c>
      <c r="B25" s="3">
        <f>$B$7</f>
        <v>76</v>
      </c>
      <c r="C25" s="4">
        <v>285</v>
      </c>
      <c r="D25" s="4">
        <f>G25/$J$7</f>
        <v>748.0625</v>
      </c>
      <c r="E25" s="4">
        <v>0</v>
      </c>
      <c r="F25" s="13">
        <f>SUM(D25:E25)</f>
        <v>748.0625</v>
      </c>
      <c r="G25" s="14">
        <v>23938</v>
      </c>
      <c r="H25" s="13">
        <f>F25/C25</f>
        <v>2.624780701754386</v>
      </c>
      <c r="I25" s="14">
        <f>G25/C25</f>
        <v>83.992982456140354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2058</v>
      </c>
      <c r="B26" s="3">
        <f>$B$7</f>
        <v>76</v>
      </c>
      <c r="C26" s="4">
        <v>285</v>
      </c>
      <c r="D26" s="48">
        <v>686</v>
      </c>
      <c r="E26" s="48">
        <v>0</v>
      </c>
      <c r="F26" s="4">
        <f>SUM(D26:E26)</f>
        <v>686</v>
      </c>
      <c r="G26" s="5">
        <v>17090</v>
      </c>
      <c r="H26" s="4">
        <f>F26/C26</f>
        <v>2.4070175438596491</v>
      </c>
      <c r="I26" s="5">
        <f>G26/C26</f>
        <v>59.964912280701753</v>
      </c>
      <c r="J26" s="44">
        <f>I26/H26</f>
        <v>24.912536443148689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0.91703567549502885</v>
      </c>
      <c r="G27" s="16">
        <f t="shared" ref="G27" si="13">G26/G25</f>
        <v>0.71392764641991813</v>
      </c>
      <c r="H27" s="16"/>
      <c r="I27" s="16"/>
      <c r="J27" s="17"/>
      <c r="K27" s="17"/>
    </row>
    <row r="28" spans="1:11" ht="16.5" thickTop="1" thickBot="1" x14ac:dyDescent="0.25">
      <c r="A28" s="1">
        <f>$A$7</f>
        <v>2058</v>
      </c>
      <c r="B28" s="3">
        <f>$B$7</f>
        <v>76</v>
      </c>
      <c r="C28" s="4">
        <f>$C$7</f>
        <v>398</v>
      </c>
      <c r="D28" s="4">
        <f>G28/$J$7</f>
        <v>1903.75</v>
      </c>
      <c r="E28" s="4">
        <v>0</v>
      </c>
      <c r="F28" s="13">
        <f>SUM(D28:E28)</f>
        <v>1903.75</v>
      </c>
      <c r="G28" s="14">
        <v>60920</v>
      </c>
      <c r="H28" s="13">
        <f>F28/C28</f>
        <v>4.783291457286432</v>
      </c>
      <c r="I28" s="14">
        <f>G28/C28</f>
        <v>153.06532663316582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2058</v>
      </c>
      <c r="B29" s="3">
        <f>$B$7</f>
        <v>76</v>
      </c>
      <c r="C29" s="4">
        <f>$C$7</f>
        <v>398</v>
      </c>
      <c r="D29" s="48">
        <v>1551</v>
      </c>
      <c r="E29" s="48">
        <v>0</v>
      </c>
      <c r="F29" s="4">
        <f>SUM(D29:E29)</f>
        <v>1551</v>
      </c>
      <c r="G29" s="5">
        <v>49167</v>
      </c>
      <c r="H29" s="4">
        <f>F29/C29</f>
        <v>3.8969849246231156</v>
      </c>
      <c r="I29" s="5">
        <f>G29/C29</f>
        <v>123.53517587939699</v>
      </c>
      <c r="J29" s="44">
        <f>I29/H29</f>
        <v>31.700193423597678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0.81470781352593569</v>
      </c>
      <c r="G30" s="16">
        <f t="shared" ref="G30" si="14">G29/G28</f>
        <v>0.80707485226526587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2058</v>
      </c>
      <c r="B33" s="3">
        <f>$B$7</f>
        <v>76</v>
      </c>
      <c r="C33" s="4">
        <f>$C$7</f>
        <v>398</v>
      </c>
      <c r="D33" s="13">
        <f>SUM(D28,D22,D19)</f>
        <v>6706.53125</v>
      </c>
      <c r="E33" s="13">
        <v>0</v>
      </c>
      <c r="F33" s="13">
        <f t="shared" ref="F33" si="15">SUM(D33:E33)</f>
        <v>6706.53125</v>
      </c>
      <c r="G33" s="14">
        <f>SUM(G28,G22,G19)</f>
        <v>214609</v>
      </c>
      <c r="H33" s="34">
        <f t="shared" ref="H33:H34" si="16">F33/C33</f>
        <v>16.850581030150753</v>
      </c>
      <c r="I33" s="39">
        <f t="shared" ref="I33:I34" si="17">G33/C33</f>
        <v>539.2185929648241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2058</v>
      </c>
      <c r="B34" s="3">
        <f>$B$7</f>
        <v>76</v>
      </c>
      <c r="C34" s="4">
        <f>$C$7</f>
        <v>398</v>
      </c>
      <c r="D34" s="4">
        <f>SUM(D29,D23,D20)</f>
        <v>6172</v>
      </c>
      <c r="E34" s="49">
        <v>0</v>
      </c>
      <c r="F34" s="4">
        <f>SUM(D34)</f>
        <v>6172</v>
      </c>
      <c r="G34" s="50">
        <f>SUM(G29,G23,G20)</f>
        <v>191284</v>
      </c>
      <c r="H34" s="41">
        <f t="shared" si="16"/>
        <v>15.507537688442211</v>
      </c>
      <c r="I34" s="42">
        <f t="shared" si="17"/>
        <v>480.61306532663315</v>
      </c>
      <c r="J34" s="43">
        <f>I34/H34</f>
        <v>30.992222942320154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/>
      <c r="G35" s="63">
        <f t="shared" ref="G35" si="18">G34/G33</f>
        <v>0.89131397098910115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71">
        <f>H34</f>
        <v>15.507537688442211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2.4070175438596491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3">
        <f>H8</f>
        <v>17.819095477386934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3:K46"/>
  <sheetViews>
    <sheetView view="pageBreakPreview" zoomScaleNormal="120" zoomScaleSheetLayoutView="100" workbookViewId="0">
      <selection activeCell="D31" sqref="D31"/>
    </sheetView>
  </sheetViews>
  <sheetFormatPr defaultRowHeight="12.75" x14ac:dyDescent="0.2"/>
  <cols>
    <col min="1" max="11" width="12.7109375" customWidth="1"/>
  </cols>
  <sheetData>
    <row r="3" spans="1:11" x14ac:dyDescent="0.2">
      <c r="A3" s="38"/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2055</v>
      </c>
      <c r="B7" s="3">
        <v>99</v>
      </c>
      <c r="C7" s="4">
        <v>512</v>
      </c>
      <c r="D7" s="4">
        <f>G7/$J$7</f>
        <v>10600.9375</v>
      </c>
      <c r="E7" s="4">
        <v>0</v>
      </c>
      <c r="F7" s="4">
        <f t="shared" ref="F7" si="0">SUM(D7:E7)</f>
        <v>10600.9375</v>
      </c>
      <c r="G7" s="5">
        <f>SUM(G16,G19,G22,G25,G28)</f>
        <v>339230</v>
      </c>
      <c r="H7" s="9">
        <f t="shared" ref="H7" si="1">F7/C7</f>
        <v>20.7049560546875</v>
      </c>
      <c r="I7" s="11">
        <f t="shared" ref="I7:I8" si="2">G7/C7</f>
        <v>662.55859375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2055</v>
      </c>
      <c r="B8" s="3">
        <v>99</v>
      </c>
      <c r="C8" s="4">
        <v>512</v>
      </c>
      <c r="D8" s="4">
        <f>SUM(D17,D20,D23,D26,D29)</f>
        <v>9851</v>
      </c>
      <c r="E8" s="4">
        <v>0</v>
      </c>
      <c r="F8" s="4">
        <f>SUM(D8)</f>
        <v>9851</v>
      </c>
      <c r="G8" s="5">
        <f>SUM(G17,G20,G23,G26,G29)</f>
        <v>334418</v>
      </c>
      <c r="H8" s="58">
        <f>F8/C8</f>
        <v>19.240234375</v>
      </c>
      <c r="I8" s="42">
        <f t="shared" si="2"/>
        <v>653.16015625</v>
      </c>
      <c r="J8" s="43">
        <f>I8/H8</f>
        <v>33.94761953101208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0.92925743595790467</v>
      </c>
      <c r="G10" s="62">
        <f t="shared" ref="G10" si="3">G8/G7</f>
        <v>0.98581493382071161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749.9375</v>
      </c>
      <c r="G12" s="47">
        <f>G7-G8</f>
        <v>4812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2055</v>
      </c>
      <c r="B16" s="3">
        <f>$B$7</f>
        <v>99</v>
      </c>
      <c r="C16" s="4">
        <f>$C$7</f>
        <v>512</v>
      </c>
      <c r="D16" s="4">
        <f>G16/$J$7</f>
        <v>738.125</v>
      </c>
      <c r="E16" s="4">
        <v>0</v>
      </c>
      <c r="F16" s="13">
        <f t="shared" ref="F16:F17" si="4">SUM(D16:E16)</f>
        <v>738.125</v>
      </c>
      <c r="G16" s="14">
        <v>23620</v>
      </c>
      <c r="H16" s="13">
        <f t="shared" ref="H16:H17" si="5">F16/C16</f>
        <v>1.441650390625</v>
      </c>
      <c r="I16" s="14">
        <f t="shared" ref="I16:I17" si="6">G16/C16</f>
        <v>46.1328125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2055</v>
      </c>
      <c r="B17" s="3">
        <f>$B$7</f>
        <v>99</v>
      </c>
      <c r="C17" s="4">
        <f>$C$7</f>
        <v>512</v>
      </c>
      <c r="D17" s="48">
        <v>130</v>
      </c>
      <c r="E17" s="48">
        <v>0</v>
      </c>
      <c r="F17" s="4">
        <f t="shared" si="4"/>
        <v>130</v>
      </c>
      <c r="G17" s="5">
        <v>7733</v>
      </c>
      <c r="H17" s="4">
        <f t="shared" si="5"/>
        <v>0.25390625</v>
      </c>
      <c r="I17" s="5">
        <f t="shared" si="6"/>
        <v>15.103515625</v>
      </c>
      <c r="J17" s="44">
        <f>I17/H17</f>
        <v>59.484615384615381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0.17612193056731584</v>
      </c>
      <c r="G18" s="16">
        <f t="shared" ref="G18" si="7">G17/G16</f>
        <v>0.32739204064352245</v>
      </c>
      <c r="H18" s="16"/>
      <c r="I18" s="16"/>
      <c r="J18" s="16"/>
      <c r="K18" s="45"/>
    </row>
    <row r="19" spans="1:11" ht="16.5" thickTop="1" thickBot="1" x14ac:dyDescent="0.25">
      <c r="A19" s="1">
        <f>$A$7</f>
        <v>2055</v>
      </c>
      <c r="B19" s="3">
        <f>$B$7</f>
        <v>99</v>
      </c>
      <c r="C19" s="4">
        <f>$C$7</f>
        <v>512</v>
      </c>
      <c r="D19" s="4">
        <f>G19/$J$7</f>
        <v>1256.5625</v>
      </c>
      <c r="E19" s="4">
        <v>0</v>
      </c>
      <c r="F19" s="13">
        <f t="shared" ref="F19:F20" si="8">SUM(D19:E19)</f>
        <v>1256.5625</v>
      </c>
      <c r="G19" s="14">
        <v>40210</v>
      </c>
      <c r="H19" s="13">
        <f t="shared" ref="H19:H20" si="9">F19/C19</f>
        <v>2.4542236328125</v>
      </c>
      <c r="I19" s="14">
        <f t="shared" ref="I19:I20" si="10">G19/C19</f>
        <v>78.53515625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2055</v>
      </c>
      <c r="B20" s="3">
        <f>$B$7</f>
        <v>99</v>
      </c>
      <c r="C20" s="4">
        <f>$C$7</f>
        <v>512</v>
      </c>
      <c r="D20" s="48">
        <v>1055</v>
      </c>
      <c r="E20" s="48">
        <v>0</v>
      </c>
      <c r="F20" s="4">
        <f t="shared" si="8"/>
        <v>1055</v>
      </c>
      <c r="G20" s="5">
        <v>38667</v>
      </c>
      <c r="H20" s="4">
        <f t="shared" si="9"/>
        <v>2.060546875</v>
      </c>
      <c r="I20" s="5">
        <f t="shared" si="10"/>
        <v>75.521484375</v>
      </c>
      <c r="J20" s="44">
        <f>I20/H20</f>
        <v>36.651184834123221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0.83959214125839343</v>
      </c>
      <c r="G21" s="16">
        <f t="shared" ref="G21" si="11">G20/G19</f>
        <v>0.96162646107933347</v>
      </c>
      <c r="H21" s="16"/>
      <c r="I21" s="16"/>
      <c r="J21" s="45"/>
      <c r="K21" s="45"/>
    </row>
    <row r="22" spans="1:11" ht="16.5" thickTop="1" thickBot="1" x14ac:dyDescent="0.25">
      <c r="A22" s="1">
        <f>$A$7</f>
        <v>2055</v>
      </c>
      <c r="B22" s="3">
        <f>$B$7</f>
        <v>99</v>
      </c>
      <c r="C22" s="4">
        <f>$C$7</f>
        <v>512</v>
      </c>
      <c r="D22" s="4">
        <f>G22/$J$7</f>
        <v>5573.90625</v>
      </c>
      <c r="E22" s="4">
        <v>0</v>
      </c>
      <c r="F22" s="13">
        <f>SUM(D22:E22)</f>
        <v>5573.90625</v>
      </c>
      <c r="G22" s="14">
        <v>178365</v>
      </c>
      <c r="H22" s="13">
        <f>F22/C22</f>
        <v>10.88653564453125</v>
      </c>
      <c r="I22" s="14">
        <f>G22/C22</f>
        <v>348.369140625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2055</v>
      </c>
      <c r="B23" s="3">
        <f>$B$7</f>
        <v>99</v>
      </c>
      <c r="C23" s="4">
        <f>$C$7</f>
        <v>512</v>
      </c>
      <c r="D23" s="48">
        <v>5631</v>
      </c>
      <c r="E23" s="48">
        <v>0</v>
      </c>
      <c r="F23" s="4">
        <f>SUM(D23:E23)</f>
        <v>5631</v>
      </c>
      <c r="G23" s="5">
        <v>182282</v>
      </c>
      <c r="H23" s="4">
        <f>F23/C23</f>
        <v>10.998046875</v>
      </c>
      <c r="I23" s="5">
        <f>G23/C23</f>
        <v>356.01953125</v>
      </c>
      <c r="J23" s="44">
        <f>I23/H23</f>
        <v>32.371159651926831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1.0102430409553445</v>
      </c>
      <c r="G24" s="16">
        <f t="shared" ref="G24" si="12">G23/G22</f>
        <v>1.0219605864379222</v>
      </c>
      <c r="H24" s="16"/>
      <c r="I24" s="16"/>
      <c r="J24" s="17"/>
      <c r="K24" s="17"/>
    </row>
    <row r="25" spans="1:11" ht="16.5" thickTop="1" thickBot="1" x14ac:dyDescent="0.25">
      <c r="A25" s="1">
        <f>$A$7</f>
        <v>2055</v>
      </c>
      <c r="B25" s="3">
        <f>$B$7</f>
        <v>99</v>
      </c>
      <c r="C25" s="4">
        <v>501</v>
      </c>
      <c r="D25" s="4">
        <f>G25/$J$7</f>
        <v>1001.71875</v>
      </c>
      <c r="E25" s="4">
        <v>0</v>
      </c>
      <c r="F25" s="13">
        <f>SUM(D25:E25)</f>
        <v>1001.71875</v>
      </c>
      <c r="G25" s="14">
        <v>32055</v>
      </c>
      <c r="H25" s="13">
        <f>F25/C25</f>
        <v>1.9994386227544909</v>
      </c>
      <c r="I25" s="14">
        <f>G25/C25</f>
        <v>63.982035928143709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2055</v>
      </c>
      <c r="B26" s="3">
        <f>$B$7</f>
        <v>99</v>
      </c>
      <c r="C26" s="4">
        <v>501</v>
      </c>
      <c r="D26" s="48">
        <v>1021</v>
      </c>
      <c r="E26" s="48">
        <v>0</v>
      </c>
      <c r="F26" s="4">
        <f>SUM(D26:E26)</f>
        <v>1021</v>
      </c>
      <c r="G26" s="5">
        <v>32495</v>
      </c>
      <c r="H26" s="4">
        <f>F26/C26</f>
        <v>2.0379241516966067</v>
      </c>
      <c r="I26" s="5">
        <f>G26/C26</f>
        <v>64.860279441117768</v>
      </c>
      <c r="J26" s="44">
        <f>I26/H26</f>
        <v>31.826640548481883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1.0192481672126033</v>
      </c>
      <c r="G27" s="16">
        <f t="shared" ref="G27" si="13">G26/G25</f>
        <v>1.0137264077367025</v>
      </c>
      <c r="H27" s="16"/>
      <c r="I27" s="16"/>
      <c r="J27" s="17"/>
      <c r="K27" s="17"/>
    </row>
    <row r="28" spans="1:11" ht="16.5" thickTop="1" thickBot="1" x14ac:dyDescent="0.25">
      <c r="A28" s="1">
        <f>$A$7</f>
        <v>2055</v>
      </c>
      <c r="B28" s="3">
        <f>$B$7</f>
        <v>99</v>
      </c>
      <c r="C28" s="4">
        <f>$C$7</f>
        <v>512</v>
      </c>
      <c r="D28" s="4">
        <f>G28/$J$7</f>
        <v>2030.625</v>
      </c>
      <c r="E28" s="4">
        <v>0</v>
      </c>
      <c r="F28" s="13">
        <f>SUM(D28:E28)</f>
        <v>2030.625</v>
      </c>
      <c r="G28" s="14">
        <v>64980</v>
      </c>
      <c r="H28" s="13">
        <f>F28/C28</f>
        <v>3.966064453125</v>
      </c>
      <c r="I28" s="14">
        <f>G28/C28</f>
        <v>126.9140625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2055</v>
      </c>
      <c r="B29" s="3">
        <f>$B$7</f>
        <v>99</v>
      </c>
      <c r="C29" s="4">
        <f>$C$7</f>
        <v>512</v>
      </c>
      <c r="D29" s="48">
        <v>2014</v>
      </c>
      <c r="E29" s="48">
        <v>0</v>
      </c>
      <c r="F29" s="4">
        <f>SUM(D29:E29)</f>
        <v>2014</v>
      </c>
      <c r="G29" s="5">
        <v>73241</v>
      </c>
      <c r="H29" s="4">
        <f>F29/C29</f>
        <v>3.93359375</v>
      </c>
      <c r="I29" s="5">
        <f>G29/C29</f>
        <v>143.048828125</v>
      </c>
      <c r="J29" s="44">
        <f>I29/H29</f>
        <v>36.365938430983121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0.99181286549707603</v>
      </c>
      <c r="G30" s="16">
        <f t="shared" ref="G30" si="14">G29/G28</f>
        <v>1.1271314250538627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2055</v>
      </c>
      <c r="B33" s="3">
        <f>$B$7</f>
        <v>99</v>
      </c>
      <c r="C33" s="4">
        <f>$C$7</f>
        <v>512</v>
      </c>
      <c r="D33" s="13">
        <f>SUM(D28,D22,D19)</f>
        <v>8861.09375</v>
      </c>
      <c r="E33" s="13">
        <v>0</v>
      </c>
      <c r="F33" s="13">
        <f t="shared" ref="F33" si="15">SUM(D33:E33)</f>
        <v>8861.09375</v>
      </c>
      <c r="G33" s="14">
        <f>SUM(G28,G22,G19)</f>
        <v>283555</v>
      </c>
      <c r="H33" s="34">
        <f t="shared" ref="H33:H34" si="16">F33/C33</f>
        <v>17.30682373046875</v>
      </c>
      <c r="I33" s="39">
        <f t="shared" ref="I33:I34" si="17">G33/C33</f>
        <v>553.818359375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2055</v>
      </c>
      <c r="B34" s="3">
        <f>$B$7</f>
        <v>99</v>
      </c>
      <c r="C34" s="4">
        <f>$C$7</f>
        <v>512</v>
      </c>
      <c r="D34" s="4">
        <f>SUM(D29,D23,D20)</f>
        <v>8700</v>
      </c>
      <c r="E34" s="49">
        <v>0</v>
      </c>
      <c r="F34" s="4">
        <f>SUM(D34)</f>
        <v>8700</v>
      </c>
      <c r="G34" s="50">
        <f>SUM(G29,G23,G20)</f>
        <v>294190</v>
      </c>
      <c r="H34" s="41">
        <f t="shared" si="16"/>
        <v>16.9921875</v>
      </c>
      <c r="I34" s="42">
        <f t="shared" si="17"/>
        <v>574.58984375</v>
      </c>
      <c r="J34" s="43">
        <f>I34/H34</f>
        <v>33.814942528735635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0.98182010544691511</v>
      </c>
      <c r="G35" s="63">
        <f t="shared" ref="G35" si="18">G34/G33</f>
        <v>1.0375059512263936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16.9921875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2.0379241516966067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19.240234375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3:K46"/>
  <sheetViews>
    <sheetView view="pageBreakPreview" zoomScaleNormal="120" zoomScaleSheetLayoutView="100" workbookViewId="0">
      <selection activeCell="F51" sqref="F51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18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2056</v>
      </c>
      <c r="B7" s="3">
        <v>321</v>
      </c>
      <c r="C7" s="4">
        <v>1616</v>
      </c>
      <c r="D7" s="4">
        <f>G7/$J$7</f>
        <v>47144</v>
      </c>
      <c r="E7" s="4">
        <v>0</v>
      </c>
      <c r="F7" s="4">
        <f t="shared" ref="F7" si="0">SUM(D7:E7)</f>
        <v>47144</v>
      </c>
      <c r="G7" s="5">
        <f>SUM(G16,G19,G22,G25,G28)</f>
        <v>1508608</v>
      </c>
      <c r="H7" s="9">
        <f t="shared" ref="H7:H8" si="1">F7/C7</f>
        <v>29.173267326732674</v>
      </c>
      <c r="I7" s="11">
        <f t="shared" ref="I7:I8" si="2">G7/C7</f>
        <v>933.54455445544556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2056</v>
      </c>
      <c r="B8" s="3">
        <v>321</v>
      </c>
      <c r="C8" s="4">
        <f>$C$7</f>
        <v>1616</v>
      </c>
      <c r="D8" s="4">
        <f>SUM(D17,D20,D23,D26,D29)</f>
        <v>41488</v>
      </c>
      <c r="E8" s="4">
        <v>0</v>
      </c>
      <c r="F8" s="4">
        <f>SUM(D8)</f>
        <v>41488</v>
      </c>
      <c r="G8" s="5">
        <f>SUM(G17,G20,G23,G26,G29)</f>
        <v>1357919</v>
      </c>
      <c r="H8" s="58">
        <f t="shared" si="1"/>
        <v>25.673267326732674</v>
      </c>
      <c r="I8" s="42">
        <f t="shared" si="2"/>
        <v>840.29641089108907</v>
      </c>
      <c r="J8" s="43">
        <f>I8/H8</f>
        <v>32.730403972232935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0.88002715085694894</v>
      </c>
      <c r="G10" s="62">
        <f t="shared" ref="G10" si="3">G8/G7</f>
        <v>0.90011387981503477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5656</v>
      </c>
      <c r="G12" s="47">
        <f>G7-G8</f>
        <v>150689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2056</v>
      </c>
      <c r="B16" s="3">
        <f>$B$7</f>
        <v>321</v>
      </c>
      <c r="C16" s="4">
        <f>$C$7</f>
        <v>1616</v>
      </c>
      <c r="D16" s="4">
        <f>G16/$J$7</f>
        <v>3216.25</v>
      </c>
      <c r="E16" s="4">
        <v>0</v>
      </c>
      <c r="F16" s="13">
        <f t="shared" ref="F16:F17" si="4">SUM(D16:E16)</f>
        <v>3216.25</v>
      </c>
      <c r="G16" s="14">
        <v>102920</v>
      </c>
      <c r="H16" s="13">
        <f t="shared" ref="H16:H17" si="5">F16/C16</f>
        <v>1.9902537128712872</v>
      </c>
      <c r="I16" s="14">
        <f t="shared" ref="I16:I17" si="6">G16/C16</f>
        <v>63.688118811881189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2056</v>
      </c>
      <c r="B17" s="3">
        <f>$B$7</f>
        <v>321</v>
      </c>
      <c r="C17" s="4">
        <f>$C$7</f>
        <v>1616</v>
      </c>
      <c r="D17" s="48">
        <v>681</v>
      </c>
      <c r="E17" s="48">
        <v>0</v>
      </c>
      <c r="F17" s="4">
        <f t="shared" si="4"/>
        <v>681</v>
      </c>
      <c r="G17" s="5">
        <v>40135</v>
      </c>
      <c r="H17" s="4">
        <f t="shared" si="5"/>
        <v>0.4214108910891089</v>
      </c>
      <c r="I17" s="5">
        <f t="shared" si="6"/>
        <v>24.83601485148515</v>
      </c>
      <c r="J17" s="44">
        <f>I17/H17</f>
        <v>58.935389133627027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0.21173727166731443</v>
      </c>
      <c r="G18" s="16">
        <f t="shared" ref="G18" si="7">G17/G16</f>
        <v>0.38996307811892733</v>
      </c>
      <c r="H18" s="16"/>
      <c r="I18" s="16"/>
      <c r="J18" s="16"/>
      <c r="K18" s="45"/>
    </row>
    <row r="19" spans="1:11" ht="16.5" thickTop="1" thickBot="1" x14ac:dyDescent="0.25">
      <c r="A19" s="1">
        <f>$A$7</f>
        <v>2056</v>
      </c>
      <c r="B19" s="3">
        <f>$B$7</f>
        <v>321</v>
      </c>
      <c r="C19" s="4">
        <f>$C$7</f>
        <v>1616</v>
      </c>
      <c r="D19" s="4">
        <f>G19/$J$7</f>
        <v>8998.5625</v>
      </c>
      <c r="E19" s="4">
        <v>0</v>
      </c>
      <c r="F19" s="13">
        <f t="shared" ref="F19:F20" si="8">SUM(D19:E19)</f>
        <v>8998.5625</v>
      </c>
      <c r="G19" s="14">
        <v>287954</v>
      </c>
      <c r="H19" s="13">
        <f t="shared" ref="H19:H20" si="9">F19/C19</f>
        <v>5.5684173886138613</v>
      </c>
      <c r="I19" s="14">
        <f t="shared" ref="I19:I20" si="10">G19/C19</f>
        <v>178.18935643564356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2056</v>
      </c>
      <c r="B20" s="3">
        <f>$B$7</f>
        <v>321</v>
      </c>
      <c r="C20" s="4">
        <f>$C$7</f>
        <v>1616</v>
      </c>
      <c r="D20" s="48">
        <v>6271</v>
      </c>
      <c r="E20" s="48">
        <v>0</v>
      </c>
      <c r="F20" s="4">
        <f t="shared" si="8"/>
        <v>6271</v>
      </c>
      <c r="G20" s="5">
        <v>205203</v>
      </c>
      <c r="H20" s="4">
        <f t="shared" si="9"/>
        <v>3.8805693069306932</v>
      </c>
      <c r="I20" s="5">
        <f t="shared" si="10"/>
        <v>126.98205445544555</v>
      </c>
      <c r="J20" s="44">
        <f>I20/H20</f>
        <v>32.722532291500556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0.6968890864513082</v>
      </c>
      <c r="G21" s="16">
        <f t="shared" ref="G21" si="11">G20/G19</f>
        <v>0.71262423859366431</v>
      </c>
      <c r="H21" s="16"/>
      <c r="I21" s="16"/>
      <c r="J21" s="45"/>
      <c r="K21" s="45"/>
    </row>
    <row r="22" spans="1:11" ht="16.5" thickTop="1" thickBot="1" x14ac:dyDescent="0.25">
      <c r="A22" s="1">
        <f>$A$7</f>
        <v>2056</v>
      </c>
      <c r="B22" s="3">
        <f>$B$7</f>
        <v>321</v>
      </c>
      <c r="C22" s="4">
        <f>$C$7</f>
        <v>1616</v>
      </c>
      <c r="D22" s="4">
        <f>G22/$J$7</f>
        <v>21647.34375</v>
      </c>
      <c r="E22" s="4">
        <v>0</v>
      </c>
      <c r="F22" s="13">
        <f>SUM(D22:E22)</f>
        <v>21647.34375</v>
      </c>
      <c r="G22" s="14">
        <v>692715</v>
      </c>
      <c r="H22" s="13">
        <f>F22/C22</f>
        <v>13.395633508663366</v>
      </c>
      <c r="I22" s="14">
        <f>G22/C22</f>
        <v>428.6602722772277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2056</v>
      </c>
      <c r="B23" s="3">
        <f>$B$7</f>
        <v>321</v>
      </c>
      <c r="C23" s="4">
        <f>$C$7</f>
        <v>1616</v>
      </c>
      <c r="D23" s="48">
        <v>25156</v>
      </c>
      <c r="E23" s="48">
        <v>0</v>
      </c>
      <c r="F23" s="4">
        <f>SUM(D23:E23)</f>
        <v>25156</v>
      </c>
      <c r="G23" s="5">
        <v>802554</v>
      </c>
      <c r="H23" s="4">
        <f>F23/C23</f>
        <v>15.566831683168317</v>
      </c>
      <c r="I23" s="5">
        <f>G23/C23</f>
        <v>496.62995049504951</v>
      </c>
      <c r="J23" s="44">
        <f>I23/H23</f>
        <v>31.903084751152807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1.1620825303335427</v>
      </c>
      <c r="G24" s="16">
        <f t="shared" ref="G24" si="12">G23/G22</f>
        <v>1.1585630454082847</v>
      </c>
      <c r="H24" s="16"/>
      <c r="I24" s="16"/>
      <c r="J24" s="17"/>
      <c r="K24" s="17"/>
    </row>
    <row r="25" spans="1:11" ht="16.5" thickTop="1" thickBot="1" x14ac:dyDescent="0.25">
      <c r="A25" s="1">
        <f>$A$7</f>
        <v>2056</v>
      </c>
      <c r="B25" s="3">
        <v>321</v>
      </c>
      <c r="C25" s="4">
        <v>1590</v>
      </c>
      <c r="D25" s="4">
        <f>G25/$J$7</f>
        <v>3305.15625</v>
      </c>
      <c r="E25" s="4">
        <v>0</v>
      </c>
      <c r="F25" s="13">
        <f>SUM(D25:E25)</f>
        <v>3305.15625</v>
      </c>
      <c r="G25" s="14">
        <v>105765</v>
      </c>
      <c r="H25" s="13">
        <f>F25/C25</f>
        <v>2.0787146226415096</v>
      </c>
      <c r="I25" s="14">
        <f>G25/C25</f>
        <v>66.518867924528308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2056</v>
      </c>
      <c r="B26" s="3">
        <v>321</v>
      </c>
      <c r="C26" s="4">
        <v>1590</v>
      </c>
      <c r="D26" s="48">
        <v>3715</v>
      </c>
      <c r="E26" s="48">
        <v>0</v>
      </c>
      <c r="F26" s="4">
        <f>SUM(D26:E26)</f>
        <v>3715</v>
      </c>
      <c r="G26" s="5">
        <v>119715</v>
      </c>
      <c r="H26" s="4">
        <f>F26/C26</f>
        <v>2.3364779874213837</v>
      </c>
      <c r="I26" s="5">
        <f>G26/C26</f>
        <v>75.29245283018868</v>
      </c>
      <c r="J26" s="44">
        <f>I26/H26</f>
        <v>32.224764468371468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1.1240013236893112</v>
      </c>
      <c r="G27" s="16">
        <f t="shared" ref="G27" si="13">G26/G25</f>
        <v>1.1318961849383067</v>
      </c>
      <c r="H27" s="16"/>
      <c r="I27" s="16"/>
      <c r="J27" s="17"/>
      <c r="K27" s="17"/>
    </row>
    <row r="28" spans="1:11" ht="16.5" thickTop="1" thickBot="1" x14ac:dyDescent="0.25">
      <c r="A28" s="1">
        <f>$A$7</f>
        <v>2056</v>
      </c>
      <c r="B28" s="3">
        <f>$B$7</f>
        <v>321</v>
      </c>
      <c r="C28" s="4">
        <f>$C$7</f>
        <v>1616</v>
      </c>
      <c r="D28" s="4">
        <f>G28/$J$7</f>
        <v>9976.6875</v>
      </c>
      <c r="E28" s="4">
        <v>0</v>
      </c>
      <c r="F28" s="13">
        <f>SUM(D28:E28)</f>
        <v>9976.6875</v>
      </c>
      <c r="G28" s="14">
        <v>319254</v>
      </c>
      <c r="H28" s="13">
        <f>F28/C28</f>
        <v>6.1736927599009901</v>
      </c>
      <c r="I28" s="14">
        <f>G28/C28</f>
        <v>197.55816831683168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2056</v>
      </c>
      <c r="B29" s="3">
        <f>$B$7</f>
        <v>321</v>
      </c>
      <c r="C29" s="4">
        <f>$C$7</f>
        <v>1616</v>
      </c>
      <c r="D29" s="48">
        <v>5665</v>
      </c>
      <c r="E29" s="48">
        <v>0</v>
      </c>
      <c r="F29" s="4">
        <f>SUM(D29:E29)</f>
        <v>5665</v>
      </c>
      <c r="G29" s="5">
        <v>190312</v>
      </c>
      <c r="H29" s="4">
        <f>F29/C29</f>
        <v>3.5055693069306932</v>
      </c>
      <c r="I29" s="5">
        <f>G29/C29</f>
        <v>117.76732673267327</v>
      </c>
      <c r="J29" s="44">
        <f>I29/H29</f>
        <v>33.594351279788171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0.56782373909175765</v>
      </c>
      <c r="G30" s="16">
        <f t="shared" ref="G30" si="14">G29/G28</f>
        <v>0.59611469237660297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2056</v>
      </c>
      <c r="B33" s="3">
        <f>$B$7</f>
        <v>321</v>
      </c>
      <c r="C33" s="4">
        <f>$C$7</f>
        <v>1616</v>
      </c>
      <c r="D33" s="13">
        <f>SUM(D28,D22,D19)</f>
        <v>40622.59375</v>
      </c>
      <c r="E33" s="13">
        <v>0</v>
      </c>
      <c r="F33" s="13">
        <f t="shared" ref="F33" si="15">SUM(D33:E33)</f>
        <v>40622.59375</v>
      </c>
      <c r="G33" s="14">
        <f>SUM(G28,G22,G19)</f>
        <v>1299923</v>
      </c>
      <c r="H33" s="34">
        <f t="shared" ref="H33:H34" si="16">F33/C33</f>
        <v>25.137743657178216</v>
      </c>
      <c r="I33" s="39">
        <f t="shared" ref="I33:I34" si="17">G33/C33</f>
        <v>804.40779702970292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2056</v>
      </c>
      <c r="B34" s="3">
        <f>$B$7</f>
        <v>321</v>
      </c>
      <c r="C34" s="4">
        <f>$C$7</f>
        <v>1616</v>
      </c>
      <c r="D34" s="4">
        <f>SUM(D29,D23,D20)</f>
        <v>37092</v>
      </c>
      <c r="E34" s="49">
        <v>0</v>
      </c>
      <c r="F34" s="4">
        <f>SUM(D34)</f>
        <v>37092</v>
      </c>
      <c r="G34" s="50">
        <f>SUM(G29,G23,G20)</f>
        <v>1198069</v>
      </c>
      <c r="H34" s="41">
        <f t="shared" si="16"/>
        <v>22.952970297029704</v>
      </c>
      <c r="I34" s="42">
        <f t="shared" si="17"/>
        <v>741.37933168316829</v>
      </c>
      <c r="J34" s="43">
        <f>I34/H34</f>
        <v>32.299929904022427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0.9130879290542594</v>
      </c>
      <c r="G35" s="63">
        <f t="shared" ref="G35" si="18">G34/G33</f>
        <v>0.92164612827067449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22.952970297029704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2.3364779874213837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25.673267326732674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3:K46"/>
  <sheetViews>
    <sheetView view="pageBreakPreview" zoomScaleNormal="120" zoomScaleSheetLayoutView="100" workbookViewId="0">
      <selection activeCell="A24" sqref="A24:E24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19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2059</v>
      </c>
      <c r="B7" s="3">
        <v>366</v>
      </c>
      <c r="C7" s="4">
        <v>2660</v>
      </c>
      <c r="D7" s="4">
        <f>G7/$J$7</f>
        <v>43868.807692307695</v>
      </c>
      <c r="E7" s="4">
        <v>0</v>
      </c>
      <c r="F7" s="4">
        <f t="shared" ref="F7" si="0">SUM(D7:E7)</f>
        <v>43868.807692307695</v>
      </c>
      <c r="G7" s="5">
        <f>SUM(G16,G19,G22,G25,G28)</f>
        <v>1140589</v>
      </c>
      <c r="H7" s="9">
        <f t="shared" ref="H7:H8" si="1">F7/C7</f>
        <v>16.492032967032969</v>
      </c>
      <c r="I7" s="11">
        <f t="shared" ref="I7:I8" si="2">G7/C7</f>
        <v>428.79285714285714</v>
      </c>
      <c r="J7" s="12">
        <v>26</v>
      </c>
      <c r="K7" s="37" t="s">
        <v>10</v>
      </c>
    </row>
    <row r="8" spans="1:11" ht="16.5" thickTop="1" thickBot="1" x14ac:dyDescent="0.25">
      <c r="A8" s="3">
        <f>$A$7</f>
        <v>2059</v>
      </c>
      <c r="B8" s="3">
        <v>366</v>
      </c>
      <c r="C8" s="4">
        <f>$C$7</f>
        <v>2660</v>
      </c>
      <c r="D8" s="4">
        <f>SUM(D17,D20,D23,D26,D29)</f>
        <v>37899</v>
      </c>
      <c r="E8" s="4">
        <v>0</v>
      </c>
      <c r="F8" s="4">
        <f>SUM(D8)</f>
        <v>37899</v>
      </c>
      <c r="G8" s="5">
        <f>SUM(G17,G20,G23,G26,G29)</f>
        <v>1244298</v>
      </c>
      <c r="H8" s="58">
        <f t="shared" si="1"/>
        <v>14.247744360902256</v>
      </c>
      <c r="I8" s="42">
        <f t="shared" si="2"/>
        <v>467.7812030075188</v>
      </c>
      <c r="J8" s="43">
        <f>I8/H8</f>
        <v>32.83194807250851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0.86391680088094824</v>
      </c>
      <c r="G10" s="62">
        <f t="shared" ref="G10" si="3">G8/G7</f>
        <v>1.0909258286727297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5969.8076923076951</v>
      </c>
      <c r="G12" s="47">
        <f>G7-G8</f>
        <v>-103709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2059</v>
      </c>
      <c r="B16" s="3">
        <f>$B$7</f>
        <v>366</v>
      </c>
      <c r="C16" s="4">
        <f>$C$7</f>
        <v>2660</v>
      </c>
      <c r="D16" s="4">
        <f>G16/$J$7</f>
        <v>2093.2692307692309</v>
      </c>
      <c r="E16" s="4">
        <v>0</v>
      </c>
      <c r="F16" s="13">
        <f t="shared" ref="F16:F17" si="4">SUM(D16:E16)</f>
        <v>2093.2692307692309</v>
      </c>
      <c r="G16" s="14">
        <v>54425</v>
      </c>
      <c r="H16" s="13">
        <f t="shared" ref="H16:H17" si="5">F16/C16</f>
        <v>0.78694331983805677</v>
      </c>
      <c r="I16" s="14">
        <f t="shared" ref="I16:I17" si="6">G16/C16</f>
        <v>20.460526315789473</v>
      </c>
      <c r="J16" s="6">
        <f>I16/H16</f>
        <v>25.999999999999996</v>
      </c>
      <c r="K16" s="27" t="s">
        <v>10</v>
      </c>
    </row>
    <row r="17" spans="1:11" ht="16.5" thickTop="1" thickBot="1" x14ac:dyDescent="0.25">
      <c r="A17" s="1">
        <f>$A$7</f>
        <v>2059</v>
      </c>
      <c r="B17" s="3">
        <f>$B$7</f>
        <v>366</v>
      </c>
      <c r="C17" s="4">
        <f>$C$7</f>
        <v>2660</v>
      </c>
      <c r="D17" s="48">
        <v>542</v>
      </c>
      <c r="E17" s="48">
        <v>0</v>
      </c>
      <c r="F17" s="4">
        <f t="shared" si="4"/>
        <v>542</v>
      </c>
      <c r="G17" s="5">
        <v>30930</v>
      </c>
      <c r="H17" s="4">
        <f t="shared" si="5"/>
        <v>0.20375939849624061</v>
      </c>
      <c r="I17" s="5">
        <f t="shared" si="6"/>
        <v>11.62781954887218</v>
      </c>
      <c r="J17" s="44">
        <f>I17/H17</f>
        <v>57.066420664206639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0.2589251263206247</v>
      </c>
      <c r="G18" s="16">
        <f t="shared" ref="G18" si="7">G17/G16</f>
        <v>0.5683050068902159</v>
      </c>
      <c r="H18" s="16"/>
      <c r="I18" s="16"/>
      <c r="J18" s="16"/>
      <c r="K18" s="45"/>
    </row>
    <row r="19" spans="1:11" ht="16.5" thickTop="1" thickBot="1" x14ac:dyDescent="0.25">
      <c r="A19" s="1">
        <f>$A$7</f>
        <v>2059</v>
      </c>
      <c r="B19" s="3">
        <f>$B$7</f>
        <v>366</v>
      </c>
      <c r="C19" s="4">
        <f>$C$7</f>
        <v>2660</v>
      </c>
      <c r="D19" s="4">
        <f>G19/$J$7</f>
        <v>7973.4615384615381</v>
      </c>
      <c r="E19" s="4">
        <v>0</v>
      </c>
      <c r="F19" s="13">
        <f t="shared" ref="F19:F20" si="8">SUM(D19:E19)</f>
        <v>7973.4615384615381</v>
      </c>
      <c r="G19" s="14">
        <v>207310</v>
      </c>
      <c r="H19" s="13">
        <f t="shared" ref="H19:H20" si="9">F19/C19</f>
        <v>2.9975419317524579</v>
      </c>
      <c r="I19" s="14">
        <f t="shared" ref="I19:I20" si="10">G19/C19</f>
        <v>77.936090225563916</v>
      </c>
      <c r="J19" s="6">
        <f>I19/H19</f>
        <v>26.000000000000004</v>
      </c>
      <c r="K19" s="27" t="s">
        <v>10</v>
      </c>
    </row>
    <row r="20" spans="1:11" ht="16.5" thickTop="1" thickBot="1" x14ac:dyDescent="0.25">
      <c r="A20" s="1">
        <f>$A$7</f>
        <v>2059</v>
      </c>
      <c r="B20" s="3">
        <f>$B$7</f>
        <v>366</v>
      </c>
      <c r="C20" s="4">
        <f>$C$7</f>
        <v>2660</v>
      </c>
      <c r="D20" s="48">
        <v>5874</v>
      </c>
      <c r="E20" s="48">
        <v>0</v>
      </c>
      <c r="F20" s="4">
        <f t="shared" si="8"/>
        <v>5874</v>
      </c>
      <c r="G20" s="5">
        <v>202777</v>
      </c>
      <c r="H20" s="4">
        <f t="shared" si="9"/>
        <v>2.2082706766917295</v>
      </c>
      <c r="I20" s="5">
        <f t="shared" si="10"/>
        <v>76.231954887218052</v>
      </c>
      <c r="J20" s="44">
        <f>I20/H20</f>
        <v>34.521109976166159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0.73669384014278139</v>
      </c>
      <c r="G21" s="16">
        <f t="shared" ref="G21" si="11">G20/G19</f>
        <v>0.97813419516665867</v>
      </c>
      <c r="H21" s="16"/>
      <c r="I21" s="16"/>
      <c r="J21" s="45"/>
      <c r="K21" s="45"/>
    </row>
    <row r="22" spans="1:11" ht="16.5" thickTop="1" thickBot="1" x14ac:dyDescent="0.25">
      <c r="A22" s="1">
        <f>$A$7</f>
        <v>2059</v>
      </c>
      <c r="B22" s="3">
        <f>$B$7</f>
        <v>366</v>
      </c>
      <c r="C22" s="4">
        <f>$C$7</f>
        <v>2660</v>
      </c>
      <c r="D22" s="4">
        <f>G22/$J$7</f>
        <v>22866.307692307691</v>
      </c>
      <c r="E22" s="4">
        <v>0</v>
      </c>
      <c r="F22" s="13">
        <f>SUM(D22:E22)</f>
        <v>22866.307692307691</v>
      </c>
      <c r="G22" s="14">
        <v>594524</v>
      </c>
      <c r="H22" s="13">
        <f>F22/C22</f>
        <v>8.5963562753036431</v>
      </c>
      <c r="I22" s="14">
        <f>G22/C22</f>
        <v>223.50526315789475</v>
      </c>
      <c r="J22" s="6">
        <f>I22/H22</f>
        <v>26.000000000000004</v>
      </c>
      <c r="K22" s="27" t="s">
        <v>10</v>
      </c>
    </row>
    <row r="23" spans="1:11" ht="16.5" thickTop="1" thickBot="1" x14ac:dyDescent="0.25">
      <c r="A23" s="1">
        <f>$A$7</f>
        <v>2059</v>
      </c>
      <c r="B23" s="3">
        <f>$B$7</f>
        <v>366</v>
      </c>
      <c r="C23" s="4">
        <f>$C$7</f>
        <v>2660</v>
      </c>
      <c r="D23" s="48">
        <v>21648</v>
      </c>
      <c r="E23" s="48">
        <v>0</v>
      </c>
      <c r="F23" s="4">
        <f>SUM(D23:E23)</f>
        <v>21648</v>
      </c>
      <c r="G23" s="5">
        <v>700399</v>
      </c>
      <c r="H23" s="4">
        <f>F23/C23</f>
        <v>8.1383458646616536</v>
      </c>
      <c r="I23" s="5">
        <f>G23/C23</f>
        <v>263.30789473684212</v>
      </c>
      <c r="J23" s="44">
        <f>I23/H23</f>
        <v>32.353981892091653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0.9467204015313091</v>
      </c>
      <c r="G24" s="16">
        <f t="shared" ref="G24" si="12">G23/G22</f>
        <v>1.1780836433852964</v>
      </c>
      <c r="H24" s="16"/>
      <c r="I24" s="16"/>
      <c r="J24" s="17"/>
      <c r="K24" s="17"/>
    </row>
    <row r="25" spans="1:11" ht="16.5" thickTop="1" thickBot="1" x14ac:dyDescent="0.25">
      <c r="A25" s="1">
        <f>$A$7</f>
        <v>2059</v>
      </c>
      <c r="B25" s="3">
        <f>$B$7</f>
        <v>366</v>
      </c>
      <c r="C25" s="4">
        <v>2921</v>
      </c>
      <c r="D25" s="4">
        <f>G25/$J$7</f>
        <v>7278.4615384615381</v>
      </c>
      <c r="E25" s="4">
        <v>0</v>
      </c>
      <c r="F25" s="13">
        <f>SUM(D25:E25)</f>
        <v>7278.4615384615381</v>
      </c>
      <c r="G25" s="14">
        <v>189240</v>
      </c>
      <c r="H25" s="13">
        <f>F25/C25</f>
        <v>2.4917704684907696</v>
      </c>
      <c r="I25" s="14">
        <f>G25/C25</f>
        <v>64.786032180760017</v>
      </c>
      <c r="J25" s="6">
        <f>I25/H25</f>
        <v>26.000000000000004</v>
      </c>
      <c r="K25" s="27" t="s">
        <v>10</v>
      </c>
    </row>
    <row r="26" spans="1:11" ht="16.5" thickTop="1" thickBot="1" x14ac:dyDescent="0.25">
      <c r="A26" s="1">
        <f>$A$7</f>
        <v>2059</v>
      </c>
      <c r="B26" s="3">
        <f>$B$7</f>
        <v>366</v>
      </c>
      <c r="C26" s="4">
        <v>2921</v>
      </c>
      <c r="D26" s="48">
        <v>5104</v>
      </c>
      <c r="E26" s="48">
        <v>0</v>
      </c>
      <c r="F26" s="4">
        <f>SUM(D26:E26)</f>
        <v>5104</v>
      </c>
      <c r="G26" s="5">
        <v>171109</v>
      </c>
      <c r="H26" s="4">
        <f>F26/C26</f>
        <v>1.7473467990414242</v>
      </c>
      <c r="I26" s="5">
        <f>G26/C26</f>
        <v>58.578911331735704</v>
      </c>
      <c r="J26" s="44">
        <f>I26/H26</f>
        <v>33.524490595611283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0.70124709363770876</v>
      </c>
      <c r="G27" s="16">
        <f t="shared" ref="G27" si="13">G26/G25</f>
        <v>0.90419044599450438</v>
      </c>
      <c r="H27" s="16"/>
      <c r="I27" s="16"/>
      <c r="J27" s="17"/>
      <c r="K27" s="17"/>
    </row>
    <row r="28" spans="1:11" ht="16.5" thickTop="1" thickBot="1" x14ac:dyDescent="0.25">
      <c r="A28" s="1">
        <f>$A$7</f>
        <v>2059</v>
      </c>
      <c r="B28" s="3">
        <f>$B$7</f>
        <v>366</v>
      </c>
      <c r="C28" s="4">
        <f>$C$7</f>
        <v>2660</v>
      </c>
      <c r="D28" s="4">
        <f>G28/$J$7</f>
        <v>3657.3076923076924</v>
      </c>
      <c r="E28" s="4">
        <v>0</v>
      </c>
      <c r="F28" s="13">
        <f>SUM(D28:E28)</f>
        <v>3657.3076923076924</v>
      </c>
      <c r="G28" s="14">
        <v>95090</v>
      </c>
      <c r="H28" s="13">
        <f>F28/C28</f>
        <v>1.3749277038750722</v>
      </c>
      <c r="I28" s="14">
        <f>G28/C28</f>
        <v>35.748120300751879</v>
      </c>
      <c r="J28" s="6">
        <f>I28/H28</f>
        <v>26</v>
      </c>
      <c r="K28" s="27" t="s">
        <v>10</v>
      </c>
    </row>
    <row r="29" spans="1:11" ht="16.5" thickTop="1" thickBot="1" x14ac:dyDescent="0.25">
      <c r="A29" s="1">
        <f>$A$7</f>
        <v>2059</v>
      </c>
      <c r="B29" s="3">
        <f>$B$7</f>
        <v>366</v>
      </c>
      <c r="C29" s="4">
        <f>$C$7</f>
        <v>2660</v>
      </c>
      <c r="D29" s="48">
        <v>4731</v>
      </c>
      <c r="E29" s="48">
        <v>0</v>
      </c>
      <c r="F29" s="4">
        <f>SUM(D29:E29)</f>
        <v>4731</v>
      </c>
      <c r="G29" s="5">
        <v>139083</v>
      </c>
      <c r="H29" s="4">
        <f>F29/C29</f>
        <v>1.7785714285714285</v>
      </c>
      <c r="I29" s="5">
        <f>G29/C29</f>
        <v>52.286842105263155</v>
      </c>
      <c r="J29" s="44">
        <f>I29/H29</f>
        <v>29.398224476854786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1.2935745083605006</v>
      </c>
      <c r="G30" s="16">
        <f t="shared" ref="G30" si="14">G29/G28</f>
        <v>1.4626459143968871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2059</v>
      </c>
      <c r="B33" s="3">
        <f>$B$7</f>
        <v>366</v>
      </c>
      <c r="C33" s="4">
        <f>$C$7</f>
        <v>2660</v>
      </c>
      <c r="D33" s="13">
        <f>SUM(D28,D22,D19)</f>
        <v>34497.076923076922</v>
      </c>
      <c r="E33" s="13">
        <v>0</v>
      </c>
      <c r="F33" s="13">
        <f t="shared" ref="F33" si="15">SUM(D33:E33)</f>
        <v>34497.076923076922</v>
      </c>
      <c r="G33" s="14">
        <f>SUM(G28,G22,G19)</f>
        <v>896924</v>
      </c>
      <c r="H33" s="34">
        <f t="shared" ref="H33:H34" si="16">F33/C33</f>
        <v>12.968825910931173</v>
      </c>
      <c r="I33" s="39">
        <f t="shared" ref="I33:I34" si="17">G33/C33</f>
        <v>337.18947368421055</v>
      </c>
      <c r="J33" s="12">
        <f>I33/H33</f>
        <v>26.000000000000004</v>
      </c>
      <c r="K33" s="35" t="s">
        <v>10</v>
      </c>
    </row>
    <row r="34" spans="1:11" ht="17.25" thickTop="1" thickBot="1" x14ac:dyDescent="0.25">
      <c r="A34" s="53">
        <f>$A$7</f>
        <v>2059</v>
      </c>
      <c r="B34" s="3">
        <f>$B$7</f>
        <v>366</v>
      </c>
      <c r="C34" s="4">
        <f>$C$7</f>
        <v>2660</v>
      </c>
      <c r="D34" s="4">
        <f>SUM(D29,D23,D20)</f>
        <v>32253</v>
      </c>
      <c r="E34" s="49">
        <v>0</v>
      </c>
      <c r="F34" s="4">
        <f>SUM(D34)</f>
        <v>32253</v>
      </c>
      <c r="G34" s="50">
        <f>SUM(G29,G23,G20)</f>
        <v>1042259</v>
      </c>
      <c r="H34" s="41">
        <f t="shared" si="16"/>
        <v>12.125187969924813</v>
      </c>
      <c r="I34" s="42">
        <f t="shared" si="17"/>
        <v>391.82669172932333</v>
      </c>
      <c r="J34" s="43">
        <f>I34/H34</f>
        <v>32.315102471087961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0.93494878049868224</v>
      </c>
      <c r="G35" s="63">
        <f t="shared" ref="G35" si="18">G34/G33</f>
        <v>1.1620371402705245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12.125187969924813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1.7473467990414242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14.247744360902256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3:K46"/>
  <sheetViews>
    <sheetView view="pageBreakPreview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20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2060</v>
      </c>
      <c r="B7" s="3">
        <v>271</v>
      </c>
      <c r="C7" s="4">
        <v>1191</v>
      </c>
      <c r="D7" s="4">
        <f>G7/$J$7</f>
        <v>48126.28125</v>
      </c>
      <c r="E7" s="4">
        <v>0</v>
      </c>
      <c r="F7" s="4">
        <f t="shared" ref="F7" si="0">SUM(D7:E7)</f>
        <v>48126.28125</v>
      </c>
      <c r="G7" s="5">
        <f>SUM(G16,G19,G22,G25,G28)</f>
        <v>1540041</v>
      </c>
      <c r="H7" s="9">
        <f t="shared" ref="H7:H8" si="1">F7/C7</f>
        <v>40.408296599496225</v>
      </c>
      <c r="I7" s="11">
        <f t="shared" ref="I7:I8" si="2">G7/C7</f>
        <v>1293.0654911838792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2060</v>
      </c>
      <c r="B8" s="3">
        <v>271</v>
      </c>
      <c r="C8" s="4">
        <f>$C$7</f>
        <v>1191</v>
      </c>
      <c r="D8" s="4">
        <f>SUM(D17,D20,D23,D26,D29)</f>
        <v>27132</v>
      </c>
      <c r="E8" s="4">
        <v>0</v>
      </c>
      <c r="F8" s="4">
        <f>SUM(D8)</f>
        <v>27132</v>
      </c>
      <c r="G8" s="5">
        <f>SUM(G17,G20,G23,G26,G29)</f>
        <v>921343</v>
      </c>
      <c r="H8" s="58">
        <f t="shared" si="1"/>
        <v>22.780856423173802</v>
      </c>
      <c r="I8" s="42">
        <f t="shared" si="2"/>
        <v>773.5877413937867</v>
      </c>
      <c r="J8" s="43">
        <f>I8/H8</f>
        <v>33.957798909037301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0.56376680880573959</v>
      </c>
      <c r="G10" s="62">
        <f t="shared" ref="G10" si="3">G8/G7</f>
        <v>0.59825874765671827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20994.28125</v>
      </c>
      <c r="G12" s="47">
        <f>G7-G8</f>
        <v>618698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2060</v>
      </c>
      <c r="B16" s="3">
        <f>$B$7</f>
        <v>271</v>
      </c>
      <c r="C16" s="4">
        <f>$C$7</f>
        <v>1191</v>
      </c>
      <c r="D16" s="4">
        <f>G16/$J$7</f>
        <v>3778.125</v>
      </c>
      <c r="E16" s="4">
        <v>0</v>
      </c>
      <c r="F16" s="13">
        <f t="shared" ref="F16:F17" si="4">SUM(D16:E16)</f>
        <v>3778.125</v>
      </c>
      <c r="G16" s="14">
        <v>120900</v>
      </c>
      <c r="H16" s="13">
        <f t="shared" ref="H16:H17" si="5">F16/C16</f>
        <v>3.1722292191435768</v>
      </c>
      <c r="I16" s="14">
        <f t="shared" ref="I16:I17" si="6">G16/C16</f>
        <v>101.51133501259446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2060</v>
      </c>
      <c r="B17" s="3">
        <f>$B$7</f>
        <v>271</v>
      </c>
      <c r="C17" s="4">
        <f>$C$7</f>
        <v>1191</v>
      </c>
      <c r="D17" s="48">
        <v>525</v>
      </c>
      <c r="E17" s="48">
        <v>0</v>
      </c>
      <c r="F17" s="4">
        <f t="shared" si="4"/>
        <v>525</v>
      </c>
      <c r="G17" s="5">
        <v>31889</v>
      </c>
      <c r="H17" s="4">
        <f t="shared" si="5"/>
        <v>0.44080604534005036</v>
      </c>
      <c r="I17" s="5">
        <f t="shared" si="6"/>
        <v>26.774979009235935</v>
      </c>
      <c r="J17" s="44">
        <f>I17/H17</f>
        <v>60.740952380952379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0.13895781637717122</v>
      </c>
      <c r="G18" s="16">
        <f t="shared" ref="G18" si="7">G17/G16</f>
        <v>0.26376344086021508</v>
      </c>
      <c r="H18" s="16"/>
      <c r="I18" s="16"/>
      <c r="J18" s="16"/>
      <c r="K18" s="45"/>
    </row>
    <row r="19" spans="1:11" ht="16.5" thickTop="1" thickBot="1" x14ac:dyDescent="0.25">
      <c r="A19" s="1">
        <f>$A$7</f>
        <v>2060</v>
      </c>
      <c r="B19" s="3">
        <f>$B$7</f>
        <v>271</v>
      </c>
      <c r="C19" s="4">
        <f>$C$7</f>
        <v>1191</v>
      </c>
      <c r="D19" s="4">
        <f>G19/$J$7</f>
        <v>12990.09375</v>
      </c>
      <c r="E19" s="4">
        <v>0</v>
      </c>
      <c r="F19" s="13">
        <f t="shared" ref="F19:F20" si="8">SUM(D19:E19)</f>
        <v>12990.09375</v>
      </c>
      <c r="G19" s="14">
        <v>415683</v>
      </c>
      <c r="H19" s="13">
        <f t="shared" ref="H19:H20" si="9">F19/C19</f>
        <v>10.906879722921914</v>
      </c>
      <c r="I19" s="14">
        <f t="shared" ref="I19:I20" si="10">G19/C19</f>
        <v>349.02015113350126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2060</v>
      </c>
      <c r="B20" s="3">
        <f>$B$7</f>
        <v>271</v>
      </c>
      <c r="C20" s="4">
        <f>$C$7</f>
        <v>1191</v>
      </c>
      <c r="D20" s="48">
        <v>4791</v>
      </c>
      <c r="E20" s="48">
        <v>0</v>
      </c>
      <c r="F20" s="4">
        <f t="shared" si="8"/>
        <v>4791</v>
      </c>
      <c r="G20" s="5">
        <v>180228</v>
      </c>
      <c r="H20" s="4">
        <f t="shared" si="9"/>
        <v>4.0226700251889165</v>
      </c>
      <c r="I20" s="5">
        <f t="shared" si="10"/>
        <v>151.32493702770782</v>
      </c>
      <c r="J20" s="44">
        <f>I20/H20</f>
        <v>37.618033813400132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0.36881950909707639</v>
      </c>
      <c r="G21" s="16">
        <f t="shared" ref="G21" si="11">G20/G19</f>
        <v>0.43357077388298293</v>
      </c>
      <c r="H21" s="16"/>
      <c r="I21" s="16"/>
      <c r="J21" s="45"/>
      <c r="K21" s="45"/>
    </row>
    <row r="22" spans="1:11" ht="16.5" thickTop="1" thickBot="1" x14ac:dyDescent="0.25">
      <c r="A22" s="1">
        <f>$A$7</f>
        <v>2060</v>
      </c>
      <c r="B22" s="3">
        <f>$B$7</f>
        <v>271</v>
      </c>
      <c r="C22" s="4">
        <f>$C$7</f>
        <v>1191</v>
      </c>
      <c r="D22" s="4">
        <f>G22/$J$7</f>
        <v>19322.125</v>
      </c>
      <c r="E22" s="4">
        <v>0</v>
      </c>
      <c r="F22" s="13">
        <f>SUM(D22:E22)</f>
        <v>19322.125</v>
      </c>
      <c r="G22" s="14">
        <v>618308</v>
      </c>
      <c r="H22" s="13">
        <f>F22/C22</f>
        <v>16.223446683459279</v>
      </c>
      <c r="I22" s="14">
        <f>G22/C22</f>
        <v>519.15029387069694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2060</v>
      </c>
      <c r="B23" s="3">
        <f>$B$7</f>
        <v>271</v>
      </c>
      <c r="C23" s="4">
        <f>$C$7</f>
        <v>1191</v>
      </c>
      <c r="D23" s="48">
        <v>13201</v>
      </c>
      <c r="E23" s="48">
        <v>0</v>
      </c>
      <c r="F23" s="4">
        <f>SUM(D23:E23)</f>
        <v>13201</v>
      </c>
      <c r="G23" s="5">
        <v>422640</v>
      </c>
      <c r="H23" s="4">
        <f>F23/C23</f>
        <v>11.083963056255248</v>
      </c>
      <c r="I23" s="5">
        <f>G23/C23</f>
        <v>354.86146095717885</v>
      </c>
      <c r="J23" s="44">
        <f>I23/H23</f>
        <v>32.015756382092263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0.68320642786442998</v>
      </c>
      <c r="G24" s="16">
        <f t="shared" ref="G24" si="12">G23/G22</f>
        <v>0.68354282978709635</v>
      </c>
      <c r="H24" s="16"/>
      <c r="I24" s="16"/>
      <c r="J24" s="17"/>
      <c r="K24" s="17"/>
    </row>
    <row r="25" spans="1:11" ht="16.5" thickTop="1" thickBot="1" x14ac:dyDescent="0.25">
      <c r="A25" s="1">
        <f>$A$7</f>
        <v>2060</v>
      </c>
      <c r="B25" s="3">
        <f>$B$7</f>
        <v>271</v>
      </c>
      <c r="C25" s="4">
        <v>1178</v>
      </c>
      <c r="D25" s="4">
        <f>G25/$J$7</f>
        <v>4052.1875</v>
      </c>
      <c r="E25" s="4">
        <v>0</v>
      </c>
      <c r="F25" s="13">
        <f>SUM(D25:E25)</f>
        <v>4052.1875</v>
      </c>
      <c r="G25" s="14">
        <v>129670</v>
      </c>
      <c r="H25" s="13">
        <f>F25/C25</f>
        <v>3.4398875212224107</v>
      </c>
      <c r="I25" s="14">
        <f>G25/C25</f>
        <v>110.07640067911714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2060</v>
      </c>
      <c r="B26" s="3">
        <f>$B$7</f>
        <v>271</v>
      </c>
      <c r="C26" s="4">
        <v>1178</v>
      </c>
      <c r="D26" s="48">
        <v>3367</v>
      </c>
      <c r="E26" s="48">
        <v>0</v>
      </c>
      <c r="F26" s="4">
        <f>SUM(D26:E26)</f>
        <v>3367</v>
      </c>
      <c r="G26" s="5">
        <v>107754</v>
      </c>
      <c r="H26" s="4">
        <f>F26/C26</f>
        <v>2.8582342954159592</v>
      </c>
      <c r="I26" s="5">
        <f>G26/C26</f>
        <v>91.47198641765705</v>
      </c>
      <c r="J26" s="44">
        <f>I26/H26</f>
        <v>32.002970002970002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0.83090923112516391</v>
      </c>
      <c r="G27" s="16">
        <f t="shared" ref="G27" si="13">G26/G25</f>
        <v>0.83098634996529652</v>
      </c>
      <c r="H27" s="16"/>
      <c r="I27" s="16"/>
      <c r="J27" s="17"/>
      <c r="K27" s="17"/>
    </row>
    <row r="28" spans="1:11" ht="16.5" thickTop="1" thickBot="1" x14ac:dyDescent="0.25">
      <c r="A28" s="1">
        <f>$A$7</f>
        <v>2060</v>
      </c>
      <c r="B28" s="3">
        <f>$B$7</f>
        <v>271</v>
      </c>
      <c r="C28" s="4">
        <f>$C$7</f>
        <v>1191</v>
      </c>
      <c r="D28" s="4">
        <f>G28/$J$7</f>
        <v>7983.75</v>
      </c>
      <c r="E28" s="4">
        <v>0</v>
      </c>
      <c r="F28" s="13">
        <f>SUM(D28:E28)</f>
        <v>7983.75</v>
      </c>
      <c r="G28" s="14">
        <v>255480</v>
      </c>
      <c r="H28" s="13">
        <f>F28/C28</f>
        <v>6.7034005037783375</v>
      </c>
      <c r="I28" s="14">
        <f>G28/C28</f>
        <v>214.5088161209068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2060</v>
      </c>
      <c r="B29" s="3">
        <f>$B$7</f>
        <v>271</v>
      </c>
      <c r="C29" s="4">
        <f>$C$7</f>
        <v>1191</v>
      </c>
      <c r="D29" s="48">
        <v>5248</v>
      </c>
      <c r="E29" s="48">
        <v>0</v>
      </c>
      <c r="F29" s="4">
        <f>SUM(D29:E29)</f>
        <v>5248</v>
      </c>
      <c r="G29" s="5">
        <v>178832</v>
      </c>
      <c r="H29" s="4">
        <f>F29/C29</f>
        <v>4.4063811922753988</v>
      </c>
      <c r="I29" s="5">
        <f>G29/C29</f>
        <v>150.15281276238454</v>
      </c>
      <c r="J29" s="44">
        <f>I29/H29</f>
        <v>34.076219512195117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0.65733521214967905</v>
      </c>
      <c r="G30" s="16">
        <f t="shared" ref="G30" si="14">G29/G28</f>
        <v>0.69998434319711911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2060</v>
      </c>
      <c r="B33" s="3">
        <f>$B$7</f>
        <v>271</v>
      </c>
      <c r="C33" s="4">
        <f>$C$7</f>
        <v>1191</v>
      </c>
      <c r="D33" s="13">
        <f>SUM(D28,D22,D19)</f>
        <v>40295.96875</v>
      </c>
      <c r="E33" s="13">
        <v>0</v>
      </c>
      <c r="F33" s="13">
        <f t="shared" ref="F33" si="15">SUM(D33:E33)</f>
        <v>40295.96875</v>
      </c>
      <c r="G33" s="14">
        <f>SUM(G28,G22,G19)</f>
        <v>1289471</v>
      </c>
      <c r="H33" s="34">
        <f t="shared" ref="H33:H34" si="16">F33/C33</f>
        <v>33.833726910159527</v>
      </c>
      <c r="I33" s="39">
        <f t="shared" ref="I33:I34" si="17">G33/C33</f>
        <v>1082.6792611251049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2060</v>
      </c>
      <c r="B34" s="3">
        <f>$B$7</f>
        <v>271</v>
      </c>
      <c r="C34" s="4">
        <f>$C$7</f>
        <v>1191</v>
      </c>
      <c r="D34" s="4">
        <f>SUM(D29,D23,D20)</f>
        <v>23240</v>
      </c>
      <c r="E34" s="49">
        <v>0</v>
      </c>
      <c r="F34" s="4">
        <f>SUM(D34)</f>
        <v>23240</v>
      </c>
      <c r="G34" s="50">
        <f>SUM(G29,G23,G20)</f>
        <v>781700</v>
      </c>
      <c r="H34" s="41">
        <f t="shared" si="16"/>
        <v>19.513014273719563</v>
      </c>
      <c r="I34" s="42">
        <f t="shared" si="17"/>
        <v>656.33921074727118</v>
      </c>
      <c r="J34" s="43">
        <f>I34/H34</f>
        <v>33.635972461273667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0.57673262911690137</v>
      </c>
      <c r="G35" s="63">
        <f t="shared" ref="G35" si="18">G34/G33</f>
        <v>0.60621758845293927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19.513014273719563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2.8582342954159592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22.780856423173802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3:K46"/>
  <sheetViews>
    <sheetView view="pageBreakPreview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21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2061</v>
      </c>
      <c r="B7" s="64">
        <v>243</v>
      </c>
      <c r="C7" s="65">
        <v>1395</v>
      </c>
      <c r="D7" s="4">
        <f>G7/$J$7</f>
        <v>37397.96875</v>
      </c>
      <c r="E7" s="4">
        <v>0</v>
      </c>
      <c r="F7" s="4">
        <f t="shared" ref="F7" si="0">SUM(D7:E7)</f>
        <v>37397.96875</v>
      </c>
      <c r="G7" s="5">
        <f>SUM(G16,G19,G22,G25,G28)</f>
        <v>1196735</v>
      </c>
      <c r="H7" s="9">
        <f t="shared" ref="H7:H8" si="1">F7/C7</f>
        <v>26.808579749103941</v>
      </c>
      <c r="I7" s="11">
        <f t="shared" ref="I7:I8" si="2">G7/C7</f>
        <v>857.87455197132613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2061</v>
      </c>
      <c r="B8" s="64">
        <v>243</v>
      </c>
      <c r="C8" s="65">
        <f>$C$7</f>
        <v>1395</v>
      </c>
      <c r="D8" s="4">
        <f>SUM(D17,D20,D23,D26,D29)</f>
        <v>28144</v>
      </c>
      <c r="E8" s="4">
        <v>0</v>
      </c>
      <c r="F8" s="4">
        <f>SUM(D8)</f>
        <v>28144</v>
      </c>
      <c r="G8" s="5">
        <f>SUM(G17,G20,G23,G26,G29)</f>
        <v>990390</v>
      </c>
      <c r="H8" s="58">
        <f t="shared" si="1"/>
        <v>20.174910394265233</v>
      </c>
      <c r="I8" s="42">
        <f t="shared" si="2"/>
        <v>709.95698924731187</v>
      </c>
      <c r="J8" s="43">
        <f>I8/H8</f>
        <v>35.19009380329733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0.75255424133162307</v>
      </c>
      <c r="G10" s="62">
        <f t="shared" ref="G10" si="3">G8/G7</f>
        <v>0.82757669826653357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9253.96875</v>
      </c>
      <c r="G12" s="47">
        <f>G7-G8</f>
        <v>206345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2061</v>
      </c>
      <c r="B16" s="3">
        <f>$B$7</f>
        <v>243</v>
      </c>
      <c r="C16" s="4">
        <f>$C$7</f>
        <v>1395</v>
      </c>
      <c r="D16" s="4">
        <f>G16/$J$7</f>
        <v>2204.375</v>
      </c>
      <c r="E16" s="4">
        <v>0</v>
      </c>
      <c r="F16" s="13">
        <f t="shared" ref="F16:F17" si="4">SUM(D16:E16)</f>
        <v>2204.375</v>
      </c>
      <c r="G16" s="14">
        <v>70540</v>
      </c>
      <c r="H16" s="13">
        <f t="shared" ref="H16:H17" si="5">F16/C16</f>
        <v>1.5801971326164874</v>
      </c>
      <c r="I16" s="14">
        <f t="shared" ref="I16:I17" si="6">G16/C16</f>
        <v>50.566308243727597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2061</v>
      </c>
      <c r="B17" s="3">
        <f>$B$7</f>
        <v>243</v>
      </c>
      <c r="C17" s="4">
        <f>$C$7</f>
        <v>1395</v>
      </c>
      <c r="D17" s="48">
        <v>715</v>
      </c>
      <c r="E17" s="48">
        <v>0</v>
      </c>
      <c r="F17" s="4">
        <f t="shared" si="4"/>
        <v>715</v>
      </c>
      <c r="G17" s="5">
        <v>42513</v>
      </c>
      <c r="H17" s="4">
        <f t="shared" si="5"/>
        <v>0.51254480286738346</v>
      </c>
      <c r="I17" s="5">
        <f t="shared" si="6"/>
        <v>30.475268817204302</v>
      </c>
      <c r="J17" s="44">
        <f>I17/H17</f>
        <v>59.45874125874127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0.32435497590019846</v>
      </c>
      <c r="G18" s="16">
        <f t="shared" ref="G18" si="7">G17/G16</f>
        <v>0.60267933087609871</v>
      </c>
      <c r="H18" s="16"/>
      <c r="I18" s="16"/>
      <c r="J18" s="16"/>
      <c r="K18" s="45"/>
    </row>
    <row r="19" spans="1:11" ht="16.5" thickTop="1" thickBot="1" x14ac:dyDescent="0.25">
      <c r="A19" s="1">
        <f>$A$7</f>
        <v>2061</v>
      </c>
      <c r="B19" s="3">
        <f>$B$7</f>
        <v>243</v>
      </c>
      <c r="C19" s="4">
        <f>$C$7</f>
        <v>1395</v>
      </c>
      <c r="D19" s="4">
        <f>G19/$J$7</f>
        <v>9783.75</v>
      </c>
      <c r="E19" s="4">
        <v>0</v>
      </c>
      <c r="F19" s="13">
        <f t="shared" ref="F19:F20" si="8">SUM(D19:E19)</f>
        <v>9783.75</v>
      </c>
      <c r="G19" s="14">
        <v>313080</v>
      </c>
      <c r="H19" s="13">
        <f t="shared" ref="H19:H20" si="9">F19/C19</f>
        <v>7.013440860215054</v>
      </c>
      <c r="I19" s="14">
        <f t="shared" ref="I19:I20" si="10">G19/C19</f>
        <v>224.43010752688173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2061</v>
      </c>
      <c r="B20" s="3">
        <f>$B$7</f>
        <v>243</v>
      </c>
      <c r="C20" s="4">
        <f>$C$7</f>
        <v>1395</v>
      </c>
      <c r="D20" s="48">
        <v>5444</v>
      </c>
      <c r="E20" s="48">
        <v>0</v>
      </c>
      <c r="F20" s="4">
        <f t="shared" si="8"/>
        <v>5444</v>
      </c>
      <c r="G20" s="5">
        <v>220093</v>
      </c>
      <c r="H20" s="4">
        <f t="shared" si="9"/>
        <v>3.9025089605734768</v>
      </c>
      <c r="I20" s="5">
        <f t="shared" si="10"/>
        <v>157.77275985663081</v>
      </c>
      <c r="J20" s="44">
        <f>I20/H20</f>
        <v>40.428545187362232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0.55643286061070651</v>
      </c>
      <c r="G21" s="16">
        <f t="shared" ref="G21" si="11">G20/G19</f>
        <v>0.70299284527916184</v>
      </c>
      <c r="H21" s="16"/>
      <c r="I21" s="16"/>
      <c r="J21" s="45"/>
      <c r="K21" s="45"/>
    </row>
    <row r="22" spans="1:11" ht="16.5" thickTop="1" thickBot="1" x14ac:dyDescent="0.25">
      <c r="A22" s="1">
        <f>$A$7</f>
        <v>2061</v>
      </c>
      <c r="B22" s="3">
        <f>$B$7</f>
        <v>243</v>
      </c>
      <c r="C22" s="4">
        <f>$C$7</f>
        <v>1395</v>
      </c>
      <c r="D22" s="4">
        <f>G22/$J$7</f>
        <v>16585.78125</v>
      </c>
      <c r="E22" s="4">
        <v>0</v>
      </c>
      <c r="F22" s="13">
        <f>SUM(D22:E22)</f>
        <v>16585.78125</v>
      </c>
      <c r="G22" s="14">
        <v>530745</v>
      </c>
      <c r="H22" s="13">
        <f>F22/C22</f>
        <v>11.889448924731182</v>
      </c>
      <c r="I22" s="14">
        <f>G22/C22</f>
        <v>380.46236559139783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2061</v>
      </c>
      <c r="B23" s="3">
        <f>$B$7</f>
        <v>243</v>
      </c>
      <c r="C23" s="4">
        <f>$C$7</f>
        <v>1395</v>
      </c>
      <c r="D23" s="48">
        <v>14973</v>
      </c>
      <c r="E23" s="48">
        <v>0</v>
      </c>
      <c r="F23" s="4">
        <f>SUM(D23:E23)</f>
        <v>14973</v>
      </c>
      <c r="G23" s="5">
        <v>472059</v>
      </c>
      <c r="H23" s="4">
        <f>F23/C23</f>
        <v>10.733333333333333</v>
      </c>
      <c r="I23" s="5">
        <f>G23/C23</f>
        <v>338.39354838709676</v>
      </c>
      <c r="J23" s="44">
        <f>I23/H23</f>
        <v>31.527349228611502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0.90276121301189838</v>
      </c>
      <c r="G24" s="16">
        <f t="shared" ref="G24" si="12">G23/G22</f>
        <v>0.88942712602097052</v>
      </c>
      <c r="H24" s="16"/>
      <c r="I24" s="16"/>
      <c r="J24" s="17"/>
      <c r="K24" s="17"/>
    </row>
    <row r="25" spans="1:11" ht="16.5" thickTop="1" thickBot="1" x14ac:dyDescent="0.25">
      <c r="A25" s="1">
        <f>$A$7</f>
        <v>2061</v>
      </c>
      <c r="B25" s="3">
        <f>$B$7</f>
        <v>243</v>
      </c>
      <c r="C25" s="4">
        <v>1376</v>
      </c>
      <c r="D25" s="4">
        <f>G25/$J$7</f>
        <v>3385</v>
      </c>
      <c r="E25" s="4">
        <v>0</v>
      </c>
      <c r="F25" s="13">
        <f>SUM(D25:E25)</f>
        <v>3385</v>
      </c>
      <c r="G25" s="14">
        <v>108320</v>
      </c>
      <c r="H25" s="13">
        <f>F25/C25</f>
        <v>2.4600290697674421</v>
      </c>
      <c r="I25" s="14">
        <f>G25/C25</f>
        <v>78.720930232558146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2061</v>
      </c>
      <c r="B26" s="3">
        <f>$B$7</f>
        <v>243</v>
      </c>
      <c r="C26" s="4">
        <v>1376</v>
      </c>
      <c r="D26" s="48">
        <v>3202</v>
      </c>
      <c r="E26" s="48">
        <v>0</v>
      </c>
      <c r="F26" s="4">
        <f>SUM(D26:E26)</f>
        <v>3202</v>
      </c>
      <c r="G26" s="5">
        <v>119991</v>
      </c>
      <c r="H26" s="4">
        <f>F26/C26</f>
        <v>2.32703488372093</v>
      </c>
      <c r="I26" s="5">
        <f>G26/C26</f>
        <v>87.20276162790698</v>
      </c>
      <c r="J26" s="44">
        <f>I26/H26</f>
        <v>37.473766396002503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0.94593796159527321</v>
      </c>
      <c r="G27" s="16">
        <f t="shared" ref="G27" si="13">G26/G25</f>
        <v>1.1077455686853768</v>
      </c>
      <c r="H27" s="16"/>
      <c r="I27" s="16"/>
      <c r="J27" s="17"/>
      <c r="K27" s="17"/>
    </row>
    <row r="28" spans="1:11" ht="16.5" thickTop="1" thickBot="1" x14ac:dyDescent="0.25">
      <c r="A28" s="1">
        <f>$A$7</f>
        <v>2061</v>
      </c>
      <c r="B28" s="3">
        <f>$B$7</f>
        <v>243</v>
      </c>
      <c r="C28" s="4">
        <f>$C$7</f>
        <v>1395</v>
      </c>
      <c r="D28" s="4">
        <f>G28/$J$7</f>
        <v>5439.0625</v>
      </c>
      <c r="E28" s="4">
        <v>0</v>
      </c>
      <c r="F28" s="13">
        <f>SUM(D28:E28)</f>
        <v>5439.0625</v>
      </c>
      <c r="G28" s="14">
        <v>174050</v>
      </c>
      <c r="H28" s="13">
        <f>F28/C28</f>
        <v>3.8989695340501793</v>
      </c>
      <c r="I28" s="14">
        <f>G28/C28</f>
        <v>124.76702508960574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2061</v>
      </c>
      <c r="B29" s="3">
        <f>$B$7</f>
        <v>243</v>
      </c>
      <c r="C29" s="4">
        <f>$C$7</f>
        <v>1395</v>
      </c>
      <c r="D29" s="48">
        <v>3810</v>
      </c>
      <c r="E29" s="48">
        <v>0</v>
      </c>
      <c r="F29" s="4">
        <f>SUM(D29:E29)</f>
        <v>3810</v>
      </c>
      <c r="G29" s="5">
        <v>135734</v>
      </c>
      <c r="H29" s="4">
        <f>F29/C29</f>
        <v>2.7311827956989245</v>
      </c>
      <c r="I29" s="5">
        <f>G29/C29</f>
        <v>97.30035842293907</v>
      </c>
      <c r="J29" s="44">
        <f>I29/H29</f>
        <v>35.625721784776907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0.70048836541223791</v>
      </c>
      <c r="G30" s="16">
        <f t="shared" ref="G30" si="14">G29/G28</f>
        <v>0.77985636311404771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2061</v>
      </c>
      <c r="B33" s="3">
        <f>$B$7</f>
        <v>243</v>
      </c>
      <c r="C33" s="4">
        <f>$C$7</f>
        <v>1395</v>
      </c>
      <c r="D33" s="13">
        <f>SUM(D28,D22,D19)</f>
        <v>31808.59375</v>
      </c>
      <c r="E33" s="13">
        <v>0</v>
      </c>
      <c r="F33" s="13">
        <f t="shared" ref="F33" si="15">SUM(D33:E33)</f>
        <v>31808.59375</v>
      </c>
      <c r="G33" s="14">
        <f>SUM(G28,G22,G19)</f>
        <v>1017875</v>
      </c>
      <c r="H33" s="34">
        <f t="shared" ref="H33:H34" si="16">F33/C33</f>
        <v>22.801859318996417</v>
      </c>
      <c r="I33" s="39">
        <f t="shared" ref="I33:I34" si="17">G33/C33</f>
        <v>729.65949820788535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2061</v>
      </c>
      <c r="B34" s="3">
        <f>$B$7</f>
        <v>243</v>
      </c>
      <c r="C34" s="4">
        <f>$C$7</f>
        <v>1395</v>
      </c>
      <c r="D34" s="4">
        <f>SUM(D29,D23,D20)</f>
        <v>24227</v>
      </c>
      <c r="E34" s="49">
        <v>0</v>
      </c>
      <c r="F34" s="4">
        <f>SUM(D34)</f>
        <v>24227</v>
      </c>
      <c r="G34" s="50">
        <f>SUM(G29,G23,G20)</f>
        <v>827886</v>
      </c>
      <c r="H34" s="41">
        <f t="shared" si="16"/>
        <v>17.367025089605736</v>
      </c>
      <c r="I34" s="42">
        <f t="shared" si="17"/>
        <v>593.4666666666667</v>
      </c>
      <c r="J34" s="43">
        <f>I34/H34</f>
        <v>34.17203946010649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0.76164951492079092</v>
      </c>
      <c r="G35" s="63">
        <f t="shared" ref="G35" si="18">G34/G33</f>
        <v>0.8133474149576323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17.367025089605736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2.32703488372093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20.174910394265233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3:K46"/>
  <sheetViews>
    <sheetView view="pageBreakPreview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23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2063</v>
      </c>
      <c r="B7" s="64">
        <v>103</v>
      </c>
      <c r="C7" s="65">
        <v>580</v>
      </c>
      <c r="D7" s="4">
        <f>G7/$J$7</f>
        <v>13321.40625</v>
      </c>
      <c r="E7" s="4">
        <v>0</v>
      </c>
      <c r="F7" s="4">
        <f t="shared" ref="F7" si="0">SUM(D7:E7)</f>
        <v>13321.40625</v>
      </c>
      <c r="G7" s="5">
        <f>SUM(G16,G19,G22,G25,G28)</f>
        <v>426285</v>
      </c>
      <c r="H7" s="9">
        <f t="shared" ref="H7:H8" si="1">F7/C7</f>
        <v>22.967941810344829</v>
      </c>
      <c r="I7" s="11">
        <f t="shared" ref="I7:I8" si="2">G7/C7</f>
        <v>734.97413793103453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2063</v>
      </c>
      <c r="B8" s="64">
        <v>103</v>
      </c>
      <c r="C8" s="65">
        <f>$C$7</f>
        <v>580</v>
      </c>
      <c r="D8" s="4">
        <f>SUM(D17,D20,D23,D26,D29)</f>
        <v>13262</v>
      </c>
      <c r="E8" s="4">
        <v>0</v>
      </c>
      <c r="F8" s="4">
        <f>SUM(D8)</f>
        <v>13262</v>
      </c>
      <c r="G8" s="5">
        <f>SUM(G17,G20,G23,G26,G29)</f>
        <v>461794</v>
      </c>
      <c r="H8" s="58">
        <f t="shared" si="1"/>
        <v>22.865517241379312</v>
      </c>
      <c r="I8" s="42">
        <f t="shared" si="2"/>
        <v>796.19655172413798</v>
      </c>
      <c r="J8" s="43">
        <f>I8/H8</f>
        <v>34.82084150203589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0.9955405421255733</v>
      </c>
      <c r="G10" s="62">
        <f t="shared" ref="G10" si="3">G8/G7</f>
        <v>1.0832987320689211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59.40625</v>
      </c>
      <c r="G12" s="47">
        <f>G7-G8</f>
        <v>-35509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2063</v>
      </c>
      <c r="B16" s="3">
        <f>$B$7</f>
        <v>103</v>
      </c>
      <c r="C16" s="4">
        <f>$C$7</f>
        <v>580</v>
      </c>
      <c r="D16" s="4">
        <f>G16/$J$7</f>
        <v>800.3125</v>
      </c>
      <c r="E16" s="4">
        <v>0</v>
      </c>
      <c r="F16" s="13">
        <f t="shared" ref="F16:F17" si="4">SUM(D16:E16)</f>
        <v>800.3125</v>
      </c>
      <c r="G16" s="14">
        <v>25610</v>
      </c>
      <c r="H16" s="13">
        <f t="shared" ref="H16:H17" si="5">F16/C16</f>
        <v>1.3798491379310345</v>
      </c>
      <c r="I16" s="14">
        <f t="shared" ref="I16:I17" si="6">G16/C16</f>
        <v>44.155172413793103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2063</v>
      </c>
      <c r="B17" s="3">
        <f>$B$7</f>
        <v>103</v>
      </c>
      <c r="C17" s="4">
        <f>$C$7</f>
        <v>580</v>
      </c>
      <c r="D17" s="48">
        <v>362</v>
      </c>
      <c r="E17" s="48">
        <v>0</v>
      </c>
      <c r="F17" s="4">
        <f t="shared" si="4"/>
        <v>362</v>
      </c>
      <c r="G17" s="5">
        <v>21871</v>
      </c>
      <c r="H17" s="4">
        <f t="shared" si="5"/>
        <v>0.62413793103448278</v>
      </c>
      <c r="I17" s="5">
        <f t="shared" si="6"/>
        <v>37.70862068965517</v>
      </c>
      <c r="J17" s="44">
        <f>I17/H17</f>
        <v>60.417127071823195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0.45232331120655994</v>
      </c>
      <c r="G18" s="16">
        <f t="shared" ref="G18" si="7">G17/G16</f>
        <v>0.85400234283483012</v>
      </c>
      <c r="H18" s="16"/>
      <c r="I18" s="16"/>
      <c r="J18" s="16"/>
      <c r="K18" s="45"/>
    </row>
    <row r="19" spans="1:11" ht="16.5" thickTop="1" thickBot="1" x14ac:dyDescent="0.25">
      <c r="A19" s="1">
        <f>$A$7</f>
        <v>2063</v>
      </c>
      <c r="B19" s="3">
        <f>$B$7</f>
        <v>103</v>
      </c>
      <c r="C19" s="4">
        <f>$C$7</f>
        <v>580</v>
      </c>
      <c r="D19" s="4">
        <f>G19/$J$7</f>
        <v>2111.90625</v>
      </c>
      <c r="E19" s="4">
        <v>0</v>
      </c>
      <c r="F19" s="13">
        <f t="shared" ref="F19:F20" si="8">SUM(D19:E19)</f>
        <v>2111.90625</v>
      </c>
      <c r="G19" s="14">
        <v>67581</v>
      </c>
      <c r="H19" s="13">
        <f t="shared" ref="H19:H20" si="9">F19/C19</f>
        <v>3.6412176724137932</v>
      </c>
      <c r="I19" s="14">
        <f t="shared" ref="I19:I20" si="10">G19/C19</f>
        <v>116.51896551724138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2063</v>
      </c>
      <c r="B20" s="3">
        <f>$B$7</f>
        <v>103</v>
      </c>
      <c r="C20" s="4">
        <f>$C$7</f>
        <v>580</v>
      </c>
      <c r="D20" s="48">
        <v>2281</v>
      </c>
      <c r="E20" s="48">
        <v>0</v>
      </c>
      <c r="F20" s="4">
        <f t="shared" si="8"/>
        <v>2281</v>
      </c>
      <c r="G20" s="5">
        <v>80495</v>
      </c>
      <c r="H20" s="4">
        <f t="shared" si="9"/>
        <v>3.932758620689655</v>
      </c>
      <c r="I20" s="5">
        <f t="shared" si="10"/>
        <v>138.7844827586207</v>
      </c>
      <c r="J20" s="44">
        <f>I20/H20</f>
        <v>35.289346777729072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1.0800668827037185</v>
      </c>
      <c r="G21" s="16">
        <f t="shared" ref="G21" si="11">G20/G19</f>
        <v>1.1910892114647609</v>
      </c>
      <c r="H21" s="16"/>
      <c r="I21" s="16"/>
      <c r="J21" s="45"/>
      <c r="K21" s="45"/>
    </row>
    <row r="22" spans="1:11" ht="16.5" thickTop="1" thickBot="1" x14ac:dyDescent="0.25">
      <c r="A22" s="1">
        <f>$A$7</f>
        <v>2063</v>
      </c>
      <c r="B22" s="3">
        <f>$B$7</f>
        <v>103</v>
      </c>
      <c r="C22" s="4">
        <f>$C$7</f>
        <v>580</v>
      </c>
      <c r="D22" s="4">
        <f>G22/$J$7</f>
        <v>5720.9375</v>
      </c>
      <c r="E22" s="4">
        <v>0</v>
      </c>
      <c r="F22" s="13">
        <f>SUM(D22:E22)</f>
        <v>5720.9375</v>
      </c>
      <c r="G22" s="14">
        <v>183070</v>
      </c>
      <c r="H22" s="13">
        <f>F22/C22</f>
        <v>9.8636853448275854</v>
      </c>
      <c r="I22" s="14">
        <f>G22/C22</f>
        <v>315.63793103448273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2063</v>
      </c>
      <c r="B23" s="3">
        <f>$B$7</f>
        <v>103</v>
      </c>
      <c r="C23" s="4">
        <f>$C$7</f>
        <v>580</v>
      </c>
      <c r="D23" s="48">
        <v>6249</v>
      </c>
      <c r="E23" s="48">
        <v>0</v>
      </c>
      <c r="F23" s="4">
        <f>SUM(D23:E23)</f>
        <v>6249</v>
      </c>
      <c r="G23" s="5">
        <v>204901</v>
      </c>
      <c r="H23" s="4">
        <f>F23/C23</f>
        <v>10.774137931034483</v>
      </c>
      <c r="I23" s="5">
        <f>G23/C23</f>
        <v>353.27758620689656</v>
      </c>
      <c r="J23" s="44">
        <f>I23/H23</f>
        <v>32.789406305008804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1.092303490468127</v>
      </c>
      <c r="G24" s="16">
        <f t="shared" ref="G24" si="12">G23/G22</f>
        <v>1.1192494674168352</v>
      </c>
      <c r="H24" s="16"/>
      <c r="I24" s="16"/>
      <c r="J24" s="17"/>
      <c r="K24" s="17"/>
    </row>
    <row r="25" spans="1:11" ht="16.5" thickTop="1" thickBot="1" x14ac:dyDescent="0.25">
      <c r="A25" s="1">
        <f>$A$7</f>
        <v>2063</v>
      </c>
      <c r="B25" s="3">
        <f>$B$7</f>
        <v>103</v>
      </c>
      <c r="C25" s="4">
        <v>574</v>
      </c>
      <c r="D25" s="4">
        <f>G25/$J$7</f>
        <v>1335.5625</v>
      </c>
      <c r="E25" s="4">
        <v>0</v>
      </c>
      <c r="F25" s="13">
        <f>SUM(D25:E25)</f>
        <v>1335.5625</v>
      </c>
      <c r="G25" s="14">
        <v>42738</v>
      </c>
      <c r="H25" s="13">
        <f>F25/C25</f>
        <v>2.3267639372822297</v>
      </c>
      <c r="I25" s="14">
        <f>G25/C25</f>
        <v>74.456445993031352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2063</v>
      </c>
      <c r="B26" s="3">
        <f>$B$7</f>
        <v>103</v>
      </c>
      <c r="C26" s="4">
        <v>574</v>
      </c>
      <c r="D26" s="48">
        <v>1401</v>
      </c>
      <c r="E26" s="48">
        <v>0</v>
      </c>
      <c r="F26" s="4">
        <f>SUM(D26:E26)</f>
        <v>1401</v>
      </c>
      <c r="G26" s="5">
        <v>49397</v>
      </c>
      <c r="H26" s="4">
        <f>F26/C26</f>
        <v>2.4407665505226479</v>
      </c>
      <c r="I26" s="5">
        <f>G26/C26</f>
        <v>86.057491289198609</v>
      </c>
      <c r="J26" s="44">
        <f>I26/H26</f>
        <v>35.258386866523914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1.0489962094623053</v>
      </c>
      <c r="G27" s="16">
        <f t="shared" ref="G27" si="13">G26/G25</f>
        <v>1.1558098179605971</v>
      </c>
      <c r="H27" s="16"/>
      <c r="I27" s="16"/>
      <c r="J27" s="17"/>
      <c r="K27" s="17"/>
    </row>
    <row r="28" spans="1:11" ht="16.5" thickTop="1" thickBot="1" x14ac:dyDescent="0.25">
      <c r="A28" s="1">
        <f>$A$7</f>
        <v>2063</v>
      </c>
      <c r="B28" s="3">
        <f>$B$7</f>
        <v>103</v>
      </c>
      <c r="C28" s="4">
        <f>$C$7</f>
        <v>580</v>
      </c>
      <c r="D28" s="4">
        <f>G28/$J$7</f>
        <v>3352.6875</v>
      </c>
      <c r="E28" s="4">
        <v>0</v>
      </c>
      <c r="F28" s="13">
        <f>SUM(D28:E28)</f>
        <v>3352.6875</v>
      </c>
      <c r="G28" s="14">
        <v>107286</v>
      </c>
      <c r="H28" s="13">
        <f>F28/C28</f>
        <v>5.7804956896551722</v>
      </c>
      <c r="I28" s="14">
        <f>G28/C28</f>
        <v>184.97586206896551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2063</v>
      </c>
      <c r="B29" s="3">
        <f>$B$7</f>
        <v>103</v>
      </c>
      <c r="C29" s="4">
        <f>$C$7</f>
        <v>580</v>
      </c>
      <c r="D29" s="48">
        <v>2969</v>
      </c>
      <c r="E29" s="48">
        <v>0</v>
      </c>
      <c r="F29" s="4">
        <f>SUM(D29:E29)</f>
        <v>2969</v>
      </c>
      <c r="G29" s="5">
        <v>105130</v>
      </c>
      <c r="H29" s="4">
        <f>F29/C29</f>
        <v>5.1189655172413797</v>
      </c>
      <c r="I29" s="5">
        <f>G29/C29</f>
        <v>181.25862068965517</v>
      </c>
      <c r="J29" s="44">
        <f>I29/H29</f>
        <v>35.409228696530818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0.88555822754133806</v>
      </c>
      <c r="G30" s="16">
        <f t="shared" ref="G30" si="14">G29/G28</f>
        <v>0.9799041813470537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2063</v>
      </c>
      <c r="B33" s="3">
        <f>$B$7</f>
        <v>103</v>
      </c>
      <c r="C33" s="4">
        <f>$C$7</f>
        <v>580</v>
      </c>
      <c r="D33" s="13">
        <f>SUM(D28,D22,D19)</f>
        <v>11185.53125</v>
      </c>
      <c r="E33" s="13">
        <v>0</v>
      </c>
      <c r="F33" s="13">
        <f t="shared" ref="F33" si="15">SUM(D33:E33)</f>
        <v>11185.53125</v>
      </c>
      <c r="G33" s="14">
        <f>SUM(G28,G22,G19)</f>
        <v>357937</v>
      </c>
      <c r="H33" s="34">
        <f t="shared" ref="H33:H34" si="16">F33/C33</f>
        <v>19.285398706896551</v>
      </c>
      <c r="I33" s="39">
        <f t="shared" ref="I33:I34" si="17">G33/C33</f>
        <v>617.13275862068963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2063</v>
      </c>
      <c r="B34" s="3">
        <f>$B$7</f>
        <v>103</v>
      </c>
      <c r="C34" s="4">
        <f>$C$7</f>
        <v>580</v>
      </c>
      <c r="D34" s="4">
        <f>SUM(D29,D23,D20)</f>
        <v>11499</v>
      </c>
      <c r="E34" s="49">
        <v>0</v>
      </c>
      <c r="F34" s="4">
        <f>SUM(D34)</f>
        <v>11499</v>
      </c>
      <c r="G34" s="50">
        <f>SUM(G29,G23,G20)</f>
        <v>390526</v>
      </c>
      <c r="H34" s="41">
        <f t="shared" si="16"/>
        <v>19.825862068965517</v>
      </c>
      <c r="I34" s="42">
        <f t="shared" si="17"/>
        <v>673.32068965517237</v>
      </c>
      <c r="J34" s="43">
        <f>I34/H34</f>
        <v>33.961735803113314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1.0280244847556972</v>
      </c>
      <c r="G35" s="63">
        <f t="shared" ref="G35" si="18">G34/G33</f>
        <v>1.0910467484501463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19.825862068965517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2.4407665505226479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22.865517241379312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3:K46"/>
  <sheetViews>
    <sheetView view="pageBreakPreview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22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2063</v>
      </c>
      <c r="B7" s="64">
        <v>186</v>
      </c>
      <c r="C7" s="65">
        <v>957</v>
      </c>
      <c r="D7" s="4">
        <f>G7/$J$7</f>
        <v>21666.40625</v>
      </c>
      <c r="E7" s="4">
        <v>0</v>
      </c>
      <c r="F7" s="4">
        <f t="shared" ref="F7" si="0">SUM(D7:E7)</f>
        <v>21666.40625</v>
      </c>
      <c r="G7" s="5">
        <f>SUM(G16,G19,G22,G25,G28)</f>
        <v>693325</v>
      </c>
      <c r="H7" s="9">
        <f t="shared" ref="H7:H8" si="1">F7/C7</f>
        <v>22.639922936259143</v>
      </c>
      <c r="I7" s="11">
        <f t="shared" ref="I7:I8" si="2">G7/C7</f>
        <v>724.47753396029259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2063</v>
      </c>
      <c r="B8" s="64">
        <v>186</v>
      </c>
      <c r="C8" s="65">
        <f>$C$7</f>
        <v>957</v>
      </c>
      <c r="D8" s="4">
        <f>SUM(D17,D20,D23,D26,D29)</f>
        <v>18176</v>
      </c>
      <c r="E8" s="4">
        <v>0</v>
      </c>
      <c r="F8" s="4">
        <f>SUM(D8)</f>
        <v>18176</v>
      </c>
      <c r="G8" s="5">
        <f>SUM(G17,G20,G23,G26,G29)</f>
        <v>648584</v>
      </c>
      <c r="H8" s="58">
        <f t="shared" si="1"/>
        <v>18.992685475444095</v>
      </c>
      <c r="I8" s="42">
        <f t="shared" si="2"/>
        <v>677.72622779519327</v>
      </c>
      <c r="J8" s="43">
        <f>I8/H8</f>
        <v>35.683538732394368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0.83890239065373384</v>
      </c>
      <c r="G10" s="62">
        <f t="shared" ref="G10" si="3">G8/G7</f>
        <v>0.93546893592471059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3490.40625</v>
      </c>
      <c r="G12" s="47">
        <f>G7-G8</f>
        <v>44741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2063</v>
      </c>
      <c r="B16" s="3">
        <f>$B$7</f>
        <v>186</v>
      </c>
      <c r="C16" s="4">
        <f>$C$7</f>
        <v>957</v>
      </c>
      <c r="D16" s="4">
        <f>G16/$J$7</f>
        <v>1191.5625</v>
      </c>
      <c r="E16" s="4">
        <v>0</v>
      </c>
      <c r="F16" s="13">
        <f t="shared" ref="F16:F17" si="4">SUM(D16:E16)</f>
        <v>1191.5625</v>
      </c>
      <c r="G16" s="14">
        <v>38130</v>
      </c>
      <c r="H16" s="13">
        <f t="shared" ref="H16:H17" si="5">F16/C16</f>
        <v>1.245101880877743</v>
      </c>
      <c r="I16" s="14">
        <f t="shared" ref="I16:I17" si="6">G16/C16</f>
        <v>39.843260188087775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2063</v>
      </c>
      <c r="B17" s="3">
        <f>$B$7</f>
        <v>186</v>
      </c>
      <c r="C17" s="4">
        <f>$C$7</f>
        <v>957</v>
      </c>
      <c r="D17" s="48">
        <v>409</v>
      </c>
      <c r="E17" s="48">
        <v>0</v>
      </c>
      <c r="F17" s="4">
        <f t="shared" si="4"/>
        <v>409</v>
      </c>
      <c r="G17" s="5">
        <v>24106</v>
      </c>
      <c r="H17" s="4">
        <f t="shared" si="5"/>
        <v>0.42737722048066873</v>
      </c>
      <c r="I17" s="5">
        <f t="shared" si="6"/>
        <v>25.189132706374085</v>
      </c>
      <c r="J17" s="44">
        <f>I17/H17</f>
        <v>58.938875305623476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0.34324678730658276</v>
      </c>
      <c r="G18" s="16">
        <f t="shared" ref="G18" si="7">G17/G16</f>
        <v>0.63220561237870443</v>
      </c>
      <c r="H18" s="16"/>
      <c r="I18" s="16"/>
      <c r="J18" s="16"/>
      <c r="K18" s="45"/>
    </row>
    <row r="19" spans="1:11" ht="16.5" thickTop="1" thickBot="1" x14ac:dyDescent="0.25">
      <c r="A19" s="1">
        <f>$A$7</f>
        <v>2063</v>
      </c>
      <c r="B19" s="3">
        <f>$B$7</f>
        <v>186</v>
      </c>
      <c r="C19" s="4">
        <f>$C$7</f>
        <v>957</v>
      </c>
      <c r="D19" s="4">
        <f>G19/$J$7</f>
        <v>4400.625</v>
      </c>
      <c r="E19" s="4">
        <v>0</v>
      </c>
      <c r="F19" s="13">
        <f t="shared" ref="F19:F20" si="8">SUM(D19:E19)</f>
        <v>4400.625</v>
      </c>
      <c r="G19" s="14">
        <v>140820</v>
      </c>
      <c r="H19" s="13">
        <f t="shared" ref="H19:H20" si="9">F19/C19</f>
        <v>4.5983542319749215</v>
      </c>
      <c r="I19" s="14">
        <f t="shared" ref="I19:I20" si="10">G19/C19</f>
        <v>147.14733542319749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2063</v>
      </c>
      <c r="B20" s="3">
        <f>$B$7</f>
        <v>186</v>
      </c>
      <c r="C20" s="4">
        <f>$C$7</f>
        <v>957</v>
      </c>
      <c r="D20" s="48">
        <v>2917</v>
      </c>
      <c r="E20" s="48">
        <v>0</v>
      </c>
      <c r="F20" s="4">
        <f t="shared" si="8"/>
        <v>2917</v>
      </c>
      <c r="G20" s="5">
        <v>111761</v>
      </c>
      <c r="H20" s="4">
        <f t="shared" si="9"/>
        <v>3.0480668756530824</v>
      </c>
      <c r="I20" s="5">
        <f t="shared" si="10"/>
        <v>116.78265412748172</v>
      </c>
      <c r="J20" s="44">
        <f>I20/H20</f>
        <v>38.313678436750088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0.66286038914926859</v>
      </c>
      <c r="G21" s="16">
        <f t="shared" ref="G21" si="11">G20/G19</f>
        <v>0.79364436869762822</v>
      </c>
      <c r="H21" s="16"/>
      <c r="I21" s="16"/>
      <c r="J21" s="45"/>
      <c r="K21" s="45"/>
    </row>
    <row r="22" spans="1:11" ht="16.5" thickTop="1" thickBot="1" x14ac:dyDescent="0.25">
      <c r="A22" s="1">
        <f>$A$7</f>
        <v>2063</v>
      </c>
      <c r="B22" s="3">
        <f>$B$7</f>
        <v>186</v>
      </c>
      <c r="C22" s="4">
        <f>$C$7</f>
        <v>957</v>
      </c>
      <c r="D22" s="4">
        <f>G22/$J$7</f>
        <v>9996.09375</v>
      </c>
      <c r="E22" s="4">
        <v>0</v>
      </c>
      <c r="F22" s="13">
        <f>SUM(D22:E22)</f>
        <v>9996.09375</v>
      </c>
      <c r="G22" s="14">
        <v>319875</v>
      </c>
      <c r="H22" s="13">
        <f>F22/C22</f>
        <v>10.445239028213166</v>
      </c>
      <c r="I22" s="14">
        <f>G22/C22</f>
        <v>334.24764890282131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2063</v>
      </c>
      <c r="B23" s="3">
        <f>$B$7</f>
        <v>186</v>
      </c>
      <c r="C23" s="4">
        <f>$C$7</f>
        <v>957</v>
      </c>
      <c r="D23" s="48">
        <v>10729</v>
      </c>
      <c r="E23" s="48">
        <v>0</v>
      </c>
      <c r="F23" s="4">
        <f>SUM(D23:E23)</f>
        <v>10729</v>
      </c>
      <c r="G23" s="5">
        <v>360609</v>
      </c>
      <c r="H23" s="4">
        <f>F23/C23</f>
        <v>11.211076280041798</v>
      </c>
      <c r="I23" s="5">
        <f>G23/C23</f>
        <v>376.81191222570533</v>
      </c>
      <c r="J23" s="44">
        <f>I23/H23</f>
        <v>33.610681330972128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1.0733192653380226</v>
      </c>
      <c r="G24" s="16">
        <f t="shared" ref="G24" si="12">G23/G22</f>
        <v>1.1273434935521689</v>
      </c>
      <c r="H24" s="16"/>
      <c r="I24" s="16"/>
      <c r="J24" s="17"/>
      <c r="K24" s="17"/>
    </row>
    <row r="25" spans="1:11" ht="16.5" thickTop="1" thickBot="1" x14ac:dyDescent="0.25">
      <c r="A25" s="1">
        <f>$A$7</f>
        <v>2063</v>
      </c>
      <c r="B25" s="3">
        <f>$B$7</f>
        <v>186</v>
      </c>
      <c r="C25" s="4">
        <v>949</v>
      </c>
      <c r="D25" s="4">
        <f>G25/$J$7</f>
        <v>1969.84375</v>
      </c>
      <c r="E25" s="4">
        <v>0</v>
      </c>
      <c r="F25" s="13">
        <f>SUM(D25:E25)</f>
        <v>1969.84375</v>
      </c>
      <c r="G25" s="14">
        <v>63035</v>
      </c>
      <c r="H25" s="13">
        <f>F25/C25</f>
        <v>2.0757046891464701</v>
      </c>
      <c r="I25" s="14">
        <f>G25/C25</f>
        <v>66.422550052687043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2063</v>
      </c>
      <c r="B26" s="3">
        <f>$B$7</f>
        <v>186</v>
      </c>
      <c r="C26" s="4">
        <v>949</v>
      </c>
      <c r="D26" s="48">
        <v>1835</v>
      </c>
      <c r="E26" s="48">
        <v>0</v>
      </c>
      <c r="F26" s="4">
        <f>SUM(D26:E26)</f>
        <v>1835</v>
      </c>
      <c r="G26" s="5">
        <v>69588</v>
      </c>
      <c r="H26" s="4">
        <f>F26/C26</f>
        <v>1.9336143308746048</v>
      </c>
      <c r="I26" s="5">
        <f>G26/C26</f>
        <v>73.327713382507909</v>
      </c>
      <c r="J26" s="44">
        <f>I26/H26</f>
        <v>37.922615803814722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0.93154596652653288</v>
      </c>
      <c r="G27" s="16">
        <f t="shared" ref="G27" si="13">G26/G25</f>
        <v>1.1039581185055922</v>
      </c>
      <c r="H27" s="16"/>
      <c r="I27" s="16"/>
      <c r="J27" s="17"/>
      <c r="K27" s="17"/>
    </row>
    <row r="28" spans="1:11" ht="16.5" thickTop="1" thickBot="1" x14ac:dyDescent="0.25">
      <c r="A28" s="1">
        <f>$A$7</f>
        <v>2063</v>
      </c>
      <c r="B28" s="3">
        <f>$B$7</f>
        <v>186</v>
      </c>
      <c r="C28" s="4">
        <f>$C$7</f>
        <v>957</v>
      </c>
      <c r="D28" s="4">
        <f>G28/$J$7</f>
        <v>4108.28125</v>
      </c>
      <c r="E28" s="4">
        <v>0</v>
      </c>
      <c r="F28" s="13">
        <f>SUM(D28:E28)</f>
        <v>4108.28125</v>
      </c>
      <c r="G28" s="14">
        <v>131465</v>
      </c>
      <c r="H28" s="13">
        <f>F28/C28</f>
        <v>4.2928748693834899</v>
      </c>
      <c r="I28" s="14">
        <f>G28/C28</f>
        <v>137.37199582027168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2063</v>
      </c>
      <c r="B29" s="3">
        <f>$B$7</f>
        <v>186</v>
      </c>
      <c r="C29" s="4">
        <f>$C$7</f>
        <v>957</v>
      </c>
      <c r="D29" s="48">
        <v>2286</v>
      </c>
      <c r="E29" s="48">
        <v>0</v>
      </c>
      <c r="F29" s="4">
        <f>SUM(D29:E29)</f>
        <v>2286</v>
      </c>
      <c r="G29" s="5">
        <v>82520</v>
      </c>
      <c r="H29" s="4">
        <f>F29/C29</f>
        <v>2.3887147335423196</v>
      </c>
      <c r="I29" s="5">
        <f>G29/C29</f>
        <v>86.227795193312431</v>
      </c>
      <c r="J29" s="44">
        <f>I29/H29</f>
        <v>36.097987751531058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0.55643707450652269</v>
      </c>
      <c r="G30" s="16">
        <f t="shared" ref="G30" si="14">G29/G28</f>
        <v>0.62769558437606965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2063</v>
      </c>
      <c r="B33" s="3">
        <f>$B$7</f>
        <v>186</v>
      </c>
      <c r="C33" s="4">
        <f>$C$7</f>
        <v>957</v>
      </c>
      <c r="D33" s="13">
        <f>SUM(D28,D22,D19)</f>
        <v>18505</v>
      </c>
      <c r="E33" s="13">
        <v>0</v>
      </c>
      <c r="F33" s="13">
        <f t="shared" ref="F33" si="15">SUM(D33:E33)</f>
        <v>18505</v>
      </c>
      <c r="G33" s="14">
        <f>SUM(G28,G22,G19)</f>
        <v>592160</v>
      </c>
      <c r="H33" s="34">
        <f t="shared" ref="H33:H34" si="16">F33/C33</f>
        <v>19.336468129571578</v>
      </c>
      <c r="I33" s="39">
        <f t="shared" ref="I33:I34" si="17">G33/C33</f>
        <v>618.76698014629051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2063</v>
      </c>
      <c r="B34" s="3">
        <f>$B$7</f>
        <v>186</v>
      </c>
      <c r="C34" s="4">
        <f>$C$7</f>
        <v>957</v>
      </c>
      <c r="D34" s="4">
        <f>SUM(D29,D23,D20)</f>
        <v>15932</v>
      </c>
      <c r="E34" s="49">
        <v>0</v>
      </c>
      <c r="F34" s="4">
        <f>SUM(D34)</f>
        <v>15932</v>
      </c>
      <c r="G34" s="50">
        <f>SUM(G29,G23,G20)</f>
        <v>554890</v>
      </c>
      <c r="H34" s="41">
        <f t="shared" si="16"/>
        <v>16.647857889237201</v>
      </c>
      <c r="I34" s="42">
        <f t="shared" si="17"/>
        <v>579.82236154649945</v>
      </c>
      <c r="J34" s="43">
        <f>I34/H34</f>
        <v>34.828646748681891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0.86095649824371789</v>
      </c>
      <c r="G35" s="16">
        <f t="shared" ref="G35" si="18">G34/G33</f>
        <v>0.93706092947851927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16.647857889237201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1.9336143308746048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18.992685475444095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3:K46"/>
  <sheetViews>
    <sheetView view="pageBreakPreview" zoomScaleNormal="120" zoomScaleSheetLayoutView="100" workbookViewId="0">
      <selection activeCell="D23" sqref="D23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24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2066</v>
      </c>
      <c r="B7" s="64">
        <v>102</v>
      </c>
      <c r="C7" s="65">
        <v>548</v>
      </c>
      <c r="D7" s="4">
        <f>G7/$J$7</f>
        <v>13349.59375</v>
      </c>
      <c r="E7" s="4">
        <v>0</v>
      </c>
      <c r="F7" s="4">
        <f t="shared" ref="F7" si="0">SUM(D7:E7)</f>
        <v>13349.59375</v>
      </c>
      <c r="G7" s="5">
        <f>SUM(G16,G19,G22,G25,G28)</f>
        <v>427187</v>
      </c>
      <c r="H7" s="9">
        <f t="shared" ref="H7:H8" si="1">F7/C7</f>
        <v>24.360572536496349</v>
      </c>
      <c r="I7" s="11">
        <f t="shared" ref="I7:I8" si="2">G7/C7</f>
        <v>779.53832116788317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2066</v>
      </c>
      <c r="B8" s="64">
        <v>102</v>
      </c>
      <c r="C8" s="65">
        <f>$C$7</f>
        <v>548</v>
      </c>
      <c r="D8" s="4">
        <f>SUM(D17,D20,D23,D26,D29)</f>
        <v>11446</v>
      </c>
      <c r="E8" s="4">
        <v>0</v>
      </c>
      <c r="F8" s="4">
        <f>SUM(D8)</f>
        <v>11446</v>
      </c>
      <c r="G8" s="5">
        <f>SUM(G17,G20,G23,G26,G29)</f>
        <v>405186</v>
      </c>
      <c r="H8" s="58">
        <f t="shared" si="1"/>
        <v>20.886861313868614</v>
      </c>
      <c r="I8" s="42">
        <f t="shared" si="2"/>
        <v>739.3905109489051</v>
      </c>
      <c r="J8" s="43">
        <f>I8/H8</f>
        <v>35.39979031976236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0.85740436857863189</v>
      </c>
      <c r="G10" s="62">
        <f t="shared" ref="G10" si="3">G8/G7</f>
        <v>0.94849796459161917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1903.59375</v>
      </c>
      <c r="G12" s="47">
        <f>G7-G8</f>
        <v>22001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2066</v>
      </c>
      <c r="B16" s="3">
        <f>$B$7</f>
        <v>102</v>
      </c>
      <c r="C16" s="4">
        <f>$C$7</f>
        <v>548</v>
      </c>
      <c r="D16" s="4">
        <f>G16/$J$7</f>
        <v>662.8125</v>
      </c>
      <c r="E16" s="4">
        <v>0</v>
      </c>
      <c r="F16" s="13">
        <f t="shared" ref="F16:F17" si="4">SUM(D16:E16)</f>
        <v>662.8125</v>
      </c>
      <c r="G16" s="14">
        <v>21210</v>
      </c>
      <c r="H16" s="13">
        <f t="shared" ref="H16:H17" si="5">F16/C16</f>
        <v>1.2095118613138687</v>
      </c>
      <c r="I16" s="14">
        <f t="shared" ref="I16:I17" si="6">G16/C16</f>
        <v>38.704379562043798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2066</v>
      </c>
      <c r="B17" s="3">
        <f>$B$7</f>
        <v>102</v>
      </c>
      <c r="C17" s="4">
        <f>$C$7</f>
        <v>548</v>
      </c>
      <c r="D17" s="48">
        <v>267</v>
      </c>
      <c r="E17" s="48">
        <v>0</v>
      </c>
      <c r="F17" s="4">
        <f t="shared" si="4"/>
        <v>267</v>
      </c>
      <c r="G17" s="5">
        <v>16026</v>
      </c>
      <c r="H17" s="4">
        <f t="shared" si="5"/>
        <v>0.48722627737226276</v>
      </c>
      <c r="I17" s="5">
        <f t="shared" si="6"/>
        <v>29.244525547445257</v>
      </c>
      <c r="J17" s="44">
        <f>I17/H17</f>
        <v>60.022471910112365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0.40282885431400284</v>
      </c>
      <c r="G18" s="16">
        <f t="shared" ref="G18" si="7">G17/G16</f>
        <v>0.75558698727015561</v>
      </c>
      <c r="H18" s="16"/>
      <c r="I18" s="16"/>
      <c r="J18" s="16"/>
      <c r="K18" s="45"/>
    </row>
    <row r="19" spans="1:11" ht="16.5" thickTop="1" thickBot="1" x14ac:dyDescent="0.25">
      <c r="A19" s="1">
        <f>$A$7</f>
        <v>2066</v>
      </c>
      <c r="B19" s="3">
        <f>$B$7</f>
        <v>102</v>
      </c>
      <c r="C19" s="4">
        <f>$C$7</f>
        <v>548</v>
      </c>
      <c r="D19" s="4">
        <f>G19/$J$7</f>
        <v>1934.375</v>
      </c>
      <c r="E19" s="4">
        <v>0</v>
      </c>
      <c r="F19" s="13">
        <f t="shared" ref="F19:F20" si="8">SUM(D19:E19)</f>
        <v>1934.375</v>
      </c>
      <c r="G19" s="14">
        <v>61900</v>
      </c>
      <c r="H19" s="13">
        <f t="shared" ref="H19:H20" si="9">F19/C19</f>
        <v>3.5298813868613137</v>
      </c>
      <c r="I19" s="14">
        <f t="shared" ref="I19:I20" si="10">G19/C19</f>
        <v>112.95620437956204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2066</v>
      </c>
      <c r="B20" s="3">
        <f>$B$7</f>
        <v>102</v>
      </c>
      <c r="C20" s="4">
        <f>$C$7</f>
        <v>548</v>
      </c>
      <c r="D20" s="48">
        <v>1602</v>
      </c>
      <c r="E20" s="48">
        <v>0</v>
      </c>
      <c r="F20" s="4">
        <f t="shared" si="8"/>
        <v>1602</v>
      </c>
      <c r="G20" s="5">
        <v>60492</v>
      </c>
      <c r="H20" s="4">
        <f t="shared" si="9"/>
        <v>2.9233576642335768</v>
      </c>
      <c r="I20" s="5">
        <f t="shared" si="10"/>
        <v>110.38686131386861</v>
      </c>
      <c r="J20" s="44">
        <f>I20/H20</f>
        <v>37.760299625468164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0.82817447495961227</v>
      </c>
      <c r="G21" s="16">
        <f t="shared" ref="G21" si="11">G20/G19</f>
        <v>0.97725363489499195</v>
      </c>
      <c r="H21" s="16"/>
      <c r="I21" s="16"/>
      <c r="J21" s="45"/>
      <c r="K21" s="45"/>
    </row>
    <row r="22" spans="1:11" ht="16.5" thickTop="1" thickBot="1" x14ac:dyDescent="0.25">
      <c r="A22" s="1">
        <f>$A$7</f>
        <v>2066</v>
      </c>
      <c r="B22" s="3">
        <f>$B$7</f>
        <v>102</v>
      </c>
      <c r="C22" s="4">
        <f>$C$7</f>
        <v>548</v>
      </c>
      <c r="D22" s="4">
        <f>G22/$J$7</f>
        <v>6198.28125</v>
      </c>
      <c r="E22" s="4">
        <v>0</v>
      </c>
      <c r="F22" s="13">
        <f>SUM(D22:E22)</f>
        <v>6198.28125</v>
      </c>
      <c r="G22" s="14">
        <v>198345</v>
      </c>
      <c r="H22" s="13">
        <f>F22/C22</f>
        <v>11.310732208029197</v>
      </c>
      <c r="I22" s="14">
        <f>G22/C22</f>
        <v>361.94343065693431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2066</v>
      </c>
      <c r="B23" s="3">
        <f>$B$7</f>
        <v>102</v>
      </c>
      <c r="C23" s="4">
        <f>$C$7</f>
        <v>548</v>
      </c>
      <c r="D23" s="48">
        <v>6307</v>
      </c>
      <c r="E23" s="48">
        <v>0</v>
      </c>
      <c r="F23" s="4">
        <f>SUM(D23:E23)</f>
        <v>6307</v>
      </c>
      <c r="G23" s="5">
        <v>214692</v>
      </c>
      <c r="H23" s="4">
        <f>F23/C23</f>
        <v>11.509124087591241</v>
      </c>
      <c r="I23" s="5">
        <f>G23/C23</f>
        <v>391.77372262773724</v>
      </c>
      <c r="J23" s="44">
        <f>I23/H23</f>
        <v>34.04027271285873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1.0175401446973706</v>
      </c>
      <c r="G24" s="16">
        <f t="shared" ref="G24" si="12">G23/G22</f>
        <v>1.0824170006806322</v>
      </c>
      <c r="H24" s="16"/>
      <c r="I24" s="16"/>
      <c r="J24" s="17"/>
      <c r="K24" s="17"/>
    </row>
    <row r="25" spans="1:11" ht="16.5" thickTop="1" thickBot="1" x14ac:dyDescent="0.25">
      <c r="A25" s="1">
        <f>$A$7</f>
        <v>2066</v>
      </c>
      <c r="B25" s="3">
        <f>$B$7</f>
        <v>102</v>
      </c>
      <c r="C25" s="4">
        <v>544</v>
      </c>
      <c r="D25" s="4">
        <f>G25/$J$7</f>
        <v>1269.0625</v>
      </c>
      <c r="E25" s="4">
        <v>0</v>
      </c>
      <c r="F25" s="13">
        <f>SUM(D25:E25)</f>
        <v>1269.0625</v>
      </c>
      <c r="G25" s="14">
        <v>40610</v>
      </c>
      <c r="H25" s="13">
        <f>F25/C25</f>
        <v>2.3328354779411766</v>
      </c>
      <c r="I25" s="14">
        <f>G25/C25</f>
        <v>74.650735294117652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2066</v>
      </c>
      <c r="B26" s="3">
        <f>$B$7</f>
        <v>102</v>
      </c>
      <c r="C26" s="4">
        <v>544</v>
      </c>
      <c r="D26" s="48">
        <v>1219</v>
      </c>
      <c r="E26" s="48">
        <v>0</v>
      </c>
      <c r="F26" s="4">
        <f>SUM(D26:E26)</f>
        <v>1219</v>
      </c>
      <c r="G26" s="5">
        <v>43433</v>
      </c>
      <c r="H26" s="4">
        <f>F26/C26</f>
        <v>2.2408088235294117</v>
      </c>
      <c r="I26" s="5">
        <f>G26/C26</f>
        <v>79.840073529411768</v>
      </c>
      <c r="J26" s="44">
        <f>I26/H26</f>
        <v>35.630024610336342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0.96055158827874909</v>
      </c>
      <c r="G27" s="16">
        <f t="shared" ref="G27" si="13">G26/G25</f>
        <v>1.0695148978084215</v>
      </c>
      <c r="H27" s="16"/>
      <c r="I27" s="16"/>
      <c r="J27" s="17"/>
      <c r="K27" s="17"/>
    </row>
    <row r="28" spans="1:11" ht="16.5" thickTop="1" thickBot="1" x14ac:dyDescent="0.25">
      <c r="A28" s="1">
        <f>$A$7</f>
        <v>2066</v>
      </c>
      <c r="B28" s="3">
        <f>$B$7</f>
        <v>102</v>
      </c>
      <c r="C28" s="4">
        <f>$C$7</f>
        <v>548</v>
      </c>
      <c r="D28" s="4">
        <f>G28/$J$7</f>
        <v>3285.0625</v>
      </c>
      <c r="E28" s="4">
        <v>0</v>
      </c>
      <c r="F28" s="13">
        <f>SUM(D28:E28)</f>
        <v>3285.0625</v>
      </c>
      <c r="G28" s="14">
        <v>105122</v>
      </c>
      <c r="H28" s="13">
        <f>F28/C28</f>
        <v>5.9946395985401457</v>
      </c>
      <c r="I28" s="14">
        <f>G28/C28</f>
        <v>191.82846715328466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2066</v>
      </c>
      <c r="B29" s="3">
        <f>$B$7</f>
        <v>102</v>
      </c>
      <c r="C29" s="4">
        <f>$C$7</f>
        <v>548</v>
      </c>
      <c r="D29" s="48">
        <v>2051</v>
      </c>
      <c r="E29" s="48">
        <v>0</v>
      </c>
      <c r="F29" s="4">
        <f>SUM(D29:E29)</f>
        <v>2051</v>
      </c>
      <c r="G29" s="5">
        <v>70543</v>
      </c>
      <c r="H29" s="4">
        <f>F29/C29</f>
        <v>3.7427007299270074</v>
      </c>
      <c r="I29" s="5">
        <f>G29/C29</f>
        <v>128.72810218978103</v>
      </c>
      <c r="J29" s="44">
        <f>I29/H29</f>
        <v>34.394441735738667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0.62434124160499227</v>
      </c>
      <c r="G30" s="16">
        <f t="shared" ref="G30" si="14">G29/G28</f>
        <v>0.67105838930005135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2066</v>
      </c>
      <c r="B33" s="3">
        <f>$B$7</f>
        <v>102</v>
      </c>
      <c r="C33" s="4">
        <f>$C$7</f>
        <v>548</v>
      </c>
      <c r="D33" s="13">
        <f>SUM(D28,D22,D19)</f>
        <v>11417.71875</v>
      </c>
      <c r="E33" s="13">
        <v>0</v>
      </c>
      <c r="F33" s="13">
        <f t="shared" ref="F33" si="15">SUM(D33:E33)</f>
        <v>11417.71875</v>
      </c>
      <c r="G33" s="14">
        <f>SUM(G28,G22,G19)</f>
        <v>365367</v>
      </c>
      <c r="H33" s="34">
        <f t="shared" ref="H33:H34" si="16">F33/C33</f>
        <v>20.835253193430656</v>
      </c>
      <c r="I33" s="39">
        <f t="shared" ref="I33:I34" si="17">G33/C33</f>
        <v>666.728102189781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2066</v>
      </c>
      <c r="B34" s="3">
        <f>$B$7</f>
        <v>102</v>
      </c>
      <c r="C34" s="4">
        <f>$C$7</f>
        <v>548</v>
      </c>
      <c r="D34" s="4">
        <f>SUM(D29,D23,D20)</f>
        <v>9960</v>
      </c>
      <c r="E34" s="49">
        <v>0</v>
      </c>
      <c r="F34" s="4">
        <f>SUM(D34)</f>
        <v>9960</v>
      </c>
      <c r="G34" s="50">
        <f>SUM(G29,G23,G20)</f>
        <v>345727</v>
      </c>
      <c r="H34" s="41">
        <f t="shared" si="16"/>
        <v>18.175182481751825</v>
      </c>
      <c r="I34" s="42">
        <f t="shared" si="17"/>
        <v>630.88868613138686</v>
      </c>
      <c r="J34" s="43">
        <f>I34/H34</f>
        <v>34.711546184738957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0.87232837119936946</v>
      </c>
      <c r="G35" s="16">
        <f t="shared" ref="G35" si="18">G34/G33</f>
        <v>0.94624582953578185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18.175182481751825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2.2408088235294117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20.886861313868614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3:K46"/>
  <sheetViews>
    <sheetView view="pageBreakPreview" zoomScaleNormal="120" zoomScaleSheetLayoutView="100" workbookViewId="0">
      <selection activeCell="D25" sqref="D25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25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2067</v>
      </c>
      <c r="B7" s="64">
        <v>192</v>
      </c>
      <c r="C7" s="65">
        <v>1289</v>
      </c>
      <c r="D7" s="4">
        <f>G7/$J$7</f>
        <v>22946.25</v>
      </c>
      <c r="E7" s="4">
        <v>0</v>
      </c>
      <c r="F7" s="4">
        <f t="shared" ref="F7" si="0">SUM(D7:E7)</f>
        <v>22946.25</v>
      </c>
      <c r="G7" s="5">
        <f>SUM(G16,G19,G22,G25,G28)</f>
        <v>734280</v>
      </c>
      <c r="H7" s="9">
        <f t="shared" ref="H7:H8" si="1">F7/C7</f>
        <v>17.801590380139643</v>
      </c>
      <c r="I7" s="11">
        <f t="shared" ref="I7:I8" si="2">G7/C7</f>
        <v>569.65089216446859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2067</v>
      </c>
      <c r="B8" s="64">
        <v>192</v>
      </c>
      <c r="C8" s="65">
        <f>$C$7</f>
        <v>1289</v>
      </c>
      <c r="D8" s="4">
        <f>SUM(D17,D20,D23,D26,D29)</f>
        <v>25825</v>
      </c>
      <c r="E8" s="4">
        <v>0</v>
      </c>
      <c r="F8" s="4">
        <f>SUM(D8)</f>
        <v>25825</v>
      </c>
      <c r="G8" s="5">
        <f>SUM(G17,G20,G23,G26,G29)</f>
        <v>735080</v>
      </c>
      <c r="H8" s="58">
        <f t="shared" si="1"/>
        <v>20.034910783553141</v>
      </c>
      <c r="I8" s="42">
        <f t="shared" si="2"/>
        <v>570.27152831652438</v>
      </c>
      <c r="J8" s="43">
        <f>I8/H8</f>
        <v>28.463891577928361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1.1254562292313559</v>
      </c>
      <c r="G10" s="62">
        <f t="shared" ref="G10" si="3">G8/G7</f>
        <v>1.0010895026420439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-2878.75</v>
      </c>
      <c r="G12" s="47">
        <f>G7-G8</f>
        <v>-800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2067</v>
      </c>
      <c r="B16" s="3">
        <f>$B$7</f>
        <v>192</v>
      </c>
      <c r="C16" s="4">
        <f>$C$7</f>
        <v>1289</v>
      </c>
      <c r="D16" s="4">
        <f>G16/$J$7</f>
        <v>810</v>
      </c>
      <c r="E16" s="4">
        <v>0</v>
      </c>
      <c r="F16" s="13">
        <f t="shared" ref="F16:F17" si="4">SUM(D16:E16)</f>
        <v>810</v>
      </c>
      <c r="G16" s="14">
        <v>25920</v>
      </c>
      <c r="H16" s="13">
        <f t="shared" ref="H16:H17" si="5">F16/C16</f>
        <v>0.62839410395655548</v>
      </c>
      <c r="I16" s="14">
        <f t="shared" ref="I16:I17" si="6">G16/C16</f>
        <v>20.108611326609775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2067</v>
      </c>
      <c r="B17" s="3">
        <f>$B$7</f>
        <v>192</v>
      </c>
      <c r="C17" s="4">
        <f>$C$7</f>
        <v>1289</v>
      </c>
      <c r="D17" s="48">
        <v>383</v>
      </c>
      <c r="E17" s="48">
        <v>0</v>
      </c>
      <c r="F17" s="4">
        <f t="shared" si="4"/>
        <v>383</v>
      </c>
      <c r="G17" s="5">
        <v>22382</v>
      </c>
      <c r="H17" s="4">
        <f t="shared" si="5"/>
        <v>0.29712955779674166</v>
      </c>
      <c r="I17" s="5">
        <f t="shared" si="6"/>
        <v>17.363847944142748</v>
      </c>
      <c r="J17" s="44">
        <f>I17/H17</f>
        <v>58.438642297650134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0.47283950617283949</v>
      </c>
      <c r="G18" s="16">
        <f t="shared" ref="G18" si="7">G17/G16</f>
        <v>0.86350308641975304</v>
      </c>
      <c r="H18" s="16"/>
      <c r="I18" s="16"/>
      <c r="J18" s="16"/>
      <c r="K18" s="45"/>
    </row>
    <row r="19" spans="1:11" ht="16.5" thickTop="1" thickBot="1" x14ac:dyDescent="0.25">
      <c r="A19" s="1">
        <f>$A$7</f>
        <v>2067</v>
      </c>
      <c r="B19" s="3">
        <f>$B$7</f>
        <v>192</v>
      </c>
      <c r="C19" s="4">
        <f>$C$7</f>
        <v>1289</v>
      </c>
      <c r="D19" s="4">
        <f>G19/$J$7</f>
        <v>4606.25</v>
      </c>
      <c r="E19" s="4">
        <v>0</v>
      </c>
      <c r="F19" s="13">
        <f t="shared" ref="F19:F20" si="8">SUM(D19:E19)</f>
        <v>4606.25</v>
      </c>
      <c r="G19" s="14">
        <v>147400</v>
      </c>
      <c r="H19" s="13">
        <f t="shared" ref="H19:H20" si="9">F19/C19</f>
        <v>3.5735065942591158</v>
      </c>
      <c r="I19" s="14">
        <f t="shared" ref="I19:I20" si="10">G19/C19</f>
        <v>114.3522110162917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2067</v>
      </c>
      <c r="B20" s="3">
        <f>$B$7</f>
        <v>192</v>
      </c>
      <c r="C20" s="4">
        <f>$C$7</f>
        <v>1289</v>
      </c>
      <c r="D20" s="48">
        <v>5200</v>
      </c>
      <c r="E20" s="48">
        <v>0</v>
      </c>
      <c r="F20" s="4">
        <f t="shared" si="8"/>
        <v>5200</v>
      </c>
      <c r="G20" s="5">
        <v>163168</v>
      </c>
      <c r="H20" s="4">
        <f t="shared" si="9"/>
        <v>4.0341349883630722</v>
      </c>
      <c r="I20" s="5">
        <f t="shared" si="10"/>
        <v>126.58494957331264</v>
      </c>
      <c r="J20" s="44">
        <f>I20/H20</f>
        <v>31.378461538461536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1.1289009497964722</v>
      </c>
      <c r="G21" s="16">
        <f t="shared" ref="G21" si="11">G20/G19</f>
        <v>1.1069742198100407</v>
      </c>
      <c r="H21" s="16"/>
      <c r="I21" s="16"/>
      <c r="J21" s="45"/>
      <c r="K21" s="45"/>
    </row>
    <row r="22" spans="1:11" ht="16.5" thickTop="1" thickBot="1" x14ac:dyDescent="0.25">
      <c r="A22" s="1">
        <f>$A$7</f>
        <v>2067</v>
      </c>
      <c r="B22" s="3">
        <f>$B$7</f>
        <v>192</v>
      </c>
      <c r="C22" s="4">
        <f>$C$7</f>
        <v>1289</v>
      </c>
      <c r="D22" s="4">
        <f>G22/$J$7</f>
        <v>12240.9375</v>
      </c>
      <c r="E22" s="4">
        <v>0</v>
      </c>
      <c r="F22" s="13">
        <f>SUM(D22:E22)</f>
        <v>12240.9375</v>
      </c>
      <c r="G22" s="14">
        <v>391710</v>
      </c>
      <c r="H22" s="13">
        <f>F22/C22</f>
        <v>9.4964604344453072</v>
      </c>
      <c r="I22" s="14">
        <f>G22/C22</f>
        <v>303.88673390224983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2067</v>
      </c>
      <c r="B23" s="3">
        <f>$B$7</f>
        <v>192</v>
      </c>
      <c r="C23" s="4">
        <f>$C$7</f>
        <v>1289</v>
      </c>
      <c r="D23" s="48">
        <v>15338</v>
      </c>
      <c r="E23" s="48">
        <v>0</v>
      </c>
      <c r="F23" s="4">
        <f>SUM(D23:E23)</f>
        <v>15338</v>
      </c>
      <c r="G23" s="5">
        <v>409545</v>
      </c>
      <c r="H23" s="4">
        <f>F23/C23</f>
        <v>11.899146625290923</v>
      </c>
      <c r="I23" s="5">
        <f>G23/C23</f>
        <v>317.7230411171451</v>
      </c>
      <c r="J23" s="44">
        <f>I23/H23</f>
        <v>26.701330029990874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1.2530086033034642</v>
      </c>
      <c r="G24" s="16">
        <f t="shared" ref="G24" si="12">G23/G22</f>
        <v>1.0455311327257411</v>
      </c>
      <c r="H24" s="16"/>
      <c r="I24" s="16"/>
      <c r="J24" s="17"/>
      <c r="K24" s="17"/>
    </row>
    <row r="25" spans="1:11" ht="16.5" thickTop="1" thickBot="1" x14ac:dyDescent="0.25">
      <c r="A25" s="1">
        <f>$A$7</f>
        <v>2067</v>
      </c>
      <c r="B25" s="3">
        <f>$B$7</f>
        <v>192</v>
      </c>
      <c r="C25" s="4">
        <v>1537</v>
      </c>
      <c r="D25" s="4">
        <f>G25/$J$7</f>
        <v>3090.625</v>
      </c>
      <c r="E25" s="4">
        <v>0</v>
      </c>
      <c r="F25" s="13">
        <f>SUM(D25:E25)</f>
        <v>3090.625</v>
      </c>
      <c r="G25" s="14">
        <v>98900</v>
      </c>
      <c r="H25" s="13">
        <f>F25/C25</f>
        <v>2.0108165256994144</v>
      </c>
      <c r="I25" s="14">
        <f>G25/C25</f>
        <v>64.34612882238126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2067</v>
      </c>
      <c r="B26" s="3">
        <f>$B$7</f>
        <v>192</v>
      </c>
      <c r="C26" s="4">
        <f>C25</f>
        <v>1537</v>
      </c>
      <c r="D26" s="48">
        <v>4302</v>
      </c>
      <c r="E26" s="48">
        <v>0</v>
      </c>
      <c r="F26" s="4">
        <f>SUM(D26:E26)</f>
        <v>4302</v>
      </c>
      <c r="G26" s="5">
        <v>122223</v>
      </c>
      <c r="H26" s="4">
        <f>F26/C26</f>
        <v>2.7989590110605076</v>
      </c>
      <c r="I26" s="5">
        <f>G26/C26</f>
        <v>79.520494469746254</v>
      </c>
      <c r="J26" s="44">
        <f>I26/H26</f>
        <v>28.410739191073915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1.3919514661274015</v>
      </c>
      <c r="G27" s="16">
        <f t="shared" ref="G27" si="13">G26/G25</f>
        <v>1.2358240647118302</v>
      </c>
      <c r="H27" s="16"/>
      <c r="I27" s="16"/>
      <c r="J27" s="17"/>
      <c r="K27" s="17"/>
    </row>
    <row r="28" spans="1:11" ht="16.5" thickTop="1" thickBot="1" x14ac:dyDescent="0.25">
      <c r="A28" s="1">
        <f>$A$7</f>
        <v>2067</v>
      </c>
      <c r="B28" s="3">
        <f>$B$7</f>
        <v>192</v>
      </c>
      <c r="C28" s="4">
        <f>$C$7</f>
        <v>1289</v>
      </c>
      <c r="D28" s="4">
        <f>G28/$J$7</f>
        <v>2198.4375</v>
      </c>
      <c r="E28" s="4">
        <v>0</v>
      </c>
      <c r="F28" s="13">
        <f>SUM(D28:E28)</f>
        <v>2198.4375</v>
      </c>
      <c r="G28" s="14">
        <v>70350</v>
      </c>
      <c r="H28" s="13">
        <f>F28/C28</f>
        <v>1.7055372381691234</v>
      </c>
      <c r="I28" s="14">
        <f>G28/C28</f>
        <v>54.577191621411949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2067</v>
      </c>
      <c r="B29" s="3">
        <f>$B$7</f>
        <v>192</v>
      </c>
      <c r="C29" s="4">
        <f>$C$7</f>
        <v>1289</v>
      </c>
      <c r="D29" s="48">
        <v>602</v>
      </c>
      <c r="E29" s="48">
        <v>0</v>
      </c>
      <c r="F29" s="4">
        <f>SUM(D29:E29)</f>
        <v>602</v>
      </c>
      <c r="G29" s="5">
        <v>17762</v>
      </c>
      <c r="H29" s="4">
        <f>F29/C29</f>
        <v>0.46702870442203259</v>
      </c>
      <c r="I29" s="5">
        <f>G29/C29</f>
        <v>13.77967416602017</v>
      </c>
      <c r="J29" s="44">
        <f>I29/H29</f>
        <v>29.504983388704318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0.2738308457711443</v>
      </c>
      <c r="G30" s="16">
        <f t="shared" ref="G30" si="14">G29/G28</f>
        <v>0.25248045486851456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2067</v>
      </c>
      <c r="B33" s="3">
        <f>$B$7</f>
        <v>192</v>
      </c>
      <c r="C33" s="4">
        <f>$C$7</f>
        <v>1289</v>
      </c>
      <c r="D33" s="13">
        <f>SUM(D28,D22,D19)</f>
        <v>19045.625</v>
      </c>
      <c r="E33" s="13">
        <v>0</v>
      </c>
      <c r="F33" s="13">
        <f t="shared" ref="F33" si="15">SUM(D33:E33)</f>
        <v>19045.625</v>
      </c>
      <c r="G33" s="14">
        <f>SUM(G28,G22,G19)</f>
        <v>609460</v>
      </c>
      <c r="H33" s="34">
        <f t="shared" ref="H33:H34" si="16">F33/C33</f>
        <v>14.775504266873545</v>
      </c>
      <c r="I33" s="39">
        <f t="shared" ref="I33:I34" si="17">G33/C33</f>
        <v>472.81613653995345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2067</v>
      </c>
      <c r="B34" s="3">
        <f>$B$7</f>
        <v>192</v>
      </c>
      <c r="C34" s="4">
        <f>$C$7</f>
        <v>1289</v>
      </c>
      <c r="D34" s="4">
        <f>SUM(D29,D23,D20)</f>
        <v>21140</v>
      </c>
      <c r="E34" s="49">
        <v>0</v>
      </c>
      <c r="F34" s="4">
        <f>SUM(D34)</f>
        <v>21140</v>
      </c>
      <c r="G34" s="50">
        <f>SUM(G29,G23,G20)</f>
        <v>590475</v>
      </c>
      <c r="H34" s="41">
        <f t="shared" si="16"/>
        <v>16.400310318076027</v>
      </c>
      <c r="I34" s="42">
        <f t="shared" si="17"/>
        <v>458.08766485647789</v>
      </c>
      <c r="J34" s="43">
        <f>I34/H34</f>
        <v>27.931646168401137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1.1099661995865193</v>
      </c>
      <c r="G35" s="16">
        <f t="shared" ref="G35" si="18">G34/G33</f>
        <v>0.96884947330423654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16.400310318076027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2.7989590110605076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20.034910783553141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3:K46"/>
  <sheetViews>
    <sheetView view="pageBreakPreview" zoomScaleNormal="120" zoomScaleSheetLayoutView="100" workbookViewId="0">
      <selection activeCell="D20" sqref="D20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26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2069</v>
      </c>
      <c r="B7" s="64">
        <v>172</v>
      </c>
      <c r="C7" s="65">
        <v>1447</v>
      </c>
      <c r="D7" s="4">
        <f>G7/$J$7</f>
        <v>35632.34375</v>
      </c>
      <c r="E7" s="4">
        <v>0</v>
      </c>
      <c r="F7" s="4">
        <f t="shared" ref="F7" si="0">SUM(D7:E7)</f>
        <v>35632.34375</v>
      </c>
      <c r="G7" s="5">
        <f>SUM(G16,G19,G22,G25,G28)</f>
        <v>1140235</v>
      </c>
      <c r="H7" s="9">
        <f t="shared" ref="H7:H8" si="1">F7/C7</f>
        <v>24.624978403593641</v>
      </c>
      <c r="I7" s="11">
        <f t="shared" ref="I7:I8" si="2">G7/C7</f>
        <v>787.9993089149965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2069</v>
      </c>
      <c r="B8" s="64">
        <v>186</v>
      </c>
      <c r="C8" s="65">
        <f>$C$7</f>
        <v>1447</v>
      </c>
      <c r="D8" s="4">
        <f>SUM(D17,D20,D23,D26,D29)</f>
        <v>25800</v>
      </c>
      <c r="E8" s="4">
        <v>0</v>
      </c>
      <c r="F8" s="4">
        <f>SUM(D8)</f>
        <v>25800</v>
      </c>
      <c r="G8" s="5">
        <f>SUM(G17,G20,G23,G26,G29)</f>
        <v>868415</v>
      </c>
      <c r="H8" s="58">
        <f t="shared" si="1"/>
        <v>17.829993089149966</v>
      </c>
      <c r="I8" s="42">
        <f t="shared" si="2"/>
        <v>600.14858327574291</v>
      </c>
      <c r="J8" s="43">
        <f>I8/H8</f>
        <v>33.659496124031008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0.7240612680719325</v>
      </c>
      <c r="G10" s="62">
        <f t="shared" ref="G10" si="3">G8/G7</f>
        <v>0.76161054519463089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9832.34375</v>
      </c>
      <c r="G12" s="47">
        <f>G7-G8</f>
        <v>271820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2069</v>
      </c>
      <c r="B16" s="3">
        <f>$B$7</f>
        <v>172</v>
      </c>
      <c r="C16" s="4">
        <f>$C$7</f>
        <v>1447</v>
      </c>
      <c r="D16" s="4">
        <f>G16/$J$7</f>
        <v>1027.5</v>
      </c>
      <c r="E16" s="4">
        <v>0</v>
      </c>
      <c r="F16" s="13">
        <f t="shared" ref="F16:F17" si="4">SUM(D16:E16)</f>
        <v>1027.5</v>
      </c>
      <c r="G16" s="14">
        <v>32880</v>
      </c>
      <c r="H16" s="13">
        <f t="shared" ref="H16:H17" si="5">F16/C16</f>
        <v>0.71008984105044926</v>
      </c>
      <c r="I16" s="14">
        <f t="shared" ref="I16:I17" si="6">G16/C16</f>
        <v>22.722874913614376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2069</v>
      </c>
      <c r="B17" s="3">
        <f>$B$7</f>
        <v>172</v>
      </c>
      <c r="C17" s="4">
        <f>$C$7</f>
        <v>1447</v>
      </c>
      <c r="D17" s="48">
        <v>494</v>
      </c>
      <c r="E17" s="48">
        <v>0</v>
      </c>
      <c r="F17" s="4">
        <f t="shared" si="4"/>
        <v>494</v>
      </c>
      <c r="G17" s="5">
        <v>29613</v>
      </c>
      <c r="H17" s="4">
        <f t="shared" si="5"/>
        <v>0.34139599170697998</v>
      </c>
      <c r="I17" s="5">
        <f t="shared" si="6"/>
        <v>20.465100207325502</v>
      </c>
      <c r="J17" s="44">
        <f>I17/H17</f>
        <v>59.945344129554655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0.4807785888077859</v>
      </c>
      <c r="G18" s="16">
        <f t="shared" ref="G18" si="7">G17/G16</f>
        <v>0.90063868613138687</v>
      </c>
      <c r="H18" s="16"/>
      <c r="I18" s="16"/>
      <c r="J18" s="16"/>
      <c r="K18" s="45"/>
    </row>
    <row r="19" spans="1:11" ht="16.5" thickTop="1" thickBot="1" x14ac:dyDescent="0.25">
      <c r="A19" s="1">
        <f>$A$7</f>
        <v>2069</v>
      </c>
      <c r="B19" s="3">
        <f>$B$7</f>
        <v>172</v>
      </c>
      <c r="C19" s="4">
        <f>$C$7</f>
        <v>1447</v>
      </c>
      <c r="D19" s="4">
        <f>G19/$J$7</f>
        <v>3704.375</v>
      </c>
      <c r="E19" s="4">
        <v>0</v>
      </c>
      <c r="F19" s="13">
        <f t="shared" ref="F19:F20" si="8">SUM(D19:E19)</f>
        <v>3704.375</v>
      </c>
      <c r="G19" s="14">
        <v>118540</v>
      </c>
      <c r="H19" s="13">
        <f t="shared" ref="H19:H20" si="9">F19/C19</f>
        <v>2.56003800967519</v>
      </c>
      <c r="I19" s="14">
        <f t="shared" ref="I19:I20" si="10">G19/C19</f>
        <v>81.921216309606081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2069</v>
      </c>
      <c r="B20" s="3">
        <f>$B$7</f>
        <v>172</v>
      </c>
      <c r="C20" s="4">
        <f>$C$7</f>
        <v>1447</v>
      </c>
      <c r="D20" s="48">
        <v>1786</v>
      </c>
      <c r="E20" s="48">
        <v>0</v>
      </c>
      <c r="F20" s="4">
        <f t="shared" si="8"/>
        <v>1786</v>
      </c>
      <c r="G20" s="5">
        <v>73266</v>
      </c>
      <c r="H20" s="4">
        <f t="shared" si="9"/>
        <v>1.234277816171389</v>
      </c>
      <c r="I20" s="5">
        <f t="shared" si="10"/>
        <v>50.633033863165167</v>
      </c>
      <c r="J20" s="44">
        <f>I20/H20</f>
        <v>41.022396416573351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0.4821326134638097</v>
      </c>
      <c r="G21" s="16">
        <f t="shared" ref="G21" si="11">G20/G19</f>
        <v>0.61806984983971658</v>
      </c>
      <c r="H21" s="16"/>
      <c r="I21" s="16"/>
      <c r="J21" s="45"/>
      <c r="K21" s="45"/>
    </row>
    <row r="22" spans="1:11" ht="16.5" thickTop="1" thickBot="1" x14ac:dyDescent="0.25">
      <c r="A22" s="1">
        <f>$A$7</f>
        <v>2069</v>
      </c>
      <c r="B22" s="3">
        <f>$B$7</f>
        <v>172</v>
      </c>
      <c r="C22" s="4">
        <f>$C$7</f>
        <v>1447</v>
      </c>
      <c r="D22" s="4">
        <f>G22/$J$7</f>
        <v>22475.46875</v>
      </c>
      <c r="E22" s="4">
        <v>0</v>
      </c>
      <c r="F22" s="13">
        <f>SUM(D22:E22)</f>
        <v>22475.46875</v>
      </c>
      <c r="G22" s="14">
        <v>719215</v>
      </c>
      <c r="H22" s="13">
        <f>F22/C22</f>
        <v>15.532459398756046</v>
      </c>
      <c r="I22" s="14">
        <f>G22/C22</f>
        <v>497.03870076019348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2069</v>
      </c>
      <c r="B23" s="3">
        <f>$B$7</f>
        <v>172</v>
      </c>
      <c r="C23" s="4">
        <f>$C$7</f>
        <v>1447</v>
      </c>
      <c r="D23" s="48">
        <v>16400</v>
      </c>
      <c r="E23" s="48">
        <v>0</v>
      </c>
      <c r="F23" s="4">
        <f>SUM(D23:E23)</f>
        <v>16400</v>
      </c>
      <c r="G23" s="5">
        <v>528184</v>
      </c>
      <c r="H23" s="4">
        <f>F23/C23</f>
        <v>11.333794056668971</v>
      </c>
      <c r="I23" s="5">
        <f>G23/C23</f>
        <v>365.02004146510023</v>
      </c>
      <c r="J23" s="44">
        <f>I23/H23</f>
        <v>32.206341463414631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0.72968444762692652</v>
      </c>
      <c r="G24" s="16">
        <f t="shared" ref="G24" si="12">G23/G22</f>
        <v>0.7343895775254965</v>
      </c>
      <c r="H24" s="16"/>
      <c r="I24" s="16"/>
      <c r="J24" s="17"/>
      <c r="K24" s="17"/>
    </row>
    <row r="25" spans="1:11" ht="16.5" thickTop="1" thickBot="1" x14ac:dyDescent="0.25">
      <c r="A25" s="1">
        <f>$A$7</f>
        <v>2069</v>
      </c>
      <c r="B25" s="3">
        <f>$B$7</f>
        <v>172</v>
      </c>
      <c r="C25" s="4">
        <v>1618</v>
      </c>
      <c r="D25" s="4">
        <f>G25/$J$7</f>
        <v>3569.6875</v>
      </c>
      <c r="E25" s="4">
        <v>0</v>
      </c>
      <c r="F25" s="13">
        <f>SUM(D25:E25)</f>
        <v>3569.6875</v>
      </c>
      <c r="G25" s="14">
        <v>114230</v>
      </c>
      <c r="H25" s="13">
        <f>F25/C25</f>
        <v>2.2062345488257109</v>
      </c>
      <c r="I25" s="14">
        <f>G25/C25</f>
        <v>70.599505562422749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2069</v>
      </c>
      <c r="B26" s="3">
        <f>$B$7</f>
        <v>172</v>
      </c>
      <c r="C26" s="4">
        <v>1618</v>
      </c>
      <c r="D26" s="48">
        <v>3854</v>
      </c>
      <c r="E26" s="48">
        <v>0</v>
      </c>
      <c r="F26" s="4">
        <f>SUM(D26:E26)</f>
        <v>3854</v>
      </c>
      <c r="G26" s="5">
        <v>117191</v>
      </c>
      <c r="H26" s="4">
        <f>F26/C26</f>
        <v>2.3819530284301607</v>
      </c>
      <c r="I26" s="5">
        <f>G26/C26</f>
        <v>72.429542645241042</v>
      </c>
      <c r="J26" s="44">
        <f>I26/H26</f>
        <v>30.40762843798651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1.0796463275846975</v>
      </c>
      <c r="G27" s="16">
        <f t="shared" ref="G27" si="13">G26/G25</f>
        <v>1.0259213866760046</v>
      </c>
      <c r="H27" s="16"/>
      <c r="I27" s="16"/>
      <c r="J27" s="17"/>
      <c r="K27" s="17"/>
    </row>
    <row r="28" spans="1:11" ht="16.5" thickTop="1" thickBot="1" x14ac:dyDescent="0.25">
      <c r="A28" s="1">
        <f>$A$7</f>
        <v>2069</v>
      </c>
      <c r="B28" s="3">
        <f>$B$7</f>
        <v>172</v>
      </c>
      <c r="C28" s="4">
        <f>$C$7</f>
        <v>1447</v>
      </c>
      <c r="D28" s="4">
        <f>G28/$J$7</f>
        <v>4855.3125</v>
      </c>
      <c r="E28" s="4">
        <v>0</v>
      </c>
      <c r="F28" s="13">
        <f>SUM(D28:E28)</f>
        <v>4855.3125</v>
      </c>
      <c r="G28" s="14">
        <v>155370</v>
      </c>
      <c r="H28" s="13">
        <f>F28/C28</f>
        <v>3.3554336558396685</v>
      </c>
      <c r="I28" s="14">
        <f>G28/C28</f>
        <v>107.37387698686939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2069</v>
      </c>
      <c r="B29" s="3">
        <f>$B$7</f>
        <v>172</v>
      </c>
      <c r="C29" s="4">
        <f>$C$7</f>
        <v>1447</v>
      </c>
      <c r="D29" s="48">
        <v>3266</v>
      </c>
      <c r="E29" s="48">
        <v>0</v>
      </c>
      <c r="F29" s="4">
        <f>SUM(D29:E29)</f>
        <v>3266</v>
      </c>
      <c r="G29" s="5">
        <v>120161</v>
      </c>
      <c r="H29" s="4">
        <f>F29/C29</f>
        <v>2.257083621285418</v>
      </c>
      <c r="I29" s="5">
        <f>G29/C29</f>
        <v>83.041465100207319</v>
      </c>
      <c r="J29" s="44">
        <f>I29/H29</f>
        <v>36.791488058787507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0.67266525069189675</v>
      </c>
      <c r="G30" s="16">
        <f t="shared" ref="G30" si="14">G29/G28</f>
        <v>0.77338611057475704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2069</v>
      </c>
      <c r="B33" s="3">
        <f>$B$7</f>
        <v>172</v>
      </c>
      <c r="C33" s="4">
        <f>$C$7</f>
        <v>1447</v>
      </c>
      <c r="D33" s="13">
        <f>SUM(D28,D22,D19)</f>
        <v>31035.15625</v>
      </c>
      <c r="E33" s="13">
        <v>0</v>
      </c>
      <c r="F33" s="13">
        <f t="shared" ref="F33" si="15">SUM(D33:E33)</f>
        <v>31035.15625</v>
      </c>
      <c r="G33" s="14">
        <f>SUM(G28,G22,G19)</f>
        <v>993125</v>
      </c>
      <c r="H33" s="34">
        <f t="shared" ref="H33:H34" si="16">F33/C33</f>
        <v>21.447931064270904</v>
      </c>
      <c r="I33" s="39">
        <f t="shared" ref="I33:I34" si="17">G33/C33</f>
        <v>686.33379405666892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2069</v>
      </c>
      <c r="B34" s="3">
        <f>$B$7</f>
        <v>172</v>
      </c>
      <c r="C34" s="4">
        <f>$C$7</f>
        <v>1447</v>
      </c>
      <c r="D34" s="4">
        <f>SUM(D29,D23,D20)</f>
        <v>21452</v>
      </c>
      <c r="E34" s="49">
        <v>0</v>
      </c>
      <c r="F34" s="4">
        <f>SUM(D34)</f>
        <v>21452</v>
      </c>
      <c r="G34" s="50">
        <f>SUM(G29,G23,G20)</f>
        <v>721611</v>
      </c>
      <c r="H34" s="41">
        <f t="shared" si="16"/>
        <v>14.825155494125777</v>
      </c>
      <c r="I34" s="42">
        <f t="shared" si="17"/>
        <v>498.69454042847269</v>
      </c>
      <c r="J34" s="43">
        <f>I34/H34</f>
        <v>33.638402013798249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0.69121611076148526</v>
      </c>
      <c r="G35" s="16">
        <f t="shared" ref="G35" si="18">G34/G33</f>
        <v>0.72660641913152924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14.825155494125777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2.3819530284301607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17.829993089149966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3:K46"/>
  <sheetViews>
    <sheetView view="pageBreakPreview" zoomScaleNormal="100" zoomScaleSheetLayoutView="100" workbookViewId="0">
      <selection activeCell="D26" sqref="D26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27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2071</v>
      </c>
      <c r="B7" s="64">
        <v>162</v>
      </c>
      <c r="C7" s="65">
        <v>840</v>
      </c>
      <c r="D7" s="4">
        <f>G7/$J$7</f>
        <v>20467.125</v>
      </c>
      <c r="E7" s="4">
        <v>0</v>
      </c>
      <c r="F7" s="4">
        <f t="shared" ref="F7" si="0">SUM(D7:E7)</f>
        <v>20467.125</v>
      </c>
      <c r="G7" s="5">
        <f>SUM(G16,G19,G22,G25,G28)</f>
        <v>654948</v>
      </c>
      <c r="H7" s="9">
        <f t="shared" ref="H7:H8" si="1">F7/C7</f>
        <v>24.365625000000001</v>
      </c>
      <c r="I7" s="11">
        <f t="shared" ref="I7:I8" si="2">G7/C7</f>
        <v>779.7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2071</v>
      </c>
      <c r="B8" s="64">
        <v>162</v>
      </c>
      <c r="C8" s="65">
        <f>$C$7</f>
        <v>840</v>
      </c>
      <c r="D8" s="4">
        <f>SUM(D17,D20,D23,D26,D29)</f>
        <v>16324</v>
      </c>
      <c r="E8" s="4">
        <v>0</v>
      </c>
      <c r="F8" s="4">
        <f>SUM(D8)</f>
        <v>16324</v>
      </c>
      <c r="G8" s="5">
        <f>SUM(G17,G20,G23,G26,G29)</f>
        <v>610513</v>
      </c>
      <c r="H8" s="58">
        <f t="shared" si="1"/>
        <v>19.433333333333334</v>
      </c>
      <c r="I8" s="42">
        <f t="shared" si="2"/>
        <v>726.80119047619053</v>
      </c>
      <c r="J8" s="43">
        <f>I8/H8</f>
        <v>37.399718206321985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0.7975717156171177</v>
      </c>
      <c r="G10" s="62">
        <f t="shared" ref="G10" si="3">G8/G7</f>
        <v>0.93215491916915538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4143.125</v>
      </c>
      <c r="G12" s="47">
        <f>G7-G8</f>
        <v>44435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2071</v>
      </c>
      <c r="B16" s="3">
        <f>$B$7</f>
        <v>162</v>
      </c>
      <c r="C16" s="4">
        <f>$C$7</f>
        <v>840</v>
      </c>
      <c r="D16" s="4">
        <f>G16/$J$7</f>
        <v>1100</v>
      </c>
      <c r="E16" s="4">
        <v>0</v>
      </c>
      <c r="F16" s="13">
        <f t="shared" ref="F16:F17" si="4">SUM(D16:E16)</f>
        <v>1100</v>
      </c>
      <c r="G16" s="14">
        <v>35200</v>
      </c>
      <c r="H16" s="13">
        <f t="shared" ref="H16:H17" si="5">F16/C16</f>
        <v>1.3095238095238095</v>
      </c>
      <c r="I16" s="14">
        <f t="shared" ref="I16:I17" si="6">G16/C16</f>
        <v>41.904761904761905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2071</v>
      </c>
      <c r="B17" s="3">
        <f>$B$7</f>
        <v>162</v>
      </c>
      <c r="C17" s="4">
        <f>$C$7</f>
        <v>840</v>
      </c>
      <c r="D17" s="48">
        <v>334</v>
      </c>
      <c r="E17" s="48">
        <v>0</v>
      </c>
      <c r="F17" s="4">
        <f t="shared" si="4"/>
        <v>334</v>
      </c>
      <c r="G17" s="5">
        <v>18478</v>
      </c>
      <c r="H17" s="4">
        <f t="shared" si="5"/>
        <v>0.39761904761904759</v>
      </c>
      <c r="I17" s="5">
        <f t="shared" si="6"/>
        <v>21.997619047619047</v>
      </c>
      <c r="J17" s="44">
        <f>I17/H17</f>
        <v>55.323353293413177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0.30363636363636365</v>
      </c>
      <c r="G18" s="16">
        <f t="shared" ref="G18" si="7">G17/G16</f>
        <v>0.52494318181818178</v>
      </c>
      <c r="H18" s="16"/>
      <c r="I18" s="16"/>
      <c r="J18" s="16"/>
      <c r="K18" s="45"/>
    </row>
    <row r="19" spans="1:11" ht="16.5" thickTop="1" thickBot="1" x14ac:dyDescent="0.25">
      <c r="A19" s="1">
        <f>$A$7</f>
        <v>2071</v>
      </c>
      <c r="B19" s="3">
        <f>$B$7</f>
        <v>162</v>
      </c>
      <c r="C19" s="4">
        <f>$C$7</f>
        <v>840</v>
      </c>
      <c r="D19" s="4">
        <f>G19/$J$7</f>
        <v>2495.25</v>
      </c>
      <c r="E19" s="4">
        <v>0</v>
      </c>
      <c r="F19" s="13">
        <f t="shared" ref="F19:F20" si="8">SUM(D19:E19)</f>
        <v>2495.25</v>
      </c>
      <c r="G19" s="14">
        <v>79848</v>
      </c>
      <c r="H19" s="13">
        <f t="shared" ref="H19:H20" si="9">F19/C19</f>
        <v>2.9705357142857145</v>
      </c>
      <c r="I19" s="14">
        <f t="shared" ref="I19:I20" si="10">G19/C19</f>
        <v>95.057142857142864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2071</v>
      </c>
      <c r="B20" s="3">
        <f>$B$7</f>
        <v>162</v>
      </c>
      <c r="C20" s="4">
        <f>$C$7</f>
        <v>840</v>
      </c>
      <c r="D20" s="48">
        <v>2081</v>
      </c>
      <c r="E20" s="48">
        <v>0</v>
      </c>
      <c r="F20" s="4">
        <f t="shared" si="8"/>
        <v>2081</v>
      </c>
      <c r="G20" s="5">
        <v>86665</v>
      </c>
      <c r="H20" s="4">
        <f t="shared" si="9"/>
        <v>2.4773809523809525</v>
      </c>
      <c r="I20" s="5">
        <f t="shared" si="10"/>
        <v>103.17261904761905</v>
      </c>
      <c r="J20" s="44">
        <f>I20/H20</f>
        <v>41.645843344545888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0.83398457068430021</v>
      </c>
      <c r="G21" s="16">
        <f t="shared" ref="G21" si="11">G20/G19</f>
        <v>1.0853747119527102</v>
      </c>
      <c r="H21" s="16"/>
      <c r="I21" s="16"/>
      <c r="J21" s="45"/>
      <c r="K21" s="45"/>
    </row>
    <row r="22" spans="1:11" ht="16.5" thickTop="1" thickBot="1" x14ac:dyDescent="0.25">
      <c r="A22" s="1">
        <f>$A$7</f>
        <v>2071</v>
      </c>
      <c r="B22" s="3">
        <f>$B$7</f>
        <v>162</v>
      </c>
      <c r="C22" s="4">
        <f>$C$7</f>
        <v>840</v>
      </c>
      <c r="D22" s="4">
        <f>G22/$J$7</f>
        <v>10816.5625</v>
      </c>
      <c r="E22" s="4">
        <v>0</v>
      </c>
      <c r="F22" s="13">
        <f>SUM(D22:E22)</f>
        <v>10816.5625</v>
      </c>
      <c r="G22" s="14">
        <v>346130</v>
      </c>
      <c r="H22" s="13">
        <f>F22/C22</f>
        <v>12.876860119047619</v>
      </c>
      <c r="I22" s="14">
        <f>G22/C22</f>
        <v>412.0595238095238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2071</v>
      </c>
      <c r="B23" s="3">
        <f>$B$7</f>
        <v>162</v>
      </c>
      <c r="C23" s="4">
        <f>$C$7</f>
        <v>840</v>
      </c>
      <c r="D23" s="48">
        <v>10064</v>
      </c>
      <c r="E23" s="48">
        <v>0</v>
      </c>
      <c r="F23" s="4">
        <f>SUM(D23:E23)</f>
        <v>10064</v>
      </c>
      <c r="G23" s="5">
        <v>366475</v>
      </c>
      <c r="H23" s="4">
        <f>F23/C23</f>
        <v>11.980952380952381</v>
      </c>
      <c r="I23" s="5">
        <f>G23/C23</f>
        <v>436.27976190476193</v>
      </c>
      <c r="J23" s="44">
        <f>I23/H23</f>
        <v>36.414447535771068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0.93042498483228842</v>
      </c>
      <c r="G24" s="16">
        <f t="shared" ref="G24" si="12">G23/G22</f>
        <v>1.0587784936295612</v>
      </c>
      <c r="H24" s="16"/>
      <c r="I24" s="16"/>
      <c r="J24" s="17"/>
      <c r="K24" s="17"/>
    </row>
    <row r="25" spans="1:11" ht="16.5" thickTop="1" thickBot="1" x14ac:dyDescent="0.25">
      <c r="A25" s="1">
        <f>$A$7</f>
        <v>2071</v>
      </c>
      <c r="B25" s="3">
        <f>$B$7</f>
        <v>162</v>
      </c>
      <c r="C25" s="4">
        <v>837</v>
      </c>
      <c r="D25" s="4">
        <f>G25/$J$7</f>
        <v>1984.375</v>
      </c>
      <c r="E25" s="4">
        <v>0</v>
      </c>
      <c r="F25" s="13">
        <f>SUM(D25:E25)</f>
        <v>1984.375</v>
      </c>
      <c r="G25" s="14">
        <v>63500</v>
      </c>
      <c r="H25" s="13">
        <f>F25/C25</f>
        <v>2.3708183990442055</v>
      </c>
      <c r="I25" s="14">
        <f>G25/C25</f>
        <v>75.866188769414578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2071</v>
      </c>
      <c r="B26" s="3">
        <f>$B$7</f>
        <v>162</v>
      </c>
      <c r="C26" s="4">
        <v>837</v>
      </c>
      <c r="D26" s="48">
        <v>1774</v>
      </c>
      <c r="E26" s="48">
        <v>0</v>
      </c>
      <c r="F26" s="4">
        <f>SUM(D26:E26)</f>
        <v>1774</v>
      </c>
      <c r="G26" s="5">
        <v>58563</v>
      </c>
      <c r="H26" s="4">
        <f>F26/C26</f>
        <v>2.1194743130227001</v>
      </c>
      <c r="I26" s="5">
        <f>G26/C26</f>
        <v>69.967741935483872</v>
      </c>
      <c r="J26" s="44">
        <f>I26/H26</f>
        <v>33.011837655016912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0.89398425196850395</v>
      </c>
      <c r="G27" s="16">
        <f t="shared" ref="G27" si="13">G26/G25</f>
        <v>0.92225196850393698</v>
      </c>
      <c r="H27" s="16"/>
      <c r="I27" s="16"/>
      <c r="J27" s="17"/>
      <c r="K27" s="17"/>
    </row>
    <row r="28" spans="1:11" ht="16.5" thickTop="1" thickBot="1" x14ac:dyDescent="0.25">
      <c r="A28" s="1">
        <f>$A$7</f>
        <v>2071</v>
      </c>
      <c r="B28" s="3">
        <f>$B$7</f>
        <v>162</v>
      </c>
      <c r="C28" s="4">
        <f>$C$7</f>
        <v>840</v>
      </c>
      <c r="D28" s="4">
        <f>G28/$J$7</f>
        <v>4070.9375</v>
      </c>
      <c r="E28" s="4">
        <v>0</v>
      </c>
      <c r="F28" s="13">
        <f>SUM(D28:E28)</f>
        <v>4070.9375</v>
      </c>
      <c r="G28" s="14">
        <v>130270</v>
      </c>
      <c r="H28" s="13">
        <f>F28/C28</f>
        <v>4.846354166666667</v>
      </c>
      <c r="I28" s="14">
        <f>G28/C28</f>
        <v>155.08333333333334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2071</v>
      </c>
      <c r="B29" s="3">
        <f>$B$7</f>
        <v>162</v>
      </c>
      <c r="C29" s="4">
        <f>$C$7</f>
        <v>840</v>
      </c>
      <c r="D29" s="48">
        <v>2071</v>
      </c>
      <c r="E29" s="48">
        <v>0</v>
      </c>
      <c r="F29" s="4">
        <f>SUM(D29:E29)</f>
        <v>2071</v>
      </c>
      <c r="G29" s="5">
        <v>80332</v>
      </c>
      <c r="H29" s="4">
        <f>F29/C29</f>
        <v>2.4654761904761906</v>
      </c>
      <c r="I29" s="5">
        <f>G29/C29</f>
        <v>95.63333333333334</v>
      </c>
      <c r="J29" s="44">
        <f>I29/H29</f>
        <v>38.788990825688074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0.50872802640669379</v>
      </c>
      <c r="G30" s="16">
        <f t="shared" ref="G30" si="14">G29/G28</f>
        <v>0.61665771090811394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2071</v>
      </c>
      <c r="B33" s="3">
        <f>$B$7</f>
        <v>162</v>
      </c>
      <c r="C33" s="4">
        <f>$C$7</f>
        <v>840</v>
      </c>
      <c r="D33" s="13">
        <f>SUM(D28,D22,D19)</f>
        <v>17382.75</v>
      </c>
      <c r="E33" s="13">
        <v>0</v>
      </c>
      <c r="F33" s="13">
        <f t="shared" ref="F33" si="15">SUM(D33:E33)</f>
        <v>17382.75</v>
      </c>
      <c r="G33" s="14">
        <f>SUM(G28,G22,G19)</f>
        <v>556248</v>
      </c>
      <c r="H33" s="34">
        <f t="shared" ref="H33:H34" si="16">F33/C33</f>
        <v>20.693750000000001</v>
      </c>
      <c r="I33" s="39">
        <f t="shared" ref="I33:I34" si="17">G33/C33</f>
        <v>662.2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2071</v>
      </c>
      <c r="B34" s="3">
        <f>$B$7</f>
        <v>162</v>
      </c>
      <c r="C34" s="4">
        <f>$C$7</f>
        <v>840</v>
      </c>
      <c r="D34" s="4">
        <f>SUM(D29,D23,D20)</f>
        <v>14216</v>
      </c>
      <c r="E34" s="49">
        <v>0</v>
      </c>
      <c r="F34" s="4">
        <f>SUM(D34)</f>
        <v>14216</v>
      </c>
      <c r="G34" s="50">
        <f>SUM(G29,G23,G20)</f>
        <v>533472</v>
      </c>
      <c r="H34" s="41">
        <f t="shared" si="16"/>
        <v>16.923809523809524</v>
      </c>
      <c r="I34" s="42">
        <f t="shared" si="17"/>
        <v>635.08571428571429</v>
      </c>
      <c r="J34" s="43">
        <f>I34/H34</f>
        <v>37.526167698368035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0.81782226632724975</v>
      </c>
      <c r="G35" s="16">
        <f t="shared" ref="G35" si="18">G34/G33</f>
        <v>0.95905423480174312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16.923809523809524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2.1194743130227001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19.433333333333334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3:K46"/>
  <sheetViews>
    <sheetView view="pageBreakPreview" zoomScaleNormal="120" zoomScaleSheetLayoutView="100" workbookViewId="0">
      <selection activeCell="D28" sqref="D2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28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2074</v>
      </c>
      <c r="B7" s="64">
        <v>1</v>
      </c>
      <c r="C7" s="65">
        <v>39</v>
      </c>
      <c r="D7" s="4">
        <f>G7/$J$7</f>
        <v>2926.875</v>
      </c>
      <c r="E7" s="4">
        <v>0</v>
      </c>
      <c r="F7" s="4">
        <f t="shared" ref="F7" si="0">SUM(D7:E7)</f>
        <v>2926.875</v>
      </c>
      <c r="G7" s="5">
        <f>SUM(G16,G19,G22,G25,G28)</f>
        <v>93660</v>
      </c>
      <c r="H7" s="9">
        <f t="shared" ref="H7:H8" si="1">F7/C7</f>
        <v>75.04807692307692</v>
      </c>
      <c r="I7" s="11">
        <f t="shared" ref="I7:I8" si="2">G7/C7</f>
        <v>2401.5384615384614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2074</v>
      </c>
      <c r="B8" s="64">
        <v>1</v>
      </c>
      <c r="C8" s="65">
        <f>$C$7</f>
        <v>39</v>
      </c>
      <c r="D8" s="4">
        <f>SUM(D17,D20,D23,D26,D29)</f>
        <v>2315</v>
      </c>
      <c r="E8" s="4">
        <v>0</v>
      </c>
      <c r="F8" s="4">
        <f>SUM(D8)</f>
        <v>2315</v>
      </c>
      <c r="G8" s="5">
        <f>SUM(G17,G20,G23,G26,G29)</f>
        <v>90083</v>
      </c>
      <c r="H8" s="58">
        <f t="shared" si="1"/>
        <v>59.358974358974358</v>
      </c>
      <c r="I8" s="42">
        <f t="shared" si="2"/>
        <v>2309.8205128205127</v>
      </c>
      <c r="J8" s="43">
        <f>I8/H8</f>
        <v>38.912742980561553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0.79094597480247708</v>
      </c>
      <c r="G10" s="62">
        <f t="shared" ref="G10" si="3">G8/G7</f>
        <v>0.96180866965620326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611.875</v>
      </c>
      <c r="G12" s="47">
        <f>G7-G8</f>
        <v>3577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2074</v>
      </c>
      <c r="B16" s="3">
        <f>$B$7</f>
        <v>1</v>
      </c>
      <c r="C16" s="4">
        <f>$C$7</f>
        <v>39</v>
      </c>
      <c r="D16" s="4">
        <f>G16/$J$7</f>
        <v>312.5</v>
      </c>
      <c r="E16" s="4">
        <v>0</v>
      </c>
      <c r="F16" s="13">
        <f t="shared" ref="F16:F17" si="4">SUM(D16:E16)</f>
        <v>312.5</v>
      </c>
      <c r="G16" s="14">
        <v>10000</v>
      </c>
      <c r="H16" s="13">
        <f t="shared" ref="H16:H17" si="5">F16/C16</f>
        <v>8.0128205128205128</v>
      </c>
      <c r="I16" s="14">
        <f t="shared" ref="I16:I17" si="6">G16/C16</f>
        <v>256.41025641025641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2074</v>
      </c>
      <c r="B17" s="3">
        <f>$B$7</f>
        <v>1</v>
      </c>
      <c r="C17" s="4">
        <f>$C$7</f>
        <v>39</v>
      </c>
      <c r="D17" s="48">
        <v>116</v>
      </c>
      <c r="E17" s="48">
        <v>0</v>
      </c>
      <c r="F17" s="4">
        <f t="shared" si="4"/>
        <v>116</v>
      </c>
      <c r="G17" s="5">
        <v>6820</v>
      </c>
      <c r="H17" s="4">
        <f t="shared" si="5"/>
        <v>2.9743589743589745</v>
      </c>
      <c r="I17" s="5">
        <f t="shared" si="6"/>
        <v>174.87179487179486</v>
      </c>
      <c r="J17" s="44">
        <f>I17/H17</f>
        <v>58.793103448275858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0.37119999999999997</v>
      </c>
      <c r="G18" s="16">
        <f t="shared" ref="G18" si="7">G17/G16</f>
        <v>0.68200000000000005</v>
      </c>
      <c r="H18" s="16"/>
      <c r="I18" s="16"/>
      <c r="J18" s="16"/>
      <c r="K18" s="45"/>
    </row>
    <row r="19" spans="1:11" ht="16.5" thickTop="1" thickBot="1" x14ac:dyDescent="0.25">
      <c r="A19" s="1">
        <f>$A$7</f>
        <v>2074</v>
      </c>
      <c r="B19" s="3">
        <f>$B$7</f>
        <v>1</v>
      </c>
      <c r="C19" s="4">
        <f>$C$7</f>
        <v>39</v>
      </c>
      <c r="D19" s="4">
        <f>G19/$J$7</f>
        <v>367.1875</v>
      </c>
      <c r="E19" s="4">
        <v>0</v>
      </c>
      <c r="F19" s="13">
        <f t="shared" ref="F19:F20" si="8">SUM(D19:E19)</f>
        <v>367.1875</v>
      </c>
      <c r="G19" s="14">
        <v>11750</v>
      </c>
      <c r="H19" s="13">
        <f t="shared" ref="H19:H20" si="9">F19/C19</f>
        <v>9.4150641025641022</v>
      </c>
      <c r="I19" s="14">
        <f t="shared" ref="I19:I20" si="10">G19/C19</f>
        <v>301.28205128205127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2074</v>
      </c>
      <c r="B20" s="3">
        <f>$B$7</f>
        <v>1</v>
      </c>
      <c r="C20" s="4">
        <f>$C$7</f>
        <v>39</v>
      </c>
      <c r="D20" s="48">
        <v>170</v>
      </c>
      <c r="E20" s="48">
        <v>0</v>
      </c>
      <c r="F20" s="4">
        <f t="shared" si="8"/>
        <v>170</v>
      </c>
      <c r="G20" s="5">
        <v>6417</v>
      </c>
      <c r="H20" s="4">
        <f t="shared" si="9"/>
        <v>4.3589743589743586</v>
      </c>
      <c r="I20" s="5">
        <f t="shared" si="10"/>
        <v>164.53846153846155</v>
      </c>
      <c r="J20" s="44">
        <f>I20/H20</f>
        <v>37.747058823529414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0.46297872340425533</v>
      </c>
      <c r="G21" s="16">
        <f t="shared" ref="G21" si="11">G20/G19</f>
        <v>0.54612765957446807</v>
      </c>
      <c r="H21" s="16"/>
      <c r="I21" s="16"/>
      <c r="J21" s="45"/>
      <c r="K21" s="45"/>
    </row>
    <row r="22" spans="1:11" ht="16.5" thickTop="1" thickBot="1" x14ac:dyDescent="0.25">
      <c r="A22" s="1">
        <f>$A$7</f>
        <v>2074</v>
      </c>
      <c r="B22" s="3">
        <f>$B$7</f>
        <v>1</v>
      </c>
      <c r="C22" s="4">
        <f>$C$7</f>
        <v>39</v>
      </c>
      <c r="D22" s="4">
        <f>G22/$J$7</f>
        <v>1140.9375</v>
      </c>
      <c r="E22" s="4">
        <v>0</v>
      </c>
      <c r="F22" s="13">
        <f>SUM(D22:E22)</f>
        <v>1140.9375</v>
      </c>
      <c r="G22" s="14">
        <v>36510</v>
      </c>
      <c r="H22" s="13">
        <f>F22/C22</f>
        <v>29.254807692307693</v>
      </c>
      <c r="I22" s="14">
        <f>G22/C22</f>
        <v>936.15384615384619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2074</v>
      </c>
      <c r="B23" s="3">
        <f>$B$7</f>
        <v>1</v>
      </c>
      <c r="C23" s="4">
        <f>$C$7</f>
        <v>39</v>
      </c>
      <c r="D23" s="48">
        <v>1333</v>
      </c>
      <c r="E23" s="48">
        <v>0</v>
      </c>
      <c r="F23" s="4">
        <f>SUM(D23:E23)</f>
        <v>1333</v>
      </c>
      <c r="G23" s="5">
        <v>47635</v>
      </c>
      <c r="H23" s="4">
        <f>F23/C23</f>
        <v>34.179487179487182</v>
      </c>
      <c r="I23" s="5">
        <f>G23/C23</f>
        <v>1221.4102564102564</v>
      </c>
      <c r="J23" s="44">
        <f>I23/H23</f>
        <v>35.735183795948984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1.168337441796768</v>
      </c>
      <c r="G24" s="16">
        <f t="shared" ref="G24" si="12">G23/G22</f>
        <v>1.3047110380717613</v>
      </c>
      <c r="H24" s="16"/>
      <c r="I24" s="16"/>
      <c r="J24" s="17"/>
      <c r="K24" s="17"/>
    </row>
    <row r="25" spans="1:11" ht="16.5" thickTop="1" thickBot="1" x14ac:dyDescent="0.25">
      <c r="A25" s="1">
        <f>$A$7</f>
        <v>2074</v>
      </c>
      <c r="B25" s="3">
        <f>$B$7</f>
        <v>1</v>
      </c>
      <c r="C25" s="4">
        <v>39</v>
      </c>
      <c r="D25" s="4">
        <f>G25/$J$7</f>
        <v>396.875</v>
      </c>
      <c r="E25" s="4">
        <v>0</v>
      </c>
      <c r="F25" s="13">
        <f>SUM(D25:E25)</f>
        <v>396.875</v>
      </c>
      <c r="G25" s="14">
        <v>12700</v>
      </c>
      <c r="H25" s="13">
        <f>F25/C25</f>
        <v>10.176282051282051</v>
      </c>
      <c r="I25" s="14">
        <f>G25/C25</f>
        <v>325.64102564102564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2074</v>
      </c>
      <c r="B26" s="3">
        <f>$B$7</f>
        <v>1</v>
      </c>
      <c r="C26" s="4">
        <v>39</v>
      </c>
      <c r="D26" s="48">
        <v>455</v>
      </c>
      <c r="E26" s="48">
        <v>0</v>
      </c>
      <c r="F26" s="4">
        <f>SUM(D26:E26)</f>
        <v>455</v>
      </c>
      <c r="G26" s="5">
        <v>20180</v>
      </c>
      <c r="H26" s="4">
        <f>F26/C26</f>
        <v>11.666666666666666</v>
      </c>
      <c r="I26" s="5">
        <f>G26/C26</f>
        <v>517.43589743589746</v>
      </c>
      <c r="J26" s="44">
        <f>I26/H26</f>
        <v>44.351648351648358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1.1464566929133859</v>
      </c>
      <c r="G27" s="16">
        <f t="shared" ref="G27" si="13">G26/G25</f>
        <v>1.5889763779527559</v>
      </c>
      <c r="H27" s="16"/>
      <c r="I27" s="16"/>
      <c r="J27" s="17"/>
      <c r="K27" s="17"/>
    </row>
    <row r="28" spans="1:11" ht="16.5" thickTop="1" thickBot="1" x14ac:dyDescent="0.25">
      <c r="A28" s="1">
        <f>$A$7</f>
        <v>2074</v>
      </c>
      <c r="B28" s="3">
        <f>$B$7</f>
        <v>1</v>
      </c>
      <c r="C28" s="4">
        <f>$C$7</f>
        <v>39</v>
      </c>
      <c r="D28" s="4">
        <f>G28/$J$7</f>
        <v>709.375</v>
      </c>
      <c r="E28" s="4">
        <v>0</v>
      </c>
      <c r="F28" s="13">
        <f>SUM(D28:E28)</f>
        <v>709.375</v>
      </c>
      <c r="G28" s="14">
        <v>22700</v>
      </c>
      <c r="H28" s="13">
        <f>F28/C28</f>
        <v>18.189102564102566</v>
      </c>
      <c r="I28" s="14">
        <f>G28/C28</f>
        <v>582.0512820512821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2074</v>
      </c>
      <c r="B29" s="3">
        <f>$B$7</f>
        <v>1</v>
      </c>
      <c r="C29" s="4">
        <f>$C$7</f>
        <v>39</v>
      </c>
      <c r="D29" s="48">
        <v>241</v>
      </c>
      <c r="E29" s="48">
        <v>0</v>
      </c>
      <c r="F29" s="4">
        <f>SUM(D29:E29)</f>
        <v>241</v>
      </c>
      <c r="G29" s="5">
        <v>9031</v>
      </c>
      <c r="H29" s="4">
        <f>F29/C29</f>
        <v>6.1794871794871797</v>
      </c>
      <c r="I29" s="5">
        <f>G29/C29</f>
        <v>231.56410256410257</v>
      </c>
      <c r="J29" s="44">
        <f>I29/H29</f>
        <v>37.473029045643152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0.33973568281938327</v>
      </c>
      <c r="G30" s="16">
        <f t="shared" ref="G30" si="14">G29/G28</f>
        <v>0.39784140969162995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2074</v>
      </c>
      <c r="B33" s="3">
        <f>$B$7</f>
        <v>1</v>
      </c>
      <c r="C33" s="4">
        <f>$C$7</f>
        <v>39</v>
      </c>
      <c r="D33" s="13">
        <f>SUM(D28,D22,D19)</f>
        <v>2217.5</v>
      </c>
      <c r="E33" s="13">
        <v>0</v>
      </c>
      <c r="F33" s="13">
        <f t="shared" ref="F33" si="15">SUM(D33:E33)</f>
        <v>2217.5</v>
      </c>
      <c r="G33" s="14">
        <f>SUM(G28,G22,G19)</f>
        <v>70960</v>
      </c>
      <c r="H33" s="34">
        <f t="shared" ref="H33:H34" si="16">F33/C33</f>
        <v>56.858974358974358</v>
      </c>
      <c r="I33" s="39">
        <f t="shared" ref="I33:I34" si="17">G33/C33</f>
        <v>1819.4871794871794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2074</v>
      </c>
      <c r="B34" s="3">
        <f>$B$7</f>
        <v>1</v>
      </c>
      <c r="C34" s="4">
        <f>$C$7</f>
        <v>39</v>
      </c>
      <c r="D34" s="4">
        <f>SUM(D29,D23,D20)</f>
        <v>1744</v>
      </c>
      <c r="E34" s="49">
        <v>0</v>
      </c>
      <c r="F34" s="4">
        <f>SUM(D34)</f>
        <v>1744</v>
      </c>
      <c r="G34" s="50">
        <f>SUM(G29,G23,G20)</f>
        <v>63083</v>
      </c>
      <c r="H34" s="41">
        <f t="shared" si="16"/>
        <v>44.717948717948715</v>
      </c>
      <c r="I34" s="42">
        <f t="shared" si="17"/>
        <v>1617.5128205128206</v>
      </c>
      <c r="J34" s="43">
        <f>I34/H34</f>
        <v>36.171444954128447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0.78647125140924468</v>
      </c>
      <c r="G35" s="16">
        <f t="shared" ref="G35" si="18">G34/G33</f>
        <v>0.88899379932356259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44.717948717948715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11.666666666666666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59.358974358974358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3:K46"/>
  <sheetViews>
    <sheetView view="pageBreakPreview" zoomScaleNormal="120" zoomScaleSheetLayoutView="100" workbookViewId="0">
      <selection activeCell="A27" sqref="A27:E27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29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2075</v>
      </c>
      <c r="B7" s="64">
        <v>165</v>
      </c>
      <c r="C7" s="65">
        <v>912</v>
      </c>
      <c r="D7" s="4">
        <f>G7/$J$7</f>
        <v>19578.96875</v>
      </c>
      <c r="E7" s="4">
        <v>0</v>
      </c>
      <c r="F7" s="4">
        <f t="shared" ref="F7" si="0">SUM(D7:E7)</f>
        <v>19578.96875</v>
      </c>
      <c r="G7" s="5">
        <f>SUM(G16,G19,G22,G25,G28)</f>
        <v>626527</v>
      </c>
      <c r="H7" s="9">
        <f t="shared" ref="H7:H8" si="1">F7/C7</f>
        <v>21.468167489035089</v>
      </c>
      <c r="I7" s="11">
        <f t="shared" ref="I7:I8" si="2">G7/C7</f>
        <v>686.98135964912285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2075</v>
      </c>
      <c r="B8" s="64">
        <v>165</v>
      </c>
      <c r="C8" s="65">
        <f>$C$7</f>
        <v>912</v>
      </c>
      <c r="D8" s="4">
        <f>SUM(D17,D20,D23,D26,D29)</f>
        <v>20040</v>
      </c>
      <c r="E8" s="4">
        <v>0</v>
      </c>
      <c r="F8" s="4">
        <f>SUM(D8)</f>
        <v>20040</v>
      </c>
      <c r="G8" s="5">
        <f>SUM(G17,G20,G23,G26,G29)</f>
        <v>677096</v>
      </c>
      <c r="H8" s="58">
        <f t="shared" si="1"/>
        <v>21.973684210526315</v>
      </c>
      <c r="I8" s="42">
        <f t="shared" si="2"/>
        <v>742.42982456140351</v>
      </c>
      <c r="J8" s="43">
        <f>I8/H8</f>
        <v>33.7872255489022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1.0235472693116179</v>
      </c>
      <c r="G10" s="62">
        <f t="shared" ref="G10" si="3">G8/G7</f>
        <v>1.0807132015060803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-461.03125</v>
      </c>
      <c r="G12" s="47">
        <f>G7-G8</f>
        <v>-50569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2075</v>
      </c>
      <c r="B16" s="3">
        <f>$B$7</f>
        <v>165</v>
      </c>
      <c r="C16" s="4">
        <f>$C$7</f>
        <v>912</v>
      </c>
      <c r="D16" s="4">
        <f>G16/$J$7</f>
        <v>1134.375</v>
      </c>
      <c r="E16" s="4">
        <v>0</v>
      </c>
      <c r="F16" s="13">
        <f t="shared" ref="F16:F17" si="4">SUM(D16:E16)</f>
        <v>1134.375</v>
      </c>
      <c r="G16" s="14">
        <v>36300</v>
      </c>
      <c r="H16" s="13">
        <f t="shared" ref="H16:H17" si="5">F16/C16</f>
        <v>1.2438322368421053</v>
      </c>
      <c r="I16" s="14">
        <f t="shared" ref="I16:I17" si="6">G16/C16</f>
        <v>39.80263157894737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2075</v>
      </c>
      <c r="B17" s="3">
        <f>$B$7</f>
        <v>165</v>
      </c>
      <c r="C17" s="4">
        <f>$C$7</f>
        <v>912</v>
      </c>
      <c r="D17" s="48">
        <v>301</v>
      </c>
      <c r="E17" s="48">
        <v>0</v>
      </c>
      <c r="F17" s="4">
        <f t="shared" si="4"/>
        <v>301</v>
      </c>
      <c r="G17" s="5">
        <v>18069</v>
      </c>
      <c r="H17" s="4">
        <f t="shared" si="5"/>
        <v>0.33004385964912281</v>
      </c>
      <c r="I17" s="5">
        <f t="shared" si="6"/>
        <v>19.8125</v>
      </c>
      <c r="J17" s="44">
        <f>I17/H17</f>
        <v>60.029900332225914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0.26534435261707989</v>
      </c>
      <c r="G18" s="16">
        <f t="shared" ref="G18" si="7">G17/G16</f>
        <v>0.49776859504132231</v>
      </c>
      <c r="H18" s="16"/>
      <c r="I18" s="16"/>
      <c r="J18" s="16"/>
      <c r="K18" s="45"/>
    </row>
    <row r="19" spans="1:11" ht="16.5" thickTop="1" thickBot="1" x14ac:dyDescent="0.25">
      <c r="A19" s="1">
        <f>$A$7</f>
        <v>2075</v>
      </c>
      <c r="B19" s="3">
        <f>$B$7</f>
        <v>165</v>
      </c>
      <c r="C19" s="4">
        <f>$C$7</f>
        <v>912</v>
      </c>
      <c r="D19" s="4">
        <f>G19/$J$7</f>
        <v>3786.25</v>
      </c>
      <c r="E19" s="4">
        <v>0</v>
      </c>
      <c r="F19" s="13">
        <f t="shared" ref="F19:F20" si="8">SUM(D19:E19)</f>
        <v>3786.25</v>
      </c>
      <c r="G19" s="14">
        <v>121160</v>
      </c>
      <c r="H19" s="13">
        <f t="shared" ref="H19:H20" si="9">F19/C19</f>
        <v>4.1515899122807021</v>
      </c>
      <c r="I19" s="14">
        <f t="shared" ref="I19:I20" si="10">G19/C19</f>
        <v>132.85087719298247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2075</v>
      </c>
      <c r="B20" s="3">
        <f>$B$7</f>
        <v>165</v>
      </c>
      <c r="C20" s="4">
        <f>$C$7</f>
        <v>912</v>
      </c>
      <c r="D20" s="48">
        <v>2365</v>
      </c>
      <c r="E20" s="48">
        <v>0</v>
      </c>
      <c r="F20" s="4">
        <f t="shared" si="8"/>
        <v>2365</v>
      </c>
      <c r="G20" s="5">
        <v>87993</v>
      </c>
      <c r="H20" s="4">
        <f t="shared" si="9"/>
        <v>2.5932017543859649</v>
      </c>
      <c r="I20" s="5">
        <f t="shared" si="10"/>
        <v>96.483552631578945</v>
      </c>
      <c r="J20" s="44">
        <f>I20/H20</f>
        <v>37.20634249471459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0.62462859029382634</v>
      </c>
      <c r="G21" s="16">
        <f t="shared" ref="G21" si="11">G20/G19</f>
        <v>0.72625453945196439</v>
      </c>
      <c r="H21" s="16"/>
      <c r="I21" s="16"/>
      <c r="J21" s="45"/>
      <c r="K21" s="45"/>
    </row>
    <row r="22" spans="1:11" ht="16.5" thickTop="1" thickBot="1" x14ac:dyDescent="0.25">
      <c r="A22" s="1">
        <f>$A$7</f>
        <v>2075</v>
      </c>
      <c r="B22" s="3">
        <f>$B$7</f>
        <v>165</v>
      </c>
      <c r="C22" s="4">
        <f>$C$7</f>
        <v>912</v>
      </c>
      <c r="D22" s="4">
        <f>G22/$J$7</f>
        <v>8721.46875</v>
      </c>
      <c r="E22" s="4">
        <v>0</v>
      </c>
      <c r="F22" s="13">
        <f>SUM(D22:E22)</f>
        <v>8721.46875</v>
      </c>
      <c r="G22" s="14">
        <v>279087</v>
      </c>
      <c r="H22" s="13">
        <f>F22/C22</f>
        <v>9.5630139802631575</v>
      </c>
      <c r="I22" s="14">
        <f>G22/C22</f>
        <v>306.01644736842104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2075</v>
      </c>
      <c r="B23" s="3">
        <f>$B$7</f>
        <v>165</v>
      </c>
      <c r="C23" s="4">
        <f>$C$7</f>
        <v>912</v>
      </c>
      <c r="D23" s="48">
        <v>12454</v>
      </c>
      <c r="E23" s="48">
        <v>0</v>
      </c>
      <c r="F23" s="4">
        <f>SUM(D23:E23)</f>
        <v>12454</v>
      </c>
      <c r="G23" s="5">
        <v>392552</v>
      </c>
      <c r="H23" s="4">
        <f>F23/C23</f>
        <v>13.655701754385966</v>
      </c>
      <c r="I23" s="5">
        <f>G23/C23</f>
        <v>430.42982456140351</v>
      </c>
      <c r="J23" s="44">
        <f>I23/H23</f>
        <v>31.520154167335793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1.4279704894889407</v>
      </c>
      <c r="G24" s="16">
        <f t="shared" ref="G24" si="12">G23/G22</f>
        <v>1.4065578117217929</v>
      </c>
      <c r="H24" s="16"/>
      <c r="I24" s="16"/>
      <c r="J24" s="17"/>
      <c r="K24" s="17"/>
    </row>
    <row r="25" spans="1:11" ht="16.5" thickTop="1" thickBot="1" x14ac:dyDescent="0.25">
      <c r="A25" s="1">
        <f>$A$7</f>
        <v>2075</v>
      </c>
      <c r="B25" s="3">
        <f>$B$7</f>
        <v>165</v>
      </c>
      <c r="C25" s="4">
        <v>918</v>
      </c>
      <c r="D25" s="4">
        <f>G25/$J$7</f>
        <v>2051.875</v>
      </c>
      <c r="E25" s="4">
        <v>0</v>
      </c>
      <c r="F25" s="13">
        <f>SUM(D25:E25)</f>
        <v>2051.875</v>
      </c>
      <c r="G25" s="14">
        <v>65660</v>
      </c>
      <c r="H25" s="13">
        <f>F25/C25</f>
        <v>2.2351579520697169</v>
      </c>
      <c r="I25" s="14">
        <f>G25/C25</f>
        <v>71.525054466230941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2075</v>
      </c>
      <c r="B26" s="3">
        <f>$B$7</f>
        <v>165</v>
      </c>
      <c r="C26" s="4">
        <v>918</v>
      </c>
      <c r="D26" s="48">
        <v>2441</v>
      </c>
      <c r="E26" s="48">
        <v>0</v>
      </c>
      <c r="F26" s="4">
        <f>SUM(D26:E26)</f>
        <v>2441</v>
      </c>
      <c r="G26" s="5">
        <v>89141</v>
      </c>
      <c r="H26" s="4">
        <f>F26/C26</f>
        <v>2.659041394335512</v>
      </c>
      <c r="I26" s="5">
        <f>G26/C26</f>
        <v>97.10348583877996</v>
      </c>
      <c r="J26" s="44">
        <f>I26/H26</f>
        <v>36.518230233510856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1.1896436186414865</v>
      </c>
      <c r="G27" s="16">
        <f t="shared" ref="G27" si="13">G26/G25</f>
        <v>1.3576149862930247</v>
      </c>
      <c r="H27" s="16"/>
      <c r="I27" s="16"/>
      <c r="J27" s="17"/>
      <c r="K27" s="17"/>
    </row>
    <row r="28" spans="1:11" ht="16.5" thickTop="1" thickBot="1" x14ac:dyDescent="0.25">
      <c r="A28" s="1">
        <f>$A$7</f>
        <v>2075</v>
      </c>
      <c r="B28" s="3">
        <f>$B$7</f>
        <v>165</v>
      </c>
      <c r="C28" s="4">
        <f>$C$7</f>
        <v>912</v>
      </c>
      <c r="D28" s="4">
        <f>G28/$J$7</f>
        <v>3885</v>
      </c>
      <c r="E28" s="4">
        <v>0</v>
      </c>
      <c r="F28" s="13">
        <f>SUM(D28:E28)</f>
        <v>3885</v>
      </c>
      <c r="G28" s="14">
        <v>124320</v>
      </c>
      <c r="H28" s="13">
        <f>F28/C28</f>
        <v>4.2598684210526319</v>
      </c>
      <c r="I28" s="14">
        <f>G28/C28</f>
        <v>136.31578947368422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2075</v>
      </c>
      <c r="B29" s="3">
        <f>$B$7</f>
        <v>165</v>
      </c>
      <c r="C29" s="4">
        <f>$C$7</f>
        <v>912</v>
      </c>
      <c r="D29" s="48">
        <v>2479</v>
      </c>
      <c r="E29" s="48">
        <v>0</v>
      </c>
      <c r="F29" s="4">
        <f>SUM(D29:E29)</f>
        <v>2479</v>
      </c>
      <c r="G29" s="5">
        <v>89341</v>
      </c>
      <c r="H29" s="4">
        <f>F29/C29</f>
        <v>2.7182017543859649</v>
      </c>
      <c r="I29" s="5">
        <f>G29/C29</f>
        <v>97.961622807017548</v>
      </c>
      <c r="J29" s="44">
        <f>I29/H29</f>
        <v>36.039128680919724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0.63809523809523805</v>
      </c>
      <c r="G30" s="16">
        <f t="shared" ref="G30" si="14">G29/G28</f>
        <v>0.71863738738738736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2075</v>
      </c>
      <c r="B33" s="3">
        <f>$B$7</f>
        <v>165</v>
      </c>
      <c r="C33" s="4">
        <f>$C$7</f>
        <v>912</v>
      </c>
      <c r="D33" s="13">
        <f>SUM(D28,D22,D19)</f>
        <v>16392.71875</v>
      </c>
      <c r="E33" s="13">
        <v>0</v>
      </c>
      <c r="F33" s="13">
        <f t="shared" ref="F33" si="15">SUM(D33:E33)</f>
        <v>16392.71875</v>
      </c>
      <c r="G33" s="14">
        <f>SUM(G28,G22,G19)</f>
        <v>524567</v>
      </c>
      <c r="H33" s="34">
        <f t="shared" ref="H33:H34" si="16">F33/C33</f>
        <v>17.97447231359649</v>
      </c>
      <c r="I33" s="39">
        <f t="shared" ref="I33:I34" si="17">G33/C33</f>
        <v>575.18311403508767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2075</v>
      </c>
      <c r="B34" s="3">
        <f>$B$7</f>
        <v>165</v>
      </c>
      <c r="C34" s="4">
        <f>$C$7</f>
        <v>912</v>
      </c>
      <c r="D34" s="4">
        <f>SUM(D29,D23,D20)</f>
        <v>17298</v>
      </c>
      <c r="E34" s="49">
        <v>0</v>
      </c>
      <c r="F34" s="4">
        <f>SUM(D34)</f>
        <v>17298</v>
      </c>
      <c r="G34" s="50">
        <f>SUM(G29,G23,G20)</f>
        <v>569886</v>
      </c>
      <c r="H34" s="41">
        <f t="shared" si="16"/>
        <v>18.967105263157894</v>
      </c>
      <c r="I34" s="42">
        <f t="shared" si="17"/>
        <v>624.875</v>
      </c>
      <c r="J34" s="43">
        <f>I34/H34</f>
        <v>32.945195976413459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1.0552245947610124</v>
      </c>
      <c r="G35" s="16">
        <f t="shared" ref="G35" si="18">G34/G33</f>
        <v>1.0863931585479072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18.967105263157894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2.659041394335512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21.973684210526315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3:K46"/>
  <sheetViews>
    <sheetView view="pageBreakPreview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30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2076</v>
      </c>
      <c r="B7" s="64">
        <v>215</v>
      </c>
      <c r="C7" s="65">
        <v>1207</v>
      </c>
      <c r="D7" s="4">
        <f>G7/$J$7</f>
        <v>28069.21875</v>
      </c>
      <c r="E7" s="4">
        <v>0</v>
      </c>
      <c r="F7" s="4">
        <f t="shared" ref="F7" si="0">SUM(D7:E7)</f>
        <v>28069.21875</v>
      </c>
      <c r="G7" s="5">
        <f>SUM(G16,G19,G22,G25,G28)</f>
        <v>898215</v>
      </c>
      <c r="H7" s="9">
        <f t="shared" ref="H7:H8" si="1">F7/C7</f>
        <v>23.25535936205468</v>
      </c>
      <c r="I7" s="11">
        <f t="shared" ref="I7:I8" si="2">G7/C7</f>
        <v>744.17149958574976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2076</v>
      </c>
      <c r="B8" s="64">
        <v>215</v>
      </c>
      <c r="C8" s="65">
        <f>$C$7</f>
        <v>1207</v>
      </c>
      <c r="D8" s="4">
        <f>SUM(D17,D20,D23,D26,D29)</f>
        <v>29669</v>
      </c>
      <c r="E8" s="4">
        <v>0</v>
      </c>
      <c r="F8" s="4">
        <f>SUM(D8)</f>
        <v>29669</v>
      </c>
      <c r="G8" s="5">
        <f>SUM(G17,G20,G23,G26,G29)</f>
        <v>997505</v>
      </c>
      <c r="H8" s="58">
        <f t="shared" si="1"/>
        <v>24.580778790389395</v>
      </c>
      <c r="I8" s="42">
        <f t="shared" si="2"/>
        <v>826.43330571665285</v>
      </c>
      <c r="J8" s="43">
        <f>I8/H8</f>
        <v>33.621119687215611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1.0569941495076345</v>
      </c>
      <c r="G10" s="62">
        <f t="shared" ref="G10" si="3">G8/G7</f>
        <v>1.1105414627900891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-1599.78125</v>
      </c>
      <c r="G12" s="47">
        <f>G7-G8</f>
        <v>-99290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2076</v>
      </c>
      <c r="B16" s="3">
        <f>$B$7</f>
        <v>215</v>
      </c>
      <c r="C16" s="4">
        <f>$C$7</f>
        <v>1207</v>
      </c>
      <c r="D16" s="4">
        <f>G16/$J$7</f>
        <v>1424.21875</v>
      </c>
      <c r="E16" s="4">
        <v>0</v>
      </c>
      <c r="F16" s="13">
        <f t="shared" ref="F16:F17" si="4">SUM(D16:E16)</f>
        <v>1424.21875</v>
      </c>
      <c r="G16" s="14">
        <v>45575</v>
      </c>
      <c r="H16" s="13">
        <f t="shared" ref="H16:H17" si="5">F16/C16</f>
        <v>1.1799658243579121</v>
      </c>
      <c r="I16" s="14">
        <f t="shared" ref="I16:I17" si="6">G16/C16</f>
        <v>37.758906379453187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2076</v>
      </c>
      <c r="B17" s="3">
        <f>$B$7</f>
        <v>215</v>
      </c>
      <c r="C17" s="4">
        <f>$C$7</f>
        <v>1207</v>
      </c>
      <c r="D17" s="48">
        <v>387</v>
      </c>
      <c r="E17" s="48">
        <v>0</v>
      </c>
      <c r="F17" s="4">
        <f t="shared" si="4"/>
        <v>387</v>
      </c>
      <c r="G17" s="5">
        <v>23111</v>
      </c>
      <c r="H17" s="4">
        <f t="shared" si="5"/>
        <v>0.32062966031483014</v>
      </c>
      <c r="I17" s="5">
        <f t="shared" si="6"/>
        <v>19.147473073736538</v>
      </c>
      <c r="J17" s="44">
        <f>I17/H17</f>
        <v>59.718346253229981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0.2717279210093253</v>
      </c>
      <c r="G18" s="16">
        <f t="shared" ref="G18" si="7">G17/G16</f>
        <v>0.5070981897970378</v>
      </c>
      <c r="H18" s="16"/>
      <c r="I18" s="16"/>
      <c r="J18" s="16"/>
      <c r="K18" s="45"/>
    </row>
    <row r="19" spans="1:11" ht="16.5" thickTop="1" thickBot="1" x14ac:dyDescent="0.25">
      <c r="A19" s="1">
        <f>$A$7</f>
        <v>2076</v>
      </c>
      <c r="B19" s="3">
        <f>$B$7</f>
        <v>215</v>
      </c>
      <c r="C19" s="4">
        <f>$C$7</f>
        <v>1207</v>
      </c>
      <c r="D19" s="4">
        <f>G19/$J$7</f>
        <v>6698.96875</v>
      </c>
      <c r="E19" s="4">
        <v>0</v>
      </c>
      <c r="F19" s="13">
        <f t="shared" ref="F19:F20" si="8">SUM(D19:E19)</f>
        <v>6698.96875</v>
      </c>
      <c r="G19" s="14">
        <v>214367</v>
      </c>
      <c r="H19" s="13">
        <f t="shared" ref="H19:H20" si="9">F19/C19</f>
        <v>5.5500983844241922</v>
      </c>
      <c r="I19" s="14">
        <f t="shared" ref="I19:I20" si="10">G19/C19</f>
        <v>177.60314830157415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2076</v>
      </c>
      <c r="B20" s="3">
        <f>$B$7</f>
        <v>215</v>
      </c>
      <c r="C20" s="4">
        <f>$C$7</f>
        <v>1207</v>
      </c>
      <c r="D20" s="48">
        <v>3409</v>
      </c>
      <c r="E20" s="48">
        <v>0</v>
      </c>
      <c r="F20" s="4">
        <f t="shared" si="8"/>
        <v>3409</v>
      </c>
      <c r="G20" s="5">
        <v>133682</v>
      </c>
      <c r="H20" s="4">
        <f t="shared" si="9"/>
        <v>2.8243579121789559</v>
      </c>
      <c r="I20" s="5">
        <f t="shared" si="10"/>
        <v>110.75559237779619</v>
      </c>
      <c r="J20" s="44">
        <f>I20/H20</f>
        <v>39.214432384863599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0.50888429655683942</v>
      </c>
      <c r="G21" s="16">
        <f t="shared" ref="G21" si="11">G20/G19</f>
        <v>0.62361277622022049</v>
      </c>
      <c r="H21" s="16"/>
      <c r="I21" s="16"/>
      <c r="J21" s="45"/>
      <c r="K21" s="45"/>
    </row>
    <row r="22" spans="1:11" ht="16.5" thickTop="1" thickBot="1" x14ac:dyDescent="0.25">
      <c r="A22" s="1">
        <f>$A$7</f>
        <v>2076</v>
      </c>
      <c r="B22" s="3">
        <f>$B$7</f>
        <v>215</v>
      </c>
      <c r="C22" s="4">
        <f>$C$7</f>
        <v>1207</v>
      </c>
      <c r="D22" s="4">
        <f>G22/$J$7</f>
        <v>11047.28125</v>
      </c>
      <c r="E22" s="4">
        <v>0</v>
      </c>
      <c r="F22" s="13">
        <f>SUM(D22:E22)</f>
        <v>11047.28125</v>
      </c>
      <c r="G22" s="14">
        <v>353513</v>
      </c>
      <c r="H22" s="13">
        <f>F22/C22</f>
        <v>9.1526770919635467</v>
      </c>
      <c r="I22" s="14">
        <f>G22/C22</f>
        <v>292.8856669428335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2076</v>
      </c>
      <c r="B23" s="3">
        <f>$B$7</f>
        <v>215</v>
      </c>
      <c r="C23" s="4">
        <f>$C$7</f>
        <v>1207</v>
      </c>
      <c r="D23" s="48">
        <v>17035</v>
      </c>
      <c r="E23" s="48">
        <v>0</v>
      </c>
      <c r="F23" s="4">
        <f>SUM(D23:E23)</f>
        <v>17035</v>
      </c>
      <c r="G23" s="5">
        <v>545106</v>
      </c>
      <c r="H23" s="4">
        <f>F23/C23</f>
        <v>14.113504556752279</v>
      </c>
      <c r="I23" s="5">
        <f>G23/C23</f>
        <v>451.62054681027342</v>
      </c>
      <c r="J23" s="44">
        <f>I23/H23</f>
        <v>31.999178162606398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1.542008356128346</v>
      </c>
      <c r="G24" s="16">
        <f t="shared" ref="G24" si="12">G23/G22</f>
        <v>1.5419687536243363</v>
      </c>
      <c r="H24" s="16"/>
      <c r="I24" s="16"/>
      <c r="J24" s="17"/>
      <c r="K24" s="17"/>
    </row>
    <row r="25" spans="1:11" ht="16.5" thickTop="1" thickBot="1" x14ac:dyDescent="0.25">
      <c r="A25" s="1">
        <f>$A$7</f>
        <v>2076</v>
      </c>
      <c r="B25" s="3">
        <f>$B$7</f>
        <v>215</v>
      </c>
      <c r="C25" s="4">
        <v>1196</v>
      </c>
      <c r="D25" s="4">
        <f>G25/$J$7</f>
        <v>2538.75</v>
      </c>
      <c r="E25" s="4">
        <v>0</v>
      </c>
      <c r="F25" s="13">
        <f>SUM(D25:E25)</f>
        <v>2538.75</v>
      </c>
      <c r="G25" s="14">
        <v>81240</v>
      </c>
      <c r="H25" s="13">
        <f>F25/C25</f>
        <v>2.122700668896321</v>
      </c>
      <c r="I25" s="14">
        <f>G25/C25</f>
        <v>67.926421404682273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2076</v>
      </c>
      <c r="B26" s="3">
        <f>$B$7</f>
        <v>215</v>
      </c>
      <c r="C26" s="4">
        <v>1196</v>
      </c>
      <c r="D26" s="48">
        <v>4741</v>
      </c>
      <c r="E26" s="48">
        <v>0</v>
      </c>
      <c r="F26" s="4">
        <f>SUM(D26:E26)</f>
        <v>4741</v>
      </c>
      <c r="G26" s="5">
        <v>154786</v>
      </c>
      <c r="H26" s="4">
        <f>F26/C26</f>
        <v>3.9640468227424748</v>
      </c>
      <c r="I26" s="5">
        <f>G26/C26</f>
        <v>129.41973244147158</v>
      </c>
      <c r="J26" s="44">
        <f>I26/H26</f>
        <v>32.648386416367856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1.8674544559330379</v>
      </c>
      <c r="G27" s="16">
        <f t="shared" ref="G27" si="13">G26/G25</f>
        <v>1.9052929591334318</v>
      </c>
      <c r="H27" s="16"/>
      <c r="I27" s="16"/>
      <c r="J27" s="17"/>
      <c r="K27" s="17"/>
    </row>
    <row r="28" spans="1:11" ht="16.5" thickTop="1" thickBot="1" x14ac:dyDescent="0.25">
      <c r="A28" s="1">
        <f>$A$7</f>
        <v>2076</v>
      </c>
      <c r="B28" s="3">
        <f>$B$7</f>
        <v>215</v>
      </c>
      <c r="C28" s="4">
        <f>$C$7</f>
        <v>1207</v>
      </c>
      <c r="D28" s="4">
        <f>G28/$J$7</f>
        <v>6360</v>
      </c>
      <c r="E28" s="4">
        <v>0</v>
      </c>
      <c r="F28" s="13">
        <f>SUM(D28:E28)</f>
        <v>6360</v>
      </c>
      <c r="G28" s="14">
        <v>203520</v>
      </c>
      <c r="H28" s="13">
        <f>F28/C28</f>
        <v>5.2692626346313176</v>
      </c>
      <c r="I28" s="14">
        <f>G28/C28</f>
        <v>168.61640430820216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2076</v>
      </c>
      <c r="B29" s="3">
        <f>$B$7</f>
        <v>215</v>
      </c>
      <c r="C29" s="4">
        <f>$C$7</f>
        <v>1207</v>
      </c>
      <c r="D29" s="48">
        <v>4097</v>
      </c>
      <c r="E29" s="48">
        <v>0</v>
      </c>
      <c r="F29" s="4">
        <f>SUM(D29:E29)</f>
        <v>4097</v>
      </c>
      <c r="G29" s="5">
        <v>140820</v>
      </c>
      <c r="H29" s="4">
        <f>F29/C29</f>
        <v>3.3943661971830985</v>
      </c>
      <c r="I29" s="5">
        <f>G29/C29</f>
        <v>116.66942833471417</v>
      </c>
      <c r="J29" s="44">
        <f>I29/H29</f>
        <v>34.37149133512326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0.64418238993710697</v>
      </c>
      <c r="G30" s="16">
        <f t="shared" ref="G30" si="14">G29/G28</f>
        <v>0.69192216981132071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2076</v>
      </c>
      <c r="B33" s="3">
        <f>$B$7</f>
        <v>215</v>
      </c>
      <c r="C33" s="4">
        <f>$C$7</f>
        <v>1207</v>
      </c>
      <c r="D33" s="13">
        <f>SUM(D28,D22,D19)</f>
        <v>24106.25</v>
      </c>
      <c r="E33" s="13">
        <v>0</v>
      </c>
      <c r="F33" s="13">
        <f t="shared" ref="F33" si="15">SUM(D33:E33)</f>
        <v>24106.25</v>
      </c>
      <c r="G33" s="14">
        <f>SUM(G28,G22,G19)</f>
        <v>771400</v>
      </c>
      <c r="H33" s="34">
        <f t="shared" ref="H33:H34" si="16">F33/C33</f>
        <v>19.972038111019057</v>
      </c>
      <c r="I33" s="39">
        <f t="shared" ref="I33:I34" si="17">G33/C33</f>
        <v>639.10521955260981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2076</v>
      </c>
      <c r="B34" s="3">
        <f>$B$7</f>
        <v>215</v>
      </c>
      <c r="C34" s="4">
        <f>$C$7</f>
        <v>1207</v>
      </c>
      <c r="D34" s="4">
        <f>SUM(D29,D23,D20)</f>
        <v>24541</v>
      </c>
      <c r="E34" s="49">
        <v>0</v>
      </c>
      <c r="F34" s="4">
        <f>SUM(D34)</f>
        <v>24541</v>
      </c>
      <c r="G34" s="50">
        <f>SUM(G29,G23,G20)</f>
        <v>819608</v>
      </c>
      <c r="H34" s="41">
        <f t="shared" si="16"/>
        <v>20.332228666114332</v>
      </c>
      <c r="I34" s="42">
        <f t="shared" si="17"/>
        <v>679.04556752278381</v>
      </c>
      <c r="J34" s="43">
        <f>I34/H34</f>
        <v>33.397498064463555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1.0180347420274825</v>
      </c>
      <c r="G35" s="16">
        <f t="shared" ref="G35" si="18">G34/G33</f>
        <v>1.0624941664506093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20.332228666114332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3.9640468227424748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24.580778790389395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2778-2331-4796-8E9C-EA5A2DAE6711}">
  <dimension ref="A3:K46"/>
  <sheetViews>
    <sheetView topLeftCell="A8" zoomScale="120" zoomScaleNormal="120" zoomScaleSheetLayoutView="100" workbookViewId="0">
      <selection activeCell="Q52" sqref="Q52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39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2077</v>
      </c>
      <c r="B7" s="64">
        <v>302</v>
      </c>
      <c r="C7" s="65">
        <v>1965</v>
      </c>
      <c r="D7" s="4">
        <f>G7/$J$7</f>
        <v>41884</v>
      </c>
      <c r="E7" s="4">
        <v>0</v>
      </c>
      <c r="F7" s="4">
        <f>SUM(D7:E7)</f>
        <v>41884</v>
      </c>
      <c r="G7" s="5">
        <f>SUM(G16,G19,G22,G25,G28)</f>
        <v>1465940</v>
      </c>
      <c r="H7" s="9">
        <f>F7/C7</f>
        <v>21.315012722646312</v>
      </c>
      <c r="I7" s="11">
        <f>G7/C7</f>
        <v>746.02544529262082</v>
      </c>
      <c r="J7" s="12">
        <v>35</v>
      </c>
      <c r="K7" s="37" t="s">
        <v>10</v>
      </c>
    </row>
    <row r="8" spans="1:11" ht="16.5" thickTop="1" thickBot="1" x14ac:dyDescent="0.25">
      <c r="A8" s="3">
        <f>$A$7</f>
        <v>2077</v>
      </c>
      <c r="B8" s="64">
        <v>302</v>
      </c>
      <c r="C8" s="65">
        <v>2642</v>
      </c>
      <c r="D8" s="4">
        <f>SUM(D17,D20,D23,D26,D29)</f>
        <v>37217</v>
      </c>
      <c r="E8" s="4">
        <v>0</v>
      </c>
      <c r="F8" s="4">
        <f>SUM(D8)</f>
        <v>37217</v>
      </c>
      <c r="G8" s="5">
        <f>SUM(G17,G20,G23,G26,G29)</f>
        <v>1208682</v>
      </c>
      <c r="H8" s="58">
        <f>F8/C8</f>
        <v>14.086676760030279</v>
      </c>
      <c r="I8" s="42">
        <f>G8/C8</f>
        <v>457.48750946252841</v>
      </c>
      <c r="J8" s="43">
        <f>I8/H8</f>
        <v>32.476610151274961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0.88857320217744251</v>
      </c>
      <c r="G10" s="62">
        <f>G8/G7</f>
        <v>0.82450987079962346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4667</v>
      </c>
      <c r="G12" s="47">
        <f>G7-G8</f>
        <v>257258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2077</v>
      </c>
      <c r="B16" s="3">
        <f>$B$7</f>
        <v>302</v>
      </c>
      <c r="C16" s="4">
        <f>$C$7</f>
        <v>1965</v>
      </c>
      <c r="D16" s="4">
        <f>G16/$J$7</f>
        <v>1566.2857142857142</v>
      </c>
      <c r="E16" s="4">
        <v>0</v>
      </c>
      <c r="F16" s="13">
        <f>SUM(D16:E16)</f>
        <v>1566.2857142857142</v>
      </c>
      <c r="G16" s="14">
        <v>54820</v>
      </c>
      <c r="H16" s="13">
        <f>F16/C16</f>
        <v>0.79709196655761538</v>
      </c>
      <c r="I16" s="14">
        <f>G16/C16</f>
        <v>27.898218829516541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2077</v>
      </c>
      <c r="B17" s="3">
        <f>$B$7</f>
        <v>302</v>
      </c>
      <c r="C17" s="4">
        <f>$C$7</f>
        <v>1965</v>
      </c>
      <c r="D17" s="48">
        <v>483</v>
      </c>
      <c r="E17" s="48">
        <v>0</v>
      </c>
      <c r="F17" s="4">
        <f>SUM(D17:E17)</f>
        <v>483</v>
      </c>
      <c r="G17" s="5">
        <v>26600</v>
      </c>
      <c r="H17" s="4">
        <f>F17/C17</f>
        <v>0.24580152671755726</v>
      </c>
      <c r="I17" s="5">
        <f>G17/C17</f>
        <v>13.536895674300254</v>
      </c>
      <c r="J17" s="44">
        <f>I17/H17</f>
        <v>55.072463768115938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0.30837285662167091</v>
      </c>
      <c r="G18" s="16">
        <f>G17/G16</f>
        <v>0.48522437066763957</v>
      </c>
      <c r="H18" s="16"/>
      <c r="I18" s="16"/>
      <c r="J18" s="16"/>
      <c r="K18" s="45"/>
    </row>
    <row r="19" spans="1:11" ht="16.5" thickTop="1" thickBot="1" x14ac:dyDescent="0.25">
      <c r="A19" s="1">
        <f>$A$7</f>
        <v>2077</v>
      </c>
      <c r="B19" s="3">
        <f>$B$7</f>
        <v>302</v>
      </c>
      <c r="C19" s="4">
        <f>$C$7</f>
        <v>1965</v>
      </c>
      <c r="D19" s="4">
        <f>G19/$J$7</f>
        <v>3815.4285714285716</v>
      </c>
      <c r="E19" s="4">
        <v>0</v>
      </c>
      <c r="F19" s="13">
        <f>SUM(D19:E19)</f>
        <v>3815.4285714285716</v>
      </c>
      <c r="G19" s="14">
        <v>133540</v>
      </c>
      <c r="H19" s="13">
        <f>F19/C19</f>
        <v>1.9416939294801892</v>
      </c>
      <c r="I19" s="14">
        <f>G19/C19</f>
        <v>67.959287531806609</v>
      </c>
      <c r="J19" s="6">
        <f>I19/H19</f>
        <v>34.999999999999993</v>
      </c>
      <c r="K19" s="27" t="s">
        <v>10</v>
      </c>
    </row>
    <row r="20" spans="1:11" ht="16.5" thickTop="1" thickBot="1" x14ac:dyDescent="0.25">
      <c r="A20" s="1">
        <f>$A$7</f>
        <v>2077</v>
      </c>
      <c r="B20" s="3">
        <f>$B$7</f>
        <v>302</v>
      </c>
      <c r="C20" s="4">
        <f>$C$7</f>
        <v>1965</v>
      </c>
      <c r="D20" s="48">
        <v>2514</v>
      </c>
      <c r="E20" s="48">
        <v>0</v>
      </c>
      <c r="F20" s="4">
        <f>SUM(D20:E20)</f>
        <v>2514</v>
      </c>
      <c r="G20" s="5">
        <v>102815</v>
      </c>
      <c r="H20" s="4">
        <f>F20/C20</f>
        <v>1.2793893129770992</v>
      </c>
      <c r="I20" s="5">
        <f>G20/C20</f>
        <v>52.323155216284988</v>
      </c>
      <c r="J20" s="44">
        <f>I20/H20</f>
        <v>40.896976929196498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0.65890369926613745</v>
      </c>
      <c r="G21" s="16">
        <f>G20/G19</f>
        <v>0.76991912535569862</v>
      </c>
      <c r="H21" s="16"/>
      <c r="I21" s="16"/>
      <c r="J21" s="45"/>
      <c r="K21" s="45"/>
    </row>
    <row r="22" spans="1:11" ht="16.5" thickTop="1" thickBot="1" x14ac:dyDescent="0.25">
      <c r="A22" s="1">
        <f>$A$7</f>
        <v>2077</v>
      </c>
      <c r="B22" s="3">
        <f>$B$7</f>
        <v>302</v>
      </c>
      <c r="C22" s="4">
        <f>$C$7</f>
        <v>1965</v>
      </c>
      <c r="D22" s="4">
        <f>G22/$J$7</f>
        <v>25950.857142857141</v>
      </c>
      <c r="E22" s="4">
        <v>0</v>
      </c>
      <c r="F22" s="13">
        <f>SUM(D22:E22)</f>
        <v>25950.857142857141</v>
      </c>
      <c r="G22" s="14">
        <v>908280</v>
      </c>
      <c r="H22" s="13">
        <f>F22/C22</f>
        <v>13.206543075245365</v>
      </c>
      <c r="I22" s="14">
        <f>G22/C22</f>
        <v>462.2290076335878</v>
      </c>
      <c r="J22" s="6">
        <f>I22/H22</f>
        <v>35</v>
      </c>
      <c r="K22" s="27" t="s">
        <v>10</v>
      </c>
    </row>
    <row r="23" spans="1:11" ht="16.5" thickTop="1" thickBot="1" x14ac:dyDescent="0.25">
      <c r="A23" s="1">
        <f>$A$7</f>
        <v>2077</v>
      </c>
      <c r="B23" s="3">
        <f>$B$7</f>
        <v>302</v>
      </c>
      <c r="C23" s="4">
        <f>$C$7</f>
        <v>1965</v>
      </c>
      <c r="D23" s="48">
        <v>24800</v>
      </c>
      <c r="E23" s="48">
        <v>0</v>
      </c>
      <c r="F23" s="4">
        <f>SUM(D23:E23)</f>
        <v>24800</v>
      </c>
      <c r="G23" s="5">
        <v>806098</v>
      </c>
      <c r="H23" s="4">
        <f>F23/C23</f>
        <v>12.62086513994911</v>
      </c>
      <c r="I23" s="5">
        <f>G23/C23</f>
        <v>410.22798982188294</v>
      </c>
      <c r="J23" s="44">
        <f>I23/H23</f>
        <v>32.503951612903222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0.95565244197824462</v>
      </c>
      <c r="G24" s="16">
        <f>G23/G22</f>
        <v>0.88749944950896198</v>
      </c>
      <c r="H24" s="16"/>
      <c r="I24" s="16"/>
      <c r="J24" s="17"/>
      <c r="K24" s="17"/>
    </row>
    <row r="25" spans="1:11" ht="16.5" thickTop="1" thickBot="1" x14ac:dyDescent="0.25">
      <c r="A25" s="1">
        <f>$A$7</f>
        <v>2077</v>
      </c>
      <c r="B25" s="3">
        <f>$B$7</f>
        <v>302</v>
      </c>
      <c r="C25" s="4">
        <f>C8</f>
        <v>2642</v>
      </c>
      <c r="D25" s="4">
        <f>G25/$J$7</f>
        <v>6430.5714285714284</v>
      </c>
      <c r="E25" s="4">
        <v>0</v>
      </c>
      <c r="F25" s="13">
        <f>SUM(D25:E25)</f>
        <v>6430.5714285714284</v>
      </c>
      <c r="G25" s="14">
        <v>225070</v>
      </c>
      <c r="H25" s="13">
        <f>F25/C25</f>
        <v>2.4339785876500488</v>
      </c>
      <c r="I25" s="14">
        <f>G25/C25</f>
        <v>85.189250567751699</v>
      </c>
      <c r="J25" s="6">
        <f>I25/H25</f>
        <v>34.999999999999993</v>
      </c>
      <c r="K25" s="27" t="s">
        <v>10</v>
      </c>
    </row>
    <row r="26" spans="1:11" ht="16.5" thickTop="1" thickBot="1" x14ac:dyDescent="0.25">
      <c r="A26" s="1">
        <f>$A$7</f>
        <v>2077</v>
      </c>
      <c r="B26" s="3">
        <f>$B$7</f>
        <v>302</v>
      </c>
      <c r="C26" s="4">
        <f>C25</f>
        <v>2642</v>
      </c>
      <c r="D26" s="48">
        <v>5406</v>
      </c>
      <c r="E26" s="48">
        <v>0</v>
      </c>
      <c r="F26" s="4">
        <f>SUM(D26:E26)</f>
        <v>5406</v>
      </c>
      <c r="G26" s="5">
        <v>157218</v>
      </c>
      <c r="H26" s="4">
        <f>F26/C26</f>
        <v>2.0461771385314158</v>
      </c>
      <c r="I26" s="5">
        <f>G26/C26</f>
        <v>59.507191521574562</v>
      </c>
      <c r="J26" s="44">
        <f>I26/H26</f>
        <v>29.08213096559378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0.84067179099835609</v>
      </c>
      <c r="G27" s="16">
        <f>G26/G25</f>
        <v>0.69852934642555653</v>
      </c>
      <c r="H27" s="16"/>
      <c r="I27" s="16"/>
      <c r="J27" s="17"/>
      <c r="K27" s="17"/>
    </row>
    <row r="28" spans="1:11" ht="16.5" thickTop="1" thickBot="1" x14ac:dyDescent="0.25">
      <c r="A28" s="1">
        <f>$A$7</f>
        <v>2077</v>
      </c>
      <c r="B28" s="3">
        <f>$B$7</f>
        <v>302</v>
      </c>
      <c r="C28" s="4">
        <f>$C$7</f>
        <v>1965</v>
      </c>
      <c r="D28" s="4">
        <f>G28/$J$7</f>
        <v>4120.8571428571431</v>
      </c>
      <c r="E28" s="4">
        <v>0</v>
      </c>
      <c r="F28" s="13">
        <f>SUM(D28:E28)</f>
        <v>4120.8571428571431</v>
      </c>
      <c r="G28" s="14">
        <v>144230</v>
      </c>
      <c r="H28" s="13">
        <f>F28/C28</f>
        <v>2.0971283169756454</v>
      </c>
      <c r="I28" s="14">
        <f>G28/C28</f>
        <v>73.399491094147578</v>
      </c>
      <c r="J28" s="6">
        <f>I28/H28</f>
        <v>34.999999999999993</v>
      </c>
      <c r="K28" s="27" t="s">
        <v>10</v>
      </c>
    </row>
    <row r="29" spans="1:11" ht="16.5" thickTop="1" thickBot="1" x14ac:dyDescent="0.25">
      <c r="A29" s="1">
        <f>$A$7</f>
        <v>2077</v>
      </c>
      <c r="B29" s="3">
        <f>$B$7</f>
        <v>302</v>
      </c>
      <c r="C29" s="4">
        <f>$C$7</f>
        <v>1965</v>
      </c>
      <c r="D29" s="48">
        <v>4014</v>
      </c>
      <c r="E29" s="48">
        <v>0</v>
      </c>
      <c r="F29" s="4">
        <f>SUM(D29:E29)</f>
        <v>4014</v>
      </c>
      <c r="G29" s="5">
        <v>115951</v>
      </c>
      <c r="H29" s="4">
        <f>F29/C29</f>
        <v>2.0427480916030536</v>
      </c>
      <c r="I29" s="5">
        <f>G29/C29</f>
        <v>59.00814249363868</v>
      </c>
      <c r="J29" s="44">
        <f>I29/H29</f>
        <v>28.88664673642252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0.97406919503570677</v>
      </c>
      <c r="G30" s="16">
        <f>G29/G28</f>
        <v>0.80393122096651182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2077</v>
      </c>
      <c r="B33" s="3">
        <f>$B$7</f>
        <v>302</v>
      </c>
      <c r="C33" s="4">
        <f>$C$7</f>
        <v>1965</v>
      </c>
      <c r="D33" s="13">
        <f>SUM(D28,D22,D19)</f>
        <v>33887.142857142855</v>
      </c>
      <c r="E33" s="13">
        <v>0</v>
      </c>
      <c r="F33" s="13">
        <f>SUM(D33:E33)</f>
        <v>33887.142857142855</v>
      </c>
      <c r="G33" s="14">
        <f>SUM(G28,G22,G19)</f>
        <v>1186050</v>
      </c>
      <c r="H33" s="34">
        <f>F33/C33</f>
        <v>17.245365321701197</v>
      </c>
      <c r="I33" s="39">
        <f>G33/C33</f>
        <v>603.58778625954199</v>
      </c>
      <c r="J33" s="12">
        <f>I33/H33</f>
        <v>35.000000000000007</v>
      </c>
      <c r="K33" s="35" t="s">
        <v>10</v>
      </c>
    </row>
    <row r="34" spans="1:11" ht="17.25" thickTop="1" thickBot="1" x14ac:dyDescent="0.25">
      <c r="A34" s="53">
        <f>$A$7</f>
        <v>2077</v>
      </c>
      <c r="B34" s="3">
        <f>$B$7</f>
        <v>302</v>
      </c>
      <c r="C34" s="4">
        <f>$C$7</f>
        <v>1965</v>
      </c>
      <c r="D34" s="4">
        <f>SUM(D29,D23,D20)</f>
        <v>31328</v>
      </c>
      <c r="E34" s="49">
        <v>0</v>
      </c>
      <c r="F34" s="4">
        <f>SUM(D34)</f>
        <v>31328</v>
      </c>
      <c r="G34" s="50">
        <f>SUM(G29,G23,G20)</f>
        <v>1024864</v>
      </c>
      <c r="H34" s="41">
        <f>F34/C34</f>
        <v>15.943002544529262</v>
      </c>
      <c r="I34" s="42">
        <f>G34/C34</f>
        <v>521.5592875318066</v>
      </c>
      <c r="J34" s="43">
        <f>I34/H34</f>
        <v>32.713993871297241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0.9244804181948485</v>
      </c>
      <c r="G35" s="63">
        <f>G34/G33</f>
        <v>0.86409847814173091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3:K46"/>
  <sheetViews>
    <sheetView view="pageBreakPreview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31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2078</v>
      </c>
      <c r="B7" s="64">
        <v>141</v>
      </c>
      <c r="C7" s="65">
        <v>818</v>
      </c>
      <c r="D7" s="4">
        <f>G7/$J$7</f>
        <v>21562.375</v>
      </c>
      <c r="E7" s="4">
        <v>0</v>
      </c>
      <c r="F7" s="4">
        <f t="shared" ref="F7" si="0">SUM(D7:E7)</f>
        <v>21562.375</v>
      </c>
      <c r="G7" s="5">
        <f>SUM(G16,G19,G22,G25,G28)</f>
        <v>689996</v>
      </c>
      <c r="H7" s="9">
        <f t="shared" ref="H7:H8" si="1">F7/C7</f>
        <v>26.359871638141808</v>
      </c>
      <c r="I7" s="11">
        <f t="shared" ref="I7:I8" si="2">G7/C7</f>
        <v>843.51589242053785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2078</v>
      </c>
      <c r="B8" s="64">
        <v>141</v>
      </c>
      <c r="C8" s="65">
        <f>$C$7</f>
        <v>818</v>
      </c>
      <c r="D8" s="4">
        <f>SUM(D17,D20,D23,D26,D29)</f>
        <v>24716</v>
      </c>
      <c r="E8" s="4">
        <v>0</v>
      </c>
      <c r="F8" s="4">
        <f>SUM(D8)</f>
        <v>24716</v>
      </c>
      <c r="G8" s="5">
        <f>SUM(G17,G20,G23,G26,G29)</f>
        <v>898832</v>
      </c>
      <c r="H8" s="58">
        <f t="shared" si="1"/>
        <v>30.21515892420538</v>
      </c>
      <c r="I8" s="42">
        <f t="shared" si="2"/>
        <v>1098.8166259168704</v>
      </c>
      <c r="J8" s="43">
        <f>I8/H8</f>
        <v>36.366402330474187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1.1462559203241758</v>
      </c>
      <c r="G10" s="62">
        <f t="shared" ref="G10" si="3">G8/G7</f>
        <v>1.3026626241311543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-3153.625</v>
      </c>
      <c r="G12" s="47">
        <f>G7-G8</f>
        <v>-208836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2078</v>
      </c>
      <c r="B16" s="3">
        <f>$B$7</f>
        <v>141</v>
      </c>
      <c r="C16" s="4">
        <f>$C$7</f>
        <v>818</v>
      </c>
      <c r="D16" s="4">
        <f>G16/$J$7</f>
        <v>1040.625</v>
      </c>
      <c r="E16" s="4">
        <v>0</v>
      </c>
      <c r="F16" s="13">
        <f t="shared" ref="F16:F17" si="4">SUM(D16:E16)</f>
        <v>1040.625</v>
      </c>
      <c r="G16" s="14">
        <v>33300</v>
      </c>
      <c r="H16" s="13">
        <f t="shared" ref="H16:H17" si="5">F16/C16</f>
        <v>1.2721577017114913</v>
      </c>
      <c r="I16" s="14">
        <f t="shared" ref="I16:I17" si="6">G16/C16</f>
        <v>40.709046454767723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2078</v>
      </c>
      <c r="B17" s="3">
        <f>$B$7</f>
        <v>141</v>
      </c>
      <c r="C17" s="4">
        <f>$C$7</f>
        <v>818</v>
      </c>
      <c r="D17" s="48">
        <v>660</v>
      </c>
      <c r="E17" s="48">
        <v>0</v>
      </c>
      <c r="F17" s="4">
        <f t="shared" si="4"/>
        <v>660</v>
      </c>
      <c r="G17" s="5">
        <v>38436</v>
      </c>
      <c r="H17" s="4">
        <f t="shared" si="5"/>
        <v>0.8068459657701712</v>
      </c>
      <c r="I17" s="5">
        <f t="shared" si="6"/>
        <v>46.987775061124694</v>
      </c>
      <c r="J17" s="44">
        <f>I17/H17</f>
        <v>58.236363636363635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0.6342342342342342</v>
      </c>
      <c r="G18" s="16">
        <f t="shared" ref="G18" si="7">G17/G16</f>
        <v>1.1542342342342342</v>
      </c>
      <c r="H18" s="16"/>
      <c r="I18" s="16"/>
      <c r="J18" s="16"/>
      <c r="K18" s="45"/>
    </row>
    <row r="19" spans="1:11" ht="16.5" thickTop="1" thickBot="1" x14ac:dyDescent="0.25">
      <c r="A19" s="1">
        <f>$A$7</f>
        <v>2078</v>
      </c>
      <c r="B19" s="3">
        <f>$B$7</f>
        <v>141</v>
      </c>
      <c r="C19" s="4">
        <f>$C$7</f>
        <v>818</v>
      </c>
      <c r="D19" s="4">
        <f>G19/$J$7</f>
        <v>5702.1875</v>
      </c>
      <c r="E19" s="4">
        <v>0</v>
      </c>
      <c r="F19" s="13">
        <f t="shared" ref="F19:F20" si="8">SUM(D19:E19)</f>
        <v>5702.1875</v>
      </c>
      <c r="G19" s="14">
        <v>182470</v>
      </c>
      <c r="H19" s="13">
        <f t="shared" ref="H19:H20" si="9">F19/C19</f>
        <v>6.9708893643031784</v>
      </c>
      <c r="I19" s="14">
        <f t="shared" ref="I19:I20" si="10">G19/C19</f>
        <v>223.06845965770171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2078</v>
      </c>
      <c r="B20" s="3">
        <f>$B$7</f>
        <v>141</v>
      </c>
      <c r="C20" s="4">
        <f>$C$7</f>
        <v>818</v>
      </c>
      <c r="D20" s="48">
        <v>3747</v>
      </c>
      <c r="E20" s="48">
        <v>0</v>
      </c>
      <c r="F20" s="4">
        <f t="shared" si="8"/>
        <v>3747</v>
      </c>
      <c r="G20" s="5">
        <v>156661</v>
      </c>
      <c r="H20" s="4">
        <f t="shared" si="9"/>
        <v>4.5806845965770169</v>
      </c>
      <c r="I20" s="5">
        <f t="shared" si="10"/>
        <v>191.51711491442543</v>
      </c>
      <c r="J20" s="44">
        <f>I20/H20</f>
        <v>41.809714438217242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0.65711623828574561</v>
      </c>
      <c r="G21" s="16">
        <f t="shared" ref="G21" si="11">G20/G19</f>
        <v>0.85855757110757935</v>
      </c>
      <c r="H21" s="16"/>
      <c r="I21" s="16"/>
      <c r="J21" s="45"/>
      <c r="K21" s="45"/>
    </row>
    <row r="22" spans="1:11" ht="16.5" thickTop="1" thickBot="1" x14ac:dyDescent="0.25">
      <c r="A22" s="1">
        <f>$A$7</f>
        <v>2078</v>
      </c>
      <c r="B22" s="3">
        <f>$B$7</f>
        <v>141</v>
      </c>
      <c r="C22" s="4">
        <f>$C$7</f>
        <v>818</v>
      </c>
      <c r="D22" s="4">
        <f>G22/$J$7</f>
        <v>9871.6875</v>
      </c>
      <c r="E22" s="4">
        <v>0</v>
      </c>
      <c r="F22" s="13">
        <f>SUM(D22:E22)</f>
        <v>9871.6875</v>
      </c>
      <c r="G22" s="14">
        <v>315894</v>
      </c>
      <c r="H22" s="13">
        <f>F22/C22</f>
        <v>12.068077628361857</v>
      </c>
      <c r="I22" s="14">
        <f>G22/C22</f>
        <v>386.17848410757944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2078</v>
      </c>
      <c r="B23" s="3">
        <f>$B$7</f>
        <v>141</v>
      </c>
      <c r="C23" s="4">
        <f>$C$7</f>
        <v>818</v>
      </c>
      <c r="D23" s="48">
        <v>15152</v>
      </c>
      <c r="E23" s="48">
        <v>0</v>
      </c>
      <c r="F23" s="4">
        <f>SUM(D23:E23)</f>
        <v>15152</v>
      </c>
      <c r="G23" s="5">
        <v>522013</v>
      </c>
      <c r="H23" s="4">
        <f>F23/C23</f>
        <v>18.52322738386308</v>
      </c>
      <c r="I23" s="5">
        <f>G23/C23</f>
        <v>638.15770171149143</v>
      </c>
      <c r="J23" s="44">
        <f>I23/H23</f>
        <v>34.4517555438226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1.5348946165485891</v>
      </c>
      <c r="G24" s="16">
        <f t="shared" ref="G24" si="12">G23/G22</f>
        <v>1.652494191089416</v>
      </c>
      <c r="H24" s="16"/>
      <c r="I24" s="16"/>
      <c r="J24" s="17"/>
      <c r="K24" s="17"/>
    </row>
    <row r="25" spans="1:11" ht="16.5" thickTop="1" thickBot="1" x14ac:dyDescent="0.25">
      <c r="A25" s="1">
        <f>$A$7</f>
        <v>2078</v>
      </c>
      <c r="B25" s="3">
        <f>$B$7</f>
        <v>141</v>
      </c>
      <c r="C25" s="4">
        <v>812</v>
      </c>
      <c r="D25" s="4">
        <f>G25/$J$7</f>
        <v>2020.6875</v>
      </c>
      <c r="E25" s="4">
        <v>0</v>
      </c>
      <c r="F25" s="13">
        <f>SUM(D25:E25)</f>
        <v>2020.6875</v>
      </c>
      <c r="G25" s="14">
        <v>64662</v>
      </c>
      <c r="H25" s="13">
        <f>F25/C25</f>
        <v>2.4885314039408866</v>
      </c>
      <c r="I25" s="14">
        <f>G25/C25</f>
        <v>79.63300492610837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2078</v>
      </c>
      <c r="B26" s="3">
        <f>$B$7</f>
        <v>141</v>
      </c>
      <c r="C26" s="4">
        <v>812</v>
      </c>
      <c r="D26" s="48">
        <v>1930</v>
      </c>
      <c r="E26" s="48">
        <v>0</v>
      </c>
      <c r="F26" s="4">
        <f>SUM(D26:E26)</f>
        <v>1930</v>
      </c>
      <c r="G26" s="5">
        <v>70423</v>
      </c>
      <c r="H26" s="4">
        <f>F26/C26</f>
        <v>2.3768472906403941</v>
      </c>
      <c r="I26" s="5">
        <f>G26/C26</f>
        <v>86.727832512315274</v>
      </c>
      <c r="J26" s="44">
        <f>I26/H26</f>
        <v>36.488601036269429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0.95512047261142552</v>
      </c>
      <c r="G27" s="16">
        <f t="shared" ref="G27" si="13">G26/G25</f>
        <v>1.0890940583341067</v>
      </c>
      <c r="H27" s="16"/>
      <c r="I27" s="16"/>
      <c r="J27" s="17"/>
      <c r="K27" s="17"/>
    </row>
    <row r="28" spans="1:11" ht="16.5" thickTop="1" thickBot="1" x14ac:dyDescent="0.25">
      <c r="A28" s="1">
        <f>$A$7</f>
        <v>2078</v>
      </c>
      <c r="B28" s="3">
        <f>$B$7</f>
        <v>141</v>
      </c>
      <c r="C28" s="4">
        <f>$C$7</f>
        <v>818</v>
      </c>
      <c r="D28" s="4">
        <f>G28/$J$7</f>
        <v>2927.1875</v>
      </c>
      <c r="E28" s="4">
        <v>0</v>
      </c>
      <c r="F28" s="13">
        <f>SUM(D28:E28)</f>
        <v>2927.1875</v>
      </c>
      <c r="G28" s="14">
        <v>93670</v>
      </c>
      <c r="H28" s="13">
        <f>F28/C28</f>
        <v>3.5784688264058682</v>
      </c>
      <c r="I28" s="14">
        <f>G28/C28</f>
        <v>114.51100244498778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2078</v>
      </c>
      <c r="B29" s="3">
        <f>$B$7</f>
        <v>141</v>
      </c>
      <c r="C29" s="4">
        <f>$C$7</f>
        <v>818</v>
      </c>
      <c r="D29" s="48">
        <v>3227</v>
      </c>
      <c r="E29" s="48">
        <v>0</v>
      </c>
      <c r="F29" s="4">
        <f>SUM(D29:E29)</f>
        <v>3227</v>
      </c>
      <c r="G29" s="5">
        <v>111299</v>
      </c>
      <c r="H29" s="4">
        <f>F29/C29</f>
        <v>3.9449877750611249</v>
      </c>
      <c r="I29" s="5">
        <f>G29/C29</f>
        <v>136.06234718826406</v>
      </c>
      <c r="J29" s="44">
        <f>I29/H29</f>
        <v>34.48992872637124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1.1024234013024448</v>
      </c>
      <c r="G30" s="16">
        <f t="shared" ref="G30" si="14">G29/G28</f>
        <v>1.1882032667876588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2078</v>
      </c>
      <c r="B33" s="3">
        <f>$B$7</f>
        <v>141</v>
      </c>
      <c r="C33" s="4">
        <f>$C$7</f>
        <v>818</v>
      </c>
      <c r="D33" s="13">
        <f>SUM(D28,D22,D19)</f>
        <v>18501.0625</v>
      </c>
      <c r="E33" s="13">
        <v>0</v>
      </c>
      <c r="F33" s="13">
        <f t="shared" ref="F33" si="15">SUM(D33:E33)</f>
        <v>18501.0625</v>
      </c>
      <c r="G33" s="14">
        <f>SUM(G28,G22,G19)</f>
        <v>592034</v>
      </c>
      <c r="H33" s="34">
        <f t="shared" ref="H33:H34" si="16">F33/C33</f>
        <v>22.617435819070906</v>
      </c>
      <c r="I33" s="39">
        <f t="shared" ref="I33:I34" si="17">G33/C33</f>
        <v>723.75794621026898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2078</v>
      </c>
      <c r="B34" s="3">
        <f>$B$7</f>
        <v>141</v>
      </c>
      <c r="C34" s="4">
        <f>$C$7</f>
        <v>818</v>
      </c>
      <c r="D34" s="4">
        <f>SUM(D29,D23,D20)</f>
        <v>22126</v>
      </c>
      <c r="E34" s="49">
        <v>0</v>
      </c>
      <c r="F34" s="4">
        <f>SUM(D34)</f>
        <v>22126</v>
      </c>
      <c r="G34" s="50">
        <f>SUM(G29,G23,G20)</f>
        <v>789973</v>
      </c>
      <c r="H34" s="41">
        <f t="shared" si="16"/>
        <v>27.048899755501221</v>
      </c>
      <c r="I34" s="42">
        <f t="shared" si="17"/>
        <v>965.73716381418092</v>
      </c>
      <c r="J34" s="43">
        <f>I34/H34</f>
        <v>35.703380638163246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1.1959313147555715</v>
      </c>
      <c r="G35" s="16">
        <f t="shared" ref="G35" si="18">G34/G33</f>
        <v>1.3343372171192871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27.048899755501221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2.3768472906403941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30.21515892420538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3:K46"/>
  <sheetViews>
    <sheetView zoomScale="120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32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2079</v>
      </c>
      <c r="B7" s="64">
        <v>54</v>
      </c>
      <c r="C7" s="65">
        <v>311</v>
      </c>
      <c r="D7" s="4">
        <f>G7/$J$7</f>
        <v>8206.875</v>
      </c>
      <c r="E7" s="4">
        <v>0</v>
      </c>
      <c r="F7" s="4">
        <f t="shared" ref="F7" si="0">SUM(D7:E7)</f>
        <v>8206.875</v>
      </c>
      <c r="G7" s="5">
        <f>SUM(G16,G19,G22,G25,G28)</f>
        <v>262620</v>
      </c>
      <c r="H7" s="9">
        <f t="shared" ref="H7:H8" si="1">F7/C7</f>
        <v>26.388665594855304</v>
      </c>
      <c r="I7" s="11">
        <f t="shared" ref="I7:I8" si="2">G7/C7</f>
        <v>844.43729903536973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2079</v>
      </c>
      <c r="B8" s="64">
        <v>54</v>
      </c>
      <c r="C8" s="65">
        <f>$C$7</f>
        <v>311</v>
      </c>
      <c r="D8" s="4">
        <f>SUM(D17,D20,D23,D26,D29)</f>
        <v>8571</v>
      </c>
      <c r="E8" s="4">
        <v>0</v>
      </c>
      <c r="F8" s="4">
        <f>SUM(D8)</f>
        <v>8571</v>
      </c>
      <c r="G8" s="5">
        <f>SUM(G17,G20,G23,G26,G29)</f>
        <v>302474</v>
      </c>
      <c r="H8" s="58">
        <f t="shared" si="1"/>
        <v>27.559485530546624</v>
      </c>
      <c r="I8" s="42">
        <f t="shared" si="2"/>
        <v>972.58520900321548</v>
      </c>
      <c r="J8" s="43">
        <f>I8/H8</f>
        <v>35.290397853225997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1.0443682887822709</v>
      </c>
      <c r="G10" s="62">
        <f t="shared" ref="G10" si="3">G8/G7</f>
        <v>1.1517553880130988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-364.125</v>
      </c>
      <c r="G12" s="47">
        <f>G7-G8</f>
        <v>-39854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2079</v>
      </c>
      <c r="B16" s="3">
        <f>$B$7</f>
        <v>54</v>
      </c>
      <c r="C16" s="4">
        <f>$C$7</f>
        <v>311</v>
      </c>
      <c r="D16" s="4">
        <f>G16/$J$7</f>
        <v>478.75</v>
      </c>
      <c r="E16" s="4">
        <v>0</v>
      </c>
      <c r="F16" s="13">
        <f t="shared" ref="F16:F17" si="4">SUM(D16:E16)</f>
        <v>478.75</v>
      </c>
      <c r="G16" s="14">
        <v>15320</v>
      </c>
      <c r="H16" s="13">
        <f t="shared" ref="H16:H17" si="5">F16/C16</f>
        <v>1.5393890675241158</v>
      </c>
      <c r="I16" s="14">
        <f t="shared" ref="I16:I17" si="6">G16/C16</f>
        <v>49.260450160771704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2079</v>
      </c>
      <c r="B17" s="3">
        <f>$B$7</f>
        <v>54</v>
      </c>
      <c r="C17" s="4">
        <f>$C$7</f>
        <v>311</v>
      </c>
      <c r="D17" s="48">
        <v>210</v>
      </c>
      <c r="E17" s="48">
        <v>0</v>
      </c>
      <c r="F17" s="4">
        <f t="shared" si="4"/>
        <v>210</v>
      </c>
      <c r="G17" s="5">
        <v>12537</v>
      </c>
      <c r="H17" s="4">
        <f t="shared" si="5"/>
        <v>0.67524115755627012</v>
      </c>
      <c r="I17" s="5">
        <f t="shared" si="6"/>
        <v>40.311897106109328</v>
      </c>
      <c r="J17" s="44">
        <f>I17/H17</f>
        <v>59.7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0.43864229765013057</v>
      </c>
      <c r="G18" s="16">
        <f t="shared" ref="G18" si="7">G17/G16</f>
        <v>0.81834203655352478</v>
      </c>
      <c r="H18" s="16"/>
      <c r="I18" s="16"/>
      <c r="J18" s="16"/>
      <c r="K18" s="45"/>
    </row>
    <row r="19" spans="1:11" ht="16.5" thickTop="1" thickBot="1" x14ac:dyDescent="0.25">
      <c r="A19" s="1">
        <f>$A$7</f>
        <v>2079</v>
      </c>
      <c r="B19" s="3">
        <f>$B$7</f>
        <v>54</v>
      </c>
      <c r="C19" s="4">
        <f>$C$7</f>
        <v>311</v>
      </c>
      <c r="D19" s="4">
        <f>G19/$J$7</f>
        <v>2121.875</v>
      </c>
      <c r="E19" s="4">
        <v>0</v>
      </c>
      <c r="F19" s="13">
        <f t="shared" ref="F19:F20" si="8">SUM(D19:E19)</f>
        <v>2121.875</v>
      </c>
      <c r="G19" s="14">
        <v>67900</v>
      </c>
      <c r="H19" s="13">
        <f t="shared" ref="H19:H20" si="9">F19/C19</f>
        <v>6.822749196141479</v>
      </c>
      <c r="I19" s="14">
        <f t="shared" ref="I19:I20" si="10">G19/C19</f>
        <v>218.32797427652733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2079</v>
      </c>
      <c r="B20" s="3">
        <f>$B$7</f>
        <v>54</v>
      </c>
      <c r="C20" s="4">
        <f>$C$7</f>
        <v>311</v>
      </c>
      <c r="D20" s="48">
        <v>1556</v>
      </c>
      <c r="E20" s="48">
        <v>0</v>
      </c>
      <c r="F20" s="4">
        <f t="shared" si="8"/>
        <v>1556</v>
      </c>
      <c r="G20" s="5">
        <v>51629</v>
      </c>
      <c r="H20" s="4">
        <f t="shared" si="9"/>
        <v>5.003215434083601</v>
      </c>
      <c r="I20" s="5">
        <f t="shared" si="10"/>
        <v>166.00964630225081</v>
      </c>
      <c r="J20" s="44">
        <f>I20/H20</f>
        <v>33.18059125964011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0.73331369661266566</v>
      </c>
      <c r="G21" s="16">
        <f t="shared" ref="G21" si="11">G20/G19</f>
        <v>0.76036818851251842</v>
      </c>
      <c r="H21" s="16"/>
      <c r="I21" s="16"/>
      <c r="J21" s="45"/>
      <c r="K21" s="45"/>
    </row>
    <row r="22" spans="1:11" ht="16.5" thickTop="1" thickBot="1" x14ac:dyDescent="0.25">
      <c r="A22" s="1">
        <f>$A$7</f>
        <v>2079</v>
      </c>
      <c r="B22" s="3">
        <f>$B$7</f>
        <v>54</v>
      </c>
      <c r="C22" s="4">
        <f>$C$7</f>
        <v>311</v>
      </c>
      <c r="D22" s="4">
        <f>G22/$J$7</f>
        <v>3504.6875</v>
      </c>
      <c r="E22" s="4">
        <v>0</v>
      </c>
      <c r="F22" s="13">
        <f>SUM(D22:E22)</f>
        <v>3504.6875</v>
      </c>
      <c r="G22" s="14">
        <v>112150</v>
      </c>
      <c r="H22" s="13">
        <f>F22/C22</f>
        <v>11.269091639871382</v>
      </c>
      <c r="I22" s="14">
        <f>G22/C22</f>
        <v>360.61093247588423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2079</v>
      </c>
      <c r="B23" s="3">
        <f>$B$7</f>
        <v>54</v>
      </c>
      <c r="C23" s="4">
        <f>$C$7</f>
        <v>311</v>
      </c>
      <c r="D23" s="48">
        <v>5010</v>
      </c>
      <c r="E23" s="48">
        <v>0</v>
      </c>
      <c r="F23" s="4">
        <f>SUM(D23:E23)</f>
        <v>5010</v>
      </c>
      <c r="G23" s="5">
        <v>163335</v>
      </c>
      <c r="H23" s="4">
        <f>F23/C23</f>
        <v>16.109324758842444</v>
      </c>
      <c r="I23" s="5">
        <f>G23/C23</f>
        <v>525.19292604501607</v>
      </c>
      <c r="J23" s="44">
        <f>I23/H23</f>
        <v>32.601796407185624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1.4295140436914846</v>
      </c>
      <c r="G24" s="16">
        <f t="shared" ref="G24" si="12">G23/G22</f>
        <v>1.4563976816763264</v>
      </c>
      <c r="H24" s="16"/>
      <c r="I24" s="16"/>
      <c r="J24" s="17"/>
      <c r="K24" s="17"/>
    </row>
    <row r="25" spans="1:11" ht="16.5" thickTop="1" thickBot="1" x14ac:dyDescent="0.25">
      <c r="A25" s="1">
        <f>$A$7</f>
        <v>2079</v>
      </c>
      <c r="B25" s="3">
        <f>$B$7</f>
        <v>54</v>
      </c>
      <c r="C25" s="4">
        <v>311</v>
      </c>
      <c r="D25" s="4">
        <f>G25/$J$7</f>
        <v>864.0625</v>
      </c>
      <c r="E25" s="4">
        <v>0</v>
      </c>
      <c r="F25" s="13">
        <f>SUM(D25:E25)</f>
        <v>864.0625</v>
      </c>
      <c r="G25" s="14">
        <v>27650</v>
      </c>
      <c r="H25" s="13">
        <f>F25/C25</f>
        <v>2.7783360128617365</v>
      </c>
      <c r="I25" s="14">
        <f>G25/C25</f>
        <v>88.906752411575567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2079</v>
      </c>
      <c r="B26" s="3">
        <f>$B$7</f>
        <v>54</v>
      </c>
      <c r="C26" s="4">
        <v>311</v>
      </c>
      <c r="D26" s="48">
        <v>945</v>
      </c>
      <c r="E26" s="48">
        <v>0</v>
      </c>
      <c r="F26" s="4">
        <f>SUM(D26:E26)</f>
        <v>945</v>
      </c>
      <c r="G26" s="5">
        <v>39537</v>
      </c>
      <c r="H26" s="4">
        <f>F26/C26</f>
        <v>3.0385852090032155</v>
      </c>
      <c r="I26" s="5">
        <f>G26/C26</f>
        <v>127.12861736334405</v>
      </c>
      <c r="J26" s="44">
        <f>I26/H26</f>
        <v>41.838095238095235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1.0936708860759494</v>
      </c>
      <c r="G27" s="16">
        <f t="shared" ref="G27" si="13">G26/G25</f>
        <v>1.4299095840867992</v>
      </c>
      <c r="H27" s="16"/>
      <c r="I27" s="16"/>
      <c r="J27" s="17"/>
      <c r="K27" s="17"/>
    </row>
    <row r="28" spans="1:11" ht="16.5" thickTop="1" thickBot="1" x14ac:dyDescent="0.25">
      <c r="A28" s="1">
        <f>$A$7</f>
        <v>2079</v>
      </c>
      <c r="B28" s="3">
        <f>$B$7</f>
        <v>54</v>
      </c>
      <c r="C28" s="4">
        <f>$C$7</f>
        <v>311</v>
      </c>
      <c r="D28" s="4">
        <f>G28/$J$7</f>
        <v>1237.5</v>
      </c>
      <c r="E28" s="4">
        <v>0</v>
      </c>
      <c r="F28" s="13">
        <f>SUM(D28:E28)</f>
        <v>1237.5</v>
      </c>
      <c r="G28" s="14">
        <v>39600</v>
      </c>
      <c r="H28" s="13">
        <f>F28/C28</f>
        <v>3.9790996784565915</v>
      </c>
      <c r="I28" s="14">
        <f>G28/C28</f>
        <v>127.33118971061093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2079</v>
      </c>
      <c r="B29" s="3">
        <f>$B$7</f>
        <v>54</v>
      </c>
      <c r="C29" s="4">
        <f>$C$7</f>
        <v>311</v>
      </c>
      <c r="D29" s="48">
        <v>850</v>
      </c>
      <c r="E29" s="48">
        <v>0</v>
      </c>
      <c r="F29" s="4">
        <f>SUM(D29:E29)</f>
        <v>850</v>
      </c>
      <c r="G29" s="5">
        <v>35436</v>
      </c>
      <c r="H29" s="4">
        <f>F29/C29</f>
        <v>2.733118971061093</v>
      </c>
      <c r="I29" s="5">
        <f>G29/C29</f>
        <v>113.94212218649518</v>
      </c>
      <c r="J29" s="44">
        <f>I29/H29</f>
        <v>41.689411764705888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0.68686868686868685</v>
      </c>
      <c r="G30" s="16">
        <f t="shared" ref="G30" si="14">G29/G28</f>
        <v>0.89484848484848489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2079</v>
      </c>
      <c r="B33" s="3">
        <f>$B$7</f>
        <v>54</v>
      </c>
      <c r="C33" s="4">
        <f>$C$7</f>
        <v>311</v>
      </c>
      <c r="D33" s="13">
        <f>SUM(D28,D22,D19)</f>
        <v>6864.0625</v>
      </c>
      <c r="E33" s="13">
        <v>0</v>
      </c>
      <c r="F33" s="13">
        <f t="shared" ref="F33" si="15">SUM(D33:E33)</f>
        <v>6864.0625</v>
      </c>
      <c r="G33" s="14">
        <f>SUM(G28,G22,G19)</f>
        <v>219650</v>
      </c>
      <c r="H33" s="34">
        <f t="shared" ref="H33:H34" si="16">F33/C33</f>
        <v>22.070940514469452</v>
      </c>
      <c r="I33" s="39">
        <f t="shared" ref="I33:I34" si="17">G33/C33</f>
        <v>706.27009646302247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2079</v>
      </c>
      <c r="B34" s="3">
        <f>$B$7</f>
        <v>54</v>
      </c>
      <c r="C34" s="4">
        <f>$C$7</f>
        <v>311</v>
      </c>
      <c r="D34" s="4">
        <f>SUM(D29,D23,D20)</f>
        <v>7416</v>
      </c>
      <c r="E34" s="49">
        <v>0</v>
      </c>
      <c r="F34" s="4">
        <f>SUM(D34)</f>
        <v>7416</v>
      </c>
      <c r="G34" s="50">
        <f>SUM(G29,G23,G20)</f>
        <v>250400</v>
      </c>
      <c r="H34" s="41">
        <f t="shared" si="16"/>
        <v>23.84565916398714</v>
      </c>
      <c r="I34" s="42">
        <f t="shared" si="17"/>
        <v>805.14469453376205</v>
      </c>
      <c r="J34" s="43">
        <f>I34/H34</f>
        <v>33.764832793959002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1.0804097427725927</v>
      </c>
      <c r="G35" s="16">
        <f t="shared" ref="G35" si="18">G34/G33</f>
        <v>1.1399954473025267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23.84565916398714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3.0385852090032155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27.559485530546624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080A-326C-4FB2-A906-57F3B21740CC}">
  <dimension ref="A3:K46"/>
  <sheetViews>
    <sheetView zoomScale="120" zoomScaleNormal="120" zoomScaleSheetLayoutView="100" workbookViewId="0">
      <selection activeCell="O38" sqref="O3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40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2081</v>
      </c>
      <c r="B7" s="64">
        <v>311</v>
      </c>
      <c r="C7" s="65">
        <v>1860</v>
      </c>
      <c r="D7" s="4">
        <f>G7/$J$7</f>
        <v>38966.6</v>
      </c>
      <c r="E7" s="4">
        <v>0</v>
      </c>
      <c r="F7" s="4">
        <f>SUM(D7:E7)</f>
        <v>38966.6</v>
      </c>
      <c r="G7" s="5">
        <f>SUM(G16,G19,G22,G25,G28)</f>
        <v>1558664</v>
      </c>
      <c r="H7" s="9">
        <f>F7/C7</f>
        <v>20.949784946236559</v>
      </c>
      <c r="I7" s="11">
        <f>G7/C7</f>
        <v>837.99139784946237</v>
      </c>
      <c r="J7" s="12">
        <v>40</v>
      </c>
      <c r="K7" s="37" t="s">
        <v>10</v>
      </c>
    </row>
    <row r="8" spans="1:11" ht="16.5" thickTop="1" thickBot="1" x14ac:dyDescent="0.25">
      <c r="A8" s="3">
        <f>$A$7</f>
        <v>2081</v>
      </c>
      <c r="B8" s="64">
        <v>311</v>
      </c>
      <c r="C8" s="65">
        <v>1836</v>
      </c>
      <c r="D8" s="4">
        <f>SUM(D17,D20,D23,D26,D29)</f>
        <v>37291</v>
      </c>
      <c r="E8" s="4">
        <v>0</v>
      </c>
      <c r="F8" s="4">
        <f>SUM(D8)</f>
        <v>37291</v>
      </c>
      <c r="G8" s="5">
        <f>SUM(G17,G20,G23,G26,G29)</f>
        <v>1349089</v>
      </c>
      <c r="H8" s="58">
        <f>F8/C8</f>
        <v>20.311002178649236</v>
      </c>
      <c r="I8" s="42">
        <f>G8/C8</f>
        <v>734.79793028322445</v>
      </c>
      <c r="J8" s="43">
        <f>I8/H8</f>
        <v>36.177335013810307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0.95699907099926607</v>
      </c>
      <c r="G10" s="62">
        <f>G8/G7</f>
        <v>0.86554189998614195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1675.5999999999985</v>
      </c>
      <c r="G12" s="47">
        <f>G7-G8</f>
        <v>209575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2081</v>
      </c>
      <c r="B16" s="3">
        <f>$B$7</f>
        <v>311</v>
      </c>
      <c r="C16" s="4">
        <f>$C$7</f>
        <v>1860</v>
      </c>
      <c r="D16" s="4">
        <f>G16/$J$7</f>
        <v>1813.25</v>
      </c>
      <c r="E16" s="4">
        <v>0</v>
      </c>
      <c r="F16" s="13">
        <f>SUM(D16:E16)</f>
        <v>1813.25</v>
      </c>
      <c r="G16" s="14">
        <v>72530</v>
      </c>
      <c r="H16" s="13">
        <f>F16/C16</f>
        <v>0.97486559139784945</v>
      </c>
      <c r="I16" s="14">
        <f>G16/C16</f>
        <v>38.994623655913976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2081</v>
      </c>
      <c r="B17" s="3">
        <f>$B$7</f>
        <v>311</v>
      </c>
      <c r="C17" s="4">
        <f>$C$7</f>
        <v>1860</v>
      </c>
      <c r="D17" s="48">
        <v>675</v>
      </c>
      <c r="E17" s="48">
        <v>0</v>
      </c>
      <c r="F17" s="4">
        <f>SUM(D17:E17)</f>
        <v>675</v>
      </c>
      <c r="G17" s="5">
        <v>37898</v>
      </c>
      <c r="H17" s="4">
        <f>F17/C17</f>
        <v>0.36290322580645162</v>
      </c>
      <c r="I17" s="5">
        <f>G17/C17</f>
        <v>20.375268817204301</v>
      </c>
      <c r="J17" s="44">
        <f>I17/H17</f>
        <v>56.145185185185184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0.37225975458430993</v>
      </c>
      <c r="G18" s="16">
        <f>G17/G16</f>
        <v>0.52251482145319184</v>
      </c>
      <c r="H18" s="16"/>
      <c r="I18" s="16"/>
      <c r="J18" s="16"/>
      <c r="K18" s="45"/>
    </row>
    <row r="19" spans="1:11" ht="16.5" thickTop="1" thickBot="1" x14ac:dyDescent="0.25">
      <c r="A19" s="1">
        <f>$A$7</f>
        <v>2081</v>
      </c>
      <c r="B19" s="3">
        <f>$B$7</f>
        <v>311</v>
      </c>
      <c r="C19" s="4">
        <f>$C$7</f>
        <v>1860</v>
      </c>
      <c r="D19" s="4">
        <f>G19/$J$7</f>
        <v>6551.5249999999996</v>
      </c>
      <c r="E19" s="4">
        <v>0</v>
      </c>
      <c r="F19" s="13">
        <f>SUM(D19:E19)</f>
        <v>6551.5249999999996</v>
      </c>
      <c r="G19" s="14">
        <v>262061</v>
      </c>
      <c r="H19" s="13">
        <f>F19/C19</f>
        <v>3.522325268817204</v>
      </c>
      <c r="I19" s="14">
        <f>G19/C19</f>
        <v>140.89301075268818</v>
      </c>
      <c r="J19" s="6">
        <f>I19/H19</f>
        <v>40.000000000000007</v>
      </c>
      <c r="K19" s="27" t="s">
        <v>10</v>
      </c>
    </row>
    <row r="20" spans="1:11" ht="16.5" thickTop="1" thickBot="1" x14ac:dyDescent="0.25">
      <c r="A20" s="1">
        <f>$A$7</f>
        <v>2081</v>
      </c>
      <c r="B20" s="3">
        <f>$B$7</f>
        <v>311</v>
      </c>
      <c r="C20" s="4">
        <f>$C$7</f>
        <v>1860</v>
      </c>
      <c r="D20" s="48">
        <v>3544</v>
      </c>
      <c r="E20" s="48">
        <v>0</v>
      </c>
      <c r="F20" s="4">
        <f>SUM(D20:E20)</f>
        <v>3544</v>
      </c>
      <c r="G20" s="5">
        <v>150431</v>
      </c>
      <c r="H20" s="4">
        <f>F20/C20</f>
        <v>1.9053763440860214</v>
      </c>
      <c r="I20" s="5">
        <f>G20/C20</f>
        <v>80.876881720430106</v>
      </c>
      <c r="J20" s="44">
        <f>I20/H20</f>
        <v>42.44667042889391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0.54094275760223764</v>
      </c>
      <c r="G21" s="16">
        <f>G20/G19</f>
        <v>0.5740304738209806</v>
      </c>
      <c r="H21" s="16"/>
      <c r="I21" s="16"/>
      <c r="J21" s="45"/>
      <c r="K21" s="45"/>
    </row>
    <row r="22" spans="1:11" ht="16.5" thickTop="1" thickBot="1" x14ac:dyDescent="0.25">
      <c r="A22" s="1">
        <f>$A$7</f>
        <v>2081</v>
      </c>
      <c r="B22" s="3">
        <f>$B$7</f>
        <v>311</v>
      </c>
      <c r="C22" s="4">
        <f>$C$7</f>
        <v>1860</v>
      </c>
      <c r="D22" s="4">
        <f>G22/$J$7</f>
        <v>18122.650000000001</v>
      </c>
      <c r="E22" s="4">
        <v>0</v>
      </c>
      <c r="F22" s="13">
        <f>SUM(D22:E22)</f>
        <v>18122.650000000001</v>
      </c>
      <c r="G22" s="14">
        <v>724906</v>
      </c>
      <c r="H22" s="13">
        <f>F22/C22</f>
        <v>9.7433602150537642</v>
      </c>
      <c r="I22" s="14">
        <f>G22/C22</f>
        <v>389.73440860215055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2081</v>
      </c>
      <c r="B23" s="3">
        <f>$B$7</f>
        <v>311</v>
      </c>
      <c r="C23" s="4">
        <f>$C$7</f>
        <v>1860</v>
      </c>
      <c r="D23" s="48">
        <v>20431</v>
      </c>
      <c r="E23" s="48">
        <v>0</v>
      </c>
      <c r="F23" s="4">
        <f>SUM(D23:E23)</f>
        <v>20431</v>
      </c>
      <c r="G23" s="5">
        <v>732887</v>
      </c>
      <c r="H23" s="4">
        <f>F23/C23</f>
        <v>10.984408602150538</v>
      </c>
      <c r="I23" s="5">
        <f>G23/C23</f>
        <v>394.02526881720428</v>
      </c>
      <c r="J23" s="44">
        <f>I23/H23</f>
        <v>35.871322989574665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1.1273737560456114</v>
      </c>
      <c r="G24" s="16">
        <f>G23/G22</f>
        <v>1.011009703327052</v>
      </c>
      <c r="H24" s="16"/>
      <c r="I24" s="16"/>
      <c r="J24" s="17"/>
      <c r="K24" s="17"/>
    </row>
    <row r="25" spans="1:11" ht="16.5" thickTop="1" thickBot="1" x14ac:dyDescent="0.25">
      <c r="A25" s="1">
        <f>$A$7</f>
        <v>2081</v>
      </c>
      <c r="B25" s="3">
        <f>$B$7</f>
        <v>311</v>
      </c>
      <c r="C25" s="4">
        <f>C8</f>
        <v>1836</v>
      </c>
      <c r="D25" s="4">
        <f>G25/$J$7</f>
        <v>4384.625</v>
      </c>
      <c r="E25" s="4">
        <v>0</v>
      </c>
      <c r="F25" s="13">
        <f>SUM(D25:E25)</f>
        <v>4384.625</v>
      </c>
      <c r="G25" s="14">
        <v>175385</v>
      </c>
      <c r="H25" s="13">
        <f>F25/C25</f>
        <v>2.3881399782135078</v>
      </c>
      <c r="I25" s="14">
        <f>G25/C25</f>
        <v>95.525599128540307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2081</v>
      </c>
      <c r="B26" s="3">
        <f>$B$7</f>
        <v>311</v>
      </c>
      <c r="C26" s="4">
        <f>C25</f>
        <v>1836</v>
      </c>
      <c r="D26" s="48">
        <v>5413</v>
      </c>
      <c r="E26" s="48">
        <v>0</v>
      </c>
      <c r="F26" s="4">
        <f>SUM(D26:E26)</f>
        <v>5413</v>
      </c>
      <c r="G26" s="5">
        <v>148983</v>
      </c>
      <c r="H26" s="4">
        <f>F26/C26</f>
        <v>2.9482570806100217</v>
      </c>
      <c r="I26" s="5">
        <f>G26/C26</f>
        <v>81.145424836601308</v>
      </c>
      <c r="J26" s="44">
        <f>I26/H26</f>
        <v>27.523184925180121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1.2345411523220344</v>
      </c>
      <c r="G27" s="16">
        <f>G26/G25</f>
        <v>0.84946261082760788</v>
      </c>
      <c r="H27" s="16"/>
      <c r="I27" s="16"/>
      <c r="J27" s="17"/>
      <c r="K27" s="17"/>
    </row>
    <row r="28" spans="1:11" ht="16.5" thickTop="1" thickBot="1" x14ac:dyDescent="0.25">
      <c r="A28" s="1">
        <f>$A$7</f>
        <v>2081</v>
      </c>
      <c r="B28" s="3">
        <f>$B$7</f>
        <v>311</v>
      </c>
      <c r="C28" s="4">
        <f>$C$7</f>
        <v>1860</v>
      </c>
      <c r="D28" s="4">
        <f>G28/$J$7</f>
        <v>8094.55</v>
      </c>
      <c r="E28" s="4">
        <v>0</v>
      </c>
      <c r="F28" s="13">
        <f>SUM(D28:E28)</f>
        <v>8094.55</v>
      </c>
      <c r="G28" s="14">
        <v>323782</v>
      </c>
      <c r="H28" s="13">
        <f>F28/C28</f>
        <v>4.3519086021505373</v>
      </c>
      <c r="I28" s="14">
        <f>G28/C28</f>
        <v>174.07634408602149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2081</v>
      </c>
      <c r="B29" s="3">
        <f>$B$7</f>
        <v>311</v>
      </c>
      <c r="C29" s="4">
        <f>$C$7</f>
        <v>1860</v>
      </c>
      <c r="D29" s="48">
        <v>7228</v>
      </c>
      <c r="E29" s="48">
        <v>0</v>
      </c>
      <c r="F29" s="4">
        <f>SUM(D29:E29)</f>
        <v>7228</v>
      </c>
      <c r="G29" s="5">
        <v>278890</v>
      </c>
      <c r="H29" s="4">
        <f>F29/C29</f>
        <v>3.8860215053763443</v>
      </c>
      <c r="I29" s="5">
        <f>G29/C29</f>
        <v>149.94086021505376</v>
      </c>
      <c r="J29" s="44">
        <f>I29/H29</f>
        <v>38.584670724958492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0.89294648868683246</v>
      </c>
      <c r="G30" s="16">
        <f>G29/G28</f>
        <v>0.86135115602473267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2081</v>
      </c>
      <c r="B33" s="3">
        <f>$B$7</f>
        <v>311</v>
      </c>
      <c r="C33" s="4">
        <f>$C$7</f>
        <v>1860</v>
      </c>
      <c r="D33" s="13">
        <f>SUM(D28,D22,D19)</f>
        <v>32768.724999999999</v>
      </c>
      <c r="E33" s="13">
        <v>0</v>
      </c>
      <c r="F33" s="13">
        <f>SUM(D33:E33)</f>
        <v>32768.724999999999</v>
      </c>
      <c r="G33" s="14">
        <f>SUM(G28,G22,G19)</f>
        <v>1310749</v>
      </c>
      <c r="H33" s="34">
        <f>F33/C33</f>
        <v>17.617594086021505</v>
      </c>
      <c r="I33" s="39">
        <f>G33/C33</f>
        <v>704.70376344086026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2081</v>
      </c>
      <c r="B34" s="3">
        <f>$B$7</f>
        <v>311</v>
      </c>
      <c r="C34" s="4">
        <f>$C$7</f>
        <v>1860</v>
      </c>
      <c r="D34" s="4">
        <f>SUM(D29,D23,D20)</f>
        <v>31203</v>
      </c>
      <c r="E34" s="49">
        <v>0</v>
      </c>
      <c r="F34" s="4">
        <f>SUM(D34)</f>
        <v>31203</v>
      </c>
      <c r="G34" s="50">
        <f>SUM(G29,G23,G20)</f>
        <v>1162208</v>
      </c>
      <c r="H34" s="41">
        <f>F34/C34</f>
        <v>16.775806451612905</v>
      </c>
      <c r="I34" s="42">
        <f>G34/C34</f>
        <v>624.8430107526882</v>
      </c>
      <c r="J34" s="43">
        <f>I34/H34</f>
        <v>37.246674999198795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0.95221892215824699</v>
      </c>
      <c r="G35" s="63">
        <f>G34/G33</f>
        <v>0.88667471804289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3:K46"/>
  <sheetViews>
    <sheetView view="pageBreakPreview" zoomScaleNormal="120" zoomScaleSheetLayoutView="100" workbookViewId="0">
      <selection activeCell="U48" sqref="U4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33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2081</v>
      </c>
      <c r="B7" s="64">
        <v>143</v>
      </c>
      <c r="C7" s="65">
        <v>775</v>
      </c>
      <c r="D7" s="4">
        <f>G7/$J$7</f>
        <v>18626.46875</v>
      </c>
      <c r="E7" s="4">
        <v>0</v>
      </c>
      <c r="F7" s="4">
        <f t="shared" ref="F7" si="0">SUM(D7:E7)</f>
        <v>18626.46875</v>
      </c>
      <c r="G7" s="5">
        <f>SUM(G16,G19,G22,G25,G28)</f>
        <v>596047</v>
      </c>
      <c r="H7" s="9">
        <f t="shared" ref="H7:H8" si="1">F7/C7</f>
        <v>24.034153225806453</v>
      </c>
      <c r="I7" s="11">
        <f t="shared" ref="I7:I8" si="2">G7/C7</f>
        <v>769.09290322580648</v>
      </c>
      <c r="J7" s="12">
        <v>32</v>
      </c>
      <c r="K7" s="37" t="s">
        <v>10</v>
      </c>
    </row>
    <row r="8" spans="1:11" ht="16.5" thickTop="1" thickBot="1" x14ac:dyDescent="0.25">
      <c r="A8" s="3">
        <f>$A$7</f>
        <v>2081</v>
      </c>
      <c r="B8" s="64">
        <v>143</v>
      </c>
      <c r="C8" s="65">
        <f>$C$7</f>
        <v>775</v>
      </c>
      <c r="D8" s="4">
        <f>SUM(D17,D20,D23,D26,D29)</f>
        <v>19814</v>
      </c>
      <c r="E8" s="4">
        <v>0</v>
      </c>
      <c r="F8" s="4">
        <f>SUM(D8)</f>
        <v>19814</v>
      </c>
      <c r="G8" s="5">
        <f>SUM(G17,G20,G23,G26,G29)</f>
        <v>726293</v>
      </c>
      <c r="H8" s="58">
        <f t="shared" si="1"/>
        <v>25.566451612903226</v>
      </c>
      <c r="I8" s="42">
        <f t="shared" si="2"/>
        <v>937.1522580645161</v>
      </c>
      <c r="J8" s="43">
        <f>I8/H8</f>
        <v>36.65554658322398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1.0637550394515869</v>
      </c>
      <c r="G10" s="62">
        <f t="shared" ref="G10" si="3">G8/G7</f>
        <v>1.2185163250549034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-1187.53125</v>
      </c>
      <c r="G12" s="47">
        <f>G7-G8</f>
        <v>-130246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2081</v>
      </c>
      <c r="B16" s="3">
        <f>$B$7</f>
        <v>143</v>
      </c>
      <c r="C16" s="4">
        <f>$C$7</f>
        <v>775</v>
      </c>
      <c r="D16" s="4">
        <f>G16/$J$7</f>
        <v>922.34375</v>
      </c>
      <c r="E16" s="4">
        <v>0</v>
      </c>
      <c r="F16" s="13">
        <f t="shared" ref="F16:F17" si="4">SUM(D16:E16)</f>
        <v>922.34375</v>
      </c>
      <c r="G16" s="14">
        <v>29515</v>
      </c>
      <c r="H16" s="13">
        <f t="shared" ref="H16:H17" si="5">F16/C16</f>
        <v>1.1901209677419355</v>
      </c>
      <c r="I16" s="14">
        <f t="shared" ref="I16:I17" si="6">G16/C16</f>
        <v>38.083870967741937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2081</v>
      </c>
      <c r="B17" s="3">
        <f>$B$7</f>
        <v>143</v>
      </c>
      <c r="C17" s="4">
        <f>$C$7</f>
        <v>775</v>
      </c>
      <c r="D17" s="48">
        <v>329</v>
      </c>
      <c r="E17" s="48">
        <v>0</v>
      </c>
      <c r="F17" s="4">
        <f t="shared" si="4"/>
        <v>329</v>
      </c>
      <c r="G17" s="5">
        <v>18740</v>
      </c>
      <c r="H17" s="4">
        <f t="shared" si="5"/>
        <v>0.42451612903225805</v>
      </c>
      <c r="I17" s="5">
        <f t="shared" si="6"/>
        <v>24.180645161290322</v>
      </c>
      <c r="J17" s="44">
        <f>I17/H17</f>
        <v>56.960486322188451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0.35669998305946127</v>
      </c>
      <c r="G18" s="16">
        <f t="shared" ref="G18" si="7">G17/G16</f>
        <v>0.63493139081822803</v>
      </c>
      <c r="H18" s="16"/>
      <c r="I18" s="16"/>
      <c r="J18" s="16"/>
      <c r="K18" s="45"/>
    </row>
    <row r="19" spans="1:11" ht="16.5" thickTop="1" thickBot="1" x14ac:dyDescent="0.25">
      <c r="A19" s="1">
        <f>$A$7</f>
        <v>2081</v>
      </c>
      <c r="B19" s="3">
        <f>$B$7</f>
        <v>143</v>
      </c>
      <c r="C19" s="4">
        <f>$C$7</f>
        <v>775</v>
      </c>
      <c r="D19" s="4">
        <f>G19/$J$7</f>
        <v>3965.375</v>
      </c>
      <c r="E19" s="4">
        <v>0</v>
      </c>
      <c r="F19" s="13">
        <f t="shared" ref="F19:F20" si="8">SUM(D19:E19)</f>
        <v>3965.375</v>
      </c>
      <c r="G19" s="14">
        <v>126892</v>
      </c>
      <c r="H19" s="13">
        <f t="shared" ref="H19:H20" si="9">F19/C19</f>
        <v>5.1166129032258061</v>
      </c>
      <c r="I19" s="14">
        <f t="shared" ref="I19:I20" si="10">G19/C19</f>
        <v>163.73161290322579</v>
      </c>
      <c r="J19" s="6">
        <f>I19/H19</f>
        <v>32</v>
      </c>
      <c r="K19" s="27" t="s">
        <v>10</v>
      </c>
    </row>
    <row r="20" spans="1:11" ht="16.5" thickTop="1" thickBot="1" x14ac:dyDescent="0.25">
      <c r="A20" s="1">
        <f>$A$7</f>
        <v>2081</v>
      </c>
      <c r="B20" s="3">
        <f>$B$7</f>
        <v>143</v>
      </c>
      <c r="C20" s="4">
        <f>$C$7</f>
        <v>775</v>
      </c>
      <c r="D20" s="48">
        <v>2804</v>
      </c>
      <c r="E20" s="48">
        <v>0</v>
      </c>
      <c r="F20" s="4">
        <f t="shared" si="8"/>
        <v>2804</v>
      </c>
      <c r="G20" s="5">
        <v>114667</v>
      </c>
      <c r="H20" s="4">
        <f t="shared" si="9"/>
        <v>3.6180645161290323</v>
      </c>
      <c r="I20" s="5">
        <f t="shared" si="10"/>
        <v>147.95741935483872</v>
      </c>
      <c r="J20" s="44">
        <f>I20/H20</f>
        <v>40.894079885877318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0.70712101629732371</v>
      </c>
      <c r="G21" s="16">
        <f t="shared" ref="G21" si="11">G20/G19</f>
        <v>0.90365822904517223</v>
      </c>
      <c r="H21" s="16"/>
      <c r="I21" s="16"/>
      <c r="J21" s="45"/>
      <c r="K21" s="45"/>
    </row>
    <row r="22" spans="1:11" ht="16.5" thickTop="1" thickBot="1" x14ac:dyDescent="0.25">
      <c r="A22" s="1">
        <f>$A$7</f>
        <v>2081</v>
      </c>
      <c r="B22" s="3">
        <f>$B$7</f>
        <v>143</v>
      </c>
      <c r="C22" s="4">
        <f>$C$7</f>
        <v>775</v>
      </c>
      <c r="D22" s="4">
        <f>G22/$J$7</f>
        <v>8535.46875</v>
      </c>
      <c r="E22" s="4">
        <v>0</v>
      </c>
      <c r="F22" s="13">
        <f>SUM(D22:E22)</f>
        <v>8535.46875</v>
      </c>
      <c r="G22" s="14">
        <v>273135</v>
      </c>
      <c r="H22" s="13">
        <f>F22/C22</f>
        <v>11.013508064516129</v>
      </c>
      <c r="I22" s="14">
        <f>G22/C22</f>
        <v>352.43225806451613</v>
      </c>
      <c r="J22" s="6">
        <f>I22/H22</f>
        <v>32</v>
      </c>
      <c r="K22" s="27" t="s">
        <v>10</v>
      </c>
    </row>
    <row r="23" spans="1:11" ht="16.5" thickTop="1" thickBot="1" x14ac:dyDescent="0.25">
      <c r="A23" s="1">
        <f>$A$7</f>
        <v>2081</v>
      </c>
      <c r="B23" s="3">
        <f>$B$7</f>
        <v>143</v>
      </c>
      <c r="C23" s="4">
        <f>$C$7</f>
        <v>775</v>
      </c>
      <c r="D23" s="48">
        <v>11454</v>
      </c>
      <c r="E23" s="48">
        <v>0</v>
      </c>
      <c r="F23" s="4">
        <f>SUM(D23:E23)</f>
        <v>11454</v>
      </c>
      <c r="G23" s="5">
        <v>403741</v>
      </c>
      <c r="H23" s="4">
        <f>F23/C23</f>
        <v>14.779354838709677</v>
      </c>
      <c r="I23" s="5">
        <f>G23/C23</f>
        <v>520.9561290322581</v>
      </c>
      <c r="J23" s="44">
        <f>I23/H23</f>
        <v>35.248908678191029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1.3419298149266845</v>
      </c>
      <c r="G24" s="16">
        <f t="shared" ref="G24" si="12">G23/G22</f>
        <v>1.4781737968403903</v>
      </c>
      <c r="H24" s="16"/>
      <c r="I24" s="16"/>
      <c r="J24" s="17"/>
      <c r="K24" s="17"/>
    </row>
    <row r="25" spans="1:11" ht="16.5" thickTop="1" thickBot="1" x14ac:dyDescent="0.25">
      <c r="A25" s="1">
        <f>$A$7</f>
        <v>2081</v>
      </c>
      <c r="B25" s="3">
        <f>$B$7</f>
        <v>143</v>
      </c>
      <c r="C25" s="4">
        <v>752</v>
      </c>
      <c r="D25" s="4">
        <f>G25/$J$7</f>
        <v>1542.8125</v>
      </c>
      <c r="E25" s="4">
        <v>0</v>
      </c>
      <c r="F25" s="13">
        <f>SUM(D25:E25)</f>
        <v>1542.8125</v>
      </c>
      <c r="G25" s="14">
        <v>49370</v>
      </c>
      <c r="H25" s="13">
        <f>F25/C25</f>
        <v>2.0516123670212765</v>
      </c>
      <c r="I25" s="14">
        <f>G25/C25</f>
        <v>65.651595744680847</v>
      </c>
      <c r="J25" s="6">
        <f>I25/H25</f>
        <v>32</v>
      </c>
      <c r="K25" s="27" t="s">
        <v>10</v>
      </c>
    </row>
    <row r="26" spans="1:11" ht="16.5" thickTop="1" thickBot="1" x14ac:dyDescent="0.25">
      <c r="A26" s="1">
        <f>$A$7</f>
        <v>2081</v>
      </c>
      <c r="B26" s="3">
        <f>$B$7</f>
        <v>143</v>
      </c>
      <c r="C26" s="4">
        <v>752</v>
      </c>
      <c r="D26" s="48">
        <v>1857</v>
      </c>
      <c r="E26" s="48">
        <v>0</v>
      </c>
      <c r="F26" s="4">
        <f>SUM(D26:E26)</f>
        <v>1857</v>
      </c>
      <c r="G26" s="5">
        <v>74131</v>
      </c>
      <c r="H26" s="4">
        <f>F26/C26</f>
        <v>2.4694148936170213</v>
      </c>
      <c r="I26" s="5">
        <f>G26/C26</f>
        <v>98.578457446808514</v>
      </c>
      <c r="J26" s="44">
        <f>I26/H26</f>
        <v>39.919763058696823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1.2036459388292486</v>
      </c>
      <c r="G27" s="16">
        <f t="shared" ref="G27" si="13">G26/G25</f>
        <v>1.5015393963945716</v>
      </c>
      <c r="H27" s="16"/>
      <c r="I27" s="16"/>
      <c r="J27" s="17"/>
      <c r="K27" s="17"/>
    </row>
    <row r="28" spans="1:11" ht="16.5" thickTop="1" thickBot="1" x14ac:dyDescent="0.25">
      <c r="A28" s="1">
        <f>$A$7</f>
        <v>2081</v>
      </c>
      <c r="B28" s="3">
        <f>$B$7</f>
        <v>143</v>
      </c>
      <c r="C28" s="4">
        <f>$C$7</f>
        <v>775</v>
      </c>
      <c r="D28" s="4">
        <f>G28/$J$7</f>
        <v>3660.46875</v>
      </c>
      <c r="E28" s="4">
        <v>0</v>
      </c>
      <c r="F28" s="13">
        <f>SUM(D28:E28)</f>
        <v>3660.46875</v>
      </c>
      <c r="G28" s="14">
        <v>117135</v>
      </c>
      <c r="H28" s="13">
        <f>F28/C28</f>
        <v>4.7231854838709681</v>
      </c>
      <c r="I28" s="14">
        <f>G28/C28</f>
        <v>151.14193548387098</v>
      </c>
      <c r="J28" s="6">
        <f>I28/H28</f>
        <v>32</v>
      </c>
      <c r="K28" s="27" t="s">
        <v>10</v>
      </c>
    </row>
    <row r="29" spans="1:11" ht="16.5" thickTop="1" thickBot="1" x14ac:dyDescent="0.25">
      <c r="A29" s="1">
        <f>$A$7</f>
        <v>2081</v>
      </c>
      <c r="B29" s="3">
        <f>$B$7</f>
        <v>143</v>
      </c>
      <c r="C29" s="4">
        <f>$C$7</f>
        <v>775</v>
      </c>
      <c r="D29" s="48">
        <v>3370</v>
      </c>
      <c r="E29" s="48">
        <v>0</v>
      </c>
      <c r="F29" s="4">
        <f>SUM(D29:E29)</f>
        <v>3370</v>
      </c>
      <c r="G29" s="5">
        <v>115014</v>
      </c>
      <c r="H29" s="4">
        <f>F29/C29</f>
        <v>4.3483870967741938</v>
      </c>
      <c r="I29" s="5">
        <f>G29/C29</f>
        <v>148.40516129032258</v>
      </c>
      <c r="J29" s="44">
        <f>I29/H29</f>
        <v>34.128783382789315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0.92064711657489218</v>
      </c>
      <c r="G30" s="16">
        <f t="shared" ref="G30" si="14">G29/G28</f>
        <v>0.98189268792419004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2081</v>
      </c>
      <c r="B33" s="3">
        <f>$B$7</f>
        <v>143</v>
      </c>
      <c r="C33" s="4">
        <f>$C$7</f>
        <v>775</v>
      </c>
      <c r="D33" s="13">
        <f>SUM(D28,D22,D19)</f>
        <v>16161.3125</v>
      </c>
      <c r="E33" s="13">
        <v>0</v>
      </c>
      <c r="F33" s="13">
        <f t="shared" ref="F33" si="15">SUM(D33:E33)</f>
        <v>16161.3125</v>
      </c>
      <c r="G33" s="14">
        <f>SUM(G28,G22,G19)</f>
        <v>517162</v>
      </c>
      <c r="H33" s="34">
        <f t="shared" ref="H33:H34" si="16">F33/C33</f>
        <v>20.853306451612902</v>
      </c>
      <c r="I33" s="39">
        <f t="shared" ref="I33:I34" si="17">G33/C33</f>
        <v>667.30580645161285</v>
      </c>
      <c r="J33" s="12">
        <f>I33/H33</f>
        <v>32</v>
      </c>
      <c r="K33" s="35" t="s">
        <v>10</v>
      </c>
    </row>
    <row r="34" spans="1:11" ht="17.25" thickTop="1" thickBot="1" x14ac:dyDescent="0.25">
      <c r="A34" s="53">
        <f>$A$7</f>
        <v>2081</v>
      </c>
      <c r="B34" s="3">
        <f>$B$7</f>
        <v>143</v>
      </c>
      <c r="C34" s="4">
        <f>$C$7</f>
        <v>775</v>
      </c>
      <c r="D34" s="4">
        <f>SUM(D29,D23,D20)</f>
        <v>17628</v>
      </c>
      <c r="E34" s="49">
        <v>0</v>
      </c>
      <c r="F34" s="4">
        <f>SUM(D34)</f>
        <v>17628</v>
      </c>
      <c r="G34" s="50">
        <f>SUM(G29,G23,G20)</f>
        <v>633422</v>
      </c>
      <c r="H34" s="41">
        <f t="shared" si="16"/>
        <v>22.745806451612903</v>
      </c>
      <c r="I34" s="42">
        <f t="shared" si="17"/>
        <v>817.31870967741941</v>
      </c>
      <c r="J34" s="43">
        <f>I34/H34</f>
        <v>35.932720671658728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1.0907529942261807</v>
      </c>
      <c r="G35" s="16">
        <f t="shared" ref="G35" si="18">G34/G33</f>
        <v>1.2248038332282727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ht="13.5" thickBot="1" x14ac:dyDescent="0.25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ht="13.5" thickTop="1" x14ac:dyDescent="0.2">
      <c r="A38" s="21"/>
      <c r="B38" s="22"/>
      <c r="C38" s="66" t="s">
        <v>34</v>
      </c>
      <c r="D38" s="67">
        <f>H34</f>
        <v>22.745806451612903</v>
      </c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68" t="s">
        <v>35</v>
      </c>
      <c r="D39" s="72">
        <f>H26</f>
        <v>2.4694148936170213</v>
      </c>
      <c r="E39" s="23"/>
      <c r="F39" s="23"/>
      <c r="G39" s="24"/>
      <c r="H39" s="23"/>
      <c r="I39" s="24"/>
      <c r="J39" s="25"/>
      <c r="K39" s="25"/>
    </row>
    <row r="40" spans="1:11" ht="13.5" thickBot="1" x14ac:dyDescent="0.25">
      <c r="A40" s="21"/>
      <c r="B40" s="22"/>
      <c r="C40" s="69" t="s">
        <v>36</v>
      </c>
      <c r="D40" s="70">
        <f>H8</f>
        <v>25.566451612903226</v>
      </c>
      <c r="E40" s="23"/>
      <c r="F40" s="23"/>
      <c r="G40" s="24"/>
      <c r="H40" s="23"/>
      <c r="I40" s="24"/>
      <c r="J40" s="25"/>
      <c r="K40" s="25"/>
    </row>
    <row r="41" spans="1:11" ht="13.5" thickTop="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B9C8-7F86-444C-A203-629481BB5694}">
  <dimension ref="A3:K46"/>
  <sheetViews>
    <sheetView topLeftCell="A4" zoomScale="120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41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2082</v>
      </c>
      <c r="B7" s="64">
        <v>235</v>
      </c>
      <c r="C7" s="65">
        <v>1517</v>
      </c>
      <c r="D7" s="4">
        <f>G7/$J$7</f>
        <v>26713.599999999999</v>
      </c>
      <c r="E7" s="4">
        <v>0</v>
      </c>
      <c r="F7" s="4">
        <f>SUM(D7:E7)</f>
        <v>26713.599999999999</v>
      </c>
      <c r="G7" s="5">
        <f>SUM(G16,G19,G22,G25,G28)</f>
        <v>934976</v>
      </c>
      <c r="H7" s="9">
        <f>F7/C7</f>
        <v>17.609492419248514</v>
      </c>
      <c r="I7" s="11">
        <f>G7/C7</f>
        <v>616.33223467369805</v>
      </c>
      <c r="J7" s="12">
        <v>35</v>
      </c>
      <c r="K7" s="37" t="s">
        <v>10</v>
      </c>
    </row>
    <row r="8" spans="1:11" ht="16.5" thickTop="1" thickBot="1" x14ac:dyDescent="0.25">
      <c r="A8" s="3">
        <f>$A$7</f>
        <v>2082</v>
      </c>
      <c r="B8" s="64">
        <v>235</v>
      </c>
      <c r="C8" s="65">
        <f>$C$7</f>
        <v>1517</v>
      </c>
      <c r="D8" s="4">
        <f>SUM(D17,D20,D23,D26,D29)</f>
        <v>32990</v>
      </c>
      <c r="E8" s="4">
        <v>0</v>
      </c>
      <c r="F8" s="4">
        <f>SUM(D8)</f>
        <v>32990</v>
      </c>
      <c r="G8" s="5">
        <f>SUM(G17,G20,G23,G26,G29)</f>
        <v>1086114</v>
      </c>
      <c r="H8" s="58">
        <f>F8/C8</f>
        <v>21.746868820039552</v>
      </c>
      <c r="I8" s="42">
        <f>G8/C8</f>
        <v>715.96176664469351</v>
      </c>
      <c r="J8" s="43">
        <f>I8/H8</f>
        <v>32.922521976356471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1.2349514853857213</v>
      </c>
      <c r="G10" s="62">
        <f>G8/G7</f>
        <v>1.1616490690670136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-6276.4000000000015</v>
      </c>
      <c r="G12" s="47">
        <f>G7-G8</f>
        <v>-151138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2082</v>
      </c>
      <c r="B16" s="3">
        <f>$B$7</f>
        <v>235</v>
      </c>
      <c r="C16" s="4">
        <f>$C$7</f>
        <v>1517</v>
      </c>
      <c r="D16" s="4">
        <f>G16/$J$7</f>
        <v>1024.2857142857142</v>
      </c>
      <c r="E16" s="4">
        <v>0</v>
      </c>
      <c r="F16" s="13">
        <f>SUM(D16:E16)</f>
        <v>1024.2857142857142</v>
      </c>
      <c r="G16" s="14">
        <v>35850</v>
      </c>
      <c r="H16" s="13">
        <f>F16/C16</f>
        <v>0.67520482154628492</v>
      </c>
      <c r="I16" s="14">
        <f>G16/C16</f>
        <v>23.632168754119974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2082</v>
      </c>
      <c r="B17" s="3">
        <f>$B$7</f>
        <v>235</v>
      </c>
      <c r="C17" s="4">
        <f>$C$7</f>
        <v>1517</v>
      </c>
      <c r="D17" s="48">
        <v>566</v>
      </c>
      <c r="E17" s="48">
        <v>0</v>
      </c>
      <c r="F17" s="4">
        <f>SUM(D17:E17)</f>
        <v>566</v>
      </c>
      <c r="G17" s="5">
        <v>33338</v>
      </c>
      <c r="H17" s="4">
        <f>F17/C17</f>
        <v>0.37310481212920238</v>
      </c>
      <c r="I17" s="5">
        <f>G17/C17</f>
        <v>21.976268951878708</v>
      </c>
      <c r="J17" s="44">
        <f>I17/H17</f>
        <v>58.901060070671377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0.5525801952580196</v>
      </c>
      <c r="G18" s="16">
        <f>G17/G16</f>
        <v>0.92993026499302645</v>
      </c>
      <c r="H18" s="16"/>
      <c r="I18" s="16"/>
      <c r="J18" s="16"/>
      <c r="K18" s="45"/>
    </row>
    <row r="19" spans="1:11" ht="16.5" thickTop="1" thickBot="1" x14ac:dyDescent="0.25">
      <c r="A19" s="1">
        <f>$A$7</f>
        <v>2082</v>
      </c>
      <c r="B19" s="3">
        <f>$B$7</f>
        <v>235</v>
      </c>
      <c r="C19" s="4">
        <f>$C$7</f>
        <v>1517</v>
      </c>
      <c r="D19" s="4">
        <f>G19/$J$7</f>
        <v>6762.5714285714284</v>
      </c>
      <c r="E19" s="4">
        <v>0</v>
      </c>
      <c r="F19" s="13">
        <f>SUM(D19:E19)</f>
        <v>6762.5714285714284</v>
      </c>
      <c r="G19" s="14">
        <v>236690</v>
      </c>
      <c r="H19" s="13">
        <f>F19/C19</f>
        <v>4.4578585554195307</v>
      </c>
      <c r="I19" s="14">
        <f>G19/C19</f>
        <v>156.02504943968358</v>
      </c>
      <c r="J19" s="6">
        <f>I19/H19</f>
        <v>35</v>
      </c>
      <c r="K19" s="27" t="s">
        <v>10</v>
      </c>
    </row>
    <row r="20" spans="1:11" ht="16.5" thickTop="1" thickBot="1" x14ac:dyDescent="0.25">
      <c r="A20" s="1">
        <f>$A$7</f>
        <v>2082</v>
      </c>
      <c r="B20" s="3">
        <f>$B$7</f>
        <v>235</v>
      </c>
      <c r="C20" s="4">
        <f>$C$7</f>
        <v>1517</v>
      </c>
      <c r="D20" s="48">
        <v>5586</v>
      </c>
      <c r="E20" s="48">
        <v>0</v>
      </c>
      <c r="F20" s="4">
        <f>SUM(D20:E20)</f>
        <v>5586</v>
      </c>
      <c r="G20" s="5">
        <v>183873</v>
      </c>
      <c r="H20" s="4">
        <f>F20/C20</f>
        <v>3.6822676334871458</v>
      </c>
      <c r="I20" s="5">
        <f>G20/C20</f>
        <v>121.20830586684245</v>
      </c>
      <c r="J20" s="44">
        <f>I20/H20</f>
        <v>32.916756176154671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0.82601715323841318</v>
      </c>
      <c r="G21" s="16">
        <f>G20/G19</f>
        <v>0.7768515780134353</v>
      </c>
      <c r="H21" s="16"/>
      <c r="I21" s="16"/>
      <c r="J21" s="45"/>
      <c r="K21" s="45"/>
    </row>
    <row r="22" spans="1:11" ht="16.5" thickTop="1" thickBot="1" x14ac:dyDescent="0.25">
      <c r="A22" s="1">
        <f>$A$7</f>
        <v>2082</v>
      </c>
      <c r="B22" s="3">
        <f>$B$7</f>
        <v>235</v>
      </c>
      <c r="C22" s="4">
        <f>$C$7</f>
        <v>1517</v>
      </c>
      <c r="D22" s="4">
        <f>G22/$J$7</f>
        <v>12599.428571428571</v>
      </c>
      <c r="E22" s="4">
        <v>0</v>
      </c>
      <c r="F22" s="13">
        <f>SUM(D22:E22)</f>
        <v>12599.428571428571</v>
      </c>
      <c r="G22" s="14">
        <v>440980</v>
      </c>
      <c r="H22" s="13">
        <f>F22/C22</f>
        <v>8.3054901591486949</v>
      </c>
      <c r="I22" s="14">
        <f>G22/C22</f>
        <v>290.69215557020436</v>
      </c>
      <c r="J22" s="6">
        <f>I22/H22</f>
        <v>35.000000000000007</v>
      </c>
      <c r="K22" s="27" t="s">
        <v>10</v>
      </c>
    </row>
    <row r="23" spans="1:11" ht="16.5" thickTop="1" thickBot="1" x14ac:dyDescent="0.25">
      <c r="A23" s="1">
        <f>$A$7</f>
        <v>2082</v>
      </c>
      <c r="B23" s="3">
        <f>$B$7</f>
        <v>235</v>
      </c>
      <c r="C23" s="4">
        <f>$C$7</f>
        <v>1517</v>
      </c>
      <c r="D23" s="48">
        <v>20267</v>
      </c>
      <c r="E23" s="48">
        <v>0</v>
      </c>
      <c r="F23" s="4">
        <f>SUM(D23:E23)</f>
        <v>20267</v>
      </c>
      <c r="G23" s="5">
        <v>644036</v>
      </c>
      <c r="H23" s="4">
        <f>F23/C23</f>
        <v>13.359920896506262</v>
      </c>
      <c r="I23" s="5">
        <f>G23/C23</f>
        <v>424.54581410678969</v>
      </c>
      <c r="J23" s="44">
        <f>I23/H23</f>
        <v>31.777569447870924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1.6085650142863623</v>
      </c>
      <c r="G24" s="16">
        <f>G23/G22</f>
        <v>1.4604653272257244</v>
      </c>
      <c r="H24" s="16"/>
      <c r="I24" s="16"/>
      <c r="J24" s="17"/>
      <c r="K24" s="17"/>
    </row>
    <row r="25" spans="1:11" ht="16.5" thickTop="1" thickBot="1" x14ac:dyDescent="0.25">
      <c r="A25" s="1">
        <f>$A$7</f>
        <v>2082</v>
      </c>
      <c r="B25" s="3">
        <f>$B$7</f>
        <v>235</v>
      </c>
      <c r="C25" s="4">
        <v>1760</v>
      </c>
      <c r="D25" s="4">
        <f>G25/$J$7</f>
        <v>3615.8857142857141</v>
      </c>
      <c r="E25" s="4">
        <v>0</v>
      </c>
      <c r="F25" s="13">
        <f>SUM(D25:E25)</f>
        <v>3615.8857142857141</v>
      </c>
      <c r="G25" s="14">
        <v>126556</v>
      </c>
      <c r="H25" s="13">
        <f>F25/C25</f>
        <v>2.0544805194805194</v>
      </c>
      <c r="I25" s="14">
        <f>G25/C25</f>
        <v>71.906818181818181</v>
      </c>
      <c r="J25" s="6">
        <f>I25/H25</f>
        <v>35</v>
      </c>
      <c r="K25" s="27" t="s">
        <v>10</v>
      </c>
    </row>
    <row r="26" spans="1:11" ht="16.5" thickTop="1" thickBot="1" x14ac:dyDescent="0.25">
      <c r="A26" s="1">
        <f>$A$7</f>
        <v>2082</v>
      </c>
      <c r="B26" s="3">
        <f>$B$7</f>
        <v>235</v>
      </c>
      <c r="C26" s="4">
        <v>1760</v>
      </c>
      <c r="D26" s="48">
        <v>4822</v>
      </c>
      <c r="E26" s="48">
        <v>0</v>
      </c>
      <c r="F26" s="4">
        <f>SUM(D26:E26)</f>
        <v>4822</v>
      </c>
      <c r="G26" s="5">
        <v>167065</v>
      </c>
      <c r="H26" s="4">
        <f>F26/C26</f>
        <v>2.7397727272727272</v>
      </c>
      <c r="I26" s="5">
        <f>G26/C26</f>
        <v>94.923295454545453</v>
      </c>
      <c r="J26" s="44">
        <f>I26/H26</f>
        <v>34.646412277063462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1.3335598470242422</v>
      </c>
      <c r="G27" s="16">
        <f>G26/G25</f>
        <v>1.3200875501754163</v>
      </c>
      <c r="H27" s="16"/>
      <c r="I27" s="16"/>
      <c r="J27" s="17"/>
      <c r="K27" s="17"/>
    </row>
    <row r="28" spans="1:11" ht="16.5" thickTop="1" thickBot="1" x14ac:dyDescent="0.25">
      <c r="A28" s="1">
        <f>$A$7</f>
        <v>2082</v>
      </c>
      <c r="B28" s="3">
        <f>$B$7</f>
        <v>235</v>
      </c>
      <c r="C28" s="4">
        <f>$C$7</f>
        <v>1517</v>
      </c>
      <c r="D28" s="4">
        <f>G28/$J$7</f>
        <v>2711.4285714285716</v>
      </c>
      <c r="E28" s="4">
        <v>0</v>
      </c>
      <c r="F28" s="13">
        <f>SUM(D28:E28)</f>
        <v>2711.4285714285716</v>
      </c>
      <c r="G28" s="14">
        <v>94900</v>
      </c>
      <c r="H28" s="13">
        <f>F28/C28</f>
        <v>1.7873622751671534</v>
      </c>
      <c r="I28" s="14">
        <f>G28/C28</f>
        <v>62.557679630850366</v>
      </c>
      <c r="J28" s="6">
        <f>I28/H28</f>
        <v>35</v>
      </c>
      <c r="K28" s="27" t="s">
        <v>10</v>
      </c>
    </row>
    <row r="29" spans="1:11" ht="16.5" thickTop="1" thickBot="1" x14ac:dyDescent="0.25">
      <c r="A29" s="1">
        <f>$A$7</f>
        <v>2082</v>
      </c>
      <c r="B29" s="3">
        <f>$B$7</f>
        <v>235</v>
      </c>
      <c r="C29" s="4">
        <f>$C$7</f>
        <v>1517</v>
      </c>
      <c r="D29" s="48">
        <v>1749</v>
      </c>
      <c r="E29" s="48">
        <v>0</v>
      </c>
      <c r="F29" s="4">
        <f>SUM(D29:E29)</f>
        <v>1749</v>
      </c>
      <c r="G29" s="5">
        <v>57802</v>
      </c>
      <c r="H29" s="4">
        <f>F29/C29</f>
        <v>1.1529334212261042</v>
      </c>
      <c r="I29" s="5">
        <f>G29/C29</f>
        <v>38.102834541858932</v>
      </c>
      <c r="J29" s="44">
        <f>I29/H29</f>
        <v>33.048599199542593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0.6450474183350895</v>
      </c>
      <c r="G30" s="16">
        <f>G29/G28</f>
        <v>0.60908324552160165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2082</v>
      </c>
      <c r="B33" s="3">
        <f>$B$7</f>
        <v>235</v>
      </c>
      <c r="C33" s="4">
        <f>$C$7</f>
        <v>1517</v>
      </c>
      <c r="D33" s="13">
        <f>SUM(D28,D22,D19)</f>
        <v>22073.428571428569</v>
      </c>
      <c r="E33" s="13">
        <v>0</v>
      </c>
      <c r="F33" s="13">
        <f>SUM(D33:E33)</f>
        <v>22073.428571428569</v>
      </c>
      <c r="G33" s="14">
        <f>SUM(G28,G22,G19)</f>
        <v>772570</v>
      </c>
      <c r="H33" s="34">
        <f>F33/C33</f>
        <v>14.550710989735379</v>
      </c>
      <c r="I33" s="39">
        <f>G33/C33</f>
        <v>509.27488464073832</v>
      </c>
      <c r="J33" s="12">
        <f>I33/H33</f>
        <v>35.000000000000007</v>
      </c>
      <c r="K33" s="35" t="s">
        <v>10</v>
      </c>
    </row>
    <row r="34" spans="1:11" ht="17.25" thickTop="1" thickBot="1" x14ac:dyDescent="0.25">
      <c r="A34" s="53">
        <f>$A$7</f>
        <v>2082</v>
      </c>
      <c r="B34" s="3">
        <f>$B$7</f>
        <v>235</v>
      </c>
      <c r="C34" s="4">
        <f>$C$7</f>
        <v>1517</v>
      </c>
      <c r="D34" s="4">
        <f>SUM(D29,D23,D20)</f>
        <v>27602</v>
      </c>
      <c r="E34" s="49">
        <v>0</v>
      </c>
      <c r="F34" s="4">
        <f>SUM(D34)</f>
        <v>27602</v>
      </c>
      <c r="G34" s="50">
        <f>SUM(G29,G23,G20)</f>
        <v>885711</v>
      </c>
      <c r="H34" s="41">
        <f>F34/C34</f>
        <v>18.195121951219512</v>
      </c>
      <c r="I34" s="42">
        <f>G34/C34</f>
        <v>583.85695451549111</v>
      </c>
      <c r="J34" s="43">
        <f>I34/H34</f>
        <v>32.088652996159702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1.250462741240276</v>
      </c>
      <c r="G35" s="63">
        <f>G34/G33</f>
        <v>1.1464475710938815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633-3F55-4F87-8C23-B37FD8FDCB77}">
  <dimension ref="A3:K46"/>
  <sheetViews>
    <sheetView zoomScale="120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46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2084</v>
      </c>
      <c r="B7" s="64">
        <v>195</v>
      </c>
      <c r="C7" s="65">
        <v>1313</v>
      </c>
      <c r="D7" s="4">
        <f>G7/$J$7</f>
        <v>23832.75</v>
      </c>
      <c r="E7" s="4">
        <v>0</v>
      </c>
      <c r="F7" s="4">
        <f>SUM(D7:E7)</f>
        <v>23832.75</v>
      </c>
      <c r="G7" s="5">
        <f>SUM(G16,G19,G22,G25,G28)</f>
        <v>953310</v>
      </c>
      <c r="H7" s="9">
        <f>F7/C7</f>
        <v>18.1513709063214</v>
      </c>
      <c r="I7" s="11">
        <f>G7/C7</f>
        <v>726.05483625285603</v>
      </c>
      <c r="J7" s="12">
        <v>40</v>
      </c>
      <c r="K7" s="37" t="s">
        <v>10</v>
      </c>
    </row>
    <row r="8" spans="1:11" ht="16.5" thickTop="1" thickBot="1" x14ac:dyDescent="0.25">
      <c r="A8" s="3">
        <v>2084</v>
      </c>
      <c r="B8" s="64">
        <v>195</v>
      </c>
      <c r="C8" s="65">
        <v>1604</v>
      </c>
      <c r="D8" s="4">
        <f>SUM(D17,D20,D23,D26,D29)</f>
        <v>33074</v>
      </c>
      <c r="E8" s="4">
        <v>0</v>
      </c>
      <c r="F8" s="4">
        <f>SUM(D8)</f>
        <v>33074</v>
      </c>
      <c r="G8" s="5">
        <f>SUM(G17,G20,G23,G26,G29)</f>
        <v>1051894</v>
      </c>
      <c r="H8" s="58">
        <f>F8/C8</f>
        <v>20.619700748129677</v>
      </c>
      <c r="I8" s="42">
        <f>G8/C8</f>
        <v>655.79426433915216</v>
      </c>
      <c r="J8" s="43">
        <f>I8/H8</f>
        <v>31.804257120396688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1.3877542457332872</v>
      </c>
      <c r="G10" s="62">
        <f>G8/G7</f>
        <v>1.1034123212805909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-9241.25</v>
      </c>
      <c r="G12" s="47">
        <f>G7-G8</f>
        <v>-98584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2084</v>
      </c>
      <c r="B16" s="3">
        <f>$B$7</f>
        <v>195</v>
      </c>
      <c r="C16" s="4">
        <f>$C$7</f>
        <v>1313</v>
      </c>
      <c r="D16" s="4">
        <f>G16/$J$7</f>
        <v>1035</v>
      </c>
      <c r="E16" s="4">
        <v>0</v>
      </c>
      <c r="F16" s="13">
        <f>SUM(D16:E16)</f>
        <v>1035</v>
      </c>
      <c r="G16" s="14">
        <v>41400</v>
      </c>
      <c r="H16" s="13">
        <f>F16/C16</f>
        <v>0.78827113480578825</v>
      </c>
      <c r="I16" s="14">
        <f>G16/C16</f>
        <v>31.53084539223153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2084</v>
      </c>
      <c r="B17" s="3">
        <f>$B$7</f>
        <v>195</v>
      </c>
      <c r="C17" s="4">
        <f>$C$7</f>
        <v>1313</v>
      </c>
      <c r="D17" s="48">
        <v>541</v>
      </c>
      <c r="E17" s="48">
        <v>0</v>
      </c>
      <c r="F17" s="4">
        <f>SUM(D17:E17)</f>
        <v>541</v>
      </c>
      <c r="G17" s="5">
        <v>31849</v>
      </c>
      <c r="H17" s="4">
        <f>F17/C17</f>
        <v>0.41203351104341202</v>
      </c>
      <c r="I17" s="5">
        <f>G17/C17</f>
        <v>24.256664127951257</v>
      </c>
      <c r="J17" s="44">
        <f>I17/H17</f>
        <v>58.870609981515713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0.5227053140096618</v>
      </c>
      <c r="G18" s="16">
        <f>G17/G16</f>
        <v>0.76929951690821252</v>
      </c>
      <c r="H18" s="16"/>
      <c r="I18" s="16"/>
      <c r="J18" s="16"/>
      <c r="K18" s="45"/>
    </row>
    <row r="19" spans="1:11" ht="16.5" thickTop="1" thickBot="1" x14ac:dyDescent="0.25">
      <c r="A19" s="1">
        <f>$A$7</f>
        <v>2084</v>
      </c>
      <c r="B19" s="3">
        <f>$B$7</f>
        <v>195</v>
      </c>
      <c r="C19" s="4">
        <f>$C$7</f>
        <v>1313</v>
      </c>
      <c r="D19" s="4">
        <f>G19/$J$7</f>
        <v>5985.625</v>
      </c>
      <c r="E19" s="4">
        <v>0</v>
      </c>
      <c r="F19" s="13">
        <f>SUM(D19:E19)</f>
        <v>5985.625</v>
      </c>
      <c r="G19" s="14">
        <v>239425</v>
      </c>
      <c r="H19" s="13">
        <f>F19/C19</f>
        <v>4.5587395277989335</v>
      </c>
      <c r="I19" s="14">
        <f>G19/C19</f>
        <v>182.34958111195735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2084</v>
      </c>
      <c r="B20" s="3">
        <f>$B$7</f>
        <v>195</v>
      </c>
      <c r="C20" s="4">
        <f>$C$7</f>
        <v>1313</v>
      </c>
      <c r="D20" s="48">
        <v>8832</v>
      </c>
      <c r="E20" s="48">
        <v>0</v>
      </c>
      <c r="F20" s="4">
        <f>SUM(D20:E20)</f>
        <v>8832</v>
      </c>
      <c r="G20" s="5">
        <v>286303</v>
      </c>
      <c r="H20" s="4">
        <f>F20/C20</f>
        <v>6.7265803503427266</v>
      </c>
      <c r="I20" s="5">
        <f>G20/C20</f>
        <v>218.05255140898706</v>
      </c>
      <c r="J20" s="44">
        <f>I20/H20</f>
        <v>32.416553442028984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1.4755351362639657</v>
      </c>
      <c r="G21" s="16">
        <f>G20/G19</f>
        <v>1.1957940900073092</v>
      </c>
      <c r="H21" s="16"/>
      <c r="I21" s="16"/>
      <c r="J21" s="45"/>
      <c r="K21" s="45"/>
    </row>
    <row r="22" spans="1:11" ht="16.5" thickTop="1" thickBot="1" x14ac:dyDescent="0.25">
      <c r="A22" s="1">
        <f>$A$7</f>
        <v>2084</v>
      </c>
      <c r="B22" s="3">
        <f>$B$7</f>
        <v>195</v>
      </c>
      <c r="C22" s="4">
        <f>$C$7</f>
        <v>1313</v>
      </c>
      <c r="D22" s="4">
        <f>G22/$J$7</f>
        <v>11085.875</v>
      </c>
      <c r="E22" s="4">
        <v>0</v>
      </c>
      <c r="F22" s="13">
        <f>SUM(D22:E22)</f>
        <v>11085.875</v>
      </c>
      <c r="G22" s="14">
        <v>443435</v>
      </c>
      <c r="H22" s="13">
        <f>F22/C22</f>
        <v>8.4431645087585689</v>
      </c>
      <c r="I22" s="14">
        <f>G22/C22</f>
        <v>337.72658035034272</v>
      </c>
      <c r="J22" s="6">
        <f>I22/H22</f>
        <v>39.999999999999993</v>
      </c>
      <c r="K22" s="27" t="s">
        <v>10</v>
      </c>
    </row>
    <row r="23" spans="1:11" ht="16.5" thickTop="1" thickBot="1" x14ac:dyDescent="0.25">
      <c r="A23" s="1">
        <f>$A$7</f>
        <v>2084</v>
      </c>
      <c r="B23" s="3">
        <f>$B$7</f>
        <v>195</v>
      </c>
      <c r="C23" s="4">
        <f>$C$7</f>
        <v>1313</v>
      </c>
      <c r="D23" s="48">
        <v>17415</v>
      </c>
      <c r="E23" s="48">
        <v>0</v>
      </c>
      <c r="F23" s="4">
        <f>SUM(D23:E23)</f>
        <v>17415</v>
      </c>
      <c r="G23" s="5">
        <v>531121</v>
      </c>
      <c r="H23" s="4">
        <f>F23/C23</f>
        <v>13.263518659558263</v>
      </c>
      <c r="I23" s="5">
        <f>G23/C23</f>
        <v>404.50952018278753</v>
      </c>
      <c r="J23" s="44">
        <f>I23/H23</f>
        <v>30.497904105656044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1.5709179473880051</v>
      </c>
      <c r="G24" s="16">
        <f>G23/G22</f>
        <v>1.1977426229323351</v>
      </c>
      <c r="H24" s="16"/>
      <c r="I24" s="16"/>
      <c r="J24" s="17"/>
      <c r="K24" s="17"/>
    </row>
    <row r="25" spans="1:11" ht="16.5" thickTop="1" thickBot="1" x14ac:dyDescent="0.25">
      <c r="A25" s="1">
        <f>$A$7</f>
        <v>2084</v>
      </c>
      <c r="B25" s="3">
        <f>$B$7</f>
        <v>195</v>
      </c>
      <c r="C25" s="4">
        <f>C8</f>
        <v>1604</v>
      </c>
      <c r="D25" s="4">
        <f>G25/$J$7</f>
        <v>3167.5</v>
      </c>
      <c r="E25" s="4">
        <v>0</v>
      </c>
      <c r="F25" s="13">
        <f>SUM(D25:E25)</f>
        <v>3167.5</v>
      </c>
      <c r="G25" s="14">
        <v>126700</v>
      </c>
      <c r="H25" s="13">
        <f>F25/C25</f>
        <v>1.9747506234413965</v>
      </c>
      <c r="I25" s="14">
        <f>G25/C25</f>
        <v>78.990024937655861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2084</v>
      </c>
      <c r="B26" s="3">
        <f>$B$7</f>
        <v>195</v>
      </c>
      <c r="C26" s="4">
        <f>C25</f>
        <v>1604</v>
      </c>
      <c r="D26" s="48">
        <v>5460</v>
      </c>
      <c r="E26" s="48">
        <v>0</v>
      </c>
      <c r="F26" s="4">
        <f>SUM(D26:E26)</f>
        <v>5460</v>
      </c>
      <c r="G26" s="5">
        <v>176591</v>
      </c>
      <c r="H26" s="4">
        <f>F26/C26</f>
        <v>3.4039900249376558</v>
      </c>
      <c r="I26" s="5">
        <f>G26/C26</f>
        <v>110.09413965087282</v>
      </c>
      <c r="J26" s="44">
        <f>I26/H26</f>
        <v>32.342673992673994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1.7237569060773481</v>
      </c>
      <c r="G27" s="16">
        <f>G26/G25</f>
        <v>1.3937726913970008</v>
      </c>
      <c r="H27" s="16"/>
      <c r="I27" s="16"/>
      <c r="J27" s="17"/>
      <c r="K27" s="17"/>
    </row>
    <row r="28" spans="1:11" ht="16.5" thickTop="1" thickBot="1" x14ac:dyDescent="0.25">
      <c r="A28" s="1">
        <f>$A$7</f>
        <v>2084</v>
      </c>
      <c r="B28" s="3">
        <f>$B$7</f>
        <v>195</v>
      </c>
      <c r="C28" s="4">
        <f>$C$7</f>
        <v>1313</v>
      </c>
      <c r="D28" s="4">
        <f>G28/$J$7</f>
        <v>2558.75</v>
      </c>
      <c r="E28" s="4">
        <v>0</v>
      </c>
      <c r="F28" s="13">
        <f>SUM(D28:E28)</f>
        <v>2558.75</v>
      </c>
      <c r="G28" s="14">
        <v>102350</v>
      </c>
      <c r="H28" s="13">
        <f>F28/C28</f>
        <v>1.9487814166031987</v>
      </c>
      <c r="I28" s="14">
        <f>G28/C28</f>
        <v>77.951256664127953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2084</v>
      </c>
      <c r="B29" s="3">
        <f>$B$7</f>
        <v>195</v>
      </c>
      <c r="C29" s="4">
        <f>$C$7</f>
        <v>1313</v>
      </c>
      <c r="D29" s="48">
        <v>826</v>
      </c>
      <c r="E29" s="48">
        <v>0</v>
      </c>
      <c r="F29" s="4">
        <f>SUM(D29:E29)</f>
        <v>826</v>
      </c>
      <c r="G29" s="5">
        <v>26030</v>
      </c>
      <c r="H29" s="4">
        <f>F29/C29</f>
        <v>0.62909367859862908</v>
      </c>
      <c r="I29" s="5">
        <f>G29/C29</f>
        <v>19.824828636709825</v>
      </c>
      <c r="J29" s="44">
        <f>I29/H29</f>
        <v>31.513317191283292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0.32281387396189548</v>
      </c>
      <c r="G30" s="16">
        <f>G29/G28</f>
        <v>0.25432340009770393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2084</v>
      </c>
      <c r="B33" s="3">
        <f>$B$7</f>
        <v>195</v>
      </c>
      <c r="C33" s="4">
        <f>$C$7</f>
        <v>1313</v>
      </c>
      <c r="D33" s="13">
        <f>SUM(D28,D22,D19)</f>
        <v>19630.25</v>
      </c>
      <c r="E33" s="13">
        <v>0</v>
      </c>
      <c r="F33" s="13">
        <f>SUM(D33:E33)</f>
        <v>19630.25</v>
      </c>
      <c r="G33" s="14">
        <f>SUM(G28,G22,G19)</f>
        <v>785210</v>
      </c>
      <c r="H33" s="34">
        <f>F33/C33</f>
        <v>14.9506854531607</v>
      </c>
      <c r="I33" s="39">
        <f>G33/C33</f>
        <v>598.02741812642807</v>
      </c>
      <c r="J33" s="12">
        <f>I33/H33</f>
        <v>40.000000000000007</v>
      </c>
      <c r="K33" s="35" t="s">
        <v>10</v>
      </c>
    </row>
    <row r="34" spans="1:11" ht="17.25" thickTop="1" thickBot="1" x14ac:dyDescent="0.25">
      <c r="A34" s="53">
        <f>$A$7</f>
        <v>2084</v>
      </c>
      <c r="B34" s="3">
        <f>$B$7</f>
        <v>195</v>
      </c>
      <c r="C34" s="4">
        <f>$C$7</f>
        <v>1313</v>
      </c>
      <c r="D34" s="4">
        <f>SUM(D29,D23,D20)</f>
        <v>27073</v>
      </c>
      <c r="E34" s="49">
        <v>0</v>
      </c>
      <c r="F34" s="4">
        <f>SUM(D34)</f>
        <v>27073</v>
      </c>
      <c r="G34" s="50">
        <f>SUM(G29,G23,G20)</f>
        <v>843454</v>
      </c>
      <c r="H34" s="41">
        <f>F34/C34</f>
        <v>20.61919268849962</v>
      </c>
      <c r="I34" s="42">
        <f>G34/C34</f>
        <v>642.38690022848436</v>
      </c>
      <c r="J34" s="43">
        <f>I34/H34</f>
        <v>31.154803678942116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1.3791469797888463</v>
      </c>
      <c r="G35" s="63">
        <f>G34/G33</f>
        <v>1.0741763349931865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E073-D394-4D77-A8B4-F2F1041EC6A8}">
  <dimension ref="A3:K46"/>
  <sheetViews>
    <sheetView topLeftCell="A8" zoomScale="120" zoomScaleNormal="120" zoomScaleSheetLayoutView="100" workbookViewId="0">
      <selection activeCell="S37" sqref="S37"/>
    </sheetView>
  </sheetViews>
  <sheetFormatPr defaultRowHeight="12.75" x14ac:dyDescent="0.2"/>
  <cols>
    <col min="1" max="11" width="12.7109375" style="75" customWidth="1"/>
    <col min="12" max="16384" width="9.140625" style="75"/>
  </cols>
  <sheetData>
    <row r="3" spans="1:11" x14ac:dyDescent="0.2">
      <c r="A3" s="74" t="s">
        <v>37</v>
      </c>
    </row>
    <row r="5" spans="1:11" ht="15" x14ac:dyDescent="0.2">
      <c r="A5" s="76"/>
      <c r="B5" s="76"/>
      <c r="C5" s="76"/>
      <c r="D5" s="76"/>
      <c r="E5" s="76"/>
      <c r="F5" s="76"/>
      <c r="G5" s="76"/>
      <c r="H5" s="77"/>
      <c r="I5" s="77"/>
      <c r="J5" s="76"/>
      <c r="K5" s="76"/>
    </row>
    <row r="6" spans="1:11" ht="31.5" x14ac:dyDescent="0.2">
      <c r="A6" s="76" t="s">
        <v>0</v>
      </c>
      <c r="B6" s="78" t="s">
        <v>1</v>
      </c>
      <c r="C6" s="78" t="s">
        <v>4</v>
      </c>
      <c r="D6" s="78" t="s">
        <v>2</v>
      </c>
      <c r="E6" s="78" t="s">
        <v>6</v>
      </c>
      <c r="F6" s="78" t="s">
        <v>7</v>
      </c>
      <c r="G6" s="78" t="s">
        <v>3</v>
      </c>
      <c r="H6" s="78" t="s">
        <v>5</v>
      </c>
      <c r="I6" s="78" t="s">
        <v>8</v>
      </c>
      <c r="J6" s="78" t="s">
        <v>9</v>
      </c>
      <c r="K6" s="76"/>
    </row>
    <row r="7" spans="1:11" ht="15.75" thickBot="1" x14ac:dyDescent="0.25">
      <c r="A7" s="79">
        <v>2085</v>
      </c>
      <c r="B7" s="80">
        <v>77</v>
      </c>
      <c r="C7" s="81">
        <v>396</v>
      </c>
      <c r="D7" s="77">
        <f>G7/$J$7</f>
        <v>8084.8</v>
      </c>
      <c r="E7" s="77">
        <v>0</v>
      </c>
      <c r="F7" s="77">
        <f t="shared" ref="F7" si="0">SUM(D7:E7)</f>
        <v>8084.8</v>
      </c>
      <c r="G7" s="82">
        <f>SUM(G16,G19,G22,G25,G28)</f>
        <v>323392</v>
      </c>
      <c r="H7" s="83">
        <f t="shared" ref="H7:H8" si="1">F7/C7</f>
        <v>20.416161616161617</v>
      </c>
      <c r="I7" s="84">
        <f t="shared" ref="I7:I8" si="2">G7/C7</f>
        <v>816.64646464646466</v>
      </c>
      <c r="J7" s="85">
        <v>40</v>
      </c>
      <c r="K7" s="86" t="s">
        <v>10</v>
      </c>
    </row>
    <row r="8" spans="1:11" ht="16.5" thickTop="1" thickBot="1" x14ac:dyDescent="0.25">
      <c r="A8" s="76">
        <v>2085</v>
      </c>
      <c r="B8" s="80">
        <v>77</v>
      </c>
      <c r="C8" s="81">
        <v>392</v>
      </c>
      <c r="D8" s="77">
        <f>SUM(D17,D20,D23,D26,D29)</f>
        <v>9830</v>
      </c>
      <c r="E8" s="77">
        <v>0</v>
      </c>
      <c r="F8" s="77">
        <f>SUM(D8)</f>
        <v>9830</v>
      </c>
      <c r="G8" s="82">
        <f>SUM(G17,G20,G23,G26,G29)</f>
        <v>341966</v>
      </c>
      <c r="H8" s="87">
        <f t="shared" si="1"/>
        <v>25.076530612244898</v>
      </c>
      <c r="I8" s="88">
        <f t="shared" si="2"/>
        <v>872.36224489795916</v>
      </c>
      <c r="J8" s="89">
        <f>I8/H8</f>
        <v>34.787995930824003</v>
      </c>
      <c r="K8" s="86" t="s">
        <v>11</v>
      </c>
    </row>
    <row r="9" spans="1:11" ht="15.75" thickTop="1" x14ac:dyDescent="0.2">
      <c r="A9" s="76"/>
      <c r="B9" s="76"/>
      <c r="C9" s="77"/>
      <c r="D9" s="77"/>
      <c r="E9" s="77"/>
      <c r="F9" s="77"/>
      <c r="G9" s="82"/>
      <c r="H9" s="90"/>
      <c r="I9" s="91"/>
      <c r="J9" s="92"/>
      <c r="K9" s="93"/>
    </row>
    <row r="10" spans="1:11" ht="15" x14ac:dyDescent="0.2">
      <c r="A10" s="76"/>
      <c r="B10" s="76"/>
      <c r="C10" s="77"/>
      <c r="D10" s="77"/>
      <c r="E10" s="77"/>
      <c r="F10" s="94">
        <f>F8/F7</f>
        <v>1.2158618642390659</v>
      </c>
      <c r="G10" s="95">
        <f t="shared" ref="G10" si="3">G8/G7</f>
        <v>1.0574349396398179</v>
      </c>
      <c r="H10" s="94"/>
      <c r="I10" s="94"/>
      <c r="J10" s="93"/>
      <c r="K10" s="93"/>
    </row>
    <row r="11" spans="1:11" ht="15.75" thickBot="1" x14ac:dyDescent="0.25">
      <c r="A11" s="76"/>
      <c r="B11" s="76"/>
      <c r="C11" s="77"/>
      <c r="D11" s="83"/>
      <c r="E11" s="83"/>
      <c r="F11" s="83"/>
      <c r="G11" s="84"/>
      <c r="H11" s="83"/>
      <c r="I11" s="82"/>
      <c r="J11" s="93"/>
      <c r="K11" s="93"/>
    </row>
    <row r="12" spans="1:11" ht="16.5" customHeight="1" thickTop="1" thickBot="1" x14ac:dyDescent="0.25">
      <c r="A12" s="76"/>
      <c r="B12" s="76"/>
      <c r="C12" s="96"/>
      <c r="D12" s="149" t="s">
        <v>12</v>
      </c>
      <c r="E12" s="150"/>
      <c r="F12" s="97">
        <f>F7-F8</f>
        <v>-1745.1999999999998</v>
      </c>
      <c r="G12" s="98">
        <f>G7-G8</f>
        <v>-18574</v>
      </c>
      <c r="H12" s="99"/>
      <c r="I12" s="82"/>
      <c r="J12" s="93"/>
      <c r="K12" s="93"/>
    </row>
    <row r="13" spans="1:11" ht="15.75" thickTop="1" x14ac:dyDescent="0.2">
      <c r="A13" s="76"/>
      <c r="B13" s="76"/>
      <c r="C13" s="77"/>
      <c r="D13" s="90"/>
      <c r="E13" s="90"/>
      <c r="F13" s="90"/>
      <c r="G13" s="91"/>
      <c r="H13" s="90"/>
      <c r="I13" s="91"/>
      <c r="J13" s="93"/>
      <c r="K13" s="93"/>
    </row>
    <row r="14" spans="1:11" ht="15.75" thickBot="1" x14ac:dyDescent="0.25">
      <c r="A14" s="100"/>
      <c r="B14" s="100"/>
      <c r="C14" s="83"/>
      <c r="D14" s="83"/>
      <c r="E14" s="83"/>
      <c r="F14" s="77"/>
      <c r="G14" s="82"/>
      <c r="H14" s="77"/>
      <c r="I14" s="82"/>
      <c r="J14" s="93"/>
      <c r="K14" s="93"/>
    </row>
    <row r="15" spans="1:11" ht="12.75" customHeight="1" thickTop="1" thickBot="1" x14ac:dyDescent="0.25">
      <c r="A15" s="151" t="s">
        <v>13</v>
      </c>
      <c r="B15" s="152"/>
      <c r="C15" s="152"/>
      <c r="D15" s="152"/>
      <c r="E15" s="153"/>
      <c r="F15" s="101"/>
      <c r="G15" s="84"/>
      <c r="H15" s="83"/>
      <c r="I15" s="84"/>
      <c r="J15" s="85"/>
      <c r="K15" s="85"/>
    </row>
    <row r="16" spans="1:11" ht="16.5" thickTop="1" thickBot="1" x14ac:dyDescent="0.25">
      <c r="A16" s="79">
        <f>$A$7</f>
        <v>2085</v>
      </c>
      <c r="B16" s="76">
        <f>$B$7</f>
        <v>77</v>
      </c>
      <c r="C16" s="77">
        <f>$C$7</f>
        <v>396</v>
      </c>
      <c r="D16" s="77">
        <f>G16/$J$7</f>
        <v>413.875</v>
      </c>
      <c r="E16" s="77">
        <v>0</v>
      </c>
      <c r="F16" s="102">
        <f t="shared" ref="F16:F17" si="4">SUM(D16:E16)</f>
        <v>413.875</v>
      </c>
      <c r="G16" s="103">
        <v>16555</v>
      </c>
      <c r="H16" s="102">
        <f t="shared" ref="H16:H17" si="5">F16/C16</f>
        <v>1.0451388888888888</v>
      </c>
      <c r="I16" s="103">
        <f t="shared" ref="I16:I17" si="6">G16/C16</f>
        <v>41.805555555555557</v>
      </c>
      <c r="J16" s="93">
        <v>60</v>
      </c>
      <c r="K16" s="104" t="s">
        <v>10</v>
      </c>
    </row>
    <row r="17" spans="1:11" ht="16.5" thickTop="1" thickBot="1" x14ac:dyDescent="0.25">
      <c r="A17" s="79">
        <f>$A$7</f>
        <v>2085</v>
      </c>
      <c r="B17" s="76">
        <f>$B$7</f>
        <v>77</v>
      </c>
      <c r="C17" s="77">
        <f>$C$7</f>
        <v>396</v>
      </c>
      <c r="D17" s="105">
        <v>137</v>
      </c>
      <c r="E17" s="105">
        <v>0</v>
      </c>
      <c r="F17" s="77">
        <f t="shared" si="4"/>
        <v>137</v>
      </c>
      <c r="G17" s="82">
        <v>7721</v>
      </c>
      <c r="H17" s="77">
        <f t="shared" si="5"/>
        <v>0.34595959595959597</v>
      </c>
      <c r="I17" s="82">
        <f t="shared" si="6"/>
        <v>19.497474747474747</v>
      </c>
      <c r="J17" s="106">
        <f>I17/H17</f>
        <v>56.357664233576642</v>
      </c>
      <c r="K17" s="86" t="s">
        <v>11</v>
      </c>
    </row>
    <row r="18" spans="1:11" ht="17.25" thickTop="1" thickBot="1" x14ac:dyDescent="0.3">
      <c r="A18" s="151" t="s">
        <v>17</v>
      </c>
      <c r="B18" s="152"/>
      <c r="C18" s="152"/>
      <c r="D18" s="152"/>
      <c r="E18" s="154"/>
      <c r="F18" s="107">
        <f>F17/F16</f>
        <v>0.33101781938991243</v>
      </c>
      <c r="G18" s="108">
        <f t="shared" ref="G18" si="7">G17/G16</f>
        <v>0.46638477801268496</v>
      </c>
      <c r="H18" s="108"/>
      <c r="I18" s="108"/>
      <c r="J18" s="108"/>
      <c r="K18" s="109"/>
    </row>
    <row r="19" spans="1:11" ht="16.5" thickTop="1" thickBot="1" x14ac:dyDescent="0.25">
      <c r="A19" s="79">
        <f>$A$7</f>
        <v>2085</v>
      </c>
      <c r="B19" s="76">
        <f>$B$7</f>
        <v>77</v>
      </c>
      <c r="C19" s="77">
        <f>$C$7</f>
        <v>396</v>
      </c>
      <c r="D19" s="77">
        <f>G19/$J$7</f>
        <v>1215.05</v>
      </c>
      <c r="E19" s="77">
        <v>0</v>
      </c>
      <c r="F19" s="102">
        <f t="shared" ref="F19:F20" si="8">SUM(D19:E19)</f>
        <v>1215.05</v>
      </c>
      <c r="G19" s="103">
        <v>48602</v>
      </c>
      <c r="H19" s="102">
        <f t="shared" ref="H19:H20" si="9">F19/C19</f>
        <v>3.0683080808080807</v>
      </c>
      <c r="I19" s="103">
        <f t="shared" ref="I19:I20" si="10">G19/C19</f>
        <v>122.73232323232324</v>
      </c>
      <c r="J19" s="93">
        <f>I19/H19</f>
        <v>40</v>
      </c>
      <c r="K19" s="104" t="s">
        <v>10</v>
      </c>
    </row>
    <row r="20" spans="1:11" ht="16.5" thickTop="1" thickBot="1" x14ac:dyDescent="0.25">
      <c r="A20" s="79">
        <f>$A$7</f>
        <v>2085</v>
      </c>
      <c r="B20" s="76">
        <f>$B$7</f>
        <v>77</v>
      </c>
      <c r="C20" s="77">
        <f>$C$7</f>
        <v>396</v>
      </c>
      <c r="D20" s="105">
        <v>1076</v>
      </c>
      <c r="E20" s="105">
        <v>0</v>
      </c>
      <c r="F20" s="77">
        <f t="shared" si="8"/>
        <v>1076</v>
      </c>
      <c r="G20" s="82">
        <v>43689</v>
      </c>
      <c r="H20" s="77">
        <f t="shared" si="9"/>
        <v>2.7171717171717171</v>
      </c>
      <c r="I20" s="82">
        <f t="shared" si="10"/>
        <v>110.32575757575758</v>
      </c>
      <c r="J20" s="106">
        <f>I20/H20</f>
        <v>40.603159851301115</v>
      </c>
      <c r="K20" s="86" t="s">
        <v>11</v>
      </c>
    </row>
    <row r="21" spans="1:11" ht="17.25" thickTop="1" thickBot="1" x14ac:dyDescent="0.25">
      <c r="A21" s="151" t="s">
        <v>15</v>
      </c>
      <c r="B21" s="152"/>
      <c r="C21" s="152"/>
      <c r="D21" s="152"/>
      <c r="E21" s="153"/>
      <c r="F21" s="107">
        <f>F20/F19</f>
        <v>0.88556026500967044</v>
      </c>
      <c r="G21" s="108">
        <f t="shared" ref="G21" si="11">G20/G19</f>
        <v>0.89891362495370564</v>
      </c>
      <c r="H21" s="108"/>
      <c r="I21" s="108"/>
      <c r="J21" s="109"/>
      <c r="K21" s="109"/>
    </row>
    <row r="22" spans="1:11" ht="16.5" thickTop="1" thickBot="1" x14ac:dyDescent="0.25">
      <c r="A22" s="79">
        <f>$A$7</f>
        <v>2085</v>
      </c>
      <c r="B22" s="76">
        <f>$B$7</f>
        <v>77</v>
      </c>
      <c r="C22" s="77">
        <f>$C$7</f>
        <v>396</v>
      </c>
      <c r="D22" s="77">
        <f>G22/$J$7</f>
        <v>3911.25</v>
      </c>
      <c r="E22" s="77">
        <v>0</v>
      </c>
      <c r="F22" s="102">
        <f>SUM(D22:E22)</f>
        <v>3911.25</v>
      </c>
      <c r="G22" s="103">
        <v>156450</v>
      </c>
      <c r="H22" s="102">
        <f>F22/C22</f>
        <v>9.8768939393939394</v>
      </c>
      <c r="I22" s="103">
        <f>G22/C22</f>
        <v>395.07575757575756</v>
      </c>
      <c r="J22" s="93">
        <f>I22/H22</f>
        <v>40</v>
      </c>
      <c r="K22" s="104" t="s">
        <v>10</v>
      </c>
    </row>
    <row r="23" spans="1:11" ht="16.5" thickTop="1" thickBot="1" x14ac:dyDescent="0.25">
      <c r="A23" s="79">
        <f>$A$7</f>
        <v>2085</v>
      </c>
      <c r="B23" s="76">
        <f>$B$7</f>
        <v>77</v>
      </c>
      <c r="C23" s="77">
        <f>$C$7</f>
        <v>396</v>
      </c>
      <c r="D23" s="105">
        <v>6064</v>
      </c>
      <c r="E23" s="105">
        <v>0</v>
      </c>
      <c r="F23" s="77">
        <f>SUM(D23:E23)</f>
        <v>6064</v>
      </c>
      <c r="G23" s="82">
        <v>202211</v>
      </c>
      <c r="H23" s="77">
        <f>F23/C23</f>
        <v>15.313131313131313</v>
      </c>
      <c r="I23" s="82">
        <f>G23/C23</f>
        <v>510.63383838383839</v>
      </c>
      <c r="J23" s="106">
        <f>I23/H23</f>
        <v>33.34614116094987</v>
      </c>
      <c r="K23" s="86" t="s">
        <v>11</v>
      </c>
    </row>
    <row r="24" spans="1:11" ht="17.25" customHeight="1" thickTop="1" thickBot="1" x14ac:dyDescent="0.25">
      <c r="A24" s="151" t="s">
        <v>16</v>
      </c>
      <c r="B24" s="152"/>
      <c r="C24" s="152"/>
      <c r="D24" s="152"/>
      <c r="E24" s="153"/>
      <c r="F24" s="107">
        <f>F23/F22</f>
        <v>1.5503994886545223</v>
      </c>
      <c r="G24" s="108">
        <f t="shared" ref="G24" si="12">G23/G22</f>
        <v>1.2924960051134549</v>
      </c>
      <c r="H24" s="108"/>
      <c r="I24" s="108"/>
      <c r="J24" s="110"/>
      <c r="K24" s="110"/>
    </row>
    <row r="25" spans="1:11" ht="16.5" thickTop="1" thickBot="1" x14ac:dyDescent="0.25">
      <c r="A25" s="79">
        <f>$A$7</f>
        <v>2085</v>
      </c>
      <c r="B25" s="76">
        <f>$B$7</f>
        <v>77</v>
      </c>
      <c r="C25" s="77">
        <f>C8</f>
        <v>392</v>
      </c>
      <c r="D25" s="77">
        <f>G25/$J$7</f>
        <v>920</v>
      </c>
      <c r="E25" s="77">
        <v>0</v>
      </c>
      <c r="F25" s="102">
        <f>SUM(D25:E25)</f>
        <v>920</v>
      </c>
      <c r="G25" s="103">
        <v>36800</v>
      </c>
      <c r="H25" s="102">
        <f>F25/C25</f>
        <v>2.3469387755102042</v>
      </c>
      <c r="I25" s="103">
        <f>G25/C25</f>
        <v>93.877551020408163</v>
      </c>
      <c r="J25" s="93">
        <f>I25/H25</f>
        <v>40</v>
      </c>
      <c r="K25" s="104" t="s">
        <v>10</v>
      </c>
    </row>
    <row r="26" spans="1:11" ht="16.5" thickTop="1" thickBot="1" x14ac:dyDescent="0.25">
      <c r="A26" s="79">
        <f>$A$7</f>
        <v>2085</v>
      </c>
      <c r="B26" s="76">
        <f>$B$7</f>
        <v>77</v>
      </c>
      <c r="C26" s="77">
        <f>C25</f>
        <v>392</v>
      </c>
      <c r="D26" s="105">
        <v>1086</v>
      </c>
      <c r="E26" s="105">
        <v>0</v>
      </c>
      <c r="F26" s="77">
        <f>SUM(D26:E26)</f>
        <v>1086</v>
      </c>
      <c r="G26" s="82">
        <v>31561</v>
      </c>
      <c r="H26" s="77">
        <f>F26/C26</f>
        <v>2.7704081632653059</v>
      </c>
      <c r="I26" s="82">
        <f>G26/C26</f>
        <v>80.512755102040813</v>
      </c>
      <c r="J26" s="106">
        <f>I26/H26</f>
        <v>29.06169429097606</v>
      </c>
      <c r="K26" s="86" t="s">
        <v>11</v>
      </c>
    </row>
    <row r="27" spans="1:11" ht="17.25" customHeight="1" thickTop="1" thickBot="1" x14ac:dyDescent="0.25">
      <c r="A27" s="151" t="s">
        <v>14</v>
      </c>
      <c r="B27" s="152"/>
      <c r="C27" s="152"/>
      <c r="D27" s="152"/>
      <c r="E27" s="153"/>
      <c r="F27" s="111">
        <f>F26/F25</f>
        <v>1.1804347826086956</v>
      </c>
      <c r="G27" s="108">
        <f t="shared" ref="G27" si="13">G26/G25</f>
        <v>0.85763586956521742</v>
      </c>
      <c r="H27" s="108"/>
      <c r="I27" s="108"/>
      <c r="J27" s="110"/>
      <c r="K27" s="110"/>
    </row>
    <row r="28" spans="1:11" ht="16.5" thickTop="1" thickBot="1" x14ac:dyDescent="0.25">
      <c r="A28" s="79">
        <f>$A$7</f>
        <v>2085</v>
      </c>
      <c r="B28" s="76">
        <f>$B$7</f>
        <v>77</v>
      </c>
      <c r="C28" s="77">
        <f>$C$7</f>
        <v>396</v>
      </c>
      <c r="D28" s="77">
        <f>G28/$J$7</f>
        <v>1624.625</v>
      </c>
      <c r="E28" s="77">
        <v>0</v>
      </c>
      <c r="F28" s="102">
        <f>SUM(D28:E28)</f>
        <v>1624.625</v>
      </c>
      <c r="G28" s="103">
        <v>64985</v>
      </c>
      <c r="H28" s="102">
        <f>F28/C28</f>
        <v>4.1025883838383841</v>
      </c>
      <c r="I28" s="103">
        <f>G28/C28</f>
        <v>164.10353535353536</v>
      </c>
      <c r="J28" s="93">
        <f>I28/H28</f>
        <v>40</v>
      </c>
      <c r="K28" s="104" t="s">
        <v>10</v>
      </c>
    </row>
    <row r="29" spans="1:11" ht="16.5" thickTop="1" thickBot="1" x14ac:dyDescent="0.25">
      <c r="A29" s="79">
        <f>$A$7</f>
        <v>2085</v>
      </c>
      <c r="B29" s="76">
        <f>$B$7</f>
        <v>77</v>
      </c>
      <c r="C29" s="77">
        <f>$C$7</f>
        <v>396</v>
      </c>
      <c r="D29" s="105">
        <v>1467</v>
      </c>
      <c r="E29" s="105">
        <v>0</v>
      </c>
      <c r="F29" s="77">
        <f>SUM(D29:E29)</f>
        <v>1467</v>
      </c>
      <c r="G29" s="82">
        <v>56784</v>
      </c>
      <c r="H29" s="77">
        <f>F29/C29</f>
        <v>3.7045454545454546</v>
      </c>
      <c r="I29" s="82">
        <f>G29/C29</f>
        <v>143.39393939393941</v>
      </c>
      <c r="J29" s="106">
        <f>I29/H29</f>
        <v>38.707566462167691</v>
      </c>
      <c r="K29" s="86" t="s">
        <v>11</v>
      </c>
    </row>
    <row r="30" spans="1:11" ht="17.25" customHeight="1" thickTop="1" thickBot="1" x14ac:dyDescent="0.25">
      <c r="A30" s="148"/>
      <c r="B30" s="148"/>
      <c r="C30" s="148"/>
      <c r="D30" s="148"/>
      <c r="E30" s="148"/>
      <c r="F30" s="112">
        <f>F29/F28</f>
        <v>0.90297761021774259</v>
      </c>
      <c r="G30" s="108">
        <f t="shared" ref="G30" si="14">G29/G28</f>
        <v>0.87380164653381553</v>
      </c>
      <c r="H30" s="108"/>
      <c r="I30" s="108"/>
      <c r="J30" s="110"/>
      <c r="K30" s="110"/>
    </row>
    <row r="31" spans="1:11" ht="15.75" thickTop="1" x14ac:dyDescent="0.2">
      <c r="A31" s="113"/>
      <c r="B31" s="114"/>
      <c r="C31" s="115"/>
      <c r="D31" s="115"/>
      <c r="E31" s="115"/>
      <c r="F31" s="116"/>
      <c r="G31" s="117"/>
      <c r="H31" s="116"/>
      <c r="I31" s="117"/>
      <c r="J31" s="118"/>
      <c r="K31" s="118"/>
    </row>
    <row r="32" spans="1:11" ht="15.75" thickBot="1" x14ac:dyDescent="0.25">
      <c r="A32" s="113"/>
      <c r="B32" s="114"/>
      <c r="C32" s="115"/>
      <c r="D32" s="115"/>
      <c r="E32" s="115"/>
      <c r="F32" s="115"/>
      <c r="G32" s="119"/>
      <c r="H32" s="115"/>
      <c r="I32" s="119"/>
      <c r="J32" s="120"/>
      <c r="K32" s="120"/>
    </row>
    <row r="33" spans="1:11" ht="17.25" thickTop="1" thickBot="1" x14ac:dyDescent="0.25">
      <c r="A33" s="121">
        <f>$A$7</f>
        <v>2085</v>
      </c>
      <c r="B33" s="76">
        <f>$B$7</f>
        <v>77</v>
      </c>
      <c r="C33" s="77">
        <f>$C$7</f>
        <v>396</v>
      </c>
      <c r="D33" s="102">
        <f>SUM(D28,D22,D19)</f>
        <v>6750.9250000000002</v>
      </c>
      <c r="E33" s="102">
        <v>0</v>
      </c>
      <c r="F33" s="102">
        <f t="shared" ref="F33" si="15">SUM(D33:E33)</f>
        <v>6750.9250000000002</v>
      </c>
      <c r="G33" s="103">
        <f>SUM(G28,G22,G19)</f>
        <v>270037</v>
      </c>
      <c r="H33" s="122">
        <f t="shared" ref="H33:H34" si="16">F33/C33</f>
        <v>17.047790404040406</v>
      </c>
      <c r="I33" s="123">
        <f t="shared" ref="I33:I34" si="17">G33/C33</f>
        <v>681.91161616161617</v>
      </c>
      <c r="J33" s="85">
        <f>I33/H33</f>
        <v>40</v>
      </c>
      <c r="K33" s="124" t="s">
        <v>10</v>
      </c>
    </row>
    <row r="34" spans="1:11" ht="17.25" thickTop="1" thickBot="1" x14ac:dyDescent="0.25">
      <c r="A34" s="121">
        <f>$A$7</f>
        <v>2085</v>
      </c>
      <c r="B34" s="76">
        <f>$B$7</f>
        <v>77</v>
      </c>
      <c r="C34" s="77">
        <f>$C$7</f>
        <v>396</v>
      </c>
      <c r="D34" s="77">
        <f>SUM(D29,D23,D20)</f>
        <v>8607</v>
      </c>
      <c r="E34" s="125">
        <v>0</v>
      </c>
      <c r="F34" s="77">
        <f>SUM(D34)</f>
        <v>8607</v>
      </c>
      <c r="G34" s="126">
        <f>SUM(G29,G23,G20)</f>
        <v>302684</v>
      </c>
      <c r="H34" s="127">
        <f t="shared" si="16"/>
        <v>21.734848484848484</v>
      </c>
      <c r="I34" s="88">
        <f t="shared" si="17"/>
        <v>764.35353535353534</v>
      </c>
      <c r="J34" s="89">
        <f>I34/H34</f>
        <v>35.167189496921111</v>
      </c>
      <c r="K34" s="128" t="s">
        <v>11</v>
      </c>
    </row>
    <row r="35" spans="1:11" ht="16.5" thickTop="1" thickBot="1" x14ac:dyDescent="0.25">
      <c r="A35" s="129"/>
      <c r="B35" s="130"/>
      <c r="C35" s="131"/>
      <c r="D35" s="131"/>
      <c r="E35" s="131"/>
      <c r="F35" s="131">
        <f>F34/F33</f>
        <v>1.2749363976047727</v>
      </c>
      <c r="G35" s="132">
        <f t="shared" ref="G35" si="18">G34/G33</f>
        <v>1.1208982472772249</v>
      </c>
      <c r="H35" s="133"/>
      <c r="I35" s="133"/>
      <c r="J35" s="133"/>
      <c r="K35" s="134"/>
    </row>
    <row r="36" spans="1:11" ht="13.5" thickTop="1" x14ac:dyDescent="0.2">
      <c r="A36" s="135"/>
      <c r="B36" s="136"/>
      <c r="C36" s="137"/>
      <c r="D36" s="137"/>
      <c r="E36" s="137"/>
      <c r="F36" s="137"/>
      <c r="G36" s="138"/>
      <c r="H36" s="137"/>
      <c r="I36" s="138"/>
      <c r="J36" s="139"/>
      <c r="K36" s="139"/>
    </row>
    <row r="37" spans="1:11" x14ac:dyDescent="0.2">
      <c r="A37" s="135"/>
      <c r="B37" s="136"/>
      <c r="C37" s="137"/>
      <c r="D37" s="137"/>
      <c r="E37" s="137"/>
      <c r="F37" s="137"/>
      <c r="G37" s="138"/>
      <c r="H37" s="137"/>
      <c r="I37" s="138"/>
      <c r="J37" s="139"/>
      <c r="K37" s="139"/>
    </row>
    <row r="38" spans="1:11" x14ac:dyDescent="0.2">
      <c r="A38" s="135"/>
      <c r="B38" s="136"/>
      <c r="C38" s="137"/>
      <c r="D38" s="137"/>
      <c r="E38" s="137"/>
      <c r="F38" s="137"/>
      <c r="G38" s="138"/>
      <c r="H38" s="137"/>
      <c r="I38" s="138"/>
      <c r="J38" s="139"/>
      <c r="K38" s="139"/>
    </row>
    <row r="39" spans="1:11" x14ac:dyDescent="0.2">
      <c r="A39" s="135"/>
      <c r="B39" s="136"/>
      <c r="C39" s="137"/>
      <c r="D39" s="137"/>
      <c r="E39" s="137"/>
      <c r="F39" s="137"/>
      <c r="G39" s="138"/>
      <c r="H39" s="137"/>
      <c r="I39" s="138"/>
      <c r="J39" s="139"/>
      <c r="K39" s="139"/>
    </row>
    <row r="40" spans="1:11" x14ac:dyDescent="0.2">
      <c r="A40" s="135"/>
      <c r="B40" s="136"/>
      <c r="C40" s="137"/>
      <c r="D40" s="137"/>
      <c r="E40" s="137"/>
      <c r="F40" s="137"/>
      <c r="G40" s="138"/>
      <c r="H40" s="137"/>
      <c r="I40" s="138"/>
      <c r="J40" s="139"/>
      <c r="K40" s="139"/>
    </row>
    <row r="41" spans="1:11" x14ac:dyDescent="0.2">
      <c r="A41" s="135"/>
      <c r="B41" s="136"/>
      <c r="C41" s="137"/>
      <c r="D41" s="137"/>
      <c r="E41" s="137"/>
      <c r="F41" s="137"/>
      <c r="G41" s="138"/>
      <c r="H41" s="137"/>
      <c r="I41" s="138"/>
      <c r="J41" s="139"/>
      <c r="K41" s="139"/>
    </row>
    <row r="42" spans="1:11" x14ac:dyDescent="0.2">
      <c r="A42" s="135"/>
      <c r="B42" s="136"/>
      <c r="C42" s="137"/>
      <c r="D42" s="137"/>
      <c r="E42" s="137"/>
      <c r="F42" s="137"/>
      <c r="G42" s="138"/>
      <c r="H42" s="137"/>
      <c r="I42" s="138"/>
      <c r="J42" s="139"/>
      <c r="K42" s="139"/>
    </row>
    <row r="43" spans="1:11" x14ac:dyDescent="0.2">
      <c r="A43" s="136"/>
      <c r="B43" s="136"/>
      <c r="C43" s="137"/>
      <c r="D43" s="137"/>
      <c r="E43" s="137"/>
      <c r="F43" s="137"/>
      <c r="G43" s="138"/>
      <c r="H43" s="137"/>
      <c r="I43" s="138"/>
      <c r="J43" s="139"/>
      <c r="K43" s="139"/>
    </row>
    <row r="44" spans="1:11" x14ac:dyDescent="0.2">
      <c r="A44" s="136"/>
      <c r="B44" s="136"/>
      <c r="C44" s="137"/>
      <c r="D44" s="137"/>
      <c r="E44" s="137"/>
      <c r="F44" s="137"/>
      <c r="G44" s="138"/>
      <c r="H44" s="137"/>
      <c r="I44" s="138"/>
      <c r="J44" s="139"/>
      <c r="K44" s="139"/>
    </row>
    <row r="45" spans="1:11" x14ac:dyDescent="0.2">
      <c r="A45" s="136"/>
      <c r="B45" s="136"/>
      <c r="C45" s="137"/>
      <c r="D45" s="137"/>
      <c r="E45" s="137"/>
      <c r="F45" s="137"/>
      <c r="G45" s="138"/>
      <c r="H45" s="137"/>
      <c r="I45" s="138"/>
      <c r="J45" s="139"/>
      <c r="K45" s="139"/>
    </row>
    <row r="46" spans="1:11" x14ac:dyDescent="0.2">
      <c r="A46" s="136"/>
      <c r="B46" s="136"/>
      <c r="C46" s="137"/>
      <c r="D46" s="137"/>
      <c r="E46" s="137"/>
      <c r="F46" s="137"/>
      <c r="G46" s="138"/>
      <c r="H46" s="137"/>
      <c r="I46" s="138"/>
      <c r="J46" s="139"/>
      <c r="K46" s="139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151D-F882-4322-8CF8-CFE774E98B85}">
  <dimension ref="A3:K46"/>
  <sheetViews>
    <sheetView topLeftCell="A4" zoomScale="120" zoomScaleNormal="120" zoomScaleSheetLayoutView="100" workbookViewId="0">
      <selection activeCell="A18" sqref="A18:E1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42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2086</v>
      </c>
      <c r="B7" s="64">
        <v>207</v>
      </c>
      <c r="C7" s="65">
        <v>1139</v>
      </c>
      <c r="D7" s="4">
        <f>G7/$J$7</f>
        <v>32042.6</v>
      </c>
      <c r="E7" s="4">
        <v>0</v>
      </c>
      <c r="F7" s="4">
        <f>SUM(D7:E7)</f>
        <v>32042.6</v>
      </c>
      <c r="G7" s="5">
        <f>SUM(G16,G19,G22,G25,G28)</f>
        <v>1281704</v>
      </c>
      <c r="H7" s="9">
        <f>F7/C7</f>
        <v>28.132221246707637</v>
      </c>
      <c r="I7" s="11">
        <f>G7/C7</f>
        <v>1125.2888498683055</v>
      </c>
      <c r="J7" s="12">
        <v>40</v>
      </c>
      <c r="K7" s="37" t="s">
        <v>10</v>
      </c>
    </row>
    <row r="8" spans="1:11" ht="16.5" thickTop="1" thickBot="1" x14ac:dyDescent="0.25">
      <c r="A8" s="3">
        <v>2086</v>
      </c>
      <c r="B8" s="64">
        <v>207</v>
      </c>
      <c r="C8" s="65">
        <v>1135</v>
      </c>
      <c r="D8" s="4">
        <f>SUM(D17,D20,D23,D26,D29)</f>
        <v>38434</v>
      </c>
      <c r="E8" s="4">
        <v>0</v>
      </c>
      <c r="F8" s="4">
        <f>SUM(D8)</f>
        <v>38434</v>
      </c>
      <c r="G8" s="5">
        <f>SUM(G17,G20,G23,G26,G29)</f>
        <v>1351199</v>
      </c>
      <c r="H8" s="58">
        <f>F8/C8</f>
        <v>33.862555066079295</v>
      </c>
      <c r="I8" s="42">
        <f>G8/C8</f>
        <v>1190.4837004405285</v>
      </c>
      <c r="J8" s="43">
        <f>I8/H8</f>
        <v>35.156345943695683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1.1994657112718694</v>
      </c>
      <c r="G10" s="62">
        <f>G8/G7</f>
        <v>1.0542207873268712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-6391.4000000000015</v>
      </c>
      <c r="G12" s="47">
        <f>G7-G8</f>
        <v>-69495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2086</v>
      </c>
      <c r="B16" s="3">
        <f>$B$7</f>
        <v>207</v>
      </c>
      <c r="C16" s="4">
        <f>$C$7</f>
        <v>1139</v>
      </c>
      <c r="D16" s="4">
        <f>G16/$J$7</f>
        <v>1901.25</v>
      </c>
      <c r="E16" s="4">
        <v>0</v>
      </c>
      <c r="F16" s="13">
        <f>SUM(D16:E16)</f>
        <v>1901.25</v>
      </c>
      <c r="G16" s="14">
        <v>76050</v>
      </c>
      <c r="H16" s="13">
        <f>F16/C16</f>
        <v>1.6692273924495171</v>
      </c>
      <c r="I16" s="14">
        <f>G16/C16</f>
        <v>66.769095697980688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2086</v>
      </c>
      <c r="B17" s="3">
        <f>$B$7</f>
        <v>207</v>
      </c>
      <c r="C17" s="4">
        <f>$C$7</f>
        <v>1139</v>
      </c>
      <c r="D17" s="48">
        <v>880</v>
      </c>
      <c r="E17" s="48">
        <v>0</v>
      </c>
      <c r="F17" s="4">
        <f>SUM(D17:E17)</f>
        <v>880</v>
      </c>
      <c r="G17" s="5">
        <v>50007</v>
      </c>
      <c r="H17" s="4">
        <f>F17/C17</f>
        <v>0.77260755048287977</v>
      </c>
      <c r="I17" s="5">
        <f>G17/C17</f>
        <v>43.904302019315189</v>
      </c>
      <c r="J17" s="44">
        <f>I17/H17</f>
        <v>56.826136363636358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0.462853385930309</v>
      </c>
      <c r="G18" s="16">
        <f>G17/G16</f>
        <v>0.65755424063116374</v>
      </c>
      <c r="H18" s="16"/>
      <c r="I18" s="16"/>
      <c r="J18" s="16"/>
      <c r="K18" s="45"/>
    </row>
    <row r="19" spans="1:11" ht="16.5" thickTop="1" thickBot="1" x14ac:dyDescent="0.25">
      <c r="A19" s="1">
        <f>$A$7</f>
        <v>2086</v>
      </c>
      <c r="B19" s="3">
        <f>$B$7</f>
        <v>207</v>
      </c>
      <c r="C19" s="4">
        <f>$C$7</f>
        <v>1139</v>
      </c>
      <c r="D19" s="4">
        <f>G19/$J$7</f>
        <v>6990.3249999999998</v>
      </c>
      <c r="E19" s="4">
        <v>0</v>
      </c>
      <c r="F19" s="13">
        <f>SUM(D19:E19)</f>
        <v>6990.3249999999998</v>
      </c>
      <c r="G19" s="14">
        <v>279613</v>
      </c>
      <c r="H19" s="13">
        <f>F19/C19</f>
        <v>6.1372475856014042</v>
      </c>
      <c r="I19" s="14">
        <f>G19/C19</f>
        <v>245.48990342405619</v>
      </c>
      <c r="J19" s="6">
        <f>I19/H19</f>
        <v>40.000000000000007</v>
      </c>
      <c r="K19" s="27" t="s">
        <v>10</v>
      </c>
    </row>
    <row r="20" spans="1:11" ht="16.5" thickTop="1" thickBot="1" x14ac:dyDescent="0.25">
      <c r="A20" s="1">
        <f>$A$7</f>
        <v>2086</v>
      </c>
      <c r="B20" s="3">
        <f>$B$7</f>
        <v>207</v>
      </c>
      <c r="C20" s="4">
        <f>$C$7</f>
        <v>1139</v>
      </c>
      <c r="D20" s="48">
        <v>5832</v>
      </c>
      <c r="E20" s="48">
        <v>0</v>
      </c>
      <c r="F20" s="4">
        <f>SUM(D20:E20)</f>
        <v>5832</v>
      </c>
      <c r="G20" s="5">
        <v>222431</v>
      </c>
      <c r="H20" s="4">
        <f>F20/C20</f>
        <v>5.1202809482001754</v>
      </c>
      <c r="I20" s="5">
        <f>G20/C20</f>
        <v>195.28621597892888</v>
      </c>
      <c r="J20" s="44">
        <f>I20/H20</f>
        <v>38.139746227709189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0.83429597336318417</v>
      </c>
      <c r="G21" s="16">
        <f>G20/G19</f>
        <v>0.79549591757178673</v>
      </c>
      <c r="H21" s="16"/>
      <c r="I21" s="16"/>
      <c r="J21" s="45"/>
      <c r="K21" s="45"/>
    </row>
    <row r="22" spans="1:11" ht="16.5" thickTop="1" thickBot="1" x14ac:dyDescent="0.25">
      <c r="A22" s="1">
        <f>$A$7</f>
        <v>2086</v>
      </c>
      <c r="B22" s="3">
        <f>$B$7</f>
        <v>207</v>
      </c>
      <c r="C22" s="4">
        <f>$C$7</f>
        <v>1139</v>
      </c>
      <c r="D22" s="4">
        <f>G22/$J$7</f>
        <v>13650.25</v>
      </c>
      <c r="E22" s="4">
        <v>0</v>
      </c>
      <c r="F22" s="13">
        <f>SUM(D22:E22)</f>
        <v>13650.25</v>
      </c>
      <c r="G22" s="14">
        <v>546010</v>
      </c>
      <c r="H22" s="13">
        <f>F22/C22</f>
        <v>11.98441615452151</v>
      </c>
      <c r="I22" s="14">
        <f>G22/C22</f>
        <v>479.3766461808604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2086</v>
      </c>
      <c r="B23" s="3">
        <f>$B$7</f>
        <v>207</v>
      </c>
      <c r="C23" s="4">
        <f>$C$7</f>
        <v>1139</v>
      </c>
      <c r="D23" s="48">
        <v>21280</v>
      </c>
      <c r="E23" s="48">
        <v>0</v>
      </c>
      <c r="F23" s="4">
        <f>SUM(D23:E23)</f>
        <v>21280</v>
      </c>
      <c r="G23" s="5">
        <v>714211</v>
      </c>
      <c r="H23" s="4">
        <f>F23/C23</f>
        <v>18.68305531167691</v>
      </c>
      <c r="I23" s="5">
        <f>G23/C23</f>
        <v>627.05092186128184</v>
      </c>
      <c r="J23" s="44">
        <f>I23/H23</f>
        <v>33.562546992481202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1.5589458068533544</v>
      </c>
      <c r="G24" s="16">
        <f>G23/G22</f>
        <v>1.3080547975311807</v>
      </c>
      <c r="H24" s="16"/>
      <c r="I24" s="16"/>
      <c r="J24" s="17"/>
      <c r="K24" s="17"/>
    </row>
    <row r="25" spans="1:11" ht="16.5" thickTop="1" thickBot="1" x14ac:dyDescent="0.25">
      <c r="A25" s="1">
        <f>$A$7</f>
        <v>2086</v>
      </c>
      <c r="B25" s="3">
        <f>$B$7</f>
        <v>207</v>
      </c>
      <c r="C25" s="4">
        <f>C8</f>
        <v>1135</v>
      </c>
      <c r="D25" s="4">
        <f>G25/$J$7</f>
        <v>2612.8000000000002</v>
      </c>
      <c r="E25" s="4">
        <v>0</v>
      </c>
      <c r="F25" s="13">
        <f>SUM(D25:E25)</f>
        <v>2612.8000000000002</v>
      </c>
      <c r="G25" s="14">
        <v>104512</v>
      </c>
      <c r="H25" s="13">
        <f>F25/C25</f>
        <v>2.3020264317180619</v>
      </c>
      <c r="I25" s="14">
        <f>G25/C25</f>
        <v>92.081057268722461</v>
      </c>
      <c r="J25" s="6">
        <f>I25/H25</f>
        <v>39.999999999999993</v>
      </c>
      <c r="K25" s="27" t="s">
        <v>10</v>
      </c>
    </row>
    <row r="26" spans="1:11" ht="16.5" thickTop="1" thickBot="1" x14ac:dyDescent="0.25">
      <c r="A26" s="1">
        <f>$A$7</f>
        <v>2086</v>
      </c>
      <c r="B26" s="3">
        <f>$B$7</f>
        <v>207</v>
      </c>
      <c r="C26" s="4">
        <f>C25</f>
        <v>1135</v>
      </c>
      <c r="D26" s="48">
        <v>4732</v>
      </c>
      <c r="E26" s="48">
        <v>0</v>
      </c>
      <c r="F26" s="4">
        <f>SUM(D26:E26)</f>
        <v>4732</v>
      </c>
      <c r="G26" s="5">
        <v>151802</v>
      </c>
      <c r="H26" s="4">
        <f>F26/C26</f>
        <v>4.1691629955947134</v>
      </c>
      <c r="I26" s="5">
        <f>G26/C26</f>
        <v>133.74625550660792</v>
      </c>
      <c r="J26" s="44">
        <f>I26/H26</f>
        <v>32.079881656804737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1.811083894672382</v>
      </c>
      <c r="G27" s="16">
        <f>G26/G25</f>
        <v>1.4524839252908757</v>
      </c>
      <c r="H27" s="16"/>
      <c r="I27" s="16"/>
      <c r="J27" s="17"/>
      <c r="K27" s="17"/>
    </row>
    <row r="28" spans="1:11" ht="16.5" thickTop="1" thickBot="1" x14ac:dyDescent="0.25">
      <c r="A28" s="1">
        <f>$A$7</f>
        <v>2086</v>
      </c>
      <c r="B28" s="3">
        <f>$B$7</f>
        <v>207</v>
      </c>
      <c r="C28" s="4">
        <f>$C$7</f>
        <v>1139</v>
      </c>
      <c r="D28" s="4">
        <f>G28/$J$7</f>
        <v>6887.9750000000004</v>
      </c>
      <c r="E28" s="4">
        <v>0</v>
      </c>
      <c r="F28" s="13">
        <f>SUM(D28:E28)</f>
        <v>6887.9750000000004</v>
      </c>
      <c r="G28" s="14">
        <v>275519</v>
      </c>
      <c r="H28" s="13">
        <f>F28/C28</f>
        <v>6.0473880597014933</v>
      </c>
      <c r="I28" s="14">
        <f>G28/C28</f>
        <v>241.8955223880597</v>
      </c>
      <c r="J28" s="6">
        <f>I28/H28</f>
        <v>39.999999999999993</v>
      </c>
      <c r="K28" s="27" t="s">
        <v>10</v>
      </c>
    </row>
    <row r="29" spans="1:11" ht="16.5" thickTop="1" thickBot="1" x14ac:dyDescent="0.25">
      <c r="A29" s="1">
        <f>$A$7</f>
        <v>2086</v>
      </c>
      <c r="B29" s="3">
        <f>$B$7</f>
        <v>207</v>
      </c>
      <c r="C29" s="4">
        <f>$C$7</f>
        <v>1139</v>
      </c>
      <c r="D29" s="48">
        <v>5710</v>
      </c>
      <c r="E29" s="48">
        <v>0</v>
      </c>
      <c r="F29" s="4">
        <f>SUM(D29:E29)</f>
        <v>5710</v>
      </c>
      <c r="G29" s="5">
        <v>212748</v>
      </c>
      <c r="H29" s="4">
        <f>F29/C29</f>
        <v>5.0131694468832313</v>
      </c>
      <c r="I29" s="5">
        <f>G29/C29</f>
        <v>186.78489903424057</v>
      </c>
      <c r="J29" s="44">
        <f>I29/H29</f>
        <v>37.258844133099821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0.8289809414232775</v>
      </c>
      <c r="G30" s="16">
        <f>G29/G28</f>
        <v>0.77217179214500631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2086</v>
      </c>
      <c r="B33" s="3">
        <f>$B$7</f>
        <v>207</v>
      </c>
      <c r="C33" s="4">
        <f>$C$7</f>
        <v>1139</v>
      </c>
      <c r="D33" s="13">
        <f>SUM(D28,D22,D19)</f>
        <v>27528.55</v>
      </c>
      <c r="E33" s="13">
        <v>0</v>
      </c>
      <c r="F33" s="13">
        <f>SUM(D33:E33)</f>
        <v>27528.55</v>
      </c>
      <c r="G33" s="14">
        <f>SUM(G28,G22,G19)</f>
        <v>1101142</v>
      </c>
      <c r="H33" s="34">
        <f>F33/C33</f>
        <v>24.169051799824405</v>
      </c>
      <c r="I33" s="39">
        <f>G33/C33</f>
        <v>966.7620719929763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2086</v>
      </c>
      <c r="B34" s="3">
        <f>$B$7</f>
        <v>207</v>
      </c>
      <c r="C34" s="4">
        <f>$C$7</f>
        <v>1139</v>
      </c>
      <c r="D34" s="4">
        <f>SUM(D29,D23,D20)</f>
        <v>32822</v>
      </c>
      <c r="E34" s="49">
        <v>0</v>
      </c>
      <c r="F34" s="4">
        <f>SUM(D34)</f>
        <v>32822</v>
      </c>
      <c r="G34" s="50">
        <f>SUM(G29,G23,G20)</f>
        <v>1149390</v>
      </c>
      <c r="H34" s="41">
        <f>F34/C34</f>
        <v>28.816505706760317</v>
      </c>
      <c r="I34" s="42">
        <f>G34/C34</f>
        <v>1009.1220368744513</v>
      </c>
      <c r="J34" s="43">
        <f>I34/H34</f>
        <v>35.018889769057338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1.1922894594884221</v>
      </c>
      <c r="G35" s="63">
        <f>G34/G33</f>
        <v>1.0438163288658502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FC47-C30D-495F-BA11-171FAAE63935}">
  <dimension ref="A3:K46"/>
  <sheetViews>
    <sheetView zoomScale="120" zoomScaleNormal="120" zoomScaleSheetLayoutView="100" workbookViewId="0">
      <selection activeCell="I42" sqref="I42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47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2087</v>
      </c>
      <c r="B7" s="64">
        <v>295</v>
      </c>
      <c r="C7" s="65">
        <v>1623</v>
      </c>
      <c r="D7" s="4">
        <f>G7/$J$7</f>
        <v>37184.800000000003</v>
      </c>
      <c r="E7" s="4">
        <v>0</v>
      </c>
      <c r="F7" s="4">
        <f>SUM(D7:E7)</f>
        <v>37184.800000000003</v>
      </c>
      <c r="G7" s="5">
        <f>SUM(G16,G19,G22,G25,G28)</f>
        <v>1487392</v>
      </c>
      <c r="H7" s="9">
        <f>F7/C7</f>
        <v>22.911152187307458</v>
      </c>
      <c r="I7" s="11">
        <f>G7/C7</f>
        <v>916.44608749229826</v>
      </c>
      <c r="J7" s="12">
        <v>40</v>
      </c>
      <c r="K7" s="37" t="s">
        <v>10</v>
      </c>
    </row>
    <row r="8" spans="1:11" ht="16.5" thickTop="1" thickBot="1" x14ac:dyDescent="0.25">
      <c r="A8" s="3">
        <v>2087</v>
      </c>
      <c r="B8" s="64">
        <v>295</v>
      </c>
      <c r="C8" s="65">
        <v>1607</v>
      </c>
      <c r="D8" s="4">
        <f>SUM(D17,D20,D23,D26,D29)</f>
        <v>33188</v>
      </c>
      <c r="E8" s="4">
        <v>0</v>
      </c>
      <c r="F8" s="4">
        <f>SUM(D8)</f>
        <v>33188</v>
      </c>
      <c r="G8" s="5">
        <f>SUM(G17,G20,G23,G26,G29)</f>
        <v>1152553</v>
      </c>
      <c r="H8" s="58">
        <f>F8/C8</f>
        <v>20.652146857498444</v>
      </c>
      <c r="I8" s="42">
        <f>G8/C8</f>
        <v>717.20784069695083</v>
      </c>
      <c r="J8" s="43">
        <f>I8/H8</f>
        <v>34.728004097866702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0.89251522127320837</v>
      </c>
      <c r="G10" s="62">
        <f>G8/G7</f>
        <v>0.77488180654460959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3996.8000000000029</v>
      </c>
      <c r="G12" s="47">
        <f>G7-G8</f>
        <v>334839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2087</v>
      </c>
      <c r="B16" s="3">
        <f>$B$7</f>
        <v>295</v>
      </c>
      <c r="C16" s="4">
        <f>$C$7</f>
        <v>1623</v>
      </c>
      <c r="D16" s="4">
        <f>G16/$J$7</f>
        <v>1870</v>
      </c>
      <c r="E16" s="4">
        <v>0</v>
      </c>
      <c r="F16" s="13">
        <f>SUM(D16:E16)</f>
        <v>1870</v>
      </c>
      <c r="G16" s="14">
        <v>74800</v>
      </c>
      <c r="H16" s="13">
        <f>F16/C16</f>
        <v>1.1521873074553297</v>
      </c>
      <c r="I16" s="14">
        <f>G16/C16</f>
        <v>46.087492298213185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2087</v>
      </c>
      <c r="B17" s="3">
        <f>$B$7</f>
        <v>295</v>
      </c>
      <c r="C17" s="4">
        <f>$C$7</f>
        <v>1623</v>
      </c>
      <c r="D17" s="48">
        <v>825</v>
      </c>
      <c r="E17" s="48">
        <v>0</v>
      </c>
      <c r="F17" s="4">
        <f>SUM(D17:E17)</f>
        <v>825</v>
      </c>
      <c r="G17" s="5">
        <v>49102</v>
      </c>
      <c r="H17" s="4">
        <f>F17/C17</f>
        <v>0.50831792975970425</v>
      </c>
      <c r="I17" s="5">
        <f>G17/C17</f>
        <v>30.253850893407272</v>
      </c>
      <c r="J17" s="44">
        <f>I17/H17</f>
        <v>59.517575757575763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0.44117647058823528</v>
      </c>
      <c r="G18" s="16">
        <f>G17/G16</f>
        <v>0.65644385026737972</v>
      </c>
      <c r="H18" s="16"/>
      <c r="I18" s="16"/>
      <c r="J18" s="16"/>
      <c r="K18" s="45"/>
    </row>
    <row r="19" spans="1:11" ht="16.5" thickTop="1" thickBot="1" x14ac:dyDescent="0.25">
      <c r="A19" s="1">
        <f>$A$7</f>
        <v>2087</v>
      </c>
      <c r="B19" s="3">
        <f>$B$7</f>
        <v>295</v>
      </c>
      <c r="C19" s="4">
        <f>$C$7</f>
        <v>1623</v>
      </c>
      <c r="D19" s="4">
        <f>G19/$J$7</f>
        <v>5389.625</v>
      </c>
      <c r="E19" s="4">
        <v>0</v>
      </c>
      <c r="F19" s="13">
        <f>SUM(D19:E19)</f>
        <v>5389.625</v>
      </c>
      <c r="G19" s="14">
        <v>215585</v>
      </c>
      <c r="H19" s="13">
        <f>F19/C19</f>
        <v>3.3207794208256316</v>
      </c>
      <c r="I19" s="14">
        <f>G19/C19</f>
        <v>132.83117683302527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2087</v>
      </c>
      <c r="B20" s="3">
        <f>$B$7</f>
        <v>295</v>
      </c>
      <c r="C20" s="4">
        <f>$C$7</f>
        <v>1623</v>
      </c>
      <c r="D20" s="48">
        <v>4079</v>
      </c>
      <c r="E20" s="48">
        <v>0</v>
      </c>
      <c r="F20" s="4">
        <f>SUM(D20:E20)</f>
        <v>4079</v>
      </c>
      <c r="G20" s="5">
        <v>168619</v>
      </c>
      <c r="H20" s="4">
        <f>F20/C20</f>
        <v>2.5132470733210104</v>
      </c>
      <c r="I20" s="5">
        <f>G20/C20</f>
        <v>103.89340727048675</v>
      </c>
      <c r="J20" s="44">
        <f>I20/H20</f>
        <v>41.338318215248833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0.75682445439153934</v>
      </c>
      <c r="G21" s="16">
        <f>G20/G19</f>
        <v>0.78214625321798825</v>
      </c>
      <c r="H21" s="16"/>
      <c r="I21" s="16"/>
      <c r="J21" s="45"/>
      <c r="K21" s="45"/>
    </row>
    <row r="22" spans="1:11" ht="16.5" thickTop="1" thickBot="1" x14ac:dyDescent="0.25">
      <c r="A22" s="1">
        <f>$A$7</f>
        <v>2087</v>
      </c>
      <c r="B22" s="3">
        <f>$B$7</f>
        <v>295</v>
      </c>
      <c r="C22" s="4">
        <f>$C$7</f>
        <v>1623</v>
      </c>
      <c r="D22" s="4">
        <f>G22/$J$7</f>
        <v>21319.424999999999</v>
      </c>
      <c r="E22" s="4">
        <v>0</v>
      </c>
      <c r="F22" s="13">
        <f>SUM(D22:E22)</f>
        <v>21319.424999999999</v>
      </c>
      <c r="G22" s="14">
        <v>852777</v>
      </c>
      <c r="H22" s="13">
        <f>F22/C22</f>
        <v>13.135813308687615</v>
      </c>
      <c r="I22" s="14">
        <f>G22/C22</f>
        <v>525.43253234750466</v>
      </c>
      <c r="J22" s="6">
        <f>I22/H22</f>
        <v>40.000000000000007</v>
      </c>
      <c r="K22" s="27" t="s">
        <v>10</v>
      </c>
    </row>
    <row r="23" spans="1:11" ht="16.5" thickTop="1" thickBot="1" x14ac:dyDescent="0.25">
      <c r="A23" s="1">
        <f>$A$7</f>
        <v>2087</v>
      </c>
      <c r="B23" s="3">
        <f>$B$7</f>
        <v>295</v>
      </c>
      <c r="C23" s="4">
        <f>$C$7</f>
        <v>1623</v>
      </c>
      <c r="D23" s="48">
        <v>19172</v>
      </c>
      <c r="E23" s="48">
        <v>0</v>
      </c>
      <c r="F23" s="4">
        <f>SUM(D23:E23)</f>
        <v>19172</v>
      </c>
      <c r="G23" s="5">
        <v>625955</v>
      </c>
      <c r="H23" s="4">
        <f>F23/C23</f>
        <v>11.812692544670364</v>
      </c>
      <c r="I23" s="5">
        <f>G23/C23</f>
        <v>385.67775723967958</v>
      </c>
      <c r="J23" s="44">
        <f>I23/H23</f>
        <v>32.649436678489458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0.89927378435394012</v>
      </c>
      <c r="G24" s="16">
        <f>G23/G22</f>
        <v>0.73401956197223894</v>
      </c>
      <c r="H24" s="16"/>
      <c r="I24" s="16"/>
      <c r="J24" s="17"/>
      <c r="K24" s="17"/>
    </row>
    <row r="25" spans="1:11" ht="16.5" thickTop="1" thickBot="1" x14ac:dyDescent="0.25">
      <c r="A25" s="1">
        <f>$A$7</f>
        <v>2087</v>
      </c>
      <c r="B25" s="3">
        <f>$B$7</f>
        <v>295</v>
      </c>
      <c r="C25" s="4">
        <f>C8</f>
        <v>1607</v>
      </c>
      <c r="D25" s="4">
        <f>G25/$J$7</f>
        <v>3409</v>
      </c>
      <c r="E25" s="4">
        <v>0</v>
      </c>
      <c r="F25" s="13">
        <f>SUM(D25:E25)</f>
        <v>3409</v>
      </c>
      <c r="G25" s="14">
        <v>136360</v>
      </c>
      <c r="H25" s="13">
        <f>F25/C25</f>
        <v>2.1213441194772868</v>
      </c>
      <c r="I25" s="14">
        <f>G25/C25</f>
        <v>84.853764779091478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2087</v>
      </c>
      <c r="B26" s="3">
        <f>$B$7</f>
        <v>295</v>
      </c>
      <c r="C26" s="4">
        <f>C25</f>
        <v>1607</v>
      </c>
      <c r="D26" s="48">
        <v>4365</v>
      </c>
      <c r="E26" s="48">
        <v>0</v>
      </c>
      <c r="F26" s="4">
        <f>SUM(D26:E26)</f>
        <v>4365</v>
      </c>
      <c r="G26" s="5">
        <v>133953</v>
      </c>
      <c r="H26" s="4">
        <f>F26/C26</f>
        <v>2.7162414436838831</v>
      </c>
      <c r="I26" s="5">
        <f>G26/C26</f>
        <v>83.35594275046671</v>
      </c>
      <c r="J26" s="44">
        <f>I26/H26</f>
        <v>30.687972508591066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1.280434144910531</v>
      </c>
      <c r="G27" s="16">
        <f>G26/G25</f>
        <v>0.98234819595189204</v>
      </c>
      <c r="H27" s="16"/>
      <c r="I27" s="16"/>
      <c r="J27" s="17"/>
      <c r="K27" s="17"/>
    </row>
    <row r="28" spans="1:11" ht="16.5" thickTop="1" thickBot="1" x14ac:dyDescent="0.25">
      <c r="A28" s="1">
        <f>$A$7</f>
        <v>2087</v>
      </c>
      <c r="B28" s="3">
        <f>$B$7</f>
        <v>295</v>
      </c>
      <c r="C28" s="4">
        <f>$C$7</f>
        <v>1623</v>
      </c>
      <c r="D28" s="4">
        <f>G28/$J$7</f>
        <v>5196.75</v>
      </c>
      <c r="E28" s="4">
        <v>0</v>
      </c>
      <c r="F28" s="13">
        <f>SUM(D28:E28)</f>
        <v>5196.75</v>
      </c>
      <c r="G28" s="14">
        <v>207870</v>
      </c>
      <c r="H28" s="13">
        <f>F28/C28</f>
        <v>3.2019408502772642</v>
      </c>
      <c r="I28" s="14">
        <f>G28/C28</f>
        <v>128.07763401109057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2087</v>
      </c>
      <c r="B29" s="3">
        <f>$B$7</f>
        <v>295</v>
      </c>
      <c r="C29" s="4">
        <f>$C$7</f>
        <v>1623</v>
      </c>
      <c r="D29" s="48">
        <v>4747</v>
      </c>
      <c r="E29" s="48">
        <v>0</v>
      </c>
      <c r="F29" s="4">
        <f>SUM(D29:E29)</f>
        <v>4747</v>
      </c>
      <c r="G29" s="5">
        <v>174924</v>
      </c>
      <c r="H29" s="4">
        <f>F29/C29</f>
        <v>2.9248305606900802</v>
      </c>
      <c r="I29" s="5">
        <f>G29/C29</f>
        <v>107.77818853974122</v>
      </c>
      <c r="J29" s="44">
        <f>I29/H29</f>
        <v>36.849378554876765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0.91345552508779526</v>
      </c>
      <c r="G30" s="16">
        <f>G29/G28</f>
        <v>0.84150671092509743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2087</v>
      </c>
      <c r="B33" s="3">
        <f>$B$7</f>
        <v>295</v>
      </c>
      <c r="C33" s="4">
        <f>$C$7</f>
        <v>1623</v>
      </c>
      <c r="D33" s="13">
        <f>SUM(D28,D22,D19)</f>
        <v>31905.8</v>
      </c>
      <c r="E33" s="13">
        <v>0</v>
      </c>
      <c r="F33" s="13">
        <f>SUM(D33:E33)</f>
        <v>31905.8</v>
      </c>
      <c r="G33" s="14">
        <f>SUM(G19,G22,G28)</f>
        <v>1276232</v>
      </c>
      <c r="H33" s="34">
        <f>F33/C33</f>
        <v>19.658533579790511</v>
      </c>
      <c r="I33" s="39">
        <f>G33/C33</f>
        <v>786.34134319162047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2087</v>
      </c>
      <c r="B34" s="3">
        <f>$B$7</f>
        <v>295</v>
      </c>
      <c r="C34" s="4">
        <f>$C$7</f>
        <v>1623</v>
      </c>
      <c r="D34" s="4">
        <f>SUM(D29,D23,D20)</f>
        <v>27998</v>
      </c>
      <c r="E34" s="49">
        <v>0</v>
      </c>
      <c r="F34" s="4">
        <f>SUM(D34)</f>
        <v>27998</v>
      </c>
      <c r="G34" s="50">
        <f>SUM(G29,G23,G20)</f>
        <v>969498</v>
      </c>
      <c r="H34" s="41">
        <f>F34/C34</f>
        <v>17.250770178681453</v>
      </c>
      <c r="I34" s="42">
        <f>G34/C34</f>
        <v>597.34935304990756</v>
      </c>
      <c r="J34" s="43">
        <f>I34/H34</f>
        <v>34.627401957282665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0.87752070156523265</v>
      </c>
      <c r="G35" s="63">
        <f>G34/G33</f>
        <v>0.75965655147339983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0F99-617F-4564-B448-A68F01DB7E04}">
  <dimension ref="A3:K46"/>
  <sheetViews>
    <sheetView topLeftCell="A4" zoomScale="120" zoomScaleNormal="120" zoomScaleSheetLayoutView="100" workbookViewId="0">
      <selection activeCell="Z28" sqref="Z2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38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2088</v>
      </c>
      <c r="B7" s="64">
        <v>178</v>
      </c>
      <c r="C7" s="65">
        <v>967</v>
      </c>
      <c r="D7" s="4">
        <f>G7/$J$7</f>
        <v>25484.2</v>
      </c>
      <c r="E7" s="4">
        <v>0</v>
      </c>
      <c r="F7" s="4">
        <f>SUM(D7:E7)</f>
        <v>25484.2</v>
      </c>
      <c r="G7" s="5">
        <f>SUM(G16,G19,G22,G25,G28)</f>
        <v>1019368</v>
      </c>
      <c r="H7" s="9">
        <f>F7/C7</f>
        <v>26.35387797311272</v>
      </c>
      <c r="I7" s="11">
        <f>G7/C7</f>
        <v>1054.1551189245088</v>
      </c>
      <c r="J7" s="12">
        <v>40</v>
      </c>
      <c r="K7" s="37" t="s">
        <v>10</v>
      </c>
    </row>
    <row r="8" spans="1:11" ht="16.5" thickTop="1" thickBot="1" x14ac:dyDescent="0.25">
      <c r="A8" s="3">
        <v>2088</v>
      </c>
      <c r="B8" s="64">
        <v>178</v>
      </c>
      <c r="C8" s="65">
        <v>942</v>
      </c>
      <c r="D8" s="4">
        <f>SUM(D17,D20,D23,D26,D29)</f>
        <v>30007</v>
      </c>
      <c r="E8" s="4">
        <v>0</v>
      </c>
      <c r="F8" s="4">
        <f>SUM(D8)</f>
        <v>30007</v>
      </c>
      <c r="G8" s="5">
        <f>SUM(G17,G20,G23,G26,G29)</f>
        <v>985464</v>
      </c>
      <c r="H8" s="58">
        <f>F8/C8</f>
        <v>31.854564755838641</v>
      </c>
      <c r="I8" s="42">
        <f>G8/C8</f>
        <v>1046.1401273885351</v>
      </c>
      <c r="J8" s="43">
        <f>I8/H8</f>
        <v>32.841137068017467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1.1774746705802026</v>
      </c>
      <c r="G10" s="62">
        <f>G8/G7</f>
        <v>0.96674017626607855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-4522.7999999999993</v>
      </c>
      <c r="G12" s="47">
        <f>G7-G8</f>
        <v>33904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2088</v>
      </c>
      <c r="B16" s="3">
        <f>$B$7</f>
        <v>178</v>
      </c>
      <c r="C16" s="4">
        <f>$C$7</f>
        <v>967</v>
      </c>
      <c r="D16" s="4">
        <f>G16/$J$7</f>
        <v>1068</v>
      </c>
      <c r="E16" s="4">
        <v>0</v>
      </c>
      <c r="F16" s="13">
        <f>SUM(D16:E16)</f>
        <v>1068</v>
      </c>
      <c r="G16" s="14">
        <v>42720</v>
      </c>
      <c r="H16" s="13">
        <f>F16/C16</f>
        <v>1.1044467425025852</v>
      </c>
      <c r="I16" s="14">
        <f>G16/C16</f>
        <v>44.177869700103415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2088</v>
      </c>
      <c r="B17" s="3">
        <f>$B$7</f>
        <v>178</v>
      </c>
      <c r="C17" s="4">
        <f>$C$7</f>
        <v>967</v>
      </c>
      <c r="D17" s="48">
        <v>604</v>
      </c>
      <c r="E17" s="48">
        <v>0</v>
      </c>
      <c r="F17" s="4">
        <f>SUM(D17:E17)</f>
        <v>604</v>
      </c>
      <c r="G17" s="5">
        <v>33736</v>
      </c>
      <c r="H17" s="4">
        <f>F17/C17</f>
        <v>0.62461220268872808</v>
      </c>
      <c r="I17" s="5">
        <f>G17/C17</f>
        <v>34.88728024819028</v>
      </c>
      <c r="J17" s="44">
        <f>I17/H17</f>
        <v>55.854304635761586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0.56554307116104874</v>
      </c>
      <c r="G18" s="16">
        <f>G17/G16</f>
        <v>0.78970037453183517</v>
      </c>
      <c r="H18" s="16"/>
      <c r="I18" s="16"/>
      <c r="J18" s="16"/>
      <c r="K18" s="45"/>
    </row>
    <row r="19" spans="1:11" ht="16.5" thickTop="1" thickBot="1" x14ac:dyDescent="0.25">
      <c r="A19" s="1">
        <f>$A$7</f>
        <v>2088</v>
      </c>
      <c r="B19" s="3">
        <f>$B$7</f>
        <v>178</v>
      </c>
      <c r="C19" s="4">
        <f>$C$7</f>
        <v>967</v>
      </c>
      <c r="D19" s="4">
        <f>G19/$J$7</f>
        <v>4214.6750000000002</v>
      </c>
      <c r="E19" s="4">
        <v>0</v>
      </c>
      <c r="F19" s="13">
        <f>SUM(D19:E19)</f>
        <v>4214.6750000000002</v>
      </c>
      <c r="G19" s="14">
        <v>168587</v>
      </c>
      <c r="H19" s="13">
        <f>F19/C19</f>
        <v>4.3585056876938992</v>
      </c>
      <c r="I19" s="14">
        <f>G19/C19</f>
        <v>174.34022750775594</v>
      </c>
      <c r="J19" s="6">
        <f>I19/H19</f>
        <v>39.999999999999993</v>
      </c>
      <c r="K19" s="27" t="s">
        <v>10</v>
      </c>
    </row>
    <row r="20" spans="1:11" ht="16.5" thickTop="1" thickBot="1" x14ac:dyDescent="0.25">
      <c r="A20" s="1">
        <f>$A$7</f>
        <v>2088</v>
      </c>
      <c r="B20" s="3">
        <f>$B$7</f>
        <v>178</v>
      </c>
      <c r="C20" s="4">
        <f>$C$7</f>
        <v>967</v>
      </c>
      <c r="D20" s="48">
        <v>3726</v>
      </c>
      <c r="E20" s="48">
        <v>0</v>
      </c>
      <c r="F20" s="4">
        <f>SUM(D20:E20)</f>
        <v>3726</v>
      </c>
      <c r="G20" s="5">
        <v>139946</v>
      </c>
      <c r="H20" s="4">
        <f>F20/C20</f>
        <v>3.8531540847983452</v>
      </c>
      <c r="I20" s="5">
        <f>G20/C20</f>
        <v>144.72182006204756</v>
      </c>
      <c r="J20" s="44">
        <f>I20/H20</f>
        <v>37.559312936124527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0.88405393061149429</v>
      </c>
      <c r="G21" s="16">
        <f>G20/G19</f>
        <v>0.83011145580620094</v>
      </c>
      <c r="H21" s="16"/>
      <c r="I21" s="16"/>
      <c r="J21" s="45"/>
      <c r="K21" s="45"/>
    </row>
    <row r="22" spans="1:11" ht="16.5" thickTop="1" thickBot="1" x14ac:dyDescent="0.25">
      <c r="A22" s="1">
        <f>$A$7</f>
        <v>2088</v>
      </c>
      <c r="B22" s="3">
        <f>$B$7</f>
        <v>178</v>
      </c>
      <c r="C22" s="4">
        <f>$C$7</f>
        <v>967</v>
      </c>
      <c r="D22" s="4">
        <f>G22/$J$7</f>
        <v>13222.6</v>
      </c>
      <c r="E22" s="4">
        <v>0</v>
      </c>
      <c r="F22" s="13">
        <f>SUM(D22:E22)</f>
        <v>13222.6</v>
      </c>
      <c r="G22" s="14">
        <v>528904</v>
      </c>
      <c r="H22" s="13">
        <f>F22/C22</f>
        <v>13.673836608066184</v>
      </c>
      <c r="I22" s="14">
        <f>G22/C22</f>
        <v>546.95346432264739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2088</v>
      </c>
      <c r="B23" s="3">
        <f>$B$7</f>
        <v>178</v>
      </c>
      <c r="C23" s="4">
        <f>$C$7</f>
        <v>967</v>
      </c>
      <c r="D23" s="48">
        <v>17184</v>
      </c>
      <c r="E23" s="48">
        <v>0</v>
      </c>
      <c r="F23" s="4">
        <f>SUM(D23:E23)</f>
        <v>17184</v>
      </c>
      <c r="G23" s="5">
        <v>547955</v>
      </c>
      <c r="H23" s="4">
        <f>F23/C23</f>
        <v>17.770423991726989</v>
      </c>
      <c r="I23" s="5">
        <f>G23/C23</f>
        <v>566.65460186142707</v>
      </c>
      <c r="J23" s="44">
        <f>I23/H23</f>
        <v>31.887511638733706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1.2995931208688154</v>
      </c>
      <c r="G24" s="16">
        <f>G23/G22</f>
        <v>1.0360197691830653</v>
      </c>
      <c r="H24" s="16"/>
      <c r="I24" s="16"/>
      <c r="J24" s="17"/>
      <c r="K24" s="17"/>
    </row>
    <row r="25" spans="1:11" ht="16.5" thickTop="1" thickBot="1" x14ac:dyDescent="0.25">
      <c r="A25" s="1">
        <f>$A$7</f>
        <v>2088</v>
      </c>
      <c r="B25" s="3">
        <f>$B$7</f>
        <v>178</v>
      </c>
      <c r="C25" s="4">
        <f>C8</f>
        <v>942</v>
      </c>
      <c r="D25" s="4">
        <f>G25/$J$7</f>
        <v>1964.925</v>
      </c>
      <c r="E25" s="4">
        <v>0</v>
      </c>
      <c r="F25" s="13">
        <f>SUM(D25:E25)</f>
        <v>1964.925</v>
      </c>
      <c r="G25" s="14">
        <v>78597</v>
      </c>
      <c r="H25" s="13">
        <f>F25/C25</f>
        <v>2.085907643312102</v>
      </c>
      <c r="I25" s="14">
        <f>G25/C25</f>
        <v>83.436305732484072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2088</v>
      </c>
      <c r="B26" s="3">
        <f>$B$7</f>
        <v>178</v>
      </c>
      <c r="C26" s="4">
        <f>C25</f>
        <v>942</v>
      </c>
      <c r="D26" s="48">
        <v>3539</v>
      </c>
      <c r="E26" s="48">
        <v>0</v>
      </c>
      <c r="F26" s="4">
        <f>SUM(D26:E26)</f>
        <v>3539</v>
      </c>
      <c r="G26" s="5">
        <v>106683</v>
      </c>
      <c r="H26" s="4">
        <f>F26/C26</f>
        <v>3.7569002123142252</v>
      </c>
      <c r="I26" s="5">
        <f>G26/C26</f>
        <v>113.25159235668789</v>
      </c>
      <c r="J26" s="44">
        <f>I26/H26</f>
        <v>30.144956202317037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1.8010865554664937</v>
      </c>
      <c r="G27" s="16">
        <f>G26/G25</f>
        <v>1.3573418832779878</v>
      </c>
      <c r="H27" s="16"/>
      <c r="I27" s="16"/>
      <c r="J27" s="17"/>
      <c r="K27" s="17"/>
    </row>
    <row r="28" spans="1:11" ht="16.5" thickTop="1" thickBot="1" x14ac:dyDescent="0.25">
      <c r="A28" s="1">
        <f>$A$7</f>
        <v>2088</v>
      </c>
      <c r="B28" s="3">
        <f>$B$7</f>
        <v>178</v>
      </c>
      <c r="C28" s="4">
        <f>$C$7</f>
        <v>967</v>
      </c>
      <c r="D28" s="4">
        <f>G28/$J$7</f>
        <v>5014</v>
      </c>
      <c r="E28" s="4">
        <v>0</v>
      </c>
      <c r="F28" s="13">
        <f>SUM(D28:E28)</f>
        <v>5014</v>
      </c>
      <c r="G28" s="14">
        <v>200560</v>
      </c>
      <c r="H28" s="13">
        <f>F28/C28</f>
        <v>5.185108583247156</v>
      </c>
      <c r="I28" s="14">
        <f>G28/C28</f>
        <v>207.40434332988625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2088</v>
      </c>
      <c r="B29" s="3">
        <f>$B$7</f>
        <v>178</v>
      </c>
      <c r="C29" s="4">
        <f>$C$7</f>
        <v>967</v>
      </c>
      <c r="D29" s="48">
        <v>4954</v>
      </c>
      <c r="E29" s="48">
        <v>0</v>
      </c>
      <c r="F29" s="4">
        <f>SUM(D29:E29)</f>
        <v>4954</v>
      </c>
      <c r="G29" s="5">
        <v>157144</v>
      </c>
      <c r="H29" s="4">
        <f>F29/C29</f>
        <v>5.1230610134436398</v>
      </c>
      <c r="I29" s="5">
        <f>G29/C29</f>
        <v>162.50672182006204</v>
      </c>
      <c r="J29" s="44">
        <f>I29/H29</f>
        <v>31.720629794105772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0.98803350618268848</v>
      </c>
      <c r="G30" s="16">
        <f>G29/G28</f>
        <v>0.78352612684483447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2088</v>
      </c>
      <c r="B33" s="3">
        <f>$B$7</f>
        <v>178</v>
      </c>
      <c r="C33" s="4">
        <f>$C$7</f>
        <v>967</v>
      </c>
      <c r="D33" s="13">
        <f>SUM(D28,D22,D19)</f>
        <v>22451.274999999998</v>
      </c>
      <c r="E33" s="13">
        <v>0</v>
      </c>
      <c r="F33" s="13">
        <f>SUM(D33:E33)</f>
        <v>22451.274999999998</v>
      </c>
      <c r="G33" s="14">
        <f>SUM(G28,G22,G19)</f>
        <v>898051</v>
      </c>
      <c r="H33" s="34">
        <f>F33/C33</f>
        <v>23.217450879007238</v>
      </c>
      <c r="I33" s="39">
        <f>G33/C33</f>
        <v>928.69803516028958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2088</v>
      </c>
      <c r="B34" s="3">
        <f>$B$7</f>
        <v>178</v>
      </c>
      <c r="C34" s="4">
        <f>$C$7</f>
        <v>967</v>
      </c>
      <c r="D34" s="4">
        <f>SUM(D29,D23,D20)</f>
        <v>25864</v>
      </c>
      <c r="E34" s="49">
        <v>0</v>
      </c>
      <c r="F34" s="4">
        <f>SUM(D34)</f>
        <v>25864</v>
      </c>
      <c r="G34" s="50">
        <f>SUM(G29,G23,G20)</f>
        <v>845045</v>
      </c>
      <c r="H34" s="41">
        <f>F34/C34</f>
        <v>26.746639089968976</v>
      </c>
      <c r="I34" s="42">
        <f>G34/C34</f>
        <v>873.88314374353672</v>
      </c>
      <c r="J34" s="43">
        <f>I34/H34</f>
        <v>32.672633776678005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1.1520058437661114</v>
      </c>
      <c r="G35" s="63">
        <f>G34/G33</f>
        <v>0.94097662604907739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9E6C-30AD-4F6B-A143-F3EE0225A4B4}">
  <dimension ref="A3:K46"/>
  <sheetViews>
    <sheetView zoomScale="120" zoomScaleNormal="120" zoomScaleSheetLayoutView="100" workbookViewId="0">
      <selection activeCell="D23" sqref="D23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48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2089</v>
      </c>
      <c r="B7" s="64">
        <v>238</v>
      </c>
      <c r="C7" s="65">
        <v>1388</v>
      </c>
      <c r="D7" s="4">
        <f>G7/$J$7</f>
        <v>36011.050000000003</v>
      </c>
      <c r="E7" s="4">
        <v>0</v>
      </c>
      <c r="F7" s="4">
        <f>SUM(D7:E7)</f>
        <v>36011.050000000003</v>
      </c>
      <c r="G7" s="5">
        <f>SUM(G16,G19,G22,G25,G28)</f>
        <v>1440442</v>
      </c>
      <c r="H7" s="9">
        <f>F7/C7</f>
        <v>25.94456051873199</v>
      </c>
      <c r="I7" s="11">
        <f>G7/C7</f>
        <v>1037.7824207492795</v>
      </c>
      <c r="J7" s="12">
        <v>40</v>
      </c>
      <c r="K7" s="37" t="s">
        <v>10</v>
      </c>
    </row>
    <row r="8" spans="1:11" ht="16.5" thickTop="1" thickBot="1" x14ac:dyDescent="0.25">
      <c r="A8" s="3">
        <v>2089</v>
      </c>
      <c r="B8" s="64">
        <v>238</v>
      </c>
      <c r="C8" s="65">
        <v>1377</v>
      </c>
      <c r="D8" s="4">
        <f>SUM(D17,D20,D23,D26,D29)</f>
        <v>40126</v>
      </c>
      <c r="E8" s="4">
        <v>0</v>
      </c>
      <c r="F8" s="4">
        <f>SUM(D8)</f>
        <v>40126</v>
      </c>
      <c r="G8" s="5">
        <f>SUM(G17,G20,G23,G26,G29)</f>
        <v>1395642</v>
      </c>
      <c r="H8" s="58">
        <f>F8/C8</f>
        <v>29.140159767610747</v>
      </c>
      <c r="I8" s="42">
        <f>G8/C8</f>
        <v>1013.5381263616558</v>
      </c>
      <c r="J8" s="43">
        <f>I8/H8</f>
        <v>34.781488311817775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1.1142690924035816</v>
      </c>
      <c r="G10" s="62">
        <f>G8/G7</f>
        <v>0.96889843534137443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-4114.9499999999971</v>
      </c>
      <c r="G12" s="47">
        <f>G7-G8</f>
        <v>44800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2089</v>
      </c>
      <c r="B16" s="3">
        <f>$B$7</f>
        <v>238</v>
      </c>
      <c r="C16" s="4">
        <f>$C$7</f>
        <v>1388</v>
      </c>
      <c r="D16" s="4">
        <f>G16/$J$7</f>
        <v>1603</v>
      </c>
      <c r="E16" s="4">
        <v>0</v>
      </c>
      <c r="F16" s="13">
        <f>SUM(D16:E16)</f>
        <v>1603</v>
      </c>
      <c r="G16" s="14">
        <v>64120</v>
      </c>
      <c r="H16" s="13">
        <f>F16/C16</f>
        <v>1.154899135446686</v>
      </c>
      <c r="I16" s="14">
        <f>G16/C16</f>
        <v>46.195965417867434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2089</v>
      </c>
      <c r="B17" s="3">
        <f>$B$7</f>
        <v>238</v>
      </c>
      <c r="C17" s="4">
        <f>$C$7</f>
        <v>1388</v>
      </c>
      <c r="D17" s="48">
        <v>690</v>
      </c>
      <c r="E17" s="48">
        <v>0</v>
      </c>
      <c r="F17" s="4">
        <f>SUM(D17:E17)</f>
        <v>690</v>
      </c>
      <c r="G17" s="5">
        <v>38521</v>
      </c>
      <c r="H17" s="4">
        <f>F17/C17</f>
        <v>0.49711815561959655</v>
      </c>
      <c r="I17" s="5">
        <f>G17/C17</f>
        <v>27.752881844380404</v>
      </c>
      <c r="J17" s="44">
        <f>I17/H17</f>
        <v>55.827536231884061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0.43044291952588898</v>
      </c>
      <c r="G18" s="16">
        <f>G17/G16</f>
        <v>0.60076419213973797</v>
      </c>
      <c r="H18" s="16"/>
      <c r="I18" s="16"/>
      <c r="J18" s="16"/>
      <c r="K18" s="45"/>
    </row>
    <row r="19" spans="1:11" ht="16.5" thickTop="1" thickBot="1" x14ac:dyDescent="0.25">
      <c r="A19" s="1">
        <f>$A$7</f>
        <v>2089</v>
      </c>
      <c r="B19" s="3">
        <f>$B$7</f>
        <v>238</v>
      </c>
      <c r="C19" s="4">
        <f>$C$7</f>
        <v>1388</v>
      </c>
      <c r="D19" s="4">
        <f>G19/$J$7</f>
        <v>6440.625</v>
      </c>
      <c r="E19" s="4">
        <v>0</v>
      </c>
      <c r="F19" s="13">
        <f>SUM(D19:E19)</f>
        <v>6440.625</v>
      </c>
      <c r="G19" s="14">
        <v>257625</v>
      </c>
      <c r="H19" s="13">
        <f>F19/C19</f>
        <v>4.6402197406340058</v>
      </c>
      <c r="I19" s="14">
        <f>G19/C19</f>
        <v>185.60878962536023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2089</v>
      </c>
      <c r="B20" s="3">
        <f>$B$7</f>
        <v>238</v>
      </c>
      <c r="C20" s="4">
        <f>$C$7</f>
        <v>1388</v>
      </c>
      <c r="D20" s="48">
        <v>8320</v>
      </c>
      <c r="E20" s="48">
        <v>0</v>
      </c>
      <c r="F20" s="4">
        <f>SUM(D20:E20)</f>
        <v>8320</v>
      </c>
      <c r="G20" s="5">
        <v>295509</v>
      </c>
      <c r="H20" s="4">
        <f>F20/C20</f>
        <v>5.9942363112391934</v>
      </c>
      <c r="I20" s="5">
        <f>G20/C20</f>
        <v>212.90273775216139</v>
      </c>
      <c r="J20" s="44">
        <f>I20/H20</f>
        <v>35.517908653846149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1.2918000970402717</v>
      </c>
      <c r="G21" s="16">
        <f>G20/G19</f>
        <v>1.1470509461426492</v>
      </c>
      <c r="H21" s="16"/>
      <c r="I21" s="16"/>
      <c r="J21" s="45"/>
      <c r="K21" s="45"/>
    </row>
    <row r="22" spans="1:11" ht="16.5" thickTop="1" thickBot="1" x14ac:dyDescent="0.25">
      <c r="A22" s="1">
        <f>$A$7</f>
        <v>2089</v>
      </c>
      <c r="B22" s="3">
        <f>$B$7</f>
        <v>238</v>
      </c>
      <c r="C22" s="4">
        <f>$C$7</f>
        <v>1388</v>
      </c>
      <c r="D22" s="4">
        <f>G22/$J$7</f>
        <v>18997.55</v>
      </c>
      <c r="E22" s="4">
        <v>0</v>
      </c>
      <c r="F22" s="13">
        <f>SUM(D22:E22)</f>
        <v>18997.55</v>
      </c>
      <c r="G22" s="14">
        <v>759902</v>
      </c>
      <c r="H22" s="13">
        <f>F22/C22</f>
        <v>13.686995677233428</v>
      </c>
      <c r="I22" s="14">
        <f>G22/C22</f>
        <v>547.47982708933716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2089</v>
      </c>
      <c r="B23" s="3">
        <f>$B$7</f>
        <v>238</v>
      </c>
      <c r="C23" s="4">
        <f>$C$7</f>
        <v>1388</v>
      </c>
      <c r="D23" s="48">
        <v>22548</v>
      </c>
      <c r="E23" s="48">
        <v>0</v>
      </c>
      <c r="F23" s="4">
        <f>SUM(D23:E23)</f>
        <v>22548</v>
      </c>
      <c r="G23" s="5">
        <v>776173</v>
      </c>
      <c r="H23" s="4">
        <f>F23/C23</f>
        <v>16.244956772334294</v>
      </c>
      <c r="I23" s="5">
        <f>G23/C23</f>
        <v>559.20244956772331</v>
      </c>
      <c r="J23" s="44">
        <f>I23/H23</f>
        <v>34.423141742061375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1.1868898884329822</v>
      </c>
      <c r="G24" s="16">
        <f>G23/G22</f>
        <v>1.0214119715436991</v>
      </c>
      <c r="H24" s="16"/>
      <c r="I24" s="16"/>
      <c r="J24" s="17"/>
      <c r="K24" s="17"/>
    </row>
    <row r="25" spans="1:11" ht="16.5" thickTop="1" thickBot="1" x14ac:dyDescent="0.25">
      <c r="A25" s="1">
        <f>$A$7</f>
        <v>2089</v>
      </c>
      <c r="B25" s="3">
        <f>$B$7</f>
        <v>238</v>
      </c>
      <c r="C25" s="4">
        <f>C8</f>
        <v>1377</v>
      </c>
      <c r="D25" s="4">
        <f>G25/$J$7</f>
        <v>3829.5</v>
      </c>
      <c r="E25" s="4">
        <v>0</v>
      </c>
      <c r="F25" s="13">
        <f>SUM(D25:E25)</f>
        <v>3829.5</v>
      </c>
      <c r="G25" s="14">
        <v>153180</v>
      </c>
      <c r="H25" s="13">
        <f>F25/C25</f>
        <v>2.7810457516339868</v>
      </c>
      <c r="I25" s="14">
        <f>G25/C25</f>
        <v>111.24183006535948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2089</v>
      </c>
      <c r="B26" s="3">
        <f>$B$7</f>
        <v>238</v>
      </c>
      <c r="C26" s="4">
        <f>C25</f>
        <v>1377</v>
      </c>
      <c r="D26" s="48">
        <v>3731</v>
      </c>
      <c r="E26" s="48">
        <v>0</v>
      </c>
      <c r="F26" s="4">
        <f>SUM(D26:E26)</f>
        <v>3731</v>
      </c>
      <c r="G26" s="5">
        <v>117569</v>
      </c>
      <c r="H26" s="4">
        <f>F26/C26</f>
        <v>2.7095134350036312</v>
      </c>
      <c r="I26" s="5">
        <f>G26/C26</f>
        <v>85.380537400145244</v>
      </c>
      <c r="J26" s="44">
        <f>I26/H26</f>
        <v>31.511391047976414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0.97427862645253949</v>
      </c>
      <c r="G27" s="16">
        <f>G26/G25</f>
        <v>0.76752186969578273</v>
      </c>
      <c r="H27" s="16"/>
      <c r="I27" s="16"/>
      <c r="J27" s="17"/>
      <c r="K27" s="17"/>
    </row>
    <row r="28" spans="1:11" ht="16.5" thickTop="1" thickBot="1" x14ac:dyDescent="0.25">
      <c r="A28" s="1">
        <f>$A$7</f>
        <v>2089</v>
      </c>
      <c r="B28" s="3">
        <f>$B$7</f>
        <v>238</v>
      </c>
      <c r="C28" s="4">
        <f>$C$7</f>
        <v>1388</v>
      </c>
      <c r="D28" s="4">
        <f>G28/$J$7</f>
        <v>5140.375</v>
      </c>
      <c r="E28" s="4">
        <v>0</v>
      </c>
      <c r="F28" s="13">
        <f>SUM(D28:E28)</f>
        <v>5140.375</v>
      </c>
      <c r="G28" s="14">
        <v>205615</v>
      </c>
      <c r="H28" s="13">
        <f>F28/C28</f>
        <v>3.7034402017291068</v>
      </c>
      <c r="I28" s="14">
        <f>G28/C28</f>
        <v>148.13760806916426</v>
      </c>
      <c r="J28" s="6">
        <f>I28/H28</f>
        <v>39.999999999999993</v>
      </c>
      <c r="K28" s="27" t="s">
        <v>10</v>
      </c>
    </row>
    <row r="29" spans="1:11" ht="16.5" thickTop="1" thickBot="1" x14ac:dyDescent="0.25">
      <c r="A29" s="1">
        <f>$A$7</f>
        <v>2089</v>
      </c>
      <c r="B29" s="3">
        <f>$B$7</f>
        <v>238</v>
      </c>
      <c r="C29" s="4">
        <f>$C$7</f>
        <v>1388</v>
      </c>
      <c r="D29" s="48">
        <v>4837</v>
      </c>
      <c r="E29" s="48">
        <v>0</v>
      </c>
      <c r="F29" s="4">
        <f>SUM(D29:E29)</f>
        <v>4837</v>
      </c>
      <c r="G29" s="5">
        <v>167870</v>
      </c>
      <c r="H29" s="4">
        <f>F29/C29</f>
        <v>3.4848703170028816</v>
      </c>
      <c r="I29" s="5">
        <f>G29/C29</f>
        <v>120.94380403458213</v>
      </c>
      <c r="J29" s="44">
        <f>I29/H29</f>
        <v>34.705395906553647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0.94098193225202442</v>
      </c>
      <c r="G30" s="16">
        <f>G29/G28</f>
        <v>0.81642876249300878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2089</v>
      </c>
      <c r="B33" s="3">
        <f>$B$7</f>
        <v>238</v>
      </c>
      <c r="C33" s="4">
        <f>$C$7</f>
        <v>1388</v>
      </c>
      <c r="D33" s="13">
        <f>SUM(D28,D22,D19)</f>
        <v>30578.55</v>
      </c>
      <c r="E33" s="13">
        <v>0</v>
      </c>
      <c r="F33" s="13">
        <f>SUM(D33:E33)</f>
        <v>30578.55</v>
      </c>
      <c r="G33" s="14">
        <f>SUM(G28,G22,G19)</f>
        <v>1223142</v>
      </c>
      <c r="H33" s="34">
        <f>F33/C33</f>
        <v>22.030655619596541</v>
      </c>
      <c r="I33" s="39">
        <f>G33/C33</f>
        <v>881.22622478386165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2089</v>
      </c>
      <c r="B34" s="3">
        <f>$B$7</f>
        <v>238</v>
      </c>
      <c r="C34" s="4">
        <f>$C$7</f>
        <v>1388</v>
      </c>
      <c r="D34" s="4">
        <f>SUM(D29,D23,D20)</f>
        <v>35705</v>
      </c>
      <c r="E34" s="49">
        <v>0</v>
      </c>
      <c r="F34" s="4">
        <f>SUM(D34)</f>
        <v>35705</v>
      </c>
      <c r="G34" s="50">
        <f>SUM(G29,G23,G20)</f>
        <v>1239552</v>
      </c>
      <c r="H34" s="41">
        <f>F34/C34</f>
        <v>25.72406340057637</v>
      </c>
      <c r="I34" s="42">
        <f>G34/C34</f>
        <v>893.04899135446681</v>
      </c>
      <c r="J34" s="43">
        <f>I34/H34</f>
        <v>34.7164822853942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1.1676485641078469</v>
      </c>
      <c r="G35" s="63">
        <f>G34/G33</f>
        <v>1.013416267285401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B395-C812-4E39-92B0-43B00FF3F185}">
  <dimension ref="A3:K46"/>
  <sheetViews>
    <sheetView zoomScale="120" zoomScaleNormal="120" zoomScaleSheetLayoutView="100" workbookViewId="0">
      <selection activeCell="P28" sqref="P2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43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2090</v>
      </c>
      <c r="B7" s="64">
        <v>77</v>
      </c>
      <c r="C7" s="65">
        <v>401</v>
      </c>
      <c r="D7" s="4">
        <f>G7/$J$7</f>
        <v>8600.9500000000007</v>
      </c>
      <c r="E7" s="4">
        <v>0</v>
      </c>
      <c r="F7" s="4">
        <f>SUM(D7:E7)</f>
        <v>8600.9500000000007</v>
      </c>
      <c r="G7" s="5">
        <f>SUM(G16,G19,G22,G25,G28)</f>
        <v>344038</v>
      </c>
      <c r="H7" s="9">
        <f>F7/C7</f>
        <v>21.448753117206984</v>
      </c>
      <c r="I7" s="11">
        <f>G7/C7</f>
        <v>857.95012468827929</v>
      </c>
      <c r="J7" s="12">
        <v>40</v>
      </c>
      <c r="K7" s="37" t="s">
        <v>10</v>
      </c>
    </row>
    <row r="8" spans="1:11" ht="16.5" thickTop="1" thickBot="1" x14ac:dyDescent="0.25">
      <c r="A8" s="3">
        <v>2090</v>
      </c>
      <c r="B8" s="64">
        <v>77</v>
      </c>
      <c r="C8" s="65">
        <v>397</v>
      </c>
      <c r="D8" s="4">
        <f>SUM(D17,D20,D23,D26,D29)</f>
        <v>7656</v>
      </c>
      <c r="E8" s="4">
        <v>0</v>
      </c>
      <c r="F8" s="4">
        <f>SUM(D8)</f>
        <v>7656</v>
      </c>
      <c r="G8" s="5">
        <f>SUM(G17,G20,G23,G26,G29)</f>
        <v>291164</v>
      </c>
      <c r="H8" s="58">
        <f>F8/C8</f>
        <v>19.284634760705291</v>
      </c>
      <c r="I8" s="42">
        <f>G8/C8</f>
        <v>733.41057934508819</v>
      </c>
      <c r="J8" s="43">
        <f>I8/H8</f>
        <v>38.030825496342736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0.89013422935838471</v>
      </c>
      <c r="G10" s="62">
        <f>G8/G7</f>
        <v>0.84631348862625644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944.95000000000073</v>
      </c>
      <c r="G12" s="47">
        <f>G7-G8</f>
        <v>52874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2090</v>
      </c>
      <c r="B16" s="3">
        <f>$B$7</f>
        <v>77</v>
      </c>
      <c r="C16" s="4">
        <f>$C$7</f>
        <v>401</v>
      </c>
      <c r="D16" s="4">
        <f>G16/$J$7</f>
        <v>419.25</v>
      </c>
      <c r="E16" s="4">
        <v>0</v>
      </c>
      <c r="F16" s="13">
        <f>SUM(D16:E16)</f>
        <v>419.25</v>
      </c>
      <c r="G16" s="14">
        <v>16770</v>
      </c>
      <c r="H16" s="13">
        <f>F16/C16</f>
        <v>1.0455112219451372</v>
      </c>
      <c r="I16" s="14">
        <f>G16/C16</f>
        <v>41.820448877805489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2090</v>
      </c>
      <c r="B17" s="3">
        <f>$B$7</f>
        <v>77</v>
      </c>
      <c r="C17" s="4">
        <f>$C$7</f>
        <v>401</v>
      </c>
      <c r="D17" s="48">
        <v>140</v>
      </c>
      <c r="E17" s="48">
        <v>0</v>
      </c>
      <c r="F17" s="4">
        <f>SUM(D17:E17)</f>
        <v>140</v>
      </c>
      <c r="G17" s="5">
        <v>8022</v>
      </c>
      <c r="H17" s="4">
        <f>F17/C17</f>
        <v>0.3491271820448878</v>
      </c>
      <c r="I17" s="5">
        <f>G17/C17</f>
        <v>20.00498753117207</v>
      </c>
      <c r="J17" s="44">
        <f>I17/H17</f>
        <v>57.3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0.33392963625521765</v>
      </c>
      <c r="G18" s="16">
        <f>G17/G16</f>
        <v>0.4783542039355993</v>
      </c>
      <c r="H18" s="16"/>
      <c r="I18" s="16"/>
      <c r="J18" s="16"/>
      <c r="K18" s="45"/>
    </row>
    <row r="19" spans="1:11" ht="16.5" thickTop="1" thickBot="1" x14ac:dyDescent="0.25">
      <c r="A19" s="1">
        <f>$A$7</f>
        <v>2090</v>
      </c>
      <c r="B19" s="3">
        <f>$B$7</f>
        <v>77</v>
      </c>
      <c r="C19" s="4">
        <f>$C$7</f>
        <v>401</v>
      </c>
      <c r="D19" s="4">
        <f>G19/$J$7</f>
        <v>1173.45</v>
      </c>
      <c r="E19" s="4">
        <v>0</v>
      </c>
      <c r="F19" s="13">
        <f>SUM(D19:E19)</f>
        <v>1173.45</v>
      </c>
      <c r="G19" s="14">
        <v>46938</v>
      </c>
      <c r="H19" s="13">
        <f>F19/C19</f>
        <v>2.9263092269326685</v>
      </c>
      <c r="I19" s="14">
        <f>G19/C19</f>
        <v>117.05236907730674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2090</v>
      </c>
      <c r="B20" s="3">
        <f>$B$7</f>
        <v>77</v>
      </c>
      <c r="C20" s="4">
        <f>$C$7</f>
        <v>401</v>
      </c>
      <c r="D20" s="48">
        <v>706</v>
      </c>
      <c r="E20" s="48">
        <v>0</v>
      </c>
      <c r="F20" s="4">
        <f>SUM(D20:E20)</f>
        <v>706</v>
      </c>
      <c r="G20" s="5">
        <v>27954</v>
      </c>
      <c r="H20" s="4">
        <f>F20/C20</f>
        <v>1.7605985037406484</v>
      </c>
      <c r="I20" s="5">
        <f>G20/C20</f>
        <v>69.710723192019955</v>
      </c>
      <c r="J20" s="44">
        <f>I20/H20</f>
        <v>39.594900849858362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0.60164472282585535</v>
      </c>
      <c r="G21" s="16">
        <f>G20/G19</f>
        <v>0.59555157867825648</v>
      </c>
      <c r="H21" s="16"/>
      <c r="I21" s="16"/>
      <c r="J21" s="45"/>
      <c r="K21" s="45"/>
    </row>
    <row r="22" spans="1:11" ht="16.5" thickTop="1" thickBot="1" x14ac:dyDescent="0.25">
      <c r="A22" s="1">
        <f>$A$7</f>
        <v>2090</v>
      </c>
      <c r="B22" s="3">
        <f>$B$7</f>
        <v>77</v>
      </c>
      <c r="C22" s="4">
        <f>$C$7</f>
        <v>401</v>
      </c>
      <c r="D22" s="4">
        <f>G22/$J$7</f>
        <v>4260.25</v>
      </c>
      <c r="E22" s="4">
        <v>0</v>
      </c>
      <c r="F22" s="13">
        <f>SUM(D22:E22)</f>
        <v>4260.25</v>
      </c>
      <c r="G22" s="14">
        <v>170410</v>
      </c>
      <c r="H22" s="13">
        <f>F22/C22</f>
        <v>10.624064837905237</v>
      </c>
      <c r="I22" s="14">
        <f>G22/C22</f>
        <v>424.96259351620949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2090</v>
      </c>
      <c r="B23" s="3">
        <f>$B$7</f>
        <v>77</v>
      </c>
      <c r="C23" s="4">
        <f>$C$7</f>
        <v>401</v>
      </c>
      <c r="D23" s="48">
        <v>4576</v>
      </c>
      <c r="E23" s="48">
        <v>0</v>
      </c>
      <c r="F23" s="4">
        <f>SUM(D23:E23)</f>
        <v>4576</v>
      </c>
      <c r="G23" s="5">
        <v>166575</v>
      </c>
      <c r="H23" s="4">
        <f>F23/C23</f>
        <v>11.41147132169576</v>
      </c>
      <c r="I23" s="5">
        <f>G23/C23</f>
        <v>415.39900249376558</v>
      </c>
      <c r="J23" s="44">
        <f>I23/H23</f>
        <v>36.401879370629374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1.074115368816384</v>
      </c>
      <c r="G24" s="16">
        <f>G23/G22</f>
        <v>0.97749545214482714</v>
      </c>
      <c r="H24" s="16"/>
      <c r="I24" s="16"/>
      <c r="J24" s="17"/>
      <c r="K24" s="17"/>
    </row>
    <row r="25" spans="1:11" ht="16.5" thickTop="1" thickBot="1" x14ac:dyDescent="0.25">
      <c r="A25" s="1">
        <f>$A$7</f>
        <v>2090</v>
      </c>
      <c r="B25" s="3">
        <f>$B$7</f>
        <v>77</v>
      </c>
      <c r="C25" s="4">
        <f>C8</f>
        <v>397</v>
      </c>
      <c r="D25" s="4">
        <f>G25/$J$7</f>
        <v>751.875</v>
      </c>
      <c r="E25" s="4">
        <v>0</v>
      </c>
      <c r="F25" s="13">
        <f>SUM(D25:E25)</f>
        <v>751.875</v>
      </c>
      <c r="G25" s="14">
        <v>30075</v>
      </c>
      <c r="H25" s="13">
        <f>F25/C25</f>
        <v>1.8938916876574308</v>
      </c>
      <c r="I25" s="14">
        <f>G25/C25</f>
        <v>75.755667506297229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2090</v>
      </c>
      <c r="B26" s="3">
        <f>$B$7</f>
        <v>77</v>
      </c>
      <c r="C26" s="4">
        <f>C25</f>
        <v>397</v>
      </c>
      <c r="D26" s="48">
        <v>1081</v>
      </c>
      <c r="E26" s="48">
        <v>0</v>
      </c>
      <c r="F26" s="4">
        <f>SUM(D26:E26)</f>
        <v>1081</v>
      </c>
      <c r="G26" s="5">
        <v>36680</v>
      </c>
      <c r="H26" s="4">
        <f>F26/C26</f>
        <v>2.7229219143576828</v>
      </c>
      <c r="I26" s="5">
        <f>G26/C26</f>
        <v>92.392947103274565</v>
      </c>
      <c r="J26" s="44">
        <f>I26/H26</f>
        <v>33.931544865864943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1.4377389858686618</v>
      </c>
      <c r="G27" s="16">
        <f>G26/G25</f>
        <v>1.2196176226101414</v>
      </c>
      <c r="H27" s="16"/>
      <c r="I27" s="16"/>
      <c r="J27" s="17"/>
      <c r="K27" s="17"/>
    </row>
    <row r="28" spans="1:11" ht="16.5" thickTop="1" thickBot="1" x14ac:dyDescent="0.25">
      <c r="A28" s="1">
        <f>$A$7</f>
        <v>2090</v>
      </c>
      <c r="B28" s="3">
        <f>$B$7</f>
        <v>77</v>
      </c>
      <c r="C28" s="4">
        <f>$C$7</f>
        <v>401</v>
      </c>
      <c r="D28" s="4">
        <f>G28/$J$7</f>
        <v>1996.125</v>
      </c>
      <c r="E28" s="4">
        <v>0</v>
      </c>
      <c r="F28" s="13">
        <f>SUM(D28:E28)</f>
        <v>1996.125</v>
      </c>
      <c r="G28" s="14">
        <v>79845</v>
      </c>
      <c r="H28" s="13">
        <f>F28/C28</f>
        <v>4.9778678304239401</v>
      </c>
      <c r="I28" s="14">
        <f>G28/C28</f>
        <v>199.1147132169576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2090</v>
      </c>
      <c r="B29" s="3">
        <f>$B$7</f>
        <v>77</v>
      </c>
      <c r="C29" s="4">
        <f>$C$7</f>
        <v>401</v>
      </c>
      <c r="D29" s="48">
        <v>1153</v>
      </c>
      <c r="E29" s="48">
        <v>0</v>
      </c>
      <c r="F29" s="4">
        <f>SUM(D29:E29)</f>
        <v>1153</v>
      </c>
      <c r="G29" s="5">
        <v>51933</v>
      </c>
      <c r="H29" s="4">
        <f>F29/C29</f>
        <v>2.8753117206982544</v>
      </c>
      <c r="I29" s="5">
        <f>G29/C29</f>
        <v>129.50872817955113</v>
      </c>
      <c r="J29" s="44">
        <f>I29/H29</f>
        <v>45.041630529054643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0.57761913707808876</v>
      </c>
      <c r="G30" s="16">
        <f>G29/G28</f>
        <v>0.65042269396956598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2090</v>
      </c>
      <c r="B33" s="3">
        <f>$B$7</f>
        <v>77</v>
      </c>
      <c r="C33" s="4">
        <f>$C$7</f>
        <v>401</v>
      </c>
      <c r="D33" s="13">
        <f>SUM(D28,D22,D19)</f>
        <v>7429.8249999999998</v>
      </c>
      <c r="E33" s="13">
        <v>0</v>
      </c>
      <c r="F33" s="13">
        <f>SUM(D33:E33)</f>
        <v>7429.8249999999998</v>
      </c>
      <c r="G33" s="14">
        <f>SUM(G28,G22,G19)</f>
        <v>297193</v>
      </c>
      <c r="H33" s="34">
        <f>F33/C33</f>
        <v>18.528241895261846</v>
      </c>
      <c r="I33" s="39">
        <f>G33/C33</f>
        <v>741.12967581047383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2090</v>
      </c>
      <c r="B34" s="3">
        <f>$B$7</f>
        <v>77</v>
      </c>
      <c r="C34" s="4">
        <f>$C$7</f>
        <v>401</v>
      </c>
      <c r="D34" s="4">
        <f>SUM(D29,D23,D20)</f>
        <v>6435</v>
      </c>
      <c r="E34" s="49">
        <v>0</v>
      </c>
      <c r="F34" s="4">
        <f>SUM(D34)</f>
        <v>6435</v>
      </c>
      <c r="G34" s="50">
        <f>SUM(G29,G23,G20)</f>
        <v>246462</v>
      </c>
      <c r="H34" s="41">
        <f>F34/C34</f>
        <v>16.047381546134662</v>
      </c>
      <c r="I34" s="42">
        <f>G34/C34</f>
        <v>614.61845386533662</v>
      </c>
      <c r="J34" s="43">
        <f>I34/H34</f>
        <v>38.3002331002331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0.86610384497616033</v>
      </c>
      <c r="G35" s="63">
        <f>G34/G33</f>
        <v>0.82929947878987731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3EE9-FDDE-498F-AAE1-65AFF70148C3}">
  <sheetPr>
    <tabColor theme="4" tint="0.79998168889431442"/>
  </sheetPr>
  <dimension ref="A3:K46"/>
  <sheetViews>
    <sheetView topLeftCell="A7" zoomScale="120" zoomScaleNormal="120" zoomScaleSheetLayoutView="100" workbookViewId="0">
      <selection activeCell="T52" sqref="T52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52</v>
      </c>
      <c r="B3" s="38" t="s">
        <v>51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2092</v>
      </c>
      <c r="B7" s="64">
        <v>125</v>
      </c>
      <c r="C7" s="65">
        <v>643</v>
      </c>
      <c r="D7" s="4">
        <f>G7/$J$7</f>
        <v>14362.174999999999</v>
      </c>
      <c r="E7" s="4">
        <v>0</v>
      </c>
      <c r="F7" s="4">
        <f>SUM(D7:E7)</f>
        <v>14362.174999999999</v>
      </c>
      <c r="G7" s="5">
        <f>SUM(G16,G19,G22,G25,G28)</f>
        <v>574487</v>
      </c>
      <c r="H7" s="9">
        <f>F7/C7</f>
        <v>22.336197511664075</v>
      </c>
      <c r="I7" s="11">
        <f>G7/C7</f>
        <v>893.44790046656294</v>
      </c>
      <c r="J7" s="12">
        <v>40</v>
      </c>
      <c r="K7" s="37" t="s">
        <v>10</v>
      </c>
    </row>
    <row r="8" spans="1:11" ht="16.5" thickTop="1" thickBot="1" x14ac:dyDescent="0.25">
      <c r="A8" s="3">
        <v>2092</v>
      </c>
      <c r="B8" s="64">
        <v>125</v>
      </c>
      <c r="C8" s="65">
        <v>639</v>
      </c>
      <c r="D8" s="4">
        <f>SUM(D17,D20,D23,D26,D29)</f>
        <v>11628</v>
      </c>
      <c r="E8" s="4">
        <v>0</v>
      </c>
      <c r="F8" s="4">
        <f>SUM(D8)</f>
        <v>11628</v>
      </c>
      <c r="G8" s="5">
        <f>SUM(G17,G20,G23,G26,G29)</f>
        <v>494136</v>
      </c>
      <c r="H8" s="58">
        <f>F8/C8</f>
        <v>18.197183098591548</v>
      </c>
      <c r="I8" s="42">
        <f>G8/C8</f>
        <v>773.29577464788736</v>
      </c>
      <c r="J8" s="43">
        <f>I8/H8</f>
        <v>42.495356037151709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0.80962667562538404</v>
      </c>
      <c r="G10" s="62">
        <f>G8/G7</f>
        <v>0.86013434594690563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2734.1749999999993</v>
      </c>
      <c r="G12" s="47">
        <f>G7-G8</f>
        <v>80351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2092</v>
      </c>
      <c r="B16" s="3">
        <f>$B$7</f>
        <v>125</v>
      </c>
      <c r="C16" s="4">
        <f>$C$7</f>
        <v>643</v>
      </c>
      <c r="D16" s="4">
        <f>G16/$J$7</f>
        <v>709.375</v>
      </c>
      <c r="E16" s="4">
        <v>0</v>
      </c>
      <c r="F16" s="13">
        <f>SUM(D16:E16)</f>
        <v>709.375</v>
      </c>
      <c r="G16" s="14">
        <v>28375</v>
      </c>
      <c r="H16" s="13">
        <f>F16/C16</f>
        <v>1.1032270606531882</v>
      </c>
      <c r="I16" s="14">
        <f>G16/C16</f>
        <v>44.129082426127525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2092</v>
      </c>
      <c r="B17" s="3">
        <f>$B$7</f>
        <v>125</v>
      </c>
      <c r="C17" s="4">
        <f>$C$7</f>
        <v>643</v>
      </c>
      <c r="D17" s="48">
        <v>206</v>
      </c>
      <c r="E17" s="48">
        <v>0</v>
      </c>
      <c r="F17" s="4">
        <f>SUM(D17:E17)</f>
        <v>206</v>
      </c>
      <c r="G17" s="5">
        <v>12350</v>
      </c>
      <c r="H17" s="4">
        <f>F17/C17</f>
        <v>0.32037325038880249</v>
      </c>
      <c r="I17" s="5">
        <f>G17/C17</f>
        <v>19.206842923794714</v>
      </c>
      <c r="J17" s="44">
        <f>I17/H17</f>
        <v>59.951456310679617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0.29039647577092509</v>
      </c>
      <c r="G18" s="16">
        <f>G17/G16</f>
        <v>0.4352422907488987</v>
      </c>
      <c r="H18" s="16"/>
      <c r="I18" s="16"/>
      <c r="J18" s="16"/>
      <c r="K18" s="45"/>
    </row>
    <row r="19" spans="1:11" ht="16.5" thickTop="1" thickBot="1" x14ac:dyDescent="0.25">
      <c r="A19" s="1">
        <f>$A$7</f>
        <v>2092</v>
      </c>
      <c r="B19" s="3">
        <f>$B$7</f>
        <v>125</v>
      </c>
      <c r="C19" s="4">
        <f>$C$7</f>
        <v>643</v>
      </c>
      <c r="D19" s="4">
        <f>G19/$J$7</f>
        <v>1839.75</v>
      </c>
      <c r="E19" s="4">
        <v>0</v>
      </c>
      <c r="F19" s="13">
        <f>SUM(D19:E19)</f>
        <v>1839.75</v>
      </c>
      <c r="G19" s="14">
        <v>73590</v>
      </c>
      <c r="H19" s="13">
        <f>F19/C19</f>
        <v>2.8611975116640744</v>
      </c>
      <c r="I19" s="14">
        <f>G19/C19</f>
        <v>114.44790046656298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2092</v>
      </c>
      <c r="B20" s="3">
        <f>$B$7</f>
        <v>125</v>
      </c>
      <c r="C20" s="4">
        <f>$C$7</f>
        <v>643</v>
      </c>
      <c r="D20" s="48">
        <v>1701</v>
      </c>
      <c r="E20" s="48">
        <v>0</v>
      </c>
      <c r="F20" s="4">
        <f>SUM(D20:E20)</f>
        <v>1701</v>
      </c>
      <c r="G20" s="5">
        <v>70845</v>
      </c>
      <c r="H20" s="4">
        <f>F20/C20</f>
        <v>2.6454121306376361</v>
      </c>
      <c r="I20" s="5">
        <f>G20/C20</f>
        <v>110.17884914463453</v>
      </c>
      <c r="J20" s="44">
        <f>I20/H20</f>
        <v>41.649029982363317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0.92458214431308605</v>
      </c>
      <c r="G21" s="16">
        <f>G20/G19</f>
        <v>0.96269873624133717</v>
      </c>
      <c r="H21" s="16"/>
      <c r="I21" s="16"/>
      <c r="J21" s="45"/>
      <c r="K21" s="45"/>
    </row>
    <row r="22" spans="1:11" ht="16.5" thickTop="1" thickBot="1" x14ac:dyDescent="0.25">
      <c r="A22" s="1">
        <f>$A$7</f>
        <v>2092</v>
      </c>
      <c r="B22" s="3">
        <f>$B$7</f>
        <v>125</v>
      </c>
      <c r="C22" s="4">
        <f>$C$7</f>
        <v>643</v>
      </c>
      <c r="D22" s="4">
        <f>G22/$J$7</f>
        <v>7062.375</v>
      </c>
      <c r="E22" s="4">
        <v>0</v>
      </c>
      <c r="F22" s="13">
        <f>SUM(D22:E22)</f>
        <v>7062.375</v>
      </c>
      <c r="G22" s="14">
        <v>282495</v>
      </c>
      <c r="H22" s="13">
        <f>F22/C22</f>
        <v>10.983475894245723</v>
      </c>
      <c r="I22" s="14">
        <f>G22/C22</f>
        <v>439.33903576982891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2092</v>
      </c>
      <c r="B23" s="3">
        <f>$B$7</f>
        <v>125</v>
      </c>
      <c r="C23" s="4">
        <f>$C$7</f>
        <v>643</v>
      </c>
      <c r="D23" s="48">
        <v>6145</v>
      </c>
      <c r="E23" s="48">
        <v>0</v>
      </c>
      <c r="F23" s="4">
        <f>SUM(D23:E23)</f>
        <v>6145</v>
      </c>
      <c r="G23" s="5">
        <v>257417</v>
      </c>
      <c r="H23" s="4">
        <f>F23/C23</f>
        <v>9.5567651632970456</v>
      </c>
      <c r="I23" s="5">
        <f>G23/C23</f>
        <v>400.33748055987559</v>
      </c>
      <c r="J23" s="44">
        <f>I23/H23</f>
        <v>41.89048006509357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0.87010389564417068</v>
      </c>
      <c r="G24" s="16">
        <f>G23/G22</f>
        <v>0.9112267473760598</v>
      </c>
      <c r="H24" s="16"/>
      <c r="I24" s="16"/>
      <c r="J24" s="17"/>
      <c r="K24" s="17"/>
    </row>
    <row r="25" spans="1:11" ht="16.5" thickTop="1" thickBot="1" x14ac:dyDescent="0.25">
      <c r="A25" s="1">
        <f>$A$7</f>
        <v>2092</v>
      </c>
      <c r="B25" s="3">
        <f>$B$7</f>
        <v>125</v>
      </c>
      <c r="C25" s="4">
        <f>C8</f>
        <v>639</v>
      </c>
      <c r="D25" s="4">
        <f>G25/$J$7</f>
        <v>1794.675</v>
      </c>
      <c r="E25" s="4">
        <v>0</v>
      </c>
      <c r="F25" s="13">
        <f>SUM(D25:E25)</f>
        <v>1794.675</v>
      </c>
      <c r="G25" s="14">
        <v>71787</v>
      </c>
      <c r="H25" s="13">
        <f>F25/C25</f>
        <v>2.8085680751173707</v>
      </c>
      <c r="I25" s="14">
        <f>G25/C25</f>
        <v>112.34272300469483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2092</v>
      </c>
      <c r="B26" s="3">
        <f>$B$7</f>
        <v>125</v>
      </c>
      <c r="C26" s="4">
        <f>C25</f>
        <v>639</v>
      </c>
      <c r="D26" s="48">
        <v>1362</v>
      </c>
      <c r="E26" s="48">
        <v>0</v>
      </c>
      <c r="F26" s="4">
        <f>SUM(D26:E26)</f>
        <v>1362</v>
      </c>
      <c r="G26" s="5">
        <v>53999</v>
      </c>
      <c r="H26" s="4">
        <f>F26/C26</f>
        <v>2.131455399061033</v>
      </c>
      <c r="I26" s="5">
        <f>G26/C26</f>
        <v>84.505477308294203</v>
      </c>
      <c r="J26" s="44">
        <f>I26/H26</f>
        <v>39.646842878120403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0.75891178068452503</v>
      </c>
      <c r="G27" s="16">
        <f>G26/G25</f>
        <v>0.75221140317884849</v>
      </c>
      <c r="H27" s="16"/>
      <c r="I27" s="16"/>
      <c r="J27" s="17"/>
      <c r="K27" s="17"/>
    </row>
    <row r="28" spans="1:11" ht="16.5" thickTop="1" thickBot="1" x14ac:dyDescent="0.25">
      <c r="A28" s="1">
        <f>$A$7</f>
        <v>2092</v>
      </c>
      <c r="B28" s="3">
        <f>$B$7</f>
        <v>125</v>
      </c>
      <c r="C28" s="4">
        <f>$C$7</f>
        <v>643</v>
      </c>
      <c r="D28" s="4">
        <f>G28/$J$7</f>
        <v>2956</v>
      </c>
      <c r="E28" s="4">
        <v>0</v>
      </c>
      <c r="F28" s="13">
        <f>SUM(D28:E28)</f>
        <v>2956</v>
      </c>
      <c r="G28" s="14">
        <v>118240</v>
      </c>
      <c r="H28" s="13">
        <f>F28/C28</f>
        <v>4.5972006220839816</v>
      </c>
      <c r="I28" s="14">
        <f>G28/C28</f>
        <v>183.88802488335926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2092</v>
      </c>
      <c r="B29" s="3">
        <f>$B$7</f>
        <v>125</v>
      </c>
      <c r="C29" s="4">
        <f>$C$7</f>
        <v>643</v>
      </c>
      <c r="D29" s="48">
        <v>2214</v>
      </c>
      <c r="E29" s="48">
        <v>0</v>
      </c>
      <c r="F29" s="4">
        <f>SUM(D29:E29)</f>
        <v>2214</v>
      </c>
      <c r="G29" s="5">
        <v>99525</v>
      </c>
      <c r="H29" s="4">
        <f>F29/C29</f>
        <v>3.4432348367029548</v>
      </c>
      <c r="I29" s="5">
        <f>G29/C29</f>
        <v>154.78227060653188</v>
      </c>
      <c r="J29" s="44">
        <f>I29/H29</f>
        <v>44.952574525745256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0.74898511502029774</v>
      </c>
      <c r="G30" s="16">
        <f>G29/G28</f>
        <v>0.84172023004059537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2092</v>
      </c>
      <c r="B33" s="3">
        <f>$B$7</f>
        <v>125</v>
      </c>
      <c r="C33" s="4">
        <f>$C$7</f>
        <v>643</v>
      </c>
      <c r="D33" s="13">
        <f>SUM(D28,D22,D19)</f>
        <v>11858.125</v>
      </c>
      <c r="E33" s="13">
        <v>0</v>
      </c>
      <c r="F33" s="13">
        <f>SUM(D33:E33)</f>
        <v>11858.125</v>
      </c>
      <c r="G33" s="14">
        <f>SUM(G28,G22,G19)</f>
        <v>474325</v>
      </c>
      <c r="H33" s="34">
        <f>F33/C33</f>
        <v>18.44187402799378</v>
      </c>
      <c r="I33" s="39">
        <f>G33/C33</f>
        <v>737.67496111975117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2092</v>
      </c>
      <c r="B34" s="3">
        <f>$B$7</f>
        <v>125</v>
      </c>
      <c r="C34" s="4">
        <f>$C$7</f>
        <v>643</v>
      </c>
      <c r="D34" s="4">
        <f>SUM(D29,D23,D20)</f>
        <v>10060</v>
      </c>
      <c r="E34" s="49">
        <v>0</v>
      </c>
      <c r="F34" s="4">
        <f>SUM(D34)</f>
        <v>10060</v>
      </c>
      <c r="G34" s="50">
        <f>SUM(G29,G23,G20)</f>
        <v>427787</v>
      </c>
      <c r="H34" s="41">
        <f>F34/C34</f>
        <v>15.645412130637636</v>
      </c>
      <c r="I34" s="42">
        <f>G34/C34</f>
        <v>665.29860031104204</v>
      </c>
      <c r="J34" s="43">
        <f>I34/H34</f>
        <v>42.523558648111333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0.84836346386970962</v>
      </c>
      <c r="G35" s="63">
        <f>G34/G33</f>
        <v>0.90188583776946185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FD18-185E-4FFE-B9B2-DCB733172EBA}">
  <sheetPr>
    <tabColor theme="4" tint="0.79998168889431442"/>
  </sheetPr>
  <dimension ref="A3:K46"/>
  <sheetViews>
    <sheetView topLeftCell="A15" zoomScale="120" zoomScaleNormal="120" zoomScaleSheetLayoutView="100" workbookViewId="0">
      <selection activeCell="X55" sqref="X55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50</v>
      </c>
      <c r="B3" s="38" t="s">
        <v>49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2093</v>
      </c>
      <c r="B7" s="64">
        <v>51</v>
      </c>
      <c r="C7" s="65">
        <v>275</v>
      </c>
      <c r="D7" s="4">
        <f>G7/$J$7</f>
        <v>6141.5</v>
      </c>
      <c r="E7" s="4">
        <v>0</v>
      </c>
      <c r="F7" s="4">
        <f>SUM(D7:E7)</f>
        <v>6141.5</v>
      </c>
      <c r="G7" s="5">
        <f>SUM(G16,G19,G22,G25,G28)</f>
        <v>245660</v>
      </c>
      <c r="H7" s="9">
        <f>F7/C7</f>
        <v>22.332727272727272</v>
      </c>
      <c r="I7" s="11">
        <f>G7/C7</f>
        <v>893.30909090909086</v>
      </c>
      <c r="J7" s="12">
        <v>40</v>
      </c>
      <c r="K7" s="37" t="s">
        <v>10</v>
      </c>
    </row>
    <row r="8" spans="1:11" ht="16.5" thickTop="1" thickBot="1" x14ac:dyDescent="0.25">
      <c r="A8" s="3">
        <v>2093</v>
      </c>
      <c r="B8" s="64">
        <v>51</v>
      </c>
      <c r="C8" s="65">
        <v>270</v>
      </c>
      <c r="D8" s="4">
        <f>SUM(D17,D20,D23,D26,D29)</f>
        <v>5711</v>
      </c>
      <c r="E8" s="4">
        <v>0</v>
      </c>
      <c r="F8" s="4">
        <f>SUM(D8)</f>
        <v>5711</v>
      </c>
      <c r="G8" s="5">
        <f>SUM(G17,G20,G23,G26,G29)</f>
        <v>224037</v>
      </c>
      <c r="H8" s="58">
        <f>F8/C8</f>
        <v>21.151851851851852</v>
      </c>
      <c r="I8" s="42">
        <f>G8/C8</f>
        <v>829.76666666666665</v>
      </c>
      <c r="J8" s="43">
        <f>I8/H8</f>
        <v>39.229031693223604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0.92990311813074977</v>
      </c>
      <c r="G10" s="62">
        <f>G8/G7</f>
        <v>0.91197997231946593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430.5</v>
      </c>
      <c r="G12" s="47">
        <f>G7-G8</f>
        <v>21623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2093</v>
      </c>
      <c r="B16" s="3">
        <f>$B$7</f>
        <v>51</v>
      </c>
      <c r="C16" s="4">
        <f>$C$7</f>
        <v>275</v>
      </c>
      <c r="D16" s="4">
        <f>G16/$J$7</f>
        <v>306</v>
      </c>
      <c r="E16" s="4">
        <v>0</v>
      </c>
      <c r="F16" s="13">
        <f>SUM(D16:E16)</f>
        <v>306</v>
      </c>
      <c r="G16" s="14">
        <v>12240</v>
      </c>
      <c r="H16" s="13">
        <f>F16/C16</f>
        <v>1.1127272727272728</v>
      </c>
      <c r="I16" s="14">
        <f>G16/C16</f>
        <v>44.509090909090908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2093</v>
      </c>
      <c r="B17" s="3">
        <f>$B$7</f>
        <v>51</v>
      </c>
      <c r="C17" s="4">
        <f>$C$7</f>
        <v>275</v>
      </c>
      <c r="D17" s="48">
        <v>140</v>
      </c>
      <c r="E17" s="48">
        <v>0</v>
      </c>
      <c r="F17" s="4">
        <f>SUM(D17:E17)</f>
        <v>140</v>
      </c>
      <c r="G17" s="5">
        <v>8259</v>
      </c>
      <c r="H17" s="4">
        <f>F17/C17</f>
        <v>0.50909090909090904</v>
      </c>
      <c r="I17" s="5">
        <f>G17/C17</f>
        <v>30.032727272727271</v>
      </c>
      <c r="J17" s="44">
        <f>I17/H17</f>
        <v>58.992857142857147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0.45751633986928103</v>
      </c>
      <c r="G18" s="16">
        <f>G17/G16</f>
        <v>0.67475490196078436</v>
      </c>
      <c r="H18" s="16"/>
      <c r="I18" s="16"/>
      <c r="J18" s="16"/>
      <c r="K18" s="45"/>
    </row>
    <row r="19" spans="1:11" ht="16.5" thickTop="1" thickBot="1" x14ac:dyDescent="0.25">
      <c r="A19" s="1">
        <f>$A$7</f>
        <v>2093</v>
      </c>
      <c r="B19" s="3">
        <f>$B$7</f>
        <v>51</v>
      </c>
      <c r="C19" s="4">
        <f>$C$7</f>
        <v>275</v>
      </c>
      <c r="D19" s="4">
        <f>G19/$J$7</f>
        <v>393.75</v>
      </c>
      <c r="E19" s="4">
        <v>0</v>
      </c>
      <c r="F19" s="13">
        <f>SUM(D19:E19)</f>
        <v>393.75</v>
      </c>
      <c r="G19" s="14">
        <v>15750</v>
      </c>
      <c r="H19" s="13">
        <f>F19/C19</f>
        <v>1.4318181818181819</v>
      </c>
      <c r="I19" s="14">
        <f>G19/C19</f>
        <v>57.272727272727273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2093</v>
      </c>
      <c r="B20" s="3">
        <f>$B$7</f>
        <v>51</v>
      </c>
      <c r="C20" s="4">
        <f>$C$7</f>
        <v>275</v>
      </c>
      <c r="D20" s="48">
        <v>213</v>
      </c>
      <c r="E20" s="48">
        <v>0</v>
      </c>
      <c r="F20" s="4">
        <f>SUM(D20:E20)</f>
        <v>213</v>
      </c>
      <c r="G20" s="5">
        <v>11293</v>
      </c>
      <c r="H20" s="4">
        <f>F20/C20</f>
        <v>0.77454545454545454</v>
      </c>
      <c r="I20" s="5">
        <f>G20/C20</f>
        <v>41.065454545454543</v>
      </c>
      <c r="J20" s="44">
        <f>I20/H20</f>
        <v>53.018779342723001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0.54095238095238096</v>
      </c>
      <c r="G21" s="16">
        <f>G20/G19</f>
        <v>0.717015873015873</v>
      </c>
      <c r="H21" s="16"/>
      <c r="I21" s="16"/>
      <c r="J21" s="45"/>
      <c r="K21" s="45"/>
    </row>
    <row r="22" spans="1:11" ht="16.5" thickTop="1" thickBot="1" x14ac:dyDescent="0.25">
      <c r="A22" s="1">
        <f>$A$7</f>
        <v>2093</v>
      </c>
      <c r="B22" s="3">
        <f>$B$7</f>
        <v>51</v>
      </c>
      <c r="C22" s="4">
        <f>$C$7</f>
        <v>275</v>
      </c>
      <c r="D22" s="4">
        <f>G22/$J$7</f>
        <v>3276.625</v>
      </c>
      <c r="E22" s="4">
        <v>0</v>
      </c>
      <c r="F22" s="13">
        <f>SUM(D22:E22)</f>
        <v>3276.625</v>
      </c>
      <c r="G22" s="14">
        <v>131065</v>
      </c>
      <c r="H22" s="13">
        <f>F22/C22</f>
        <v>11.914999999999999</v>
      </c>
      <c r="I22" s="14">
        <f>G22/C22</f>
        <v>476.6</v>
      </c>
      <c r="J22" s="6">
        <f>I22/H22</f>
        <v>40.000000000000007</v>
      </c>
      <c r="K22" s="27" t="s">
        <v>10</v>
      </c>
    </row>
    <row r="23" spans="1:11" ht="16.5" thickTop="1" thickBot="1" x14ac:dyDescent="0.25">
      <c r="A23" s="1">
        <f>$A$7</f>
        <v>2093</v>
      </c>
      <c r="B23" s="3">
        <f>$B$7</f>
        <v>51</v>
      </c>
      <c r="C23" s="4">
        <f>$C$7</f>
        <v>275</v>
      </c>
      <c r="D23" s="48">
        <v>3685</v>
      </c>
      <c r="E23" s="48">
        <v>0</v>
      </c>
      <c r="F23" s="4">
        <f>SUM(D23:E23)</f>
        <v>3685</v>
      </c>
      <c r="G23" s="5">
        <v>130369</v>
      </c>
      <c r="H23" s="4">
        <f>F23/C23</f>
        <v>13.4</v>
      </c>
      <c r="I23" s="5">
        <f>G23/C23</f>
        <v>474.0690909090909</v>
      </c>
      <c r="J23" s="44">
        <f>I23/H23</f>
        <v>35.378290366350065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1.1246328157784304</v>
      </c>
      <c r="G24" s="16">
        <f>G23/G22</f>
        <v>0.99468965780338003</v>
      </c>
      <c r="H24" s="16"/>
      <c r="I24" s="16"/>
      <c r="J24" s="17"/>
      <c r="K24" s="17"/>
    </row>
    <row r="25" spans="1:11" ht="16.5" thickTop="1" thickBot="1" x14ac:dyDescent="0.25">
      <c r="A25" s="1">
        <f>$A$7</f>
        <v>2093</v>
      </c>
      <c r="B25" s="3">
        <f>$B$7</f>
        <v>51</v>
      </c>
      <c r="C25" s="4">
        <f>C8</f>
        <v>270</v>
      </c>
      <c r="D25" s="4">
        <f>G25/$J$7</f>
        <v>553.5</v>
      </c>
      <c r="E25" s="4">
        <v>0</v>
      </c>
      <c r="F25" s="13">
        <f>SUM(D25:E25)</f>
        <v>553.5</v>
      </c>
      <c r="G25" s="14">
        <v>22140</v>
      </c>
      <c r="H25" s="13">
        <f>F25/C25</f>
        <v>2.0499999999999998</v>
      </c>
      <c r="I25" s="14">
        <f>G25/C25</f>
        <v>82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2093</v>
      </c>
      <c r="B26" s="3">
        <f>$B$7</f>
        <v>51</v>
      </c>
      <c r="C26" s="4">
        <f>C25</f>
        <v>270</v>
      </c>
      <c r="D26" s="48">
        <v>463</v>
      </c>
      <c r="E26" s="48">
        <v>0</v>
      </c>
      <c r="F26" s="4">
        <f>SUM(D26:E26)</f>
        <v>463</v>
      </c>
      <c r="G26" s="5">
        <v>21676</v>
      </c>
      <c r="H26" s="4">
        <f>F26/C26</f>
        <v>1.7148148148148148</v>
      </c>
      <c r="I26" s="5">
        <f>G26/C26</f>
        <v>80.281481481481478</v>
      </c>
      <c r="J26" s="44">
        <f>I26/H26</f>
        <v>46.816414686825055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0.8364950316169828</v>
      </c>
      <c r="G27" s="16">
        <f>G26/G25</f>
        <v>0.97904245709123761</v>
      </c>
      <c r="H27" s="16"/>
      <c r="I27" s="16"/>
      <c r="J27" s="17"/>
      <c r="K27" s="17"/>
    </row>
    <row r="28" spans="1:11" ht="16.5" thickTop="1" thickBot="1" x14ac:dyDescent="0.25">
      <c r="A28" s="1">
        <f>$A$7</f>
        <v>2093</v>
      </c>
      <c r="B28" s="3">
        <f>$B$7</f>
        <v>51</v>
      </c>
      <c r="C28" s="4">
        <f>$C$7</f>
        <v>275</v>
      </c>
      <c r="D28" s="4">
        <f>G28/$J$7</f>
        <v>1611.625</v>
      </c>
      <c r="E28" s="4">
        <v>0</v>
      </c>
      <c r="F28" s="13">
        <f>SUM(D28:E28)</f>
        <v>1611.625</v>
      </c>
      <c r="G28" s="14">
        <v>64465</v>
      </c>
      <c r="H28" s="13">
        <f>F28/C28</f>
        <v>5.8604545454545454</v>
      </c>
      <c r="I28" s="14">
        <f>G28/C28</f>
        <v>234.41818181818181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2093</v>
      </c>
      <c r="B29" s="3">
        <f>$B$7</f>
        <v>51</v>
      </c>
      <c r="C29" s="4">
        <f>$C$7</f>
        <v>275</v>
      </c>
      <c r="D29" s="48">
        <v>1210</v>
      </c>
      <c r="E29" s="48">
        <v>0</v>
      </c>
      <c r="F29" s="4">
        <f>SUM(D29:E29)</f>
        <v>1210</v>
      </c>
      <c r="G29" s="5">
        <v>52440</v>
      </c>
      <c r="H29" s="4">
        <f>F29/C29</f>
        <v>4.4000000000000004</v>
      </c>
      <c r="I29" s="5">
        <f>G29/C29</f>
        <v>190.69090909090909</v>
      </c>
      <c r="J29" s="44">
        <f>I29/H29</f>
        <v>43.33884297520661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0.75079500504149543</v>
      </c>
      <c r="G30" s="16">
        <f>G29/G28</f>
        <v>0.81346467075157058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2093</v>
      </c>
      <c r="B33" s="3">
        <f>$B$7</f>
        <v>51</v>
      </c>
      <c r="C33" s="4">
        <f>$C$7</f>
        <v>275</v>
      </c>
      <c r="D33" s="13">
        <f>SUM(D28,D22,D19)</f>
        <v>5282</v>
      </c>
      <c r="E33" s="13">
        <v>0</v>
      </c>
      <c r="F33" s="13">
        <f>SUM(D33:E33)</f>
        <v>5282</v>
      </c>
      <c r="G33" s="14">
        <f>SUM(G28,G22,G19)</f>
        <v>211280</v>
      </c>
      <c r="H33" s="34">
        <f>F33/C33</f>
        <v>19.207272727272727</v>
      </c>
      <c r="I33" s="39">
        <f>G33/C33</f>
        <v>768.29090909090905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2093</v>
      </c>
      <c r="B34" s="3">
        <f>$B$7</f>
        <v>51</v>
      </c>
      <c r="C34" s="4">
        <f>$C$7</f>
        <v>275</v>
      </c>
      <c r="D34" s="4">
        <f>SUM(D29,D23,D20)</f>
        <v>5108</v>
      </c>
      <c r="E34" s="49">
        <v>0</v>
      </c>
      <c r="F34" s="4">
        <f>SUM(D34)</f>
        <v>5108</v>
      </c>
      <c r="G34" s="50">
        <f>SUM(G29,G23,G20)</f>
        <v>194102</v>
      </c>
      <c r="H34" s="41">
        <f>F34/C34</f>
        <v>18.574545454545454</v>
      </c>
      <c r="I34" s="42">
        <f>G34/C34</f>
        <v>705.82545454545459</v>
      </c>
      <c r="J34" s="43">
        <f>I34/H34</f>
        <v>37.999608457321848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0.96705793260128736</v>
      </c>
      <c r="G35" s="63">
        <f>G34/G33</f>
        <v>0.91869556985990153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3E7F-C038-43B4-ACC3-B1315EDE77B4}">
  <dimension ref="A3:K46"/>
  <sheetViews>
    <sheetView topLeftCell="B1" zoomScale="120" zoomScaleNormal="120" zoomScaleSheetLayoutView="100" workbookViewId="0">
      <selection activeCell="N30" sqref="N30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44</v>
      </c>
      <c r="B3" s="140" t="s">
        <v>45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2094</v>
      </c>
      <c r="B7" s="64">
        <v>86</v>
      </c>
      <c r="C7" s="65">
        <v>440</v>
      </c>
      <c r="D7" s="4">
        <f>G7/$J$7</f>
        <v>9842.65</v>
      </c>
      <c r="E7" s="4">
        <v>0</v>
      </c>
      <c r="F7" s="4">
        <f t="shared" ref="F7" si="0">SUM(D7:E7)</f>
        <v>9842.65</v>
      </c>
      <c r="G7" s="5">
        <f>SUM(G16,G19,G22,G25,G28)</f>
        <v>393706</v>
      </c>
      <c r="H7" s="9">
        <f t="shared" ref="H7:H8" si="1">F7/C7</f>
        <v>22.369659090909089</v>
      </c>
      <c r="I7" s="11">
        <f t="shared" ref="I7:I8" si="2">G7/C7</f>
        <v>894.7863636363636</v>
      </c>
      <c r="J7" s="12">
        <v>40</v>
      </c>
      <c r="K7" s="37" t="s">
        <v>10</v>
      </c>
    </row>
    <row r="8" spans="1:11" ht="16.5" thickTop="1" thickBot="1" x14ac:dyDescent="0.25">
      <c r="A8" s="3">
        <v>2094</v>
      </c>
      <c r="B8" s="64">
        <v>86</v>
      </c>
      <c r="C8" s="65">
        <v>437</v>
      </c>
      <c r="D8" s="4">
        <f>SUM(D17,D20,D23,D26,D29)</f>
        <v>8384</v>
      </c>
      <c r="E8" s="4">
        <v>0</v>
      </c>
      <c r="F8" s="4">
        <f>SUM(D8)</f>
        <v>8384</v>
      </c>
      <c r="G8" s="5">
        <f>SUM(G17,G20,G23,G26,G29)</f>
        <v>330531</v>
      </c>
      <c r="H8" s="58">
        <f t="shared" si="1"/>
        <v>19.185354691075514</v>
      </c>
      <c r="I8" s="42">
        <f t="shared" si="2"/>
        <v>756.36384439359267</v>
      </c>
      <c r="J8" s="43">
        <f>I8/H8</f>
        <v>39.424021946564885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0.85180312212666309</v>
      </c>
      <c r="G10" s="62">
        <f t="shared" ref="G10" si="3">G8/G7</f>
        <v>0.83953762452185132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1458.6499999999996</v>
      </c>
      <c r="G12" s="47">
        <f>G7-G8</f>
        <v>63175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2094</v>
      </c>
      <c r="B16" s="3">
        <f>$B$7</f>
        <v>86</v>
      </c>
      <c r="C16" s="4">
        <f>$C$7</f>
        <v>440</v>
      </c>
      <c r="D16" s="4">
        <f>G16/$J$7</f>
        <v>462.25</v>
      </c>
      <c r="E16" s="4">
        <v>0</v>
      </c>
      <c r="F16" s="13">
        <f t="shared" ref="F16:F17" si="4">SUM(D16:E16)</f>
        <v>462.25</v>
      </c>
      <c r="G16" s="14">
        <v>18490</v>
      </c>
      <c r="H16" s="13">
        <f t="shared" ref="H16:H17" si="5">F16/C16</f>
        <v>1.0505681818181818</v>
      </c>
      <c r="I16" s="14">
        <f t="shared" ref="I16:I17" si="6">G16/C16</f>
        <v>42.022727272727273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2094</v>
      </c>
      <c r="B17" s="3">
        <f>$B$7</f>
        <v>86</v>
      </c>
      <c r="C17" s="4">
        <f>$C$7</f>
        <v>440</v>
      </c>
      <c r="D17" s="48">
        <v>123</v>
      </c>
      <c r="E17" s="48">
        <v>0</v>
      </c>
      <c r="F17" s="4">
        <f t="shared" si="4"/>
        <v>123</v>
      </c>
      <c r="G17" s="5">
        <v>7251</v>
      </c>
      <c r="H17" s="4">
        <f t="shared" si="5"/>
        <v>0.27954545454545454</v>
      </c>
      <c r="I17" s="5">
        <f t="shared" si="6"/>
        <v>16.479545454545455</v>
      </c>
      <c r="J17" s="44">
        <f>I17/H17</f>
        <v>58.951219512195124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0.26608977825851809</v>
      </c>
      <c r="G18" s="16">
        <f t="shared" ref="G18" si="7">G17/G16</f>
        <v>0.39215792320173065</v>
      </c>
      <c r="H18" s="16"/>
      <c r="I18" s="16"/>
      <c r="J18" s="16"/>
      <c r="K18" s="45"/>
    </row>
    <row r="19" spans="1:11" ht="16.5" thickTop="1" thickBot="1" x14ac:dyDescent="0.25">
      <c r="A19" s="1">
        <f>$A$7</f>
        <v>2094</v>
      </c>
      <c r="B19" s="3">
        <f>$B$7</f>
        <v>86</v>
      </c>
      <c r="C19" s="4">
        <f>$C$7</f>
        <v>440</v>
      </c>
      <c r="D19" s="4">
        <f>G19/$J$7</f>
        <v>543.125</v>
      </c>
      <c r="E19" s="4">
        <v>0</v>
      </c>
      <c r="F19" s="13">
        <f t="shared" ref="F19:F20" si="8">SUM(D19:E19)</f>
        <v>543.125</v>
      </c>
      <c r="G19" s="14">
        <v>21725</v>
      </c>
      <c r="H19" s="13">
        <f t="shared" ref="H19:H20" si="9">F19/C19</f>
        <v>1.234375</v>
      </c>
      <c r="I19" s="14">
        <f t="shared" ref="I19:I20" si="10">G19/C19</f>
        <v>49.375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2094</v>
      </c>
      <c r="B20" s="3">
        <f>$B$7</f>
        <v>86</v>
      </c>
      <c r="C20" s="4">
        <f>$C$7</f>
        <v>440</v>
      </c>
      <c r="D20" s="48">
        <v>203</v>
      </c>
      <c r="E20" s="48">
        <v>0</v>
      </c>
      <c r="F20" s="4">
        <f t="shared" si="8"/>
        <v>203</v>
      </c>
      <c r="G20" s="5">
        <v>10365</v>
      </c>
      <c r="H20" s="4">
        <f t="shared" si="9"/>
        <v>0.46136363636363636</v>
      </c>
      <c r="I20" s="5">
        <f t="shared" si="10"/>
        <v>23.556818181818183</v>
      </c>
      <c r="J20" s="44">
        <f>I20/H20</f>
        <v>51.059113300492612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0.37376294591484466</v>
      </c>
      <c r="G21" s="16">
        <f t="shared" ref="G21" si="11">G20/G19</f>
        <v>0.4771001150747986</v>
      </c>
      <c r="H21" s="16"/>
      <c r="I21" s="16"/>
      <c r="J21" s="45"/>
      <c r="K21" s="45"/>
    </row>
    <row r="22" spans="1:11" ht="16.5" thickTop="1" thickBot="1" x14ac:dyDescent="0.25">
      <c r="A22" s="1">
        <f>$A$7</f>
        <v>2094</v>
      </c>
      <c r="B22" s="3">
        <f>$B$7</f>
        <v>86</v>
      </c>
      <c r="C22" s="4">
        <f>$C$7</f>
        <v>440</v>
      </c>
      <c r="D22" s="4">
        <f>G22/$J$7</f>
        <v>5491.25</v>
      </c>
      <c r="E22" s="4">
        <v>0</v>
      </c>
      <c r="F22" s="13">
        <f>SUM(D22:E22)</f>
        <v>5491.25</v>
      </c>
      <c r="G22" s="14">
        <v>219650</v>
      </c>
      <c r="H22" s="13">
        <f>F22/C22</f>
        <v>12.480113636363637</v>
      </c>
      <c r="I22" s="14">
        <f>G22/C22</f>
        <v>499.20454545454544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2094</v>
      </c>
      <c r="B23" s="3">
        <f>$B$7</f>
        <v>86</v>
      </c>
      <c r="C23" s="4">
        <f>$C$7</f>
        <v>440</v>
      </c>
      <c r="D23" s="48">
        <v>5687</v>
      </c>
      <c r="E23" s="48">
        <v>0</v>
      </c>
      <c r="F23" s="4">
        <f>SUM(D23:E23)</f>
        <v>5687</v>
      </c>
      <c r="G23" s="5">
        <v>214316</v>
      </c>
      <c r="H23" s="4">
        <f>F23/C23</f>
        <v>12.925000000000001</v>
      </c>
      <c r="I23" s="5">
        <f>G23/C23</f>
        <v>487.08181818181816</v>
      </c>
      <c r="J23" s="44">
        <f>I23/H23</f>
        <v>37.685247054686123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1.0356476212155703</v>
      </c>
      <c r="G24" s="16">
        <f t="shared" ref="G24" si="12">G23/G22</f>
        <v>0.97571591167766902</v>
      </c>
      <c r="H24" s="16"/>
      <c r="I24" s="16"/>
      <c r="J24" s="17"/>
      <c r="K24" s="17"/>
    </row>
    <row r="25" spans="1:11" ht="16.5" thickTop="1" thickBot="1" x14ac:dyDescent="0.25">
      <c r="A25" s="1">
        <f>$A$7</f>
        <v>2094</v>
      </c>
      <c r="B25" s="3">
        <f>$B$7</f>
        <v>86</v>
      </c>
      <c r="C25" s="4">
        <f>C8</f>
        <v>437</v>
      </c>
      <c r="D25" s="4">
        <f>G25/$J$7</f>
        <v>914.27499999999998</v>
      </c>
      <c r="E25" s="4">
        <v>0</v>
      </c>
      <c r="F25" s="13">
        <f>SUM(D25:E25)</f>
        <v>914.27499999999998</v>
      </c>
      <c r="G25" s="14">
        <v>36571</v>
      </c>
      <c r="H25" s="13">
        <f>F25/C25</f>
        <v>2.0921624713958811</v>
      </c>
      <c r="I25" s="14">
        <f>G25/C25</f>
        <v>83.686498855835239</v>
      </c>
      <c r="J25" s="6">
        <f>I25/H25</f>
        <v>40</v>
      </c>
      <c r="K25" s="27" t="s">
        <v>10</v>
      </c>
    </row>
    <row r="26" spans="1:11" ht="16.5" thickTop="1" thickBot="1" x14ac:dyDescent="0.25">
      <c r="A26" s="1">
        <f>$A$7</f>
        <v>2094</v>
      </c>
      <c r="B26" s="3">
        <f>$B$7</f>
        <v>86</v>
      </c>
      <c r="C26" s="4">
        <f>C25</f>
        <v>437</v>
      </c>
      <c r="D26" s="48">
        <v>778</v>
      </c>
      <c r="E26" s="48">
        <v>0</v>
      </c>
      <c r="F26" s="4">
        <f>SUM(D26:E26)</f>
        <v>778</v>
      </c>
      <c r="G26" s="5">
        <v>30569</v>
      </c>
      <c r="H26" s="4">
        <f>F26/C26</f>
        <v>1.7803203661327232</v>
      </c>
      <c r="I26" s="5">
        <f>G26/C26</f>
        <v>69.951945080091534</v>
      </c>
      <c r="J26" s="44">
        <f>I26/H26</f>
        <v>39.291773778920309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0.85094747204068799</v>
      </c>
      <c r="G27" s="16">
        <f t="shared" ref="G27" si="13">G26/G25</f>
        <v>0.8358808892291707</v>
      </c>
      <c r="H27" s="16"/>
      <c r="I27" s="16"/>
      <c r="J27" s="17"/>
      <c r="K27" s="17"/>
    </row>
    <row r="28" spans="1:11" ht="16.5" thickTop="1" thickBot="1" x14ac:dyDescent="0.25">
      <c r="A28" s="1">
        <f>$A$7</f>
        <v>2094</v>
      </c>
      <c r="B28" s="3">
        <f>$B$7</f>
        <v>86</v>
      </c>
      <c r="C28" s="4">
        <f>$C$7</f>
        <v>440</v>
      </c>
      <c r="D28" s="4">
        <f>G28/$J$7</f>
        <v>2431.75</v>
      </c>
      <c r="E28" s="4">
        <v>0</v>
      </c>
      <c r="F28" s="13">
        <f>SUM(D28:E28)</f>
        <v>2431.75</v>
      </c>
      <c r="G28" s="14">
        <v>97270</v>
      </c>
      <c r="H28" s="13">
        <f>F28/C28</f>
        <v>5.5267045454545451</v>
      </c>
      <c r="I28" s="14">
        <f>G28/C28</f>
        <v>221.06818181818181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2094</v>
      </c>
      <c r="B29" s="3">
        <f>$B$7</f>
        <v>86</v>
      </c>
      <c r="C29" s="4">
        <f>$C$7</f>
        <v>440</v>
      </c>
      <c r="D29" s="48">
        <v>1593</v>
      </c>
      <c r="E29" s="48">
        <v>0</v>
      </c>
      <c r="F29" s="4">
        <f>SUM(D29:E29)</f>
        <v>1593</v>
      </c>
      <c r="G29" s="5">
        <v>68030</v>
      </c>
      <c r="H29" s="4">
        <f>F29/C29</f>
        <v>3.6204545454545456</v>
      </c>
      <c r="I29" s="5">
        <f>G29/C29</f>
        <v>154.61363636363637</v>
      </c>
      <c r="J29" s="44">
        <f>I29/H29</f>
        <v>42.70558694287508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0.65508378739590833</v>
      </c>
      <c r="G30" s="16">
        <f t="shared" ref="G30" si="14">G29/G28</f>
        <v>0.69939344093759637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2094</v>
      </c>
      <c r="B33" s="3">
        <f>$B$7</f>
        <v>86</v>
      </c>
      <c r="C33" s="4">
        <f>$C$7</f>
        <v>440</v>
      </c>
      <c r="D33" s="13">
        <f>SUM(D28,D22,D19)</f>
        <v>8466.125</v>
      </c>
      <c r="E33" s="13">
        <v>0</v>
      </c>
      <c r="F33" s="13">
        <f t="shared" ref="F33" si="15">SUM(D33:E33)</f>
        <v>8466.125</v>
      </c>
      <c r="G33" s="14">
        <f>SUM(G28,G22,G19)</f>
        <v>338645</v>
      </c>
      <c r="H33" s="34">
        <f t="shared" ref="H33:H34" si="16">F33/C33</f>
        <v>19.241193181818183</v>
      </c>
      <c r="I33" s="39">
        <f t="shared" ref="I33:I34" si="17">G33/C33</f>
        <v>769.64772727272725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2094</v>
      </c>
      <c r="B34" s="3">
        <f>$B$7</f>
        <v>86</v>
      </c>
      <c r="C34" s="4">
        <f>$C$7</f>
        <v>440</v>
      </c>
      <c r="D34" s="4">
        <f>SUM(D29,D23,D20)</f>
        <v>7483</v>
      </c>
      <c r="E34" s="49">
        <v>0</v>
      </c>
      <c r="F34" s="4">
        <f>SUM(D34)</f>
        <v>7483</v>
      </c>
      <c r="G34" s="50">
        <f>SUM(G29,G23,G20)</f>
        <v>292711</v>
      </c>
      <c r="H34" s="41">
        <f t="shared" si="16"/>
        <v>17.006818181818183</v>
      </c>
      <c r="I34" s="42">
        <f t="shared" si="17"/>
        <v>665.25227272727273</v>
      </c>
      <c r="J34" s="43">
        <f>I34/H34</f>
        <v>39.116798075638108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0.88387544478731417</v>
      </c>
      <c r="G35" s="63">
        <f t="shared" ref="G35" si="18">G34/G33</f>
        <v>0.86435943244400482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9C1D-AA8D-4A7A-B37A-E6662B0CF5B2}">
  <sheetPr>
    <tabColor theme="4" tint="0.79998168889431442"/>
  </sheetPr>
  <dimension ref="A3:K46"/>
  <sheetViews>
    <sheetView zoomScale="120" zoomScaleNormal="120" zoomScaleSheetLayoutView="100" workbookViewId="0">
      <selection activeCell="X40" sqref="X40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54</v>
      </c>
      <c r="B3" s="38" t="s">
        <v>53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2101</v>
      </c>
      <c r="B7" s="64">
        <v>1</v>
      </c>
      <c r="C7" s="65">
        <v>1</v>
      </c>
      <c r="D7" s="4">
        <f>G7/$J$7</f>
        <v>1768</v>
      </c>
      <c r="E7" s="4">
        <v>0</v>
      </c>
      <c r="F7" s="4">
        <f>SUM(D7:E7)</f>
        <v>1768</v>
      </c>
      <c r="G7" s="5">
        <f>SUM(G16,G19,G22,G25,G28)</f>
        <v>61880</v>
      </c>
      <c r="H7" s="9">
        <f>F7/C7</f>
        <v>1768</v>
      </c>
      <c r="I7" s="11">
        <f>G7/C7</f>
        <v>61880</v>
      </c>
      <c r="J7" s="12">
        <v>35</v>
      </c>
      <c r="K7" s="37" t="s">
        <v>10</v>
      </c>
    </row>
    <row r="8" spans="1:11" ht="16.5" thickTop="1" thickBot="1" x14ac:dyDescent="0.25">
      <c r="A8" s="3">
        <v>2101</v>
      </c>
      <c r="B8" s="64">
        <v>1</v>
      </c>
      <c r="C8" s="65">
        <v>1</v>
      </c>
      <c r="D8" s="4">
        <f>SUM(D17,D20,D23,D26,D29)</f>
        <v>873</v>
      </c>
      <c r="E8" s="4">
        <v>0</v>
      </c>
      <c r="F8" s="4">
        <f>SUM(D8)</f>
        <v>873</v>
      </c>
      <c r="G8" s="5">
        <f>SUM(G17,G20,G23,G26,G29)</f>
        <v>38555</v>
      </c>
      <c r="H8" s="58">
        <f>F8/C8</f>
        <v>873</v>
      </c>
      <c r="I8" s="42">
        <f>G8/C8</f>
        <v>38555</v>
      </c>
      <c r="J8" s="43">
        <f>I8/H8</f>
        <v>44.163802978235971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0.49377828054298645</v>
      </c>
      <c r="G10" s="62">
        <f>G8/G7</f>
        <v>0.62306076276664513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895</v>
      </c>
      <c r="G12" s="47">
        <f>G7-G8</f>
        <v>23325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2101</v>
      </c>
      <c r="B16" s="3">
        <f>$B$7</f>
        <v>1</v>
      </c>
      <c r="C16" s="4">
        <f>$C$7</f>
        <v>1</v>
      </c>
      <c r="D16" s="4">
        <f>G16/$J$7</f>
        <v>125.71428571428571</v>
      </c>
      <c r="E16" s="4">
        <v>0</v>
      </c>
      <c r="F16" s="13">
        <f>SUM(D16:E16)</f>
        <v>125.71428571428571</v>
      </c>
      <c r="G16" s="14">
        <v>4400</v>
      </c>
      <c r="H16" s="13">
        <f>F16/C16</f>
        <v>125.71428571428571</v>
      </c>
      <c r="I16" s="14">
        <f>G16/C16</f>
        <v>4400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2101</v>
      </c>
      <c r="B17" s="3">
        <f>$B$7</f>
        <v>1</v>
      </c>
      <c r="C17" s="4">
        <f>$C$7</f>
        <v>1</v>
      </c>
      <c r="D17" s="48">
        <v>14</v>
      </c>
      <c r="E17" s="48">
        <v>0</v>
      </c>
      <c r="F17" s="4">
        <f>SUM(D17:E17)</f>
        <v>14</v>
      </c>
      <c r="G17" s="5">
        <v>963</v>
      </c>
      <c r="H17" s="4">
        <f>F17/C17</f>
        <v>14</v>
      </c>
      <c r="I17" s="5">
        <f>G17/C17</f>
        <v>963</v>
      </c>
      <c r="J17" s="44">
        <f>I17/H17</f>
        <v>68.785714285714292</v>
      </c>
      <c r="K17" s="37" t="s">
        <v>11</v>
      </c>
    </row>
    <row r="18" spans="1:11" ht="17.25" thickTop="1" thickBot="1" x14ac:dyDescent="0.3">
      <c r="A18" s="144"/>
      <c r="B18" s="145"/>
      <c r="C18" s="145"/>
      <c r="D18" s="145"/>
      <c r="E18" s="147"/>
      <c r="F18" s="15">
        <f>F17/F16</f>
        <v>0.11136363636363637</v>
      </c>
      <c r="G18" s="16">
        <f>G17/G16</f>
        <v>0.21886363636363637</v>
      </c>
      <c r="H18" s="16"/>
      <c r="I18" s="16"/>
      <c r="J18" s="16"/>
      <c r="K18" s="45"/>
    </row>
    <row r="19" spans="1:11" ht="16.5" thickTop="1" thickBot="1" x14ac:dyDescent="0.25">
      <c r="A19" s="1"/>
      <c r="B19" s="3"/>
      <c r="C19" s="4"/>
      <c r="D19" s="4"/>
      <c r="E19" s="4"/>
      <c r="F19" s="13"/>
      <c r="G19" s="14"/>
      <c r="H19" s="13"/>
      <c r="I19" s="14"/>
      <c r="J19" s="6"/>
      <c r="K19" s="27" t="s">
        <v>10</v>
      </c>
    </row>
    <row r="20" spans="1:11" ht="16.5" thickTop="1" thickBot="1" x14ac:dyDescent="0.25">
      <c r="A20" s="1"/>
      <c r="B20" s="3"/>
      <c r="C20" s="4"/>
      <c r="D20" s="48"/>
      <c r="E20" s="48"/>
      <c r="F20" s="4"/>
      <c r="G20" s="5"/>
      <c r="H20" s="4"/>
      <c r="I20" s="5"/>
      <c r="J20" s="44"/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/>
      <c r="G21" s="16"/>
      <c r="H21" s="16"/>
      <c r="I21" s="16"/>
      <c r="J21" s="45"/>
      <c r="K21" s="45"/>
    </row>
    <row r="22" spans="1:11" ht="16.5" thickTop="1" thickBot="1" x14ac:dyDescent="0.25">
      <c r="A22" s="1">
        <f>$A$7</f>
        <v>2101</v>
      </c>
      <c r="B22" s="3">
        <f>$B$7</f>
        <v>1</v>
      </c>
      <c r="C22" s="4">
        <f>$C$7</f>
        <v>1</v>
      </c>
      <c r="D22" s="4">
        <f>G22/$J$7</f>
        <v>1642.2857142857142</v>
      </c>
      <c r="E22" s="4">
        <v>0</v>
      </c>
      <c r="F22" s="13">
        <f>SUM(D22:E22)</f>
        <v>1642.2857142857142</v>
      </c>
      <c r="G22" s="14">
        <v>57480</v>
      </c>
      <c r="H22" s="13">
        <f>F22/C22</f>
        <v>1642.2857142857142</v>
      </c>
      <c r="I22" s="14">
        <f>G22/C22</f>
        <v>57480</v>
      </c>
      <c r="J22" s="6">
        <v>40</v>
      </c>
      <c r="K22" s="27" t="s">
        <v>10</v>
      </c>
    </row>
    <row r="23" spans="1:11" ht="16.5" thickTop="1" thickBot="1" x14ac:dyDescent="0.25">
      <c r="A23" s="1">
        <f>$A$7</f>
        <v>2101</v>
      </c>
      <c r="B23" s="3">
        <f>$B$7</f>
        <v>1</v>
      </c>
      <c r="C23" s="4">
        <f>$C$7</f>
        <v>1</v>
      </c>
      <c r="D23" s="48">
        <v>859</v>
      </c>
      <c r="E23" s="48">
        <v>0</v>
      </c>
      <c r="F23" s="4">
        <f>SUM(D23:E23)</f>
        <v>859</v>
      </c>
      <c r="G23" s="5">
        <v>37592</v>
      </c>
      <c r="H23" s="4">
        <f>F23/C23</f>
        <v>859</v>
      </c>
      <c r="I23" s="5">
        <v>17411</v>
      </c>
      <c r="J23" s="44">
        <f>I23/H23</f>
        <v>20.268917345750872</v>
      </c>
      <c r="K23" s="37" t="s">
        <v>11</v>
      </c>
    </row>
    <row r="24" spans="1:11" ht="17.25" customHeight="1" thickTop="1" thickBot="1" x14ac:dyDescent="0.25">
      <c r="A24" s="144"/>
      <c r="B24" s="145"/>
      <c r="C24" s="145"/>
      <c r="D24" s="145"/>
      <c r="E24" s="146"/>
      <c r="F24" s="15">
        <f>F23/F22</f>
        <v>0.52305149617258184</v>
      </c>
      <c r="G24" s="16">
        <f>G23/G22</f>
        <v>0.65400139178844818</v>
      </c>
      <c r="H24" s="16"/>
      <c r="I24" s="16"/>
      <c r="J24" s="17"/>
      <c r="K24" s="17"/>
    </row>
    <row r="25" spans="1:11" ht="16.5" thickTop="1" thickBot="1" x14ac:dyDescent="0.25">
      <c r="A25" s="1"/>
      <c r="B25" s="3"/>
      <c r="C25" s="4"/>
      <c r="D25" s="4"/>
      <c r="E25" s="4"/>
      <c r="F25" s="13"/>
      <c r="G25" s="14"/>
      <c r="H25" s="13"/>
      <c r="I25" s="14"/>
      <c r="J25" s="6"/>
      <c r="K25" s="27" t="s">
        <v>10</v>
      </c>
    </row>
    <row r="26" spans="1:11" ht="16.5" thickTop="1" thickBot="1" x14ac:dyDescent="0.25">
      <c r="A26" s="1"/>
      <c r="B26" s="3"/>
      <c r="C26" s="4"/>
      <c r="D26" s="48"/>
      <c r="E26" s="48"/>
      <c r="F26" s="4"/>
      <c r="G26" s="5"/>
      <c r="H26" s="4"/>
      <c r="I26" s="5"/>
      <c r="J26" s="44"/>
      <c r="K26" s="37" t="s">
        <v>11</v>
      </c>
    </row>
    <row r="27" spans="1:11" ht="17.25" customHeight="1" thickTop="1" thickBot="1" x14ac:dyDescent="0.25">
      <c r="A27" s="144"/>
      <c r="B27" s="145"/>
      <c r="C27" s="145"/>
      <c r="D27" s="145"/>
      <c r="E27" s="146"/>
      <c r="F27" s="19"/>
      <c r="G27" s="16"/>
      <c r="H27" s="16"/>
      <c r="I27" s="16"/>
      <c r="J27" s="17"/>
      <c r="K27" s="17"/>
    </row>
    <row r="28" spans="1:11" ht="16.5" thickTop="1" thickBot="1" x14ac:dyDescent="0.25">
      <c r="A28" s="1"/>
      <c r="B28" s="3"/>
      <c r="C28" s="4"/>
      <c r="D28" s="4"/>
      <c r="E28" s="4"/>
      <c r="F28" s="13"/>
      <c r="G28" s="14"/>
      <c r="H28" s="13"/>
      <c r="I28" s="14"/>
      <c r="J28" s="6"/>
      <c r="K28" s="27" t="s">
        <v>10</v>
      </c>
    </row>
    <row r="29" spans="1:11" ht="16.5" thickTop="1" thickBot="1" x14ac:dyDescent="0.25">
      <c r="A29" s="1"/>
      <c r="B29" s="3"/>
      <c r="C29" s="4"/>
      <c r="D29" s="48"/>
      <c r="E29" s="48"/>
      <c r="F29" s="4"/>
      <c r="G29" s="5"/>
      <c r="H29" s="4"/>
      <c r="I29" s="5"/>
      <c r="J29" s="44"/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/>
      <c r="G30" s="16"/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2101</v>
      </c>
      <c r="B33" s="3">
        <f>$B$7</f>
        <v>1</v>
      </c>
      <c r="C33" s="4">
        <f>$C$7</f>
        <v>1</v>
      </c>
      <c r="D33" s="13">
        <f>SUM(D28,D22,D19)</f>
        <v>1642.2857142857142</v>
      </c>
      <c r="E33" s="13">
        <v>0</v>
      </c>
      <c r="F33" s="13">
        <f>SUM(D33:E33)</f>
        <v>1642.2857142857142</v>
      </c>
      <c r="G33" s="14">
        <f>SUM(G28,G22,G19)</f>
        <v>57480</v>
      </c>
      <c r="H33" s="34">
        <f>F33/C33</f>
        <v>1642.2857142857142</v>
      </c>
      <c r="I33" s="39">
        <f>G33/C33</f>
        <v>57480</v>
      </c>
      <c r="J33" s="12">
        <f>I33/H33</f>
        <v>35</v>
      </c>
      <c r="K33" s="35" t="s">
        <v>10</v>
      </c>
    </row>
    <row r="34" spans="1:11" ht="17.25" thickTop="1" thickBot="1" x14ac:dyDescent="0.25">
      <c r="A34" s="53">
        <f>$A$7</f>
        <v>2101</v>
      </c>
      <c r="B34" s="3">
        <f>$B$7</f>
        <v>1</v>
      </c>
      <c r="C34" s="4">
        <f>$C$7</f>
        <v>1</v>
      </c>
      <c r="D34" s="4">
        <f>SUM(D29,D23,D20)</f>
        <v>859</v>
      </c>
      <c r="E34" s="49">
        <v>0</v>
      </c>
      <c r="F34" s="4">
        <f>SUM(D34)</f>
        <v>859</v>
      </c>
      <c r="G34" s="50">
        <f>SUM(G29,G23,G20)</f>
        <v>37592</v>
      </c>
      <c r="H34" s="41">
        <f>F34/C34</f>
        <v>859</v>
      </c>
      <c r="I34" s="42">
        <f>G34/C34</f>
        <v>37592</v>
      </c>
      <c r="J34" s="43">
        <f>I34/H34</f>
        <v>43.762514551804422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0.52305149617258184</v>
      </c>
      <c r="G35" s="63">
        <f>G34/G33</f>
        <v>0.65400139178844818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CA6B-1681-4178-A0E0-014CD669E7CD}">
  <sheetPr>
    <tabColor theme="9" tint="0.79998168889431442"/>
  </sheetPr>
  <dimension ref="A3:AB107"/>
  <sheetViews>
    <sheetView topLeftCell="A8" zoomScale="140" zoomScaleNormal="140" zoomScaleSheetLayoutView="100" workbookViewId="0">
      <selection activeCell="A44" sqref="A44:K44"/>
    </sheetView>
  </sheetViews>
  <sheetFormatPr defaultRowHeight="12.75" x14ac:dyDescent="0.2"/>
  <cols>
    <col min="1" max="4" width="12.7109375" customWidth="1"/>
    <col min="5" max="5" width="10.140625" customWidth="1"/>
    <col min="6" max="11" width="12.7109375" customWidth="1"/>
  </cols>
  <sheetData>
    <row r="3" spans="1:11" x14ac:dyDescent="0.2">
      <c r="A3" s="38" t="s">
        <v>69</v>
      </c>
      <c r="B3" t="s">
        <v>68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47.2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2097</v>
      </c>
      <c r="B7" s="64">
        <v>228</v>
      </c>
      <c r="C7" s="4">
        <f>SUM(C20,C23,C26,C29,C32,C35,C38,C41)</f>
        <v>1971</v>
      </c>
      <c r="D7" s="4">
        <f>G7/$J$7</f>
        <v>34572.75</v>
      </c>
      <c r="E7" s="4">
        <v>0</v>
      </c>
      <c r="F7" s="4">
        <f>SUM(D7:E7)</f>
        <v>34572.75</v>
      </c>
      <c r="G7" s="5">
        <f>SUM(G16,G20,G23,G26,G29,G32,G35,G38,G41,G45,G48,G51,G54,G57,G60,G63,G66,G70,G73,G76,G79,G82,G85,G88,G91,G95)</f>
        <v>1382910</v>
      </c>
      <c r="H7" s="321">
        <f>F7/C7</f>
        <v>17.540715372907155</v>
      </c>
      <c r="I7" s="11">
        <f>G7/C7</f>
        <v>701.6286149162861</v>
      </c>
      <c r="J7" s="12">
        <v>40</v>
      </c>
      <c r="K7" s="37" t="s">
        <v>10</v>
      </c>
    </row>
    <row r="8" spans="1:11" ht="16.5" thickTop="1" thickBot="1" x14ac:dyDescent="0.25">
      <c r="A8" s="3">
        <v>2097</v>
      </c>
      <c r="B8" s="64">
        <v>228</v>
      </c>
      <c r="C8" s="4">
        <f>SUM(C70,C73,C76,C79,C82,C85,C88,C91)</f>
        <v>1850</v>
      </c>
      <c r="D8" s="4">
        <f>SUM(D17,D21,D24,D27,D30,D33,D36,D39,D42,D46,D49,D52,D55,D58,D61,D64,D67,D71,D74,D77,D80,D83,D86,D89,D92,D96)</f>
        <v>29901</v>
      </c>
      <c r="E8" s="4">
        <v>0</v>
      </c>
      <c r="F8" s="4">
        <f>SUM(D8)</f>
        <v>29901</v>
      </c>
      <c r="G8" s="50">
        <f>SUM(G17,G21,G24,G27,G30,G33,G36,G39,G42,G46,G49,G52,G55,G58,G61,G64,G67,G71,G74,G77,G80,G83,G86,G89,G92,G96)</f>
        <v>1066432</v>
      </c>
      <c r="H8" s="320">
        <f>F8/C8</f>
        <v>16.162702702702703</v>
      </c>
      <c r="I8" s="319">
        <f>G8/C8</f>
        <v>576.44972972972971</v>
      </c>
      <c r="J8" s="318">
        <f>I8/H8</f>
        <v>35.665429249857866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0.86487190055752006</v>
      </c>
      <c r="G10" s="62">
        <f>G8/G7</f>
        <v>0.77115068948810839</v>
      </c>
      <c r="H10" s="7"/>
      <c r="I10" s="7"/>
      <c r="J10" s="6"/>
      <c r="K10" s="6"/>
    </row>
    <row r="11" spans="1:11" ht="15.75" thickBot="1" x14ac:dyDescent="0.25">
      <c r="A11" s="3"/>
      <c r="B11" s="4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4671.75</v>
      </c>
      <c r="G12" s="47">
        <f>G7-G8</f>
        <v>316478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9"/>
      <c r="G14" s="11"/>
      <c r="H14" s="9"/>
      <c r="I14" s="11"/>
      <c r="J14" s="12"/>
      <c r="K14" s="12"/>
    </row>
    <row r="15" spans="1:11" ht="12.75" customHeight="1" thickTop="1" thickBot="1" x14ac:dyDescent="0.25">
      <c r="A15" s="201" t="s">
        <v>13</v>
      </c>
      <c r="B15" s="200"/>
      <c r="C15" s="200"/>
      <c r="D15" s="200"/>
      <c r="E15" s="200"/>
      <c r="F15" s="199"/>
      <c r="G15" s="199"/>
      <c r="H15" s="199"/>
      <c r="I15" s="199"/>
      <c r="J15" s="199"/>
      <c r="K15" s="198"/>
    </row>
    <row r="16" spans="1:11" ht="15.75" thickTop="1" x14ac:dyDescent="0.2">
      <c r="A16" s="197">
        <f>$A$7</f>
        <v>2097</v>
      </c>
      <c r="B16" s="196">
        <f>$B$7</f>
        <v>228</v>
      </c>
      <c r="C16" s="13">
        <f>$C$7</f>
        <v>1971</v>
      </c>
      <c r="D16" s="13">
        <f>G16/$J$7</f>
        <v>1072.5</v>
      </c>
      <c r="E16" s="13">
        <v>0</v>
      </c>
      <c r="F16" s="195">
        <f>SUM(D16:E16)</f>
        <v>1072.5</v>
      </c>
      <c r="G16" s="194">
        <v>42900</v>
      </c>
      <c r="H16" s="317">
        <f>F16/C16</f>
        <v>0.54414003044140036</v>
      </c>
      <c r="I16" s="14">
        <f>G16/C16</f>
        <v>21.765601217656013</v>
      </c>
      <c r="J16" s="174">
        <v>60</v>
      </c>
      <c r="K16" s="35" t="s">
        <v>10</v>
      </c>
    </row>
    <row r="17" spans="1:11" ht="15" x14ac:dyDescent="0.2">
      <c r="A17" s="192">
        <f>$A$7</f>
        <v>2097</v>
      </c>
      <c r="B17" s="3">
        <f>$B$7</f>
        <v>228</v>
      </c>
      <c r="C17" s="4">
        <f>$C$7</f>
        <v>1971</v>
      </c>
      <c r="D17" s="4">
        <v>467</v>
      </c>
      <c r="E17" s="4">
        <v>0</v>
      </c>
      <c r="F17" s="26">
        <f>SUM(D17:E17)</f>
        <v>467</v>
      </c>
      <c r="G17" s="316">
        <v>36663</v>
      </c>
      <c r="H17" s="315">
        <f>F17/C17</f>
        <v>0.23693556570268898</v>
      </c>
      <c r="I17" s="5">
        <f>G17/C17</f>
        <v>18.601217656012178</v>
      </c>
      <c r="J17" s="6">
        <f>I17/H17</f>
        <v>78.507494646680954</v>
      </c>
      <c r="K17" s="51" t="s">
        <v>11</v>
      </c>
    </row>
    <row r="18" spans="1:11" ht="15.75" thickBot="1" x14ac:dyDescent="0.25">
      <c r="A18" s="312"/>
      <c r="B18" s="311"/>
      <c r="C18" s="48"/>
      <c r="D18" s="48"/>
      <c r="E18" s="48"/>
      <c r="F18" s="187">
        <f>F17/F16</f>
        <v>0.43543123543123541</v>
      </c>
      <c r="G18" s="186">
        <f>G17/G16</f>
        <v>0.85461538461538467</v>
      </c>
      <c r="H18" s="157"/>
      <c r="I18" s="310"/>
      <c r="J18" s="17"/>
      <c r="K18" s="185"/>
    </row>
    <row r="19" spans="1:11" ht="17.25" thickTop="1" thickBot="1" x14ac:dyDescent="0.25">
      <c r="A19" s="201" t="s">
        <v>67</v>
      </c>
      <c r="B19" s="200"/>
      <c r="C19" s="200"/>
      <c r="D19" s="200"/>
      <c r="E19" s="200"/>
      <c r="F19" s="199"/>
      <c r="G19" s="199"/>
      <c r="H19" s="199"/>
      <c r="I19" s="199"/>
      <c r="J19" s="199"/>
      <c r="K19" s="198"/>
    </row>
    <row r="20" spans="1:11" ht="15.75" thickTop="1" x14ac:dyDescent="0.2">
      <c r="A20" s="197" t="s">
        <v>65</v>
      </c>
      <c r="B20" s="196">
        <v>1</v>
      </c>
      <c r="C20" s="13">
        <v>21</v>
      </c>
      <c r="D20" s="13">
        <f>G20/$J$7</f>
        <v>238.75</v>
      </c>
      <c r="E20" s="13">
        <v>0</v>
      </c>
      <c r="F20" s="195">
        <f>SUM(D20:E20)</f>
        <v>238.75</v>
      </c>
      <c r="G20" s="194">
        <v>9550</v>
      </c>
      <c r="H20" s="193">
        <f>F20/C20</f>
        <v>11.369047619047619</v>
      </c>
      <c r="I20" s="14">
        <f>G20/C20</f>
        <v>454.76190476190476</v>
      </c>
      <c r="J20" s="174">
        <f>J$7</f>
        <v>40</v>
      </c>
      <c r="K20" s="35" t="s">
        <v>10</v>
      </c>
    </row>
    <row r="21" spans="1:11" ht="15" x14ac:dyDescent="0.2">
      <c r="A21" s="192"/>
      <c r="B21" s="3">
        <v>1</v>
      </c>
      <c r="C21" s="4">
        <v>21</v>
      </c>
      <c r="D21" s="4">
        <v>85</v>
      </c>
      <c r="E21" s="4"/>
      <c r="F21" s="26">
        <f>SUM(D21:E21)</f>
        <v>85</v>
      </c>
      <c r="G21" s="191">
        <v>4524</v>
      </c>
      <c r="H21" s="190">
        <f>F21/C21</f>
        <v>4.0476190476190474</v>
      </c>
      <c r="I21" s="5">
        <f>G21/C21</f>
        <v>215.42857142857142</v>
      </c>
      <c r="J21" s="6">
        <f>I21/H21</f>
        <v>53.223529411764709</v>
      </c>
      <c r="K21" s="51" t="s">
        <v>11</v>
      </c>
    </row>
    <row r="22" spans="1:11" ht="15.75" thickBot="1" x14ac:dyDescent="0.25">
      <c r="A22" s="312"/>
      <c r="B22" s="311"/>
      <c r="C22" s="48"/>
      <c r="D22" s="48"/>
      <c r="E22" s="48"/>
      <c r="F22" s="187">
        <f>F21/F20</f>
        <v>0.35602094240837695</v>
      </c>
      <c r="G22" s="186">
        <f>G21/G20</f>
        <v>0.473717277486911</v>
      </c>
      <c r="H22" s="157"/>
      <c r="I22" s="48"/>
      <c r="J22" s="17"/>
      <c r="K22" s="185"/>
    </row>
    <row r="23" spans="1:11" ht="15.75" thickTop="1" x14ac:dyDescent="0.2">
      <c r="A23" s="255" t="s">
        <v>64</v>
      </c>
      <c r="B23" s="254">
        <v>36</v>
      </c>
      <c r="C23" s="253">
        <v>306</v>
      </c>
      <c r="D23" s="253">
        <f>G23/$J$7</f>
        <v>855</v>
      </c>
      <c r="E23" s="253"/>
      <c r="F23" s="252">
        <f>SUM(D23:E23)</f>
        <v>855</v>
      </c>
      <c r="G23" s="251">
        <v>34200</v>
      </c>
      <c r="H23" s="250">
        <f>F23/C23</f>
        <v>2.7941176470588234</v>
      </c>
      <c r="I23" s="249">
        <f>G23/C23</f>
        <v>111.76470588235294</v>
      </c>
      <c r="J23" s="248">
        <f>J$7</f>
        <v>40</v>
      </c>
      <c r="K23" s="247" t="s">
        <v>10</v>
      </c>
    </row>
    <row r="24" spans="1:11" ht="15" x14ac:dyDescent="0.2">
      <c r="A24" s="246"/>
      <c r="B24" s="245">
        <v>36</v>
      </c>
      <c r="C24" s="244">
        <v>306</v>
      </c>
      <c r="D24" s="244">
        <v>496</v>
      </c>
      <c r="E24" s="244"/>
      <c r="F24" s="243">
        <f>SUM(D24:E24)</f>
        <v>496</v>
      </c>
      <c r="G24" s="242">
        <v>24711</v>
      </c>
      <c r="H24" s="241">
        <f>F24/C24</f>
        <v>1.6209150326797386</v>
      </c>
      <c r="I24" s="240">
        <f>G24/C24</f>
        <v>80.754901960784309</v>
      </c>
      <c r="J24" s="239">
        <f>I24/H24</f>
        <v>49.820564516129032</v>
      </c>
      <c r="K24" s="238" t="s">
        <v>11</v>
      </c>
    </row>
    <row r="25" spans="1:11" ht="15.75" thickBot="1" x14ac:dyDescent="0.25">
      <c r="A25" s="237"/>
      <c r="B25" s="236"/>
      <c r="C25" s="235"/>
      <c r="D25" s="235"/>
      <c r="E25" s="235"/>
      <c r="F25" s="234">
        <f>F24/F23</f>
        <v>0.58011695906432748</v>
      </c>
      <c r="G25" s="233">
        <f>G24/G23</f>
        <v>0.72254385964912282</v>
      </c>
      <c r="H25" s="232"/>
      <c r="I25" s="231"/>
      <c r="J25" s="230"/>
      <c r="K25" s="229"/>
    </row>
    <row r="26" spans="1:11" ht="15.75" thickTop="1" x14ac:dyDescent="0.2">
      <c r="A26" s="309" t="s">
        <v>63</v>
      </c>
      <c r="B26" s="308">
        <v>24</v>
      </c>
      <c r="C26" s="307">
        <v>229</v>
      </c>
      <c r="D26" s="307">
        <f>G26/$J$7</f>
        <v>627</v>
      </c>
      <c r="E26" s="307"/>
      <c r="F26" s="306">
        <f>SUM(D26:E26)</f>
        <v>627</v>
      </c>
      <c r="G26" s="305">
        <v>25080</v>
      </c>
      <c r="H26" s="304">
        <f>F26/C26</f>
        <v>2.7379912663755457</v>
      </c>
      <c r="I26" s="303">
        <f>G26/C26</f>
        <v>109.51965065502183</v>
      </c>
      <c r="J26" s="302">
        <f>J$7</f>
        <v>40</v>
      </c>
      <c r="K26" s="301" t="s">
        <v>10</v>
      </c>
    </row>
    <row r="27" spans="1:11" ht="15" x14ac:dyDescent="0.2">
      <c r="A27" s="300"/>
      <c r="B27" s="299">
        <v>24</v>
      </c>
      <c r="C27" s="298">
        <v>229</v>
      </c>
      <c r="D27" s="298">
        <v>282</v>
      </c>
      <c r="E27" s="298"/>
      <c r="F27" s="297">
        <f>SUM(D27:E27)</f>
        <v>282</v>
      </c>
      <c r="G27" s="296">
        <v>13174</v>
      </c>
      <c r="H27" s="295">
        <f>F27/C27</f>
        <v>1.2314410480349345</v>
      </c>
      <c r="I27" s="294">
        <f>G27/C27</f>
        <v>57.528384279475979</v>
      </c>
      <c r="J27" s="293">
        <f>I27/H27</f>
        <v>46.716312056737586</v>
      </c>
      <c r="K27" s="292" t="s">
        <v>11</v>
      </c>
    </row>
    <row r="28" spans="1:11" ht="15.75" thickBot="1" x14ac:dyDescent="0.25">
      <c r="A28" s="291"/>
      <c r="B28" s="290"/>
      <c r="C28" s="289"/>
      <c r="D28" s="289"/>
      <c r="E28" s="289"/>
      <c r="F28" s="288">
        <f>F27/F26</f>
        <v>0.44976076555023925</v>
      </c>
      <c r="G28" s="287">
        <f>G27/G26</f>
        <v>0.52527910685805423</v>
      </c>
      <c r="H28" s="286"/>
      <c r="I28" s="285"/>
      <c r="J28" s="284"/>
      <c r="K28" s="283"/>
    </row>
    <row r="29" spans="1:11" ht="15.75" thickTop="1" x14ac:dyDescent="0.2">
      <c r="A29" s="282" t="s">
        <v>62</v>
      </c>
      <c r="B29" s="281">
        <v>24</v>
      </c>
      <c r="C29" s="280">
        <v>205</v>
      </c>
      <c r="D29" s="280">
        <f>G29/$J$7</f>
        <v>570</v>
      </c>
      <c r="E29" s="280"/>
      <c r="F29" s="279">
        <f>SUM(D29:E29)</f>
        <v>570</v>
      </c>
      <c r="G29" s="278">
        <v>22800</v>
      </c>
      <c r="H29" s="277">
        <f>F29/C29</f>
        <v>2.7804878048780486</v>
      </c>
      <c r="I29" s="276">
        <f>G29/C29</f>
        <v>111.21951219512195</v>
      </c>
      <c r="J29" s="275">
        <f>J$7</f>
        <v>40</v>
      </c>
      <c r="K29" s="274" t="s">
        <v>10</v>
      </c>
    </row>
    <row r="30" spans="1:11" ht="15" x14ac:dyDescent="0.2">
      <c r="A30" s="273"/>
      <c r="B30" s="272">
        <v>24</v>
      </c>
      <c r="C30" s="271">
        <v>205</v>
      </c>
      <c r="D30" s="271">
        <v>268</v>
      </c>
      <c r="E30" s="271"/>
      <c r="F30" s="270">
        <f>SUM(D30:E30)</f>
        <v>268</v>
      </c>
      <c r="G30" s="269">
        <v>11603</v>
      </c>
      <c r="H30" s="268">
        <f>F30/C30</f>
        <v>1.3073170731707318</v>
      </c>
      <c r="I30" s="267">
        <f>G30/C30</f>
        <v>56.6</v>
      </c>
      <c r="J30" s="266">
        <f>I30/H30</f>
        <v>43.294776119402982</v>
      </c>
      <c r="K30" s="265" t="s">
        <v>11</v>
      </c>
    </row>
    <row r="31" spans="1:11" ht="15.75" thickBot="1" x14ac:dyDescent="0.25">
      <c r="A31" s="264"/>
      <c r="B31" s="263"/>
      <c r="C31" s="262"/>
      <c r="D31" s="262"/>
      <c r="E31" s="262"/>
      <c r="F31" s="261">
        <f>F30/F29</f>
        <v>0.47017543859649125</v>
      </c>
      <c r="G31" s="260">
        <f>G30/G29</f>
        <v>0.5089035087719298</v>
      </c>
      <c r="H31" s="259"/>
      <c r="I31" s="258"/>
      <c r="J31" s="257"/>
      <c r="K31" s="256"/>
    </row>
    <row r="32" spans="1:11" ht="15.75" thickTop="1" x14ac:dyDescent="0.2">
      <c r="A32" s="255" t="s">
        <v>61</v>
      </c>
      <c r="B32" s="254">
        <v>36</v>
      </c>
      <c r="C32" s="253">
        <v>306</v>
      </c>
      <c r="D32" s="253">
        <f>G32/$J$7</f>
        <v>855</v>
      </c>
      <c r="E32" s="253"/>
      <c r="F32" s="252">
        <f>SUM(D32:E32)</f>
        <v>855</v>
      </c>
      <c r="G32" s="251">
        <v>34200</v>
      </c>
      <c r="H32" s="250">
        <f>F32/C32</f>
        <v>2.7941176470588234</v>
      </c>
      <c r="I32" s="249">
        <f>G32/C32</f>
        <v>111.76470588235294</v>
      </c>
      <c r="J32" s="174">
        <f>J$7</f>
        <v>40</v>
      </c>
      <c r="K32" s="247" t="s">
        <v>10</v>
      </c>
    </row>
    <row r="33" spans="1:26" ht="15" x14ac:dyDescent="0.2">
      <c r="A33" s="246"/>
      <c r="B33" s="245">
        <v>36</v>
      </c>
      <c r="C33" s="244">
        <v>306</v>
      </c>
      <c r="D33" s="244">
        <v>338</v>
      </c>
      <c r="E33" s="244"/>
      <c r="F33" s="243">
        <f>SUM(D33:E33)</f>
        <v>338</v>
      </c>
      <c r="G33" s="242">
        <v>13842</v>
      </c>
      <c r="H33" s="241">
        <f>F33/C33</f>
        <v>1.1045751633986929</v>
      </c>
      <c r="I33" s="240">
        <f>G33/C33</f>
        <v>45.235294117647058</v>
      </c>
      <c r="J33" s="239">
        <f>I33/H33</f>
        <v>40.952662721893489</v>
      </c>
      <c r="K33" s="238" t="s">
        <v>11</v>
      </c>
    </row>
    <row r="34" spans="1:26" ht="15.75" thickBot="1" x14ac:dyDescent="0.25">
      <c r="A34" s="237"/>
      <c r="B34" s="236"/>
      <c r="C34" s="235"/>
      <c r="D34" s="235"/>
      <c r="E34" s="235"/>
      <c r="F34" s="234">
        <f>F33/F32</f>
        <v>0.39532163742690057</v>
      </c>
      <c r="G34" s="233">
        <f>G33/G32</f>
        <v>0.40473684210526317</v>
      </c>
      <c r="H34" s="232"/>
      <c r="I34" s="231"/>
      <c r="J34" s="230"/>
      <c r="K34" s="229"/>
    </row>
    <row r="35" spans="1:26" ht="15.75" thickTop="1" x14ac:dyDescent="0.2">
      <c r="A35" s="228" t="s">
        <v>60</v>
      </c>
      <c r="B35" s="227">
        <v>36</v>
      </c>
      <c r="C35" s="226">
        <v>299</v>
      </c>
      <c r="D35" s="226">
        <f>G35/$J$7</f>
        <v>838.375</v>
      </c>
      <c r="E35" s="226"/>
      <c r="F35" s="225">
        <f>SUM(D35:E35)</f>
        <v>838.375</v>
      </c>
      <c r="G35" s="224">
        <v>33535</v>
      </c>
      <c r="H35" s="223">
        <f>F35/C35</f>
        <v>2.8039297658862878</v>
      </c>
      <c r="I35" s="222">
        <f>G35/C35</f>
        <v>112.1571906354515</v>
      </c>
      <c r="J35" s="221">
        <f>J$7</f>
        <v>40</v>
      </c>
      <c r="K35" s="220" t="s">
        <v>10</v>
      </c>
    </row>
    <row r="36" spans="1:26" ht="15" x14ac:dyDescent="0.2">
      <c r="A36" s="219"/>
      <c r="B36" s="218">
        <v>36</v>
      </c>
      <c r="C36" s="217">
        <v>299</v>
      </c>
      <c r="D36" s="217">
        <v>296</v>
      </c>
      <c r="E36" s="217"/>
      <c r="F36" s="216">
        <f>SUM(D36:E36)</f>
        <v>296</v>
      </c>
      <c r="G36" s="215">
        <v>11577</v>
      </c>
      <c r="H36" s="214">
        <f>F36/C36</f>
        <v>0.98996655518394649</v>
      </c>
      <c r="I36" s="213">
        <f>G36/C36</f>
        <v>38.719063545150505</v>
      </c>
      <c r="J36" s="212">
        <f>I36/H36</f>
        <v>39.111486486486491</v>
      </c>
      <c r="K36" s="211" t="s">
        <v>11</v>
      </c>
    </row>
    <row r="37" spans="1:26" ht="17.25" customHeight="1" thickBot="1" x14ac:dyDescent="0.25">
      <c r="A37" s="210"/>
      <c r="B37" s="209"/>
      <c r="C37" s="208"/>
      <c r="D37" s="208"/>
      <c r="E37" s="208"/>
      <c r="F37" s="207">
        <f>F36/F35</f>
        <v>0.35306396302370657</v>
      </c>
      <c r="G37" s="206">
        <f>G36/G35</f>
        <v>0.34522141046667659</v>
      </c>
      <c r="H37" s="205"/>
      <c r="I37" s="204"/>
      <c r="J37" s="203"/>
      <c r="K37" s="202"/>
      <c r="X37" s="29"/>
      <c r="Y37" s="60"/>
      <c r="Z37" s="28"/>
    </row>
    <row r="38" spans="1:26" ht="15.75" thickTop="1" x14ac:dyDescent="0.2">
      <c r="A38" s="255" t="s">
        <v>59</v>
      </c>
      <c r="B38" s="254">
        <v>36</v>
      </c>
      <c r="C38" s="253">
        <v>306</v>
      </c>
      <c r="D38" s="253">
        <f>G38/$J$7</f>
        <v>855</v>
      </c>
      <c r="E38" s="253"/>
      <c r="F38" s="252">
        <f>SUM(D38:E38)</f>
        <v>855</v>
      </c>
      <c r="G38" s="251">
        <v>34200</v>
      </c>
      <c r="H38" s="250">
        <f>F38/C38</f>
        <v>2.7941176470588234</v>
      </c>
      <c r="I38" s="249">
        <f>G38/C38</f>
        <v>111.76470588235294</v>
      </c>
      <c r="J38" s="248">
        <f>J$7</f>
        <v>40</v>
      </c>
      <c r="K38" s="247" t="s">
        <v>10</v>
      </c>
    </row>
    <row r="39" spans="1:26" ht="15" x14ac:dyDescent="0.2">
      <c r="A39" s="246"/>
      <c r="B39" s="245">
        <v>36</v>
      </c>
      <c r="C39" s="244">
        <v>306</v>
      </c>
      <c r="D39" s="244">
        <v>283</v>
      </c>
      <c r="E39" s="244"/>
      <c r="F39" s="243">
        <f>SUM(D39:E39)</f>
        <v>283</v>
      </c>
      <c r="G39" s="242">
        <v>9978</v>
      </c>
      <c r="H39" s="241">
        <f>F39/C39</f>
        <v>0.92483660130718959</v>
      </c>
      <c r="I39" s="240">
        <f>G39/C39</f>
        <v>32.607843137254903</v>
      </c>
      <c r="J39" s="239">
        <f>I39/H39</f>
        <v>35.257950530035338</v>
      </c>
      <c r="K39" s="238" t="s">
        <v>11</v>
      </c>
    </row>
    <row r="40" spans="1:26" ht="15.75" thickBot="1" x14ac:dyDescent="0.25">
      <c r="A40" s="237"/>
      <c r="B40" s="236"/>
      <c r="C40" s="235"/>
      <c r="D40" s="235"/>
      <c r="E40" s="235"/>
      <c r="F40" s="234">
        <f>F39/F38</f>
        <v>0.33099415204678362</v>
      </c>
      <c r="G40" s="233">
        <f>G39/G38</f>
        <v>0.29175438596491227</v>
      </c>
      <c r="H40" s="232"/>
      <c r="I40" s="231"/>
      <c r="J40" s="230"/>
      <c r="K40" s="229"/>
    </row>
    <row r="41" spans="1:26" ht="15.75" thickTop="1" x14ac:dyDescent="0.2">
      <c r="A41" s="228" t="s">
        <v>58</v>
      </c>
      <c r="B41" s="227">
        <v>36</v>
      </c>
      <c r="C41" s="226">
        <v>299</v>
      </c>
      <c r="D41" s="226">
        <f>G41/$J$7</f>
        <v>838.375</v>
      </c>
      <c r="E41" s="226"/>
      <c r="F41" s="225">
        <f>SUM(D41:E41)</f>
        <v>838.375</v>
      </c>
      <c r="G41" s="224">
        <v>33535</v>
      </c>
      <c r="H41" s="223">
        <f>F41/C41</f>
        <v>2.8039297658862878</v>
      </c>
      <c r="I41" s="222">
        <f>G41/C41</f>
        <v>112.1571906354515</v>
      </c>
      <c r="J41" s="221">
        <f>J$7</f>
        <v>40</v>
      </c>
      <c r="K41" s="220" t="s">
        <v>10</v>
      </c>
    </row>
    <row r="42" spans="1:26" ht="15" x14ac:dyDescent="0.2">
      <c r="A42" s="219"/>
      <c r="B42" s="218">
        <v>36</v>
      </c>
      <c r="C42" s="217">
        <v>299</v>
      </c>
      <c r="D42" s="217">
        <v>290</v>
      </c>
      <c r="E42" s="217"/>
      <c r="F42" s="216">
        <f>SUM(D42:E42)</f>
        <v>290</v>
      </c>
      <c r="G42" s="215">
        <v>12663</v>
      </c>
      <c r="H42" s="214">
        <f>F42/C42</f>
        <v>0.96989966555183948</v>
      </c>
      <c r="I42" s="213">
        <f>G42/C42</f>
        <v>42.351170568561876</v>
      </c>
      <c r="J42" s="212">
        <f>I42/H42</f>
        <v>43.665517241379312</v>
      </c>
      <c r="K42" s="211" t="s">
        <v>11</v>
      </c>
    </row>
    <row r="43" spans="1:26" ht="15.75" thickBot="1" x14ac:dyDescent="0.25">
      <c r="A43" s="210"/>
      <c r="B43" s="209"/>
      <c r="C43" s="208"/>
      <c r="D43" s="208"/>
      <c r="E43" s="208"/>
      <c r="F43" s="207">
        <f>F42/F41</f>
        <v>0.34590726107052333</v>
      </c>
      <c r="G43" s="206">
        <f>G42/G41</f>
        <v>0.37760548680483075</v>
      </c>
      <c r="H43" s="205"/>
      <c r="I43" s="204"/>
      <c r="J43" s="203"/>
      <c r="K43" s="202"/>
    </row>
    <row r="44" spans="1:26" ht="17.25" thickTop="1" thickBot="1" x14ac:dyDescent="0.25">
      <c r="A44" s="201" t="s">
        <v>66</v>
      </c>
      <c r="B44" s="200"/>
      <c r="C44" s="200"/>
      <c r="D44" s="200"/>
      <c r="E44" s="200"/>
      <c r="F44" s="199"/>
      <c r="G44" s="199"/>
      <c r="H44" s="199"/>
      <c r="I44" s="199"/>
      <c r="J44" s="199"/>
      <c r="K44" s="198"/>
    </row>
    <row r="45" spans="1:26" ht="15.75" thickTop="1" x14ac:dyDescent="0.2">
      <c r="A45" s="197" t="s">
        <v>65</v>
      </c>
      <c r="B45" s="196">
        <v>1</v>
      </c>
      <c r="C45" s="13">
        <v>21</v>
      </c>
      <c r="D45" s="13">
        <f>G45/$J$7</f>
        <v>808.875</v>
      </c>
      <c r="E45" s="13">
        <v>0</v>
      </c>
      <c r="F45" s="195">
        <f>SUM(D45:E45)</f>
        <v>808.875</v>
      </c>
      <c r="G45" s="194">
        <v>32355</v>
      </c>
      <c r="H45" s="193">
        <f>F45/C45</f>
        <v>38.517857142857146</v>
      </c>
      <c r="I45" s="14">
        <f>G45/C45</f>
        <v>1540.7142857142858</v>
      </c>
      <c r="J45" s="174">
        <f>J$7</f>
        <v>40</v>
      </c>
      <c r="K45" s="35" t="s">
        <v>10</v>
      </c>
    </row>
    <row r="46" spans="1:26" ht="15" x14ac:dyDescent="0.2">
      <c r="A46" s="192"/>
      <c r="B46" s="3">
        <v>1</v>
      </c>
      <c r="C46" s="4">
        <v>21</v>
      </c>
      <c r="D46" s="4">
        <v>613</v>
      </c>
      <c r="E46" s="4"/>
      <c r="F46" s="26">
        <f>SUM(D46:E46)</f>
        <v>613</v>
      </c>
      <c r="G46" s="191">
        <v>24919</v>
      </c>
      <c r="H46" s="190">
        <f>F46/C46</f>
        <v>29.19047619047619</v>
      </c>
      <c r="I46" s="5">
        <f>G46/C46</f>
        <v>1186.6190476190477</v>
      </c>
      <c r="J46" s="6">
        <f>I46/H46</f>
        <v>40.650897226753678</v>
      </c>
      <c r="K46" s="51" t="s">
        <v>11</v>
      </c>
    </row>
    <row r="47" spans="1:26" ht="15.75" thickBot="1" x14ac:dyDescent="0.25">
      <c r="A47" s="312"/>
      <c r="B47" s="311"/>
      <c r="C47" s="48"/>
      <c r="D47" s="48"/>
      <c r="E47" s="48"/>
      <c r="F47" s="314">
        <f>SUM(D47:E47)</f>
        <v>0</v>
      </c>
      <c r="G47" s="186">
        <f>G46/G45</f>
        <v>0.77017462525112035</v>
      </c>
      <c r="H47" s="157"/>
      <c r="I47" s="310"/>
      <c r="J47" s="17"/>
      <c r="K47" s="185"/>
    </row>
    <row r="48" spans="1:26" ht="15.75" thickTop="1" x14ac:dyDescent="0.2">
      <c r="A48" s="255" t="s">
        <v>64</v>
      </c>
      <c r="B48" s="254">
        <v>36</v>
      </c>
      <c r="C48" s="253">
        <v>306</v>
      </c>
      <c r="D48" s="253">
        <f>G48/$J$7</f>
        <v>3503.5749999999998</v>
      </c>
      <c r="E48" s="253"/>
      <c r="F48" s="252">
        <f>SUM(D48:E48)</f>
        <v>3503.5749999999998</v>
      </c>
      <c r="G48" s="251">
        <v>140143</v>
      </c>
      <c r="H48" s="250">
        <f>F48/C48</f>
        <v>11.449591503267973</v>
      </c>
      <c r="I48" s="249">
        <f>G48/C48</f>
        <v>457.98366013071893</v>
      </c>
      <c r="J48" s="248">
        <f>J$7</f>
        <v>40</v>
      </c>
      <c r="K48" s="247" t="s">
        <v>10</v>
      </c>
    </row>
    <row r="49" spans="1:28" ht="15" x14ac:dyDescent="0.2">
      <c r="A49" s="246"/>
      <c r="B49" s="245">
        <v>36</v>
      </c>
      <c r="C49" s="244">
        <v>306</v>
      </c>
      <c r="D49" s="244">
        <v>3270</v>
      </c>
      <c r="E49" s="244"/>
      <c r="F49" s="243">
        <f>SUM(D49:E49)</f>
        <v>3270</v>
      </c>
      <c r="G49" s="242">
        <v>111348</v>
      </c>
      <c r="H49" s="241">
        <f>F49/C49</f>
        <v>10.686274509803921</v>
      </c>
      <c r="I49" s="240">
        <f>G49/C49</f>
        <v>363.88235294117646</v>
      </c>
      <c r="J49" s="239">
        <f>I49/H49</f>
        <v>34.051376146788989</v>
      </c>
      <c r="K49" s="238" t="s">
        <v>11</v>
      </c>
    </row>
    <row r="50" spans="1:28" ht="15.75" thickBot="1" x14ac:dyDescent="0.25">
      <c r="A50" s="237"/>
      <c r="B50" s="236"/>
      <c r="C50" s="235"/>
      <c r="D50" s="235"/>
      <c r="E50" s="235"/>
      <c r="F50" s="234">
        <f>F49/F48</f>
        <v>0.93333238192417745</v>
      </c>
      <c r="G50" s="233">
        <f>G49/G48</f>
        <v>0.79453130017196716</v>
      </c>
      <c r="H50" s="232"/>
      <c r="I50" s="231"/>
      <c r="J50" s="230"/>
      <c r="K50" s="229"/>
    </row>
    <row r="51" spans="1:28" ht="15.75" thickTop="1" x14ac:dyDescent="0.2">
      <c r="A51" s="309" t="s">
        <v>63</v>
      </c>
      <c r="B51" s="308">
        <v>24</v>
      </c>
      <c r="C51" s="307">
        <v>229</v>
      </c>
      <c r="D51" s="307">
        <f>G51/$J$7</f>
        <v>2597.8249999999998</v>
      </c>
      <c r="E51" s="307"/>
      <c r="F51" s="306">
        <f>SUM(D51:E51)</f>
        <v>2597.8249999999998</v>
      </c>
      <c r="G51" s="305">
        <v>103913</v>
      </c>
      <c r="H51" s="304">
        <f>F51/C51</f>
        <v>11.344213973799127</v>
      </c>
      <c r="I51" s="303">
        <f>G51/C51</f>
        <v>453.76855895196508</v>
      </c>
      <c r="J51" s="302">
        <f>J$7</f>
        <v>40</v>
      </c>
      <c r="K51" s="301" t="s">
        <v>10</v>
      </c>
    </row>
    <row r="52" spans="1:28" ht="15" x14ac:dyDescent="0.2">
      <c r="A52" s="300"/>
      <c r="B52" s="299">
        <v>24</v>
      </c>
      <c r="C52" s="298">
        <v>229</v>
      </c>
      <c r="D52" s="298">
        <v>2259</v>
      </c>
      <c r="E52" s="298"/>
      <c r="F52" s="297">
        <f>SUM(D52:E52)</f>
        <v>2259</v>
      </c>
      <c r="G52" s="296">
        <v>77548</v>
      </c>
      <c r="H52" s="295">
        <f>F52/C52</f>
        <v>9.8646288209606983</v>
      </c>
      <c r="I52" s="294">
        <f>G52/C52</f>
        <v>338.63755458515283</v>
      </c>
      <c r="J52" s="293">
        <f>I52/H52</f>
        <v>34.328463922089419</v>
      </c>
      <c r="K52" s="292" t="s">
        <v>11</v>
      </c>
    </row>
    <row r="53" spans="1:28" ht="17.25" customHeight="1" thickBot="1" x14ac:dyDescent="0.25">
      <c r="A53" s="291"/>
      <c r="B53" s="290"/>
      <c r="C53" s="289"/>
      <c r="D53" s="289"/>
      <c r="E53" s="289"/>
      <c r="F53" s="288">
        <f>F52/F51</f>
        <v>0.86957358559564257</v>
      </c>
      <c r="G53" s="287">
        <f>G52/G51</f>
        <v>0.74627813651804875</v>
      </c>
      <c r="H53" s="286"/>
      <c r="I53" s="285"/>
      <c r="J53" s="284"/>
      <c r="K53" s="283"/>
      <c r="X53" s="313"/>
      <c r="Y53" s="313"/>
      <c r="Z53" s="313"/>
      <c r="AA53" s="313"/>
      <c r="AB53" s="313"/>
    </row>
    <row r="54" spans="1:28" ht="17.25" customHeight="1" thickTop="1" x14ac:dyDescent="0.2">
      <c r="A54" s="282" t="s">
        <v>62</v>
      </c>
      <c r="B54" s="281">
        <v>24</v>
      </c>
      <c r="C54" s="280">
        <v>205</v>
      </c>
      <c r="D54" s="280">
        <f>G54/$J$7</f>
        <v>2350.6750000000002</v>
      </c>
      <c r="E54" s="280"/>
      <c r="F54" s="279">
        <f>SUM(D54:E54)</f>
        <v>2350.6750000000002</v>
      </c>
      <c r="G54" s="278">
        <v>94027</v>
      </c>
      <c r="H54" s="277">
        <f>F54/C54</f>
        <v>11.466707317073171</v>
      </c>
      <c r="I54" s="276">
        <f>G54/C54</f>
        <v>458.66829268292685</v>
      </c>
      <c r="J54" s="275">
        <f>J$7</f>
        <v>40</v>
      </c>
      <c r="K54" s="274" t="s">
        <v>10</v>
      </c>
    </row>
    <row r="55" spans="1:28" ht="17.25" customHeight="1" x14ac:dyDescent="0.2">
      <c r="A55" s="273"/>
      <c r="B55" s="272">
        <v>24</v>
      </c>
      <c r="C55" s="271">
        <v>205</v>
      </c>
      <c r="D55" s="271">
        <v>2194</v>
      </c>
      <c r="E55" s="271"/>
      <c r="F55" s="270">
        <f>SUM(D55:E55)</f>
        <v>2194</v>
      </c>
      <c r="G55" s="269">
        <v>79012</v>
      </c>
      <c r="H55" s="268">
        <f>F55/C55</f>
        <v>10.702439024390245</v>
      </c>
      <c r="I55" s="267">
        <f>G55/C55</f>
        <v>385.42439024390245</v>
      </c>
      <c r="J55" s="266">
        <f>I55/H55</f>
        <v>36.012762078395625</v>
      </c>
      <c r="K55" s="265" t="s">
        <v>11</v>
      </c>
      <c r="X55" s="313"/>
      <c r="Y55" s="313"/>
      <c r="Z55" s="313"/>
      <c r="AA55" s="313"/>
      <c r="AB55" s="313"/>
    </row>
    <row r="56" spans="1:28" ht="17.25" customHeight="1" thickBot="1" x14ac:dyDescent="0.25">
      <c r="A56" s="264"/>
      <c r="B56" s="263"/>
      <c r="C56" s="262"/>
      <c r="D56" s="262"/>
      <c r="E56" s="262"/>
      <c r="F56" s="261">
        <f>F55/F54</f>
        <v>0.93334893168983368</v>
      </c>
      <c r="G56" s="260">
        <f>G55/G54</f>
        <v>0.84031182532676785</v>
      </c>
      <c r="H56" s="259"/>
      <c r="I56" s="258"/>
      <c r="J56" s="257"/>
      <c r="K56" s="256"/>
    </row>
    <row r="57" spans="1:28" ht="17.25" customHeight="1" thickTop="1" x14ac:dyDescent="0.2">
      <c r="A57" s="255" t="s">
        <v>61</v>
      </c>
      <c r="B57" s="254">
        <v>36</v>
      </c>
      <c r="C57" s="253">
        <v>306</v>
      </c>
      <c r="D57" s="253">
        <f>G57/$J$7</f>
        <v>3503.5749999999998</v>
      </c>
      <c r="E57" s="253"/>
      <c r="F57" s="252">
        <f>SUM(D57:E57)</f>
        <v>3503.5749999999998</v>
      </c>
      <c r="G57" s="251">
        <v>140143</v>
      </c>
      <c r="H57" s="250">
        <f>F57/C57</f>
        <v>11.449591503267973</v>
      </c>
      <c r="I57" s="249">
        <f>G57/C57</f>
        <v>457.98366013071893</v>
      </c>
      <c r="J57" s="248">
        <f>J$7</f>
        <v>40</v>
      </c>
      <c r="K57" s="247" t="s">
        <v>10</v>
      </c>
    </row>
    <row r="58" spans="1:28" ht="17.25" customHeight="1" x14ac:dyDescent="0.2">
      <c r="A58" s="246"/>
      <c r="B58" s="245">
        <v>36</v>
      </c>
      <c r="C58" s="244">
        <v>306</v>
      </c>
      <c r="D58" s="244">
        <v>2918</v>
      </c>
      <c r="E58" s="244"/>
      <c r="F58" s="243">
        <f>SUM(D58:E58)</f>
        <v>2918</v>
      </c>
      <c r="G58" s="242">
        <v>104798</v>
      </c>
      <c r="H58" s="241">
        <f>F58/C58</f>
        <v>9.5359477124183005</v>
      </c>
      <c r="I58" s="240">
        <f>G58/C58</f>
        <v>342.47712418300654</v>
      </c>
      <c r="J58" s="239">
        <f>I58/H58</f>
        <v>35.914324880054835</v>
      </c>
      <c r="K58" s="238" t="s">
        <v>11</v>
      </c>
    </row>
    <row r="59" spans="1:28" ht="17.25" customHeight="1" thickBot="1" x14ac:dyDescent="0.25">
      <c r="A59" s="237"/>
      <c r="B59" s="236"/>
      <c r="C59" s="235"/>
      <c r="D59" s="235"/>
      <c r="E59" s="235"/>
      <c r="F59" s="234">
        <f>F58/F57</f>
        <v>0.83286357506261466</v>
      </c>
      <c r="G59" s="233">
        <f>G58/G57</f>
        <v>0.74779332538906684</v>
      </c>
      <c r="H59" s="232"/>
      <c r="I59" s="231"/>
      <c r="J59" s="230"/>
      <c r="K59" s="229"/>
    </row>
    <row r="60" spans="1:28" ht="15.75" thickTop="1" x14ac:dyDescent="0.2">
      <c r="A60" s="228" t="s">
        <v>60</v>
      </c>
      <c r="B60" s="227">
        <v>36</v>
      </c>
      <c r="C60" s="226">
        <v>299</v>
      </c>
      <c r="D60" s="226">
        <f>G60/$J$7</f>
        <v>3448.45</v>
      </c>
      <c r="E60" s="226"/>
      <c r="F60" s="225">
        <f>SUM(D60:E60)</f>
        <v>3448.45</v>
      </c>
      <c r="G60" s="224">
        <v>137938</v>
      </c>
      <c r="H60" s="223">
        <f>F60/C60</f>
        <v>11.533277591973244</v>
      </c>
      <c r="I60" s="222">
        <f>G60/C60</f>
        <v>461.33110367892976</v>
      </c>
      <c r="J60" s="221">
        <f>J$7</f>
        <v>40</v>
      </c>
      <c r="K60" s="220" t="s">
        <v>10</v>
      </c>
    </row>
    <row r="61" spans="1:28" ht="15" x14ac:dyDescent="0.2">
      <c r="A61" s="219"/>
      <c r="B61" s="218">
        <v>36</v>
      </c>
      <c r="C61" s="217">
        <v>299</v>
      </c>
      <c r="D61" s="217">
        <v>2949</v>
      </c>
      <c r="E61" s="217"/>
      <c r="F61" s="216">
        <f>SUM(D61:E61)</f>
        <v>2949</v>
      </c>
      <c r="G61" s="215">
        <v>104102</v>
      </c>
      <c r="H61" s="214">
        <f>F61/C61</f>
        <v>9.8628762541806019</v>
      </c>
      <c r="I61" s="213">
        <f>G61/C61</f>
        <v>348.16722408026754</v>
      </c>
      <c r="J61" s="212">
        <f>I61/H61</f>
        <v>35.300779925398437</v>
      </c>
      <c r="K61" s="211" t="s">
        <v>11</v>
      </c>
    </row>
    <row r="62" spans="1:28" ht="17.25" customHeight="1" thickBot="1" x14ac:dyDescent="0.25">
      <c r="A62" s="210"/>
      <c r="B62" s="209"/>
      <c r="C62" s="208"/>
      <c r="D62" s="208"/>
      <c r="E62" s="208"/>
      <c r="F62" s="207">
        <f>F61/F60</f>
        <v>0.85516681407588924</v>
      </c>
      <c r="G62" s="206">
        <f>G61/G60</f>
        <v>0.75470138757992722</v>
      </c>
      <c r="H62" s="205"/>
      <c r="I62" s="204"/>
      <c r="J62" s="203"/>
      <c r="K62" s="202"/>
    </row>
    <row r="63" spans="1:28" ht="15.75" thickTop="1" x14ac:dyDescent="0.2">
      <c r="A63" s="255" t="s">
        <v>59</v>
      </c>
      <c r="B63" s="254">
        <v>36</v>
      </c>
      <c r="C63" s="253">
        <v>306</v>
      </c>
      <c r="D63" s="253">
        <f>G63/$J$7</f>
        <v>3503.5749999999998</v>
      </c>
      <c r="E63" s="253"/>
      <c r="F63" s="252">
        <f>SUM(D63:E63)</f>
        <v>3503.5749999999998</v>
      </c>
      <c r="G63" s="251">
        <v>140143</v>
      </c>
      <c r="H63" s="250">
        <f>F63/C63</f>
        <v>11.449591503267973</v>
      </c>
      <c r="I63" s="249">
        <f>G63/C63</f>
        <v>457.98366013071893</v>
      </c>
      <c r="J63" s="248">
        <f>J$7</f>
        <v>40</v>
      </c>
      <c r="K63" s="247" t="s">
        <v>10</v>
      </c>
    </row>
    <row r="64" spans="1:28" ht="15" x14ac:dyDescent="0.2">
      <c r="A64" s="246"/>
      <c r="B64" s="245">
        <v>36</v>
      </c>
      <c r="C64" s="244">
        <v>306</v>
      </c>
      <c r="D64" s="244">
        <v>3320</v>
      </c>
      <c r="E64" s="244"/>
      <c r="F64" s="243">
        <f>SUM(D64:E64)</f>
        <v>3320</v>
      </c>
      <c r="G64" s="242">
        <v>115185</v>
      </c>
      <c r="H64" s="241">
        <f>F64/C64</f>
        <v>10.84967320261438</v>
      </c>
      <c r="I64" s="240">
        <f>G64/C64</f>
        <v>376.42156862745099</v>
      </c>
      <c r="J64" s="239">
        <f>I64/H64</f>
        <v>34.694277108433738</v>
      </c>
      <c r="K64" s="238" t="s">
        <v>11</v>
      </c>
    </row>
    <row r="65" spans="1:16" ht="17.25" customHeight="1" thickBot="1" x14ac:dyDescent="0.25">
      <c r="A65" s="237"/>
      <c r="B65" s="236"/>
      <c r="C65" s="235"/>
      <c r="D65" s="235"/>
      <c r="E65" s="235"/>
      <c r="F65" s="234">
        <f>F64/F63</f>
        <v>0.94760351926246766</v>
      </c>
      <c r="G65" s="233">
        <f>G64/G63</f>
        <v>0.82191047715547694</v>
      </c>
      <c r="H65" s="232"/>
      <c r="I65" s="231"/>
      <c r="J65" s="230"/>
      <c r="K65" s="229"/>
    </row>
    <row r="66" spans="1:16" ht="15.75" thickTop="1" x14ac:dyDescent="0.2">
      <c r="A66" s="228" t="s">
        <v>58</v>
      </c>
      <c r="B66" s="227">
        <v>36</v>
      </c>
      <c r="C66" s="226">
        <v>299</v>
      </c>
      <c r="D66" s="226">
        <f>G66/$J$7</f>
        <v>3448.45</v>
      </c>
      <c r="E66" s="226"/>
      <c r="F66" s="225">
        <f>SUM(D66:E66)</f>
        <v>3448.45</v>
      </c>
      <c r="G66" s="224">
        <v>137938</v>
      </c>
      <c r="H66" s="223">
        <f>F66/C66</f>
        <v>11.533277591973244</v>
      </c>
      <c r="I66" s="222">
        <f>G66/C66</f>
        <v>461.33110367892976</v>
      </c>
      <c r="J66" s="221">
        <f>J$7</f>
        <v>40</v>
      </c>
      <c r="K66" s="220" t="s">
        <v>10</v>
      </c>
    </row>
    <row r="67" spans="1:16" ht="15" x14ac:dyDescent="0.2">
      <c r="A67" s="219"/>
      <c r="B67" s="218">
        <v>36</v>
      </c>
      <c r="C67" s="217">
        <v>299</v>
      </c>
      <c r="D67" s="217">
        <v>3740</v>
      </c>
      <c r="E67" s="217"/>
      <c r="F67" s="216">
        <f>SUM(D67:E67)</f>
        <v>3740</v>
      </c>
      <c r="G67" s="215">
        <v>135920</v>
      </c>
      <c r="H67" s="214">
        <f>F67/C67</f>
        <v>12.508361204013378</v>
      </c>
      <c r="I67" s="213">
        <f>G67/C67</f>
        <v>454.58193979933111</v>
      </c>
      <c r="J67" s="212">
        <f>I67/H67</f>
        <v>36.342245989304814</v>
      </c>
      <c r="K67" s="211" t="s">
        <v>11</v>
      </c>
    </row>
    <row r="68" spans="1:16" ht="15.75" thickBot="1" x14ac:dyDescent="0.25">
      <c r="A68" s="210"/>
      <c r="B68" s="209"/>
      <c r="C68" s="208"/>
      <c r="D68" s="208"/>
      <c r="E68" s="208"/>
      <c r="F68" s="207">
        <f>F67/F66</f>
        <v>1.0845452304658616</v>
      </c>
      <c r="G68" s="206">
        <f>G67/G66</f>
        <v>0.9853702388029405</v>
      </c>
      <c r="H68" s="205"/>
      <c r="I68" s="204"/>
      <c r="J68" s="203"/>
      <c r="K68" s="202"/>
    </row>
    <row r="69" spans="1:16" ht="17.25" thickTop="1" thickBot="1" x14ac:dyDescent="0.25">
      <c r="A69" s="201" t="s">
        <v>16</v>
      </c>
      <c r="B69" s="200"/>
      <c r="C69" s="200"/>
      <c r="D69" s="200"/>
      <c r="E69" s="200"/>
      <c r="F69" s="199"/>
      <c r="G69" s="199"/>
      <c r="H69" s="199"/>
      <c r="I69" s="199"/>
      <c r="J69" s="199"/>
      <c r="K69" s="198"/>
    </row>
    <row r="70" spans="1:16" ht="15.75" thickTop="1" x14ac:dyDescent="0.2">
      <c r="A70" s="197" t="s">
        <v>65</v>
      </c>
      <c r="B70" s="196">
        <v>1</v>
      </c>
      <c r="C70" s="13">
        <v>16</v>
      </c>
      <c r="D70" s="13">
        <f>G70/$J$7</f>
        <v>81.75</v>
      </c>
      <c r="E70" s="13">
        <v>0</v>
      </c>
      <c r="F70" s="195">
        <f>SUM(D70:E70)</f>
        <v>81.75</v>
      </c>
      <c r="G70" s="194">
        <v>3270</v>
      </c>
      <c r="H70" s="193">
        <f>F70/C70</f>
        <v>5.109375</v>
      </c>
      <c r="I70" s="14">
        <f>G70/C70</f>
        <v>204.375</v>
      </c>
      <c r="J70" s="174">
        <f>J$7</f>
        <v>40</v>
      </c>
      <c r="K70" s="35" t="s">
        <v>10</v>
      </c>
    </row>
    <row r="71" spans="1:16" ht="15" x14ac:dyDescent="0.2">
      <c r="A71" s="192"/>
      <c r="B71" s="3">
        <v>1</v>
      </c>
      <c r="C71" s="4">
        <v>16</v>
      </c>
      <c r="D71" s="4">
        <v>284</v>
      </c>
      <c r="E71" s="4"/>
      <c r="F71" s="26">
        <f>SUM(D71:E71)</f>
        <v>284</v>
      </c>
      <c r="G71" s="191">
        <v>10245</v>
      </c>
      <c r="H71" s="190">
        <f>F71/C71</f>
        <v>17.75</v>
      </c>
      <c r="I71" s="5">
        <f>G71/C71</f>
        <v>640.3125</v>
      </c>
      <c r="J71" s="6">
        <f>I71/H71</f>
        <v>36.073943661971832</v>
      </c>
      <c r="K71" s="51" t="s">
        <v>11</v>
      </c>
    </row>
    <row r="72" spans="1:16" ht="15.75" thickBot="1" x14ac:dyDescent="0.25">
      <c r="A72" s="312"/>
      <c r="B72" s="311"/>
      <c r="C72" s="48"/>
      <c r="D72" s="48"/>
      <c r="E72" s="48"/>
      <c r="F72" s="187">
        <f>F71/F70</f>
        <v>3.474006116207951</v>
      </c>
      <c r="G72" s="186">
        <f>G71/G70</f>
        <v>3.1330275229357798</v>
      </c>
      <c r="H72" s="157"/>
      <c r="I72" s="310"/>
      <c r="J72" s="17"/>
      <c r="K72" s="185"/>
    </row>
    <row r="73" spans="1:16" ht="15.75" thickTop="1" x14ac:dyDescent="0.2">
      <c r="A73" s="255" t="s">
        <v>64</v>
      </c>
      <c r="B73" s="254">
        <v>36</v>
      </c>
      <c r="C73" s="253">
        <v>288</v>
      </c>
      <c r="D73" s="253">
        <f>G73/$J$7</f>
        <v>679.5</v>
      </c>
      <c r="E73" s="253"/>
      <c r="F73" s="252">
        <f>SUM(D73:E73)</f>
        <v>679.5</v>
      </c>
      <c r="G73" s="251">
        <v>27180</v>
      </c>
      <c r="H73" s="250">
        <f>F73/C73</f>
        <v>2.359375</v>
      </c>
      <c r="I73" s="249">
        <f>G73/C73</f>
        <v>94.375</v>
      </c>
      <c r="J73" s="248">
        <f>J$7</f>
        <v>40</v>
      </c>
      <c r="K73" s="247" t="s">
        <v>10</v>
      </c>
    </row>
    <row r="74" spans="1:16" ht="15" x14ac:dyDescent="0.2">
      <c r="A74" s="246"/>
      <c r="B74" s="245">
        <v>36</v>
      </c>
      <c r="C74" s="244">
        <v>288</v>
      </c>
      <c r="D74" s="244">
        <v>415</v>
      </c>
      <c r="E74" s="244"/>
      <c r="F74" s="243">
        <f>SUM(D74:E74)</f>
        <v>415</v>
      </c>
      <c r="G74" s="242">
        <v>10743</v>
      </c>
      <c r="H74" s="241">
        <f>F74/C74</f>
        <v>1.4409722222222223</v>
      </c>
      <c r="I74" s="240">
        <f>G74/C74</f>
        <v>37.302083333333336</v>
      </c>
      <c r="J74" s="239">
        <f>I74/H74</f>
        <v>25.886746987951806</v>
      </c>
      <c r="K74" s="238" t="s">
        <v>11</v>
      </c>
    </row>
    <row r="75" spans="1:16" ht="15.75" thickBot="1" x14ac:dyDescent="0.25">
      <c r="A75" s="237"/>
      <c r="B75" s="236"/>
      <c r="C75" s="235"/>
      <c r="D75" s="235"/>
      <c r="E75" s="235"/>
      <c r="F75" s="234">
        <f>F74/F73</f>
        <v>0.61074319352465045</v>
      </c>
      <c r="G75" s="233">
        <f>G74/G73</f>
        <v>0.39525386313465782</v>
      </c>
      <c r="H75" s="232"/>
      <c r="I75" s="231"/>
      <c r="J75" s="230"/>
      <c r="K75" s="229"/>
    </row>
    <row r="76" spans="1:16" ht="15.75" thickTop="1" x14ac:dyDescent="0.2">
      <c r="A76" s="309" t="s">
        <v>63</v>
      </c>
      <c r="B76" s="308">
        <v>24</v>
      </c>
      <c r="C76" s="307">
        <v>216</v>
      </c>
      <c r="D76" s="307">
        <f>G76/$J$7</f>
        <v>504</v>
      </c>
      <c r="E76" s="307"/>
      <c r="F76" s="306">
        <f>SUM(D76:E76)</f>
        <v>504</v>
      </c>
      <c r="G76" s="305">
        <v>20160</v>
      </c>
      <c r="H76" s="304">
        <f>F76/C76</f>
        <v>2.3333333333333335</v>
      </c>
      <c r="I76" s="303">
        <f>G76/C76</f>
        <v>93.333333333333329</v>
      </c>
      <c r="J76" s="302">
        <f>J$7</f>
        <v>40</v>
      </c>
      <c r="K76" s="301" t="s">
        <v>10</v>
      </c>
      <c r="N76" s="29"/>
      <c r="O76" s="60"/>
      <c r="P76" s="28"/>
    </row>
    <row r="77" spans="1:16" ht="15" x14ac:dyDescent="0.2">
      <c r="A77" s="300"/>
      <c r="B77" s="299">
        <v>24</v>
      </c>
      <c r="C77" s="298">
        <v>216</v>
      </c>
      <c r="D77" s="298">
        <v>435</v>
      </c>
      <c r="E77" s="298"/>
      <c r="F77" s="297">
        <f>SUM(D77:E77)</f>
        <v>435</v>
      </c>
      <c r="G77" s="296">
        <v>11389</v>
      </c>
      <c r="H77" s="295">
        <f>F77/C77</f>
        <v>2.0138888888888888</v>
      </c>
      <c r="I77" s="294">
        <f>G77/C77</f>
        <v>52.726851851851855</v>
      </c>
      <c r="J77" s="293">
        <f>I77/H77</f>
        <v>26.181609195402302</v>
      </c>
      <c r="K77" s="292" t="s">
        <v>11</v>
      </c>
      <c r="N77" s="29"/>
      <c r="O77" s="60"/>
      <c r="P77" s="28"/>
    </row>
    <row r="78" spans="1:16" ht="15.75" thickBot="1" x14ac:dyDescent="0.25">
      <c r="A78" s="291"/>
      <c r="B78" s="290"/>
      <c r="C78" s="289"/>
      <c r="D78" s="289"/>
      <c r="E78" s="289"/>
      <c r="F78" s="288">
        <f>F77/F76</f>
        <v>0.86309523809523814</v>
      </c>
      <c r="G78" s="287">
        <f>G77/G76</f>
        <v>0.5649305555555556</v>
      </c>
      <c r="H78" s="286"/>
      <c r="I78" s="285"/>
      <c r="J78" s="284"/>
      <c r="K78" s="283"/>
      <c r="N78" s="29"/>
      <c r="O78" s="60"/>
      <c r="P78" s="28"/>
    </row>
    <row r="79" spans="1:16" ht="15.75" thickTop="1" x14ac:dyDescent="0.2">
      <c r="A79" s="282" t="s">
        <v>62</v>
      </c>
      <c r="B79" s="281">
        <v>24</v>
      </c>
      <c r="C79" s="280">
        <v>192</v>
      </c>
      <c r="D79" s="280">
        <f>G79/$J$7</f>
        <v>453</v>
      </c>
      <c r="E79" s="280"/>
      <c r="F79" s="279">
        <f>SUM(D79:E79)</f>
        <v>453</v>
      </c>
      <c r="G79" s="278">
        <v>18120</v>
      </c>
      <c r="H79" s="277">
        <f>F79/C79</f>
        <v>2.359375</v>
      </c>
      <c r="I79" s="276">
        <f>G79/C79</f>
        <v>94.375</v>
      </c>
      <c r="J79" s="275">
        <f>J$7</f>
        <v>40</v>
      </c>
      <c r="K79" s="274" t="s">
        <v>10</v>
      </c>
      <c r="N79" s="29"/>
      <c r="O79" s="60"/>
      <c r="P79" s="28"/>
    </row>
    <row r="80" spans="1:16" ht="15" x14ac:dyDescent="0.2">
      <c r="A80" s="273"/>
      <c r="B80" s="272">
        <v>24</v>
      </c>
      <c r="C80" s="271">
        <v>192</v>
      </c>
      <c r="D80" s="271">
        <v>501</v>
      </c>
      <c r="E80" s="271"/>
      <c r="F80" s="270">
        <f>SUM(D80:E80)</f>
        <v>501</v>
      </c>
      <c r="G80" s="269">
        <v>14386</v>
      </c>
      <c r="H80" s="268">
        <f>F80/C80</f>
        <v>2.609375</v>
      </c>
      <c r="I80" s="267">
        <f>G80/C80</f>
        <v>74.927083333333329</v>
      </c>
      <c r="J80" s="266">
        <f>I80/H80</f>
        <v>28.71457085828343</v>
      </c>
      <c r="K80" s="265" t="s">
        <v>11</v>
      </c>
      <c r="N80" s="29"/>
      <c r="O80" s="60"/>
      <c r="P80" s="28"/>
    </row>
    <row r="81" spans="1:16" ht="15.75" thickBot="1" x14ac:dyDescent="0.25">
      <c r="A81" s="264"/>
      <c r="B81" s="263"/>
      <c r="C81" s="262"/>
      <c r="D81" s="262"/>
      <c r="E81" s="262"/>
      <c r="F81" s="261">
        <f>F80/F79</f>
        <v>1.1059602649006623</v>
      </c>
      <c r="G81" s="260">
        <f>G80/G79</f>
        <v>0.79392935982339952</v>
      </c>
      <c r="H81" s="259"/>
      <c r="I81" s="258"/>
      <c r="J81" s="257"/>
      <c r="K81" s="256"/>
      <c r="N81" s="29"/>
      <c r="O81" s="60"/>
      <c r="P81" s="28"/>
    </row>
    <row r="82" spans="1:16" ht="15.75" thickTop="1" x14ac:dyDescent="0.2">
      <c r="A82" s="255" t="s">
        <v>61</v>
      </c>
      <c r="B82" s="254">
        <v>36</v>
      </c>
      <c r="C82" s="253">
        <v>288</v>
      </c>
      <c r="D82" s="253">
        <f>G82/$J$7</f>
        <v>679.5</v>
      </c>
      <c r="E82" s="253"/>
      <c r="F82" s="252">
        <f>SUM(D82:E82)</f>
        <v>679.5</v>
      </c>
      <c r="G82" s="251">
        <v>27180</v>
      </c>
      <c r="H82" s="250">
        <f>F82/C82</f>
        <v>2.359375</v>
      </c>
      <c r="I82" s="249">
        <f>G82/C82</f>
        <v>94.375</v>
      </c>
      <c r="J82" s="248">
        <f>J$7</f>
        <v>40</v>
      </c>
      <c r="K82" s="247" t="s">
        <v>10</v>
      </c>
      <c r="N82" s="29"/>
      <c r="O82" s="60"/>
      <c r="P82" s="28"/>
    </row>
    <row r="83" spans="1:16" ht="15" x14ac:dyDescent="0.2">
      <c r="A83" s="246"/>
      <c r="B83" s="245">
        <v>36</v>
      </c>
      <c r="C83" s="244">
        <v>288</v>
      </c>
      <c r="D83" s="244">
        <v>832</v>
      </c>
      <c r="E83" s="244"/>
      <c r="F83" s="243">
        <f>SUM(D83:E83)</f>
        <v>832</v>
      </c>
      <c r="G83" s="242">
        <v>23884</v>
      </c>
      <c r="H83" s="241">
        <f>F83/C83</f>
        <v>2.8888888888888888</v>
      </c>
      <c r="I83" s="240">
        <f>G83/C83</f>
        <v>82.930555555555557</v>
      </c>
      <c r="J83" s="239">
        <f>I83/H83</f>
        <v>28.70673076923077</v>
      </c>
      <c r="K83" s="238" t="s">
        <v>11</v>
      </c>
    </row>
    <row r="84" spans="1:16" ht="15.75" thickBot="1" x14ac:dyDescent="0.25">
      <c r="A84" s="237"/>
      <c r="B84" s="236"/>
      <c r="C84" s="235"/>
      <c r="D84" s="235"/>
      <c r="E84" s="235"/>
      <c r="F84" s="234">
        <f>F83/F82</f>
        <v>1.2244297277409861</v>
      </c>
      <c r="G84" s="233">
        <f>G83/G82</f>
        <v>0.87873436350257539</v>
      </c>
      <c r="H84" s="232"/>
      <c r="I84" s="231"/>
      <c r="J84" s="230"/>
      <c r="K84" s="229"/>
    </row>
    <row r="85" spans="1:16" ht="15.75" thickTop="1" x14ac:dyDescent="0.2">
      <c r="A85" s="228" t="s">
        <v>60</v>
      </c>
      <c r="B85" s="227">
        <v>36</v>
      </c>
      <c r="C85" s="226">
        <v>281</v>
      </c>
      <c r="D85" s="226">
        <f>G85/$J$7</f>
        <v>664.625</v>
      </c>
      <c r="E85" s="226"/>
      <c r="F85" s="225">
        <f>SUM(D85:E85)</f>
        <v>664.625</v>
      </c>
      <c r="G85" s="224">
        <v>26585</v>
      </c>
      <c r="H85" s="223">
        <f>F85/C85</f>
        <v>2.3652135231316724</v>
      </c>
      <c r="I85" s="222">
        <f>G85/C85</f>
        <v>94.608540925266908</v>
      </c>
      <c r="J85" s="221">
        <f>J$7</f>
        <v>40</v>
      </c>
      <c r="K85" s="220" t="s">
        <v>10</v>
      </c>
    </row>
    <row r="86" spans="1:16" ht="15" x14ac:dyDescent="0.2">
      <c r="A86" s="219"/>
      <c r="B86" s="218">
        <v>36</v>
      </c>
      <c r="C86" s="217">
        <v>281</v>
      </c>
      <c r="D86" s="217">
        <v>1282</v>
      </c>
      <c r="E86" s="217"/>
      <c r="F86" s="216">
        <f>SUM(D86:E86)</f>
        <v>1282</v>
      </c>
      <c r="G86" s="215">
        <v>42424</v>
      </c>
      <c r="H86" s="214">
        <f>F86/C86</f>
        <v>4.5622775800711741</v>
      </c>
      <c r="I86" s="213">
        <f>G86/C86</f>
        <v>150.97508896797154</v>
      </c>
      <c r="J86" s="212">
        <f>I86/H86</f>
        <v>33.092043681747278</v>
      </c>
      <c r="K86" s="211" t="s">
        <v>11</v>
      </c>
    </row>
    <row r="87" spans="1:16" ht="15.75" thickBot="1" x14ac:dyDescent="0.25">
      <c r="A87" s="210"/>
      <c r="B87" s="209"/>
      <c r="C87" s="208"/>
      <c r="D87" s="208"/>
      <c r="E87" s="208"/>
      <c r="F87" s="207">
        <f>F86/F85</f>
        <v>1.9289072785405303</v>
      </c>
      <c r="G87" s="206">
        <f>G86/G85</f>
        <v>1.595787097987587</v>
      </c>
      <c r="H87" s="205"/>
      <c r="I87" s="204"/>
      <c r="J87" s="203"/>
      <c r="K87" s="202"/>
    </row>
    <row r="88" spans="1:16" ht="15.75" thickTop="1" x14ac:dyDescent="0.2">
      <c r="A88" s="255" t="s">
        <v>59</v>
      </c>
      <c r="B88" s="254">
        <v>36</v>
      </c>
      <c r="C88" s="253">
        <v>288</v>
      </c>
      <c r="D88" s="253">
        <f>G88/$J$7</f>
        <v>679.5</v>
      </c>
      <c r="E88" s="253"/>
      <c r="F88" s="252">
        <f>SUM(D88:E88)</f>
        <v>679.5</v>
      </c>
      <c r="G88" s="251">
        <v>27180</v>
      </c>
      <c r="H88" s="250">
        <f>F88/C88</f>
        <v>2.359375</v>
      </c>
      <c r="I88" s="249">
        <f>G88/C88</f>
        <v>94.375</v>
      </c>
      <c r="J88" s="248">
        <f>J$7</f>
        <v>40</v>
      </c>
      <c r="K88" s="247" t="s">
        <v>10</v>
      </c>
    </row>
    <row r="89" spans="1:16" ht="15" x14ac:dyDescent="0.2">
      <c r="A89" s="246"/>
      <c r="B89" s="245">
        <v>36</v>
      </c>
      <c r="C89" s="244">
        <v>288</v>
      </c>
      <c r="D89" s="244">
        <v>872</v>
      </c>
      <c r="E89" s="244"/>
      <c r="F89" s="243">
        <f>SUM(D89:E89)</f>
        <v>872</v>
      </c>
      <c r="G89" s="242">
        <v>27487</v>
      </c>
      <c r="H89" s="241">
        <f>F89/C89</f>
        <v>3.0277777777777777</v>
      </c>
      <c r="I89" s="240">
        <f>G89/C89</f>
        <v>95.440972222222229</v>
      </c>
      <c r="J89" s="239">
        <f>I89/H89</f>
        <v>31.521788990825691</v>
      </c>
      <c r="K89" s="238" t="s">
        <v>11</v>
      </c>
    </row>
    <row r="90" spans="1:16" ht="15.75" thickBot="1" x14ac:dyDescent="0.25">
      <c r="A90" s="237"/>
      <c r="B90" s="236"/>
      <c r="C90" s="235"/>
      <c r="D90" s="235"/>
      <c r="E90" s="235"/>
      <c r="F90" s="234">
        <f>F89/F88</f>
        <v>1.2832965415746873</v>
      </c>
      <c r="G90" s="233">
        <f>G89/G88</f>
        <v>1.0112950699043415</v>
      </c>
      <c r="H90" s="232"/>
      <c r="I90" s="231"/>
      <c r="J90" s="230"/>
      <c r="K90" s="229"/>
    </row>
    <row r="91" spans="1:16" ht="15.75" thickTop="1" x14ac:dyDescent="0.2">
      <c r="A91" s="228" t="s">
        <v>58</v>
      </c>
      <c r="B91" s="227">
        <v>36</v>
      </c>
      <c r="C91" s="226">
        <v>281</v>
      </c>
      <c r="D91" s="226">
        <f>G91/$J$7</f>
        <v>664.625</v>
      </c>
      <c r="E91" s="226"/>
      <c r="F91" s="225">
        <f>SUM(D91:E91)</f>
        <v>664.625</v>
      </c>
      <c r="G91" s="224">
        <v>26585</v>
      </c>
      <c r="H91" s="223">
        <f>F91/C91</f>
        <v>2.3652135231316724</v>
      </c>
      <c r="I91" s="222">
        <f>G91/C91</f>
        <v>94.608540925266908</v>
      </c>
      <c r="J91" s="221">
        <f>J$7</f>
        <v>40</v>
      </c>
      <c r="K91" s="220" t="s">
        <v>10</v>
      </c>
    </row>
    <row r="92" spans="1:16" ht="15" x14ac:dyDescent="0.2">
      <c r="A92" s="219"/>
      <c r="B92" s="218">
        <v>36</v>
      </c>
      <c r="C92" s="217">
        <v>281</v>
      </c>
      <c r="D92" s="217">
        <v>1036</v>
      </c>
      <c r="E92" s="217"/>
      <c r="F92" s="216">
        <f>SUM(D92:E92)</f>
        <v>1036</v>
      </c>
      <c r="G92" s="215">
        <v>28799</v>
      </c>
      <c r="H92" s="214">
        <f>F92/C92</f>
        <v>3.6868327402135233</v>
      </c>
      <c r="I92" s="213">
        <f>G92/C92</f>
        <v>102.48754448398577</v>
      </c>
      <c r="J92" s="212">
        <f>I92/H92</f>
        <v>27.798262548262549</v>
      </c>
      <c r="K92" s="211" t="s">
        <v>11</v>
      </c>
    </row>
    <row r="93" spans="1:16" ht="15.75" thickBot="1" x14ac:dyDescent="0.25">
      <c r="A93" s="210"/>
      <c r="B93" s="209"/>
      <c r="C93" s="208"/>
      <c r="D93" s="208"/>
      <c r="E93" s="208"/>
      <c r="F93" s="207">
        <f>F92/F91</f>
        <v>1.5587737445928156</v>
      </c>
      <c r="G93" s="206">
        <f>G92/G91</f>
        <v>1.0832800451382358</v>
      </c>
      <c r="H93" s="205"/>
      <c r="I93" s="204"/>
      <c r="J93" s="203"/>
      <c r="K93" s="202"/>
    </row>
    <row r="94" spans="1:16" ht="17.25" thickTop="1" thickBot="1" x14ac:dyDescent="0.25">
      <c r="A94" s="201" t="s">
        <v>57</v>
      </c>
      <c r="B94" s="200"/>
      <c r="C94" s="200"/>
      <c r="D94" s="200"/>
      <c r="E94" s="200"/>
      <c r="F94" s="199"/>
      <c r="G94" s="199"/>
      <c r="H94" s="199"/>
      <c r="I94" s="199"/>
      <c r="J94" s="199"/>
      <c r="K94" s="198"/>
    </row>
    <row r="95" spans="1:16" ht="15.75" thickTop="1" x14ac:dyDescent="0.2">
      <c r="A95" s="197">
        <f>$A$7</f>
        <v>2097</v>
      </c>
      <c r="B95" s="196">
        <f>$B$7</f>
        <v>228</v>
      </c>
      <c r="C95" s="13">
        <f>$C$7</f>
        <v>1971</v>
      </c>
      <c r="D95" s="13">
        <f>G95/$J$7</f>
        <v>251.25</v>
      </c>
      <c r="E95" s="13">
        <v>0</v>
      </c>
      <c r="F95" s="195">
        <f>SUM(D95:E95)</f>
        <v>251.25</v>
      </c>
      <c r="G95" s="194">
        <v>10050</v>
      </c>
      <c r="H95" s="193">
        <f>F95/C95</f>
        <v>0.12747336377473364</v>
      </c>
      <c r="I95" s="14">
        <f>G95/C95</f>
        <v>5.0989345509893456</v>
      </c>
      <c r="J95" s="174">
        <f>J$7</f>
        <v>40</v>
      </c>
      <c r="K95" s="35" t="s">
        <v>10</v>
      </c>
    </row>
    <row r="96" spans="1:16" ht="15" x14ac:dyDescent="0.2">
      <c r="A96" s="192">
        <f>$A$7</f>
        <v>2097</v>
      </c>
      <c r="B96" s="3">
        <f>$B$7</f>
        <v>228</v>
      </c>
      <c r="C96" s="4">
        <f>$C$7</f>
        <v>1971</v>
      </c>
      <c r="D96" s="4">
        <v>176</v>
      </c>
      <c r="E96" s="4">
        <v>0</v>
      </c>
      <c r="F96" s="26">
        <f>SUM(D96:E96)</f>
        <v>176</v>
      </c>
      <c r="G96" s="191">
        <v>5508</v>
      </c>
      <c r="H96" s="190">
        <f>F96/C96</f>
        <v>8.9294774226281071E-2</v>
      </c>
      <c r="I96" s="5">
        <f>G96/C96</f>
        <v>2.7945205479452055</v>
      </c>
      <c r="J96" s="6">
        <f>I96/H96</f>
        <v>31.295454545454547</v>
      </c>
      <c r="K96" s="51" t="s">
        <v>11</v>
      </c>
    </row>
    <row r="97" spans="1:11" ht="16.5" thickBot="1" x14ac:dyDescent="0.25">
      <c r="A97" s="189"/>
      <c r="B97" s="188"/>
      <c r="C97" s="188"/>
      <c r="D97" s="188"/>
      <c r="E97" s="188"/>
      <c r="F97" s="187">
        <f>F96/F95</f>
        <v>0.700497512437811</v>
      </c>
      <c r="G97" s="186">
        <f>G96/G95</f>
        <v>0.54805970149253735</v>
      </c>
      <c r="H97" s="157"/>
      <c r="I97" s="16"/>
      <c r="J97" s="17"/>
      <c r="K97" s="185"/>
    </row>
    <row r="98" spans="1:11" ht="16.5" thickTop="1" thickBot="1" x14ac:dyDescent="0.25">
      <c r="A98" s="29"/>
      <c r="B98" s="60"/>
      <c r="C98" s="28"/>
      <c r="D98" s="28"/>
      <c r="E98" s="28"/>
      <c r="F98" s="28"/>
      <c r="G98" s="32"/>
      <c r="H98" s="28"/>
      <c r="I98" s="32"/>
      <c r="J98" s="59"/>
      <c r="K98" s="59"/>
    </row>
    <row r="99" spans="1:11" ht="16.5" thickTop="1" thickBot="1" x14ac:dyDescent="0.25">
      <c r="A99" s="184" t="s">
        <v>56</v>
      </c>
      <c r="B99" s="183"/>
      <c r="C99" s="183"/>
      <c r="D99" s="183"/>
      <c r="E99" s="183"/>
      <c r="F99" s="183"/>
      <c r="G99" s="183"/>
      <c r="H99" s="183"/>
      <c r="I99" s="183"/>
      <c r="J99" s="183"/>
      <c r="K99" s="182"/>
    </row>
    <row r="100" spans="1:11" ht="16.5" thickTop="1" x14ac:dyDescent="0.2">
      <c r="A100" s="181">
        <f>$A$7</f>
        <v>2097</v>
      </c>
      <c r="B100" s="180">
        <f>$B$7</f>
        <v>228</v>
      </c>
      <c r="C100" s="179">
        <f>$C$7</f>
        <v>1971</v>
      </c>
      <c r="D100" s="179">
        <f>SUM(D95,D66,D63,D60,D57,D54,D51,D48,D45,D41,D38,D35,D32,D29,D26,D23,D20)</f>
        <v>29093.75</v>
      </c>
      <c r="E100" s="179">
        <v>0</v>
      </c>
      <c r="F100" s="178">
        <f>SUM(D100:E100)</f>
        <v>29093.75</v>
      </c>
      <c r="G100" s="177">
        <f>SUM(G95,G66,G63,G60,G57,G54,G51,G48,G45,G41,G38,G35,G32,G29,G26,G23,G20)</f>
        <v>1163750</v>
      </c>
      <c r="H100" s="176">
        <f>F100/C100</f>
        <v>14.760908168442414</v>
      </c>
      <c r="I100" s="175">
        <f>G100/C100</f>
        <v>590.43632673769662</v>
      </c>
      <c r="J100" s="174">
        <f>J$7</f>
        <v>40</v>
      </c>
      <c r="K100" s="173" t="s">
        <v>10</v>
      </c>
    </row>
    <row r="101" spans="1:11" ht="15.75" x14ac:dyDescent="0.2">
      <c r="A101" s="172">
        <f>$A$7</f>
        <v>2097</v>
      </c>
      <c r="B101" s="171">
        <f>$B$7</f>
        <v>228</v>
      </c>
      <c r="C101" s="170">
        <f>$C$7</f>
        <v>1971</v>
      </c>
      <c r="D101" s="170">
        <f>SUM(D96,D67,D64,D61,D58,D55,D52,D49,D46,D42,D39,D36,D33,D30,D27,D24,D21)</f>
        <v>23777</v>
      </c>
      <c r="E101" s="169">
        <v>0</v>
      </c>
      <c r="F101" s="168">
        <f>SUM(D101)</f>
        <v>23777</v>
      </c>
      <c r="G101" s="167">
        <f>SUM(G96,G67,G64,G61,G58,G55,G52,G49,G46,G42,G39,G36,G33,G30,G27,G24,G21)</f>
        <v>860412</v>
      </c>
      <c r="H101" s="166">
        <f>F101/C101</f>
        <v>12.06341958396753</v>
      </c>
      <c r="I101" s="165">
        <f>G101/C101</f>
        <v>436.53576864535768</v>
      </c>
      <c r="J101" s="164">
        <f>I101/H101</f>
        <v>36.186735080119441</v>
      </c>
      <c r="K101" s="163" t="s">
        <v>11</v>
      </c>
    </row>
    <row r="102" spans="1:11" ht="15.75" thickBot="1" x14ac:dyDescent="0.25">
      <c r="A102" s="162"/>
      <c r="B102" s="161"/>
      <c r="C102" s="160"/>
      <c r="D102" s="160"/>
      <c r="E102" s="160"/>
      <c r="F102" s="159">
        <f>F101/F100</f>
        <v>0.81725456498388827</v>
      </c>
      <c r="G102" s="158">
        <f>G101/G100</f>
        <v>0.73934436090225564</v>
      </c>
      <c r="H102" s="157"/>
      <c r="I102" s="156"/>
      <c r="J102" s="156"/>
      <c r="K102" s="155"/>
    </row>
    <row r="103" spans="1:11" ht="16.5" thickTop="1" thickBot="1" x14ac:dyDescent="0.25">
      <c r="A103" s="184" t="s">
        <v>55</v>
      </c>
      <c r="B103" s="183"/>
      <c r="C103" s="183"/>
      <c r="D103" s="183"/>
      <c r="E103" s="183"/>
      <c r="F103" s="183"/>
      <c r="G103" s="183"/>
      <c r="H103" s="183"/>
      <c r="I103" s="183"/>
      <c r="J103" s="183"/>
      <c r="K103" s="182"/>
    </row>
    <row r="104" spans="1:11" ht="16.5" thickTop="1" x14ac:dyDescent="0.2">
      <c r="A104" s="181">
        <f>$A$7</f>
        <v>2097</v>
      </c>
      <c r="B104" s="180">
        <f>$B$7</f>
        <v>228</v>
      </c>
      <c r="C104" s="179">
        <f>$C$8</f>
        <v>1850</v>
      </c>
      <c r="D104" s="179">
        <f>SUM(C70,C73,C76,C79,C82,C85,C88,C91)</f>
        <v>1850</v>
      </c>
      <c r="E104" s="179">
        <v>0</v>
      </c>
      <c r="F104" s="178">
        <f>SUM(D104:E104)</f>
        <v>1850</v>
      </c>
      <c r="G104" s="177">
        <f>SUM(G70,G73,G76,G79,G82,G85,G88,G91)</f>
        <v>176260</v>
      </c>
      <c r="H104" s="176">
        <f>F104/C104</f>
        <v>1</v>
      </c>
      <c r="I104" s="175">
        <f>G104/C104</f>
        <v>95.275675675675672</v>
      </c>
      <c r="J104" s="174">
        <f>J$7</f>
        <v>40</v>
      </c>
      <c r="K104" s="173" t="s">
        <v>10</v>
      </c>
    </row>
    <row r="105" spans="1:11" ht="15.75" x14ac:dyDescent="0.2">
      <c r="A105" s="172">
        <f>$A$7</f>
        <v>2097</v>
      </c>
      <c r="B105" s="171">
        <f>$B$7</f>
        <v>228</v>
      </c>
      <c r="C105" s="170">
        <f>$C$8</f>
        <v>1850</v>
      </c>
      <c r="D105" s="170">
        <f>SUM(D71,D74,D77,D80,D83,D86,D89,D92)</f>
        <v>5657</v>
      </c>
      <c r="E105" s="169">
        <v>0</v>
      </c>
      <c r="F105" s="168">
        <f>SUM(D105)</f>
        <v>5657</v>
      </c>
      <c r="G105" s="167">
        <f>SUM(G71,G74,G77,G80,G83,G86,G89,G92)</f>
        <v>169357</v>
      </c>
      <c r="H105" s="166">
        <f>F105/C105</f>
        <v>3.0578378378378379</v>
      </c>
      <c r="I105" s="165">
        <f>G105/C105</f>
        <v>91.544324324324322</v>
      </c>
      <c r="J105" s="164">
        <f>I105/H105</f>
        <v>29.937599434329147</v>
      </c>
      <c r="K105" s="163" t="s">
        <v>11</v>
      </c>
    </row>
    <row r="106" spans="1:11" ht="15.75" thickBot="1" x14ac:dyDescent="0.25">
      <c r="A106" s="162"/>
      <c r="B106" s="161"/>
      <c r="C106" s="160"/>
      <c r="D106" s="160"/>
      <c r="E106" s="160"/>
      <c r="F106" s="159">
        <f>F105/F104</f>
        <v>3.0578378378378379</v>
      </c>
      <c r="G106" s="158">
        <f>G105/G104</f>
        <v>0.96083626460910021</v>
      </c>
      <c r="H106" s="157"/>
      <c r="I106" s="156"/>
      <c r="J106" s="156"/>
      <c r="K106" s="155"/>
    </row>
    <row r="107" spans="1:11" ht="13.5" thickTop="1" x14ac:dyDescent="0.2"/>
  </sheetData>
  <mergeCells count="11">
    <mergeCell ref="X53:AB53"/>
    <mergeCell ref="X55:AB55"/>
    <mergeCell ref="A69:K69"/>
    <mergeCell ref="A94:K94"/>
    <mergeCell ref="D12:E12"/>
    <mergeCell ref="A44:K44"/>
    <mergeCell ref="A19:K19"/>
    <mergeCell ref="A15:K15"/>
    <mergeCell ref="A103:K103"/>
    <mergeCell ref="A99:K99"/>
    <mergeCell ref="A97:E97"/>
  </mergeCells>
  <pageMargins left="0.75" right="0.75" top="1" bottom="1" header="0.5" footer="0.5"/>
  <pageSetup scale="63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B925-C9A1-4D1D-AFBC-A5A3A21C10CC}">
  <sheetPr>
    <tabColor theme="9" tint="0.79998168889431442"/>
  </sheetPr>
  <dimension ref="A3:K46"/>
  <sheetViews>
    <sheetView tabSelected="1" topLeftCell="A4" zoomScale="120" zoomScaleNormal="120" zoomScaleSheetLayoutView="100" workbookViewId="0">
      <selection activeCell="U48" sqref="U48"/>
    </sheetView>
  </sheetViews>
  <sheetFormatPr defaultRowHeight="12.75" x14ac:dyDescent="0.2"/>
  <cols>
    <col min="1" max="11" width="12.7109375" customWidth="1"/>
  </cols>
  <sheetData>
    <row r="3" spans="1:11" x14ac:dyDescent="0.2">
      <c r="A3" s="38" t="s">
        <v>71</v>
      </c>
      <c r="B3" s="38" t="s">
        <v>70</v>
      </c>
    </row>
    <row r="5" spans="1:11" ht="15" x14ac:dyDescent="0.2">
      <c r="A5" s="3"/>
      <c r="B5" s="3"/>
      <c r="C5" s="3"/>
      <c r="D5" s="3"/>
      <c r="E5" s="3"/>
      <c r="F5" s="3"/>
      <c r="G5" s="3"/>
      <c r="H5" s="4"/>
      <c r="I5" s="4"/>
      <c r="J5" s="3"/>
      <c r="K5" s="3"/>
    </row>
    <row r="6" spans="1:11" ht="31.5" x14ac:dyDescent="0.2">
      <c r="A6" s="3" t="s">
        <v>0</v>
      </c>
      <c r="B6" s="2" t="s">
        <v>1</v>
      </c>
      <c r="C6" s="2" t="s">
        <v>4</v>
      </c>
      <c r="D6" s="2" t="s">
        <v>2</v>
      </c>
      <c r="E6" s="2" t="s">
        <v>6</v>
      </c>
      <c r="F6" s="2" t="s">
        <v>7</v>
      </c>
      <c r="G6" s="2" t="s">
        <v>3</v>
      </c>
      <c r="H6" s="2" t="s">
        <v>5</v>
      </c>
      <c r="I6" s="2" t="s">
        <v>8</v>
      </c>
      <c r="J6" s="2" t="s">
        <v>9</v>
      </c>
      <c r="K6" s="3"/>
    </row>
    <row r="7" spans="1:11" ht="15.75" thickBot="1" x14ac:dyDescent="0.25">
      <c r="A7" s="1">
        <v>2098</v>
      </c>
      <c r="B7" s="64">
        <v>169</v>
      </c>
      <c r="C7" s="65">
        <v>716</v>
      </c>
      <c r="D7" s="4">
        <f>G7/$J$7</f>
        <v>16713.599999999999</v>
      </c>
      <c r="E7" s="4">
        <v>0</v>
      </c>
      <c r="F7" s="4">
        <f>SUM(D7:E7)</f>
        <v>16713.599999999999</v>
      </c>
      <c r="G7" s="5">
        <f>SUM(G16,G19,G22,G25,G28)</f>
        <v>668544</v>
      </c>
      <c r="H7" s="9">
        <f>F7/C7</f>
        <v>23.343016759776535</v>
      </c>
      <c r="I7" s="11">
        <f>G7/C7</f>
        <v>933.7206703910615</v>
      </c>
      <c r="J7" s="12">
        <v>40</v>
      </c>
      <c r="K7" s="37" t="s">
        <v>10</v>
      </c>
    </row>
    <row r="8" spans="1:11" ht="16.5" thickTop="1" thickBot="1" x14ac:dyDescent="0.25">
      <c r="A8" s="3">
        <v>2098</v>
      </c>
      <c r="B8" s="64">
        <v>169</v>
      </c>
      <c r="C8" s="65">
        <v>692</v>
      </c>
      <c r="D8" s="4">
        <f>SUM(D17,D20,D23,D26,D29)</f>
        <v>16319</v>
      </c>
      <c r="E8" s="4">
        <v>0</v>
      </c>
      <c r="F8" s="4">
        <f>SUM(D8)</f>
        <v>16319</v>
      </c>
      <c r="G8" s="5">
        <f>SUM(G17,G20,G23,G26,G29)</f>
        <v>660792</v>
      </c>
      <c r="H8" s="58">
        <f>F8/C8</f>
        <v>23.582369942196532</v>
      </c>
      <c r="I8" s="42">
        <f>G8/C8</f>
        <v>954.90173410404623</v>
      </c>
      <c r="J8" s="43">
        <f>I8/H8</f>
        <v>40.492187021263554</v>
      </c>
      <c r="K8" s="37" t="s">
        <v>11</v>
      </c>
    </row>
    <row r="9" spans="1:11" ht="15.75" thickTop="1" x14ac:dyDescent="0.2">
      <c r="A9" s="3"/>
      <c r="B9" s="3"/>
      <c r="C9" s="4"/>
      <c r="D9" s="4"/>
      <c r="E9" s="4"/>
      <c r="F9" s="4"/>
      <c r="G9" s="5"/>
      <c r="H9" s="18"/>
      <c r="I9" s="20"/>
      <c r="J9" s="52"/>
      <c r="K9" s="6"/>
    </row>
    <row r="10" spans="1:11" ht="15" x14ac:dyDescent="0.2">
      <c r="A10" s="3"/>
      <c r="B10" s="3"/>
      <c r="C10" s="4"/>
      <c r="D10" s="4"/>
      <c r="E10" s="4"/>
      <c r="F10" s="7">
        <f>F8/F7</f>
        <v>0.97639048439594112</v>
      </c>
      <c r="G10" s="62">
        <f>G8/G7</f>
        <v>0.98840465249856402</v>
      </c>
      <c r="H10" s="7"/>
      <c r="I10" s="7"/>
      <c r="J10" s="6"/>
      <c r="K10" s="6"/>
    </row>
    <row r="11" spans="1:11" ht="15.75" thickBot="1" x14ac:dyDescent="0.25">
      <c r="A11" s="3"/>
      <c r="B11" s="3"/>
      <c r="C11" s="4"/>
      <c r="D11" s="9"/>
      <c r="E11" s="9"/>
      <c r="F11" s="9"/>
      <c r="G11" s="11"/>
      <c r="H11" s="9"/>
      <c r="I11" s="5"/>
      <c r="J11" s="6"/>
      <c r="K11" s="6"/>
    </row>
    <row r="12" spans="1:11" ht="16.5" customHeight="1" thickTop="1" thickBot="1" x14ac:dyDescent="0.25">
      <c r="A12" s="3"/>
      <c r="B12" s="3"/>
      <c r="C12" s="26"/>
      <c r="D12" s="142" t="s">
        <v>12</v>
      </c>
      <c r="E12" s="143"/>
      <c r="F12" s="46">
        <f>F7-F8</f>
        <v>394.59999999999854</v>
      </c>
      <c r="G12" s="47">
        <f>G7-G8</f>
        <v>7752</v>
      </c>
      <c r="H12" s="61"/>
      <c r="I12" s="5"/>
      <c r="J12" s="6"/>
      <c r="K12" s="6"/>
    </row>
    <row r="13" spans="1:11" ht="15.75" thickTop="1" x14ac:dyDescent="0.2">
      <c r="A13" s="3"/>
      <c r="B13" s="3"/>
      <c r="C13" s="4"/>
      <c r="D13" s="18"/>
      <c r="E13" s="18"/>
      <c r="F13" s="18"/>
      <c r="G13" s="20"/>
      <c r="H13" s="18"/>
      <c r="I13" s="20"/>
      <c r="J13" s="6"/>
      <c r="K13" s="6"/>
    </row>
    <row r="14" spans="1:11" ht="15.75" thickBot="1" x14ac:dyDescent="0.25">
      <c r="A14" s="8"/>
      <c r="B14" s="8"/>
      <c r="C14" s="9"/>
      <c r="D14" s="9"/>
      <c r="E14" s="9"/>
      <c r="F14" s="4"/>
      <c r="G14" s="5"/>
      <c r="H14" s="4"/>
      <c r="I14" s="5"/>
      <c r="J14" s="6"/>
      <c r="K14" s="6"/>
    </row>
    <row r="15" spans="1:11" ht="12.75" customHeight="1" thickTop="1" thickBot="1" x14ac:dyDescent="0.25">
      <c r="A15" s="144" t="s">
        <v>13</v>
      </c>
      <c r="B15" s="145"/>
      <c r="C15" s="145"/>
      <c r="D15" s="145"/>
      <c r="E15" s="146"/>
      <c r="F15" s="10"/>
      <c r="G15" s="11"/>
      <c r="H15" s="9"/>
      <c r="I15" s="11"/>
      <c r="J15" s="12"/>
      <c r="K15" s="12"/>
    </row>
    <row r="16" spans="1:11" ht="16.5" thickTop="1" thickBot="1" x14ac:dyDescent="0.25">
      <c r="A16" s="1">
        <f>$A$7</f>
        <v>2098</v>
      </c>
      <c r="B16" s="3">
        <f>$B$7</f>
        <v>169</v>
      </c>
      <c r="C16" s="4">
        <f>$C$7</f>
        <v>716</v>
      </c>
      <c r="D16" s="4">
        <f>G16/$J$7</f>
        <v>845</v>
      </c>
      <c r="E16" s="4">
        <v>0</v>
      </c>
      <c r="F16" s="13">
        <f>SUM(D16:E16)</f>
        <v>845</v>
      </c>
      <c r="G16" s="14">
        <v>33800</v>
      </c>
      <c r="H16" s="13">
        <f>F16/C16</f>
        <v>1.1801675977653632</v>
      </c>
      <c r="I16" s="14">
        <f>G16/C16</f>
        <v>47.206703910614522</v>
      </c>
      <c r="J16" s="6">
        <v>60</v>
      </c>
      <c r="K16" s="27" t="s">
        <v>10</v>
      </c>
    </row>
    <row r="17" spans="1:11" ht="16.5" thickTop="1" thickBot="1" x14ac:dyDescent="0.25">
      <c r="A17" s="1">
        <f>$A$7</f>
        <v>2098</v>
      </c>
      <c r="B17" s="3">
        <f>$B$7</f>
        <v>169</v>
      </c>
      <c r="C17" s="4">
        <f>$C$7</f>
        <v>716</v>
      </c>
      <c r="D17" s="48">
        <v>588</v>
      </c>
      <c r="E17" s="48">
        <v>0</v>
      </c>
      <c r="F17" s="4">
        <f>SUM(D17:E17)</f>
        <v>588</v>
      </c>
      <c r="G17" s="5">
        <v>37917</v>
      </c>
      <c r="H17" s="4">
        <f>F17/C17</f>
        <v>0.82122905027932958</v>
      </c>
      <c r="I17" s="5">
        <f>G17/C17</f>
        <v>52.956703910614522</v>
      </c>
      <c r="J17" s="44">
        <f>I17/H17</f>
        <v>64.484693877551024</v>
      </c>
      <c r="K17" s="37" t="s">
        <v>11</v>
      </c>
    </row>
    <row r="18" spans="1:11" ht="17.25" thickTop="1" thickBot="1" x14ac:dyDescent="0.3">
      <c r="A18" s="144" t="s">
        <v>17</v>
      </c>
      <c r="B18" s="145"/>
      <c r="C18" s="145"/>
      <c r="D18" s="145"/>
      <c r="E18" s="147"/>
      <c r="F18" s="15">
        <f>F17/F16</f>
        <v>0.69585798816568045</v>
      </c>
      <c r="G18" s="16">
        <f>G17/G16</f>
        <v>1.1218047337278108</v>
      </c>
      <c r="H18" s="16"/>
      <c r="I18" s="16"/>
      <c r="J18" s="16"/>
      <c r="K18" s="45"/>
    </row>
    <row r="19" spans="1:11" ht="16.5" thickTop="1" thickBot="1" x14ac:dyDescent="0.25">
      <c r="A19" s="1">
        <f>$A$7</f>
        <v>2098</v>
      </c>
      <c r="B19" s="3">
        <f>$B$7</f>
        <v>169</v>
      </c>
      <c r="C19" s="4">
        <f>$C$7</f>
        <v>716</v>
      </c>
      <c r="D19" s="4">
        <f>G19/$J$7</f>
        <v>1284.7249999999999</v>
      </c>
      <c r="E19" s="4">
        <v>0</v>
      </c>
      <c r="F19" s="13">
        <f>SUM(D19:E19)</f>
        <v>1284.7249999999999</v>
      </c>
      <c r="G19" s="14">
        <v>51389</v>
      </c>
      <c r="H19" s="13">
        <f>F19/C19</f>
        <v>1.794308659217877</v>
      </c>
      <c r="I19" s="14">
        <f>G19/C19</f>
        <v>71.772346368715077</v>
      </c>
      <c r="J19" s="6">
        <f>I19/H19</f>
        <v>40</v>
      </c>
      <c r="K19" s="27" t="s">
        <v>10</v>
      </c>
    </row>
    <row r="20" spans="1:11" ht="16.5" thickTop="1" thickBot="1" x14ac:dyDescent="0.25">
      <c r="A20" s="1">
        <f>$A$7</f>
        <v>2098</v>
      </c>
      <c r="B20" s="3">
        <f>$B$7</f>
        <v>169</v>
      </c>
      <c r="C20" s="4">
        <f>$C$7</f>
        <v>716</v>
      </c>
      <c r="D20" s="48">
        <v>666</v>
      </c>
      <c r="E20" s="48">
        <v>0</v>
      </c>
      <c r="F20" s="4">
        <f>SUM(D20:E20)</f>
        <v>666</v>
      </c>
      <c r="G20" s="5">
        <v>29541</v>
      </c>
      <c r="H20" s="4">
        <f>F20/C20</f>
        <v>0.93016759776536317</v>
      </c>
      <c r="I20" s="5">
        <f>G20/C20</f>
        <v>41.258379888268159</v>
      </c>
      <c r="J20" s="44">
        <f>I20/H20</f>
        <v>44.355855855855857</v>
      </c>
      <c r="K20" s="37" t="s">
        <v>11</v>
      </c>
    </row>
    <row r="21" spans="1:11" ht="17.25" thickTop="1" thickBot="1" x14ac:dyDescent="0.25">
      <c r="A21" s="144" t="s">
        <v>15</v>
      </c>
      <c r="B21" s="145"/>
      <c r="C21" s="145"/>
      <c r="D21" s="145"/>
      <c r="E21" s="146"/>
      <c r="F21" s="15">
        <f>F20/F19</f>
        <v>0.51839887913755867</v>
      </c>
      <c r="G21" s="16">
        <f>G20/G19</f>
        <v>0.57485064897156979</v>
      </c>
      <c r="H21" s="16"/>
      <c r="I21" s="16"/>
      <c r="J21" s="45"/>
      <c r="K21" s="45"/>
    </row>
    <row r="22" spans="1:11" ht="16.5" thickTop="1" thickBot="1" x14ac:dyDescent="0.25">
      <c r="A22" s="1">
        <f>$A$7</f>
        <v>2098</v>
      </c>
      <c r="B22" s="3">
        <f>$B$7</f>
        <v>169</v>
      </c>
      <c r="C22" s="4">
        <f>$C$7</f>
        <v>716</v>
      </c>
      <c r="D22" s="4">
        <f>G22/$J$7</f>
        <v>8043.875</v>
      </c>
      <c r="E22" s="4">
        <v>0</v>
      </c>
      <c r="F22" s="13">
        <f>SUM(D22:E22)</f>
        <v>8043.875</v>
      </c>
      <c r="G22" s="14">
        <v>321755</v>
      </c>
      <c r="H22" s="13">
        <f>F22/C22</f>
        <v>11.234462290502794</v>
      </c>
      <c r="I22" s="14">
        <f>G22/C22</f>
        <v>449.37849162011173</v>
      </c>
      <c r="J22" s="6">
        <f>I22/H22</f>
        <v>40</v>
      </c>
      <c r="K22" s="27" t="s">
        <v>10</v>
      </c>
    </row>
    <row r="23" spans="1:11" ht="16.5" thickTop="1" thickBot="1" x14ac:dyDescent="0.25">
      <c r="A23" s="1">
        <f>$A$7</f>
        <v>2098</v>
      </c>
      <c r="B23" s="3">
        <f>$B$7</f>
        <v>169</v>
      </c>
      <c r="C23" s="4">
        <f>$C$7</f>
        <v>716</v>
      </c>
      <c r="D23" s="48">
        <v>9475</v>
      </c>
      <c r="E23" s="48">
        <v>0</v>
      </c>
      <c r="F23" s="4">
        <f>SUM(D23:E23)</f>
        <v>9475</v>
      </c>
      <c r="G23" s="5">
        <v>368208</v>
      </c>
      <c r="H23" s="4">
        <f>F23/C23</f>
        <v>13.233240223463687</v>
      </c>
      <c r="I23" s="5">
        <f>G23/C23</f>
        <v>514.25698324022346</v>
      </c>
      <c r="J23" s="44">
        <f>I23/H23</f>
        <v>38.861002638522429</v>
      </c>
      <c r="K23" s="37" t="s">
        <v>11</v>
      </c>
    </row>
    <row r="24" spans="1:11" ht="17.25" customHeight="1" thickTop="1" thickBot="1" x14ac:dyDescent="0.25">
      <c r="A24" s="144" t="s">
        <v>16</v>
      </c>
      <c r="B24" s="145"/>
      <c r="C24" s="145"/>
      <c r="D24" s="145"/>
      <c r="E24" s="146"/>
      <c r="F24" s="15">
        <f>F23/F22</f>
        <v>1.1779148731177449</v>
      </c>
      <c r="G24" s="16">
        <f>G23/G22</f>
        <v>1.1443738248045874</v>
      </c>
      <c r="H24" s="16"/>
      <c r="I24" s="16"/>
      <c r="J24" s="17"/>
      <c r="K24" s="17"/>
    </row>
    <row r="25" spans="1:11" ht="16.5" thickTop="1" thickBot="1" x14ac:dyDescent="0.25">
      <c r="A25" s="1">
        <f>$A$7</f>
        <v>2098</v>
      </c>
      <c r="B25" s="3">
        <f>$B$7</f>
        <v>169</v>
      </c>
      <c r="C25" s="4">
        <f>C8</f>
        <v>692</v>
      </c>
      <c r="D25" s="4">
        <f>G25/$J$7</f>
        <v>1699.5</v>
      </c>
      <c r="E25" s="4">
        <v>0</v>
      </c>
      <c r="F25" s="13">
        <f>SUM(D25:E25)</f>
        <v>1699.5</v>
      </c>
      <c r="G25" s="14">
        <v>67980</v>
      </c>
      <c r="H25" s="13">
        <f>F25/C25</f>
        <v>2.4559248554913293</v>
      </c>
      <c r="I25" s="14">
        <f>G25/C25</f>
        <v>98.236994219653184</v>
      </c>
      <c r="J25" s="6">
        <f>I25/H25</f>
        <v>40.000000000000007</v>
      </c>
      <c r="K25" s="27" t="s">
        <v>10</v>
      </c>
    </row>
    <row r="26" spans="1:11" ht="16.5" thickTop="1" thickBot="1" x14ac:dyDescent="0.25">
      <c r="A26" s="1">
        <f>$A$7</f>
        <v>2098</v>
      </c>
      <c r="B26" s="3">
        <f>$B$7</f>
        <v>169</v>
      </c>
      <c r="C26" s="4">
        <f>C25</f>
        <v>692</v>
      </c>
      <c r="D26" s="48">
        <v>2315</v>
      </c>
      <c r="E26" s="48">
        <v>0</v>
      </c>
      <c r="F26" s="4">
        <f>SUM(D26:E26)</f>
        <v>2315</v>
      </c>
      <c r="G26" s="5">
        <v>84112</v>
      </c>
      <c r="H26" s="4">
        <f>F26/C26</f>
        <v>3.3453757225433525</v>
      </c>
      <c r="I26" s="5">
        <f>G26/C26</f>
        <v>121.54913294797687</v>
      </c>
      <c r="J26" s="44">
        <f>I26/H26</f>
        <v>36.333477321814257</v>
      </c>
      <c r="K26" s="37" t="s">
        <v>11</v>
      </c>
    </row>
    <row r="27" spans="1:11" ht="17.25" customHeight="1" thickTop="1" thickBot="1" x14ac:dyDescent="0.25">
      <c r="A27" s="144" t="s">
        <v>14</v>
      </c>
      <c r="B27" s="145"/>
      <c r="C27" s="145"/>
      <c r="D27" s="145"/>
      <c r="E27" s="146"/>
      <c r="F27" s="19">
        <f>F26/F25</f>
        <v>1.362165342747867</v>
      </c>
      <c r="G27" s="16">
        <f>G26/G25</f>
        <v>1.2373050897322742</v>
      </c>
      <c r="H27" s="16"/>
      <c r="I27" s="16"/>
      <c r="J27" s="17"/>
      <c r="K27" s="17"/>
    </row>
    <row r="28" spans="1:11" ht="16.5" thickTop="1" thickBot="1" x14ac:dyDescent="0.25">
      <c r="A28" s="1">
        <f>$A$7</f>
        <v>2098</v>
      </c>
      <c r="B28" s="3">
        <f>$B$7</f>
        <v>169</v>
      </c>
      <c r="C28" s="4">
        <f>$C$7</f>
        <v>716</v>
      </c>
      <c r="D28" s="4">
        <f>G28/$J$7</f>
        <v>4840.5</v>
      </c>
      <c r="E28" s="4">
        <v>0</v>
      </c>
      <c r="F28" s="13">
        <f>SUM(D28:E28)</f>
        <v>4840.5</v>
      </c>
      <c r="G28" s="14">
        <v>193620</v>
      </c>
      <c r="H28" s="13">
        <f>F28/C28</f>
        <v>6.7604748603351954</v>
      </c>
      <c r="I28" s="14">
        <f>G28/C28</f>
        <v>270.4189944134078</v>
      </c>
      <c r="J28" s="6">
        <f>I28/H28</f>
        <v>40</v>
      </c>
      <c r="K28" s="27" t="s">
        <v>10</v>
      </c>
    </row>
    <row r="29" spans="1:11" ht="16.5" thickTop="1" thickBot="1" x14ac:dyDescent="0.25">
      <c r="A29" s="1">
        <f>$A$7</f>
        <v>2098</v>
      </c>
      <c r="B29" s="3">
        <f>$B$7</f>
        <v>169</v>
      </c>
      <c r="C29" s="4">
        <f>$C$7</f>
        <v>716</v>
      </c>
      <c r="D29" s="48">
        <v>3275</v>
      </c>
      <c r="E29" s="48">
        <v>0</v>
      </c>
      <c r="F29" s="4">
        <f>SUM(D29:E29)</f>
        <v>3275</v>
      </c>
      <c r="G29" s="5">
        <v>141014</v>
      </c>
      <c r="H29" s="4">
        <f>F29/C29</f>
        <v>4.5740223463687153</v>
      </c>
      <c r="I29" s="5">
        <f>G29/C29</f>
        <v>196.94692737430168</v>
      </c>
      <c r="J29" s="44">
        <f>I29/H29</f>
        <v>43.05770992366412</v>
      </c>
      <c r="K29" s="37" t="s">
        <v>11</v>
      </c>
    </row>
    <row r="30" spans="1:11" ht="17.25" customHeight="1" thickTop="1" thickBot="1" x14ac:dyDescent="0.25">
      <c r="A30" s="141"/>
      <c r="B30" s="141"/>
      <c r="C30" s="141"/>
      <c r="D30" s="141"/>
      <c r="E30" s="141"/>
      <c r="F30" s="33">
        <f>F29/F28</f>
        <v>0.67658299762421237</v>
      </c>
      <c r="G30" s="16">
        <f>G29/G28</f>
        <v>0.72830286127466171</v>
      </c>
      <c r="H30" s="16"/>
      <c r="I30" s="16"/>
      <c r="J30" s="17"/>
      <c r="K30" s="17"/>
    </row>
    <row r="31" spans="1:11" ht="15.75" thickTop="1" x14ac:dyDescent="0.2">
      <c r="A31" s="29"/>
      <c r="B31" s="60"/>
      <c r="C31" s="28"/>
      <c r="D31" s="28"/>
      <c r="E31" s="28"/>
      <c r="F31" s="30"/>
      <c r="G31" s="31"/>
      <c r="H31" s="30"/>
      <c r="I31" s="31"/>
      <c r="J31" s="36"/>
      <c r="K31" s="36"/>
    </row>
    <row r="32" spans="1:11" ht="15.75" thickBot="1" x14ac:dyDescent="0.25">
      <c r="A32" s="29"/>
      <c r="B32" s="60"/>
      <c r="C32" s="28"/>
      <c r="D32" s="28"/>
      <c r="E32" s="28"/>
      <c r="F32" s="28"/>
      <c r="G32" s="32"/>
      <c r="H32" s="28"/>
      <c r="I32" s="32"/>
      <c r="J32" s="59"/>
      <c r="K32" s="59"/>
    </row>
    <row r="33" spans="1:11" ht="17.25" thickTop="1" thickBot="1" x14ac:dyDescent="0.25">
      <c r="A33" s="53">
        <f>$A$7</f>
        <v>2098</v>
      </c>
      <c r="B33" s="3">
        <f>$B$7</f>
        <v>169</v>
      </c>
      <c r="C33" s="4">
        <f>$C$7</f>
        <v>716</v>
      </c>
      <c r="D33" s="13">
        <f>SUM(D28,D22,D19)</f>
        <v>14169.1</v>
      </c>
      <c r="E33" s="13">
        <v>0</v>
      </c>
      <c r="F33" s="13">
        <f>SUM(D33:E33)</f>
        <v>14169.1</v>
      </c>
      <c r="G33" s="14">
        <f>SUM(G28,G22,G19)</f>
        <v>566764</v>
      </c>
      <c r="H33" s="34">
        <f>F33/C33</f>
        <v>19.789245810055867</v>
      </c>
      <c r="I33" s="39">
        <f>G33/C33</f>
        <v>791.56983240223462</v>
      </c>
      <c r="J33" s="12">
        <f>I33/H33</f>
        <v>40</v>
      </c>
      <c r="K33" s="35" t="s">
        <v>10</v>
      </c>
    </row>
    <row r="34" spans="1:11" ht="17.25" thickTop="1" thickBot="1" x14ac:dyDescent="0.25">
      <c r="A34" s="53">
        <f>$A$7</f>
        <v>2098</v>
      </c>
      <c r="B34" s="3">
        <f>$B$7</f>
        <v>169</v>
      </c>
      <c r="C34" s="4">
        <f>$C$7</f>
        <v>716</v>
      </c>
      <c r="D34" s="4">
        <f>SUM(D29,D23,D20)</f>
        <v>13416</v>
      </c>
      <c r="E34" s="49">
        <v>0</v>
      </c>
      <c r="F34" s="4">
        <f>SUM(D34)</f>
        <v>13416</v>
      </c>
      <c r="G34" s="50">
        <f>SUM(G29,G23,G20)</f>
        <v>538763</v>
      </c>
      <c r="H34" s="41">
        <f>F34/C34</f>
        <v>18.737430167597765</v>
      </c>
      <c r="I34" s="42">
        <f>G34/C34</f>
        <v>752.46229050279328</v>
      </c>
      <c r="J34" s="43">
        <f>I34/H34</f>
        <v>40.158243887895054</v>
      </c>
      <c r="K34" s="51" t="s">
        <v>11</v>
      </c>
    </row>
    <row r="35" spans="1:11" ht="16.5" thickTop="1" thickBot="1" x14ac:dyDescent="0.25">
      <c r="A35" s="54"/>
      <c r="B35" s="55"/>
      <c r="C35" s="56"/>
      <c r="D35" s="56"/>
      <c r="E35" s="56"/>
      <c r="F35" s="56">
        <f>F34/F33</f>
        <v>0.94684912944364852</v>
      </c>
      <c r="G35" s="63">
        <f>G34/G33</f>
        <v>0.9505949566309787</v>
      </c>
      <c r="H35" s="40"/>
      <c r="I35" s="40"/>
      <c r="J35" s="40"/>
      <c r="K35" s="57"/>
    </row>
    <row r="36" spans="1:11" ht="13.5" thickTop="1" x14ac:dyDescent="0.2">
      <c r="A36" s="21"/>
      <c r="B36" s="22"/>
      <c r="C36" s="23"/>
      <c r="D36" s="23"/>
      <c r="E36" s="23"/>
      <c r="F36" s="23"/>
      <c r="G36" s="24"/>
      <c r="H36" s="23"/>
      <c r="I36" s="24"/>
      <c r="J36" s="25"/>
      <c r="K36" s="25"/>
    </row>
    <row r="37" spans="1:11" x14ac:dyDescent="0.2">
      <c r="A37" s="21"/>
      <c r="B37" s="22"/>
      <c r="C37" s="23"/>
      <c r="D37" s="23"/>
      <c r="E37" s="23"/>
      <c r="F37" s="23"/>
      <c r="G37" s="24"/>
      <c r="H37" s="23"/>
      <c r="I37" s="24"/>
      <c r="J37" s="25"/>
      <c r="K37" s="25"/>
    </row>
    <row r="38" spans="1:11" x14ac:dyDescent="0.2">
      <c r="A38" s="21"/>
      <c r="B38" s="22"/>
      <c r="C38" s="23"/>
      <c r="D38" s="23"/>
      <c r="E38" s="23"/>
      <c r="F38" s="23"/>
      <c r="G38" s="24"/>
      <c r="H38" s="23"/>
      <c r="I38" s="24"/>
      <c r="J38" s="25"/>
      <c r="K38" s="25"/>
    </row>
    <row r="39" spans="1:11" x14ac:dyDescent="0.2">
      <c r="A39" s="21"/>
      <c r="B39" s="22"/>
      <c r="C39" s="23"/>
      <c r="D39" s="23"/>
      <c r="E39" s="23"/>
      <c r="F39" s="23"/>
      <c r="G39" s="24"/>
      <c r="H39" s="23"/>
      <c r="I39" s="24"/>
      <c r="J39" s="25"/>
      <c r="K39" s="25"/>
    </row>
    <row r="40" spans="1:11" x14ac:dyDescent="0.2">
      <c r="A40" s="21"/>
      <c r="B40" s="22"/>
      <c r="C40" s="23"/>
      <c r="D40" s="23"/>
      <c r="E40" s="23"/>
      <c r="F40" s="23"/>
      <c r="G40" s="24"/>
      <c r="H40" s="23"/>
      <c r="I40" s="24"/>
      <c r="J40" s="25"/>
      <c r="K40" s="25"/>
    </row>
    <row r="41" spans="1:11" x14ac:dyDescent="0.2">
      <c r="A41" s="21"/>
      <c r="B41" s="22"/>
      <c r="C41" s="23"/>
      <c r="D41" s="23"/>
      <c r="E41" s="23"/>
      <c r="F41" s="23"/>
      <c r="G41" s="24"/>
      <c r="H41" s="23"/>
      <c r="I41" s="24"/>
      <c r="J41" s="25"/>
      <c r="K41" s="25"/>
    </row>
    <row r="42" spans="1:11" x14ac:dyDescent="0.2">
      <c r="A42" s="21"/>
      <c r="B42" s="22"/>
      <c r="C42" s="23"/>
      <c r="D42" s="23"/>
      <c r="E42" s="23"/>
      <c r="F42" s="23"/>
      <c r="G42" s="24"/>
      <c r="H42" s="23"/>
      <c r="I42" s="24"/>
      <c r="J42" s="25"/>
      <c r="K42" s="25"/>
    </row>
    <row r="43" spans="1:11" x14ac:dyDescent="0.2">
      <c r="A43" s="22"/>
      <c r="B43" s="22"/>
      <c r="C43" s="23"/>
      <c r="D43" s="23"/>
      <c r="E43" s="23"/>
      <c r="F43" s="23"/>
      <c r="G43" s="24"/>
      <c r="H43" s="23"/>
      <c r="I43" s="24"/>
      <c r="J43" s="25"/>
      <c r="K43" s="25"/>
    </row>
    <row r="44" spans="1:11" x14ac:dyDescent="0.2">
      <c r="A44" s="22"/>
      <c r="B44" s="22"/>
      <c r="C44" s="23"/>
      <c r="D44" s="23"/>
      <c r="E44" s="23"/>
      <c r="F44" s="23"/>
      <c r="G44" s="24"/>
      <c r="H44" s="23"/>
      <c r="I44" s="24"/>
      <c r="J44" s="25"/>
      <c r="K44" s="25"/>
    </row>
    <row r="45" spans="1:11" x14ac:dyDescent="0.2">
      <c r="A45" s="22"/>
      <c r="B45" s="22"/>
      <c r="C45" s="23"/>
      <c r="D45" s="23"/>
      <c r="E45" s="23"/>
      <c r="F45" s="23"/>
      <c r="G45" s="24"/>
      <c r="H45" s="23"/>
      <c r="I45" s="24"/>
      <c r="J45" s="25"/>
      <c r="K45" s="25"/>
    </row>
    <row r="46" spans="1:11" x14ac:dyDescent="0.2">
      <c r="A46" s="22"/>
      <c r="B46" s="22"/>
      <c r="C46" s="23"/>
      <c r="D46" s="23"/>
      <c r="E46" s="23"/>
      <c r="F46" s="23"/>
      <c r="G46" s="24"/>
      <c r="H46" s="23"/>
      <c r="I46" s="24"/>
      <c r="J46" s="25"/>
      <c r="K46" s="25"/>
    </row>
  </sheetData>
  <mergeCells count="7">
    <mergeCell ref="A30:E30"/>
    <mergeCell ref="D12:E12"/>
    <mergeCell ref="A15:E15"/>
    <mergeCell ref="A18:E18"/>
    <mergeCell ref="A21:E21"/>
    <mergeCell ref="A24:E24"/>
    <mergeCell ref="A27:E27"/>
  </mergeCells>
  <pageMargins left="0.75" right="0.75" top="1" bottom="1" header="0.5" footer="0.5"/>
  <pageSetup scale="6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88</vt:i4>
      </vt:variant>
      <vt:variant>
        <vt:lpstr>Named Ranges</vt:lpstr>
      </vt:variant>
      <vt:variant>
        <vt:i4>88</vt:i4>
      </vt:variant>
    </vt:vector>
  </HeadingPairs>
  <TitlesOfParts>
    <vt:vector size="176" baseType="lpstr">
      <vt:lpstr>2001-BROADWAY</vt:lpstr>
      <vt:lpstr>2002-WEDGEWOOD</vt:lpstr>
      <vt:lpstr>2003-EVANSTON</vt:lpstr>
      <vt:lpstr>2005-KAVELLA</vt:lpstr>
      <vt:lpstr>2006-BELLA LAGO</vt:lpstr>
      <vt:lpstr>2008-TAYLOR</vt:lpstr>
      <vt:lpstr>2009-GREENWOOD</vt:lpstr>
      <vt:lpstr>2010-OLD TOWN</vt:lpstr>
      <vt:lpstr>2011-BARRETT</vt:lpstr>
      <vt:lpstr>2012-8TH AVE</vt:lpstr>
      <vt:lpstr>2013-63RD</vt:lpstr>
      <vt:lpstr>2014-PIKE</vt:lpstr>
      <vt:lpstr>2015-ROOSTER</vt:lpstr>
      <vt:lpstr>2016-SEDONA</vt:lpstr>
      <vt:lpstr>2017-STONE</vt:lpstr>
      <vt:lpstr>2018-ASTRO</vt:lpstr>
      <vt:lpstr>2019-REPUBLICAN</vt:lpstr>
      <vt:lpstr>2020-BELLEVUE</vt:lpstr>
      <vt:lpstr>2021-ADMIRAL</vt:lpstr>
      <vt:lpstr>2022-INTERLAKE</vt:lpstr>
      <vt:lpstr>2023-LEGACY</vt:lpstr>
      <vt:lpstr>2024-MGB</vt:lpstr>
      <vt:lpstr>2025-CORA</vt:lpstr>
      <vt:lpstr>2026-BOREN</vt:lpstr>
      <vt:lpstr>2027-BROADWAY</vt:lpstr>
      <vt:lpstr>2028-RESERVE FIRE</vt:lpstr>
      <vt:lpstr>2029-PARSONAGE</vt:lpstr>
      <vt:lpstr>2030-EAST UNION</vt:lpstr>
      <vt:lpstr>2031-GATEWAY FLATS</vt:lpstr>
      <vt:lpstr>2031-GATEWAY MIDRISE</vt:lpstr>
      <vt:lpstr>2032-LUNA</vt:lpstr>
      <vt:lpstr>2033-VUECREST</vt:lpstr>
      <vt:lpstr>2034-PARK LANE</vt:lpstr>
      <vt:lpstr>2035-162 TEN</vt:lpstr>
      <vt:lpstr>2036-WESTRIDGE</vt:lpstr>
      <vt:lpstr>2037-UNIVERSITY</vt:lpstr>
      <vt:lpstr>2038-2 JOHN</vt:lpstr>
      <vt:lpstr>2039-RAVELLO</vt:lpstr>
      <vt:lpstr>2040-65TH</vt:lpstr>
      <vt:lpstr>2041-CAL LUNA</vt:lpstr>
      <vt:lpstr>2042-METROLINE</vt:lpstr>
      <vt:lpstr>2043-AEGIS</vt:lpstr>
      <vt:lpstr>2044-66TH</vt:lpstr>
      <vt:lpstr>2045-NOTCH</vt:lpstr>
      <vt:lpstr>2046-4218 ROOSEVELT</vt:lpstr>
      <vt:lpstr>2047-GREENLAKE</vt:lpstr>
      <vt:lpstr>2048-BALLANGER</vt:lpstr>
      <vt:lpstr>2049-RESERVE 2</vt:lpstr>
      <vt:lpstr>2050-MADISON</vt:lpstr>
      <vt:lpstr>2051-VAIL</vt:lpstr>
      <vt:lpstr>2052-5-ROY</vt:lpstr>
      <vt:lpstr>2053-PARKSIDE</vt:lpstr>
      <vt:lpstr>2054-800 5TH</vt:lpstr>
      <vt:lpstr>2057-K PLAZA</vt:lpstr>
      <vt:lpstr>2058 HOWELL</vt:lpstr>
      <vt:lpstr> 2055 DOCKSIDE</vt:lpstr>
      <vt:lpstr>2056 ACME FARMS </vt:lpstr>
      <vt:lpstr>2059 MEEKER</vt:lpstr>
      <vt:lpstr>2060 MARINA</vt:lpstr>
      <vt:lpstr>2061 COLUMBIA CITY</vt:lpstr>
      <vt:lpstr>2063 ARIA FLATS</vt:lpstr>
      <vt:lpstr>2064 Melody</vt:lpstr>
      <vt:lpstr>2066 FIRESIDE</vt:lpstr>
      <vt:lpstr>2067 EDMONDS</vt:lpstr>
      <vt:lpstr>2069 THEORY</vt:lpstr>
      <vt:lpstr>2071 DEXTER</vt:lpstr>
      <vt:lpstr>2074 BUDDHA JEWEL</vt:lpstr>
      <vt:lpstr>2075 ROCKEFELLER</vt:lpstr>
      <vt:lpstr>2076 YESLER</vt:lpstr>
      <vt:lpstr>2077 SHORELINE</vt:lpstr>
      <vt:lpstr>2078 LAKE STREET</vt:lpstr>
      <vt:lpstr>2079 CROWN HILL</vt:lpstr>
      <vt:lpstr>2080 REDMOND GRAND</vt:lpstr>
      <vt:lpstr>2081 400 QUEEN ANNE</vt:lpstr>
      <vt:lpstr>2082 NORTHGATE</vt:lpstr>
      <vt:lpstr>2084 GRE WILLOWS</vt:lpstr>
      <vt:lpstr>2085 BASALT</vt:lpstr>
      <vt:lpstr>2086 LIZA</vt:lpstr>
      <vt:lpstr>2087 ROOSEVELT NORTHGATE</vt:lpstr>
      <vt:lpstr>2088 GRIDLINE</vt:lpstr>
      <vt:lpstr>2089 MARKET</vt:lpstr>
      <vt:lpstr>2090 CHRONICLE</vt:lpstr>
      <vt:lpstr>2092 REED</vt:lpstr>
      <vt:lpstr>2093 Symphony</vt:lpstr>
      <vt:lpstr>2094 CARRICK</vt:lpstr>
      <vt:lpstr>2101 Bella</vt:lpstr>
      <vt:lpstr>2097 MARYSVILLE </vt:lpstr>
      <vt:lpstr>2099 Koz Republican</vt:lpstr>
      <vt:lpstr>' 2055 DOCKSIDE'!Print_Area</vt:lpstr>
      <vt:lpstr>'2001-BROADWAY'!Print_Area</vt:lpstr>
      <vt:lpstr>'2002-WEDGEWOOD'!Print_Area</vt:lpstr>
      <vt:lpstr>'2003-EVANSTON'!Print_Area</vt:lpstr>
      <vt:lpstr>'2005-KAVELLA'!Print_Area</vt:lpstr>
      <vt:lpstr>'2006-BELLA LAGO'!Print_Area</vt:lpstr>
      <vt:lpstr>'2008-TAYLOR'!Print_Area</vt:lpstr>
      <vt:lpstr>'2009-GREENWOOD'!Print_Area</vt:lpstr>
      <vt:lpstr>'2010-OLD TOWN'!Print_Area</vt:lpstr>
      <vt:lpstr>'2011-BARRETT'!Print_Area</vt:lpstr>
      <vt:lpstr>'2012-8TH AVE'!Print_Area</vt:lpstr>
      <vt:lpstr>'2013-63RD'!Print_Area</vt:lpstr>
      <vt:lpstr>'2014-PIKE'!Print_Area</vt:lpstr>
      <vt:lpstr>'2015-ROOSTER'!Print_Area</vt:lpstr>
      <vt:lpstr>'2016-SEDONA'!Print_Area</vt:lpstr>
      <vt:lpstr>'2017-STONE'!Print_Area</vt:lpstr>
      <vt:lpstr>'2018-ASTRO'!Print_Area</vt:lpstr>
      <vt:lpstr>'2019-REPUBLICAN'!Print_Area</vt:lpstr>
      <vt:lpstr>'2020-BELLEVUE'!Print_Area</vt:lpstr>
      <vt:lpstr>'2021-ADMIRAL'!Print_Area</vt:lpstr>
      <vt:lpstr>'2022-INTERLAKE'!Print_Area</vt:lpstr>
      <vt:lpstr>'2023-LEGACY'!Print_Area</vt:lpstr>
      <vt:lpstr>'2024-MGB'!Print_Area</vt:lpstr>
      <vt:lpstr>'2025-CORA'!Print_Area</vt:lpstr>
      <vt:lpstr>'2026-BOREN'!Print_Area</vt:lpstr>
      <vt:lpstr>'2027-BROADWAY'!Print_Area</vt:lpstr>
      <vt:lpstr>'2028-RESERVE FIRE'!Print_Area</vt:lpstr>
      <vt:lpstr>'2029-PARSONAGE'!Print_Area</vt:lpstr>
      <vt:lpstr>'2030-EAST UNION'!Print_Area</vt:lpstr>
      <vt:lpstr>'2031-GATEWAY FLATS'!Print_Area</vt:lpstr>
      <vt:lpstr>'2031-GATEWAY MIDRISE'!Print_Area</vt:lpstr>
      <vt:lpstr>'2032-LUNA'!Print_Area</vt:lpstr>
      <vt:lpstr>'2033-VUECREST'!Print_Area</vt:lpstr>
      <vt:lpstr>'2034-PARK LANE'!Print_Area</vt:lpstr>
      <vt:lpstr>'2035-162 TEN'!Print_Area</vt:lpstr>
      <vt:lpstr>'2036-WESTRIDGE'!Print_Area</vt:lpstr>
      <vt:lpstr>'2037-UNIVERSITY'!Print_Area</vt:lpstr>
      <vt:lpstr>'2038-2 JOHN'!Print_Area</vt:lpstr>
      <vt:lpstr>'2039-RAVELLO'!Print_Area</vt:lpstr>
      <vt:lpstr>'2040-65TH'!Print_Area</vt:lpstr>
      <vt:lpstr>'2041-CAL LUNA'!Print_Area</vt:lpstr>
      <vt:lpstr>'2042-METROLINE'!Print_Area</vt:lpstr>
      <vt:lpstr>'2043-AEGIS'!Print_Area</vt:lpstr>
      <vt:lpstr>'2044-66TH'!Print_Area</vt:lpstr>
      <vt:lpstr>'2045-NOTCH'!Print_Area</vt:lpstr>
      <vt:lpstr>'2046-4218 ROOSEVELT'!Print_Area</vt:lpstr>
      <vt:lpstr>'2047-GREENLAKE'!Print_Area</vt:lpstr>
      <vt:lpstr>'2048-BALLANGER'!Print_Area</vt:lpstr>
      <vt:lpstr>'2049-RESERVE 2'!Print_Area</vt:lpstr>
      <vt:lpstr>'2050-MADISON'!Print_Area</vt:lpstr>
      <vt:lpstr>'2051-VAIL'!Print_Area</vt:lpstr>
      <vt:lpstr>'2052-5-ROY'!Print_Area</vt:lpstr>
      <vt:lpstr>'2053-PARKSIDE'!Print_Area</vt:lpstr>
      <vt:lpstr>'2054-800 5TH'!Print_Area</vt:lpstr>
      <vt:lpstr>'2056 ACME FARMS '!Print_Area</vt:lpstr>
      <vt:lpstr>'2057-K PLAZA'!Print_Area</vt:lpstr>
      <vt:lpstr>'2058 HOWELL'!Print_Area</vt:lpstr>
      <vt:lpstr>'2059 MEEKER'!Print_Area</vt:lpstr>
      <vt:lpstr>'2060 MARINA'!Print_Area</vt:lpstr>
      <vt:lpstr>'2061 COLUMBIA CITY'!Print_Area</vt:lpstr>
      <vt:lpstr>'2063 ARIA FLATS'!Print_Area</vt:lpstr>
      <vt:lpstr>'2064 Melody'!Print_Area</vt:lpstr>
      <vt:lpstr>'2066 FIRESIDE'!Print_Area</vt:lpstr>
      <vt:lpstr>'2067 EDMONDS'!Print_Area</vt:lpstr>
      <vt:lpstr>'2069 THEORY'!Print_Area</vt:lpstr>
      <vt:lpstr>'2071 DEXTER'!Print_Area</vt:lpstr>
      <vt:lpstr>'2074 BUDDHA JEWEL'!Print_Area</vt:lpstr>
      <vt:lpstr>'2075 ROCKEFELLER'!Print_Area</vt:lpstr>
      <vt:lpstr>'2076 YESLER'!Print_Area</vt:lpstr>
      <vt:lpstr>'2077 SHORELINE'!Print_Area</vt:lpstr>
      <vt:lpstr>'2078 LAKE STREET'!Print_Area</vt:lpstr>
      <vt:lpstr>'2079 CROWN HILL'!Print_Area</vt:lpstr>
      <vt:lpstr>'2080 REDMOND GRAND'!Print_Area</vt:lpstr>
      <vt:lpstr>'2081 400 QUEEN ANNE'!Print_Area</vt:lpstr>
      <vt:lpstr>'2082 NORTHGATE'!Print_Area</vt:lpstr>
      <vt:lpstr>'2084 GRE WILLOWS'!Print_Area</vt:lpstr>
      <vt:lpstr>'2085 BASALT'!Print_Area</vt:lpstr>
      <vt:lpstr>'2086 LIZA'!Print_Area</vt:lpstr>
      <vt:lpstr>'2087 ROOSEVELT NORTHGATE'!Print_Area</vt:lpstr>
      <vt:lpstr>'2088 GRIDLINE'!Print_Area</vt:lpstr>
      <vt:lpstr>'2089 MARKET'!Print_Area</vt:lpstr>
      <vt:lpstr>'2090 CHRONICLE'!Print_Area</vt:lpstr>
      <vt:lpstr>'2092 REED'!Print_Area</vt:lpstr>
      <vt:lpstr>'2093 Symphony'!Print_Area</vt:lpstr>
      <vt:lpstr>'2094 CARRICK'!Print_Area</vt:lpstr>
      <vt:lpstr>'2097 MARYSVILLE '!Print_Area</vt:lpstr>
      <vt:lpstr>'2099 Koz Republican'!Print_Area</vt:lpstr>
      <vt:lpstr>'2101 Bella'!Print_Area</vt:lpstr>
    </vt:vector>
  </TitlesOfParts>
  <Company>One Way Plumbing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2021-04-07T18:40:38Z</cp:lastPrinted>
  <dcterms:created xsi:type="dcterms:W3CDTF">2001-04-02T14:17:04Z</dcterms:created>
  <dcterms:modified xsi:type="dcterms:W3CDTF">2026-02-12T23:02:52Z</dcterms:modified>
</cp:coreProperties>
</file>