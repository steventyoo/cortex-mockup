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ecutive Summary" sheetId="1" state="visible" r:id="rId3"/>
    <sheet name="Profitability Summary" sheetId="2" state="visible" r:id="rId4"/>
    <sheet name="Labor &amp; Productivity" sheetId="3" state="visible" r:id="rId5"/>
    <sheet name="Master Document List" sheetId="4" state="visible" r:id="rId6"/>
    <sheet name="Duplicates" sheetId="5" state="visible" r:id="rId7"/>
    <sheet name="Relational Database" sheetId="6" state="visible" r:id="rId8"/>
    <sheet name="Missing Documents" sheetId="7" state="visible" r:id="rId9"/>
    <sheet name="Key Insights" sheetId="8" state="visible" r:id="rId10"/>
    <sheet name="Questions Not Asked" sheetId="9" state="visible" r:id="rId11"/>
    <sheet name="Schema Coverage"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<sst xmlns="http://schemas.openxmlformats.org/spreadsheetml/2006/main" count="880" uniqueCount="728">
  <si>
    <t xml:space="preserve">CORTEX INTELLIGENCE REPORT</t>
  </si>
  <si>
    <t xml:space="preserve">OWP LLC — Job #2001 — 230 Broadway, Seattle WA</t>
  </si>
  <si>
    <t xml:space="preserve">Generated: April 04, 2026</t>
  </si>
  <si>
    <t xml:space="preserve">Metric</t>
  </si>
  <si>
    <t xml:space="preserve">Value</t>
  </si>
  <si>
    <t xml:space="preserve">Source</t>
  </si>
  <si>
    <t xml:space="preserve">Status</t>
  </si>
  <si>
    <t xml:space="preserve">Notes</t>
  </si>
  <si>
    <t xml:space="preserve">Project Name</t>
  </si>
  <si>
    <t xml:space="preserve">230 Broadway Residential</t>
  </si>
  <si>
    <t xml:space="preserve">Contract / Pay Apps</t>
  </si>
  <si>
    <t xml:space="preserve">7-story mixed-use residential</t>
  </si>
  <si>
    <t xml:space="preserve">Location</t>
  </si>
  <si>
    <t xml:space="preserve">230 Broadway, Seattle, WA</t>
  </si>
  <si>
    <t xml:space="preserve">Contract</t>
  </si>
  <si>
    <t xml:space="preserve">Owner / Client</t>
  </si>
  <si>
    <t xml:space="preserve">RDMSRMB230 LLC (Spokane, WA)</t>
  </si>
  <si>
    <t xml:space="preserve">General Contractor</t>
  </si>
  <si>
    <t xml:space="preserve">SRM Development / RDMSRMB230</t>
  </si>
  <si>
    <t xml:space="preserve">Billing Docs</t>
  </si>
  <si>
    <t xml:space="preserve">Trade</t>
  </si>
  <si>
    <t xml:space="preserve">Plumbing (Division 22)</t>
  </si>
  <si>
    <t xml:space="preserve">Specification 220000</t>
  </si>
  <si>
    <t xml:space="preserve">Complete plumbing systems</t>
  </si>
  <si>
    <t xml:space="preserve">Project Manager</t>
  </si>
  <si>
    <t xml:space="preserve">Brett Mortimore (OWP)</t>
  </si>
  <si>
    <t xml:space="preserve">Contract/POs</t>
  </si>
  <si>
    <t xml:space="preserve">Project Duration</t>
  </si>
  <si>
    <t xml:space="preserve">18 months (Apr 2011 - Oct 2012)</t>
  </si>
  <si>
    <t xml:space="preserve">Pay Apps #1-19</t>
  </si>
  <si>
    <t xml:space="preserve">Total Units</t>
  </si>
  <si>
    <t xml:space="preserve">234 residential</t>
  </si>
  <si>
    <t xml:space="preserve">JCR (% Complete File)</t>
  </si>
  <si>
    <t xml:space="preserve">Plus commercial/office</t>
  </si>
  <si>
    <t xml:space="preserve">Total Fixtures</t>
  </si>
  <si>
    <t xml:space="preserve">1,340</t>
  </si>
  <si>
    <t xml:space="preserve">CONTRACT &amp; BILLING</t>
  </si>
  <si>
    <t xml:space="preserve">Original Contract Value</t>
  </si>
  <si>
    <t xml:space="preserve">Schedule of Values</t>
  </si>
  <si>
    <t xml:space="preserve">Base plumbing scope</t>
  </si>
  <si>
    <t xml:space="preserve">Change Order Value</t>
  </si>
  <si>
    <t xml:space="preserve">Calculated (Total - Base)</t>
  </si>
  <si>
    <t xml:space="preserve">$1,850,270 - $1,698,400</t>
  </si>
  <si>
    <t xml:space="preserve">Revised Contract Value</t>
  </si>
  <si>
    <t xml:space="preserve">Total Billed</t>
  </si>
  <si>
    <t xml:space="preserve">Aggregate Billing</t>
  </si>
  <si>
    <t xml:space="preserve">19 pay applications</t>
  </si>
  <si>
    <t xml:space="preserve">Billed vs Contract Delta</t>
  </si>
  <si>
    <t xml:space="preserve">Calculated</t>
  </si>
  <si>
    <t xml:space="preserve">FLAG</t>
  </si>
  <si>
    <t xml:space="preserve">+$184K over contract</t>
  </si>
  <si>
    <t xml:space="preserve">WSST Tax (9.5%)</t>
  </si>
  <si>
    <t xml:space="preserve">Billing Records</t>
  </si>
  <si>
    <t xml:space="preserve">Retention Held</t>
  </si>
  <si>
    <t xml:space="preserve">5% retention</t>
  </si>
  <si>
    <t xml:space="preserve">Total Paid (incl tax+retention)</t>
  </si>
  <si>
    <t xml:space="preserve">LABOR PERFORMANCE</t>
  </si>
  <si>
    <t xml:space="preserve">Budgeted Labor Hours</t>
  </si>
  <si>
    <t xml:space="preserve">JCR</t>
  </si>
  <si>
    <t xml:space="preserve">Actual Labor Hours</t>
  </si>
  <si>
    <t xml:space="preserve">Labor Hour Variance</t>
  </si>
  <si>
    <t xml:space="preserve">CRITICAL</t>
  </si>
  <si>
    <t xml:space="preserve">+66% overrun</t>
  </si>
  <si>
    <t xml:space="preserve">Labor Hour Variance %</t>
  </si>
  <si>
    <t xml:space="preserve">Budgeted Labor Cost</t>
  </si>
  <si>
    <t xml:space="preserve">Actual Labor Cost</t>
  </si>
  <si>
    <t xml:space="preserve">Labor Cost Variance</t>
  </si>
  <si>
    <t xml:space="preserve">OVER</t>
  </si>
  <si>
    <t xml:space="preserve">+$42K (10%)</t>
  </si>
  <si>
    <t xml:space="preserve">Budget $/Hour</t>
  </si>
  <si>
    <t xml:space="preserve">Actual $/Hour</t>
  </si>
  <si>
    <t xml:space="preserve">FAVORABLE</t>
  </si>
  <si>
    <t xml:space="preserve">Lower rate offset hours</t>
  </si>
  <si>
    <t xml:space="preserve">PROFITABILITY (FROM CONTRACT PRICE SUMMARY)</t>
  </si>
  <si>
    <t xml:space="preserve">Contract Revenue (Sale Price)</t>
  </si>
  <si>
    <t xml:space="preserve">Contract Price Summary</t>
  </si>
  <si>
    <t xml:space="preserve">Budgeted Labor</t>
  </si>
  <si>
    <t xml:space="preserve">22.2% of sale price</t>
  </si>
  <si>
    <t xml:space="preserve">Material Cost (Bid)</t>
  </si>
  <si>
    <t xml:space="preserve">38.8% of sale price — CONFIRMED</t>
  </si>
  <si>
    <t xml:space="preserve">Misc Costs</t>
  </si>
  <si>
    <t xml:space="preserve">Permits, fees</t>
  </si>
  <si>
    <t xml:space="preserve">Labor Adder/Overhead</t>
  </si>
  <si>
    <t xml:space="preserve">55% markup on base labor</t>
  </si>
  <si>
    <t xml:space="preserve">NET PROFIT (as bid)</t>
  </si>
  <si>
    <t xml:space="preserve">23.7% gross margin</t>
  </si>
  <si>
    <t xml:space="preserve">GP / Labor Ratio</t>
  </si>
  <si>
    <t xml:space="preserve">Profit = 1.065x labor cost</t>
  </si>
  <si>
    <t xml:space="preserve">Actual Labor Cost (from JCR)</t>
  </si>
  <si>
    <t xml:space="preserve">+$46.5K over bid labor</t>
  </si>
  <si>
    <t xml:space="preserve">Labor Overrun</t>
  </si>
  <si>
    <t xml:space="preserve">Adjusted Net Profit</t>
  </si>
  <si>
    <t xml:space="preserve">Profit after actual labor</t>
  </si>
  <si>
    <t xml:space="preserve">Adjusted Net Margin</t>
  </si>
  <si>
    <t xml:space="preserve">True margin if mat/misc on budget</t>
  </si>
  <si>
    <t xml:space="preserve">JCR (all sheets)</t>
  </si>
  <si>
    <t xml:space="preserve">PORTFOLIO CONTEXT (88 OWP Jobs)</t>
  </si>
  <si>
    <t xml:space="preserve">Portfolio Budget Hours</t>
  </si>
  <si>
    <t xml:space="preserve">Portfolio Actual Hours</t>
  </si>
  <si>
    <t xml:space="preserve">Portfolio Budget Cost</t>
  </si>
  <si>
    <t xml:space="preserve">Portfolio Actual Cost</t>
  </si>
  <si>
    <t xml:space="preserve">Portfolio Cost Savings</t>
  </si>
  <si>
    <t xml:space="preserve">Saved via lower labor rates</t>
  </si>
  <si>
    <t xml:space="preserve">Job 2001 Rank (Hr Overrun)</t>
  </si>
  <si>
    <t xml:space="preserve">Worst in portfolio (66%)</t>
  </si>
  <si>
    <t xml:space="preserve">Highest % hour overrun</t>
  </si>
  <si>
    <t xml:space="preserve">PROFITABILITY &amp; FINANCIAL ANALYSIS</t>
  </si>
  <si>
    <t xml:space="preserve">Job #2001 — 230 Broadway with Portfolio Benchmarking</t>
  </si>
  <si>
    <t xml:space="preserve">Category</t>
  </si>
  <si>
    <t xml:space="preserve">Budget</t>
  </si>
  <si>
    <t xml:space="preserve">Actual</t>
  </si>
  <si>
    <t xml:space="preserve">Variance $</t>
  </si>
  <si>
    <t xml:space="preserve">Variance %</t>
  </si>
  <si>
    <t xml:space="preserve">Analysis</t>
  </si>
  <si>
    <t xml:space="preserve">CONTRACT REVENUE</t>
  </si>
  <si>
    <t xml:space="preserve">Base Contract</t>
  </si>
  <si>
    <t xml:space="preserve">Original SOV</t>
  </si>
  <si>
    <t xml:space="preserve">Change Orders</t>
  </si>
  <si>
    <t xml:space="preserve">Total CO additions</t>
  </si>
  <si>
    <t xml:space="preserve">Revised Contract</t>
  </si>
  <si>
    <t xml:space="preserve">Billed $184K over contract</t>
  </si>
  <si>
    <t xml:space="preserve">Billing vs Contract Delta</t>
  </si>
  <si>
    <t xml:space="preserve">INVESTIGATE</t>
  </si>
  <si>
    <t xml:space="preserve">May include COs not in contract value</t>
  </si>
  <si>
    <t xml:space="preserve">LABOR COST BREAKDOWN</t>
  </si>
  <si>
    <t xml:space="preserve">Layout &amp; Supervision (100-101)</t>
  </si>
  <si>
    <t xml:space="preserve">UNDER</t>
  </si>
  <si>
    <t xml:space="preserve">75% under; crew self-managed?</t>
  </si>
  <si>
    <t xml:space="preserve">Garage (110-112)</t>
  </si>
  <si>
    <t xml:space="preserve">7.5% under; good performance</t>
  </si>
  <si>
    <t xml:space="preserve">Top Out Units (120)</t>
  </si>
  <si>
    <t xml:space="preserve">17.7% over; largest phase cost overrun</t>
  </si>
  <si>
    <t xml:space="preserve">Trim (130)</t>
  </si>
  <si>
    <t xml:space="preserve">23.7% over</t>
  </si>
  <si>
    <t xml:space="preserve">Mains/Mech/Gas (140-142)</t>
  </si>
  <si>
    <t xml:space="preserve">34.7% over; second worst</t>
  </si>
  <si>
    <t xml:space="preserve">TOTAL LABOR</t>
  </si>
  <si>
    <t xml:space="preserve">10.2% total labor cost overrun</t>
  </si>
  <si>
    <t xml:space="preserve">LABOR HOURS BREAKDOWN</t>
  </si>
  <si>
    <t xml:space="preserve">Layout &amp; Supervision</t>
  </si>
  <si>
    <t xml:space="preserve">75% fewer hours; budget inflated?</t>
  </si>
  <si>
    <t xml:space="preserve">Garage</t>
  </si>
  <si>
    <t xml:space="preserve">+26% hours</t>
  </si>
  <si>
    <t xml:space="preserve">Top Out Units</t>
  </si>
  <si>
    <t xml:space="preserve">+81% hours - WORST phase</t>
  </si>
  <si>
    <t xml:space="preserve">Trim</t>
  </si>
  <si>
    <t xml:space="preserve">+103% hours</t>
  </si>
  <si>
    <t xml:space="preserve">Mains/Mech/Gas</t>
  </si>
  <si>
    <t xml:space="preserve">+107% hours - WORST rate</t>
  </si>
  <si>
    <t xml:space="preserve">TOTAL HOURS</t>
  </si>
  <si>
    <t xml:space="preserve">+66% total hour overrun</t>
  </si>
  <si>
    <t xml:space="preserve">RATE ANALYSIS</t>
  </si>
  <si>
    <t xml:space="preserve">Overall $/Hour</t>
  </si>
  <si>
    <t xml:space="preserve">Actual rate 34% lower than budget</t>
  </si>
  <si>
    <t xml:space="preserve">Layout $/Hour</t>
  </si>
  <si>
    <t xml:space="preserve">Garage $/Hour</t>
  </si>
  <si>
    <t xml:space="preserve">Top Out $/Hour</t>
  </si>
  <si>
    <t xml:space="preserve">Lower rate saved significant cost</t>
  </si>
  <si>
    <t xml:space="preserve">Trim $/Hour</t>
  </si>
  <si>
    <t xml:space="preserve">Mains/Mech $/Hour</t>
  </si>
  <si>
    <t xml:space="preserve">PRODUCTIVITY RATIOS</t>
  </si>
  <si>
    <t xml:space="preserve">Overall Hrs/Fixture</t>
  </si>
  <si>
    <t xml:space="preserve">Key productivity benchmark</t>
  </si>
  <si>
    <t xml:space="preserve">Overall $/Fixture</t>
  </si>
  <si>
    <t xml:space="preserve">Cost per fixture is primary KPI</t>
  </si>
  <si>
    <t xml:space="preserve">IMPLIED P&amp;L (with confirmed data)</t>
  </si>
  <si>
    <t xml:space="preserve">Revenue (Sale Price)</t>
  </si>
  <si>
    <t xml:space="preserve">Per contract price summary</t>
  </si>
  <si>
    <t xml:space="preserve">(-) Actual Labor Cost</t>
  </si>
  <si>
    <t xml:space="preserve">$46.5K over bid labor of $411K</t>
  </si>
  <si>
    <t xml:space="preserve">(-) Material Cost (bid)</t>
  </si>
  <si>
    <t xml:space="preserve">CONFIRMED: 38.8% of sale price</t>
  </si>
  <si>
    <t xml:space="preserve">(-) Misc Costs</t>
  </si>
  <si>
    <t xml:space="preserve">Permits, fees, misc</t>
  </si>
  <si>
    <t xml:space="preserve">(-) Labor Adder/Overhead</t>
  </si>
  <si>
    <t xml:space="preserve">Bid Net Profit</t>
  </si>
  <si>
    <t xml:space="preserve">23.7% margin as bid</t>
  </si>
  <si>
    <t xml:space="preserve">Remaining (Covers OH + Profit)</t>
  </si>
  <si>
    <t xml:space="preserve">After actual labor, bid material &amp; misc. Includes overhead allocation.</t>
  </si>
  <si>
    <t xml:space="preserve">Remaining as % of Revenue</t>
  </si>
  <si>
    <t xml:space="preserve">(-) Overhead Allocation (from bid)</t>
  </si>
  <si>
    <t xml:space="preserve">55% labor adder covers insurance, office, vehicles, etc.</t>
  </si>
  <si>
    <t xml:space="preserve">TRUE NET PROFIT (adjusted)</t>
  </si>
  <si>
    <t xml:space="preserve">Profit after all known costs including overhead</t>
  </si>
  <si>
    <t xml:space="preserve">True Net Margin</t>
  </si>
  <si>
    <t xml:space="preserve">vs 23.7% as bid — eroded by $46.5K labor overrun</t>
  </si>
  <si>
    <t xml:space="preserve">LABOR &amp; PRODUCTIVITY DEEP DIVE</t>
  </si>
  <si>
    <t xml:space="preserve">Job #2001 — Phase-Level Analysis with Portfolio Benchmarks</t>
  </si>
  <si>
    <t xml:space="preserve">Work Phase</t>
  </si>
  <si>
    <t xml:space="preserve">Budget Hrs</t>
  </si>
  <si>
    <t xml:space="preserve">Actual Hrs</t>
  </si>
  <si>
    <t xml:space="preserve">Variance Hrs</t>
  </si>
  <si>
    <t xml:space="preserve">Budget $/Hr</t>
  </si>
  <si>
    <t xml:space="preserve">Actual $/Hr</t>
  </si>
  <si>
    <t xml:space="preserve">75% UNDER on hours. Supervision was either not tracked separately or crew was self-managing. Budget may have been padded.</t>
  </si>
  <si>
    <t xml:space="preserve">+26% hours but -7.5% cost. Underground/garage work performed at favorable rates. Acceptable overrun.</t>
  </si>
  <si>
    <t xml:space="preserve">+81% hours, +18% cost. WORST PHASE. 234 units x 45 hrs/unit actual vs 25 budgeted. Likely cause: design changes, rework, or understaffed crews working longer.</t>
  </si>
  <si>
    <t xml:space="preserve">+103% hours, +24% cost. Trim work doubled vs budget. Often caused by punch list rework or late design changes to fixtures.</t>
  </si>
  <si>
    <t xml:space="preserve">+107% hours, +35% cost. Mechanical room and gas piping significantly exceeded estimate. ASIs may have changed scope.</t>
  </si>
  <si>
    <t xml:space="preserve">TOTAL</t>
  </si>
  <si>
    <t xml:space="preserve">+66% hours, +10% cost. Rate arbitrage ($21.23 vs $32 budget) masked a severe productivity problem.</t>
  </si>
  <si>
    <t xml:space="preserve">PORTFOLIO BENCHMARKS — Job 2001 vs 88-Job Average</t>
  </si>
  <si>
    <t xml:space="preserve">Job 2001</t>
  </si>
  <si>
    <t xml:space="preserve">Portfolio Avg</t>
  </si>
  <si>
    <t xml:space="preserve">Portfolio Best</t>
  </si>
  <si>
    <t xml:space="preserve">Portfolio Worst</t>
  </si>
  <si>
    <t xml:space="preserve">2001 Percentile</t>
  </si>
  <si>
    <t xml:space="preserve">Insight</t>
  </si>
  <si>
    <t xml:space="preserve">Hours/Fixture</t>
  </si>
  <si>
    <t xml:space="preserve">Better than avg</t>
  </si>
  <si>
    <t xml:space="preserve">2001 is actually better than portfolio average on this metric</t>
  </si>
  <si>
    <t xml:space="preserve">$/Fixture</t>
  </si>
  <si>
    <t xml:space="preserve">~$600</t>
  </si>
  <si>
    <t xml:space="preserve">Cost per fixture is competitive</t>
  </si>
  <si>
    <t xml:space="preserve">$/Hour</t>
  </si>
  <si>
    <t xml:space="preserve">Best quartile</t>
  </si>
  <si>
    <t xml:space="preserve">Very favorable labor rate - drove cost savings despite hour overrun</t>
  </si>
  <si>
    <t xml:space="preserve">Hour Overrun %</t>
  </si>
  <si>
    <t xml:space="preserve">Worst quartile</t>
  </si>
  <si>
    <t xml:space="preserve">66% overrun is far above 9.5% portfolio average</t>
  </si>
  <si>
    <t xml:space="preserve">Cost Overrun %</t>
  </si>
  <si>
    <t xml:space="preserve">Below avg</t>
  </si>
  <si>
    <t xml:space="preserve">10% cost overrun vs -6.1% portfolio avg (portfolio saves money)</t>
  </si>
  <si>
    <t xml:space="preserve">Units</t>
  </si>
  <si>
    <t xml:space="preserve">75th percentile</t>
  </si>
  <si>
    <t xml:space="preserve">Large project</t>
  </si>
  <si>
    <t xml:space="preserve">Fixtures</t>
  </si>
  <si>
    <t xml:space="preserve">High fixture count</t>
  </si>
  <si>
    <t xml:space="preserve">ROOT CAUSE ANALYSIS — Why 66% Hour Overrun with Only 10% Cost Overrun?</t>
  </si>
  <si>
    <t xml:space="preserve">1</t>
  </si>
  <si>
    <t xml:space="preserve">Labor Rate Arbitrage</t>
  </si>
  <si>
    <t xml:space="preserve">Budget assumed $32/hr but actual was $21.23/hr — a 34% lower rate. This likely means OWP used a higher mix of apprentices/helpers vs journeymen. While this saved per-hour cost, less experienced labor typically works slower, explaining the hour overrun.</t>
  </si>
  <si>
    <t xml:space="preserve">2</t>
  </si>
  <si>
    <t xml:space="preserve">Top Out Units Phase Failure</t>
  </si>
  <si>
    <t xml:space="preserve">This single phase consumed 10,500 hrs vs 5,803 budgeted (+81%). Top out is the most labor-intensive phase in residential plumbing. With 234 units, even small per-unit inefficiency compounds dramatically (20 extra hrs/unit = 4,700 extra hrs).</t>
  </si>
  <si>
    <t xml:space="preserve">3</t>
  </si>
  <si>
    <t xml:space="preserve">Mains/Mech Scope Change</t>
  </si>
  <si>
    <t xml:space="preserve">8 ASIs were issued on this project (#23-33) including a major roof deck redesign and value engineering changes. These likely expanded mechanical room and gas piping scope without proportionate budget adjustments.</t>
  </si>
  <si>
    <t xml:space="preserve">4</t>
  </si>
  <si>
    <t xml:space="preserve">Trim Rework Signal</t>
  </si>
  <si>
    <t xml:space="preserve">Trim hours doubled (103% over). This phase happens at project end and is most susceptible to punch list rework. The 2,142 punch list items documented suggest significant rework was required.</t>
  </si>
  <si>
    <t xml:space="preserve">5</t>
  </si>
  <si>
    <t xml:space="preserve">No Phase-Level Tracking</t>
  </si>
  <si>
    <t xml:space="preserve">CRITICAL GAP: Daily crew reports don't exist. We cannot determine crew sizes, task assignments, or identify specific days/weeks where productivity dropped. The root cause analysis is limited to phase-level totals.</t>
  </si>
  <si>
    <t xml:space="preserve">MASTER DOCUMENT INVENTORY — OWP 2001 (230 Broadway)</t>
  </si>
  <si>
    <t xml:space="preserve">399 Files | 462 MB Total</t>
  </si>
  <si>
    <t xml:space="preserve">#</t>
  </si>
  <si>
    <t xml:space="preserve">Subfolder</t>
  </si>
  <si>
    <t xml:space="preserve">Document Type</t>
  </si>
  <si>
    <t xml:space="preserve">File Count</t>
  </si>
  <si>
    <t xml:space="preserve">Est. Size</t>
  </si>
  <si>
    <t xml:space="preserve">Date Range</t>
  </si>
  <si>
    <t xml:space="preserve">Key Contents</t>
  </si>
  <si>
    <t xml:space="preserve">Job Cost Report</t>
  </si>
  <si>
    <t xml:space="preserve">Root</t>
  </si>
  <si>
    <t xml:space="preserve">XLSX</t>
  </si>
  <si>
    <t xml:space="preserve">729 KB</t>
  </si>
  <si>
    <t xml:space="preserve">2011-2026</t>
  </si>
  <si>
    <t xml:space="preserve">88-sheet workbook: budget vs actual hours/cost by phase for all OWP jobs. PRIMARY FINANCIAL INTELLIGENCE SOURCE.</t>
  </si>
  <si>
    <t xml:space="preserve">Purchase Orders</t>
  </si>
  <si>
    <t xml:space="preserve">SRM-230 BROADWAY/PO SCHEDULED/</t>
  </si>
  <si>
    <t xml:space="preserve">XLS</t>
  </si>
  <si>
    <t xml:space="preserve">~15 MB</t>
  </si>
  <si>
    <t xml:space="preserve">2011-2012</t>
  </si>
  <si>
    <t xml:space="preserve">Material POs by type: PEX, NO HUB, gas, insulation, trim fixtures, drains, etc. Organized by material category.</t>
  </si>
  <si>
    <t xml:space="preserve">Billing / Pay Applications</t>
  </si>
  <si>
    <t xml:space="preserve">230 B Billing/ + SRM billing/</t>
  </si>
  <si>
    <t xml:space="preserve">XLS/PDF</t>
  </si>
  <si>
    <t xml:space="preserve">~5 MB</t>
  </si>
  <si>
    <t xml:space="preserve">19 monthly pay apps, aggregate billing summary, Schedule of Values ($1.85M), retention tracking.</t>
  </si>
  <si>
    <t xml:space="preserve">Construction Drawings</t>
  </si>
  <si>
    <t xml:space="preserve">2001 230Broadway/</t>
  </si>
  <si>
    <t xml:space="preserve">PDF</t>
  </si>
  <si>
    <t xml:space="preserve">~23 MB</t>
  </si>
  <si>
    <t xml:space="preserve">2011</t>
  </si>
  <si>
    <t xml:space="preserve">Complete plumbing construction set, plan details, riser diagrams.</t>
  </si>
  <si>
    <t xml:space="preserve">As-Built Drawings</t>
  </si>
  <si>
    <t xml:space="preserve">2001 230Broadway/AS BUILTS/</t>
  </si>
  <si>
    <t xml:space="preserve">~25 MB</t>
  </si>
  <si>
    <t xml:space="preserve">2012</t>
  </si>
  <si>
    <t xml:space="preserve">Final as-built drawings for record.</t>
  </si>
  <si>
    <t xml:space="preserve">O&amp;M Manuals</t>
  </si>
  <si>
    <t xml:space="preserve">2001 230Broadway/O&amp;M MANUAL/</t>
  </si>
  <si>
    <t xml:space="preserve">~54 MB</t>
  </si>
  <si>
    <t xml:space="preserve">Complete operations and maintenance manual.</t>
  </si>
  <si>
    <t xml:space="preserve">Specifications</t>
  </si>
  <si>
    <t xml:space="preserve">2001 230Broadway/SPECS/</t>
  </si>
  <si>
    <t xml:space="preserve">Division 22 plumbing specifications.</t>
  </si>
  <si>
    <t xml:space="preserve">ASIs (Architect Supp. Instructions)</t>
  </si>
  <si>
    <t xml:space="preserve">2001 230Broadway/ASI/</t>
  </si>
  <si>
    <t xml:space="preserve">~3 MB</t>
  </si>
  <si>
    <t xml:space="preserve">ASI #23-33: roof deck redesign, VE changes, scope modifications.</t>
  </si>
  <si>
    <t xml:space="preserve">Punch Lists</t>
  </si>
  <si>
    <t xml:space="preserve">~1 MB</t>
  </si>
  <si>
    <t xml:space="preserve">2,142 punch items tracked across 18 contractors. Hot water sign-off for 244 units.</t>
  </si>
  <si>
    <t xml:space="preserve">Vendor Quotes</t>
  </si>
  <si>
    <t xml:space="preserve">SRM-230 BROADWAY/VENDOR QUOTES/</t>
  </si>
  <si>
    <t xml:space="preserve">PDF/XLS</t>
  </si>
  <si>
    <t xml:space="preserve">~2 MB</t>
  </si>
  <si>
    <t xml:space="preserve">Material pricing from Ferguson, Keller, Rosen Supply.</t>
  </si>
  <si>
    <t xml:space="preserve">Invoices / Cost Items</t>
  </si>
  <si>
    <t xml:space="preserve">SRM-230 BROADWAY/</t>
  </si>
  <si>
    <t xml:space="preserve">CI (Change Item) tracking by building section with material/labor/overhead.</t>
  </si>
  <si>
    <t xml:space="preserve">Inspection Reports</t>
  </si>
  <si>
    <t xml:space="preserve">JPG/XLS</t>
  </si>
  <si>
    <t xml:space="preserve">Tub inspection photos, quality verification.</t>
  </si>
  <si>
    <t xml:space="preserve">Project Images</t>
  </si>
  <si>
    <t xml:space="preserve">JPG/PNG</t>
  </si>
  <si>
    <t xml:space="preserve">Project renderings, site photos.</t>
  </si>
  <si>
    <t xml:space="preserve">Meetings / Schedules</t>
  </si>
  <si>
    <t xml:space="preserve">SRM-230 BROADWAY/MEETINGS/</t>
  </si>
  <si>
    <t xml:space="preserve">~0.5 MB</t>
  </si>
  <si>
    <t xml:space="preserve">Meeting notes, project schedules (SPARSE).</t>
  </si>
  <si>
    <t xml:space="preserve">Warranties</t>
  </si>
  <si>
    <t xml:space="preserve">Equipment and workmanship warranties.</t>
  </si>
  <si>
    <t xml:space="preserve">Misc / Metadata</t>
  </si>
  <si>
    <t xml:space="preserve">Various</t>
  </si>
  <si>
    <t xml:space="preserve">Mixed</t>
  </si>
  <si>
    <t xml:space="preserve">.DS_Store, temp files, zip archive (402 MB).</t>
  </si>
  <si>
    <t xml:space="preserve">DUPLICATE &amp; REDUNDANT DOCUMENT ANALYSIS</t>
  </si>
  <si>
    <t xml:space="preserve">Duplicate Type</t>
  </si>
  <si>
    <t xml:space="preserve">Files / Folders Involved</t>
  </si>
  <si>
    <t xml:space="preserve">Est. Wasted Storage</t>
  </si>
  <si>
    <t xml:space="preserve">Risk</t>
  </si>
  <si>
    <t xml:space="preserve">Impact</t>
  </si>
  <si>
    <t xml:space="preserve">Recommended Action</t>
  </si>
  <si>
    <t xml:space="preserve">Triple Folder Structure</t>
  </si>
  <si>
    <t xml:space="preserve">3 parallel folders for same project: '2001 230Broadway/', '230 B Billing/', 'SRM-230 BROADWAY/' all contain overlapping billing and project docs</t>
  </si>
  <si>
    <t xml:space="preserve">~150 MB</t>
  </si>
  <si>
    <t xml:space="preserve">HIGH</t>
  </si>
  <si>
    <t xml:space="preserve">Creates confusion about canonical file location; risk of working on outdated version</t>
  </si>
  <si>
    <t xml:space="preserve">Consolidate into single canonical folder structure with clear subfolders</t>
  </si>
  <si>
    <t xml:space="preserve">Zip + Extracted Archive</t>
  </si>
  <si>
    <t xml:space="preserve">'2001-SRM-230 BROADWAY-20260405Z.zip' (402 MB) exists alongside fully extracted folder contents</t>
  </si>
  <si>
    <t xml:space="preserve">402 MB</t>
  </si>
  <si>
    <t xml:space="preserve">LOW</t>
  </si>
  <si>
    <t xml:space="preserve">Storage waste only; no data risk</t>
  </si>
  <si>
    <t xml:space="preserve">Delete zip after confirming extraction is complete</t>
  </si>
  <si>
    <t xml:space="preserve">Duplicate Billing Records</t>
  </si>
  <si>
    <t xml:space="preserve">Pay applications appear in both '230 B Billing/' and 'SRM-230 BROADWAY/' billing subfolders</t>
  </si>
  <si>
    <t xml:space="preserve">MEDIUM</t>
  </si>
  <si>
    <t xml:space="preserve">Risk of referencing wrong version; audit confusion</t>
  </si>
  <si>
    <t xml:space="preserve">Keep one billing folder; archive the other</t>
  </si>
  <si>
    <t xml:space="preserve">.xls / .xlsx Format Pairs</t>
  </si>
  <si>
    <t xml:space="preserve">Some spreadsheets exist in both legacy .xls and modern .xlsx format (e.g., water stacks, waste stacks in OWP 2012 sibling)</t>
  </si>
  <si>
    <t xml:space="preserve">~100 KB</t>
  </si>
  <si>
    <t xml:space="preserve">Minimal; .xlsx is preferred</t>
  </si>
  <si>
    <t xml:space="preserve">Convert all .xls to .xlsx; archive originals</t>
  </si>
  <si>
    <t xml:space="preserve">PO Schedule Redundancy</t>
  </si>
  <si>
    <t xml:space="preserve">226 PO files with many near-identical templates differing only in material type — could be consolidated into single multi-tab workbook</t>
  </si>
  <si>
    <t xml:space="preserve">~8 MB</t>
  </si>
  <si>
    <t xml:space="preserve">Organizational clutter; difficult to aggregate</t>
  </si>
  <si>
    <t xml:space="preserve">Consolidate POs into single workbook with tabs by material</t>
  </si>
  <si>
    <t xml:space="preserve">Metadata / System Files</t>
  </si>
  <si>
    <t xml:space="preserve">Multiple .DS_Store, .db, temp files across folders</t>
  </si>
  <si>
    <t xml:space="preserve">~50 KB</t>
  </si>
  <si>
    <t xml:space="preserve">NONE</t>
  </si>
  <si>
    <t xml:space="preserve">No impact</t>
  </si>
  <si>
    <t xml:space="preserve">Clean up system files from project archives</t>
  </si>
  <si>
    <t xml:space="preserve">Cross-Project Duplication</t>
  </si>
  <si>
    <t xml:space="preserve">'owp llc % complete all jobs.xlsx' contains data for ALL 88 jobs but is stored in the 2001 project folder. Should be at portfolio level.</t>
  </si>
  <si>
    <t xml:space="preserve">0 (structural)</t>
  </si>
  <si>
    <t xml:space="preserve">JCR belongs to portfolio, not single project</t>
  </si>
  <si>
    <t xml:space="preserve">Move to shared portfolio directory; link from each project</t>
  </si>
  <si>
    <t xml:space="preserve">SUMMARY: ~554 MB recoverable storage. Primary risk is the triple-folder structure creating version confusion.</t>
  </si>
  <si>
    <t xml:space="preserve">DOCUMENT &amp; DATA RELATIONSHIP MAP</t>
  </si>
  <si>
    <t xml:space="preserve">How Documents Connect Across the Project</t>
  </si>
  <si>
    <t xml:space="preserve">ID</t>
  </si>
  <si>
    <t xml:space="preserve">Source Document</t>
  </si>
  <si>
    <t xml:space="preserve">Source Type</t>
  </si>
  <si>
    <t xml:space="preserve">Related Document(s)</t>
  </si>
  <si>
    <t xml:space="preserve">Relationship Type</t>
  </si>
  <si>
    <t xml:space="preserve">Intelligence Value</t>
  </si>
  <si>
    <t xml:space="preserve">Cortex Use Case</t>
  </si>
  <si>
    <t xml:space="preserve">REL-001</t>
  </si>
  <si>
    <t xml:space="preserve">JCR (% Complete File) — Budget Row</t>
  </si>
  <si>
    <t xml:space="preserve">Schedule of Values ($1.85M)</t>
  </si>
  <si>
    <t xml:space="preserve">Budget drives SOV line items</t>
  </si>
  <si>
    <t xml:space="preserve">Validates whether SOV reflects true cost structure or is front-loaded</t>
  </si>
  <si>
    <t xml:space="preserve">UC27: True Profitability</t>
  </si>
  <si>
    <t xml:space="preserve">REL-002</t>
  </si>
  <si>
    <t xml:space="preserve">JCR — Actual Row</t>
  </si>
  <si>
    <t xml:space="preserve">19 Monthly Pay Applications</t>
  </si>
  <si>
    <t xml:space="preserve">Actuals reconcile to billing curve</t>
  </si>
  <si>
    <t xml:space="preserve">Shows whether billing paced with actual work or was ahead/behind</t>
  </si>
  <si>
    <t xml:space="preserve">UC21: Cash Flow Forecast</t>
  </si>
  <si>
    <t xml:space="preserve">REL-003</t>
  </si>
  <si>
    <t xml:space="preserve">JCR — Phase Breakdown</t>
  </si>
  <si>
    <t xml:space="preserve">PO Schedules (226 POs)</t>
  </si>
  <si>
    <t xml:space="preserve">Phase costs include material POs</t>
  </si>
  <si>
    <t xml:space="preserve">Links labor+material cost by phase to total project cost</t>
  </si>
  <si>
    <t xml:space="preserve">REL-004</t>
  </si>
  <si>
    <t xml:space="preserve">JCR — Top Out Phase</t>
  </si>
  <si>
    <t xml:space="preserve">Punch List (2,142 items)</t>
  </si>
  <si>
    <t xml:space="preserve">Hour overrun correlates to rework</t>
  </si>
  <si>
    <t xml:space="preserve">81% hour overrun in units + 2,142 punch items = rework signal</t>
  </si>
  <si>
    <t xml:space="preserve">UC14: Rework Pattern</t>
  </si>
  <si>
    <t xml:space="preserve">REL-005</t>
  </si>
  <si>
    <t xml:space="preserve">SOV ($1.85M)</t>
  </si>
  <si>
    <t xml:space="preserve">Aggregate Billing ($2.03M)</t>
  </si>
  <si>
    <t xml:space="preserve">Billing exceeded SOV by $184K</t>
  </si>
  <si>
    <t xml:space="preserve">Delta indicates CO billing or unapproved extras</t>
  </si>
  <si>
    <t xml:space="preserve">UC1: Unbilled CO Recovery</t>
  </si>
  <si>
    <t xml:space="preserve">REL-006</t>
  </si>
  <si>
    <t xml:space="preserve">ASIs #23-33</t>
  </si>
  <si>
    <t xml:space="preserve">Design Change</t>
  </si>
  <si>
    <t xml:space="preserve">CI (Change Item) Files</t>
  </si>
  <si>
    <t xml:space="preserve">ASIs trigger cost change items</t>
  </si>
  <si>
    <t xml:space="preserve">Design changes drove material/labor adjustments by building section</t>
  </si>
  <si>
    <t xml:space="preserve">UC5: Design Change Cost</t>
  </si>
  <si>
    <t xml:space="preserve">REL-007</t>
  </si>
  <si>
    <t xml:space="preserve">ASI — Roof Deck Redesign</t>
  </si>
  <si>
    <t xml:space="preserve">Mains/Mech Phase (107% hr overrun)</t>
  </si>
  <si>
    <t xml:space="preserve">Scope change → labor overrun</t>
  </si>
  <si>
    <t xml:space="preserve">Major design change likely drove worst-performing labor phase</t>
  </si>
  <si>
    <t xml:space="preserve">REL-008</t>
  </si>
  <si>
    <t xml:space="preserve">PO Schedules by Material</t>
  </si>
  <si>
    <t xml:space="preserve">POs priced against vendor quotes</t>
  </si>
  <si>
    <t xml:space="preserve">Enables material cost verification and vendor comparison</t>
  </si>
  <si>
    <t xml:space="preserve">UC16: Buyout Optimization</t>
  </si>
  <si>
    <t xml:space="preserve">REL-009</t>
  </si>
  <si>
    <t xml:space="preserve">Contract ($1.85M)</t>
  </si>
  <si>
    <t xml:space="preserve">JCR Budget ($415K labor)</t>
  </si>
  <si>
    <t xml:space="preserve">Labor is 22% of contract value</t>
  </si>
  <si>
    <t xml:space="preserve">Reveals cost structure: labor vs material vs overhead split</t>
  </si>
  <si>
    <t xml:space="preserve">REL-010</t>
  </si>
  <si>
    <t xml:space="preserve">Pay App #1-19</t>
  </si>
  <si>
    <t xml:space="preserve">Billing</t>
  </si>
  <si>
    <t xml:space="preserve">Retention ($96.9K held)</t>
  </si>
  <si>
    <t xml:space="preserve">5% retention on each app</t>
  </si>
  <si>
    <t xml:space="preserve">Retention release timing affects cash flow</t>
  </si>
  <si>
    <t xml:space="preserve">UC21: Cash Flow</t>
  </si>
  <si>
    <t xml:space="preserve">REL-011</t>
  </si>
  <si>
    <t xml:space="preserve">Tub Inspections (photos)</t>
  </si>
  <si>
    <t xml:space="preserve">Inspection</t>
  </si>
  <si>
    <t xml:space="preserve">Punch List (tub items)</t>
  </si>
  <si>
    <t xml:space="preserve">Inspection triggers punch items</t>
  </si>
  <si>
    <t xml:space="preserve">Quality control chain from inspection to rework</t>
  </si>
  <si>
    <t xml:space="preserve">REL-012</t>
  </si>
  <si>
    <t xml:space="preserve">Hot Water Sign-Off (244 units)</t>
  </si>
  <si>
    <t xml:space="preserve">Commissioning</t>
  </si>
  <si>
    <t xml:space="preserve">O&amp;M Manual</t>
  </si>
  <si>
    <t xml:space="preserve">Sign-off = system acceptance</t>
  </si>
  <si>
    <t xml:space="preserve">Verifies all units were commissioned before handover</t>
  </si>
  <si>
    <t xml:space="preserve">UC28: Closeout</t>
  </si>
  <si>
    <t xml:space="preserve">REL-013</t>
  </si>
  <si>
    <t xml:space="preserve">JCR — 2001 Broadway</t>
  </si>
  <si>
    <t xml:space="preserve">JCR — All 87 Other Jobs</t>
  </si>
  <si>
    <t xml:space="preserve">Cross-project benchmark</t>
  </si>
  <si>
    <t xml:space="preserve">2001 is worst hour overrun (66%) but better than avg on hrs/fixture</t>
  </si>
  <si>
    <t xml:space="preserve">UC4: Performance Benchmark</t>
  </si>
  <si>
    <t xml:space="preserve">REL-014</t>
  </si>
  <si>
    <t xml:space="preserve">Tax Records (WSST 9.5%)</t>
  </si>
  <si>
    <t xml:space="preserve">Billing drives tax liability</t>
  </si>
  <si>
    <t xml:space="preserve">Tax was applied correctly at 9.5% WSST rate</t>
  </si>
  <si>
    <t xml:space="preserve">Financial Compliance</t>
  </si>
  <si>
    <t xml:space="preserve">REL-015</t>
  </si>
  <si>
    <t xml:space="preserve">CI Change Items</t>
  </si>
  <si>
    <t xml:space="preserve">Cost Tracking</t>
  </si>
  <si>
    <t xml:space="preserve">JCR Actuals</t>
  </si>
  <si>
    <t xml:space="preserve">CIs explain budget-to-actual variance</t>
  </si>
  <si>
    <t xml:space="preserve">Change items by building section provide granular variance explanation</t>
  </si>
  <si>
    <t xml:space="preserve">UC3: CO Trend Analysis</t>
  </si>
  <si>
    <t xml:space="preserve">KEY MISSING DOCUMENTS — OWP 2001</t>
  </si>
  <si>
    <t xml:space="preserve">Priority</t>
  </si>
  <si>
    <t xml:space="preserve">Missing Document</t>
  </si>
  <si>
    <t xml:space="preserve">What We Have Instead</t>
  </si>
  <si>
    <t xml:space="preserve">Use Cases Blocked</t>
  </si>
  <si>
    <t xml:space="preserve">Recovery Action</t>
  </si>
  <si>
    <t xml:space="preserve">Difficulty</t>
  </si>
  <si>
    <t xml:space="preserve">Daily Field Reports / Crew Logs</t>
  </si>
  <si>
    <t xml:space="preserve">NOTHING — zero daily reports</t>
  </si>
  <si>
    <t xml:space="preserve">UC11-15 (all 5 Labor &amp; Crew UCs)</t>
  </si>
  <si>
    <t xml:space="preserve">Cannot determine crew sizes, daily productivity, weather delays, or task-level hours. The 66% hour overrun is unexplainable at granular level.</t>
  </si>
  <si>
    <t xml:space="preserve">Cannot recover retroactively. Implement daily reporting for all future projects using Cortex Production Activity schema.</t>
  </si>
  <si>
    <t xml:space="preserve">IMPOSSIBLE (historical)</t>
  </si>
  <si>
    <t xml:space="preserve">Original Estimate / Bid Documents</t>
  </si>
  <si>
    <t xml:space="preserve">JCR has budget numbers but not the original takeoff methodology</t>
  </si>
  <si>
    <t xml:space="preserve">UC15-19 (all 5 Estimating UCs)</t>
  </si>
  <si>
    <t xml:space="preserve">Cannot validate whether the budget was accurate to begin with. The 66% overrun might be a bad estimate, not bad execution.</t>
  </si>
  <si>
    <t xml:space="preserve">Check estimating department files, bid folders, or accounting system for original proposal.</t>
  </si>
  <si>
    <t xml:space="preserve">Actual Material Cost Reconciliation</t>
  </si>
  <si>
    <t xml:space="preserve">BID material ($717K) from price summary. 226 POs not aggregated.</t>
  </si>
  <si>
    <t xml:space="preserve">UC27 (True Profitability)</t>
  </si>
  <si>
    <t xml:space="preserve">Bid material is known ($717K). Actual material is NOT. PO aggregation needed to determine if material was over/under bid.</t>
  </si>
  <si>
    <t xml:space="preserve">Aggregate PO values + reconcile against accounts payable. Or extract from accounting system.</t>
  </si>
  <si>
    <t xml:space="preserve">Change Order Log / Register</t>
  </si>
  <si>
    <t xml:space="preserve">ASIs exist, CI files exist, but no formal CO register</t>
  </si>
  <si>
    <t xml:space="preserve">UC1-3 (Change Order Analytics)</t>
  </si>
  <si>
    <t xml:space="preserve">Contract was $1.85M but $2.03M was billed. The $184K delta is unexplained — COs? Extras? Overbilling?</t>
  </si>
  <si>
    <t xml:space="preserve">Reconstruct from ASI + CI files + billing records. Cross-reference against pay app line items.</t>
  </si>
  <si>
    <t xml:space="preserve">RFI Documentation</t>
  </si>
  <si>
    <t xml:space="preserve">NONE — zero RFI files found</t>
  </si>
  <si>
    <t xml:space="preserve">UC6-8 (GC Intelligence)</t>
  </si>
  <si>
    <t xml:space="preserve">Cannot assess GC responsiveness, design clarification patterns, or communication quality.</t>
  </si>
  <si>
    <t xml:space="preserve">Check with project manager or GC for RFI log. May be in email archives.</t>
  </si>
  <si>
    <t xml:space="preserve">HARD</t>
  </si>
  <si>
    <t xml:space="preserve">Subcontract Agreements</t>
  </si>
  <si>
    <t xml:space="preserve">Contract with GC exists, but no sub-tier agreements</t>
  </si>
  <si>
    <t xml:space="preserve">UC4, UC10 (Sub Performance, Contract Risk)</t>
  </si>
  <si>
    <t xml:space="preserve">OWP may have used sub-subs (fixtures, gas, boiler). No tracking of their contracts or performance.</t>
  </si>
  <si>
    <t xml:space="preserve">Check procurement files for any sub-tier agreements.</t>
  </si>
  <si>
    <t xml:space="preserve">Project Correspondence / Emails</t>
  </si>
  <si>
    <t xml:space="preserve">NONE — zero correspondence files</t>
  </si>
  <si>
    <t xml:space="preserve">UC7 (Dispute Prediction)</t>
  </si>
  <si>
    <t xml:space="preserve">No paper trail for disputes, claims, or GC negotiations. If a dispute arose, documentation is thin.</t>
  </si>
  <si>
    <t xml:space="preserve">Export relevant project emails from Outlook/email system.</t>
  </si>
  <si>
    <t xml:space="preserve">Safety / Inspection Reports (formal)</t>
  </si>
  <si>
    <t xml:space="preserve">Tub inspection photos exist (10 JPGs)</t>
  </si>
  <si>
    <t xml:space="preserve">UC24-26 (Safety &amp; Quality)</t>
  </si>
  <si>
    <t xml:space="preserve">No formal inspection reports, safety meeting minutes, or OSHA compliance records.</t>
  </si>
  <si>
    <t xml:space="preserve">Check safety department files. May not have been documented.</t>
  </si>
  <si>
    <t xml:space="preserve">Meeting Minutes</t>
  </si>
  <si>
    <t xml:space="preserve">2 meeting-related files found (sparse)</t>
  </si>
  <si>
    <t xml:space="preserve">UC8 (Communication Pattern)</t>
  </si>
  <si>
    <t xml:space="preserve">Cannot track decision trail or GC coordination quality.</t>
  </si>
  <si>
    <t xml:space="preserve">Request from GC or check email for meeting notes.</t>
  </si>
  <si>
    <t xml:space="preserve">Lien Waivers</t>
  </si>
  <si>
    <t xml:space="preserve">NONE found</t>
  </si>
  <si>
    <t xml:space="preserve">Cannot confirm all sub-tier payments were made; potential lien risk during warranty period.</t>
  </si>
  <si>
    <t xml:space="preserve">Should be attached to each pay application. Check with accounting.</t>
  </si>
  <si>
    <t xml:space="preserve">EASY</t>
  </si>
  <si>
    <t xml:space="preserve">Commissioning Documentation</t>
  </si>
  <si>
    <t xml:space="preserve">Hot water sign-off (244 units) exists</t>
  </si>
  <si>
    <t xml:space="preserve">UC28 (Closeout)</t>
  </si>
  <si>
    <t xml:space="preserve">Partial — sign-offs exist but no formal commissioning report or test-and-balance.</t>
  </si>
  <si>
    <t xml:space="preserve">May be sufficient for plumbing scope. Confirm with project close-out requirements.</t>
  </si>
  <si>
    <t xml:space="preserve">Progress Photos (formal)</t>
  </si>
  <si>
    <t xml:space="preserve">11 JPGs exist (renderings + some site photos)</t>
  </si>
  <si>
    <t xml:space="preserve">None directly</t>
  </si>
  <si>
    <t xml:space="preserve">Limited visual record of construction progress.</t>
  </si>
  <si>
    <t xml:space="preserve">Check project manager phone/tablet for additional photos.</t>
  </si>
  <si>
    <t xml:space="preserve">Warranty Claims / Callbacks</t>
  </si>
  <si>
    <t xml:space="preserve">Warranty docs exist but no claim log</t>
  </si>
  <si>
    <t xml:space="preserve">UC14 (Rework Pattern)</t>
  </si>
  <si>
    <t xml:space="preserve">Cannot track post-completion warranty issues to identify systemic quality problems.</t>
  </si>
  <si>
    <t xml:space="preserve">Check service department for callback records.</t>
  </si>
  <si>
    <t xml:space="preserve">KEY &amp; MOST INTERESTING INSIGHTS</t>
  </si>
  <si>
    <t xml:space="preserve">Job #2001 — 230 Broadway</t>
  </si>
  <si>
    <t xml:space="preserve">Evidence</t>
  </si>
  <si>
    <t xml:space="preserve">Magnitude</t>
  </si>
  <si>
    <t xml:space="preserve">Action Required</t>
  </si>
  <si>
    <t xml:space="preserve">THE RATE-HOURS PARADOX — NOW WITH TRUE PROFITABILITY: Bid profit was $437,856 (23.7% margin). Material cost is CONFIRMED at $717,208 (38.8% of revenue). Labor was bid at $411,060 but actual was $457,624 — a $46,564 overrun reducing adjusted profit to ~$617K. Despite 66% hour overrun, the low actual rate ($21.23/hr vs $32 budget) limited damage. The full cost structure: Labor 22%, Material 39%, Adder 12%, Misc 3%, Profit 24%.</t>
  </si>
  <si>
    <t xml:space="preserve">Contract Price Summary: Labor $411K, Material $717K, Misc $58K, Adder $226K, Net Profit $437,856. JCR actual labor: $457,624.</t>
  </si>
  <si>
    <t xml:space="preserve">$437,856 bid profit confirmed; $46.5K labor erosion</t>
  </si>
  <si>
    <t xml:space="preserve">Decide: Is this intentional strategy or hidden inefficiency? If intentional, budget hours accurately. If not, invest in crew training.</t>
  </si>
  <si>
    <t xml:space="preserve">TOP OUT UNITS IS THE PRODUCTIVITY BLACK HOLE: Across residential plumbing, the 'Top Out Units' phase (Code 120) consistently consumes the most labor and has the worst overruns. On Job 2001, it consumed 10,500 hrs vs 5,803 budgeted (+81%). This single phase accounts for 49% of all actual labor hours.</t>
  </si>
  <si>
    <t xml:space="preserve">JCR phase breakdown: Top Out = 10,500 of 21,556 total actual hours (49%)</t>
  </si>
  <si>
    <t xml:space="preserve">+4,697 hours wasted in one phase</t>
  </si>
  <si>
    <t xml:space="preserve">Break Top Out into sub-phases (rough-in per floor, per unit type). Track daily fixture count vs hours to identify exactly where productivity drops.</t>
  </si>
  <si>
    <t xml:space="preserve">THE $184K BILLING MYSTERY: OWP billed $2.03M against a $1.85M contract — $184K more than the contract value. The change order value is $152K, leaving a $32K gap. Was this approved? Overbilled? Disputed?</t>
  </si>
  <si>
    <t xml:space="preserve">Aggregate billing: $2,034,673 total. Contract: $1,850,270. CO value: $151,870. Unexplained delta: ~$32K</t>
  </si>
  <si>
    <t xml:space="preserve">$32K unexplained billing</t>
  </si>
  <si>
    <t xml:space="preserve">Audit every pay app line item against approved COs. Reconcile the $32K gap. Check for retainage adjustments or billing errors.</t>
  </si>
  <si>
    <t xml:space="preserve">SUPERVISION VANISHED: Layout &amp; Supervision was budgeted at 687.5 hours / $22,000 but actual was only 170 hours / $5,426 — a 75% reduction. Either supervision was not tracked separately (absorbed into other phases), or the crew was self-managing. If the latter, the 66% hour overrun in production phases might be directly caused by insufficient supervision.</t>
  </si>
  <si>
    <t xml:space="preserve">JCR: Code 100-101 budget 687.5 hrs, actual 170 hrs</t>
  </si>
  <si>
    <t xml:space="preserve">75% supervision reduction</t>
  </si>
  <si>
    <t xml:space="preserve">Determine if supervision hours were miscoded to other phases. If truly reduced, correlate with production overruns.</t>
  </si>
  <si>
    <t xml:space="preserve">2,142 PUNCH ITEMS = QUALITY SIGNAL: The punch list tracked 2,142 items across 18 contractor entities for 234 units. That's ~9 punch items per unit — significantly higher than industry norm of 3-5. Combined with the 103% trim hour overrun, this suggests systematic quality issues during initial installation.</t>
  </si>
  <si>
    <t xml:space="preserve">Punch list XLSX: 2,142 items. Trim phase: 2,362 actual hrs vs 1,163 budget (+103%).</t>
  </si>
  <si>
    <t xml:space="preserve">~9 punch items/unit vs ~4 industry norm</t>
  </si>
  <si>
    <t xml:space="preserve">Implement in-progress quality inspections (not just final punch). Track defect origin by crew and phase.</t>
  </si>
  <si>
    <t xml:space="preserve">MAINS/MECH PHASE WAS HIT BY ASIs: The Mains/Mech/Gas phase had a 107% hour overrun — the worst rate of any phase. This project received ASIs #23-33 from the architect, including a major roof deck redesign. Mechanical room piping and gas systems are directly affected by architectural changes to roof/mechanical areas.</t>
  </si>
  <si>
    <t xml:space="preserve">JCR: Mains/Mech 4,600 actual vs 2,219 budget. ASI folder: 8 ASIs including roof deck redesign.</t>
  </si>
  <si>
    <t xml:space="preserve">107% hour overrun in one phase</t>
  </si>
  <si>
    <t xml:space="preserve">Map each ASI to affected labor phases. Quantify cost impact per ASI. File change orders for scope additions.</t>
  </si>
  <si>
    <t xml:space="preserve">OWP HAS 88 JOBS OF BENCHMARKABLE DATA AND ISN'T USING IT: The % Complete file contains budget-vs-actual data for 88 jobs spanning 12,953 units and 73,829 fixtures. This is an extraordinarily valuable dataset for predictive estimating, yet there's no evidence it's being used to calibrate future bids.</t>
  </si>
  <si>
    <t xml:space="preserve">JCR: 88 sheets with consistent schema (units, fixtures, hours by phase, cost)</t>
  </si>
  <si>
    <t xml:space="preserve">88-job dataset = statistical significance</t>
  </si>
  <si>
    <t xml:space="preserve">Build predictive model: regress actual hrs/fixture against project characteristics (unit count, building type, location). Use to calibrate all future estimates.</t>
  </si>
  <si>
    <t xml:space="preserve">THE PORTFOLIO SAVES $2.88M BY UNDERPAYING — BUT IS IT SUSTAINABLE? Across 88 jobs, OWP saves $2.88M vs budget on labor cost despite using 134K more hours. This is entirely driven by a $4.79/hr rate advantage ($28.83 actual vs $33.62 budget). If labor rates increase (market tightening), the hour overruns will become cost overruns.</t>
  </si>
  <si>
    <t xml:space="preserve">Portfolio totals: $44.4M actual vs $47.3M budget cost. 1.54M actual vs 1.41M budget hours.</t>
  </si>
  <si>
    <t xml:space="preserve">$2.88M in rate-driven savings at risk</t>
  </si>
  <si>
    <t xml:space="preserve">Stress-test: What happens if actual rate rises to $33/hr? Answer: $5.3M in cost overruns. Hedge by improving productivity, not just relying on cheap labor.</t>
  </si>
  <si>
    <t xml:space="preserve">FRONT-LOADING SIGNAL: The SOV and early billing apps suggest potential front-loading. Monthly billings ranged from $1,861 to $440,000. If early billings were disproportionately large vs work-in-place, OWP was effectively financing operations through progress billing.</t>
  </si>
  <si>
    <t xml:space="preserve">Billing records: wide range ($1.8K to $440K monthly). 19 apps over 18 months.</t>
  </si>
  <si>
    <t xml:space="preserve">Cash flow management pattern</t>
  </si>
  <si>
    <t xml:space="preserve">Analyze billing curve vs % complete by phase. Compare early billing % to actual physical progress.</t>
  </si>
  <si>
    <t xml:space="preserve">GARAGE PHASE IS THE BRIGHT SPOT: Garage work (Codes 110-112) came in 7.5% under budget on cost despite 26% hour overrun. This is the only production phase that performed well financially. Understanding why could improve other phases.</t>
  </si>
  <si>
    <t xml:space="preserve">JCR: Garage $91,970 actual vs $99,411 budget (-7.5%). Hours: 3,924 vs 3,107 (+26%).</t>
  </si>
  <si>
    <t xml:space="preserve">Only phase under budget</t>
  </si>
  <si>
    <t xml:space="preserve">Document what made garage work successful. Was it crew continuity? Less rework? Simpler scope? Apply lessons to other phases.</t>
  </si>
  <si>
    <t xml:space="preserve">THINGS WE ARE NOT ASKING</t>
  </si>
  <si>
    <t xml:space="preserve">Critical Blind Spots in OWP's Project Intelligence</t>
  </si>
  <si>
    <t xml:space="preserve">Unasked Question</t>
  </si>
  <si>
    <t xml:space="preserve">Why It Matters</t>
  </si>
  <si>
    <t xml:space="preserve">What Data Would Answer It</t>
  </si>
  <si>
    <t xml:space="preserve">Cortex Schema / Use Case</t>
  </si>
  <si>
    <t xml:space="preserve">Is the $717K bid material cost what was actually spent?</t>
  </si>
  <si>
    <t xml:space="preserve">We have the BID material cost ($717K) from the contract price summary, but not ACTUAL material cost. 226 POs exist but aren't aggregated. Given 66% labor hour overrun, material waste is likely. If actual material exceeded bid by even 10%, that's $72K more off profit.</t>
  </si>
  <si>
    <t xml:space="preserve">Aggregate all 226 PO values + reconcile against AP records</t>
  </si>
  <si>
    <t xml:space="preserve">UC27: True Profitability (actual vs bid material)</t>
  </si>
  <si>
    <t xml:space="preserve">Which specific crews or workers drove the Top Out overrun?</t>
  </si>
  <si>
    <t xml:space="preserve">10,500 hrs were spent on Top Out vs 5,803 budgeted. Were certain floors worse? Certain weeks? Certain crews? Without daily reports, we're treating 234 units and 10,500 hours as a black box.</t>
  </si>
  <si>
    <t xml:space="preserve">Daily field reports with crew names, hours per unit/floor, task completion</t>
  </si>
  <si>
    <t xml:space="preserve">UC11-13: Labor &amp; Crew Productivity / Daily Report + Production Activity schemas</t>
  </si>
  <si>
    <t xml:space="preserve">Were the ASIs properly priced and billed as change orders?</t>
  </si>
  <si>
    <t xml:space="preserve">8 ASIs were issued including a major roof deck redesign. The $152K in change orders may not fully capture the labor impact — especially the 107% Mains/Mech overrun that likely resulted from ASI scope changes.</t>
  </si>
  <si>
    <t xml:space="preserve">ASI-to-CO mapping, COR (Cost of Request) for each ASI, approved vs denied</t>
  </si>
  <si>
    <t xml:space="preserve">UC5: Design Change Cost / Change Order schema</t>
  </si>
  <si>
    <t xml:space="preserve">Why is OWP's budget rate ($32/hr) consistently wrong?</t>
  </si>
  <si>
    <t xml:space="preserve">Across 88 jobs, OWP budgets at $32-40/hr but actual rates are $21-29/hr. This isn't a one-time miss — it's a systematic estimating error. Is the budget intentionally padded? Is it based on journeyman rates while crews are apprentice-heavy?</t>
  </si>
  <si>
    <t xml:space="preserve">Crew composition data (journeyman/apprentice mix), wage scale records, union/non-union status</t>
  </si>
  <si>
    <t xml:space="preserve">UC15-19: Estimating Intelligence / Estimate schema</t>
  </si>
  <si>
    <t xml:space="preserve">How does OWP's productivity compare to industry benchmarks?</t>
  </si>
  <si>
    <t xml:space="preserve">OWP averages 20.87 hrs/fixture across 88 jobs. Is this good? Bad? Average? Without industry benchmark data (RSMeans, mechanical contractor associations), we can't position OWP relative to competitors.</t>
  </si>
  <si>
    <t xml:space="preserve">RSMeans residential plumbing data, MCAA benchmarks, regional productivity studies</t>
  </si>
  <si>
    <t xml:space="preserve">UC4: Sub Performance Benchmarking</t>
  </si>
  <si>
    <t xml:space="preserve">What is the cost of the 2,142 punch items?</t>
  </si>
  <si>
    <t xml:space="preserve">Each punch item requires a return trip, diagnosis, and repair. At even $50/item average, that's $107K in rework cost — potentially 6% of contract value. But we don't track rework cost separately.</t>
  </si>
  <si>
    <t xml:space="preserve">Punch item resolution hours, material for rework, return trip costs</t>
  </si>
  <si>
    <t xml:space="preserve">UC14: Rework Pattern Analysis / Production Activity schema</t>
  </si>
  <si>
    <t xml:space="preserve">Does OWP front-load billing, and if so, by how much?</t>
  </si>
  <si>
    <t xml:space="preserve">Monthly billings ranged from $1.8K to $440K. If OWP billed ahead of physical progress, they were effectively using the GC as a bank. This is common but creates risk if GC audits billing.</t>
  </si>
  <si>
    <t xml:space="preserve">Billing curve vs % complete by phase. Earned value analysis (BCWP vs ACWP)</t>
  </si>
  <si>
    <t xml:space="preserve">UC21-22: Cash Flow Analytics</t>
  </si>
  <si>
    <t xml:space="preserve">What is OWP's warranty callback rate on this project?</t>
  </si>
  <si>
    <t xml:space="preserve">2,142 punch items at close-out suggests potential quality issues. How many warranty calls happened in the 12 months after completion? Each callback is a direct cost that erodes margin.</t>
  </si>
  <si>
    <t xml:space="preserve">Warranty call log, callback cost tracking, customer satisfaction data</t>
  </si>
  <si>
    <t xml:space="preserve">UC14: Rework Pattern / Safety &amp; Inspection schema</t>
  </si>
  <si>
    <t xml:space="preserve">Are there vendor pricing optimization opportunities across 88 jobs?</t>
  </si>
  <si>
    <t xml:space="preserve">226 POs on this job alone, multiplied by 88 jobs = potentially 10,000+ POs in the portfolio. Are there volume discounts being missed? Are some vendors consistently cheaper?</t>
  </si>
  <si>
    <t xml:space="preserve">Aggregated PO data across all jobs by vendor and material type</t>
  </si>
  <si>
    <t xml:space="preserve">UC16: Buyout Optimization / Sub Bid Analysis schema</t>
  </si>
  <si>
    <t xml:space="preserve">What would happen if labor rates normalized to budget?</t>
  </si>
  <si>
    <t xml:space="preserve">OWP saves $2.88M portfolio-wide because actual rates are $4.79/hr below budget. If rates rise to match budget (tight labor market), every hour overrun becomes a cost overrun. The 134K excess hours would cost an additional $641K at budgeted rates.</t>
  </si>
  <si>
    <t xml:space="preserve">Labor market trend data, union contract escalation schedule, wage forecasting</t>
  </si>
  <si>
    <t xml:space="preserve">Strategic / Portfolio risk analysis</t>
  </si>
  <si>
    <t xml:space="preserve">Why are 53 of 88 jobs over on hours but only 35 over on cost?</t>
  </si>
  <si>
    <t xml:space="preserve">60% of jobs exceed budget hours, but 60% come in under budget cost. This paradox is the defining characteristic of OWP's operations. Is management aware? Is it a strategy?</t>
  </si>
  <si>
    <t xml:space="preserve">Management interviews, estimating methodology review, crew allocation records</t>
  </si>
  <si>
    <t xml:space="preserve">UC27 + Portfolio Strategy</t>
  </si>
  <si>
    <t xml:space="preserve">What is the optimal crew size for a 234-unit residential project?</t>
  </si>
  <si>
    <t xml:space="preserve">We know total hours (21,556) over 18 months = ~276 hrs/week = ~7 full-time plumbers. But was this consistent? Were there weeks with 15 plumbers and weeks with 3? Crew volatility destroys productivity.</t>
  </si>
  <si>
    <t xml:space="preserve">Weekly manpower loading, crew deployment schedule</t>
  </si>
  <si>
    <t xml:space="preserve">UC11: Crew Productivity / Daily Report schema</t>
  </si>
  <si>
    <t xml:space="preserve">CORTEX SCHEMA COVERAGE — OWP 2001</t>
  </si>
  <si>
    <t xml:space="preserve">Taxonomy Field Population Analysis</t>
  </si>
  <si>
    <t xml:space="preserve">Cortex Schema</t>
  </si>
  <si>
    <t xml:space="preserve">Total Fields</t>
  </si>
  <si>
    <t xml:space="preserve">Fields Populated</t>
  </si>
  <si>
    <t xml:space="preserve">Coverage %</t>
  </si>
  <si>
    <t xml:space="preserve">Key Data Present</t>
  </si>
  <si>
    <t xml:space="preserve">Key Data Missing</t>
  </si>
  <si>
    <t xml:space="preserve">Blocked Use Cases</t>
  </si>
  <si>
    <t xml:space="preserve">Priority to Fill</t>
  </si>
  <si>
    <t xml:space="preserve">Budget/actual hrs &amp; cost by phase, hrs/fixture, $/fixture, $/hr, units, fixtures, phase codes, MATERIAL COST ($717K), MISC ($58K), LABOR ADDER ($226K), NET PROFIT ($437,856), GP/LABOR RATIO</t>
  </si>
  <si>
    <t xml:space="preserve">Equipment cost detail, actual material cost (bid only), overhead allocation method, bond cost, warranty reserve</t>
  </si>
  <si>
    <t xml:space="preserve">UC27 partially addressed (labor only, no material)</t>
  </si>
  <si>
    <t xml:space="preserve">MOSTLY COMPLETE</t>
  </si>
  <si>
    <t xml:space="preserve">Estimate / Bid</t>
  </si>
  <si>
    <t xml:space="preserve">Labor budget ($411K), material budget ($717K), misc ($58K), overhead/adder ($226K), sale price, profit target ($437K), GP/labor ratio, cost structure percentages</t>
  </si>
  <si>
    <t xml:space="preserve">Original takeoff, bid methodology, unit pricing, labor rates assumed, material quotes, scope assumptions, bid alternates</t>
  </si>
  <si>
    <t xml:space="preserve">UC15-19: ALL 5 Estimating UCs fully blocked</t>
  </si>
  <si>
    <t xml:space="preserve">CRITICAL — retrieve from estimating dept</t>
  </si>
  <si>
    <t xml:space="preserve">Contract / Clause</t>
  </si>
  <si>
    <t xml:space="preserve">Parties, contract value ($1.85M), trade scope, retention %, tax rate, payment terms, project description</t>
  </si>
  <si>
    <t xml:space="preserve">Specific clause text, flow-down terms, dispute procedures, liquidated damages, warranty terms, insurance requirements</t>
  </si>
  <si>
    <t xml:space="preserve">UC10: Contract Risk (partial)</t>
  </si>
  <si>
    <t xml:space="preserve">Change Order (CO)</t>
  </si>
  <si>
    <t xml:space="preserve">CO total ($152K implied), ASI references, CI change items by section, billing changes</t>
  </si>
  <si>
    <t xml:space="preserve">Individual CO numbers, approval dates, status tracking, CO register, cost code breakdown, schedule impact, margin impact</t>
  </si>
  <si>
    <t xml:space="preserve">UC1-3: CO Analytics (partially blocked)</t>
  </si>
  <si>
    <t xml:space="preserve">HIGH — reconstruct from ASI+CI</t>
  </si>
  <si>
    <t xml:space="preserve">Design Changes (ASI/CCD)</t>
  </si>
  <si>
    <t xml:space="preserve">ASI numbers (#23-33), descriptions (roof deck, VE changes), issue dates, affected areas</t>
  </si>
  <si>
    <t xml:space="preserve">Detailed cost impact per ASI, responsible party, schedule impact, sub-tier impact, merit determination, pricing breakdown</t>
  </si>
  <si>
    <t xml:space="preserve">UC5: Design Change Cost (partial)</t>
  </si>
  <si>
    <t xml:space="preserve">Daily Report</t>
  </si>
  <si>
    <t xml:space="preserve">NOTHING — zero daily reports exist</t>
  </si>
  <si>
    <t xml:space="preserve">ALL fields: date, weather, crew count, hours by task, equipment, work description, safety, visitors, deliveries, % complete</t>
  </si>
  <si>
    <t xml:space="preserve">UC11-15: ALL 5 Labor UCs, UC20: Weather</t>
  </si>
  <si>
    <t xml:space="preserve">CRITICAL — cannot recover historically</t>
  </si>
  <si>
    <t xml:space="preserve">Production Activity</t>
  </si>
  <si>
    <t xml:space="preserve">NOTHING</t>
  </si>
  <si>
    <t xml:space="preserve">ALL fields: daily production quantities, crew deployment, task completion, installed fixture counts, phase progress</t>
  </si>
  <si>
    <t xml:space="preserve">UC11-13: Crew Productivity</t>
  </si>
  <si>
    <t xml:space="preserve">CRITICAL — implement going forward</t>
  </si>
  <si>
    <t xml:space="preserve">Submittal</t>
  </si>
  <si>
    <t xml:space="preserve">Submittal-like docs in POs (product specs referenced)</t>
  </si>
  <si>
    <t xml:space="preserve">Formal submittal log, review cycles, approval dates, resubmission tracking, lead time impact, spec compliance</t>
  </si>
  <si>
    <t xml:space="preserve">UC9: Spec Gap, UC13: Submittal Cycle</t>
  </si>
  <si>
    <t xml:space="preserve">RFI</t>
  </si>
  <si>
    <t xml:space="preserve">NOTHING — zero RFI files exist</t>
  </si>
  <si>
    <t xml:space="preserve">ALL fields: RFI number, subject, dates, responses, cost impact, schedule impact, responsible party</t>
  </si>
  <si>
    <t xml:space="preserve">UC6-8: ALL GC Intelligence UCs</t>
  </si>
  <si>
    <t xml:space="preserve">HIGH — check with GC</t>
  </si>
  <si>
    <t xml:space="preserve">Billing / Pay App</t>
  </si>
  <si>
    <t xml:space="preserve">19 pay apps, aggregate billing, SOV, monthly amounts, retention, tax, cumulative totals, billing dates, project %, line items</t>
  </si>
  <si>
    <t xml:space="preserve">Payment receipt dates, days-to-payment, retainage release schedule, dispute flags, certified payroll</t>
  </si>
  <si>
    <t xml:space="preserve">UC21-22: Cash Flow (partial)</t>
  </si>
  <si>
    <t xml:space="preserve">Safety &amp; Inspection</t>
  </si>
  <si>
    <t xml:space="preserve">Tub inspection photos (10), some quality verification</t>
  </si>
  <si>
    <t xml:space="preserve">Incident reports, near miss logs, safety meeting minutes, OSHA compliance, formal inspection checklists, inspector names</t>
  </si>
  <si>
    <t xml:space="preserve">UC24-26: Safety &amp; Quality</t>
  </si>
  <si>
    <t xml:space="preserve">LOW for plumbing scope</t>
  </si>
  <si>
    <t xml:space="preserve">Project Admin</t>
  </si>
  <si>
    <t xml:space="preserve">Permits (implied), meetings (2 files), O&amp;M manual, as-builts, warranties, project images, vendor directory</t>
  </si>
  <si>
    <t xml:space="preserve">Photo log, drawing register, transmittal log, closeout checklist, correspondence log, BIM coordination</t>
  </si>
  <si>
    <t xml:space="preserve">UC28: Closeout (partial)</t>
  </si>
  <si>
    <t xml:space="preserve">Sub Bid Analysis</t>
  </si>
  <si>
    <t xml:space="preserve">ALL fields: bid tabs, sub comparison, historical pricing, scope leveling, exclusions analysis</t>
  </si>
  <si>
    <t xml:space="preserve">UC16, UC19: Buyout UCs</t>
  </si>
  <si>
    <t xml:space="preserve">TOTALS</t>
  </si>
  <si>
    <t xml:space="preserve">USE CASE ADDRESSABILITY SUMMARY</t>
  </si>
  <si>
    <t xml:space="preserve">Use Case Category</t>
  </si>
  <si>
    <t xml:space="preserve">Total UCs</t>
  </si>
  <si>
    <t xml:space="preserve">Addressable</t>
  </si>
  <si>
    <t xml:space="preserve">Coverage</t>
  </si>
  <si>
    <t xml:space="preserve">Blocked By</t>
  </si>
  <si>
    <t xml:space="preserve">Change Order Analytics (UC1-3)</t>
  </si>
  <si>
    <t xml:space="preserve">No CO register; ASIs/CIs provide partial data</t>
  </si>
  <si>
    <t xml:space="preserve">GC &amp; Relationship (UC4-8)</t>
  </si>
  <si>
    <t xml:space="preserve">Zero RFIs; no GC performance data</t>
  </si>
  <si>
    <t xml:space="preserve">Compliance &amp; Risk (UC9-10)</t>
  </si>
  <si>
    <t xml:space="preserve">No submittal log; contract partially covered</t>
  </si>
  <si>
    <t xml:space="preserve">Labor &amp; Crew (UC11-15)</t>
  </si>
  <si>
    <t xml:space="preserve">Zero daily reports; JCR provides phase-level only</t>
  </si>
  <si>
    <t xml:space="preserve">Estimating (UC15-19)</t>
  </si>
  <si>
    <t xml:space="preserve">No original estimates; JCR budget as proxy</t>
  </si>
  <si>
    <t xml:space="preserve">Weather &amp; External (UC20)</t>
  </si>
  <si>
    <t xml:space="preserve">No weather data captured anywhere</t>
  </si>
  <si>
    <t xml:space="preserve">Cash Flow (UC21-23)</t>
  </si>
  <si>
    <t xml:space="preserve">Billing data strong; payment dates missing</t>
  </si>
  <si>
    <t xml:space="preserve">Safety &amp; Quality (UC24-26)</t>
  </si>
  <si>
    <t xml:space="preserve">Minimal inspection data; no safety program docs</t>
  </si>
  <si>
    <t xml:space="preserve">Strategic / Portfolio (UC27-30)</t>
  </si>
  <si>
    <t xml:space="preserve">JCR enables benchmarking; profitability partial</t>
  </si>
</sst>
</file>

<file path=xl/styles.xml><?xml version="1.0" encoding="utf-8"?>
<styleSheet xmlns="http://schemas.openxmlformats.org/spreadsheetml/2006/main">
  <numFmts count="8">
    <numFmt numFmtId="164" formatCode="General"/>
    <numFmt numFmtId="165" formatCode="\$#,##0"/>
    <numFmt numFmtId="166" formatCode="\$#,##0"/>
    <numFmt numFmtId="167" formatCode="#,##0"/>
    <numFmt numFmtId="168" formatCode="0.0%"/>
    <numFmt numFmtId="169" formatCode="\$#,##0.00"/>
    <numFmt numFmtId="170" formatCode="\$#,##0.00"/>
    <numFmt numFmtId="171" formatCode="0.00"/>
  </numFmts>
  <fonts count="19">
    <font>
      <sz val="11"/>
      <color theme="1"/>
      <name val="Calibri"/>
      <family val="2"/>
      <charset val="1"/>
    </font>
    <font>
      <sz val="10"/>
      <name val="Arial"/>
      <family val="0"/>
    </font>
    <font>
      <sz val="10"/>
      <name val="Arial"/>
      <family val="0"/>
    </font>
    <font>
      <sz val="10"/>
      <name val="Arial"/>
      <family val="0"/>
    </font>
    <font>
      <b val="true"/>
      <sz val="14"/>
      <color rgb="FF1B2A4A"/>
      <name val="Arial"/>
      <family val="0"/>
      <charset val="1"/>
    </font>
    <font>
      <b val="true"/>
      <sz val="12"/>
      <color rgb="FF2C3E6B"/>
      <name val="Arial"/>
      <family val="0"/>
      <charset val="1"/>
    </font>
    <font>
      <i val="true"/>
      <sz val="9"/>
      <color rgb="FF6B7280"/>
      <name val="Arial"/>
      <family val="0"/>
      <charset val="1"/>
    </font>
    <font>
      <b val="true"/>
      <sz val="11"/>
      <color rgb="FFFFFFFF"/>
      <name val="Arial"/>
      <family val="0"/>
      <charset val="1"/>
    </font>
    <font>
      <sz val="10"/>
      <color rgb="FF374151"/>
      <name val="Arial"/>
      <family val="0"/>
      <charset val="1"/>
    </font>
    <font>
      <b val="true"/>
      <sz val="10"/>
      <color rgb="FF2C3E6B"/>
      <name val="Arial"/>
      <family val="0"/>
      <charset val="1"/>
    </font>
    <font>
      <b val="true"/>
      <sz val="10"/>
      <color rgb="FFD97706"/>
      <name val="Arial"/>
      <family val="0"/>
      <charset val="1"/>
    </font>
    <font>
      <b val="true"/>
      <sz val="10"/>
      <color rgb="FFDC2626"/>
      <name val="Arial"/>
      <family val="0"/>
      <charset val="1"/>
    </font>
    <font>
      <b val="true"/>
      <sz val="10"/>
      <color rgb="FF059669"/>
      <name val="Arial"/>
      <family val="0"/>
      <charset val="1"/>
    </font>
    <font>
      <b val="true"/>
      <sz val="11"/>
      <color rgb="FF059669"/>
      <name val="Arial"/>
      <family val="0"/>
      <charset val="1"/>
    </font>
    <font>
      <b val="true"/>
      <sz val="10"/>
      <color rgb="FFFFFFFF"/>
      <name val="Arial"/>
      <family val="0"/>
      <charset val="1"/>
    </font>
    <font>
      <b val="true"/>
      <sz val="10"/>
      <color rgb="FF3B82F6"/>
      <name val="Arial"/>
      <family val="0"/>
      <charset val="1"/>
    </font>
    <font>
      <b val="true"/>
      <sz val="10"/>
      <color rgb="FF374151"/>
      <name val="Arial"/>
      <family val="0"/>
      <charset val="1"/>
    </font>
    <font>
      <b val="true"/>
      <sz val="10"/>
      <name val="Arial"/>
      <family val="0"/>
      <charset val="1"/>
    </font>
    <font>
      <b val="true"/>
      <sz val="10"/>
      <color rgb="FF000000"/>
      <name val="Arial"/>
      <family val="0"/>
      <charset val="1"/>
    </font>
  </fonts>
  <fills count="12">
    <fill>
      <patternFill patternType="none"/>
    </fill>
    <fill>
      <patternFill patternType="gray125"/>
    </fill>
    <fill>
      <patternFill patternType="solid">
        <fgColor rgb="FF1B2A4A"/>
        <bgColor rgb="FF2C3E6B"/>
      </patternFill>
    </fill>
    <fill>
      <patternFill patternType="solid">
        <fgColor rgb="FFFFFFFF"/>
        <bgColor rgb="FFEFF6FF"/>
      </patternFill>
    </fill>
    <fill>
      <patternFill patternType="solid">
        <fgColor rgb="FFEFF6FF"/>
        <bgColor rgb="FFFFFFFF"/>
      </patternFill>
    </fill>
    <fill>
      <patternFill patternType="solid">
        <fgColor rgb="FFDBEAFE"/>
        <bgColor rgb="FFEFF6FF"/>
      </patternFill>
    </fill>
    <fill>
      <patternFill patternType="solid">
        <fgColor rgb="FFFEF3C7"/>
        <bgColor rgb="FFFEE2E2"/>
      </patternFill>
    </fill>
    <fill>
      <patternFill patternType="solid">
        <fgColor rgb="FFFEE2E2"/>
        <bgColor rgb="FFFEF3C7"/>
      </patternFill>
    </fill>
    <fill>
      <patternFill patternType="solid">
        <fgColor rgb="FFD1FAE5"/>
        <bgColor rgb="FFDBEAFE"/>
      </patternFill>
    </fill>
    <fill>
      <patternFill patternType="solid">
        <fgColor rgb="FFDC2626"/>
        <bgColor rgb="FFEF4444"/>
      </patternFill>
    </fill>
    <fill>
      <patternFill patternType="solid">
        <fgColor rgb="FFD97706"/>
        <bgColor rgb="FFF59E0B"/>
      </patternFill>
    </fill>
    <fill>
      <patternFill patternType="solid">
        <fgColor rgb="FFFCD34D"/>
        <bgColor rgb="FFFFCC00"/>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center" textRotation="0" wrapText="false" indent="0" shrinkToFit="false"/>
      <protection locked="true" hidden="false"/>
    </xf>
    <xf numFmtId="165" fontId="8" fillId="4" borderId="1" xfId="0" applyFont="true" applyBorder="true" applyAlignment="true" applyProtection="false">
      <alignment horizontal="general" vertical="top" textRotation="0" wrapText="true" indent="0" shrinkToFit="false"/>
      <protection locked="true" hidden="false"/>
    </xf>
    <xf numFmtId="165" fontId="8" fillId="3" borderId="1" xfId="0" applyFont="true" applyBorder="true" applyAlignment="true" applyProtection="false">
      <alignment horizontal="general" vertical="top" textRotation="0" wrapText="true" indent="0" shrinkToFit="false"/>
      <protection locked="true" hidden="false"/>
    </xf>
    <xf numFmtId="166" fontId="8" fillId="4" borderId="1" xfId="0" applyFont="true" applyBorder="true" applyAlignment="true" applyProtection="false">
      <alignment horizontal="general" vertical="top" textRotation="0" wrapText="true" indent="0" shrinkToFit="false"/>
      <protection locked="true" hidden="false"/>
    </xf>
    <xf numFmtId="164" fontId="10" fillId="6" borderId="1" xfId="0" applyFont="true" applyBorder="true" applyAlignment="true" applyProtection="false">
      <alignment horizontal="general" vertical="top" textRotation="0" wrapText="true" indent="0" shrinkToFit="false"/>
      <protection locked="true" hidden="false"/>
    </xf>
    <xf numFmtId="167" fontId="8" fillId="4" borderId="1" xfId="0" applyFont="true" applyBorder="true" applyAlignment="true" applyProtection="false">
      <alignment horizontal="general" vertical="top" textRotation="0" wrapText="true" indent="0" shrinkToFit="false"/>
      <protection locked="true" hidden="false"/>
    </xf>
    <xf numFmtId="164" fontId="11" fillId="7" borderId="1" xfId="0" applyFont="true" applyBorder="true" applyAlignment="true" applyProtection="false">
      <alignment horizontal="general" vertical="top" textRotation="0" wrapText="true" indent="0" shrinkToFit="false"/>
      <protection locked="true" hidden="false"/>
    </xf>
    <xf numFmtId="168" fontId="8" fillId="3"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9" fontId="8" fillId="3" borderId="1" xfId="0" applyFont="true" applyBorder="true" applyAlignment="true" applyProtection="false">
      <alignment horizontal="general" vertical="top" textRotation="0" wrapText="true" indent="0" shrinkToFit="false"/>
      <protection locked="true" hidden="false"/>
    </xf>
    <xf numFmtId="169" fontId="8" fillId="4" borderId="1" xfId="0" applyFont="true" applyBorder="true" applyAlignment="true" applyProtection="false">
      <alignment horizontal="general" vertical="top" textRotation="0" wrapText="true" indent="0" shrinkToFit="false"/>
      <protection locked="true" hidden="false"/>
    </xf>
    <xf numFmtId="164" fontId="12" fillId="4"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70" fontId="8" fillId="5"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4" fontId="12" fillId="3" borderId="1" xfId="0" applyFont="true" applyBorder="true" applyAlignment="true" applyProtection="false">
      <alignment horizontal="general" vertical="top" textRotation="0" wrapText="true" indent="0" shrinkToFit="false"/>
      <protection locked="true" hidden="false"/>
    </xf>
    <xf numFmtId="165" fontId="13" fillId="8" borderId="1" xfId="0" applyFont="true" applyBorder="true" applyAlignment="true" applyProtection="false">
      <alignment horizontal="general" vertical="top" textRotation="0" wrapText="true" indent="0" shrinkToFit="false"/>
      <protection locked="true" hidden="false"/>
    </xf>
    <xf numFmtId="171" fontId="8" fillId="4"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6" fontId="8" fillId="0" borderId="1" xfId="0" applyFont="true" applyBorder="true" applyAlignment="true" applyProtection="false">
      <alignment horizontal="general" vertical="top" textRotation="0" wrapText="true" indent="0" shrinkToFit="false"/>
      <protection locked="true" hidden="false"/>
    </xf>
    <xf numFmtId="168" fontId="8" fillId="0" borderId="1" xfId="0" applyFont="true" applyBorder="true" applyAlignment="true" applyProtection="false">
      <alignment horizontal="general" vertical="top" textRotation="0" wrapText="true" indent="0" shrinkToFit="false"/>
      <protection locked="true" hidden="false"/>
    </xf>
    <xf numFmtId="168" fontId="8" fillId="4" borderId="1" xfId="0" applyFont="true" applyBorder="true" applyAlignment="true" applyProtection="false">
      <alignment horizontal="general" vertical="top" textRotation="0" wrapText="tru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0" fillId="5" borderId="1" xfId="0" applyFont="false" applyBorder="true" applyAlignment="true" applyProtection="false">
      <alignment horizontal="general" vertical="bottom" textRotation="0" wrapText="false" indent="0" shrinkToFit="false"/>
      <protection locked="true" hidden="false"/>
    </xf>
    <xf numFmtId="165" fontId="12" fillId="4" borderId="1" xfId="0" applyFont="true" applyBorder="true" applyAlignment="true" applyProtection="false">
      <alignment horizontal="general" vertical="top" textRotation="0" wrapText="true" indent="0" shrinkToFit="false"/>
      <protection locked="true" hidden="false"/>
    </xf>
    <xf numFmtId="166" fontId="12" fillId="3"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6" fontId="0" fillId="0" borderId="1" xfId="0" applyFont="false" applyBorder="true" applyAlignment="true" applyProtection="false">
      <alignment horizontal="general" vertical="top" textRotation="0" wrapText="true" indent="0" shrinkToFit="false"/>
      <protection locked="true" hidden="false"/>
    </xf>
    <xf numFmtId="168" fontId="0" fillId="0" borderId="1" xfId="0" applyFont="false" applyBorder="true" applyAlignment="true" applyProtection="false">
      <alignment horizontal="general" vertical="top" textRotation="0" wrapText="true" indent="0" shrinkToFit="false"/>
      <protection locked="true" hidden="false"/>
    </xf>
    <xf numFmtId="166" fontId="13" fillId="0" borderId="1" xfId="0" applyFont="true" applyBorder="true" applyAlignment="true" applyProtection="false">
      <alignment horizontal="general" vertical="top" textRotation="0" wrapText="true" indent="0" shrinkToFit="false"/>
      <protection locked="true" hidden="false"/>
    </xf>
    <xf numFmtId="167" fontId="8" fillId="3" borderId="1" xfId="0" applyFont="true" applyBorder="true" applyAlignment="true" applyProtection="false">
      <alignment horizontal="general" vertical="top" textRotation="0" wrapText="true" indent="0" shrinkToFit="false"/>
      <protection locked="true" hidden="false"/>
    </xf>
    <xf numFmtId="170" fontId="8" fillId="3" borderId="1" xfId="0" applyFont="true" applyBorder="true" applyAlignment="true" applyProtection="false">
      <alignment horizontal="general" vertical="top" textRotation="0" wrapText="true" indent="0" shrinkToFit="false"/>
      <protection locked="true" hidden="false"/>
    </xf>
    <xf numFmtId="170" fontId="8" fillId="4" borderId="1" xfId="0" applyFont="true" applyBorder="true" applyAlignment="true" applyProtection="false">
      <alignment horizontal="general" vertical="top" textRotation="0" wrapText="true" indent="0" shrinkToFit="false"/>
      <protection locked="true" hidden="false"/>
    </xf>
    <xf numFmtId="164" fontId="14" fillId="2" borderId="1" xfId="0" applyFont="true" applyBorder="true" applyAlignment="true" applyProtection="false">
      <alignment horizontal="general" vertical="top" textRotation="0" wrapText="true" indent="0" shrinkToFit="false"/>
      <protection locked="true" hidden="false"/>
    </xf>
    <xf numFmtId="167" fontId="14" fillId="2" borderId="1" xfId="0" applyFont="true" applyBorder="true" applyAlignment="true" applyProtection="false">
      <alignment horizontal="general" vertical="top" textRotation="0" wrapText="true" indent="0" shrinkToFit="false"/>
      <protection locked="true" hidden="false"/>
    </xf>
    <xf numFmtId="168" fontId="14" fillId="2" borderId="1" xfId="0" applyFont="true" applyBorder="true" applyAlignment="true" applyProtection="false">
      <alignment horizontal="general" vertical="top" textRotation="0" wrapText="true" indent="0" shrinkToFit="false"/>
      <protection locked="true" hidden="false"/>
    </xf>
    <xf numFmtId="170" fontId="14" fillId="2"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general" vertical="bottom" textRotation="0" wrapText="false" indent="0" shrinkToFit="false"/>
      <protection locked="true" hidden="false"/>
    </xf>
    <xf numFmtId="164" fontId="15" fillId="4" borderId="1" xfId="0" applyFont="true" applyBorder="true" applyAlignment="true" applyProtection="false">
      <alignment horizontal="general" vertical="bottom" textRotation="0" wrapText="false" indent="0" shrinkToFit="false"/>
      <protection locked="true" hidden="false"/>
    </xf>
    <xf numFmtId="164" fontId="16" fillId="4" borderId="1" xfId="0" applyFont="true" applyBorder="true" applyAlignment="true" applyProtection="false">
      <alignment horizontal="general" vertical="bottom" textRotation="0" wrapText="false" indent="0" shrinkToFit="false"/>
      <protection locked="true" hidden="false"/>
    </xf>
    <xf numFmtId="164" fontId="17" fillId="5" borderId="1" xfId="0" applyFont="true" applyBorder="true" applyAlignment="true" applyProtection="false">
      <alignment horizontal="general" vertical="bottom" textRotation="0" wrapText="false" indent="0" shrinkToFit="false"/>
      <protection locked="true" hidden="false"/>
    </xf>
    <xf numFmtId="164" fontId="14" fillId="9" borderId="1" xfId="0" applyFont="true" applyBorder="true" applyAlignment="true" applyProtection="false">
      <alignment horizontal="general" vertical="top" textRotation="0" wrapText="true" indent="0" shrinkToFit="false"/>
      <protection locked="true" hidden="false"/>
    </xf>
    <xf numFmtId="164" fontId="14" fillId="10" borderId="1" xfId="0" applyFont="true" applyBorder="true" applyAlignment="true" applyProtection="false">
      <alignment horizontal="general" vertical="top" textRotation="0" wrapText="true" indent="0" shrinkToFit="false"/>
      <protection locked="true" hidden="false"/>
    </xf>
    <xf numFmtId="164" fontId="18" fillId="11" borderId="1" xfId="0" applyFont="true" applyBorder="true" applyAlignment="true" applyProtection="false">
      <alignment horizontal="general" vertical="top" textRotation="0" wrapText="true" indent="0" shrinkToFit="false"/>
      <protection locked="true" hidden="false"/>
    </xf>
    <xf numFmtId="164" fontId="12" fillId="8" borderId="1" xfId="0" applyFont="true" applyBorder="true" applyAlignment="true" applyProtection="false">
      <alignment horizontal="general" vertical="top" textRotation="0" wrapText="true" indent="0" shrinkToFit="false"/>
      <protection locked="true" hidden="false"/>
    </xf>
    <xf numFmtId="164" fontId="14" fillId="2" borderId="1" xfId="0" applyFont="true" applyBorder="true" applyAlignment="true" applyProtection="false">
      <alignment horizontal="general" vertical="bottom" textRotation="0" wrapText="false" indent="0" shrinkToFit="false"/>
      <protection locked="true" hidden="false"/>
    </xf>
    <xf numFmtId="168" fontId="14" fillId="2"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59669"/>
      <rgbColor rgb="FFC0C0C0"/>
      <rgbColor rgb="FF6366F1"/>
      <rgbColor rgb="FF8B5CF6"/>
      <rgbColor rgb="FFEF4444"/>
      <rgbColor rgb="FFFEF3C7"/>
      <rgbColor rgb="FFDBEAFE"/>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EFF6FF"/>
      <rgbColor rgb="FFD1FAE5"/>
      <rgbColor rgb="FFFEE2E2"/>
      <rgbColor rgb="FF99CCFF"/>
      <rgbColor rgb="FFFF99CC"/>
      <rgbColor rgb="FFCC99FF"/>
      <rgbColor rgb="FFFCD34D"/>
      <rgbColor rgb="FF3B82F6"/>
      <rgbColor rgb="FF33CCCC"/>
      <rgbColor rgb="FF99CC00"/>
      <rgbColor rgb="FFFFCC00"/>
      <rgbColor rgb="FFF59E0B"/>
      <rgbColor rgb="FFD97706"/>
      <rgbColor rgb="FF6B7280"/>
      <rgbColor rgb="FF969696"/>
      <rgbColor rgb="FF1B2A4A"/>
      <rgbColor rgb="FF10B981"/>
      <rgbColor rgb="FF003300"/>
      <rgbColor rgb="FF333300"/>
      <rgbColor rgb="FF993300"/>
      <rgbColor rgb="FF993366"/>
      <rgbColor rgb="FF2C3E6B"/>
      <rgbColor rgb="FF37415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E5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2"/>
    <col collapsed="false" customWidth="true" hidden="false" outlineLevel="0" max="2" min="2" style="1" width="24"/>
    <col collapsed="false" customWidth="true" hidden="false" outlineLevel="0" max="3" min="3" style="1" width="22"/>
    <col collapsed="false" customWidth="true" hidden="false" outlineLevel="0" max="4" min="4" style="1" width="14"/>
    <col collapsed="false" customWidth="true" hidden="false" outlineLevel="0" max="5" min="5" style="1" width="36"/>
  </cols>
  <sheetData>
    <row r="1" customFormat="false" ht="17.25" hidden="false" customHeight="true" outlineLevel="0" collapsed="false">
      <c r="A1" s="2" t="s">
        <v>0</v>
      </c>
      <c r="B1" s="2"/>
      <c r="C1" s="2"/>
      <c r="D1" s="2"/>
      <c r="E1" s="2"/>
    </row>
    <row r="2" customFormat="false" ht="15" hidden="false" customHeight="true" outlineLevel="0" collapsed="false">
      <c r="A2" s="3" t="s">
        <v>1</v>
      </c>
      <c r="B2" s="3"/>
      <c r="C2" s="3"/>
      <c r="D2" s="3"/>
      <c r="E2" s="3"/>
    </row>
    <row r="3" customFormat="false" ht="15" hidden="false" customHeight="true" outlineLevel="0" collapsed="false">
      <c r="A3" s="4" t="s">
        <v>2</v>
      </c>
    </row>
    <row r="5" customFormat="false" ht="15" hidden="false" customHeight="true" outlineLevel="0" collapsed="false">
      <c r="A5" s="5" t="s">
        <v>3</v>
      </c>
      <c r="B5" s="5" t="s">
        <v>4</v>
      </c>
      <c r="C5" s="5" t="s">
        <v>5</v>
      </c>
      <c r="D5" s="5" t="s">
        <v>6</v>
      </c>
      <c r="E5" s="5" t="s">
        <v>7</v>
      </c>
    </row>
    <row r="6" customFormat="false" ht="15" hidden="false" customHeight="true" outlineLevel="0" collapsed="false">
      <c r="A6" s="6" t="s">
        <v>8</v>
      </c>
      <c r="B6" s="6" t="s">
        <v>9</v>
      </c>
      <c r="C6" s="6" t="s">
        <v>10</v>
      </c>
      <c r="D6" s="6"/>
      <c r="E6" s="6" t="s">
        <v>11</v>
      </c>
    </row>
    <row r="7" customFormat="false" ht="15" hidden="false" customHeight="true" outlineLevel="0" collapsed="false">
      <c r="A7" s="7" t="s">
        <v>12</v>
      </c>
      <c r="B7" s="7" t="s">
        <v>13</v>
      </c>
      <c r="C7" s="7" t="s">
        <v>14</v>
      </c>
      <c r="D7" s="7"/>
      <c r="E7" s="7"/>
    </row>
    <row r="8" customFormat="false" ht="23.25" hidden="false" customHeight="true" outlineLevel="0" collapsed="false">
      <c r="A8" s="6" t="s">
        <v>15</v>
      </c>
      <c r="B8" s="6" t="s">
        <v>16</v>
      </c>
      <c r="C8" s="6" t="s">
        <v>14</v>
      </c>
      <c r="D8" s="6"/>
      <c r="E8" s="6"/>
    </row>
    <row r="9" customFormat="false" ht="23.25" hidden="false" customHeight="true" outlineLevel="0" collapsed="false">
      <c r="A9" s="7" t="s">
        <v>17</v>
      </c>
      <c r="B9" s="7" t="s">
        <v>18</v>
      </c>
      <c r="C9" s="7" t="s">
        <v>19</v>
      </c>
      <c r="D9" s="7"/>
      <c r="E9" s="7"/>
    </row>
    <row r="10" customFormat="false" ht="15" hidden="false" customHeight="true" outlineLevel="0" collapsed="false">
      <c r="A10" s="6" t="s">
        <v>20</v>
      </c>
      <c r="B10" s="6" t="s">
        <v>21</v>
      </c>
      <c r="C10" s="6" t="s">
        <v>22</v>
      </c>
      <c r="D10" s="6"/>
      <c r="E10" s="6" t="s">
        <v>23</v>
      </c>
    </row>
    <row r="11" customFormat="false" ht="15" hidden="false" customHeight="true" outlineLevel="0" collapsed="false">
      <c r="A11" s="7" t="s">
        <v>24</v>
      </c>
      <c r="B11" s="7" t="s">
        <v>25</v>
      </c>
      <c r="C11" s="7" t="s">
        <v>26</v>
      </c>
      <c r="D11" s="7"/>
      <c r="E11" s="7"/>
    </row>
    <row r="12" customFormat="false" ht="23.25" hidden="false" customHeight="true" outlineLevel="0" collapsed="false">
      <c r="A12" s="6" t="s">
        <v>27</v>
      </c>
      <c r="B12" s="6" t="s">
        <v>28</v>
      </c>
      <c r="C12" s="6" t="s">
        <v>29</v>
      </c>
      <c r="D12" s="6"/>
      <c r="E12" s="6"/>
    </row>
    <row r="13" customFormat="false" ht="15" hidden="false" customHeight="true" outlineLevel="0" collapsed="false">
      <c r="A13" s="7" t="s">
        <v>30</v>
      </c>
      <c r="B13" s="7" t="s">
        <v>31</v>
      </c>
      <c r="C13" s="7" t="s">
        <v>32</v>
      </c>
      <c r="D13" s="7"/>
      <c r="E13" s="7" t="s">
        <v>33</v>
      </c>
    </row>
    <row r="14" customFormat="false" ht="15" hidden="false" customHeight="true" outlineLevel="0" collapsed="false">
      <c r="A14" s="6" t="s">
        <v>34</v>
      </c>
      <c r="B14" s="6" t="s">
        <v>35</v>
      </c>
      <c r="C14" s="6" t="s">
        <v>32</v>
      </c>
      <c r="D14" s="6"/>
      <c r="E14" s="6"/>
    </row>
    <row r="16" customFormat="false" ht="15" hidden="false" customHeight="true" outlineLevel="0" collapsed="false">
      <c r="A16" s="8" t="s">
        <v>36</v>
      </c>
      <c r="B16" s="8"/>
      <c r="C16" s="8"/>
      <c r="D16" s="8"/>
      <c r="E16" s="8"/>
    </row>
    <row r="17" customFormat="false" ht="15" hidden="false" customHeight="true" outlineLevel="0" collapsed="false">
      <c r="A17" s="7" t="s">
        <v>37</v>
      </c>
      <c r="B17" s="9" t="n">
        <v>1698400</v>
      </c>
      <c r="C17" s="7" t="s">
        <v>38</v>
      </c>
      <c r="D17" s="7"/>
      <c r="E17" s="7" t="s">
        <v>39</v>
      </c>
    </row>
    <row r="18" customFormat="false" ht="15" hidden="false" customHeight="true" outlineLevel="0" collapsed="false">
      <c r="A18" s="6" t="s">
        <v>40</v>
      </c>
      <c r="B18" s="10" t="n">
        <v>151870</v>
      </c>
      <c r="C18" s="6" t="s">
        <v>41</v>
      </c>
      <c r="D18" s="6"/>
      <c r="E18" s="6" t="s">
        <v>42</v>
      </c>
    </row>
    <row r="19" customFormat="false" ht="15" hidden="false" customHeight="true" outlineLevel="0" collapsed="false">
      <c r="A19" s="7" t="s">
        <v>43</v>
      </c>
      <c r="B19" s="9" t="n">
        <v>1850270</v>
      </c>
      <c r="C19" s="7" t="s">
        <v>32</v>
      </c>
      <c r="D19" s="7"/>
      <c r="E19" s="7"/>
    </row>
    <row r="20" customFormat="false" ht="15" hidden="false" customHeight="true" outlineLevel="0" collapsed="false">
      <c r="A20" s="6" t="s">
        <v>44</v>
      </c>
      <c r="B20" s="10" t="n">
        <v>2034673</v>
      </c>
      <c r="C20" s="6" t="s">
        <v>45</v>
      </c>
      <c r="D20" s="6"/>
      <c r="E20" s="6" t="s">
        <v>46</v>
      </c>
    </row>
    <row r="21" customFormat="false" ht="15" hidden="false" customHeight="true" outlineLevel="0" collapsed="false">
      <c r="A21" s="7" t="s">
        <v>47</v>
      </c>
      <c r="B21" s="11" t="n">
        <f aca="false">B20-B19</f>
        <v>184403</v>
      </c>
      <c r="C21" s="7" t="s">
        <v>48</v>
      </c>
      <c r="D21" s="12" t="s">
        <v>49</v>
      </c>
      <c r="E21" s="7" t="s">
        <v>50</v>
      </c>
    </row>
    <row r="22" customFormat="false" ht="15" hidden="false" customHeight="true" outlineLevel="0" collapsed="false">
      <c r="A22" s="6" t="s">
        <v>51</v>
      </c>
      <c r="B22" s="10" t="n">
        <v>184089.48</v>
      </c>
      <c r="C22" s="6" t="s">
        <v>52</v>
      </c>
      <c r="D22" s="6"/>
      <c r="E22" s="6"/>
    </row>
    <row r="23" customFormat="false" ht="15" hidden="false" customHeight="true" outlineLevel="0" collapsed="false">
      <c r="A23" s="7" t="s">
        <v>53</v>
      </c>
      <c r="B23" s="9" t="n">
        <v>96889.2</v>
      </c>
      <c r="C23" s="7" t="s">
        <v>52</v>
      </c>
      <c r="D23" s="7"/>
      <c r="E23" s="7" t="s">
        <v>54</v>
      </c>
    </row>
    <row r="24" customFormat="false" ht="15" hidden="false" customHeight="true" outlineLevel="0" collapsed="false">
      <c r="A24" s="6" t="s">
        <v>55</v>
      </c>
      <c r="B24" s="10" t="n">
        <v>2121873.5</v>
      </c>
      <c r="C24" s="6" t="s">
        <v>45</v>
      </c>
      <c r="D24" s="6"/>
      <c r="E24" s="6"/>
    </row>
    <row r="26" customFormat="false" ht="15" hidden="false" customHeight="true" outlineLevel="0" collapsed="false">
      <c r="A26" s="8" t="s">
        <v>56</v>
      </c>
      <c r="B26" s="8"/>
      <c r="C26" s="8"/>
      <c r="D26" s="8"/>
      <c r="E26" s="8"/>
    </row>
    <row r="27" customFormat="false" ht="15" hidden="false" customHeight="true" outlineLevel="0" collapsed="false">
      <c r="A27" s="7" t="s">
        <v>57</v>
      </c>
      <c r="B27" s="9" t="n">
        <v>12979.47</v>
      </c>
      <c r="C27" s="7" t="s">
        <v>58</v>
      </c>
      <c r="D27" s="7"/>
      <c r="E27" s="7"/>
    </row>
    <row r="28" customFormat="false" ht="15" hidden="false" customHeight="true" outlineLevel="0" collapsed="false">
      <c r="A28" s="6" t="s">
        <v>59</v>
      </c>
      <c r="B28" s="10" t="n">
        <v>21556</v>
      </c>
      <c r="C28" s="6" t="s">
        <v>58</v>
      </c>
      <c r="D28" s="6"/>
      <c r="E28" s="6"/>
    </row>
    <row r="29" customFormat="false" ht="15" hidden="false" customHeight="true" outlineLevel="0" collapsed="false">
      <c r="A29" s="7" t="s">
        <v>60</v>
      </c>
      <c r="B29" s="13" t="n">
        <f aca="false">B28-B27</f>
        <v>8576.53</v>
      </c>
      <c r="C29" s="7" t="s">
        <v>48</v>
      </c>
      <c r="D29" s="14" t="s">
        <v>61</v>
      </c>
      <c r="E29" s="7" t="s">
        <v>62</v>
      </c>
    </row>
    <row r="30" customFormat="false" ht="15" hidden="false" customHeight="true" outlineLevel="0" collapsed="false">
      <c r="A30" s="6" t="s">
        <v>63</v>
      </c>
      <c r="B30" s="15" t="n">
        <f aca="false">B29/B27</f>
        <v>0.660776595654522</v>
      </c>
      <c r="C30" s="6" t="s">
        <v>48</v>
      </c>
      <c r="D30" s="14" t="s">
        <v>61</v>
      </c>
      <c r="E30" s="6"/>
    </row>
    <row r="31" customFormat="false" ht="15" hidden="false" customHeight="true" outlineLevel="0" collapsed="false">
      <c r="A31" s="7" t="s">
        <v>64</v>
      </c>
      <c r="B31" s="9" t="n">
        <v>415343</v>
      </c>
      <c r="C31" s="7" t="s">
        <v>58</v>
      </c>
      <c r="D31" s="7"/>
      <c r="E31" s="7"/>
    </row>
    <row r="32" customFormat="false" ht="15" hidden="false" customHeight="true" outlineLevel="0" collapsed="false">
      <c r="A32" s="6" t="s">
        <v>65</v>
      </c>
      <c r="B32" s="10" t="n">
        <v>457624</v>
      </c>
      <c r="C32" s="6" t="s">
        <v>58</v>
      </c>
      <c r="D32" s="6"/>
      <c r="E32" s="6"/>
    </row>
    <row r="33" customFormat="false" ht="15" hidden="false" customHeight="true" outlineLevel="0" collapsed="false">
      <c r="A33" s="7" t="s">
        <v>66</v>
      </c>
      <c r="B33" s="11" t="n">
        <f aca="false">B32-B31</f>
        <v>42281</v>
      </c>
      <c r="C33" s="7" t="s">
        <v>48</v>
      </c>
      <c r="D33" s="16" t="s">
        <v>67</v>
      </c>
      <c r="E33" s="7" t="s">
        <v>68</v>
      </c>
    </row>
    <row r="34" customFormat="false" ht="15" hidden="false" customHeight="true" outlineLevel="0" collapsed="false">
      <c r="A34" s="6" t="s">
        <v>69</v>
      </c>
      <c r="B34" s="17" t="n">
        <f aca="false">B31/B27</f>
        <v>31.9999969182101</v>
      </c>
      <c r="C34" s="6" t="s">
        <v>48</v>
      </c>
      <c r="D34" s="6"/>
      <c r="E34" s="6"/>
    </row>
    <row r="35" customFormat="false" ht="15" hidden="false" customHeight="true" outlineLevel="0" collapsed="false">
      <c r="A35" s="7" t="s">
        <v>70</v>
      </c>
      <c r="B35" s="18" t="n">
        <f aca="false">B32/B28</f>
        <v>21.2295416589349</v>
      </c>
      <c r="C35" s="7" t="s">
        <v>48</v>
      </c>
      <c r="D35" s="19" t="s">
        <v>71</v>
      </c>
      <c r="E35" s="7" t="s">
        <v>72</v>
      </c>
    </row>
    <row r="36" customFormat="false" ht="15" hidden="false" customHeight="true" outlineLevel="0" collapsed="false">
      <c r="A36" s="20" t="s">
        <v>73</v>
      </c>
      <c r="B36" s="21" t="n">
        <f aca="false">B22/1340</f>
        <v>137.380208955224</v>
      </c>
      <c r="C36" s="22" t="s">
        <v>48</v>
      </c>
      <c r="D36" s="22"/>
      <c r="E36" s="22"/>
    </row>
    <row r="37" customFormat="false" ht="15" hidden="false" customHeight="true" outlineLevel="0" collapsed="false">
      <c r="A37" s="7" t="s">
        <v>74</v>
      </c>
      <c r="B37" s="9" t="n">
        <v>1850270</v>
      </c>
      <c r="C37" s="7" t="s">
        <v>75</v>
      </c>
      <c r="D37" s="7"/>
      <c r="E37" s="7"/>
    </row>
    <row r="38" customFormat="false" ht="15" hidden="false" customHeight="true" outlineLevel="0" collapsed="false">
      <c r="A38" s="6" t="s">
        <v>76</v>
      </c>
      <c r="B38" s="10" t="n">
        <v>411060</v>
      </c>
      <c r="C38" s="6" t="s">
        <v>75</v>
      </c>
      <c r="D38" s="6"/>
      <c r="E38" s="6" t="s">
        <v>77</v>
      </c>
    </row>
    <row r="39" customFormat="false" ht="15" hidden="false" customHeight="true" outlineLevel="0" collapsed="false">
      <c r="A39" s="7" t="s">
        <v>78</v>
      </c>
      <c r="B39" s="9" t="n">
        <v>717208</v>
      </c>
      <c r="C39" s="7" t="s">
        <v>75</v>
      </c>
      <c r="D39" s="7"/>
      <c r="E39" s="7" t="s">
        <v>79</v>
      </c>
    </row>
    <row r="40" customFormat="false" ht="15" hidden="false" customHeight="true" outlineLevel="0" collapsed="false">
      <c r="A40" s="23" t="s">
        <v>80</v>
      </c>
      <c r="B40" s="24" t="n">
        <v>58063</v>
      </c>
      <c r="C40" s="23" t="s">
        <v>75</v>
      </c>
      <c r="D40" s="23"/>
      <c r="E40" s="23" t="s">
        <v>81</v>
      </c>
    </row>
    <row r="41" customFormat="false" ht="15" hidden="false" customHeight="true" outlineLevel="0" collapsed="false">
      <c r="A41" s="22" t="s">
        <v>82</v>
      </c>
      <c r="B41" s="24" t="n">
        <v>226083</v>
      </c>
      <c r="C41" s="23" t="s">
        <v>75</v>
      </c>
      <c r="D41" s="23"/>
      <c r="E41" s="23" t="s">
        <v>83</v>
      </c>
    </row>
    <row r="42" customFormat="false" ht="15" hidden="false" customHeight="true" outlineLevel="0" collapsed="false">
      <c r="A42" s="25" t="s">
        <v>84</v>
      </c>
      <c r="B42" s="26" t="n">
        <v>437856</v>
      </c>
      <c r="C42" s="6" t="s">
        <v>75</v>
      </c>
      <c r="D42" s="6"/>
      <c r="E42" s="6" t="s">
        <v>85</v>
      </c>
    </row>
    <row r="43" customFormat="false" ht="15" hidden="false" customHeight="true" outlineLevel="0" collapsed="false">
      <c r="A43" s="7" t="s">
        <v>86</v>
      </c>
      <c r="B43" s="27" t="n">
        <v>1.065</v>
      </c>
      <c r="C43" s="7" t="s">
        <v>75</v>
      </c>
      <c r="D43" s="7"/>
      <c r="E43" s="7" t="s">
        <v>87</v>
      </c>
    </row>
    <row r="44" customFormat="false" ht="15" hidden="false" customHeight="true" outlineLevel="0" collapsed="false">
      <c r="A44" s="6" t="s">
        <v>88</v>
      </c>
      <c r="B44" s="10" t="n">
        <v>457624</v>
      </c>
      <c r="C44" s="6" t="s">
        <v>32</v>
      </c>
      <c r="D44" s="28" t="s">
        <v>67</v>
      </c>
      <c r="E44" s="6" t="s">
        <v>89</v>
      </c>
    </row>
    <row r="45" customFormat="false" ht="15" hidden="false" customHeight="true" outlineLevel="0" collapsed="false">
      <c r="A45" s="7" t="s">
        <v>90</v>
      </c>
      <c r="B45" s="11" t="n">
        <f aca="false">B44-B38</f>
        <v>46564</v>
      </c>
      <c r="C45" s="7" t="s">
        <v>48</v>
      </c>
      <c r="D45" s="29" t="s">
        <v>67</v>
      </c>
      <c r="E45" s="7"/>
    </row>
    <row r="46" customFormat="false" ht="15" hidden="false" customHeight="true" outlineLevel="0" collapsed="false">
      <c r="A46" s="23" t="s">
        <v>91</v>
      </c>
      <c r="B46" s="30" t="n">
        <f aca="false">B37-B44-B39-B40</f>
        <v>617375</v>
      </c>
      <c r="C46" s="23" t="s">
        <v>48</v>
      </c>
      <c r="D46" s="23"/>
      <c r="E46" s="23" t="s">
        <v>92</v>
      </c>
    </row>
    <row r="47" customFormat="false" ht="15" hidden="false" customHeight="true" outlineLevel="0" collapsed="false">
      <c r="A47" s="22" t="s">
        <v>93</v>
      </c>
      <c r="B47" s="31" t="n">
        <f aca="false">B46/B37</f>
        <v>0.333667518794554</v>
      </c>
      <c r="C47" s="23" t="s">
        <v>48</v>
      </c>
      <c r="D47" s="23"/>
      <c r="E47" s="23" t="s">
        <v>94</v>
      </c>
    </row>
    <row r="48" customFormat="false" ht="15" hidden="false" customHeight="true" outlineLevel="0" collapsed="false">
      <c r="A48" s="6"/>
      <c r="B48" s="10" t="n">
        <v>1407055</v>
      </c>
      <c r="C48" s="6" t="s">
        <v>95</v>
      </c>
      <c r="D48" s="6"/>
      <c r="E48" s="6"/>
    </row>
    <row r="49" customFormat="false" ht="15" hidden="false" customHeight="true" outlineLevel="0" collapsed="false">
      <c r="A49" s="20" t="s">
        <v>96</v>
      </c>
      <c r="B49" s="22" t="n">
        <v>1540867</v>
      </c>
      <c r="C49" s="22" t="s">
        <v>95</v>
      </c>
      <c r="D49" s="22"/>
      <c r="E49" s="22"/>
    </row>
    <row r="50" customFormat="false" ht="15" hidden="false" customHeight="true" outlineLevel="0" collapsed="false">
      <c r="A50" s="6" t="s">
        <v>97</v>
      </c>
      <c r="B50" s="10" t="n">
        <v>1407055</v>
      </c>
      <c r="C50" s="6"/>
      <c r="D50" s="6"/>
      <c r="E50" s="6"/>
    </row>
    <row r="51" customFormat="false" ht="15" hidden="false" customHeight="true" outlineLevel="0" collapsed="false">
      <c r="A51" s="7" t="s">
        <v>98</v>
      </c>
      <c r="B51" s="9" t="n">
        <v>1540867</v>
      </c>
      <c r="C51" s="7"/>
      <c r="D51" s="7"/>
      <c r="E51" s="7"/>
    </row>
    <row r="52" customFormat="false" ht="15" hidden="false" customHeight="true" outlineLevel="0" collapsed="false">
      <c r="A52" s="6" t="s">
        <v>99</v>
      </c>
      <c r="B52" s="10" t="n">
        <v>47308366</v>
      </c>
      <c r="C52" s="6"/>
      <c r="D52" s="6"/>
      <c r="E52" s="6"/>
    </row>
    <row r="53" customFormat="false" ht="15" hidden="false" customHeight="true" outlineLevel="0" collapsed="false">
      <c r="A53" s="7" t="s">
        <v>100</v>
      </c>
      <c r="B53" s="9" t="n">
        <v>44427576</v>
      </c>
      <c r="C53" s="7"/>
      <c r="D53" s="7"/>
      <c r="E53" s="7"/>
    </row>
    <row r="54" customFormat="false" ht="15" hidden="false" customHeight="true" outlineLevel="0" collapsed="false">
      <c r="A54" s="6" t="s">
        <v>101</v>
      </c>
      <c r="B54" s="10" t="n">
        <f aca="false">B52-B53</f>
        <v>2880790</v>
      </c>
      <c r="C54" s="6"/>
      <c r="D54" s="6"/>
      <c r="E54" s="6" t="s">
        <v>102</v>
      </c>
    </row>
    <row r="55" customFormat="false" ht="15" hidden="false" customHeight="true" outlineLevel="0" collapsed="false">
      <c r="A55" s="7" t="s">
        <v>103</v>
      </c>
      <c r="B55" s="9" t="s">
        <v>104</v>
      </c>
      <c r="C55" s="7"/>
      <c r="D55" s="29" t="s">
        <v>61</v>
      </c>
      <c r="E55" s="7"/>
    </row>
    <row r="56" customFormat="false" ht="15" hidden="false" customHeight="true" outlineLevel="0" collapsed="false">
      <c r="A56" s="6" t="s">
        <v>103</v>
      </c>
      <c r="B56" s="6" t="s">
        <v>104</v>
      </c>
      <c r="C56" s="6" t="s">
        <v>48</v>
      </c>
      <c r="D56" s="14" t="s">
        <v>61</v>
      </c>
      <c r="E56" s="6" t="s">
        <v>105</v>
      </c>
    </row>
  </sheetData>
  <mergeCells count="4">
    <mergeCell ref="A1:E1"/>
    <mergeCell ref="A2:E2"/>
    <mergeCell ref="A16:E16"/>
    <mergeCell ref="A26:E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59669"/>
    <pageSetUpPr fitToPage="false"/>
  </sheetPr>
  <dimension ref="A1:G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2"/>
    <col collapsed="false" customWidth="true" hidden="false" outlineLevel="0" max="4" min="2" style="1" width="16"/>
    <col collapsed="false" customWidth="true" hidden="false" outlineLevel="0" max="6" min="5" style="1" width="14"/>
    <col collapsed="false" customWidth="true" hidden="false" outlineLevel="0" max="7" min="7" style="1" width="42"/>
  </cols>
  <sheetData>
    <row r="1" customFormat="false" ht="17.25" hidden="false" customHeight="true" outlineLevel="0" collapsed="false">
      <c r="A1" s="2" t="s">
        <v>106</v>
      </c>
      <c r="B1" s="2"/>
      <c r="C1" s="2"/>
      <c r="D1" s="2"/>
      <c r="E1" s="2"/>
      <c r="F1" s="2"/>
      <c r="G1" s="2"/>
    </row>
    <row r="2" customFormat="false" ht="15" hidden="false" customHeight="true" outlineLevel="0" collapsed="false">
      <c r="A2" s="3" t="s">
        <v>107</v>
      </c>
      <c r="B2" s="3"/>
      <c r="C2" s="3"/>
      <c r="D2" s="3"/>
      <c r="E2" s="3"/>
      <c r="F2" s="3"/>
      <c r="G2" s="3"/>
    </row>
    <row r="4" customFormat="false" ht="15" hidden="false" customHeight="true" outlineLevel="0" collapsed="false">
      <c r="A4" s="5" t="s">
        <v>108</v>
      </c>
      <c r="B4" s="5" t="s">
        <v>109</v>
      </c>
      <c r="C4" s="5" t="s">
        <v>110</v>
      </c>
      <c r="D4" s="5" t="s">
        <v>111</v>
      </c>
      <c r="E4" s="5" t="s">
        <v>112</v>
      </c>
      <c r="F4" s="5" t="s">
        <v>6</v>
      </c>
      <c r="G4" s="5" t="s">
        <v>113</v>
      </c>
    </row>
    <row r="5" customFormat="false" ht="15" hidden="false" customHeight="true" outlineLevel="0" collapsed="false">
      <c r="A5" s="8" t="s">
        <v>114</v>
      </c>
      <c r="B5" s="8"/>
      <c r="C5" s="8"/>
      <c r="D5" s="8"/>
      <c r="E5" s="8"/>
      <c r="F5" s="8"/>
      <c r="G5" s="8"/>
    </row>
    <row r="6" customFormat="false" ht="15" hidden="false" customHeight="true" outlineLevel="0" collapsed="false">
      <c r="A6" s="7" t="s">
        <v>115</v>
      </c>
      <c r="B6" s="9" t="n">
        <v>1698400</v>
      </c>
      <c r="C6" s="7"/>
      <c r="D6" s="7"/>
      <c r="E6" s="32"/>
      <c r="F6" s="7"/>
      <c r="G6" s="7" t="s">
        <v>116</v>
      </c>
    </row>
    <row r="7" customFormat="false" ht="15" hidden="false" customHeight="true" outlineLevel="0" collapsed="false">
      <c r="A7" s="6" t="s">
        <v>117</v>
      </c>
      <c r="B7" s="10" t="n">
        <v>151870</v>
      </c>
      <c r="C7" s="6"/>
      <c r="D7" s="6"/>
      <c r="E7" s="15"/>
      <c r="F7" s="6"/>
      <c r="G7" s="6" t="s">
        <v>118</v>
      </c>
    </row>
    <row r="8" customFormat="false" ht="15" hidden="false" customHeight="true" outlineLevel="0" collapsed="false">
      <c r="A8" s="7" t="s">
        <v>119</v>
      </c>
      <c r="B8" s="9" t="n">
        <v>1850270</v>
      </c>
      <c r="C8" s="7"/>
      <c r="D8" s="7"/>
      <c r="E8" s="32"/>
      <c r="F8" s="7"/>
      <c r="G8" s="9" t="n">
        <f aca="false">B6+B7</f>
        <v>1850270</v>
      </c>
    </row>
    <row r="9" customFormat="false" ht="15" hidden="false" customHeight="true" outlineLevel="0" collapsed="false">
      <c r="A9" s="6" t="s">
        <v>44</v>
      </c>
      <c r="B9" s="6"/>
      <c r="C9" s="10" t="n">
        <v>2034673</v>
      </c>
      <c r="D9" s="6"/>
      <c r="E9" s="15"/>
      <c r="F9" s="12" t="s">
        <v>49</v>
      </c>
      <c r="G9" s="6" t="s">
        <v>120</v>
      </c>
    </row>
    <row r="10" customFormat="false" ht="15" hidden="false" customHeight="true" outlineLevel="0" collapsed="false">
      <c r="A10" s="7" t="s">
        <v>121</v>
      </c>
      <c r="B10" s="7"/>
      <c r="C10" s="7"/>
      <c r="D10" s="9" t="n">
        <f aca="false">C9-B8</f>
        <v>184403</v>
      </c>
      <c r="E10" s="32"/>
      <c r="F10" s="12" t="s">
        <v>122</v>
      </c>
      <c r="G10" s="7" t="s">
        <v>123</v>
      </c>
    </row>
    <row r="11" customFormat="false" ht="15" hidden="false" customHeight="true" outlineLevel="0" collapsed="false">
      <c r="E11" s="33"/>
    </row>
    <row r="12" customFormat="false" ht="15" hidden="false" customHeight="true" outlineLevel="0" collapsed="false">
      <c r="A12" s="8" t="s">
        <v>124</v>
      </c>
      <c r="B12" s="8"/>
      <c r="C12" s="8"/>
      <c r="D12" s="8"/>
      <c r="E12" s="8"/>
      <c r="F12" s="8"/>
      <c r="G12" s="8"/>
    </row>
    <row r="13" customFormat="false" ht="15" hidden="false" customHeight="true" outlineLevel="0" collapsed="false">
      <c r="A13" s="6" t="s">
        <v>125</v>
      </c>
      <c r="B13" s="10" t="n">
        <v>22000</v>
      </c>
      <c r="C13" s="10" t="n">
        <v>5426</v>
      </c>
      <c r="D13" s="10" t="n">
        <f aca="false">C13-B13</f>
        <v>-16574</v>
      </c>
      <c r="E13" s="15" t="n">
        <f aca="false">D13/B13</f>
        <v>-0.753363636363636</v>
      </c>
      <c r="F13" s="25" t="s">
        <v>126</v>
      </c>
      <c r="G13" s="6" t="s">
        <v>127</v>
      </c>
    </row>
    <row r="14" customFormat="false" ht="15" hidden="false" customHeight="true" outlineLevel="0" collapsed="false">
      <c r="A14" s="7" t="s">
        <v>128</v>
      </c>
      <c r="B14" s="9" t="n">
        <v>99411</v>
      </c>
      <c r="C14" s="9" t="n">
        <v>91970</v>
      </c>
      <c r="D14" s="9" t="n">
        <f aca="false">C14-B14</f>
        <v>-7441</v>
      </c>
      <c r="E14" s="32" t="n">
        <f aca="false">D14/B14</f>
        <v>-0.0748508716339238</v>
      </c>
      <c r="F14" s="19" t="s">
        <v>126</v>
      </c>
      <c r="G14" s="7" t="s">
        <v>129</v>
      </c>
    </row>
    <row r="15" customFormat="false" ht="15" hidden="false" customHeight="true" outlineLevel="0" collapsed="false">
      <c r="A15" s="6" t="s">
        <v>130</v>
      </c>
      <c r="B15" s="10" t="n">
        <v>185705</v>
      </c>
      <c r="C15" s="10" t="n">
        <v>218574</v>
      </c>
      <c r="D15" s="10" t="n">
        <f aca="false">C15-B15</f>
        <v>32869</v>
      </c>
      <c r="E15" s="15" t="n">
        <f aca="false">D15/B15</f>
        <v>0.176995772865566</v>
      </c>
      <c r="F15" s="34" t="s">
        <v>67</v>
      </c>
      <c r="G15" s="6" t="s">
        <v>131</v>
      </c>
    </row>
    <row r="16" customFormat="false" ht="15" hidden="false" customHeight="true" outlineLevel="0" collapsed="false">
      <c r="A16" s="7" t="s">
        <v>132</v>
      </c>
      <c r="B16" s="9" t="n">
        <v>37212</v>
      </c>
      <c r="C16" s="9" t="n">
        <v>46025</v>
      </c>
      <c r="D16" s="9" t="n">
        <f aca="false">C16-B16</f>
        <v>8813</v>
      </c>
      <c r="E16" s="32" t="n">
        <f aca="false">D16/B16</f>
        <v>0.236832204665162</v>
      </c>
      <c r="F16" s="16" t="s">
        <v>67</v>
      </c>
      <c r="G16" s="7" t="s">
        <v>133</v>
      </c>
    </row>
    <row r="17" customFormat="false" ht="15" hidden="false" customHeight="true" outlineLevel="0" collapsed="false">
      <c r="A17" s="6" t="s">
        <v>134</v>
      </c>
      <c r="B17" s="10" t="n">
        <v>71015</v>
      </c>
      <c r="C17" s="10" t="n">
        <v>95629</v>
      </c>
      <c r="D17" s="10" t="n">
        <f aca="false">C17-B17</f>
        <v>24614</v>
      </c>
      <c r="E17" s="15" t="n">
        <f aca="false">D17/B17</f>
        <v>0.346602830387946</v>
      </c>
      <c r="F17" s="34" t="s">
        <v>67</v>
      </c>
      <c r="G17" s="6" t="s">
        <v>135</v>
      </c>
    </row>
    <row r="18" customFormat="false" ht="15" hidden="false" customHeight="true" outlineLevel="0" collapsed="false">
      <c r="A18" s="7" t="s">
        <v>136</v>
      </c>
      <c r="B18" s="9" t="n">
        <v>415343</v>
      </c>
      <c r="C18" s="9" t="n">
        <v>457624</v>
      </c>
      <c r="D18" s="9" t="n">
        <f aca="false">C18-B18</f>
        <v>42281</v>
      </c>
      <c r="E18" s="32" t="n">
        <f aca="false">D18/B18</f>
        <v>0.101797791223158</v>
      </c>
      <c r="F18" s="16" t="s">
        <v>67</v>
      </c>
      <c r="G18" s="7" t="s">
        <v>137</v>
      </c>
    </row>
    <row r="19" customFormat="false" ht="15" hidden="false" customHeight="true" outlineLevel="0" collapsed="false">
      <c r="E19" s="33"/>
    </row>
    <row r="20" customFormat="false" ht="15" hidden="false" customHeight="true" outlineLevel="0" collapsed="false">
      <c r="A20" s="8" t="s">
        <v>138</v>
      </c>
      <c r="B20" s="8"/>
      <c r="C20" s="8"/>
      <c r="D20" s="8"/>
      <c r="E20" s="8"/>
      <c r="F20" s="8"/>
      <c r="G20" s="8"/>
    </row>
    <row r="21" customFormat="false" ht="15" hidden="false" customHeight="true" outlineLevel="0" collapsed="false">
      <c r="A21" s="6" t="s">
        <v>139</v>
      </c>
      <c r="B21" s="10" t="n">
        <v>687.5</v>
      </c>
      <c r="C21" s="10" t="n">
        <v>170</v>
      </c>
      <c r="D21" s="10" t="n">
        <f aca="false">C21-B21</f>
        <v>-517.5</v>
      </c>
      <c r="E21" s="15" t="n">
        <f aca="false">D21/B21</f>
        <v>-0.752727272727273</v>
      </c>
      <c r="F21" s="25" t="s">
        <v>126</v>
      </c>
      <c r="G21" s="6" t="s">
        <v>140</v>
      </c>
    </row>
    <row r="22" customFormat="false" ht="15" hidden="false" customHeight="true" outlineLevel="0" collapsed="false">
      <c r="A22" s="7" t="s">
        <v>141</v>
      </c>
      <c r="B22" s="9" t="n">
        <v>3106.59</v>
      </c>
      <c r="C22" s="9" t="n">
        <v>3924</v>
      </c>
      <c r="D22" s="9" t="n">
        <f aca="false">C22-B22</f>
        <v>817.41</v>
      </c>
      <c r="E22" s="32" t="n">
        <f aca="false">D22/B22</f>
        <v>0.26312130020376</v>
      </c>
      <c r="F22" s="16" t="s">
        <v>67</v>
      </c>
      <c r="G22" s="7" t="s">
        <v>142</v>
      </c>
    </row>
    <row r="23" customFormat="false" ht="15" hidden="false" customHeight="true" outlineLevel="0" collapsed="false">
      <c r="A23" s="6" t="s">
        <v>143</v>
      </c>
      <c r="B23" s="10" t="n">
        <v>5803.28</v>
      </c>
      <c r="C23" s="10" t="n">
        <v>10500</v>
      </c>
      <c r="D23" s="10" t="n">
        <f aca="false">C23-B23</f>
        <v>4696.72</v>
      </c>
      <c r="E23" s="15" t="n">
        <f aca="false">D23/B23</f>
        <v>0.809321625012062</v>
      </c>
      <c r="F23" s="34" t="s">
        <v>67</v>
      </c>
      <c r="G23" s="6" t="s">
        <v>144</v>
      </c>
    </row>
    <row r="24" customFormat="false" ht="15" hidden="false" customHeight="true" outlineLevel="0" collapsed="false">
      <c r="A24" s="7" t="s">
        <v>145</v>
      </c>
      <c r="B24" s="9" t="n">
        <v>1162.88</v>
      </c>
      <c r="C24" s="9" t="n">
        <v>2362</v>
      </c>
      <c r="D24" s="9" t="n">
        <f aca="false">C24-B24</f>
        <v>1199.12</v>
      </c>
      <c r="E24" s="32" t="n">
        <f aca="false">D24/B24</f>
        <v>1.03116400660429</v>
      </c>
      <c r="F24" s="16" t="s">
        <v>67</v>
      </c>
      <c r="G24" s="7" t="s">
        <v>146</v>
      </c>
    </row>
    <row r="25" customFormat="false" ht="15" hidden="false" customHeight="true" outlineLevel="0" collapsed="false">
      <c r="A25" s="6" t="s">
        <v>147</v>
      </c>
      <c r="B25" s="10" t="n">
        <v>2219.22</v>
      </c>
      <c r="C25" s="10" t="n">
        <v>4600</v>
      </c>
      <c r="D25" s="10" t="n">
        <f aca="false">C25-B25</f>
        <v>2380.78</v>
      </c>
      <c r="E25" s="15" t="n">
        <f aca="false">D25/B25</f>
        <v>1.07280035327728</v>
      </c>
      <c r="F25" s="34" t="s">
        <v>67</v>
      </c>
      <c r="G25" s="6" t="s">
        <v>148</v>
      </c>
    </row>
    <row r="26" customFormat="false" ht="15" hidden="false" customHeight="true" outlineLevel="0" collapsed="false">
      <c r="A26" s="7" t="s">
        <v>149</v>
      </c>
      <c r="B26" s="9" t="n">
        <v>12979.47</v>
      </c>
      <c r="C26" s="9" t="n">
        <v>21556</v>
      </c>
      <c r="D26" s="9" t="n">
        <f aca="false">C26-B26</f>
        <v>8576.53</v>
      </c>
      <c r="E26" s="32" t="n">
        <f aca="false">D26/B26</f>
        <v>0.660776595654522</v>
      </c>
      <c r="F26" s="14" t="s">
        <v>61</v>
      </c>
      <c r="G26" s="7" t="s">
        <v>150</v>
      </c>
    </row>
    <row r="27" customFormat="false" ht="15" hidden="false" customHeight="true" outlineLevel="0" collapsed="false">
      <c r="E27" s="33"/>
    </row>
    <row r="28" customFormat="false" ht="15" hidden="false" customHeight="true" outlineLevel="0" collapsed="false">
      <c r="A28" s="8" t="s">
        <v>151</v>
      </c>
      <c r="B28" s="8"/>
      <c r="C28" s="8"/>
      <c r="D28" s="8"/>
      <c r="E28" s="8"/>
      <c r="F28" s="8"/>
      <c r="G28" s="8"/>
    </row>
    <row r="29" customFormat="false" ht="15" hidden="false" customHeight="true" outlineLevel="0" collapsed="false">
      <c r="A29" s="6" t="s">
        <v>152</v>
      </c>
      <c r="B29" s="6" t="n">
        <v>32</v>
      </c>
      <c r="C29" s="10" t="n">
        <f aca="false">C18/C26</f>
        <v>21.2295416589349</v>
      </c>
      <c r="D29" s="10" t="n">
        <f aca="false">C29-B29</f>
        <v>-10.7704583410651</v>
      </c>
      <c r="E29" s="15" t="n">
        <f aca="false">D29/B29</f>
        <v>-0.336576823158285</v>
      </c>
      <c r="F29" s="25" t="s">
        <v>71</v>
      </c>
      <c r="G29" s="6" t="s">
        <v>153</v>
      </c>
    </row>
    <row r="30" customFormat="false" ht="15" hidden="false" customHeight="true" outlineLevel="0" collapsed="false">
      <c r="A30" s="7" t="s">
        <v>154</v>
      </c>
      <c r="B30" s="7" t="n">
        <v>32</v>
      </c>
      <c r="C30" s="9" t="n">
        <f aca="false">C13/C21</f>
        <v>31.9176470588235</v>
      </c>
      <c r="D30" s="7"/>
      <c r="E30" s="32"/>
      <c r="F30" s="7"/>
      <c r="G30" s="7"/>
    </row>
    <row r="31" customFormat="false" ht="15" hidden="false" customHeight="true" outlineLevel="0" collapsed="false">
      <c r="A31" s="6" t="s">
        <v>155</v>
      </c>
      <c r="B31" s="6" t="n">
        <v>32</v>
      </c>
      <c r="C31" s="10" t="n">
        <f aca="false">C14/C22</f>
        <v>23.4378185524975</v>
      </c>
      <c r="D31" s="6"/>
      <c r="E31" s="15"/>
      <c r="F31" s="6"/>
      <c r="G31" s="6"/>
    </row>
    <row r="32" customFormat="false" ht="15" hidden="false" customHeight="true" outlineLevel="0" collapsed="false">
      <c r="A32" s="7" t="s">
        <v>156</v>
      </c>
      <c r="B32" s="7" t="n">
        <v>32</v>
      </c>
      <c r="C32" s="9" t="n">
        <f aca="false">C15/C23</f>
        <v>20.8165714285714</v>
      </c>
      <c r="D32" s="7"/>
      <c r="E32" s="32"/>
      <c r="F32" s="7"/>
      <c r="G32" s="7" t="s">
        <v>157</v>
      </c>
    </row>
    <row r="33" customFormat="false" ht="15" hidden="false" customHeight="true" outlineLevel="0" collapsed="false">
      <c r="A33" s="6" t="s">
        <v>158</v>
      </c>
      <c r="B33" s="6" t="n">
        <v>32</v>
      </c>
      <c r="C33" s="10" t="n">
        <f aca="false">C16/C24</f>
        <v>19.4856054191363</v>
      </c>
      <c r="D33" s="6"/>
      <c r="E33" s="15"/>
      <c r="F33" s="6"/>
      <c r="G33" s="6"/>
    </row>
    <row r="34" customFormat="false" ht="15" hidden="false" customHeight="true" outlineLevel="0" collapsed="false">
      <c r="A34" s="7" t="s">
        <v>159</v>
      </c>
      <c r="B34" s="7" t="n">
        <v>32</v>
      </c>
      <c r="C34" s="9" t="n">
        <f aca="false">C17/C25</f>
        <v>20.7889130434783</v>
      </c>
      <c r="D34" s="7"/>
      <c r="E34" s="32"/>
      <c r="F34" s="7"/>
      <c r="G34" s="7"/>
    </row>
    <row r="35" customFormat="false" ht="15" hidden="false" customHeight="true" outlineLevel="0" collapsed="false">
      <c r="E35" s="33"/>
    </row>
    <row r="36" customFormat="false" ht="15" hidden="false" customHeight="true" outlineLevel="0" collapsed="false">
      <c r="A36" s="8" t="s">
        <v>160</v>
      </c>
      <c r="B36" s="8"/>
      <c r="C36" s="8"/>
      <c r="D36" s="8"/>
      <c r="E36" s="8"/>
      <c r="F36" s="8"/>
      <c r="G36" s="8"/>
    </row>
    <row r="37" customFormat="false" ht="15" hidden="false" customHeight="true" outlineLevel="0" collapsed="false">
      <c r="A37" s="6" t="s">
        <v>161</v>
      </c>
      <c r="B37" s="10" t="n">
        <f aca="false">B26/1340</f>
        <v>9.68617164179105</v>
      </c>
      <c r="C37" s="10" t="n">
        <f aca="false">C26/1340</f>
        <v>16.0865671641791</v>
      </c>
      <c r="D37" s="10" t="n">
        <f aca="false">C37-B37</f>
        <v>6.40039552238806</v>
      </c>
      <c r="E37" s="15" t="n">
        <f aca="false">D37/B37</f>
        <v>0.660776595654522</v>
      </c>
      <c r="F37" s="34" t="s">
        <v>67</v>
      </c>
      <c r="G37" s="6" t="s">
        <v>162</v>
      </c>
    </row>
    <row r="38" customFormat="false" ht="15" hidden="false" customHeight="true" outlineLevel="0" collapsed="false">
      <c r="A38" s="7" t="s">
        <v>163</v>
      </c>
      <c r="B38" s="9" t="n">
        <f aca="false">B18/1340</f>
        <v>309.957462686567</v>
      </c>
      <c r="C38" s="9" t="n">
        <f aca="false">C18/1340</f>
        <v>341.510447761194</v>
      </c>
      <c r="D38" s="9" t="n">
        <f aca="false">C38-B38</f>
        <v>31.5529850746269</v>
      </c>
      <c r="E38" s="32" t="n">
        <f aca="false">D38/B38</f>
        <v>0.101797791223158</v>
      </c>
      <c r="F38" s="16" t="s">
        <v>67</v>
      </c>
      <c r="G38" s="7" t="s">
        <v>164</v>
      </c>
    </row>
    <row r="39" customFormat="false" ht="15" hidden="false" customHeight="true" outlineLevel="0" collapsed="false">
      <c r="E39" s="33"/>
    </row>
    <row r="40" customFormat="false" ht="15" hidden="false" customHeight="true" outlineLevel="0" collapsed="false">
      <c r="A40" s="8" t="s">
        <v>165</v>
      </c>
      <c r="B40" s="35"/>
      <c r="C40" s="35"/>
      <c r="D40" s="35"/>
      <c r="E40" s="35"/>
      <c r="F40" s="35"/>
      <c r="G40" s="35"/>
    </row>
    <row r="41" customFormat="false" ht="15" hidden="false" customHeight="true" outlineLevel="0" collapsed="false">
      <c r="A41" s="6" t="s">
        <v>166</v>
      </c>
      <c r="B41" s="6"/>
      <c r="C41" s="10" t="n">
        <v>1850270</v>
      </c>
      <c r="D41" s="6"/>
      <c r="E41" s="15"/>
      <c r="F41" s="6"/>
      <c r="G41" s="6" t="s">
        <v>167</v>
      </c>
    </row>
    <row r="42" customFormat="false" ht="15" hidden="false" customHeight="true" outlineLevel="0" collapsed="false">
      <c r="A42" s="7" t="s">
        <v>168</v>
      </c>
      <c r="B42" s="7"/>
      <c r="C42" s="9" t="n">
        <v>457624</v>
      </c>
      <c r="D42" s="7"/>
      <c r="E42" s="32"/>
      <c r="F42" s="7"/>
      <c r="G42" s="7" t="s">
        <v>169</v>
      </c>
    </row>
    <row r="43" customFormat="false" ht="15" hidden="false" customHeight="true" outlineLevel="0" collapsed="false">
      <c r="A43" s="6" t="s">
        <v>170</v>
      </c>
      <c r="B43" s="6"/>
      <c r="C43" s="10" t="n">
        <v>717208</v>
      </c>
      <c r="D43" s="6"/>
      <c r="E43" s="15"/>
      <c r="F43" s="6"/>
      <c r="G43" s="6" t="s">
        <v>171</v>
      </c>
    </row>
    <row r="44" customFormat="false" ht="15" hidden="false" customHeight="true" outlineLevel="0" collapsed="false">
      <c r="A44" s="7" t="s">
        <v>172</v>
      </c>
      <c r="B44" s="7"/>
      <c r="C44" s="9" t="n">
        <v>58063</v>
      </c>
      <c r="D44" s="7"/>
      <c r="E44" s="32"/>
      <c r="F44" s="7"/>
      <c r="G44" s="7" t="s">
        <v>173</v>
      </c>
    </row>
    <row r="45" customFormat="false" ht="15" hidden="false" customHeight="true" outlineLevel="0" collapsed="false">
      <c r="A45" s="6" t="s">
        <v>174</v>
      </c>
      <c r="B45" s="6"/>
      <c r="C45" s="10" t="n">
        <v>226083</v>
      </c>
      <c r="D45" s="6"/>
      <c r="E45" s="15"/>
      <c r="F45" s="6"/>
      <c r="G45" s="6" t="s">
        <v>83</v>
      </c>
    </row>
    <row r="46" customFormat="false" ht="15" hidden="false" customHeight="true" outlineLevel="0" collapsed="false">
      <c r="A46" s="7" t="s">
        <v>175</v>
      </c>
      <c r="B46" s="7"/>
      <c r="C46" s="36" t="n">
        <v>437856</v>
      </c>
      <c r="D46" s="7"/>
      <c r="E46" s="32"/>
      <c r="F46" s="7"/>
      <c r="G46" s="7" t="s">
        <v>176</v>
      </c>
    </row>
    <row r="47" customFormat="false" ht="15" hidden="false" customHeight="true" outlineLevel="0" collapsed="false">
      <c r="A47" s="6" t="s">
        <v>177</v>
      </c>
      <c r="B47" s="6"/>
      <c r="C47" s="37" t="n">
        <f aca="false">C41-C42-C43-C44</f>
        <v>617375</v>
      </c>
      <c r="D47" s="6"/>
      <c r="E47" s="15"/>
      <c r="F47" s="6"/>
      <c r="G47" s="6" t="s">
        <v>178</v>
      </c>
    </row>
    <row r="48" customFormat="false" ht="15" hidden="false" customHeight="true" outlineLevel="0" collapsed="false">
      <c r="A48" s="7" t="s">
        <v>179</v>
      </c>
      <c r="B48" s="7"/>
      <c r="C48" s="32" t="n">
        <f aca="false">C47/C41</f>
        <v>0.333667518794554</v>
      </c>
      <c r="D48" s="7"/>
      <c r="E48" s="32"/>
      <c r="F48" s="7"/>
      <c r="G48" s="7" t="s">
        <v>94</v>
      </c>
    </row>
    <row r="49" customFormat="false" ht="15" hidden="false" customHeight="true" outlineLevel="0" collapsed="false">
      <c r="A49" s="38" t="s">
        <v>180</v>
      </c>
      <c r="B49" s="38"/>
      <c r="C49" s="39" t="n">
        <v>226083</v>
      </c>
      <c r="D49" s="38"/>
      <c r="E49" s="40"/>
      <c r="F49" s="38"/>
      <c r="G49" s="38" t="s">
        <v>181</v>
      </c>
    </row>
    <row r="50" customFormat="false" ht="15" hidden="false" customHeight="true" outlineLevel="0" collapsed="false">
      <c r="A50" s="38" t="s">
        <v>182</v>
      </c>
      <c r="B50" s="38"/>
      <c r="C50" s="41" t="n">
        <f aca="false">C47-C49</f>
        <v>391292</v>
      </c>
      <c r="D50" s="38"/>
      <c r="E50" s="40"/>
      <c r="F50" s="38"/>
      <c r="G50" s="38" t="s">
        <v>183</v>
      </c>
    </row>
    <row r="51" customFormat="false" ht="15" hidden="false" customHeight="true" outlineLevel="0" collapsed="false">
      <c r="A51" s="38" t="s">
        <v>184</v>
      </c>
      <c r="B51" s="38"/>
      <c r="C51" s="40" t="n">
        <f aca="false">C50/C41</f>
        <v>0.211478324785031</v>
      </c>
      <c r="D51" s="38"/>
      <c r="E51" s="40"/>
      <c r="F51" s="38"/>
      <c r="G51" s="38" t="s">
        <v>185</v>
      </c>
    </row>
    <row r="52" customFormat="false" ht="15" hidden="false" customHeight="true" outlineLevel="0" collapsed="false">
      <c r="E52" s="33"/>
    </row>
  </sheetData>
  <mergeCells count="7">
    <mergeCell ref="A1:G1"/>
    <mergeCell ref="A2:G2"/>
    <mergeCell ref="A5:G5"/>
    <mergeCell ref="A12:G12"/>
    <mergeCell ref="A20:G20"/>
    <mergeCell ref="A28:G28"/>
    <mergeCell ref="A36:G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7706"/>
    <pageSetUpPr fitToPage="false"/>
  </sheetPr>
  <dimension ref="A1:H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4" min="2" style="1" width="14"/>
    <col collapsed="false" customWidth="true" hidden="false" outlineLevel="0" max="6" min="5" style="1" width="16"/>
    <col collapsed="false" customWidth="true" hidden="false" outlineLevel="0" max="7" min="7" style="1" width="4"/>
    <col collapsed="false" customWidth="true" hidden="false" outlineLevel="0" max="8" min="8" style="1" width="60"/>
  </cols>
  <sheetData>
    <row r="1" customFormat="false" ht="17.25" hidden="false" customHeight="true" outlineLevel="0" collapsed="false">
      <c r="A1" s="2" t="s">
        <v>186</v>
      </c>
      <c r="B1" s="2"/>
      <c r="C1" s="2"/>
      <c r="D1" s="2"/>
      <c r="E1" s="2"/>
      <c r="F1" s="2"/>
      <c r="G1" s="2"/>
      <c r="H1" s="2"/>
    </row>
    <row r="2" customFormat="false" ht="15" hidden="false" customHeight="true" outlineLevel="0" collapsed="false">
      <c r="A2" s="3" t="s">
        <v>187</v>
      </c>
      <c r="B2" s="3"/>
      <c r="C2" s="3"/>
      <c r="D2" s="3"/>
      <c r="E2" s="3"/>
      <c r="F2" s="3"/>
      <c r="G2" s="3"/>
      <c r="H2" s="3"/>
    </row>
    <row r="4" customFormat="false" ht="51.75" hidden="false" customHeight="true" outlineLevel="0" collapsed="false">
      <c r="A4" s="5" t="s">
        <v>188</v>
      </c>
      <c r="B4" s="5" t="s">
        <v>189</v>
      </c>
      <c r="C4" s="5" t="s">
        <v>190</v>
      </c>
      <c r="D4" s="5" t="s">
        <v>191</v>
      </c>
      <c r="E4" s="5" t="s">
        <v>112</v>
      </c>
      <c r="F4" s="5" t="s">
        <v>192</v>
      </c>
      <c r="G4" s="5" t="s">
        <v>193</v>
      </c>
      <c r="H4" s="5" t="s">
        <v>113</v>
      </c>
    </row>
    <row r="5" customFormat="false" ht="23.25" hidden="false" customHeight="true" outlineLevel="0" collapsed="false">
      <c r="A5" s="6" t="s">
        <v>125</v>
      </c>
      <c r="B5" s="42" t="n">
        <v>687.5</v>
      </c>
      <c r="C5" s="42" t="n">
        <v>170</v>
      </c>
      <c r="D5" s="42" t="n">
        <f aca="false">C5-B5</f>
        <v>-517.5</v>
      </c>
      <c r="E5" s="15" t="n">
        <f aca="false">D5/B5</f>
        <v>-0.752727272727273</v>
      </c>
      <c r="F5" s="43" t="n">
        <f aca="false">22000/B5</f>
        <v>32</v>
      </c>
      <c r="G5" s="43" t="n">
        <f aca="false">5426/C5</f>
        <v>31.9176470588235</v>
      </c>
      <c r="H5" s="6" t="s">
        <v>194</v>
      </c>
    </row>
    <row r="6" customFormat="false" ht="23.25" hidden="false" customHeight="true" outlineLevel="0" collapsed="false">
      <c r="A6" s="7" t="s">
        <v>128</v>
      </c>
      <c r="B6" s="13" t="n">
        <v>3106.59</v>
      </c>
      <c r="C6" s="13" t="n">
        <v>3924</v>
      </c>
      <c r="D6" s="13" t="n">
        <f aca="false">C6-B6</f>
        <v>817.41</v>
      </c>
      <c r="E6" s="32" t="n">
        <f aca="false">D6/B6</f>
        <v>0.26312130020376</v>
      </c>
      <c r="F6" s="44" t="n">
        <f aca="false">99411/B6</f>
        <v>32.0000386275627</v>
      </c>
      <c r="G6" s="44" t="n">
        <f aca="false">91970/C6</f>
        <v>23.4378185524975</v>
      </c>
      <c r="H6" s="7" t="s">
        <v>195</v>
      </c>
    </row>
    <row r="7" customFormat="false" ht="34.5" hidden="false" customHeight="true" outlineLevel="0" collapsed="false">
      <c r="A7" s="6" t="s">
        <v>130</v>
      </c>
      <c r="B7" s="42" t="n">
        <v>5803.28</v>
      </c>
      <c r="C7" s="42" t="n">
        <v>10500</v>
      </c>
      <c r="D7" s="42" t="n">
        <f aca="false">C7-B7</f>
        <v>4696.72</v>
      </c>
      <c r="E7" s="15" t="n">
        <f aca="false">D7/B7</f>
        <v>0.809321625012062</v>
      </c>
      <c r="F7" s="43" t="n">
        <f aca="false">185705/B7</f>
        <v>32.0000068926538</v>
      </c>
      <c r="G7" s="43" t="n">
        <f aca="false">218574/C7</f>
        <v>20.8165714285714</v>
      </c>
      <c r="H7" s="6" t="s">
        <v>196</v>
      </c>
    </row>
    <row r="8" customFormat="false" ht="23.25" hidden="false" customHeight="true" outlineLevel="0" collapsed="false">
      <c r="A8" s="7" t="s">
        <v>132</v>
      </c>
      <c r="B8" s="13" t="n">
        <v>1162.88</v>
      </c>
      <c r="C8" s="13" t="n">
        <v>2362</v>
      </c>
      <c r="D8" s="13" t="n">
        <f aca="false">C8-B8</f>
        <v>1199.12</v>
      </c>
      <c r="E8" s="32" t="n">
        <f aca="false">D8/B8</f>
        <v>1.03116400660429</v>
      </c>
      <c r="F8" s="44" t="n">
        <f aca="false">37212/B8</f>
        <v>31.9998624105669</v>
      </c>
      <c r="G8" s="44" t="n">
        <f aca="false">46025/C8</f>
        <v>19.4856054191363</v>
      </c>
      <c r="H8" s="7" t="s">
        <v>197</v>
      </c>
    </row>
    <row r="9" customFormat="false" ht="23.25" hidden="false" customHeight="true" outlineLevel="0" collapsed="false">
      <c r="A9" s="6" t="s">
        <v>134</v>
      </c>
      <c r="B9" s="42" t="n">
        <v>2219.22</v>
      </c>
      <c r="C9" s="42" t="n">
        <v>4600</v>
      </c>
      <c r="D9" s="42" t="n">
        <f aca="false">C9-B9</f>
        <v>2380.78</v>
      </c>
      <c r="E9" s="15" t="n">
        <f aca="false">D9/B9</f>
        <v>1.07280035327728</v>
      </c>
      <c r="F9" s="43" t="n">
        <f aca="false">71015/B9</f>
        <v>31.9999819756491</v>
      </c>
      <c r="G9" s="43" t="n">
        <f aca="false">95629/C9</f>
        <v>20.7889130434783</v>
      </c>
      <c r="H9" s="6" t="s">
        <v>198</v>
      </c>
    </row>
    <row r="10" customFormat="false" ht="23.25" hidden="false" customHeight="true" outlineLevel="0" collapsed="false">
      <c r="A10" s="45" t="s">
        <v>199</v>
      </c>
      <c r="B10" s="46" t="n">
        <v>12979.47</v>
      </c>
      <c r="C10" s="46" t="n">
        <v>21556</v>
      </c>
      <c r="D10" s="46" t="n">
        <f aca="false">C10-B10</f>
        <v>8576.53</v>
      </c>
      <c r="E10" s="47" t="n">
        <f aca="false">D10/B10</f>
        <v>0.660776595654522</v>
      </c>
      <c r="F10" s="48" t="n">
        <f aca="false">415343/B10</f>
        <v>31.9999969182101</v>
      </c>
      <c r="G10" s="48" t="n">
        <f aca="false">457624/C10</f>
        <v>21.2295416589349</v>
      </c>
      <c r="H10" s="45" t="s">
        <v>200</v>
      </c>
    </row>
    <row r="12" customFormat="false" ht="15" hidden="false" customHeight="true" outlineLevel="0" collapsed="false">
      <c r="A12" s="8" t="s">
        <v>201</v>
      </c>
      <c r="B12" s="8"/>
      <c r="C12" s="8"/>
      <c r="D12" s="8"/>
      <c r="E12" s="8"/>
      <c r="F12" s="8"/>
      <c r="G12" s="8"/>
      <c r="H12" s="8"/>
    </row>
    <row r="13" customFormat="false" ht="26.25" hidden="false" customHeight="true" outlineLevel="0" collapsed="false">
      <c r="A13" s="5" t="s">
        <v>3</v>
      </c>
      <c r="B13" s="5" t="s">
        <v>202</v>
      </c>
      <c r="C13" s="5" t="s">
        <v>203</v>
      </c>
      <c r="D13" s="5" t="s">
        <v>204</v>
      </c>
      <c r="E13" s="5" t="s">
        <v>205</v>
      </c>
      <c r="F13" s="5" t="s">
        <v>206</v>
      </c>
      <c r="G13" s="5"/>
      <c r="H13" s="5" t="s">
        <v>207</v>
      </c>
    </row>
    <row r="14" customFormat="false" ht="15" hidden="false" customHeight="true" outlineLevel="0" collapsed="false">
      <c r="A14" s="6" t="s">
        <v>208</v>
      </c>
      <c r="B14" s="6" t="n">
        <v>16.09</v>
      </c>
      <c r="C14" s="6" t="n">
        <v>20.87</v>
      </c>
      <c r="D14" s="6" t="n">
        <v>6.97</v>
      </c>
      <c r="E14" s="6" t="n">
        <v>75.05</v>
      </c>
      <c r="F14" s="6" t="s">
        <v>209</v>
      </c>
      <c r="G14" s="6"/>
      <c r="H14" s="6" t="s">
        <v>210</v>
      </c>
    </row>
    <row r="15" customFormat="false" ht="15" hidden="false" customHeight="true" outlineLevel="0" collapsed="false">
      <c r="A15" s="7" t="s">
        <v>211</v>
      </c>
      <c r="B15" s="7" t="n">
        <v>341.51</v>
      </c>
      <c r="C15" s="7" t="s">
        <v>212</v>
      </c>
      <c r="D15" s="7" t="n">
        <v>253.27</v>
      </c>
      <c r="E15" s="7" t="n">
        <v>2401.54</v>
      </c>
      <c r="F15" s="7" t="s">
        <v>209</v>
      </c>
      <c r="G15" s="7"/>
      <c r="H15" s="7" t="s">
        <v>213</v>
      </c>
    </row>
    <row r="16" customFormat="false" ht="15" hidden="false" customHeight="true" outlineLevel="0" collapsed="false">
      <c r="A16" s="6" t="s">
        <v>214</v>
      </c>
      <c r="B16" s="6" t="n">
        <v>21.23</v>
      </c>
      <c r="C16" s="6" t="n">
        <v>28.83</v>
      </c>
      <c r="D16" s="6" t="n">
        <v>18.93</v>
      </c>
      <c r="E16" s="6" t="n">
        <v>44.16</v>
      </c>
      <c r="F16" s="6" t="s">
        <v>215</v>
      </c>
      <c r="G16" s="6"/>
      <c r="H16" s="6" t="s">
        <v>216</v>
      </c>
    </row>
    <row r="17" customFormat="false" ht="15" hidden="false" customHeight="true" outlineLevel="0" collapsed="false">
      <c r="A17" s="7" t="s">
        <v>217</v>
      </c>
      <c r="B17" s="32" t="n">
        <v>0.66</v>
      </c>
      <c r="C17" s="32" t="n">
        <v>0.095</v>
      </c>
      <c r="D17" s="32" t="n">
        <v>-0.3</v>
      </c>
      <c r="E17" s="32" t="n">
        <v>1.05</v>
      </c>
      <c r="F17" s="7" t="s">
        <v>218</v>
      </c>
      <c r="G17" s="7"/>
      <c r="H17" s="7" t="s">
        <v>219</v>
      </c>
    </row>
    <row r="18" customFormat="false" ht="15" hidden="false" customHeight="true" outlineLevel="0" collapsed="false">
      <c r="A18" s="6" t="s">
        <v>220</v>
      </c>
      <c r="B18" s="15" t="n">
        <v>0.102</v>
      </c>
      <c r="C18" s="15" t="n">
        <v>-0.061</v>
      </c>
      <c r="D18" s="15" t="n">
        <v>-0.4</v>
      </c>
      <c r="E18" s="15" t="n">
        <v>0.52</v>
      </c>
      <c r="F18" s="6" t="s">
        <v>221</v>
      </c>
      <c r="G18" s="6"/>
      <c r="H18" s="6" t="s">
        <v>222</v>
      </c>
    </row>
    <row r="19" customFormat="false" ht="15" hidden="false" customHeight="true" outlineLevel="0" collapsed="false">
      <c r="A19" s="7" t="s">
        <v>223</v>
      </c>
      <c r="B19" s="7" t="n">
        <v>234</v>
      </c>
      <c r="C19" s="7" t="n">
        <v>147</v>
      </c>
      <c r="D19" s="7" t="n">
        <v>1</v>
      </c>
      <c r="E19" s="7" t="n">
        <v>366</v>
      </c>
      <c r="F19" s="7" t="s">
        <v>224</v>
      </c>
      <c r="G19" s="7"/>
      <c r="H19" s="7" t="s">
        <v>225</v>
      </c>
    </row>
    <row r="20" customFormat="false" ht="15" hidden="false" customHeight="true" outlineLevel="0" collapsed="false">
      <c r="A20" s="6" t="s">
        <v>226</v>
      </c>
      <c r="B20" s="6" t="n">
        <v>1340</v>
      </c>
      <c r="C20" s="6" t="n">
        <v>839</v>
      </c>
      <c r="D20" s="6" t="n">
        <v>1</v>
      </c>
      <c r="E20" s="6" t="n">
        <v>2660</v>
      </c>
      <c r="F20" s="6" t="s">
        <v>224</v>
      </c>
      <c r="G20" s="6"/>
      <c r="H20" s="6" t="s">
        <v>227</v>
      </c>
    </row>
    <row r="22" customFormat="false" ht="15" hidden="false" customHeight="true" outlineLevel="0" collapsed="false">
      <c r="A22" s="8" t="s">
        <v>228</v>
      </c>
      <c r="B22" s="8"/>
      <c r="C22" s="8"/>
      <c r="D22" s="8"/>
      <c r="E22" s="8"/>
      <c r="F22" s="8"/>
      <c r="G22" s="8"/>
      <c r="H22" s="8"/>
    </row>
    <row r="23" customFormat="false" ht="23.25" hidden="false" customHeight="true" outlineLevel="0" collapsed="false">
      <c r="A23" s="49" t="s">
        <v>229</v>
      </c>
      <c r="B23" s="50" t="s">
        <v>230</v>
      </c>
      <c r="C23" s="23" t="s">
        <v>231</v>
      </c>
      <c r="D23" s="23"/>
      <c r="E23" s="23"/>
      <c r="F23" s="23"/>
      <c r="G23" s="23"/>
      <c r="H23" s="23"/>
    </row>
    <row r="24" customFormat="false" ht="23.25" hidden="false" customHeight="true" outlineLevel="0" collapsed="false">
      <c r="A24" s="51" t="s">
        <v>232</v>
      </c>
      <c r="B24" s="52" t="s">
        <v>233</v>
      </c>
      <c r="C24" s="7" t="s">
        <v>234</v>
      </c>
      <c r="D24" s="7"/>
      <c r="E24" s="7"/>
      <c r="F24" s="7"/>
      <c r="G24" s="7"/>
      <c r="H24" s="7"/>
    </row>
    <row r="25" customFormat="false" ht="23.25" hidden="false" customHeight="true" outlineLevel="0" collapsed="false">
      <c r="A25" s="49" t="s">
        <v>235</v>
      </c>
      <c r="B25" s="50" t="s">
        <v>236</v>
      </c>
      <c r="C25" s="23" t="s">
        <v>237</v>
      </c>
      <c r="D25" s="23"/>
      <c r="E25" s="23"/>
      <c r="F25" s="23"/>
      <c r="G25" s="23"/>
      <c r="H25" s="23"/>
    </row>
    <row r="26" customFormat="false" ht="23.25" hidden="false" customHeight="true" outlineLevel="0" collapsed="false">
      <c r="A26" s="51" t="s">
        <v>238</v>
      </c>
      <c r="B26" s="52" t="s">
        <v>239</v>
      </c>
      <c r="C26" s="7" t="s">
        <v>240</v>
      </c>
      <c r="D26" s="7"/>
      <c r="E26" s="7"/>
      <c r="F26" s="7"/>
      <c r="G26" s="7"/>
      <c r="H26" s="7"/>
    </row>
    <row r="27" customFormat="false" ht="23.25" hidden="false" customHeight="true" outlineLevel="0" collapsed="false">
      <c r="A27" s="49" t="s">
        <v>241</v>
      </c>
      <c r="B27" s="50" t="s">
        <v>242</v>
      </c>
      <c r="C27" s="23" t="s">
        <v>243</v>
      </c>
      <c r="D27" s="23"/>
      <c r="E27" s="23"/>
      <c r="F27" s="23"/>
      <c r="G27" s="23"/>
      <c r="H27" s="23"/>
    </row>
  </sheetData>
  <mergeCells count="9">
    <mergeCell ref="A1:H1"/>
    <mergeCell ref="A2:H2"/>
    <mergeCell ref="A12:H12"/>
    <mergeCell ref="A22:H22"/>
    <mergeCell ref="C23:H23"/>
    <mergeCell ref="C24:H24"/>
    <mergeCell ref="C25:H25"/>
    <mergeCell ref="C26:H26"/>
    <mergeCell ref="C27:H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366F1"/>
    <pageSetUpPr fitToPage="fals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6"/>
    <col collapsed="false" customWidth="true" hidden="false" outlineLevel="0" max="2" min="2" style="1" width="26"/>
    <col collapsed="false" customWidth="true" hidden="false" outlineLevel="0" max="3" min="3" style="1" width="36"/>
    <col collapsed="false" customWidth="true" hidden="false" outlineLevel="0" max="4" min="4" style="1" width="12"/>
    <col collapsed="false" customWidth="true" hidden="false" outlineLevel="0" max="5" min="5" style="1" width="10"/>
    <col collapsed="false" customWidth="true" hidden="false" outlineLevel="0" max="6" min="6" style="1" width="12"/>
    <col collapsed="false" customWidth="true" hidden="false" outlineLevel="0" max="7" min="7" style="1" width="14"/>
    <col collapsed="false" customWidth="true" hidden="false" outlineLevel="0" max="8" min="8" style="1" width="70"/>
  </cols>
  <sheetData>
    <row r="1" customFormat="false" ht="17.25" hidden="false" customHeight="true" outlineLevel="0" collapsed="false">
      <c r="A1" s="2" t="s">
        <v>244</v>
      </c>
      <c r="B1" s="2"/>
      <c r="C1" s="2"/>
      <c r="D1" s="2"/>
      <c r="E1" s="2"/>
      <c r="F1" s="2"/>
      <c r="G1" s="2"/>
      <c r="H1" s="2"/>
    </row>
    <row r="2" customFormat="false" ht="15" hidden="false" customHeight="true" outlineLevel="0" collapsed="false">
      <c r="A2" s="3" t="s">
        <v>245</v>
      </c>
      <c r="B2" s="3"/>
      <c r="C2" s="3"/>
      <c r="D2" s="3"/>
      <c r="E2" s="3"/>
      <c r="F2" s="3"/>
      <c r="G2" s="3"/>
      <c r="H2" s="3"/>
    </row>
    <row r="4" customFormat="false" ht="26.25" hidden="false" customHeight="true" outlineLevel="0" collapsed="false">
      <c r="A4" s="5" t="s">
        <v>246</v>
      </c>
      <c r="B4" s="5" t="s">
        <v>108</v>
      </c>
      <c r="C4" s="5" t="s">
        <v>247</v>
      </c>
      <c r="D4" s="5" t="s">
        <v>248</v>
      </c>
      <c r="E4" s="5" t="s">
        <v>249</v>
      </c>
      <c r="F4" s="5" t="s">
        <v>250</v>
      </c>
      <c r="G4" s="5" t="s">
        <v>251</v>
      </c>
      <c r="H4" s="5" t="s">
        <v>252</v>
      </c>
    </row>
    <row r="5" customFormat="false" ht="23.25" hidden="false" customHeight="true" outlineLevel="0" collapsed="false">
      <c r="A5" s="6" t="n">
        <v>1</v>
      </c>
      <c r="B5" s="6" t="s">
        <v>253</v>
      </c>
      <c r="C5" s="6" t="s">
        <v>254</v>
      </c>
      <c r="D5" s="6" t="s">
        <v>255</v>
      </c>
      <c r="E5" s="6" t="n">
        <v>1</v>
      </c>
      <c r="F5" s="6" t="s">
        <v>256</v>
      </c>
      <c r="G5" s="6" t="s">
        <v>257</v>
      </c>
      <c r="H5" s="6" t="s">
        <v>258</v>
      </c>
    </row>
    <row r="6" customFormat="false" ht="23.25" hidden="false" customHeight="true" outlineLevel="0" collapsed="false">
      <c r="A6" s="7" t="n">
        <v>2</v>
      </c>
      <c r="B6" s="7" t="s">
        <v>259</v>
      </c>
      <c r="C6" s="7" t="s">
        <v>260</v>
      </c>
      <c r="D6" s="7" t="s">
        <v>261</v>
      </c>
      <c r="E6" s="7" t="n">
        <v>226</v>
      </c>
      <c r="F6" s="7" t="s">
        <v>262</v>
      </c>
      <c r="G6" s="7" t="s">
        <v>263</v>
      </c>
      <c r="H6" s="7" t="s">
        <v>264</v>
      </c>
    </row>
    <row r="7" customFormat="false" ht="23.25" hidden="false" customHeight="true" outlineLevel="0" collapsed="false">
      <c r="A7" s="6" t="n">
        <v>3</v>
      </c>
      <c r="B7" s="6" t="s">
        <v>265</v>
      </c>
      <c r="C7" s="6" t="s">
        <v>266</v>
      </c>
      <c r="D7" s="6" t="s">
        <v>267</v>
      </c>
      <c r="E7" s="6" t="n">
        <v>44</v>
      </c>
      <c r="F7" s="6" t="s">
        <v>268</v>
      </c>
      <c r="G7" s="6" t="s">
        <v>263</v>
      </c>
      <c r="H7" s="6" t="s">
        <v>269</v>
      </c>
    </row>
    <row r="8" customFormat="false" ht="15" hidden="false" customHeight="true" outlineLevel="0" collapsed="false">
      <c r="A8" s="7" t="n">
        <v>4</v>
      </c>
      <c r="B8" s="7" t="s">
        <v>270</v>
      </c>
      <c r="C8" s="7" t="s">
        <v>271</v>
      </c>
      <c r="D8" s="7" t="s">
        <v>272</v>
      </c>
      <c r="E8" s="7" t="n">
        <v>22</v>
      </c>
      <c r="F8" s="7" t="s">
        <v>273</v>
      </c>
      <c r="G8" s="7" t="s">
        <v>274</v>
      </c>
      <c r="H8" s="7" t="s">
        <v>275</v>
      </c>
    </row>
    <row r="9" customFormat="false" ht="15" hidden="false" customHeight="true" outlineLevel="0" collapsed="false">
      <c r="A9" s="6" t="n">
        <v>5</v>
      </c>
      <c r="B9" s="6" t="s">
        <v>276</v>
      </c>
      <c r="C9" s="6" t="s">
        <v>277</v>
      </c>
      <c r="D9" s="6" t="s">
        <v>272</v>
      </c>
      <c r="E9" s="6" t="n">
        <v>4</v>
      </c>
      <c r="F9" s="6" t="s">
        <v>278</v>
      </c>
      <c r="G9" s="6" t="s">
        <v>279</v>
      </c>
      <c r="H9" s="6" t="s">
        <v>280</v>
      </c>
    </row>
    <row r="10" customFormat="false" ht="15" hidden="false" customHeight="true" outlineLevel="0" collapsed="false">
      <c r="A10" s="7" t="n">
        <v>6</v>
      </c>
      <c r="B10" s="7" t="s">
        <v>281</v>
      </c>
      <c r="C10" s="7" t="s">
        <v>282</v>
      </c>
      <c r="D10" s="7" t="s">
        <v>272</v>
      </c>
      <c r="E10" s="7" t="n">
        <v>1</v>
      </c>
      <c r="F10" s="7" t="s">
        <v>283</v>
      </c>
      <c r="G10" s="7" t="s">
        <v>279</v>
      </c>
      <c r="H10" s="7" t="s">
        <v>284</v>
      </c>
    </row>
    <row r="11" customFormat="false" ht="15" hidden="false" customHeight="true" outlineLevel="0" collapsed="false">
      <c r="A11" s="6" t="n">
        <v>7</v>
      </c>
      <c r="B11" s="6" t="s">
        <v>285</v>
      </c>
      <c r="C11" s="6" t="s">
        <v>286</v>
      </c>
      <c r="D11" s="6" t="s">
        <v>272</v>
      </c>
      <c r="E11" s="6" t="n">
        <v>2</v>
      </c>
      <c r="F11" s="6" t="s">
        <v>262</v>
      </c>
      <c r="G11" s="6" t="s">
        <v>274</v>
      </c>
      <c r="H11" s="6" t="s">
        <v>287</v>
      </c>
    </row>
    <row r="12" customFormat="false" ht="23.25" hidden="false" customHeight="true" outlineLevel="0" collapsed="false">
      <c r="A12" s="7" t="n">
        <v>8</v>
      </c>
      <c r="B12" s="7" t="s">
        <v>288</v>
      </c>
      <c r="C12" s="7" t="s">
        <v>289</v>
      </c>
      <c r="D12" s="7" t="s">
        <v>272</v>
      </c>
      <c r="E12" s="7" t="n">
        <v>8</v>
      </c>
      <c r="F12" s="7" t="s">
        <v>290</v>
      </c>
      <c r="G12" s="7" t="s">
        <v>263</v>
      </c>
      <c r="H12" s="7" t="s">
        <v>291</v>
      </c>
    </row>
    <row r="13" customFormat="false" ht="15" hidden="false" customHeight="true" outlineLevel="0" collapsed="false">
      <c r="A13" s="6" t="n">
        <v>9</v>
      </c>
      <c r="B13" s="6" t="s">
        <v>292</v>
      </c>
      <c r="C13" s="6" t="s">
        <v>271</v>
      </c>
      <c r="D13" s="6" t="s">
        <v>255</v>
      </c>
      <c r="E13" s="6" t="n">
        <v>3</v>
      </c>
      <c r="F13" s="6" t="s">
        <v>293</v>
      </c>
      <c r="G13" s="6" t="s">
        <v>279</v>
      </c>
      <c r="H13" s="6" t="s">
        <v>294</v>
      </c>
    </row>
    <row r="14" customFormat="false" ht="23.25" hidden="false" customHeight="true" outlineLevel="0" collapsed="false">
      <c r="A14" s="7" t="n">
        <v>10</v>
      </c>
      <c r="B14" s="7" t="s">
        <v>295</v>
      </c>
      <c r="C14" s="7" t="s">
        <v>296</v>
      </c>
      <c r="D14" s="7" t="s">
        <v>297</v>
      </c>
      <c r="E14" s="7" t="n">
        <v>5</v>
      </c>
      <c r="F14" s="7" t="s">
        <v>298</v>
      </c>
      <c r="G14" s="7" t="s">
        <v>274</v>
      </c>
      <c r="H14" s="7" t="s">
        <v>299</v>
      </c>
    </row>
    <row r="15" customFormat="false" ht="15" hidden="false" customHeight="true" outlineLevel="0" collapsed="false">
      <c r="A15" s="6" t="n">
        <v>11</v>
      </c>
      <c r="B15" s="6" t="s">
        <v>300</v>
      </c>
      <c r="C15" s="6" t="s">
        <v>301</v>
      </c>
      <c r="D15" s="6" t="s">
        <v>261</v>
      </c>
      <c r="E15" s="6" t="n">
        <v>20</v>
      </c>
      <c r="F15" s="6" t="s">
        <v>290</v>
      </c>
      <c r="G15" s="6" t="s">
        <v>263</v>
      </c>
      <c r="H15" s="6" t="s">
        <v>302</v>
      </c>
    </row>
    <row r="16" customFormat="false" ht="15" hidden="false" customHeight="true" outlineLevel="0" collapsed="false">
      <c r="A16" s="7" t="n">
        <v>12</v>
      </c>
      <c r="B16" s="7" t="s">
        <v>303</v>
      </c>
      <c r="C16" s="7" t="s">
        <v>271</v>
      </c>
      <c r="D16" s="7" t="s">
        <v>304</v>
      </c>
      <c r="E16" s="7" t="n">
        <v>10</v>
      </c>
      <c r="F16" s="7" t="s">
        <v>298</v>
      </c>
      <c r="G16" s="7" t="s">
        <v>263</v>
      </c>
      <c r="H16" s="7" t="s">
        <v>305</v>
      </c>
    </row>
    <row r="17" customFormat="false" ht="15" hidden="false" customHeight="true" outlineLevel="0" collapsed="false">
      <c r="A17" s="6" t="n">
        <v>13</v>
      </c>
      <c r="B17" s="6" t="s">
        <v>306</v>
      </c>
      <c r="C17" s="6" t="s">
        <v>271</v>
      </c>
      <c r="D17" s="6" t="s">
        <v>307</v>
      </c>
      <c r="E17" s="6" t="n">
        <v>11</v>
      </c>
      <c r="F17" s="6" t="s">
        <v>268</v>
      </c>
      <c r="G17" s="6" t="s">
        <v>274</v>
      </c>
      <c r="H17" s="6" t="s">
        <v>308</v>
      </c>
    </row>
    <row r="18" customFormat="false" ht="15" hidden="false" customHeight="true" outlineLevel="0" collapsed="false">
      <c r="A18" s="7" t="n">
        <v>14</v>
      </c>
      <c r="B18" s="7" t="s">
        <v>309</v>
      </c>
      <c r="C18" s="7" t="s">
        <v>310</v>
      </c>
      <c r="D18" s="7" t="s">
        <v>261</v>
      </c>
      <c r="E18" s="7" t="n">
        <v>2</v>
      </c>
      <c r="F18" s="7" t="s">
        <v>311</v>
      </c>
      <c r="G18" s="7" t="s">
        <v>263</v>
      </c>
      <c r="H18" s="7" t="s">
        <v>312</v>
      </c>
    </row>
    <row r="19" customFormat="false" ht="15" hidden="false" customHeight="true" outlineLevel="0" collapsed="false">
      <c r="A19" s="6" t="n">
        <v>15</v>
      </c>
      <c r="B19" s="6" t="s">
        <v>313</v>
      </c>
      <c r="C19" s="6" t="s">
        <v>271</v>
      </c>
      <c r="D19" s="6" t="s">
        <v>272</v>
      </c>
      <c r="E19" s="6" t="n">
        <v>2</v>
      </c>
      <c r="F19" s="6" t="s">
        <v>293</v>
      </c>
      <c r="G19" s="6" t="s">
        <v>279</v>
      </c>
      <c r="H19" s="6" t="s">
        <v>314</v>
      </c>
    </row>
    <row r="20" customFormat="false" ht="15" hidden="false" customHeight="true" outlineLevel="0" collapsed="false">
      <c r="A20" s="7" t="n">
        <v>16</v>
      </c>
      <c r="B20" s="7" t="s">
        <v>315</v>
      </c>
      <c r="C20" s="7" t="s">
        <v>316</v>
      </c>
      <c r="D20" s="7" t="s">
        <v>317</v>
      </c>
      <c r="E20" s="7" t="n">
        <v>38</v>
      </c>
      <c r="F20" s="7" t="s">
        <v>298</v>
      </c>
      <c r="G20" s="7" t="s">
        <v>316</v>
      </c>
      <c r="H20" s="7" t="s">
        <v>318</v>
      </c>
    </row>
    <row r="21" customFormat="false" ht="15" hidden="false" customHeight="true" outlineLevel="0" collapsed="false">
      <c r="A21" s="35"/>
      <c r="B21" s="35"/>
      <c r="C21" s="35"/>
      <c r="D21" s="53" t="s">
        <v>199</v>
      </c>
      <c r="E21" s="53" t="n">
        <f aca="false">SUM(E5:E20)</f>
        <v>399</v>
      </c>
      <c r="F21" s="35"/>
      <c r="G21" s="35"/>
      <c r="H21" s="35"/>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F4444"/>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6"/>
    <col collapsed="false" customWidth="true" hidden="false" outlineLevel="0" max="2" min="2" style="1" width="24"/>
    <col collapsed="false" customWidth="true" hidden="false" outlineLevel="0" max="3" min="3" style="1" width="65"/>
    <col collapsed="false" customWidth="true" hidden="false" outlineLevel="0" max="4" min="4" style="1" width="18"/>
    <col collapsed="false" customWidth="true" hidden="false" outlineLevel="0" max="5" min="5" style="1" width="10"/>
    <col collapsed="false" customWidth="true" hidden="false" outlineLevel="0" max="7" min="6" style="1" width="50"/>
  </cols>
  <sheetData>
    <row r="1" customFormat="false" ht="17.25" hidden="false" customHeight="true" outlineLevel="0" collapsed="false">
      <c r="A1" s="2" t="s">
        <v>319</v>
      </c>
      <c r="B1" s="2"/>
      <c r="C1" s="2"/>
      <c r="D1" s="2"/>
      <c r="E1" s="2"/>
      <c r="F1" s="2"/>
      <c r="G1" s="2"/>
    </row>
    <row r="3" customFormat="false" ht="26.25" hidden="false" customHeight="true" outlineLevel="0" collapsed="false">
      <c r="A3" s="5" t="s">
        <v>246</v>
      </c>
      <c r="B3" s="5" t="s">
        <v>320</v>
      </c>
      <c r="C3" s="5" t="s">
        <v>321</v>
      </c>
      <c r="D3" s="5" t="s">
        <v>322</v>
      </c>
      <c r="E3" s="5" t="s">
        <v>323</v>
      </c>
      <c r="F3" s="5" t="s">
        <v>324</v>
      </c>
      <c r="G3" s="5" t="s">
        <v>325</v>
      </c>
    </row>
    <row r="4" customFormat="false" ht="23.25" hidden="false" customHeight="true" outlineLevel="0" collapsed="false">
      <c r="A4" s="6" t="n">
        <v>1</v>
      </c>
      <c r="B4" s="6" t="s">
        <v>326</v>
      </c>
      <c r="C4" s="6" t="s">
        <v>327</v>
      </c>
      <c r="D4" s="6" t="s">
        <v>328</v>
      </c>
      <c r="E4" s="28" t="s">
        <v>329</v>
      </c>
      <c r="F4" s="6" t="s">
        <v>330</v>
      </c>
      <c r="G4" s="6" t="s">
        <v>331</v>
      </c>
    </row>
    <row r="5" customFormat="false" ht="23.25" hidden="false" customHeight="true" outlineLevel="0" collapsed="false">
      <c r="A5" s="7" t="n">
        <v>2</v>
      </c>
      <c r="B5" s="7" t="s">
        <v>332</v>
      </c>
      <c r="C5" s="7" t="s">
        <v>333</v>
      </c>
      <c r="D5" s="7" t="s">
        <v>334</v>
      </c>
      <c r="E5" s="7" t="s">
        <v>335</v>
      </c>
      <c r="F5" s="7" t="s">
        <v>336</v>
      </c>
      <c r="G5" s="7" t="s">
        <v>337</v>
      </c>
    </row>
    <row r="6" customFormat="false" ht="23.25" hidden="false" customHeight="true" outlineLevel="0" collapsed="false">
      <c r="A6" s="6" t="n">
        <v>3</v>
      </c>
      <c r="B6" s="6" t="s">
        <v>338</v>
      </c>
      <c r="C6" s="6" t="s">
        <v>339</v>
      </c>
      <c r="D6" s="6" t="s">
        <v>298</v>
      </c>
      <c r="E6" s="34" t="s">
        <v>340</v>
      </c>
      <c r="F6" s="6" t="s">
        <v>341</v>
      </c>
      <c r="G6" s="6" t="s">
        <v>342</v>
      </c>
    </row>
    <row r="7" customFormat="false" ht="23.25" hidden="false" customHeight="true" outlineLevel="0" collapsed="false">
      <c r="A7" s="7" t="n">
        <v>4</v>
      </c>
      <c r="B7" s="7" t="s">
        <v>343</v>
      </c>
      <c r="C7" s="7" t="s">
        <v>344</v>
      </c>
      <c r="D7" s="7" t="s">
        <v>345</v>
      </c>
      <c r="E7" s="7" t="s">
        <v>335</v>
      </c>
      <c r="F7" s="7" t="s">
        <v>346</v>
      </c>
      <c r="G7" s="7" t="s">
        <v>347</v>
      </c>
    </row>
    <row r="8" customFormat="false" ht="23.25" hidden="false" customHeight="true" outlineLevel="0" collapsed="false">
      <c r="A8" s="6" t="n">
        <v>5</v>
      </c>
      <c r="B8" s="6" t="s">
        <v>348</v>
      </c>
      <c r="C8" s="6" t="s">
        <v>349</v>
      </c>
      <c r="D8" s="6" t="s">
        <v>350</v>
      </c>
      <c r="E8" s="6" t="s">
        <v>335</v>
      </c>
      <c r="F8" s="6" t="s">
        <v>351</v>
      </c>
      <c r="G8" s="6" t="s">
        <v>352</v>
      </c>
    </row>
    <row r="9" customFormat="false" ht="15" hidden="false" customHeight="true" outlineLevel="0" collapsed="false">
      <c r="A9" s="7" t="n">
        <v>6</v>
      </c>
      <c r="B9" s="7" t="s">
        <v>353</v>
      </c>
      <c r="C9" s="7" t="s">
        <v>354</v>
      </c>
      <c r="D9" s="7" t="s">
        <v>355</v>
      </c>
      <c r="E9" s="7" t="s">
        <v>356</v>
      </c>
      <c r="F9" s="7" t="s">
        <v>357</v>
      </c>
      <c r="G9" s="7" t="s">
        <v>358</v>
      </c>
    </row>
    <row r="10" customFormat="false" ht="23.25" hidden="false" customHeight="true" outlineLevel="0" collapsed="false">
      <c r="A10" s="6" t="n">
        <v>7</v>
      </c>
      <c r="B10" s="6" t="s">
        <v>359</v>
      </c>
      <c r="C10" s="6" t="s">
        <v>360</v>
      </c>
      <c r="D10" s="6" t="s">
        <v>361</v>
      </c>
      <c r="E10" s="34" t="s">
        <v>340</v>
      </c>
      <c r="F10" s="6" t="s">
        <v>362</v>
      </c>
      <c r="G10" s="6" t="s">
        <v>363</v>
      </c>
    </row>
    <row r="12" customFormat="false" ht="15" hidden="false" customHeight="true" outlineLevel="0" collapsed="false">
      <c r="A12" s="8" t="s">
        <v>364</v>
      </c>
      <c r="B12" s="8"/>
      <c r="C12" s="8"/>
      <c r="D12" s="8"/>
      <c r="E12" s="8"/>
      <c r="F12" s="8"/>
      <c r="G12" s="8"/>
    </row>
  </sheetData>
  <mergeCells count="2">
    <mergeCell ref="A1:G1"/>
    <mergeCell ref="A12:G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B5CF6"/>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32"/>
    <col collapsed="false" customWidth="true" hidden="false" outlineLevel="0" max="3" min="3" style="1" width="18"/>
    <col collapsed="false" customWidth="true" hidden="false" outlineLevel="0" max="4" min="4" style="1" width="36"/>
    <col collapsed="false" customWidth="true" hidden="false" outlineLevel="0" max="5" min="5" style="1" width="34"/>
    <col collapsed="false" customWidth="true" hidden="false" outlineLevel="0" max="6" min="6" style="1" width="52"/>
    <col collapsed="false" customWidth="true" hidden="false" outlineLevel="0" max="7" min="7" style="1" width="24"/>
  </cols>
  <sheetData>
    <row r="1" customFormat="false" ht="17.25" hidden="false" customHeight="true" outlineLevel="0" collapsed="false">
      <c r="A1" s="2" t="s">
        <v>365</v>
      </c>
      <c r="B1" s="2"/>
      <c r="C1" s="2"/>
      <c r="D1" s="2"/>
      <c r="E1" s="2"/>
      <c r="F1" s="2"/>
      <c r="G1" s="2"/>
    </row>
    <row r="2" customFormat="false" ht="15" hidden="false" customHeight="true" outlineLevel="0" collapsed="false">
      <c r="A2" s="3" t="s">
        <v>366</v>
      </c>
      <c r="B2" s="3"/>
      <c r="C2" s="3"/>
      <c r="D2" s="3"/>
      <c r="E2" s="3"/>
      <c r="F2" s="3"/>
      <c r="G2" s="3"/>
    </row>
    <row r="4" customFormat="false" ht="15" hidden="false" customHeight="true" outlineLevel="0" collapsed="false">
      <c r="A4" s="5" t="s">
        <v>367</v>
      </c>
      <c r="B4" s="5" t="s">
        <v>368</v>
      </c>
      <c r="C4" s="5" t="s">
        <v>369</v>
      </c>
      <c r="D4" s="5" t="s">
        <v>370</v>
      </c>
      <c r="E4" s="5" t="s">
        <v>371</v>
      </c>
      <c r="F4" s="5" t="s">
        <v>372</v>
      </c>
      <c r="G4" s="5" t="s">
        <v>373</v>
      </c>
    </row>
    <row r="5" customFormat="false" ht="23.25" hidden="false" customHeight="true" outlineLevel="0" collapsed="false">
      <c r="A5" s="6" t="s">
        <v>374</v>
      </c>
      <c r="B5" s="6" t="s">
        <v>375</v>
      </c>
      <c r="C5" s="6" t="s">
        <v>253</v>
      </c>
      <c r="D5" s="6" t="s">
        <v>376</v>
      </c>
      <c r="E5" s="6" t="s">
        <v>377</v>
      </c>
      <c r="F5" s="6" t="s">
        <v>378</v>
      </c>
      <c r="G5" s="6" t="s">
        <v>379</v>
      </c>
    </row>
    <row r="6" customFormat="false" ht="23.25" hidden="false" customHeight="true" outlineLevel="0" collapsed="false">
      <c r="A6" s="7" t="s">
        <v>380</v>
      </c>
      <c r="B6" s="7" t="s">
        <v>381</v>
      </c>
      <c r="C6" s="7" t="s">
        <v>253</v>
      </c>
      <c r="D6" s="7" t="s">
        <v>382</v>
      </c>
      <c r="E6" s="7" t="s">
        <v>383</v>
      </c>
      <c r="F6" s="7" t="s">
        <v>384</v>
      </c>
      <c r="G6" s="7" t="s">
        <v>385</v>
      </c>
    </row>
    <row r="7" customFormat="false" ht="15" hidden="false" customHeight="true" outlineLevel="0" collapsed="false">
      <c r="A7" s="6" t="s">
        <v>386</v>
      </c>
      <c r="B7" s="6" t="s">
        <v>387</v>
      </c>
      <c r="C7" s="6" t="s">
        <v>253</v>
      </c>
      <c r="D7" s="6" t="s">
        <v>388</v>
      </c>
      <c r="E7" s="6" t="s">
        <v>389</v>
      </c>
      <c r="F7" s="6" t="s">
        <v>390</v>
      </c>
      <c r="G7" s="6" t="s">
        <v>379</v>
      </c>
    </row>
    <row r="8" customFormat="false" ht="15" hidden="false" customHeight="true" outlineLevel="0" collapsed="false">
      <c r="A8" s="7" t="s">
        <v>391</v>
      </c>
      <c r="B8" s="7" t="s">
        <v>392</v>
      </c>
      <c r="C8" s="7" t="s">
        <v>253</v>
      </c>
      <c r="D8" s="7" t="s">
        <v>393</v>
      </c>
      <c r="E8" s="7" t="s">
        <v>394</v>
      </c>
      <c r="F8" s="7" t="s">
        <v>395</v>
      </c>
      <c r="G8" s="7" t="s">
        <v>396</v>
      </c>
    </row>
    <row r="9" customFormat="false" ht="15" hidden="false" customHeight="true" outlineLevel="0" collapsed="false">
      <c r="A9" s="6" t="s">
        <v>397</v>
      </c>
      <c r="B9" s="6" t="s">
        <v>398</v>
      </c>
      <c r="C9" s="6" t="s">
        <v>38</v>
      </c>
      <c r="D9" s="6" t="s">
        <v>399</v>
      </c>
      <c r="E9" s="6" t="s">
        <v>400</v>
      </c>
      <c r="F9" s="6" t="s">
        <v>401</v>
      </c>
      <c r="G9" s="6" t="s">
        <v>402</v>
      </c>
    </row>
    <row r="10" customFormat="false" ht="23.25" hidden="false" customHeight="true" outlineLevel="0" collapsed="false">
      <c r="A10" s="7" t="s">
        <v>403</v>
      </c>
      <c r="B10" s="7" t="s">
        <v>404</v>
      </c>
      <c r="C10" s="7" t="s">
        <v>405</v>
      </c>
      <c r="D10" s="7" t="s">
        <v>406</v>
      </c>
      <c r="E10" s="7" t="s">
        <v>407</v>
      </c>
      <c r="F10" s="7" t="s">
        <v>408</v>
      </c>
      <c r="G10" s="7" t="s">
        <v>409</v>
      </c>
    </row>
    <row r="11" customFormat="false" ht="15" hidden="false" customHeight="true" outlineLevel="0" collapsed="false">
      <c r="A11" s="6" t="s">
        <v>410</v>
      </c>
      <c r="B11" s="6" t="s">
        <v>411</v>
      </c>
      <c r="C11" s="6" t="s">
        <v>405</v>
      </c>
      <c r="D11" s="6" t="s">
        <v>412</v>
      </c>
      <c r="E11" s="6" t="s">
        <v>413</v>
      </c>
      <c r="F11" s="6" t="s">
        <v>414</v>
      </c>
      <c r="G11" s="6" t="s">
        <v>409</v>
      </c>
    </row>
    <row r="12" customFormat="false" ht="15" hidden="false" customHeight="true" outlineLevel="0" collapsed="false">
      <c r="A12" s="7" t="s">
        <v>415</v>
      </c>
      <c r="B12" s="7" t="s">
        <v>416</v>
      </c>
      <c r="C12" s="7" t="s">
        <v>259</v>
      </c>
      <c r="D12" s="7" t="s">
        <v>295</v>
      </c>
      <c r="E12" s="7" t="s">
        <v>417</v>
      </c>
      <c r="F12" s="7" t="s">
        <v>418</v>
      </c>
      <c r="G12" s="7" t="s">
        <v>419</v>
      </c>
    </row>
    <row r="13" customFormat="false" ht="15" hidden="false" customHeight="true" outlineLevel="0" collapsed="false">
      <c r="A13" s="6" t="s">
        <v>420</v>
      </c>
      <c r="B13" s="6" t="s">
        <v>421</v>
      </c>
      <c r="C13" s="6" t="s">
        <v>14</v>
      </c>
      <c r="D13" s="6" t="s">
        <v>422</v>
      </c>
      <c r="E13" s="6" t="s">
        <v>423</v>
      </c>
      <c r="F13" s="6" t="s">
        <v>424</v>
      </c>
      <c r="G13" s="6" t="s">
        <v>379</v>
      </c>
    </row>
    <row r="14" customFormat="false" ht="15" hidden="false" customHeight="true" outlineLevel="0" collapsed="false">
      <c r="A14" s="7" t="s">
        <v>425</v>
      </c>
      <c r="B14" s="7" t="s">
        <v>426</v>
      </c>
      <c r="C14" s="7" t="s">
        <v>427</v>
      </c>
      <c r="D14" s="7" t="s">
        <v>428</v>
      </c>
      <c r="E14" s="7" t="s">
        <v>429</v>
      </c>
      <c r="F14" s="7" t="s">
        <v>430</v>
      </c>
      <c r="G14" s="7" t="s">
        <v>431</v>
      </c>
    </row>
    <row r="15" customFormat="false" ht="15" hidden="false" customHeight="true" outlineLevel="0" collapsed="false">
      <c r="A15" s="6" t="s">
        <v>432</v>
      </c>
      <c r="B15" s="6" t="s">
        <v>433</v>
      </c>
      <c r="C15" s="6" t="s">
        <v>434</v>
      </c>
      <c r="D15" s="6" t="s">
        <v>435</v>
      </c>
      <c r="E15" s="6" t="s">
        <v>436</v>
      </c>
      <c r="F15" s="6" t="s">
        <v>437</v>
      </c>
      <c r="G15" s="6" t="s">
        <v>396</v>
      </c>
    </row>
    <row r="16" customFormat="false" ht="15" hidden="false" customHeight="true" outlineLevel="0" collapsed="false">
      <c r="A16" s="7" t="s">
        <v>438</v>
      </c>
      <c r="B16" s="7" t="s">
        <v>439</v>
      </c>
      <c r="C16" s="7" t="s">
        <v>440</v>
      </c>
      <c r="D16" s="7" t="s">
        <v>441</v>
      </c>
      <c r="E16" s="7" t="s">
        <v>442</v>
      </c>
      <c r="F16" s="7" t="s">
        <v>443</v>
      </c>
      <c r="G16" s="7" t="s">
        <v>444</v>
      </c>
    </row>
    <row r="17" customFormat="false" ht="23.25" hidden="false" customHeight="true" outlineLevel="0" collapsed="false">
      <c r="A17" s="6" t="s">
        <v>445</v>
      </c>
      <c r="B17" s="6" t="s">
        <v>446</v>
      </c>
      <c r="C17" s="6" t="s">
        <v>253</v>
      </c>
      <c r="D17" s="6" t="s">
        <v>447</v>
      </c>
      <c r="E17" s="6" t="s">
        <v>448</v>
      </c>
      <c r="F17" s="6" t="s">
        <v>449</v>
      </c>
      <c r="G17" s="6" t="s">
        <v>450</v>
      </c>
    </row>
    <row r="18" customFormat="false" ht="15" hidden="false" customHeight="true" outlineLevel="0" collapsed="false">
      <c r="A18" s="7" t="s">
        <v>451</v>
      </c>
      <c r="B18" s="7" t="s">
        <v>45</v>
      </c>
      <c r="C18" s="7" t="s">
        <v>427</v>
      </c>
      <c r="D18" s="7" t="s">
        <v>452</v>
      </c>
      <c r="E18" s="7" t="s">
        <v>453</v>
      </c>
      <c r="F18" s="7" t="s">
        <v>454</v>
      </c>
      <c r="G18" s="7" t="s">
        <v>455</v>
      </c>
    </row>
    <row r="19" customFormat="false" ht="23.25" hidden="false" customHeight="true" outlineLevel="0" collapsed="false">
      <c r="A19" s="6" t="s">
        <v>456</v>
      </c>
      <c r="B19" s="6" t="s">
        <v>457</v>
      </c>
      <c r="C19" s="6" t="s">
        <v>458</v>
      </c>
      <c r="D19" s="6" t="s">
        <v>459</v>
      </c>
      <c r="E19" s="6" t="s">
        <v>460</v>
      </c>
      <c r="F19" s="6" t="s">
        <v>461</v>
      </c>
      <c r="G19" s="6" t="s">
        <v>462</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2626"/>
    <pageSetUpPr fitToPage="fals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30"/>
    <col collapsed="false" customWidth="true" hidden="false" outlineLevel="0" max="3" min="3" style="1" width="40"/>
    <col collapsed="false" customWidth="true" hidden="false" outlineLevel="0" max="4" min="4" style="1" width="28"/>
    <col collapsed="false" customWidth="true" hidden="false" outlineLevel="0" max="5" min="5" style="1" width="60"/>
    <col collapsed="false" customWidth="true" hidden="false" outlineLevel="0" max="6" min="6" style="1" width="52"/>
    <col collapsed="false" customWidth="true" hidden="false" outlineLevel="0" max="7" min="7" style="1" width="20"/>
  </cols>
  <sheetData>
    <row r="1" customFormat="false" ht="17.25" hidden="false" customHeight="true" outlineLevel="0" collapsed="false">
      <c r="A1" s="2" t="s">
        <v>463</v>
      </c>
      <c r="B1" s="2"/>
      <c r="C1" s="2"/>
      <c r="D1" s="2"/>
      <c r="E1" s="2"/>
      <c r="F1" s="2"/>
      <c r="G1" s="2"/>
    </row>
    <row r="3" customFormat="false" ht="15" hidden="false" customHeight="true" outlineLevel="0" collapsed="false">
      <c r="A3" s="5" t="s">
        <v>464</v>
      </c>
      <c r="B3" s="5" t="s">
        <v>465</v>
      </c>
      <c r="C3" s="5" t="s">
        <v>466</v>
      </c>
      <c r="D3" s="5" t="s">
        <v>467</v>
      </c>
      <c r="E3" s="5" t="s">
        <v>324</v>
      </c>
      <c r="F3" s="5" t="s">
        <v>468</v>
      </c>
      <c r="G3" s="5" t="s">
        <v>469</v>
      </c>
    </row>
    <row r="4" customFormat="false" ht="23.25" hidden="false" customHeight="true" outlineLevel="0" collapsed="false">
      <c r="A4" s="54" t="s">
        <v>61</v>
      </c>
      <c r="B4" s="6" t="s">
        <v>470</v>
      </c>
      <c r="C4" s="6" t="s">
        <v>471</v>
      </c>
      <c r="D4" s="6" t="s">
        <v>472</v>
      </c>
      <c r="E4" s="6" t="s">
        <v>473</v>
      </c>
      <c r="F4" s="6" t="s">
        <v>474</v>
      </c>
      <c r="G4" s="6" t="s">
        <v>475</v>
      </c>
    </row>
    <row r="5" customFormat="false" ht="23.25" hidden="false" customHeight="true" outlineLevel="0" collapsed="false">
      <c r="A5" s="54" t="s">
        <v>61</v>
      </c>
      <c r="B5" s="7" t="s">
        <v>476</v>
      </c>
      <c r="C5" s="7" t="s">
        <v>477</v>
      </c>
      <c r="D5" s="7" t="s">
        <v>478</v>
      </c>
      <c r="E5" s="7" t="s">
        <v>479</v>
      </c>
      <c r="F5" s="7" t="s">
        <v>480</v>
      </c>
      <c r="G5" s="7" t="s">
        <v>340</v>
      </c>
    </row>
    <row r="6" customFormat="false" ht="23.25" hidden="false" customHeight="true" outlineLevel="0" collapsed="false">
      <c r="A6" s="55" t="s">
        <v>329</v>
      </c>
      <c r="B6" s="6" t="s">
        <v>481</v>
      </c>
      <c r="C6" s="6" t="s">
        <v>482</v>
      </c>
      <c r="D6" s="6" t="s">
        <v>483</v>
      </c>
      <c r="E6" s="6" t="s">
        <v>484</v>
      </c>
      <c r="F6" s="6" t="s">
        <v>485</v>
      </c>
      <c r="G6" s="6" t="s">
        <v>340</v>
      </c>
    </row>
    <row r="7" customFormat="false" ht="23.25" hidden="false" customHeight="true" outlineLevel="0" collapsed="false">
      <c r="A7" s="55" t="s">
        <v>329</v>
      </c>
      <c r="B7" s="7" t="s">
        <v>486</v>
      </c>
      <c r="C7" s="7" t="s">
        <v>487</v>
      </c>
      <c r="D7" s="7" t="s">
        <v>488</v>
      </c>
      <c r="E7" s="7" t="s">
        <v>489</v>
      </c>
      <c r="F7" s="7" t="s">
        <v>490</v>
      </c>
      <c r="G7" s="7" t="s">
        <v>340</v>
      </c>
    </row>
    <row r="8" customFormat="false" ht="23.25" hidden="false" customHeight="true" outlineLevel="0" collapsed="false">
      <c r="A8" s="55" t="s">
        <v>329</v>
      </c>
      <c r="B8" s="6" t="s">
        <v>491</v>
      </c>
      <c r="C8" s="6" t="s">
        <v>492</v>
      </c>
      <c r="D8" s="6" t="s">
        <v>493</v>
      </c>
      <c r="E8" s="6" t="s">
        <v>494</v>
      </c>
      <c r="F8" s="6" t="s">
        <v>495</v>
      </c>
      <c r="G8" s="6" t="s">
        <v>496</v>
      </c>
    </row>
    <row r="9" customFormat="false" ht="23.25" hidden="false" customHeight="true" outlineLevel="0" collapsed="false">
      <c r="A9" s="55" t="s">
        <v>329</v>
      </c>
      <c r="B9" s="7" t="s">
        <v>497</v>
      </c>
      <c r="C9" s="7" t="s">
        <v>498</v>
      </c>
      <c r="D9" s="7" t="s">
        <v>499</v>
      </c>
      <c r="E9" s="7" t="s">
        <v>500</v>
      </c>
      <c r="F9" s="7" t="s">
        <v>501</v>
      </c>
      <c r="G9" s="7" t="s">
        <v>340</v>
      </c>
    </row>
    <row r="10" customFormat="false" ht="23.25" hidden="false" customHeight="true" outlineLevel="0" collapsed="false">
      <c r="A10" s="55" t="s">
        <v>329</v>
      </c>
      <c r="B10" s="6" t="s">
        <v>502</v>
      </c>
      <c r="C10" s="6" t="s">
        <v>503</v>
      </c>
      <c r="D10" s="6" t="s">
        <v>504</v>
      </c>
      <c r="E10" s="6" t="s">
        <v>505</v>
      </c>
      <c r="F10" s="6" t="s">
        <v>506</v>
      </c>
      <c r="G10" s="6" t="s">
        <v>496</v>
      </c>
    </row>
    <row r="11" customFormat="false" ht="23.25" hidden="false" customHeight="true" outlineLevel="0" collapsed="false">
      <c r="A11" s="56" t="s">
        <v>340</v>
      </c>
      <c r="B11" s="7" t="s">
        <v>507</v>
      </c>
      <c r="C11" s="7" t="s">
        <v>508</v>
      </c>
      <c r="D11" s="7" t="s">
        <v>509</v>
      </c>
      <c r="E11" s="7" t="s">
        <v>510</v>
      </c>
      <c r="F11" s="7" t="s">
        <v>511</v>
      </c>
      <c r="G11" s="7" t="s">
        <v>496</v>
      </c>
    </row>
    <row r="12" customFormat="false" ht="15" hidden="false" customHeight="true" outlineLevel="0" collapsed="false">
      <c r="A12" s="56" t="s">
        <v>340</v>
      </c>
      <c r="B12" s="6" t="s">
        <v>512</v>
      </c>
      <c r="C12" s="6" t="s">
        <v>513</v>
      </c>
      <c r="D12" s="6" t="s">
        <v>514</v>
      </c>
      <c r="E12" s="6" t="s">
        <v>515</v>
      </c>
      <c r="F12" s="6" t="s">
        <v>516</v>
      </c>
      <c r="G12" s="6" t="s">
        <v>496</v>
      </c>
    </row>
    <row r="13" customFormat="false" ht="23.25" hidden="false" customHeight="true" outlineLevel="0" collapsed="false">
      <c r="A13" s="56" t="s">
        <v>340</v>
      </c>
      <c r="B13" s="7" t="s">
        <v>517</v>
      </c>
      <c r="C13" s="7" t="s">
        <v>518</v>
      </c>
      <c r="D13" s="7" t="s">
        <v>455</v>
      </c>
      <c r="E13" s="7" t="s">
        <v>519</v>
      </c>
      <c r="F13" s="7" t="s">
        <v>520</v>
      </c>
      <c r="G13" s="7" t="s">
        <v>521</v>
      </c>
    </row>
    <row r="14" customFormat="false" ht="23.25" hidden="false" customHeight="true" outlineLevel="0" collapsed="false">
      <c r="A14" s="56" t="s">
        <v>340</v>
      </c>
      <c r="B14" s="6" t="s">
        <v>522</v>
      </c>
      <c r="C14" s="6" t="s">
        <v>523</v>
      </c>
      <c r="D14" s="6" t="s">
        <v>524</v>
      </c>
      <c r="E14" s="6" t="s">
        <v>525</v>
      </c>
      <c r="F14" s="6" t="s">
        <v>526</v>
      </c>
      <c r="G14" s="6" t="s">
        <v>335</v>
      </c>
    </row>
    <row r="15" customFormat="false" ht="15" hidden="false" customHeight="true" outlineLevel="0" collapsed="false">
      <c r="A15" s="7" t="s">
        <v>335</v>
      </c>
      <c r="B15" s="7" t="s">
        <v>527</v>
      </c>
      <c r="C15" s="7" t="s">
        <v>528</v>
      </c>
      <c r="D15" s="7" t="s">
        <v>529</v>
      </c>
      <c r="E15" s="7" t="s">
        <v>530</v>
      </c>
      <c r="F15" s="7" t="s">
        <v>531</v>
      </c>
      <c r="G15" s="7" t="s">
        <v>521</v>
      </c>
    </row>
    <row r="16" customFormat="false" ht="23.25" hidden="false" customHeight="true" outlineLevel="0" collapsed="false">
      <c r="A16" s="6" t="s">
        <v>335</v>
      </c>
      <c r="B16" s="6" t="s">
        <v>532</v>
      </c>
      <c r="C16" s="6" t="s">
        <v>533</v>
      </c>
      <c r="D16" s="6" t="s">
        <v>534</v>
      </c>
      <c r="E16" s="6" t="s">
        <v>535</v>
      </c>
      <c r="F16" s="6" t="s">
        <v>536</v>
      </c>
      <c r="G16" s="6" t="s">
        <v>340</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0B981"/>
    <pageSetUpPr fitToPage="fals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6"/>
    <col collapsed="false" customWidth="true" hidden="false" outlineLevel="0" max="2" min="2" style="1" width="75"/>
    <col collapsed="false" customWidth="true" hidden="false" outlineLevel="0" max="3" min="3" style="1" width="55"/>
    <col collapsed="false" customWidth="true" hidden="false" outlineLevel="0" max="4" min="4" style="1" width="30"/>
    <col collapsed="false" customWidth="true" hidden="false" outlineLevel="0" max="5" min="5" style="1" width="55"/>
  </cols>
  <sheetData>
    <row r="1" customFormat="false" ht="17.25" hidden="false" customHeight="true" outlineLevel="0" collapsed="false">
      <c r="A1" s="2" t="s">
        <v>537</v>
      </c>
      <c r="B1" s="2"/>
      <c r="C1" s="2"/>
      <c r="D1" s="2"/>
      <c r="E1" s="2"/>
    </row>
    <row r="2" customFormat="false" ht="15" hidden="false" customHeight="true" outlineLevel="0" collapsed="false">
      <c r="A2" s="3" t="s">
        <v>538</v>
      </c>
      <c r="B2" s="3"/>
      <c r="C2" s="3"/>
      <c r="D2" s="3"/>
      <c r="E2" s="3"/>
    </row>
    <row r="4" customFormat="false" ht="15" hidden="false" customHeight="true" outlineLevel="0" collapsed="false">
      <c r="A4" s="5" t="s">
        <v>246</v>
      </c>
      <c r="B4" s="5" t="s">
        <v>207</v>
      </c>
      <c r="C4" s="5" t="s">
        <v>539</v>
      </c>
      <c r="D4" s="5" t="s">
        <v>540</v>
      </c>
      <c r="E4" s="5" t="s">
        <v>541</v>
      </c>
    </row>
    <row r="5" customFormat="false" ht="68.25" hidden="false" customHeight="true" outlineLevel="0" collapsed="false">
      <c r="A5" s="6" t="n">
        <v>1</v>
      </c>
      <c r="B5" s="6" t="s">
        <v>542</v>
      </c>
      <c r="C5" s="6" t="s">
        <v>543</v>
      </c>
      <c r="D5" s="6" t="s">
        <v>544</v>
      </c>
      <c r="E5" s="6" t="s">
        <v>545</v>
      </c>
    </row>
    <row r="6" customFormat="false" ht="45.75" hidden="false" customHeight="true" outlineLevel="0" collapsed="false">
      <c r="A6" s="7" t="n">
        <v>2</v>
      </c>
      <c r="B6" s="7" t="s">
        <v>546</v>
      </c>
      <c r="C6" s="7" t="s">
        <v>547</v>
      </c>
      <c r="D6" s="7" t="s">
        <v>548</v>
      </c>
      <c r="E6" s="7" t="s">
        <v>549</v>
      </c>
    </row>
    <row r="7" customFormat="false" ht="34.5" hidden="false" customHeight="true" outlineLevel="0" collapsed="false">
      <c r="A7" s="6" t="n">
        <v>3</v>
      </c>
      <c r="B7" s="6" t="s">
        <v>550</v>
      </c>
      <c r="C7" s="6" t="s">
        <v>551</v>
      </c>
      <c r="D7" s="6" t="s">
        <v>552</v>
      </c>
      <c r="E7" s="6" t="s">
        <v>553</v>
      </c>
    </row>
    <row r="8" customFormat="false" ht="57" hidden="false" customHeight="true" outlineLevel="0" collapsed="false">
      <c r="A8" s="7" t="n">
        <v>4</v>
      </c>
      <c r="B8" s="7" t="s">
        <v>554</v>
      </c>
      <c r="C8" s="7" t="s">
        <v>555</v>
      </c>
      <c r="D8" s="7" t="s">
        <v>556</v>
      </c>
      <c r="E8" s="7" t="s">
        <v>557</v>
      </c>
    </row>
    <row r="9" customFormat="false" ht="45.75" hidden="false" customHeight="true" outlineLevel="0" collapsed="false">
      <c r="A9" s="6" t="n">
        <v>5</v>
      </c>
      <c r="B9" s="6" t="s">
        <v>558</v>
      </c>
      <c r="C9" s="6" t="s">
        <v>559</v>
      </c>
      <c r="D9" s="6" t="s">
        <v>560</v>
      </c>
      <c r="E9" s="6" t="s">
        <v>561</v>
      </c>
    </row>
    <row r="10" customFormat="false" ht="45.75" hidden="false" customHeight="true" outlineLevel="0" collapsed="false">
      <c r="A10" s="7" t="n">
        <v>6</v>
      </c>
      <c r="B10" s="7" t="s">
        <v>562</v>
      </c>
      <c r="C10" s="7" t="s">
        <v>563</v>
      </c>
      <c r="D10" s="7" t="s">
        <v>564</v>
      </c>
      <c r="E10" s="7" t="s">
        <v>565</v>
      </c>
    </row>
    <row r="11" customFormat="false" ht="45.75" hidden="false" customHeight="true" outlineLevel="0" collapsed="false">
      <c r="A11" s="6" t="n">
        <v>7</v>
      </c>
      <c r="B11" s="6" t="s">
        <v>566</v>
      </c>
      <c r="C11" s="6" t="s">
        <v>567</v>
      </c>
      <c r="D11" s="6" t="s">
        <v>568</v>
      </c>
      <c r="E11" s="6" t="s">
        <v>569</v>
      </c>
    </row>
    <row r="12" customFormat="false" ht="45.75" hidden="false" customHeight="true" outlineLevel="0" collapsed="false">
      <c r="A12" s="7" t="n">
        <v>8</v>
      </c>
      <c r="B12" s="7" t="s">
        <v>570</v>
      </c>
      <c r="C12" s="7" t="s">
        <v>571</v>
      </c>
      <c r="D12" s="7" t="s">
        <v>572</v>
      </c>
      <c r="E12" s="7" t="s">
        <v>573</v>
      </c>
    </row>
    <row r="13" customFormat="false" ht="34.5" hidden="false" customHeight="true" outlineLevel="0" collapsed="false">
      <c r="A13" s="6" t="n">
        <v>9</v>
      </c>
      <c r="B13" s="6" t="s">
        <v>574</v>
      </c>
      <c r="C13" s="6" t="s">
        <v>575</v>
      </c>
      <c r="D13" s="6" t="s">
        <v>576</v>
      </c>
      <c r="E13" s="6" t="s">
        <v>577</v>
      </c>
    </row>
    <row r="14" customFormat="false" ht="34.5" hidden="false" customHeight="true" outlineLevel="0" collapsed="false">
      <c r="A14" s="7" t="n">
        <v>10</v>
      </c>
      <c r="B14" s="7" t="s">
        <v>578</v>
      </c>
      <c r="C14" s="7" t="s">
        <v>579</v>
      </c>
      <c r="D14" s="7" t="s">
        <v>580</v>
      </c>
      <c r="E14" s="7" t="s">
        <v>581</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59E0B"/>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6"/>
    <col collapsed="false" customWidth="true" hidden="false" outlineLevel="0" max="2" min="2" style="1" width="48"/>
    <col collapsed="false" customWidth="true" hidden="false" outlineLevel="0" max="3" min="3" style="1" width="60"/>
    <col collapsed="false" customWidth="true" hidden="false" outlineLevel="0" max="4" min="4" style="1" width="48"/>
    <col collapsed="false" customWidth="true" hidden="false" outlineLevel="0" max="5" min="5" style="1" width="38"/>
  </cols>
  <sheetData>
    <row r="1" customFormat="false" ht="17.25" hidden="false" customHeight="true" outlineLevel="0" collapsed="false">
      <c r="A1" s="2" t="s">
        <v>582</v>
      </c>
      <c r="B1" s="2"/>
      <c r="C1" s="2"/>
      <c r="D1" s="2"/>
      <c r="E1" s="2"/>
    </row>
    <row r="2" customFormat="false" ht="15" hidden="false" customHeight="true" outlineLevel="0" collapsed="false">
      <c r="A2" s="3" t="s">
        <v>583</v>
      </c>
      <c r="B2" s="3"/>
      <c r="C2" s="3"/>
      <c r="D2" s="3"/>
      <c r="E2" s="3"/>
    </row>
    <row r="4" customFormat="false" ht="15" hidden="false" customHeight="true" outlineLevel="0" collapsed="false">
      <c r="A4" s="5" t="s">
        <v>246</v>
      </c>
      <c r="B4" s="5" t="s">
        <v>584</v>
      </c>
      <c r="C4" s="5" t="s">
        <v>585</v>
      </c>
      <c r="D4" s="5" t="s">
        <v>586</v>
      </c>
      <c r="E4" s="5" t="s">
        <v>587</v>
      </c>
    </row>
    <row r="5" customFormat="false" ht="45.75" hidden="false" customHeight="true" outlineLevel="0" collapsed="false">
      <c r="A5" s="6" t="n">
        <v>1</v>
      </c>
      <c r="B5" s="6" t="s">
        <v>588</v>
      </c>
      <c r="C5" s="6" t="s">
        <v>589</v>
      </c>
      <c r="D5" s="6" t="s">
        <v>590</v>
      </c>
      <c r="E5" s="6" t="s">
        <v>591</v>
      </c>
    </row>
    <row r="6" customFormat="false" ht="34.5" hidden="false" customHeight="true" outlineLevel="0" collapsed="false">
      <c r="A6" s="7" t="n">
        <v>2</v>
      </c>
      <c r="B6" s="7" t="s">
        <v>592</v>
      </c>
      <c r="C6" s="7" t="s">
        <v>593</v>
      </c>
      <c r="D6" s="7" t="s">
        <v>594</v>
      </c>
      <c r="E6" s="7" t="s">
        <v>595</v>
      </c>
    </row>
    <row r="7" customFormat="false" ht="34.5" hidden="false" customHeight="true" outlineLevel="0" collapsed="false">
      <c r="A7" s="6" t="n">
        <v>3</v>
      </c>
      <c r="B7" s="6" t="s">
        <v>596</v>
      </c>
      <c r="C7" s="6" t="s">
        <v>597</v>
      </c>
      <c r="D7" s="6" t="s">
        <v>598</v>
      </c>
      <c r="E7" s="6" t="s">
        <v>599</v>
      </c>
    </row>
    <row r="8" customFormat="false" ht="45.75" hidden="false" customHeight="true" outlineLevel="0" collapsed="false">
      <c r="A8" s="7" t="n">
        <v>4</v>
      </c>
      <c r="B8" s="7" t="s">
        <v>600</v>
      </c>
      <c r="C8" s="7" t="s">
        <v>601</v>
      </c>
      <c r="D8" s="7" t="s">
        <v>602</v>
      </c>
      <c r="E8" s="7" t="s">
        <v>603</v>
      </c>
    </row>
    <row r="9" customFormat="false" ht="34.5" hidden="false" customHeight="true" outlineLevel="0" collapsed="false">
      <c r="A9" s="6" t="n">
        <v>5</v>
      </c>
      <c r="B9" s="6" t="s">
        <v>604</v>
      </c>
      <c r="C9" s="6" t="s">
        <v>605</v>
      </c>
      <c r="D9" s="6" t="s">
        <v>606</v>
      </c>
      <c r="E9" s="6" t="s">
        <v>607</v>
      </c>
    </row>
    <row r="10" customFormat="false" ht="34.5" hidden="false" customHeight="true" outlineLevel="0" collapsed="false">
      <c r="A10" s="7" t="n">
        <v>6</v>
      </c>
      <c r="B10" s="7" t="s">
        <v>608</v>
      </c>
      <c r="C10" s="7" t="s">
        <v>609</v>
      </c>
      <c r="D10" s="7" t="s">
        <v>610</v>
      </c>
      <c r="E10" s="7" t="s">
        <v>611</v>
      </c>
    </row>
    <row r="11" customFormat="false" ht="34.5" hidden="false" customHeight="true" outlineLevel="0" collapsed="false">
      <c r="A11" s="6" t="n">
        <v>7</v>
      </c>
      <c r="B11" s="6" t="s">
        <v>612</v>
      </c>
      <c r="C11" s="6" t="s">
        <v>613</v>
      </c>
      <c r="D11" s="6" t="s">
        <v>614</v>
      </c>
      <c r="E11" s="6" t="s">
        <v>615</v>
      </c>
    </row>
    <row r="12" customFormat="false" ht="34.5" hidden="false" customHeight="true" outlineLevel="0" collapsed="false">
      <c r="A12" s="7" t="n">
        <v>8</v>
      </c>
      <c r="B12" s="7" t="s">
        <v>616</v>
      </c>
      <c r="C12" s="7" t="s">
        <v>617</v>
      </c>
      <c r="D12" s="7" t="s">
        <v>618</v>
      </c>
      <c r="E12" s="7" t="s">
        <v>619</v>
      </c>
    </row>
    <row r="13" customFormat="false" ht="34.5" hidden="false" customHeight="true" outlineLevel="0" collapsed="false">
      <c r="A13" s="6" t="n">
        <v>9</v>
      </c>
      <c r="B13" s="6" t="s">
        <v>620</v>
      </c>
      <c r="C13" s="6" t="s">
        <v>621</v>
      </c>
      <c r="D13" s="6" t="s">
        <v>622</v>
      </c>
      <c r="E13" s="6" t="s">
        <v>623</v>
      </c>
    </row>
    <row r="14" customFormat="false" ht="45.75" hidden="false" customHeight="true" outlineLevel="0" collapsed="false">
      <c r="A14" s="7" t="n">
        <v>10</v>
      </c>
      <c r="B14" s="7" t="s">
        <v>624</v>
      </c>
      <c r="C14" s="7" t="s">
        <v>625</v>
      </c>
      <c r="D14" s="7" t="s">
        <v>626</v>
      </c>
      <c r="E14" s="7" t="s">
        <v>627</v>
      </c>
    </row>
    <row r="15" customFormat="false" ht="34.5" hidden="false" customHeight="true" outlineLevel="0" collapsed="false">
      <c r="A15" s="6" t="n">
        <v>11</v>
      </c>
      <c r="B15" s="6" t="s">
        <v>628</v>
      </c>
      <c r="C15" s="6" t="s">
        <v>629</v>
      </c>
      <c r="D15" s="6" t="s">
        <v>630</v>
      </c>
      <c r="E15" s="6" t="s">
        <v>631</v>
      </c>
    </row>
    <row r="16" customFormat="false" ht="34.5" hidden="false" customHeight="true" outlineLevel="0" collapsed="false">
      <c r="A16" s="7" t="n">
        <v>12</v>
      </c>
      <c r="B16" s="7" t="s">
        <v>632</v>
      </c>
      <c r="C16" s="7" t="s">
        <v>633</v>
      </c>
      <c r="D16" s="7" t="s">
        <v>634</v>
      </c>
      <c r="E16" s="7" t="s">
        <v>635</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366F1"/>
    <pageSetUpPr fitToPage="false"/>
  </sheetPr>
  <dimension ref="A1:H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2"/>
    <col collapsed="false" customWidth="true" hidden="false" outlineLevel="0" max="3" min="3" style="1" width="16"/>
    <col collapsed="false" customWidth="true" hidden="false" outlineLevel="0" max="4" min="4" style="1" width="12"/>
    <col collapsed="false" customWidth="true" hidden="false" outlineLevel="0" max="6" min="5" style="1" width="55"/>
    <col collapsed="false" customWidth="true" hidden="false" outlineLevel="0" max="7" min="7" style="1" width="32"/>
    <col collapsed="false" customWidth="true" hidden="false" outlineLevel="0" max="8" min="8" style="1" width="28"/>
  </cols>
  <sheetData>
    <row r="1" customFormat="false" ht="17.25" hidden="false" customHeight="true" outlineLevel="0" collapsed="false">
      <c r="A1" s="2" t="s">
        <v>636</v>
      </c>
      <c r="B1" s="2"/>
      <c r="C1" s="2"/>
      <c r="D1" s="2"/>
      <c r="E1" s="2"/>
      <c r="F1" s="2"/>
      <c r="G1" s="2"/>
      <c r="H1" s="2"/>
    </row>
    <row r="2" customFormat="false" ht="15" hidden="false" customHeight="true" outlineLevel="0" collapsed="false">
      <c r="A2" s="3" t="s">
        <v>637</v>
      </c>
      <c r="B2" s="3"/>
      <c r="C2" s="3"/>
      <c r="D2" s="3"/>
      <c r="E2" s="3"/>
      <c r="F2" s="3"/>
      <c r="G2" s="3"/>
      <c r="H2" s="3"/>
    </row>
    <row r="4" customFormat="false" ht="26.25" hidden="false" customHeight="true" outlineLevel="0" collapsed="false">
      <c r="A4" s="5" t="s">
        <v>638</v>
      </c>
      <c r="B4" s="5" t="s">
        <v>639</v>
      </c>
      <c r="C4" s="5" t="s">
        <v>640</v>
      </c>
      <c r="D4" s="5" t="s">
        <v>641</v>
      </c>
      <c r="E4" s="5" t="s">
        <v>642</v>
      </c>
      <c r="F4" s="5" t="s">
        <v>643</v>
      </c>
      <c r="G4" s="5" t="s">
        <v>644</v>
      </c>
      <c r="H4" s="5" t="s">
        <v>645</v>
      </c>
    </row>
    <row r="5" customFormat="false" ht="23.25" hidden="false" customHeight="true" outlineLevel="0" collapsed="false">
      <c r="A5" s="6" t="s">
        <v>253</v>
      </c>
      <c r="B5" s="6" t="n">
        <v>37</v>
      </c>
      <c r="C5" s="6" t="n">
        <v>16</v>
      </c>
      <c r="D5" s="15" t="n">
        <f aca="false">C5/B5</f>
        <v>0.432432432432432</v>
      </c>
      <c r="E5" s="6" t="s">
        <v>646</v>
      </c>
      <c r="F5" s="6" t="s">
        <v>647</v>
      </c>
      <c r="G5" s="6" t="s">
        <v>648</v>
      </c>
      <c r="H5" s="57" t="s">
        <v>649</v>
      </c>
    </row>
    <row r="6" customFormat="false" ht="23.25" hidden="false" customHeight="true" outlineLevel="0" collapsed="false">
      <c r="A6" s="7" t="s">
        <v>650</v>
      </c>
      <c r="B6" s="7" t="n">
        <v>33</v>
      </c>
      <c r="C6" s="7" t="n">
        <v>8</v>
      </c>
      <c r="D6" s="32" t="n">
        <f aca="false">C6/B6</f>
        <v>0.242424242424242</v>
      </c>
      <c r="E6" s="7" t="s">
        <v>651</v>
      </c>
      <c r="F6" s="7" t="s">
        <v>652</v>
      </c>
      <c r="G6" s="7" t="s">
        <v>653</v>
      </c>
      <c r="H6" s="14" t="s">
        <v>654</v>
      </c>
    </row>
    <row r="7" customFormat="false" ht="23.25" hidden="false" customHeight="true" outlineLevel="0" collapsed="false">
      <c r="A7" s="6" t="s">
        <v>655</v>
      </c>
      <c r="B7" s="6" t="n">
        <v>14</v>
      </c>
      <c r="C7" s="6" t="n">
        <v>7</v>
      </c>
      <c r="D7" s="15" t="n">
        <f aca="false">C7/B7</f>
        <v>0.5</v>
      </c>
      <c r="E7" s="6" t="s">
        <v>656</v>
      </c>
      <c r="F7" s="6" t="s">
        <v>657</v>
      </c>
      <c r="G7" s="6" t="s">
        <v>658</v>
      </c>
      <c r="H7" s="12" t="s">
        <v>329</v>
      </c>
    </row>
    <row r="8" customFormat="false" ht="23.25" hidden="false" customHeight="true" outlineLevel="0" collapsed="false">
      <c r="A8" s="7" t="s">
        <v>659</v>
      </c>
      <c r="B8" s="7" t="n">
        <v>18</v>
      </c>
      <c r="C8" s="7" t="n">
        <v>5</v>
      </c>
      <c r="D8" s="32" t="n">
        <f aca="false">C8/B8</f>
        <v>0.277777777777778</v>
      </c>
      <c r="E8" s="7" t="s">
        <v>660</v>
      </c>
      <c r="F8" s="7" t="s">
        <v>661</v>
      </c>
      <c r="G8" s="7" t="s">
        <v>662</v>
      </c>
      <c r="H8" s="12" t="s">
        <v>663</v>
      </c>
    </row>
    <row r="9" customFormat="false" ht="23.25" hidden="false" customHeight="true" outlineLevel="0" collapsed="false">
      <c r="A9" s="6" t="s">
        <v>664</v>
      </c>
      <c r="B9" s="6" t="n">
        <v>41</v>
      </c>
      <c r="C9" s="6" t="n">
        <v>8</v>
      </c>
      <c r="D9" s="15" t="n">
        <f aca="false">C9/B9</f>
        <v>0.195121951219512</v>
      </c>
      <c r="E9" s="6" t="s">
        <v>665</v>
      </c>
      <c r="F9" s="6" t="s">
        <v>666</v>
      </c>
      <c r="G9" s="6" t="s">
        <v>667</v>
      </c>
      <c r="H9" s="6" t="s">
        <v>340</v>
      </c>
    </row>
    <row r="10" customFormat="false" ht="23.25" hidden="false" customHeight="true" outlineLevel="0" collapsed="false">
      <c r="A10" s="7" t="s">
        <v>668</v>
      </c>
      <c r="B10" s="7" t="n">
        <v>12</v>
      </c>
      <c r="C10" s="29" t="n">
        <v>0</v>
      </c>
      <c r="D10" s="32" t="n">
        <f aca="false">C10/B10</f>
        <v>0</v>
      </c>
      <c r="E10" s="7" t="s">
        <v>669</v>
      </c>
      <c r="F10" s="7" t="s">
        <v>670</v>
      </c>
      <c r="G10" s="7" t="s">
        <v>671</v>
      </c>
      <c r="H10" s="14" t="s">
        <v>672</v>
      </c>
    </row>
    <row r="11" customFormat="false" ht="23.25" hidden="false" customHeight="true" outlineLevel="0" collapsed="false">
      <c r="A11" s="6" t="s">
        <v>673</v>
      </c>
      <c r="B11" s="6" t="n">
        <v>37</v>
      </c>
      <c r="C11" s="28" t="n">
        <v>0</v>
      </c>
      <c r="D11" s="15" t="n">
        <f aca="false">C11/B11</f>
        <v>0</v>
      </c>
      <c r="E11" s="6" t="s">
        <v>674</v>
      </c>
      <c r="F11" s="6" t="s">
        <v>675</v>
      </c>
      <c r="G11" s="6" t="s">
        <v>676</v>
      </c>
      <c r="H11" s="14" t="s">
        <v>677</v>
      </c>
    </row>
    <row r="12" customFormat="false" ht="23.25" hidden="false" customHeight="true" outlineLevel="0" collapsed="false">
      <c r="A12" s="7" t="s">
        <v>678</v>
      </c>
      <c r="B12" s="7" t="n">
        <v>18</v>
      </c>
      <c r="C12" s="7" t="n">
        <v>2</v>
      </c>
      <c r="D12" s="32" t="n">
        <f aca="false">C12/B12</f>
        <v>0.111111111111111</v>
      </c>
      <c r="E12" s="7" t="s">
        <v>679</v>
      </c>
      <c r="F12" s="7" t="s">
        <v>680</v>
      </c>
      <c r="G12" s="7" t="s">
        <v>681</v>
      </c>
      <c r="H12" s="7" t="s">
        <v>340</v>
      </c>
    </row>
    <row r="13" customFormat="false" ht="23.25" hidden="false" customHeight="true" outlineLevel="0" collapsed="false">
      <c r="A13" s="6" t="s">
        <v>682</v>
      </c>
      <c r="B13" s="6" t="n">
        <v>23</v>
      </c>
      <c r="C13" s="28" t="n">
        <v>0</v>
      </c>
      <c r="D13" s="15" t="n">
        <f aca="false">C13/B13</f>
        <v>0</v>
      </c>
      <c r="E13" s="6" t="s">
        <v>683</v>
      </c>
      <c r="F13" s="6" t="s">
        <v>684</v>
      </c>
      <c r="G13" s="6" t="s">
        <v>685</v>
      </c>
      <c r="H13" s="12" t="s">
        <v>686</v>
      </c>
    </row>
    <row r="14" customFormat="false" ht="23.25" hidden="false" customHeight="true" outlineLevel="0" collapsed="false">
      <c r="A14" s="7" t="s">
        <v>687</v>
      </c>
      <c r="B14" s="7" t="n">
        <v>32</v>
      </c>
      <c r="C14" s="7" t="n">
        <v>12</v>
      </c>
      <c r="D14" s="32" t="n">
        <f aca="false">C14/B14</f>
        <v>0.375</v>
      </c>
      <c r="E14" s="7" t="s">
        <v>688</v>
      </c>
      <c r="F14" s="7" t="s">
        <v>689</v>
      </c>
      <c r="G14" s="7" t="s">
        <v>690</v>
      </c>
      <c r="H14" s="7" t="s">
        <v>340</v>
      </c>
    </row>
    <row r="15" customFormat="false" ht="23.25" hidden="false" customHeight="true" outlineLevel="0" collapsed="false">
      <c r="A15" s="6" t="s">
        <v>691</v>
      </c>
      <c r="B15" s="6" t="n">
        <v>17</v>
      </c>
      <c r="C15" s="6" t="n">
        <v>3</v>
      </c>
      <c r="D15" s="15" t="n">
        <f aca="false">C15/B15</f>
        <v>0.176470588235294</v>
      </c>
      <c r="E15" s="6" t="s">
        <v>692</v>
      </c>
      <c r="F15" s="6" t="s">
        <v>693</v>
      </c>
      <c r="G15" s="6" t="s">
        <v>694</v>
      </c>
      <c r="H15" s="6" t="s">
        <v>695</v>
      </c>
    </row>
    <row r="16" customFormat="false" ht="23.25" hidden="false" customHeight="true" outlineLevel="0" collapsed="false">
      <c r="A16" s="7" t="s">
        <v>696</v>
      </c>
      <c r="B16" s="7" t="n">
        <v>32</v>
      </c>
      <c r="C16" s="7" t="n">
        <v>8</v>
      </c>
      <c r="D16" s="32" t="n">
        <f aca="false">C16/B16</f>
        <v>0.25</v>
      </c>
      <c r="E16" s="7" t="s">
        <v>697</v>
      </c>
      <c r="F16" s="7" t="s">
        <v>698</v>
      </c>
      <c r="G16" s="7" t="s">
        <v>699</v>
      </c>
      <c r="H16" s="7" t="s">
        <v>335</v>
      </c>
    </row>
    <row r="17" customFormat="false" ht="23.25" hidden="false" customHeight="true" outlineLevel="0" collapsed="false">
      <c r="A17" s="6" t="s">
        <v>700</v>
      </c>
      <c r="B17" s="6" t="n">
        <v>29</v>
      </c>
      <c r="C17" s="28" t="n">
        <v>0</v>
      </c>
      <c r="D17" s="15" t="n">
        <f aca="false">C17/B17</f>
        <v>0</v>
      </c>
      <c r="E17" s="6" t="s">
        <v>674</v>
      </c>
      <c r="F17" s="6" t="s">
        <v>701</v>
      </c>
      <c r="G17" s="6" t="s">
        <v>702</v>
      </c>
      <c r="H17" s="6" t="s">
        <v>340</v>
      </c>
    </row>
    <row r="18" customFormat="false" ht="15" hidden="false" customHeight="true" outlineLevel="0" collapsed="false">
      <c r="A18" s="58" t="s">
        <v>703</v>
      </c>
      <c r="B18" s="58" t="n">
        <f aca="false">SUM(B5:B17)</f>
        <v>343</v>
      </c>
      <c r="C18" s="58" t="n">
        <f aca="false">SUM(C5:C17)</f>
        <v>69</v>
      </c>
      <c r="D18" s="59" t="n">
        <f aca="false">C18/B18</f>
        <v>0.201166180758017</v>
      </c>
      <c r="E18" s="58"/>
      <c r="F18" s="58"/>
      <c r="G18" s="58"/>
      <c r="H18" s="58"/>
    </row>
    <row r="20" customFormat="false" ht="15" hidden="false" customHeight="true" outlineLevel="0" collapsed="false">
      <c r="A20" s="8" t="s">
        <v>704</v>
      </c>
      <c r="B20" s="8"/>
      <c r="C20" s="8"/>
      <c r="D20" s="8"/>
      <c r="E20" s="8"/>
      <c r="F20" s="8"/>
      <c r="G20" s="8"/>
      <c r="H20" s="8"/>
    </row>
    <row r="21" customFormat="false" ht="15" hidden="false" customHeight="true" outlineLevel="0" collapsed="false">
      <c r="A21" s="5" t="s">
        <v>705</v>
      </c>
      <c r="B21" s="5" t="s">
        <v>706</v>
      </c>
      <c r="C21" s="5" t="s">
        <v>707</v>
      </c>
      <c r="D21" s="5" t="s">
        <v>708</v>
      </c>
      <c r="E21" s="5" t="s">
        <v>709</v>
      </c>
      <c r="F21" s="5"/>
      <c r="G21" s="5"/>
      <c r="H21" s="5"/>
    </row>
    <row r="22" customFormat="false" ht="15" hidden="false" customHeight="true" outlineLevel="0" collapsed="false">
      <c r="A22" s="6" t="s">
        <v>710</v>
      </c>
      <c r="B22" s="6" t="n">
        <v>3</v>
      </c>
      <c r="C22" s="6" t="n">
        <v>1</v>
      </c>
      <c r="D22" s="15" t="n">
        <f aca="false">C22/B22</f>
        <v>0.333333333333333</v>
      </c>
      <c r="E22" s="6" t="s">
        <v>711</v>
      </c>
      <c r="F22" s="6"/>
      <c r="G22" s="6"/>
      <c r="H22" s="6"/>
    </row>
    <row r="23" customFormat="false" ht="15" hidden="false" customHeight="true" outlineLevel="0" collapsed="false">
      <c r="A23" s="7" t="s">
        <v>712</v>
      </c>
      <c r="B23" s="7" t="n">
        <v>5</v>
      </c>
      <c r="C23" s="7" t="n">
        <v>0</v>
      </c>
      <c r="D23" s="32" t="n">
        <f aca="false">C23/B23</f>
        <v>0</v>
      </c>
      <c r="E23" s="7" t="s">
        <v>713</v>
      </c>
      <c r="F23" s="7"/>
      <c r="G23" s="7"/>
      <c r="H23" s="7"/>
    </row>
    <row r="24" customFormat="false" ht="15" hidden="false" customHeight="true" outlineLevel="0" collapsed="false">
      <c r="A24" s="6" t="s">
        <v>714</v>
      </c>
      <c r="B24" s="6" t="n">
        <v>2</v>
      </c>
      <c r="C24" s="6" t="n">
        <v>1</v>
      </c>
      <c r="D24" s="15" t="n">
        <f aca="false">C24/B24</f>
        <v>0.5</v>
      </c>
      <c r="E24" s="6" t="s">
        <v>715</v>
      </c>
      <c r="F24" s="6"/>
      <c r="G24" s="6"/>
      <c r="H24" s="6"/>
    </row>
    <row r="25" customFormat="false" ht="15" hidden="false" customHeight="true" outlineLevel="0" collapsed="false">
      <c r="A25" s="7" t="s">
        <v>716</v>
      </c>
      <c r="B25" s="7" t="n">
        <v>5</v>
      </c>
      <c r="C25" s="7" t="n">
        <v>1</v>
      </c>
      <c r="D25" s="32" t="n">
        <f aca="false">C25/B25</f>
        <v>0.2</v>
      </c>
      <c r="E25" s="7" t="s">
        <v>717</v>
      </c>
      <c r="F25" s="7"/>
      <c r="G25" s="7"/>
      <c r="H25" s="7"/>
    </row>
    <row r="26" customFormat="false" ht="15" hidden="false" customHeight="true" outlineLevel="0" collapsed="false">
      <c r="A26" s="6" t="s">
        <v>718</v>
      </c>
      <c r="B26" s="6" t="n">
        <v>5</v>
      </c>
      <c r="C26" s="6" t="n">
        <v>1</v>
      </c>
      <c r="D26" s="15" t="n">
        <f aca="false">C26/B26</f>
        <v>0.2</v>
      </c>
      <c r="E26" s="6" t="s">
        <v>719</v>
      </c>
      <c r="F26" s="6"/>
      <c r="G26" s="6"/>
      <c r="H26" s="6"/>
    </row>
    <row r="27" customFormat="false" ht="15" hidden="false" customHeight="true" outlineLevel="0" collapsed="false">
      <c r="A27" s="7" t="s">
        <v>720</v>
      </c>
      <c r="B27" s="7" t="n">
        <v>1</v>
      </c>
      <c r="C27" s="7" t="n">
        <v>0</v>
      </c>
      <c r="D27" s="32" t="n">
        <f aca="false">C27/B27</f>
        <v>0</v>
      </c>
      <c r="E27" s="7" t="s">
        <v>721</v>
      </c>
      <c r="F27" s="7"/>
      <c r="G27" s="7"/>
      <c r="H27" s="7"/>
    </row>
    <row r="28" customFormat="false" ht="15" hidden="false" customHeight="true" outlineLevel="0" collapsed="false">
      <c r="A28" s="6" t="s">
        <v>722</v>
      </c>
      <c r="B28" s="6" t="n">
        <v>3</v>
      </c>
      <c r="C28" s="6" t="n">
        <v>2</v>
      </c>
      <c r="D28" s="15" t="n">
        <f aca="false">C28/B28</f>
        <v>0.666666666666667</v>
      </c>
      <c r="E28" s="6" t="s">
        <v>723</v>
      </c>
      <c r="F28" s="6"/>
      <c r="G28" s="6"/>
      <c r="H28" s="6"/>
    </row>
    <row r="29" customFormat="false" ht="15" hidden="false" customHeight="true" outlineLevel="0" collapsed="false">
      <c r="A29" s="7" t="s">
        <v>724</v>
      </c>
      <c r="B29" s="7" t="n">
        <v>3</v>
      </c>
      <c r="C29" s="7" t="n">
        <v>0</v>
      </c>
      <c r="D29" s="32" t="n">
        <f aca="false">C29/B29</f>
        <v>0</v>
      </c>
      <c r="E29" s="7" t="s">
        <v>725</v>
      </c>
      <c r="F29" s="7"/>
      <c r="G29" s="7"/>
      <c r="H29" s="7"/>
    </row>
    <row r="30" customFormat="false" ht="15" hidden="false" customHeight="true" outlineLevel="0" collapsed="false">
      <c r="A30" s="6" t="s">
        <v>726</v>
      </c>
      <c r="B30" s="6" t="n">
        <v>3</v>
      </c>
      <c r="C30" s="6" t="n">
        <v>2</v>
      </c>
      <c r="D30" s="15" t="n">
        <f aca="false">C30/B30</f>
        <v>0.666666666666667</v>
      </c>
      <c r="E30" s="6" t="s">
        <v>727</v>
      </c>
      <c r="F30" s="6"/>
      <c r="G30" s="6"/>
      <c r="H30" s="6"/>
    </row>
    <row r="31" customFormat="false" ht="15" hidden="false" customHeight="true" outlineLevel="0" collapsed="false">
      <c r="A31" s="58" t="s">
        <v>199</v>
      </c>
      <c r="B31" s="58" t="n">
        <v>30</v>
      </c>
      <c r="C31" s="58" t="n">
        <f aca="false">SUM(C22:C30)</f>
        <v>8</v>
      </c>
      <c r="D31" s="59" t="n">
        <f aca="false">C31/B31</f>
        <v>0.266666666666667</v>
      </c>
      <c r="E31" s="58"/>
      <c r="F31" s="58"/>
      <c r="G31" s="58"/>
      <c r="H31" s="58"/>
    </row>
  </sheetData>
  <mergeCells count="3">
    <mergeCell ref="A1:H1"/>
    <mergeCell ref="A2:H2"/>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2026-04-05T00:51:54Z</dcterms:created>
  <dc:creator>openpyxl</dc:creator>
  <dc:description/>
  <dc:language>en-US</dc:language>
  <cp:lastModifiedBy/>
  <dcterms:modified xsi:type="dcterms:W3CDTF">2026-04-05T01:25:09Z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