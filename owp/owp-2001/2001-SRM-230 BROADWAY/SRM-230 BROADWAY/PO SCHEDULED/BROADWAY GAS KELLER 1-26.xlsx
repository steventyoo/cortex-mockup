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0" i="1" l="1"/>
  <c r="K12" i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</calcChain>
</file>

<file path=xl/sharedStrings.xml><?xml version="1.0" encoding="utf-8"?>
<sst xmlns="http://schemas.openxmlformats.org/spreadsheetml/2006/main" count="54" uniqueCount="54">
  <si>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</si>
  <si>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</si>
  <si>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</si>
  <si>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</si>
  <si>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</si>
  <si>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</si>
  <si>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</si>
  <si>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</si>
  <si>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</si>
  <si>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</si>
  <si>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</si>
  <si>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</si>
  <si>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</si>
  <si>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</si>
  <si>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</si>
  <si>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</si>
  <si>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</si>
  <si>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</si>
  <si>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</si>
  <si>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</si>
  <si>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</si>
  <si>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</si>
  <si>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1/2'' BLACK IRON PIPE</t>
  </si>
  <si>
    <t>3/4'' BLACK IRON PIPE</t>
  </si>
  <si>
    <t>1'' BLACK IRON PIPE</t>
  </si>
  <si>
    <t>11/4'' BLACK IRON PIPE</t>
  </si>
  <si>
    <t>11/2'' BLACK IRON PIPE</t>
  </si>
  <si>
    <t>2'' BLACK IRON PIPE</t>
  </si>
  <si>
    <t>2'' COUPLING</t>
  </si>
  <si>
    <t>11/2'' COUPLING</t>
  </si>
  <si>
    <t>11/4'' COUPLING</t>
  </si>
  <si>
    <t>1'' COUPLING</t>
  </si>
  <si>
    <t>3/4'' COUPLING</t>
  </si>
  <si>
    <t>2'' 90</t>
  </si>
  <si>
    <t>11/2'' 90</t>
  </si>
  <si>
    <t>11/4'' 90</t>
  </si>
  <si>
    <t>1'' 90</t>
  </si>
  <si>
    <t>3/4'' 90</t>
  </si>
  <si>
    <t>11/4'' CAP</t>
  </si>
  <si>
    <t>11/2'' CAP</t>
  </si>
  <si>
    <t>2'' 45</t>
  </si>
  <si>
    <t>11/2'' 45</t>
  </si>
  <si>
    <t>11/4'' 45</t>
  </si>
  <si>
    <t>1'' 45</t>
  </si>
  <si>
    <t>2 X 2 X 3/4</t>
  </si>
  <si>
    <t>2 X 11/4 X 2</t>
  </si>
  <si>
    <t xml:space="preserve">11/2 X 11/2 X 1 </t>
  </si>
  <si>
    <t>1'' GAS VALVE</t>
  </si>
  <si>
    <t>11/2'' GAS VALVE</t>
  </si>
  <si>
    <t>1'' CAP</t>
  </si>
  <si>
    <t>S005429510</t>
  </si>
  <si>
    <t>RICK</t>
  </si>
  <si>
    <t>KELLER</t>
  </si>
  <si>
    <t>CONTACT- BOB 206-660-9923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</si>
</sst>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mm/dd/yy"/>
    <numFmt numFmtId="168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8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168" fontId="6" fillId="0" borderId="1" xfId="0" applyNumberFormat="1" applyFont="1" applyFill="1" applyBorder="1" applyAlignment="1" applyProtection="1">
      <alignment horizontal="center" vertical="center"/>
      <protection locked="0"/>
    </xf>
    <xf numFmtId="168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8" fontId="1" fillId="0" borderId="2" xfId="0" applyNumberFormat="1" applyFont="1" applyBorder="1" applyAlignment="1">
      <alignment horizontal="center" vertical="center"/>
    </xf>
    <xf numFmtId="168" fontId="1" fillId="0" borderId="0" xfId="0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63" t="s">
        <v>14</v>
      </c>
      <c r="B1" s="42"/>
      <c r="C1" s="64"/>
      <c r="D1" s="13"/>
      <c r="E1" s="26" t="s">
        <v>21</v>
      </c>
      <c r="F1" s="27"/>
      <c r="G1" s="27"/>
      <c r="H1" s="43" t="s">
        <v>15</v>
      </c>
      <c r="I1" s="43"/>
      <c r="J1" s="44">
        <v>15213</v>
      </c>
      <c r="K1" s="44"/>
    </row>
    <row r="2" spans="1:15" ht="15.75" customHeight="1" x14ac:dyDescent="0.3">
      <c r="A2" s="42"/>
      <c r="B2" s="42"/>
      <c r="C2" s="65"/>
      <c r="D2" s="14"/>
      <c r="E2" s="28" t="s">
        <v>53</v>
      </c>
      <c r="F2" s="27"/>
      <c r="G2" s="27"/>
      <c r="H2" s="43"/>
      <c r="I2" s="43"/>
      <c r="J2" s="44"/>
      <c r="K2" s="44"/>
    </row>
    <row r="3" spans="1:15" ht="13.95" customHeight="1" x14ac:dyDescent="0.25">
      <c r="A3" s="66" t="s">
        <v>4</v>
      </c>
      <c r="B3" s="54"/>
      <c r="C3" s="55" t="s">
        <v>52</v>
      </c>
      <c r="D3" s="42"/>
      <c r="E3" s="42"/>
      <c r="F3" s="10"/>
      <c r="G3" s="10"/>
      <c r="H3" s="57" t="s">
        <v>12</v>
      </c>
      <c r="I3" s="58"/>
      <c r="J3" s="56" t="s">
        <v>50</v>
      </c>
      <c r="K3" s="56"/>
    </row>
    <row r="4" spans="1:15" ht="7.95" customHeight="1" x14ac:dyDescent="0.25">
      <c r="A4" s="54"/>
      <c r="B4" s="54"/>
      <c r="C4" s="42"/>
      <c r="D4" s="42"/>
      <c r="E4" s="42"/>
      <c r="F4" s="10"/>
      <c r="G4" s="10"/>
      <c r="H4" s="58"/>
      <c r="I4" s="58"/>
      <c r="J4" s="56"/>
      <c r="K4" s="56"/>
    </row>
    <row r="5" spans="1:15" ht="16.2" customHeight="1" outlineLevel="1" x14ac:dyDescent="0.25">
      <c r="A5" s="53" t="s">
        <v>13</v>
      </c>
      <c r="B5" s="54"/>
      <c r="C5" s="57" t="s">
        <v>19</v>
      </c>
      <c r="D5" s="59"/>
      <c r="E5" s="59"/>
      <c r="F5" s="59"/>
      <c r="G5" s="59"/>
      <c r="H5" s="59"/>
      <c r="I5" s="59"/>
      <c r="J5" s="42"/>
      <c r="K5" s="42"/>
    </row>
    <row r="6" spans="1:15" ht="6" customHeight="1" outlineLevel="1" x14ac:dyDescent="0.25">
      <c r="A6" s="54"/>
      <c r="B6" s="54"/>
      <c r="C6" s="59"/>
      <c r="D6" s="59"/>
      <c r="E6" s="59"/>
      <c r="F6" s="59"/>
      <c r="G6" s="59"/>
      <c r="H6" s="59"/>
      <c r="I6" s="59"/>
      <c r="J6" s="42"/>
      <c r="K6" s="42"/>
    </row>
    <row r="7" spans="1:15" ht="10.199999999999999" customHeight="1" x14ac:dyDescent="0.25">
      <c r="A7" s="51" t="s">
        <v>5</v>
      </c>
      <c r="B7" s="51"/>
      <c r="C7" s="51"/>
      <c r="D7" s="11"/>
      <c r="E7" s="51" t="s">
        <v>6</v>
      </c>
      <c r="F7" s="42"/>
      <c r="G7" s="42"/>
      <c r="H7" s="42"/>
      <c r="I7" s="42"/>
      <c r="J7" s="43" t="s">
        <v>7</v>
      </c>
      <c r="K7" s="43"/>
    </row>
    <row r="8" spans="1:15" ht="18.600000000000001" customHeight="1" x14ac:dyDescent="0.3">
      <c r="A8" s="67"/>
      <c r="B8" s="68"/>
      <c r="C8" s="68"/>
      <c r="D8" s="6"/>
      <c r="E8" s="48" t="s">
        <v>20</v>
      </c>
      <c r="F8" s="49"/>
      <c r="G8" s="49"/>
      <c r="H8" s="49"/>
      <c r="I8" s="49"/>
      <c r="J8" s="45">
        <v>40933</v>
      </c>
      <c r="K8" s="45"/>
      <c r="L8" s="36"/>
      <c r="M8" s="33"/>
    </row>
    <row r="9" spans="1:15" ht="10.95" customHeight="1" x14ac:dyDescent="0.25">
      <c r="A9" s="51" t="s">
        <v>9</v>
      </c>
      <c r="B9" s="51"/>
      <c r="C9" s="51"/>
      <c r="D9" s="6" t="s">
        <v>8</v>
      </c>
      <c r="E9" s="51" t="s">
        <v>10</v>
      </c>
      <c r="F9" s="49"/>
      <c r="G9" s="49"/>
      <c r="H9" s="49"/>
      <c r="I9" s="49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0">
        <v>40938</v>
      </c>
      <c r="B10" s="71"/>
      <c r="C10" s="71"/>
      <c r="D10" s="6"/>
      <c r="E10" s="50" t="s">
        <v>18</v>
      </c>
      <c r="F10" s="49"/>
      <c r="G10" s="49"/>
      <c r="H10" s="49"/>
      <c r="I10" s="49"/>
      <c r="J10" s="30" t="s">
        <v>51</v>
      </c>
      <c r="K10" s="23">
        <f>SUM(K12:K39)</f>
        <v>4177.7529999999988</v>
      </c>
      <c r="L10" s="37"/>
      <c r="M10" s="38"/>
    </row>
    <row r="11" spans="1:15" x14ac:dyDescent="0.25">
      <c r="A11" s="41" t="s">
        <v>0</v>
      </c>
      <c r="B11" s="69"/>
      <c r="C11" s="5" t="s">
        <v>11</v>
      </c>
      <c r="D11" s="7" t="s">
        <v>1</v>
      </c>
      <c r="E11" s="41" t="s">
        <v>2</v>
      </c>
      <c r="F11" s="42"/>
      <c r="G11" s="42"/>
      <c r="H11" s="42"/>
      <c r="I11" s="42"/>
      <c r="J11" s="46" t="s">
        <v>3</v>
      </c>
      <c r="K11" s="47"/>
      <c r="L11" s="36"/>
      <c r="M11" s="35"/>
      <c r="N11" s="34"/>
    </row>
    <row r="12" spans="1:15" ht="18" customHeight="1" x14ac:dyDescent="0.25">
      <c r="A12" s="3">
        <v>1</v>
      </c>
      <c r="B12" s="12">
        <v>210</v>
      </c>
      <c r="C12" s="8"/>
      <c r="D12" s="8"/>
      <c r="E12" s="52" t="s">
        <v>22</v>
      </c>
      <c r="F12" s="42"/>
      <c r="G12" s="42"/>
      <c r="H12" s="42"/>
      <c r="I12" s="42"/>
      <c r="J12" s="20">
        <v>0.496</v>
      </c>
      <c r="K12" s="21">
        <f t="shared" ref="K12:K39" si="0">B12*J12</f>
        <v>104.16</v>
      </c>
      <c r="L12" s="39"/>
      <c r="M12" s="32"/>
      <c r="N12" s="34"/>
    </row>
    <row r="13" spans="1:15" ht="18" customHeight="1" x14ac:dyDescent="0.25">
      <c r="A13" s="3">
        <v>2</v>
      </c>
      <c r="B13" s="12">
        <v>252</v>
      </c>
      <c r="C13" s="8"/>
      <c r="D13" s="8"/>
      <c r="E13" s="52" t="s">
        <v>23</v>
      </c>
      <c r="F13" s="42"/>
      <c r="G13" s="42"/>
      <c r="H13" s="42"/>
      <c r="I13" s="42"/>
      <c r="J13" s="20">
        <v>0.66700000000000004</v>
      </c>
      <c r="K13" s="21">
        <f t="shared" si="0"/>
        <v>168.084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315</v>
      </c>
      <c r="C14" s="8"/>
      <c r="D14" s="8"/>
      <c r="E14" s="52" t="s">
        <v>24</v>
      </c>
      <c r="F14" s="42"/>
      <c r="G14" s="42"/>
      <c r="H14" s="42"/>
      <c r="I14" s="42"/>
      <c r="J14" s="20">
        <v>0.95799999999999996</v>
      </c>
      <c r="K14" s="21">
        <f t="shared" si="0"/>
        <v>301.77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378</v>
      </c>
      <c r="C15" s="8"/>
      <c r="D15" s="8"/>
      <c r="E15" s="52" t="s">
        <v>25</v>
      </c>
      <c r="F15" s="42"/>
      <c r="G15" s="42"/>
      <c r="H15" s="42"/>
      <c r="I15" s="42"/>
      <c r="J15" s="20">
        <v>1.294</v>
      </c>
      <c r="K15" s="21">
        <f t="shared" si="0"/>
        <v>489.13200000000001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1323</v>
      </c>
      <c r="C16" s="8"/>
      <c r="D16" s="8"/>
      <c r="E16" s="52" t="s">
        <v>26</v>
      </c>
      <c r="F16" s="42"/>
      <c r="G16" s="42"/>
      <c r="H16" s="42"/>
      <c r="I16" s="42"/>
      <c r="J16" s="20">
        <v>1.67</v>
      </c>
      <c r="K16" s="21">
        <f t="shared" si="0"/>
        <v>2209.41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105</v>
      </c>
      <c r="C17" s="8"/>
      <c r="D17" s="8"/>
      <c r="E17" s="52" t="s">
        <v>27</v>
      </c>
      <c r="F17" s="42"/>
      <c r="G17" s="42"/>
      <c r="H17" s="42"/>
      <c r="I17" s="42"/>
      <c r="J17" s="20">
        <v>2.1640000000000001</v>
      </c>
      <c r="K17" s="21">
        <f t="shared" si="0"/>
        <v>227.22000000000003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4</v>
      </c>
      <c r="C18" s="8"/>
      <c r="D18" s="8"/>
      <c r="E18" s="52" t="s">
        <v>28</v>
      </c>
      <c r="F18" s="42"/>
      <c r="G18" s="42"/>
      <c r="H18" s="42"/>
      <c r="I18" s="42"/>
      <c r="J18" s="20">
        <v>3.1749999999999998</v>
      </c>
      <c r="K18" s="21">
        <f t="shared" si="0"/>
        <v>12.7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30</v>
      </c>
      <c r="C19" s="18"/>
      <c r="D19" s="17"/>
      <c r="E19" s="52" t="s">
        <v>29</v>
      </c>
      <c r="F19" s="42"/>
      <c r="G19" s="42"/>
      <c r="H19" s="42"/>
      <c r="I19" s="42"/>
      <c r="J19" s="20">
        <v>2.1779999999999999</v>
      </c>
      <c r="K19" s="21">
        <f t="shared" si="0"/>
        <v>65.34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15</v>
      </c>
      <c r="C20" s="8"/>
      <c r="D20" s="8"/>
      <c r="E20" s="52" t="s">
        <v>30</v>
      </c>
      <c r="F20" s="42"/>
      <c r="G20" s="42"/>
      <c r="H20" s="42"/>
      <c r="I20" s="42"/>
      <c r="J20" s="20">
        <v>1.631</v>
      </c>
      <c r="K20" s="21">
        <f t="shared" si="0"/>
        <v>24.465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>
        <v>15</v>
      </c>
      <c r="C21" s="8"/>
      <c r="D21" s="8"/>
      <c r="E21" s="52" t="s">
        <v>31</v>
      </c>
      <c r="F21" s="42"/>
      <c r="G21" s="42"/>
      <c r="H21" s="42"/>
      <c r="I21" s="42"/>
      <c r="J21" s="20">
        <v>1.2729999999999999</v>
      </c>
      <c r="K21" s="21">
        <f t="shared" si="0"/>
        <v>19.094999999999999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>
        <v>15</v>
      </c>
      <c r="C22" s="8"/>
      <c r="D22" s="8"/>
      <c r="E22" s="52" t="s">
        <v>32</v>
      </c>
      <c r="F22" s="42"/>
      <c r="G22" s="42"/>
      <c r="H22" s="42"/>
      <c r="I22" s="42"/>
      <c r="J22" s="20">
        <v>0.84099999999999997</v>
      </c>
      <c r="K22" s="21">
        <f t="shared" si="0"/>
        <v>12.615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>
        <v>6</v>
      </c>
      <c r="C23" s="8"/>
      <c r="D23" s="8"/>
      <c r="E23" s="52" t="s">
        <v>33</v>
      </c>
      <c r="F23" s="42"/>
      <c r="G23" s="42"/>
      <c r="H23" s="42"/>
      <c r="I23" s="42"/>
      <c r="J23" s="20">
        <v>4.093</v>
      </c>
      <c r="K23" s="21">
        <f t="shared" si="0"/>
        <v>24.558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>
        <v>75</v>
      </c>
      <c r="C24" s="8"/>
      <c r="D24" s="8"/>
      <c r="E24" s="52" t="s">
        <v>34</v>
      </c>
      <c r="F24" s="42"/>
      <c r="G24" s="42"/>
      <c r="H24" s="42"/>
      <c r="I24" s="42"/>
      <c r="J24" s="20">
        <v>2.387</v>
      </c>
      <c r="K24" s="21">
        <f t="shared" si="0"/>
        <v>179.02500000000001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>
        <v>25</v>
      </c>
      <c r="C25" s="8"/>
      <c r="D25" s="8"/>
      <c r="E25" s="52" t="s">
        <v>35</v>
      </c>
      <c r="F25" s="42"/>
      <c r="G25" s="42"/>
      <c r="H25" s="42"/>
      <c r="I25" s="42"/>
      <c r="J25" s="20">
        <v>1.8109999999999999</v>
      </c>
      <c r="K25" s="21">
        <f t="shared" si="0"/>
        <v>45.274999999999999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>
        <v>25</v>
      </c>
      <c r="C26" s="8"/>
      <c r="D26" s="8"/>
      <c r="E26" s="52" t="s">
        <v>36</v>
      </c>
      <c r="F26" s="42"/>
      <c r="G26" s="42"/>
      <c r="H26" s="42"/>
      <c r="I26" s="42"/>
      <c r="J26" s="20">
        <v>1.1180000000000001</v>
      </c>
      <c r="K26" s="21">
        <f t="shared" si="0"/>
        <v>27.950000000000003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>
        <v>25</v>
      </c>
      <c r="C27" s="8"/>
      <c r="D27" s="8"/>
      <c r="E27" s="52" t="s">
        <v>37</v>
      </c>
      <c r="F27" s="42"/>
      <c r="G27" s="42"/>
      <c r="H27" s="42"/>
      <c r="I27" s="42"/>
      <c r="J27" s="20">
        <v>0.63600000000000001</v>
      </c>
      <c r="K27" s="21">
        <f t="shared" si="0"/>
        <v>15.9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19">
        <v>2</v>
      </c>
      <c r="C28" s="8"/>
      <c r="D28" s="8"/>
      <c r="E28" s="52" t="s">
        <v>49</v>
      </c>
      <c r="F28" s="42"/>
      <c r="G28" s="42"/>
      <c r="H28" s="42"/>
      <c r="I28" s="42"/>
      <c r="J28" s="20">
        <v>0.86</v>
      </c>
      <c r="K28" s="21">
        <f t="shared" si="0"/>
        <v>1.72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>
        <v>2</v>
      </c>
      <c r="C29" s="8"/>
      <c r="D29" s="8"/>
      <c r="E29" s="60" t="s">
        <v>38</v>
      </c>
      <c r="F29" s="61"/>
      <c r="G29" s="61"/>
      <c r="H29" s="61"/>
      <c r="I29" s="62"/>
      <c r="J29" s="20">
        <v>1.1240000000000001</v>
      </c>
      <c r="K29" s="21">
        <f t="shared" si="0"/>
        <v>2.2480000000000002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>
        <v>4</v>
      </c>
      <c r="C30" s="8"/>
      <c r="D30" s="8"/>
      <c r="E30" s="52" t="s">
        <v>39</v>
      </c>
      <c r="F30" s="42"/>
      <c r="G30" s="42"/>
      <c r="H30" s="42"/>
      <c r="I30" s="42"/>
      <c r="J30" s="20">
        <v>1.5289999999999999</v>
      </c>
      <c r="K30" s="21">
        <f t="shared" si="0"/>
        <v>6.1159999999999997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>
        <v>2</v>
      </c>
      <c r="C31" s="8"/>
      <c r="D31" s="8"/>
      <c r="E31" s="60" t="s">
        <v>40</v>
      </c>
      <c r="F31" s="61"/>
      <c r="G31" s="61"/>
      <c r="H31" s="61"/>
      <c r="I31" s="62"/>
      <c r="J31" s="20">
        <v>4.3440000000000003</v>
      </c>
      <c r="K31" s="21">
        <f t="shared" si="0"/>
        <v>8.6880000000000006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>
        <v>20</v>
      </c>
      <c r="C32" s="18"/>
      <c r="D32" s="18"/>
      <c r="E32" s="60" t="s">
        <v>41</v>
      </c>
      <c r="F32" s="61"/>
      <c r="G32" s="61"/>
      <c r="H32" s="61"/>
      <c r="I32" s="62"/>
      <c r="J32" s="22">
        <v>2.8849999999999998</v>
      </c>
      <c r="K32" s="21">
        <f t="shared" si="0"/>
        <v>57.699999999999996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>
        <v>10</v>
      </c>
      <c r="C33" s="8"/>
      <c r="D33" s="8"/>
      <c r="E33" s="60" t="s">
        <v>42</v>
      </c>
      <c r="F33" s="61"/>
      <c r="G33" s="61"/>
      <c r="H33" s="61"/>
      <c r="I33" s="62"/>
      <c r="J33" s="20">
        <v>2.3370000000000002</v>
      </c>
      <c r="K33" s="21">
        <f t="shared" si="0"/>
        <v>23.37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>
        <v>10</v>
      </c>
      <c r="C34" s="8"/>
      <c r="D34" s="8"/>
      <c r="E34" s="60" t="s">
        <v>43</v>
      </c>
      <c r="F34" s="61"/>
      <c r="G34" s="61"/>
      <c r="H34" s="61"/>
      <c r="I34" s="62"/>
      <c r="J34" s="20">
        <v>1.337</v>
      </c>
      <c r="K34" s="21">
        <f t="shared" si="0"/>
        <v>13.37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>
        <v>1</v>
      </c>
      <c r="C35" s="8"/>
      <c r="D35" s="8"/>
      <c r="E35" s="52" t="s">
        <v>44</v>
      </c>
      <c r="F35" s="42"/>
      <c r="G35" s="42"/>
      <c r="H35" s="42"/>
      <c r="I35" s="42"/>
      <c r="J35" s="20">
        <v>6.0110000000000001</v>
      </c>
      <c r="K35" s="21">
        <f t="shared" si="0"/>
        <v>6.0110000000000001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>
        <v>1</v>
      </c>
      <c r="C36" s="8"/>
      <c r="D36" s="8"/>
      <c r="E36" s="60" t="s">
        <v>45</v>
      </c>
      <c r="F36" s="61"/>
      <c r="G36" s="61"/>
      <c r="H36" s="61"/>
      <c r="I36" s="62"/>
      <c r="J36" s="20">
        <v>7.6820000000000004</v>
      </c>
      <c r="K36" s="21">
        <f t="shared" si="0"/>
        <v>7.6820000000000004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>
        <v>1</v>
      </c>
      <c r="C37" s="18"/>
      <c r="D37" s="18"/>
      <c r="E37" s="52" t="s">
        <v>46</v>
      </c>
      <c r="F37" s="42"/>
      <c r="G37" s="42"/>
      <c r="H37" s="42"/>
      <c r="I37" s="42"/>
      <c r="J37" s="22">
        <v>3.839</v>
      </c>
      <c r="K37" s="21">
        <f t="shared" si="0"/>
        <v>3.839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>
        <v>5</v>
      </c>
      <c r="C38" s="18"/>
      <c r="D38" s="18"/>
      <c r="E38" s="52" t="s">
        <v>48</v>
      </c>
      <c r="F38" s="42"/>
      <c r="G38" s="42"/>
      <c r="H38" s="42"/>
      <c r="I38" s="42"/>
      <c r="J38" s="22">
        <v>19.111999999999998</v>
      </c>
      <c r="K38" s="21">
        <f t="shared" si="0"/>
        <v>95.559999999999988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>
        <v>3</v>
      </c>
      <c r="C39" s="8"/>
      <c r="D39" s="9"/>
      <c r="E39" s="52" t="s">
        <v>47</v>
      </c>
      <c r="F39" s="42"/>
      <c r="G39" s="42"/>
      <c r="H39" s="42"/>
      <c r="I39" s="42"/>
      <c r="J39" s="20">
        <v>8.25</v>
      </c>
      <c r="K39" s="21">
        <f t="shared" si="0"/>
        <v>24.75</v>
      </c>
      <c r="L39" s="39"/>
      <c r="M39" s="32"/>
      <c r="N39" s="32"/>
      <c r="O39" s="2"/>
    </row>
    <row r="40" spans="1:15" ht="18" customHeight="1" x14ac:dyDescent="0.25">
      <c r="A40" s="72"/>
      <c r="B40" s="73"/>
      <c r="C40" s="73"/>
      <c r="D40" s="73"/>
      <c r="E40" s="73"/>
      <c r="F40" s="15"/>
      <c r="G40" s="15"/>
      <c r="H40" s="74" t="str">
        <f>H1</f>
        <v>PO#</v>
      </c>
      <c r="I40" s="75"/>
      <c r="J40" s="75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52"/>
      <c r="F41" s="42"/>
      <c r="G41" s="42"/>
      <c r="H41" s="42"/>
      <c r="I41" s="42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52"/>
      <c r="F42" s="42"/>
      <c r="G42" s="42"/>
      <c r="H42" s="42"/>
      <c r="I42" s="42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52"/>
      <c r="F43" s="42"/>
      <c r="G43" s="42"/>
      <c r="H43" s="42"/>
      <c r="I43" s="42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52"/>
      <c r="F44" s="42"/>
      <c r="G44" s="42"/>
      <c r="H44" s="42"/>
      <c r="I44" s="42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52"/>
      <c r="F45" s="42"/>
      <c r="G45" s="42"/>
      <c r="H45" s="42"/>
      <c r="I45" s="42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60"/>
      <c r="F46" s="61"/>
      <c r="G46" s="61"/>
      <c r="H46" s="61"/>
      <c r="I46" s="62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52"/>
      <c r="F47" s="42"/>
      <c r="G47" s="42"/>
      <c r="H47" s="42"/>
      <c r="I47" s="42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60"/>
      <c r="F48" s="61"/>
      <c r="G48" s="61"/>
      <c r="H48" s="61"/>
      <c r="I48" s="62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60"/>
      <c r="F49" s="61"/>
      <c r="G49" s="61"/>
      <c r="H49" s="61"/>
      <c r="I49" s="62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60"/>
      <c r="F50" s="61"/>
      <c r="G50" s="61"/>
      <c r="H50" s="61"/>
      <c r="I50" s="62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60"/>
      <c r="F51" s="61"/>
      <c r="G51" s="61"/>
      <c r="H51" s="61"/>
      <c r="I51" s="62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52"/>
      <c r="F52" s="42"/>
      <c r="G52" s="42"/>
      <c r="H52" s="42"/>
      <c r="I52" s="42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52"/>
      <c r="F53" s="42"/>
      <c r="G53" s="42"/>
      <c r="H53" s="42"/>
      <c r="I53" s="42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52"/>
      <c r="F54" s="42"/>
      <c r="G54" s="42"/>
      <c r="H54" s="42"/>
      <c r="I54" s="42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52"/>
      <c r="F55" s="42"/>
      <c r="G55" s="42"/>
      <c r="H55" s="42"/>
      <c r="I55" s="42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52"/>
      <c r="F56" s="42"/>
      <c r="G56" s="42"/>
      <c r="H56" s="42"/>
      <c r="I56" s="42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52"/>
      <c r="F57" s="42"/>
      <c r="G57" s="42"/>
      <c r="H57" s="42"/>
      <c r="I57" s="42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52"/>
      <c r="F58" s="42"/>
      <c r="G58" s="42"/>
      <c r="H58" s="42"/>
      <c r="I58" s="42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52"/>
      <c r="F59" s="42"/>
      <c r="G59" s="42"/>
      <c r="H59" s="42"/>
      <c r="I59" s="42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52"/>
      <c r="F60" s="42"/>
      <c r="G60" s="42"/>
      <c r="H60" s="42"/>
      <c r="I60" s="42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52"/>
      <c r="F61" s="42"/>
      <c r="G61" s="42"/>
      <c r="H61" s="42"/>
      <c r="I61" s="42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52"/>
      <c r="F62" s="42"/>
      <c r="G62" s="42"/>
      <c r="H62" s="42"/>
      <c r="I62" s="42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52"/>
      <c r="F63" s="42"/>
      <c r="G63" s="42"/>
      <c r="H63" s="42"/>
      <c r="I63" s="42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52"/>
      <c r="F64" s="42"/>
      <c r="G64" s="42"/>
      <c r="H64" s="42"/>
      <c r="I64" s="42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52"/>
      <c r="F65" s="42"/>
      <c r="G65" s="42"/>
      <c r="H65" s="42"/>
      <c r="I65" s="42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52"/>
      <c r="F66" s="42"/>
      <c r="G66" s="42"/>
      <c r="H66" s="42"/>
      <c r="I66" s="42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52"/>
      <c r="F67" s="42"/>
      <c r="G67" s="42"/>
      <c r="H67" s="42"/>
      <c r="I67" s="42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52"/>
      <c r="F68" s="42"/>
      <c r="G68" s="42"/>
      <c r="H68" s="42"/>
      <c r="I68" s="42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52"/>
      <c r="F69" s="42"/>
      <c r="G69" s="42"/>
      <c r="H69" s="42"/>
      <c r="I69" s="42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52"/>
      <c r="F70" s="42"/>
      <c r="G70" s="42"/>
      <c r="H70" s="42"/>
      <c r="I70" s="42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52"/>
      <c r="F71" s="42"/>
      <c r="G71" s="42"/>
      <c r="H71" s="42"/>
      <c r="I71" s="42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52"/>
      <c r="F72" s="42"/>
      <c r="G72" s="42"/>
      <c r="H72" s="42"/>
      <c r="I72" s="42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52"/>
      <c r="F73" s="42"/>
      <c r="G73" s="42"/>
      <c r="H73" s="42"/>
      <c r="I73" s="42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52"/>
      <c r="F74" s="42"/>
      <c r="G74" s="42"/>
      <c r="H74" s="42"/>
      <c r="I74" s="42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52"/>
      <c r="F75" s="42"/>
      <c r="G75" s="42"/>
      <c r="H75" s="42"/>
      <c r="I75" s="42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8"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28:I28"/>
    <mergeCell ref="E31:I31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  <mergeCell ref="E12:I12"/>
    <mergeCell ref="E13:I13"/>
    <mergeCell ref="E30:I30"/>
    <mergeCell ref="E39:I39"/>
    <mergeCell ref="E24:I24"/>
    <mergeCell ref="E15:I15"/>
    <mergeCell ref="E18:I18"/>
    <mergeCell ref="E26:I26"/>
    <mergeCell ref="E14:I14"/>
    <mergeCell ref="E16:I1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A8:C8"/>
    <mergeCell ref="A9:C9"/>
    <mergeCell ref="A11:B11"/>
    <mergeCell ref="A10:C10"/>
    <mergeCell ref="E17:I17"/>
    <mergeCell ref="E57:I57"/>
    <mergeCell ref="E37:I37"/>
    <mergeCell ref="E36:I36"/>
    <mergeCell ref="E35:I35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J3:K4"/>
    <mergeCell ref="H3:I4"/>
    <mergeCell ref="C5:K6"/>
    <mergeCell ref="J7:K7"/>
    <mergeCell ref="E7:I7"/>
    <mergeCell ref="E11:I11"/>
    <mergeCell ref="H1:I2"/>
    <mergeCell ref="J1:K2"/>
    <mergeCell ref="J8:K8"/>
    <mergeCell ref="J11:K11"/>
    <mergeCell ref="E8:I8"/>
    <mergeCell ref="E10:I10"/>
    <mergeCell ref="E9:I9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2012-01-26T21:21:53Z</dcterms:modified>
</cp:coreProperties>
</file>