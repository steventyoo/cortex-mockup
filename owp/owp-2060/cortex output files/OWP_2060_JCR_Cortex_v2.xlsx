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<sst xmlns="http://schemas.openxmlformats.org/spreadsheetml/2006/main" count="483" uniqueCount="345">
  <si>
    <t xml:space="preserve">OWP #2060 · Marina Square</t>
  </si>
  <si>
    <t xml:space="preserve">Compass Construction · 254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</si>
  <si>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</si>
  <si>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</si>
  <si>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</si>
  <si>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</si>
  <si>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</si>
  <si>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</si>
  <si>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</si>
  <si>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</si>
  <si>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</si>
  <si>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</si>
  <si>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</si>
  <si>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</si>
  <si>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</si>
  <si>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</si>
  <si>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</si>
  <si>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</si>
  <si>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</si>
  <si>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</si>
  <si>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#2060 · COMPASS CONSTRUCTION · Marina Square (MSQ) — FULL PROJECT INFORMATION</t>
  </si>
  <si>
    <t xml:space="preserve">Sourced from contract + ticket + GDrive folder + JDR. Subcontract MSQ Subcontract + SCO #2 Full Subcontract.</t>
  </si>
  <si>
    <t xml:space="preserve">IDENTITY</t>
  </si>
  <si>
    <t xml:space="preserve">OWP Job ID</t>
  </si>
  <si>
    <t xml:space="preserve">2060</t>
  </si>
  <si>
    <t xml:space="preserve">Project Name</t>
  </si>
  <si>
    <t xml:space="preserve">Marina Square (MSQ)</t>
  </si>
  <si>
    <t xml:space="preserve">Site Address</t>
  </si>
  <si>
    <t xml:space="preserve">280 Washington Ave, Bremerton WA 98337</t>
  </si>
  <si>
    <t xml:space="preserve">Subcontract Number</t>
  </si>
  <si>
    <t xml:space="preserve">MSQ Subcontract + SCO #2 Full Subcontract</t>
  </si>
  <si>
    <t xml:space="preserve">Effective Date</t>
  </si>
  <si>
    <t xml:space="preserve">2019-2022 (Tower 2 conversion of former hotel)</t>
  </si>
  <si>
    <t xml:space="preserve">PROJECT TEAM — GENERAL CONTRACTOR</t>
  </si>
  <si>
    <t xml:space="preserve">GC Legal Name</t>
  </si>
  <si>
    <t xml:space="preserve">Compass Construction</t>
  </si>
  <si>
    <t xml:space="preserve">GC Address</t>
  </si>
  <si>
    <t xml:space="preserve">(Compass)</t>
  </si>
  <si>
    <t xml:space="preserve">GC Contract Signatory</t>
  </si>
  <si>
    <t xml:space="preserve">Compass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</si>
  <si>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</si>
  <si>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</si>
  <si>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</si>
  <si>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</si>
  <si>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</si>
  <si>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</si>
  <si>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</si>
  <si>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</si>
  <si>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</si>
  <si>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</si>
  <si>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</si>
  <si>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</si>
  <si>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</si>
  <si>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Compass Construction (MSQ)</t>
  </si>
  <si>
    <t xml:space="preserve">Owner Address</t>
  </si>
  <si>
    <t xml:space="preserve">(MSQ entity)</t>
  </si>
  <si>
    <t xml:space="preserve">PROJECT TEAM — DESIGN</t>
  </si>
  <si>
    <t xml:space="preserve">Architect</t>
  </si>
  <si>
    <t xml:space="preserve">TBD</t>
  </si>
  <si>
    <t xml:space="preserve">MEP / Plumbing Engineer</t>
  </si>
  <si>
    <t xml:space="preserve">INSURANCE &amp; BONDING</t>
  </si>
  <si>
    <t xml:space="preserve">Insurance Type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</si>
  <si>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</si>
  <si>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</si>
  <si>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</si>
  <si>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</si>
  <si>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$5,307,510 original</t>
  </si>
  <si>
    <t xml:space="preserve">CHANGE-EVENT META</t>
  </si>
  <si>
    <t xml:space="preserve">Executed CO Count</t>
  </si>
  <si>
    <t xml:space="preserve">COR Count</t>
  </si>
  <si>
    <t xml:space="preserve">RFI Count</t>
  </si>
  <si>
    <t xml:space="preserve">ASI Count</t>
  </si>
  <si>
    <t xml:space="preserve">CO Inventory</t>
  </si>
  <si>
    <t xml:space="preserve">SCO #2 Full Subcontract (Tower 2 = former hotel L5-L9 conversion to extended-stay)</t>
  </si>
  <si>
    <t xml:space="preserve">COR Themes</t>
  </si>
  <si>
    <t xml:space="preserve">(see GDrive)</t>
  </si>
  <si>
    <t xml:space="preserve">Key RFIs</t>
  </si>
  <si>
    <t xml:space="preserve">DOCUMENTS ON FILE (GDrive)</t>
  </si>
  <si>
    <t xml:space="preserve">Latest Job Ticket</t>
  </si>
  <si>
    <t xml:space="preserve">Compass Marina Square Job Ticket - Updated 7-27-2022.pdf (2-tower)</t>
  </si>
  <si>
    <t xml:space="preserve">GDrive Folder</t>
  </si>
  <si>
    <t xml:space="preserve">Job Books - Completed Jobs/2060-...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</si>
  <si>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</si>
  <si>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</si>
  <si>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</si>
  <si>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Tower 1 Toilets</t>
  </si>
  <si>
    <t xml:space="preserve">128 Gerber 21-912 + 11 ADA Gerber 21-918</t>
  </si>
  <si>
    <t xml:space="preserve">Tower 1 Lavs</t>
  </si>
  <si>
    <t xml:space="preserve">Gerber 12-791 undercounter + Delta 559LF-TP</t>
  </si>
  <si>
    <t xml:space="preserve">Tower 1 Tub/showers</t>
  </si>
  <si>
    <t xml:space="preserve">130 Aquatic 2603SMTE + 7 ADA + 2 SMTH (alcove)</t>
  </si>
  <si>
    <t xml:space="preserve">Tower 1 Kitchen sinks</t>
  </si>
  <si>
    <t xml:space="preserve">118 Amerisink AS3337 + 11 ADA AS3336 + Delta 9659-DST</t>
  </si>
  <si>
    <t xml:space="preserve">Tower 1 Dishwasher rough-ins</t>
  </si>
  <si>
    <t xml:space="preserve">incl amenity</t>
  </si>
  <si>
    <t xml:space="preserve">Tower 2 Toilets</t>
  </si>
  <si>
    <t xml:space="preserve">Kohler K-3609 elongated</t>
  </si>
  <si>
    <t xml:space="preserve">Tower 2 Lavs</t>
  </si>
  <si>
    <t xml:space="preserve">Kohler K-2355 undercounter</t>
  </si>
  <si>
    <t xml:space="preserve">Tower 2 Tub/showers</t>
  </si>
  <si>
    <t xml:space="preserve">94 Aquatic 2603SMTE + 24 SMTH L5 + 5 ADA + 1 ADA SMTH L5</t>
  </si>
  <si>
    <t xml:space="preserve">Tower 2 Kitchen sinks</t>
  </si>
  <si>
    <t xml:space="preserve">Elkay ECTRU12179T undercounter SS</t>
  </si>
  <si>
    <t xml:space="preserve">VERIFIED MAIN FIXTURE COUNT</t>
  </si>
  <si>
    <t xml:space="preserve">Per unit (254): 4.09</t>
  </si>
  <si>
    <t xml:space="preserve">AUDIT NOTE (2026-04-25): First-pass count of 1176 was the all-itemized sum (included drains, hose bibs, condensate stacks, water heaters, appliance rough-ins). Verified main count of 1039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</si>
  <si>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</si>
  <si>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</si>
  <si>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</si>
  <si>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</si>
  <si>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</si>
  <si>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</si>
  <si>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</si>
  <si>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</si>
  <si>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</si>
  <si>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</si>
  <si>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</si>
  <si>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</si>
  <si>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</si>
  <si>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</si>
  <si>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</si>
  <si>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</si>
  <si>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</si>
  <si>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</si>
  <si>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</si>
  <si>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</si>
  <si>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</si>
  <si>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</si>
  <si>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</si>
  <si>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</si>
  <si>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</si>
  <si>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</si>
  <si>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</si>
  <si>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</si>
  <si>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</si>
  <si>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</si>
  <si>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</si>
  <si>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</si>
  <si>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</si>
  <si>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</si>
  <si>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</si>
  <si>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</si>
  <si>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</si>
  <si>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</si>
  <si>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</si>
  <si>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</si>
  <si>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</si>
  <si>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</si>
  <si>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</si>
  <si>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</si>
  <si>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</si>
  <si>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</si>
  <si>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</si>
  <si>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</si>
  <si>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</si>
  <si>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</si>
  <si>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</si>
  <si>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</si>
  <si>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</si>
  <si>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</si>
  <si>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</si>
  <si>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</si>
  <si>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</si>
  <si>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</si>
  <si>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</si>
  <si>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</si>
  <si>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</si>
  <si>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</si>
  <si>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</si>
  <si>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</si>
  <si>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</si>
  <si>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</si>
  <si>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</si>
  <si>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</si>
  <si>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</si>
  <si>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</si>
  <si>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</si>
  <si>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</si>
  <si>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</si>
  <si>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</si>
  <si>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</si>
  <si>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</si>
  <si>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</si>
  <si>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</si>
  <si>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</si>
  <si>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</si>
  <si>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</si>
  <si>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</si>
  <si>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</si>
  <si>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</si>
  <si>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</si>
  <si>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</si>
  <si>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</si>
  <si>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</si>
  <si>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</si>
  <si>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</si>
  <si>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</si>
  <si>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</si>
  <si>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</si>
  <si>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</si>
  <si>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</si>
  <si>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</si>
  <si>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</si>
  <si>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</si>
  <si>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</si>
  <si>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Keller Supply Company</t>
  </si>
  <si>
    <t xml:space="preserve">Rosen Supply Kirkland</t>
  </si>
  <si>
    <t xml:space="preserve">California Hydronics Corp</t>
  </si>
  <si>
    <t xml:space="preserve">Franklin Engineering</t>
  </si>
  <si>
    <t xml:space="preserve">Consolidated Supply Co.</t>
  </si>
  <si>
    <t xml:space="preserve">Ferguson Enterprises, Inc. #3007</t>
  </si>
  <si>
    <t xml:space="preserve">Capital One Credit Card</t>
  </si>
  <si>
    <t xml:space="preserve">Mechanical Resource Services, Inc.</t>
  </si>
  <si>
    <t xml:space="preserve">Washington State Ferries</t>
  </si>
  <si>
    <t xml:space="preserve">Old Castle Infrastructure, Inc.</t>
  </si>
  <si>
    <t xml:space="preserve">Chemical Products Company</t>
  </si>
  <si>
    <t xml:space="preserve">Granite Precast</t>
  </si>
  <si>
    <t xml:space="preserve">Bank of America CC</t>
  </si>
  <si>
    <t xml:space="preserve">Core &amp; Main LP $HD Supply Waterworks</t>
  </si>
  <si>
    <t xml:space="preserve">United Rentals, Inc.</t>
  </si>
  <si>
    <t xml:space="preserve">Scan2Core, Inc.</t>
  </si>
  <si>
    <t xml:space="preserve">Patchworks, Inc.</t>
  </si>
  <si>
    <t xml:space="preserve">Sunbelt Rentals, Inc.</t>
  </si>
  <si>
    <t xml:space="preserve">ACME Corp</t>
  </si>
  <si>
    <t xml:space="preserve">AJ's Backflow Testing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</si>
  <si>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</si>
  <si>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</si>
  <si>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</si>
  <si>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</si>
  <si>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</si>
  <si>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</si>
  <si>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</si>
  <si>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Holmes, Anthony R</t>
  </si>
  <si>
    <t xml:space="preserve">LEAD/SUPERVISOR</t>
  </si>
  <si>
    <t xml:space="preserve">Gordillo, Emanuel D</t>
  </si>
  <si>
    <t xml:space="preserve">APPRENTICE/HELPER</t>
  </si>
  <si>
    <t xml:space="preserve">Platero Navas, Julio A</t>
  </si>
  <si>
    <t xml:space="preserve">Lovo, German G</t>
  </si>
  <si>
    <t xml:space="preserve">JOURNEYMAN</t>
  </si>
  <si>
    <t xml:space="preserve">Gonzalez Hernandez, Josue</t>
  </si>
  <si>
    <t xml:space="preserve">Barnhart, Joseph N</t>
  </si>
  <si>
    <t xml:space="preserve">Velasquez Cruz, Denis M</t>
  </si>
  <si>
    <t xml:space="preserve">Platero Navas, Mario N</t>
  </si>
  <si>
    <t xml:space="preserve">Velasquez Cruz, Osman N</t>
  </si>
  <si>
    <t xml:space="preserve">Lee, Ha Nul</t>
  </si>
  <si>
    <t xml:space="preserve">Barnhart, Thomas L</t>
  </si>
  <si>
    <t xml:space="preserve">Cruz, Azael S</t>
  </si>
  <si>
    <t xml:space="preserve">Ortiz Carmona, Jose</t>
  </si>
  <si>
    <t xml:space="preserve">Hoeg, Xavier A</t>
  </si>
  <si>
    <t xml:space="preserve">Waites, Thaddeus Z</t>
  </si>
  <si>
    <t xml:space="preserve">Gutierrez, Brian A</t>
  </si>
  <si>
    <t xml:space="preserve">Donelson, Richard T</t>
  </si>
  <si>
    <t xml:space="preserve">Castro Urena, Yanely</t>
  </si>
  <si>
    <t xml:space="preserve">Martinez Reyes, Juan C</t>
  </si>
  <si>
    <t xml:space="preserve">Sanders, Allen O</t>
  </si>
  <si>
    <t xml:space="preserve">Rodriguez Arevalos, Christian</t>
  </si>
  <si>
    <t xml:space="preserve">Hubbard, Robert W</t>
  </si>
  <si>
    <t xml:space="preserve">Stahlschmidt, John P</t>
  </si>
  <si>
    <t xml:space="preserve">Paco Leyva, Orlando</t>
  </si>
  <si>
    <t xml:space="preserve">Vazquez Popoca, Jose N</t>
  </si>
  <si>
    <t xml:space="preserve">Ramos Herrera, Franklin J</t>
  </si>
  <si>
    <t xml:space="preserve">Eliassen, Cory H</t>
  </si>
  <si>
    <t xml:space="preserve">Gerard, Jeffrey S</t>
  </si>
  <si>
    <t xml:space="preserve">Sepulveda Gonzalez, Alfredo</t>
  </si>
  <si>
    <t xml:space="preserve">Taylor, Evan R</t>
  </si>
  <si>
    <t xml:space="preserve">Lara, Eric E</t>
  </si>
  <si>
    <t xml:space="preserve">Balderas Ortiz, Ricardo I</t>
  </si>
  <si>
    <t xml:space="preserve">Cruz Reyes, Jose</t>
  </si>
  <si>
    <t xml:space="preserve">Anderson, Richard P</t>
  </si>
  <si>
    <t xml:space="preserve">Hernandez Gonzalez, Osbaldo</t>
  </si>
  <si>
    <t xml:space="preserve">Trower-Kelly, Fidel D</t>
  </si>
  <si>
    <t xml:space="preserve">Cruz Gonzalez, Julio C</t>
  </si>
  <si>
    <t xml:space="preserve">Barbosa, Michael S</t>
  </si>
  <si>
    <t xml:space="preserve">Ross, Kelli M</t>
  </si>
  <si>
    <t xml:space="preserve">Johnson, Jake E</t>
  </si>
  <si>
    <t xml:space="preserve">McCabe, Thomas C</t>
  </si>
  <si>
    <t xml:space="preserve">Reyes Cruz, Denis A</t>
  </si>
  <si>
    <t xml:space="preserve">Castro Hernandez, Jose A</t>
  </si>
  <si>
    <t xml:space="preserve">Amaya Gonzalez, Edilberto A</t>
  </si>
  <si>
    <t xml:space="preserve">OT-ONLY</t>
  </si>
  <si>
    <t xml:space="preserve">Galdamez, Dagoberto A</t>
  </si>
  <si>
    <t xml:space="preserve">Romero Garza, Jesus I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</si>
  <si>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</si>
  <si>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</si>
  <si>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</si>
  <si>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</si>
  <si>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</si>
  <si>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</si>
  <si>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</si>
  <si>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</si>
  <si>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</si>
  <si>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</si>
  <si>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</si>
  <si>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</si>
  <si>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</si>
  <si>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</si>
  <si>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</si>
  <si>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</si>
  <si>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</si>
  <si>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</si>
  <si>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</si>
  <si>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Mech Room Labor (142) over revised</t>
  </si>
  <si>
    <t xml:space="preserve">⚠ WATCH</t>
  </si>
  <si>
    <t xml:space="preserve">Actual $47,502 vs revised $40,500 (+17%) — monitor</t>
  </si>
  <si>
    <t xml:space="preserve">Mech Room Material (242) CRITICAL overrun</t>
  </si>
  <si>
    <t xml:space="preserve">Actual $69,475 vs revised $40,000 (+74%) — needs immediate attention</t>
  </si>
  <si>
    <t xml:space="preserve">Subcontractor (600) CRITICAL overrun</t>
  </si>
  <si>
    <t xml:space="preserve">Actual $25,782 vs revised $8,300 (+211%) — needs immediate attention</t>
  </si>
  <si>
    <t xml:space="preserve">Top vendor concentration (Keller Supply Compan)</t>
  </si>
  <si>
    <t xml:space="preserve">✓ OK</t>
  </si>
  <si>
    <t xml:space="preserve">34% of AP ($338,444) — acceptable</t>
  </si>
  <si>
    <t xml:space="preserve">Retention aging</t>
  </si>
  <si>
    <t xml:space="preserve">$300,554 held · 4.9% of billed · standard range</t>
  </si>
  <si>
    <t xml:space="preserve">27.1%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</si>
  <si>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</si>
  <si>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</si>
  <si>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</si>
  <si>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</si>
  <si>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</si>
  <si>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</si>
  <si>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</si>
  <si>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</si>
  <si>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</si>
  <si>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</si>
  <si>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</si>
  <si>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</si>
  <si>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</si>
  <si>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</si>
  <si>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</si>
  <si>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</si>
  <si>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</si>
  <si>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</si>
  <si>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</si>
  <si>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</si>
  <si>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</si>
  <si>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</si>
  <si>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</si>
  <si>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</si>
  <si>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</si>
  <si>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</si>
  <si>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</si>
  <si>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</si>
  <si>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</si>
  <si>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</si>
  <si>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#2060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</si>
</sst>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6156577</v>
      </c>
    </row>
    <row r="6" customFormat="false" ht="15" hidden="false" customHeight="true" outlineLevel="0" collapsed="false">
      <c r="A6" s="5" t="s">
        <v>4</v>
      </c>
      <c r="B6" s="6" t="n">
        <v>4490515.68</v>
      </c>
    </row>
    <row r="7" customFormat="false" ht="15" hidden="false" customHeight="true" outlineLevel="0" collapsed="false">
      <c r="A7" s="5" t="s">
        <v>5</v>
      </c>
      <c r="B7" s="7" t="n">
        <f aca="false">B5-B6</f>
        <v>1666061.32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0.270614875766193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6156577</v>
      </c>
    </row>
    <row r="12" customFormat="false" ht="15" hidden="false" customHeight="true" outlineLevel="0" collapsed="false">
      <c r="A12" s="5" t="s">
        <v>9</v>
      </c>
      <c r="B12" s="6" t="n">
        <v>300553.85</v>
      </c>
    </row>
    <row r="13" customFormat="false" ht="15" hidden="false" customHeight="true" outlineLevel="0" collapsed="false">
      <c r="A13" s="5" t="s">
        <v>10</v>
      </c>
      <c r="B13" s="7" t="n">
        <f aca="false">B11-B12</f>
        <v>5856023.15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191488.04</v>
      </c>
    </row>
    <row r="20" customFormat="false" ht="15" hidden="false" customHeight="true" outlineLevel="0" collapsed="false">
      <c r="A20" s="5" t="s">
        <v>17</v>
      </c>
      <c r="B20" s="10" t="n">
        <v>1004314.51</v>
      </c>
    </row>
    <row r="21" customFormat="false" ht="15" hidden="false" customHeight="true" outlineLevel="0" collapsed="false">
      <c r="A21" s="5" t="s">
        <v>18</v>
      </c>
      <c r="B21" s="10" t="n">
        <v>1379870.39</v>
      </c>
    </row>
    <row r="22" customFormat="false" ht="15" hidden="false" customHeight="true" outlineLevel="0" collapsed="false">
      <c r="A22" s="5" t="s">
        <v>19</v>
      </c>
      <c r="B22" s="10" t="n">
        <v>-6156577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53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54</v>
      </c>
      <c r="B25" s="16" t="s">
        <v>55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56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57</v>
      </c>
      <c r="B28" s="16" t="s">
        <v>58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59</v>
      </c>
      <c r="B29" s="16" t="s">
        <v>58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60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61</v>
      </c>
      <c r="B32" s="16" t="s">
        <v>58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62</v>
      </c>
      <c r="B33" s="16" t="s">
        <v>63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64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65</v>
      </c>
      <c r="B36" s="16" t="s">
        <v>66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67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68</v>
      </c>
      <c r="B39" s="16" t="n">
        <v>2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69</v>
      </c>
      <c r="B40" s="16" t="s">
        <v>58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70</v>
      </c>
      <c r="B41" s="16" t="s">
        <v>58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71</v>
      </c>
      <c r="B42" s="16" t="s">
        <v>58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72</v>
      </c>
      <c r="B43" s="16" t="s">
        <v>73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74</v>
      </c>
      <c r="B44" s="16" t="s">
        <v>75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76</v>
      </c>
      <c r="B45" s="16" t="s">
        <v>75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77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78</v>
      </c>
      <c r="B48" s="16" t="s">
        <v>79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80</v>
      </c>
      <c r="B49" s="16" t="s">
        <v>81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82</v>
      </c>
      <c r="B50" s="16" t="s">
        <v>83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84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85</v>
      </c>
      <c r="B53" s="18" t="n">
        <v>139</v>
      </c>
      <c r="C53" s="16" t="s">
        <v>86</v>
      </c>
      <c r="D53" s="16"/>
      <c r="E53" s="16"/>
      <c r="F53" s="16"/>
    </row>
    <row r="54" customFormat="false" ht="15" hidden="false" customHeight="true" outlineLevel="0" collapsed="false">
      <c r="A54" s="15" t="s">
        <v>87</v>
      </c>
      <c r="B54" s="18" t="n">
        <v>139</v>
      </c>
      <c r="C54" s="16" t="s">
        <v>88</v>
      </c>
      <c r="D54" s="16"/>
      <c r="E54" s="16"/>
      <c r="F54" s="16"/>
    </row>
    <row r="55" customFormat="false" ht="15" hidden="false" customHeight="true" outlineLevel="0" collapsed="false">
      <c r="A55" s="15" t="s">
        <v>89</v>
      </c>
      <c r="B55" s="18" t="n">
        <v>139</v>
      </c>
      <c r="C55" s="16" t="s">
        <v>90</v>
      </c>
      <c r="D55" s="16"/>
      <c r="E55" s="16"/>
      <c r="F55" s="16"/>
    </row>
    <row r="56" customFormat="false" ht="15" hidden="false" customHeight="true" outlineLevel="0" collapsed="false">
      <c r="A56" s="15" t="s">
        <v>91</v>
      </c>
      <c r="B56" s="18" t="n">
        <v>129</v>
      </c>
      <c r="C56" s="16" t="s">
        <v>92</v>
      </c>
      <c r="D56" s="16"/>
      <c r="E56" s="16"/>
      <c r="F56" s="16"/>
    </row>
    <row r="57" customFormat="false" ht="15" hidden="false" customHeight="true" outlineLevel="0" collapsed="false">
      <c r="A57" s="15" t="s">
        <v>93</v>
      </c>
      <c r="B57" s="18" t="n">
        <v>129</v>
      </c>
      <c r="C57" s="16" t="s">
        <v>94</v>
      </c>
      <c r="D57" s="16"/>
      <c r="E57" s="16"/>
      <c r="F57" s="16"/>
    </row>
    <row r="58" customFormat="false" ht="15" hidden="false" customHeight="true" outlineLevel="0" collapsed="false">
      <c r="A58" s="15" t="s">
        <v>95</v>
      </c>
      <c r="B58" s="18" t="n">
        <v>125</v>
      </c>
      <c r="C58" s="16" t="s">
        <v>96</v>
      </c>
      <c r="D58" s="16"/>
      <c r="E58" s="16"/>
      <c r="F58" s="16"/>
    </row>
    <row r="59" customFormat="false" ht="15" hidden="false" customHeight="true" outlineLevel="0" collapsed="false">
      <c r="A59" s="15" t="s">
        <v>97</v>
      </c>
      <c r="B59" s="18" t="n">
        <v>125</v>
      </c>
      <c r="C59" s="16" t="s">
        <v>98</v>
      </c>
      <c r="D59" s="16"/>
      <c r="E59" s="16"/>
      <c r="F59" s="16"/>
    </row>
    <row r="60" customFormat="false" ht="15" hidden="false" customHeight="true" outlineLevel="0" collapsed="false">
      <c r="A60" s="15" t="s">
        <v>99</v>
      </c>
      <c r="B60" s="18" t="n">
        <v>132</v>
      </c>
      <c r="C60" s="16" t="s">
        <v>100</v>
      </c>
      <c r="D60" s="16"/>
      <c r="E60" s="16"/>
      <c r="F60" s="16"/>
    </row>
    <row r="61" customFormat="false" ht="12" hidden="false" customHeight="true" outlineLevel="0" collapsed="false">
      <c r="A61" s="15" t="s">
        <v>101</v>
      </c>
      <c r="B61" s="18" t="n">
        <v>119</v>
      </c>
      <c r="C61" s="16" t="s">
        <v>102</v>
      </c>
      <c r="D61" s="16"/>
      <c r="E61" s="16"/>
      <c r="F61" s="16"/>
    </row>
    <row r="62" customFormat="false" ht="15" hidden="false" customHeight="true" outlineLevel="0" collapsed="false">
      <c r="A62" s="19" t="s">
        <v>103</v>
      </c>
      <c r="B62" s="19" t="n">
        <v>1039</v>
      </c>
    </row>
    <row r="63" customFormat="false" ht="15" hidden="false" customHeight="false" outlineLevel="0" collapsed="false">
      <c r="A63" s="20" t="s">
        <v>104</v>
      </c>
    </row>
    <row r="64" customFormat="false" ht="35.05" hidden="false" customHeight="true" outlineLevel="0" collapsed="false">
      <c r="A64" s="21" t="s">
        <v>105</v>
      </c>
      <c r="B64" s="21"/>
      <c r="C64" s="21"/>
      <c r="D64" s="21"/>
      <c r="E64" s="21"/>
      <c r="F64" s="21"/>
    </row>
  </sheetData>
  <mergeCells count="52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A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106</v>
      </c>
    </row>
    <row r="3" customFormat="false" ht="15" hidden="false" customHeight="true" outlineLevel="0" collapsed="false">
      <c r="A3" s="22" t="s">
        <v>107</v>
      </c>
      <c r="B3" s="22" t="s">
        <v>108</v>
      </c>
      <c r="C3" s="22" t="s">
        <v>109</v>
      </c>
      <c r="D3" s="22" t="s">
        <v>110</v>
      </c>
    </row>
    <row r="4" customFormat="false" ht="15" hidden="false" customHeight="true" outlineLevel="0" collapsed="false">
      <c r="A4" s="5" t="s">
        <v>111</v>
      </c>
      <c r="B4" s="6" t="n">
        <v>5307510</v>
      </c>
      <c r="C4" s="6" t="n">
        <v>6156577</v>
      </c>
      <c r="D4" s="10" t="n">
        <f aca="false">C4-B4</f>
        <v>849067</v>
      </c>
    </row>
    <row r="5" customFormat="false" ht="15" hidden="false" customHeight="true" outlineLevel="0" collapsed="false">
      <c r="A5" s="5" t="s">
        <v>112</v>
      </c>
      <c r="B5" s="6" t="n">
        <v>0</v>
      </c>
      <c r="C5" s="6" t="n">
        <v>849067</v>
      </c>
      <c r="D5" s="10" t="n">
        <f aca="false">C5-B5</f>
        <v>849067</v>
      </c>
    </row>
    <row r="6" customFormat="false" ht="15" hidden="false" customHeight="true" outlineLevel="0" collapsed="false">
      <c r="A6" s="13" t="s">
        <v>113</v>
      </c>
      <c r="B6" s="7" t="n">
        <f aca="false">SUM(B4:B5)</f>
        <v>5307510</v>
      </c>
      <c r="C6" s="7" t="n">
        <f aca="false">SUM(C4:C5)</f>
        <v>7005644</v>
      </c>
      <c r="D6" s="7" t="n">
        <f aca="false">SUM(D4:D5)</f>
        <v>1698134</v>
      </c>
    </row>
    <row r="9" customFormat="false" ht="15" hidden="false" customHeight="true" outlineLevel="0" collapsed="false">
      <c r="A9" s="4" t="s">
        <v>114</v>
      </c>
    </row>
    <row r="10" customFormat="false" ht="15" hidden="false" customHeight="true" outlineLevel="0" collapsed="false">
      <c r="A10" s="22" t="s">
        <v>115</v>
      </c>
      <c r="B10" s="22" t="s">
        <v>116</v>
      </c>
      <c r="C10" s="2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118</v>
      </c>
    </row>
    <row r="3" customFormat="false" ht="15" hidden="false" customHeight="true" outlineLevel="0" collapsed="false">
      <c r="A3" s="22" t="s">
        <v>119</v>
      </c>
      <c r="B3" s="22" t="s">
        <v>120</v>
      </c>
      <c r="C3" s="22" t="s">
        <v>121</v>
      </c>
      <c r="D3" s="22" t="s">
        <v>122</v>
      </c>
      <c r="E3" s="22" t="s">
        <v>123</v>
      </c>
      <c r="F3" s="22" t="s">
        <v>124</v>
      </c>
      <c r="G3" s="2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126</v>
      </c>
    </row>
    <row r="3" customFormat="false" ht="15" hidden="false" customHeight="true" outlineLevel="0" collapsed="false">
      <c r="A3" s="22" t="s">
        <v>127</v>
      </c>
      <c r="B3" s="22" t="s">
        <v>128</v>
      </c>
      <c r="C3" s="22" t="s">
        <v>116</v>
      </c>
      <c r="D3" s="22" t="s">
        <v>117</v>
      </c>
      <c r="E3" s="2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130</v>
      </c>
    </row>
    <row r="3" customFormat="false" ht="15" hidden="false" customHeight="true" outlineLevel="0" collapsed="false">
      <c r="A3" s="22" t="s">
        <v>131</v>
      </c>
      <c r="B3" s="22" t="s">
        <v>116</v>
      </c>
      <c r="C3" s="22" t="s">
        <v>108</v>
      </c>
      <c r="D3" s="22" t="s">
        <v>109</v>
      </c>
      <c r="E3" s="22" t="s">
        <v>132</v>
      </c>
      <c r="F3" s="22" t="s">
        <v>133</v>
      </c>
      <c r="G3" s="22" t="s">
        <v>134</v>
      </c>
      <c r="H3" s="22" t="s">
        <v>135</v>
      </c>
    </row>
    <row r="4" customFormat="false" ht="15" hidden="false" customHeight="true" outlineLevel="0" collapsed="false">
      <c r="A4" s="5" t="s">
        <v>136</v>
      </c>
      <c r="B4" s="5" t="s">
        <v>137</v>
      </c>
      <c r="C4" s="6" t="n">
        <v>39900</v>
      </c>
      <c r="D4" s="6" t="n">
        <v>39900</v>
      </c>
      <c r="E4" s="6" t="n">
        <v>1166</v>
      </c>
      <c r="F4" s="10" t="n">
        <f aca="false">D4-E4</f>
        <v>38734</v>
      </c>
      <c r="G4" s="6" t="n">
        <v>0</v>
      </c>
      <c r="H4" s="23" t="n">
        <f aca="false">IFERROR(E4/D4,0)</f>
        <v>0.0292230576441103</v>
      </c>
    </row>
    <row r="5" customFormat="false" ht="15" hidden="false" customHeight="true" outlineLevel="0" collapsed="false">
      <c r="A5" s="5" t="s">
        <v>138</v>
      </c>
      <c r="B5" s="5" t="s">
        <v>139</v>
      </c>
      <c r="C5" s="6" t="n">
        <v>66500</v>
      </c>
      <c r="D5" s="6" t="n">
        <v>81000</v>
      </c>
      <c r="E5" s="6" t="n">
        <v>30723</v>
      </c>
      <c r="F5" s="10" t="n">
        <f aca="false">D5-E5</f>
        <v>50277</v>
      </c>
      <c r="G5" s="6" t="n">
        <v>0</v>
      </c>
      <c r="H5" s="23" t="n">
        <f aca="false">IFERROR(E5/D5,0)</f>
        <v>0.379296296296296</v>
      </c>
    </row>
    <row r="6" customFormat="false" ht="15" hidden="false" customHeight="true" outlineLevel="0" collapsed="false">
      <c r="A6" s="5" t="s">
        <v>140</v>
      </c>
      <c r="B6" s="5" t="s">
        <v>141</v>
      </c>
      <c r="C6" s="6" t="n">
        <v>63020</v>
      </c>
      <c r="D6" s="6" t="n">
        <v>67110</v>
      </c>
      <c r="E6" s="6" t="n">
        <v>27494.5</v>
      </c>
      <c r="F6" s="10" t="n">
        <f aca="false">D6-E6</f>
        <v>39615.5</v>
      </c>
      <c r="G6" s="6" t="n">
        <v>0</v>
      </c>
      <c r="H6" s="23" t="n">
        <f aca="false">IFERROR(E6/D6,0)</f>
        <v>0.409693041275518</v>
      </c>
    </row>
    <row r="7" customFormat="false" ht="15" hidden="false" customHeight="true" outlineLevel="0" collapsed="false">
      <c r="A7" s="5" t="s">
        <v>142</v>
      </c>
      <c r="B7" s="5" t="s">
        <v>143</v>
      </c>
      <c r="C7" s="6" t="n">
        <v>271830</v>
      </c>
      <c r="D7" s="6" t="n">
        <v>291758</v>
      </c>
      <c r="E7" s="6" t="n">
        <v>110765.25</v>
      </c>
      <c r="F7" s="10" t="n">
        <f aca="false">D7-E7</f>
        <v>180992.75</v>
      </c>
      <c r="G7" s="6" t="n">
        <v>0</v>
      </c>
      <c r="H7" s="23" t="n">
        <f aca="false">IFERROR(E7/D7,0)</f>
        <v>0.37964768746701</v>
      </c>
    </row>
    <row r="8" customFormat="false" ht="15" hidden="false" customHeight="true" outlineLevel="0" collapsed="false">
      <c r="A8" s="5" t="s">
        <v>144</v>
      </c>
      <c r="B8" s="5" t="s">
        <v>145</v>
      </c>
      <c r="C8" s="6" t="n">
        <v>54450</v>
      </c>
      <c r="D8" s="6" t="n">
        <v>56815</v>
      </c>
      <c r="E8" s="6" t="n">
        <v>41968</v>
      </c>
      <c r="F8" s="10" t="n">
        <f aca="false">D8-E8</f>
        <v>14847</v>
      </c>
      <c r="G8" s="6" t="n">
        <v>0</v>
      </c>
      <c r="H8" s="23" t="n">
        <f aca="false">IFERROR(E8/D8,0)</f>
        <v>0.738678165977295</v>
      </c>
    </row>
    <row r="9" customFormat="false" ht="15" hidden="false" customHeight="true" outlineLevel="0" collapsed="false">
      <c r="A9" s="5" t="s">
        <v>146</v>
      </c>
      <c r="B9" s="5" t="s">
        <v>147</v>
      </c>
      <c r="C9" s="6" t="n">
        <v>479570</v>
      </c>
      <c r="D9" s="6" t="n">
        <v>618308</v>
      </c>
      <c r="E9" s="6" t="n">
        <v>422639.89</v>
      </c>
      <c r="F9" s="10" t="n">
        <f aca="false">D9-E9</f>
        <v>195668.11</v>
      </c>
      <c r="G9" s="6" t="n">
        <v>0</v>
      </c>
      <c r="H9" s="23" t="n">
        <f aca="false">IFERROR(E9/D9,0)</f>
        <v>0.683542651882234</v>
      </c>
    </row>
    <row r="10" customFormat="false" ht="15" hidden="false" customHeight="true" outlineLevel="0" collapsed="false">
      <c r="A10" s="5" t="s">
        <v>148</v>
      </c>
      <c r="B10" s="5" t="s">
        <v>149</v>
      </c>
      <c r="C10" s="6" t="n">
        <v>110025</v>
      </c>
      <c r="D10" s="6" t="n">
        <v>129670</v>
      </c>
      <c r="E10" s="6" t="n">
        <v>107754</v>
      </c>
      <c r="F10" s="10" t="n">
        <f aca="false">D10-E10</f>
        <v>21916</v>
      </c>
      <c r="G10" s="6" t="n">
        <v>0</v>
      </c>
      <c r="H10" s="23" t="n">
        <f aca="false">IFERROR(E10/D10,0)</f>
        <v>0.830986349965297</v>
      </c>
    </row>
    <row r="11" customFormat="false" ht="15" hidden="false" customHeight="true" outlineLevel="0" collapsed="false">
      <c r="A11" s="5" t="s">
        <v>150</v>
      </c>
      <c r="B11" s="5" t="s">
        <v>151</v>
      </c>
      <c r="C11" s="6" t="n">
        <v>60000</v>
      </c>
      <c r="D11" s="6" t="n">
        <v>55700</v>
      </c>
      <c r="E11" s="6" t="n">
        <v>17179.5</v>
      </c>
      <c r="F11" s="10" t="n">
        <f aca="false">D11-E11</f>
        <v>38520.5</v>
      </c>
      <c r="G11" s="6" t="n">
        <v>0</v>
      </c>
      <c r="H11" s="23" t="n">
        <f aca="false">IFERROR(E11/D11,0)</f>
        <v>0.30842908438061</v>
      </c>
    </row>
    <row r="12" customFormat="false" ht="15" hidden="false" customHeight="true" outlineLevel="0" collapsed="false">
      <c r="A12" s="5" t="s">
        <v>152</v>
      </c>
      <c r="B12" s="5" t="s">
        <v>153</v>
      </c>
      <c r="C12" s="6" t="n">
        <v>151330</v>
      </c>
      <c r="D12" s="6" t="n">
        <v>159280</v>
      </c>
      <c r="E12" s="6" t="n">
        <v>114150.95</v>
      </c>
      <c r="F12" s="10" t="n">
        <f aca="false">D12-E12</f>
        <v>45129.05</v>
      </c>
      <c r="G12" s="6" t="n">
        <v>0</v>
      </c>
      <c r="H12" s="23" t="n">
        <f aca="false">IFERROR(E12/D12,0)</f>
        <v>0.716668445504772</v>
      </c>
    </row>
    <row r="13" customFormat="false" ht="15" hidden="false" customHeight="true" outlineLevel="0" collapsed="false">
      <c r="A13" s="5" t="s">
        <v>154</v>
      </c>
      <c r="B13" s="5" t="s">
        <v>155</v>
      </c>
      <c r="C13" s="6" t="n">
        <v>40000</v>
      </c>
      <c r="D13" s="6" t="n">
        <v>40500</v>
      </c>
      <c r="E13" s="6" t="n">
        <v>47501.5</v>
      </c>
      <c r="F13" s="10" t="n">
        <f aca="false">D13-E13</f>
        <v>-7001.5</v>
      </c>
      <c r="G13" s="6" t="n">
        <v>0</v>
      </c>
      <c r="H13" s="23" t="n">
        <f aca="false">IFERROR(E13/D13,0)</f>
        <v>1.17287654320988</v>
      </c>
    </row>
    <row r="14" customFormat="false" ht="15" hidden="false" customHeight="true" outlineLevel="0" collapsed="false">
      <c r="A14" s="5" t="s">
        <v>156</v>
      </c>
      <c r="B14" s="5" t="s">
        <v>157</v>
      </c>
      <c r="C14" s="6" t="n">
        <v>0</v>
      </c>
      <c r="D14" s="6" t="n">
        <v>0</v>
      </c>
      <c r="E14" s="6" t="n">
        <v>829</v>
      </c>
      <c r="F14" s="10" t="n">
        <f aca="false">D14-E14</f>
        <v>-829</v>
      </c>
      <c r="G14" s="6" t="n">
        <v>0</v>
      </c>
      <c r="H14" s="23" t="n">
        <f aca="false">IFERROR(E14/D14,0)</f>
        <v>0</v>
      </c>
    </row>
    <row r="15" customFormat="false" ht="15" hidden="false" customHeight="true" outlineLevel="0" collapsed="false">
      <c r="A15" s="5" t="s">
        <v>158</v>
      </c>
      <c r="B15" s="5" t="s">
        <v>159</v>
      </c>
      <c r="C15" s="6" t="n">
        <v>50000</v>
      </c>
      <c r="D15" s="6" t="n">
        <v>50750</v>
      </c>
      <c r="E15" s="6" t="n">
        <v>26001.45</v>
      </c>
      <c r="F15" s="10" t="n">
        <f aca="false">D15-E15</f>
        <v>24748.55</v>
      </c>
      <c r="G15" s="6" t="n">
        <v>0</v>
      </c>
      <c r="H15" s="23" t="n">
        <f aca="false">IFERROR(E15/D15,0)</f>
        <v>0.512343842364532</v>
      </c>
    </row>
    <row r="16" customFormat="false" ht="15" hidden="false" customHeight="true" outlineLevel="0" collapsed="false">
      <c r="A16" s="5" t="s">
        <v>160</v>
      </c>
      <c r="B16" s="5" t="s">
        <v>161</v>
      </c>
      <c r="C16" s="6" t="n">
        <v>246784</v>
      </c>
      <c r="D16" s="6" t="n">
        <v>250234</v>
      </c>
      <c r="E16" s="6" t="n">
        <v>39400.27</v>
      </c>
      <c r="F16" s="10" t="n">
        <f aca="false">D16-E16</f>
        <v>210833.73</v>
      </c>
      <c r="G16" s="6" t="n">
        <v>0</v>
      </c>
      <c r="H16" s="23" t="n">
        <f aca="false">IFERROR(E16/D16,0)</f>
        <v>0.15745370333368</v>
      </c>
    </row>
    <row r="17" customFormat="false" ht="15" hidden="false" customHeight="true" outlineLevel="0" collapsed="false">
      <c r="A17" s="5" t="s">
        <v>162</v>
      </c>
      <c r="B17" s="5" t="s">
        <v>163</v>
      </c>
      <c r="C17" s="6" t="n">
        <v>54450</v>
      </c>
      <c r="D17" s="6" t="n">
        <v>54950</v>
      </c>
      <c r="E17" s="6" t="n">
        <v>24014.23</v>
      </c>
      <c r="F17" s="10" t="n">
        <f aca="false">D17-E17</f>
        <v>30935.77</v>
      </c>
      <c r="G17" s="6" t="n">
        <v>0</v>
      </c>
      <c r="H17" s="23" t="n">
        <f aca="false">IFERROR(E17/D17,0)</f>
        <v>0.437019654231119</v>
      </c>
    </row>
    <row r="18" customFormat="false" ht="15" hidden="false" customHeight="true" outlineLevel="0" collapsed="false">
      <c r="A18" s="5" t="s">
        <v>164</v>
      </c>
      <c r="B18" s="5" t="s">
        <v>165</v>
      </c>
      <c r="C18" s="6" t="n">
        <v>205194</v>
      </c>
      <c r="D18" s="6" t="n">
        <v>376194</v>
      </c>
      <c r="E18" s="6" t="n">
        <v>162471.68</v>
      </c>
      <c r="F18" s="10" t="n">
        <f aca="false">D18-E18</f>
        <v>213722.32</v>
      </c>
      <c r="G18" s="6" t="n">
        <v>0</v>
      </c>
      <c r="H18" s="23" t="n">
        <f aca="false">IFERROR(E18/D18,0)</f>
        <v>0.43188269882029</v>
      </c>
    </row>
    <row r="19" customFormat="false" ht="15" hidden="false" customHeight="true" outlineLevel="0" collapsed="false">
      <c r="A19" s="5" t="s">
        <v>166</v>
      </c>
      <c r="B19" s="5" t="s">
        <v>167</v>
      </c>
      <c r="C19" s="6" t="n">
        <v>875550</v>
      </c>
      <c r="D19" s="6" t="n">
        <v>998490</v>
      </c>
      <c r="E19" s="6" t="n">
        <v>539813.97</v>
      </c>
      <c r="F19" s="10" t="n">
        <f aca="false">D19-E19</f>
        <v>458676.03</v>
      </c>
      <c r="G19" s="6" t="n">
        <v>0</v>
      </c>
      <c r="H19" s="23" t="n">
        <f aca="false">IFERROR(E19/D19,0)</f>
        <v>0.540630321785897</v>
      </c>
    </row>
    <row r="20" customFormat="false" ht="15" hidden="false" customHeight="true" outlineLevel="0" collapsed="false">
      <c r="A20" s="5" t="s">
        <v>168</v>
      </c>
      <c r="B20" s="5" t="s">
        <v>169</v>
      </c>
      <c r="C20" s="6" t="n">
        <v>78000</v>
      </c>
      <c r="D20" s="6" t="n">
        <v>71950</v>
      </c>
      <c r="E20" s="6" t="n">
        <v>13263.56</v>
      </c>
      <c r="F20" s="10" t="n">
        <f aca="false">D20-E20</f>
        <v>58686.44</v>
      </c>
      <c r="G20" s="6" t="n">
        <v>0</v>
      </c>
      <c r="H20" s="23" t="n">
        <f aca="false">IFERROR(E20/D20,0)</f>
        <v>0.184344127866574</v>
      </c>
    </row>
    <row r="21" customFormat="false" ht="15" hidden="false" customHeight="true" outlineLevel="0" collapsed="false">
      <c r="A21" s="5" t="s">
        <v>170</v>
      </c>
      <c r="B21" s="5" t="s">
        <v>171</v>
      </c>
      <c r="C21" s="6" t="n">
        <v>189170</v>
      </c>
      <c r="D21" s="6" t="n">
        <v>195680</v>
      </c>
      <c r="E21" s="6" t="n">
        <v>134603.6</v>
      </c>
      <c r="F21" s="10" t="n">
        <f aca="false">D21-E21</f>
        <v>61076.4</v>
      </c>
      <c r="G21" s="6" t="n">
        <v>0</v>
      </c>
      <c r="H21" s="23" t="n">
        <f aca="false">IFERROR(E21/D21,0)</f>
        <v>0.687876124284546</v>
      </c>
    </row>
    <row r="22" customFormat="false" ht="15" hidden="false" customHeight="true" outlineLevel="0" collapsed="false">
      <c r="A22" s="5" t="s">
        <v>172</v>
      </c>
      <c r="B22" s="5" t="s">
        <v>173</v>
      </c>
      <c r="C22" s="6" t="n">
        <v>40000</v>
      </c>
      <c r="D22" s="6" t="n">
        <v>40000</v>
      </c>
      <c r="E22" s="6" t="n">
        <v>69474.91</v>
      </c>
      <c r="F22" s="10" t="n">
        <f aca="false">D22-E22</f>
        <v>-29474.91</v>
      </c>
      <c r="G22" s="6" t="n">
        <v>0</v>
      </c>
      <c r="H22" s="23" t="n">
        <f aca="false">IFERROR(E22/D22,0)</f>
        <v>1.73687275</v>
      </c>
    </row>
    <row r="23" customFormat="false" ht="15" hidden="false" customHeight="true" outlineLevel="0" collapsed="false">
      <c r="A23" s="5" t="s">
        <v>174</v>
      </c>
      <c r="B23" s="5" t="s">
        <v>175</v>
      </c>
      <c r="C23" s="6" t="n">
        <v>2000</v>
      </c>
      <c r="D23" s="6" t="n">
        <v>8300</v>
      </c>
      <c r="E23" s="6" t="n">
        <v>25781.65</v>
      </c>
      <c r="F23" s="10" t="n">
        <f aca="false">D23-E23</f>
        <v>-17481.65</v>
      </c>
      <c r="G23" s="6" t="n">
        <v>0</v>
      </c>
      <c r="H23" s="23" t="n">
        <f aca="false">IFERROR(E23/D23,0)</f>
        <v>3.10622289156627</v>
      </c>
    </row>
    <row r="24" customFormat="false" ht="15" hidden="false" customHeight="true" outlineLevel="0" collapsed="false">
      <c r="A24" s="5" t="s">
        <v>176</v>
      </c>
      <c r="B24" s="5" t="s">
        <v>177</v>
      </c>
      <c r="C24" s="6" t="n">
        <v>90000</v>
      </c>
      <c r="D24" s="6" t="n">
        <v>120000</v>
      </c>
      <c r="E24" s="6" t="n">
        <v>100995.25</v>
      </c>
      <c r="F24" s="10" t="n">
        <f aca="false">D24-E24</f>
        <v>19004.75</v>
      </c>
      <c r="G24" s="6" t="n">
        <v>0</v>
      </c>
      <c r="H24" s="23" t="n">
        <f aca="false">IFERROR(E24/D24,0)</f>
        <v>0.841627083333333</v>
      </c>
    </row>
    <row r="25" customFormat="false" ht="15" hidden="false" customHeight="true" outlineLevel="0" collapsed="false">
      <c r="A25" s="5" t="s">
        <v>178</v>
      </c>
      <c r="B25" s="5" t="s">
        <v>179</v>
      </c>
      <c r="C25" s="6" t="n">
        <v>10000</v>
      </c>
      <c r="D25" s="6" t="n">
        <v>10000</v>
      </c>
      <c r="E25" s="6" t="n">
        <v>1673.84</v>
      </c>
      <c r="F25" s="10" t="n">
        <f aca="false">D25-E25</f>
        <v>8326.16</v>
      </c>
      <c r="G25" s="6" t="n">
        <v>0</v>
      </c>
      <c r="H25" s="23" t="n">
        <f aca="false">IFERROR(E25/D25,0)</f>
        <v>0.167384</v>
      </c>
    </row>
    <row r="26" customFormat="false" ht="15" hidden="false" customHeight="true" outlineLevel="0" collapsed="false">
      <c r="A26" s="5" t="s">
        <v>180</v>
      </c>
      <c r="B26" s="5" t="s">
        <v>181</v>
      </c>
      <c r="C26" s="6" t="n">
        <v>32000</v>
      </c>
      <c r="D26" s="6" t="n">
        <v>35400</v>
      </c>
      <c r="E26" s="6" t="n">
        <v>29026.58</v>
      </c>
      <c r="F26" s="10" t="n">
        <f aca="false">D26-E26</f>
        <v>6373.42</v>
      </c>
      <c r="G26" s="6" t="n">
        <v>0</v>
      </c>
      <c r="H26" s="23" t="n">
        <f aca="false">IFERROR(E26/D26,0)</f>
        <v>0.81995988700565</v>
      </c>
    </row>
    <row r="27" customFormat="false" ht="15" hidden="false" customHeight="true" outlineLevel="0" collapsed="false">
      <c r="A27" s="5" t="s">
        <v>182</v>
      </c>
      <c r="B27" s="5" t="s">
        <v>183</v>
      </c>
      <c r="C27" s="6" t="n">
        <v>30000</v>
      </c>
      <c r="D27" s="6" t="n">
        <v>30000</v>
      </c>
      <c r="E27" s="6" t="n">
        <v>30712.97</v>
      </c>
      <c r="F27" s="10" t="n">
        <f aca="false">D27-E27</f>
        <v>-712.970000000001</v>
      </c>
      <c r="G27" s="6" t="n">
        <v>0</v>
      </c>
      <c r="H27" s="23" t="n">
        <f aca="false">IFERROR(E27/D27,0)</f>
        <v>1.02376566666667</v>
      </c>
    </row>
    <row r="28" customFormat="false" ht="15" hidden="false" customHeight="true" outlineLevel="0" collapsed="false">
      <c r="A28" s="5" t="s">
        <v>184</v>
      </c>
      <c r="B28" s="5" t="s">
        <v>185</v>
      </c>
      <c r="C28" s="6" t="n">
        <v>499229.44</v>
      </c>
      <c r="D28" s="6" t="n">
        <v>590721.42</v>
      </c>
      <c r="E28" s="6" t="n">
        <v>385611.57</v>
      </c>
      <c r="F28" s="10" t="n">
        <f aca="false">D28-E28</f>
        <v>205109.85</v>
      </c>
      <c r="G28" s="6" t="n">
        <v>0</v>
      </c>
      <c r="H28" s="23" t="n">
        <f aca="false">IFERROR(E28/D28,0)</f>
        <v>0.652780747310636</v>
      </c>
    </row>
    <row r="29" customFormat="false" ht="15" hidden="false" customHeight="true" outlineLevel="0" collapsed="false">
      <c r="A29" s="5" t="s">
        <v>186</v>
      </c>
      <c r="B29" s="5" t="s">
        <v>187</v>
      </c>
      <c r="C29" s="6" t="n">
        <v>102251.81</v>
      </c>
      <c r="D29" s="6" t="n">
        <v>117805.26</v>
      </c>
      <c r="E29" s="6" t="n">
        <v>70655.82</v>
      </c>
      <c r="F29" s="10" t="n">
        <f aca="false">D29-E29</f>
        <v>47149.44</v>
      </c>
      <c r="G29" s="6" t="n">
        <v>0</v>
      </c>
      <c r="H29" s="23" t="n">
        <f aca="false">IFERROR(E29/D29,0)</f>
        <v>0.599767956031845</v>
      </c>
    </row>
    <row r="30" customFormat="false" ht="15" hidden="false" customHeight="true" outlineLevel="0" collapsed="false">
      <c r="A30" s="13" t="s">
        <v>188</v>
      </c>
      <c r="C30" s="7" t="n">
        <f aca="false">SUM(C4:C29)</f>
        <v>3841254.25</v>
      </c>
      <c r="D30" s="7" t="n">
        <f aca="false">SUM(D4:D29)</f>
        <v>4490515.68</v>
      </c>
      <c r="E30" s="7" t="n">
        <f aca="false">SUM(E4:E29)</f>
        <v>2575672.94</v>
      </c>
      <c r="F30" s="7" t="n">
        <f aca="false">SUM(F4:F29)</f>
        <v>1914842.74</v>
      </c>
      <c r="G30" s="7" t="n">
        <f aca="false">SUM(G4:G29)</f>
        <v>0</v>
      </c>
      <c r="H30" s="8" t="n">
        <f aca="false">IFERROR(E30/D30,0)</f>
        <v>0.573580658335437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189</v>
      </c>
    </row>
    <row r="3" customFormat="false" ht="15" hidden="false" customHeight="true" outlineLevel="0" collapsed="false">
      <c r="A3" s="22" t="s">
        <v>190</v>
      </c>
      <c r="B3" s="22" t="s">
        <v>191</v>
      </c>
      <c r="C3" s="22" t="s">
        <v>192</v>
      </c>
      <c r="D3" s="22" t="s">
        <v>132</v>
      </c>
      <c r="E3" s="22" t="s">
        <v>133</v>
      </c>
      <c r="F3" s="22" t="s">
        <v>135</v>
      </c>
    </row>
    <row r="4" customFormat="false" ht="15" hidden="false" customHeight="true" outlineLevel="0" collapsed="false">
      <c r="A4" s="13" t="s">
        <v>193</v>
      </c>
      <c r="B4" s="5" t="n">
        <v>11</v>
      </c>
      <c r="C4" s="6" t="n">
        <v>1540041</v>
      </c>
      <c r="D4" s="6" t="n">
        <v>922171.59</v>
      </c>
      <c r="E4" s="10" t="n">
        <f aca="false">C4-D4</f>
        <v>617869.41</v>
      </c>
      <c r="F4" s="23" t="n">
        <f aca="false">IFERROR(D4/C4,0)</f>
        <v>0.598796778787058</v>
      </c>
    </row>
    <row r="5" customFormat="false" ht="15" hidden="false" customHeight="true" outlineLevel="0" collapsed="false">
      <c r="A5" s="13" t="s">
        <v>194</v>
      </c>
      <c r="B5" s="5" t="n">
        <v>8</v>
      </c>
      <c r="C5" s="6" t="n">
        <v>2038248</v>
      </c>
      <c r="D5" s="6" t="n">
        <v>1009043.67</v>
      </c>
      <c r="E5" s="10" t="n">
        <f aca="false">C5-D5</f>
        <v>1029204.33</v>
      </c>
      <c r="F5" s="23" t="n">
        <f aca="false">IFERROR(D5/C5,0)</f>
        <v>0.495054414379408</v>
      </c>
    </row>
    <row r="6" customFormat="false" ht="15" hidden="false" customHeight="true" outlineLevel="0" collapsed="false">
      <c r="A6" s="13" t="s">
        <v>195</v>
      </c>
      <c r="B6" s="5" t="n">
        <v>5</v>
      </c>
      <c r="C6" s="6" t="n">
        <v>203700</v>
      </c>
      <c r="D6" s="6" t="n">
        <v>188190.29</v>
      </c>
      <c r="E6" s="10" t="n">
        <f aca="false">C6-D6</f>
        <v>15509.71</v>
      </c>
      <c r="F6" s="23" t="n">
        <f aca="false">IFERROR(D6/C6,0)</f>
        <v>0.923860039273441</v>
      </c>
    </row>
    <row r="7" customFormat="false" ht="15" hidden="false" customHeight="true" outlineLevel="0" collapsed="false">
      <c r="A7" s="13" t="s">
        <v>196</v>
      </c>
      <c r="B7" s="5" t="n">
        <v>2</v>
      </c>
      <c r="C7" s="6" t="n">
        <v>708526.68</v>
      </c>
      <c r="D7" s="6" t="n">
        <v>456267.39</v>
      </c>
      <c r="E7" s="10" t="n">
        <f aca="false">C7-D7</f>
        <v>252259.29</v>
      </c>
      <c r="F7" s="23" t="n">
        <f aca="false">IFERROR(D7/C7,0)</f>
        <v>0.643966420572899</v>
      </c>
    </row>
    <row r="8" customFormat="false" ht="15" hidden="false" customHeight="true" outlineLevel="0" collapsed="false">
      <c r="A8" s="13" t="s">
        <v>188</v>
      </c>
      <c r="B8" s="24" t="n">
        <f aca="false">SUM(B4:B7)</f>
        <v>26</v>
      </c>
      <c r="C8" s="7" t="n">
        <f aca="false">SUM(C4:C7)</f>
        <v>4490515.68</v>
      </c>
      <c r="D8" s="7" t="n">
        <f aca="false">SUM(D4:D7)</f>
        <v>2575672.94</v>
      </c>
      <c r="E8" s="7" t="n">
        <f aca="false">SUM(E4:E7)</f>
        <v>1914842.74</v>
      </c>
      <c r="F8" s="8" t="n">
        <f aca="false">IFERROR(D8/C8,0)</f>
        <v>0.573580658335437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197</v>
      </c>
    </row>
    <row r="2" customFormat="false" ht="15" hidden="false" customHeight="true" outlineLevel="0" collapsed="false">
      <c r="A2" s="3" t="s">
        <v>198</v>
      </c>
    </row>
    <row r="4" customFormat="false" ht="15" hidden="false" customHeight="true" outlineLevel="0" collapsed="false">
      <c r="A4" s="22" t="s">
        <v>131</v>
      </c>
      <c r="B4" s="22" t="s">
        <v>116</v>
      </c>
      <c r="C4" s="22" t="s">
        <v>109</v>
      </c>
      <c r="D4" s="22" t="s">
        <v>132</v>
      </c>
      <c r="E4" s="22" t="s">
        <v>133</v>
      </c>
      <c r="F4" s="22" t="s">
        <v>199</v>
      </c>
      <c r="G4" s="22" t="s">
        <v>129</v>
      </c>
    </row>
    <row r="5" customFormat="false" ht="15" hidden="false" customHeight="true" outlineLevel="0" collapsed="false">
      <c r="A5" s="5" t="s">
        <v>136</v>
      </c>
      <c r="B5" s="5" t="s">
        <v>137</v>
      </c>
      <c r="C5" s="6" t="n">
        <v>39900</v>
      </c>
      <c r="D5" s="6" t="n">
        <v>1166</v>
      </c>
      <c r="E5" s="10" t="n">
        <f aca="false">C5-D5</f>
        <v>38734</v>
      </c>
      <c r="F5" s="23" t="n">
        <f aca="false">IFERROR((D5-C5)/C5,0)</f>
        <v>-0.97077694235589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138</v>
      </c>
      <c r="B6" s="5" t="s">
        <v>139</v>
      </c>
      <c r="C6" s="6" t="n">
        <v>81000</v>
      </c>
      <c r="D6" s="6" t="n">
        <v>30723</v>
      </c>
      <c r="E6" s="10" t="n">
        <f aca="false">C6-D6</f>
        <v>50277</v>
      </c>
      <c r="F6" s="23" t="n">
        <f aca="false">IFERROR((D6-C6)/C6,0)</f>
        <v>-0.620703703703704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140</v>
      </c>
      <c r="B7" s="5" t="s">
        <v>141</v>
      </c>
      <c r="C7" s="6" t="n">
        <v>67110</v>
      </c>
      <c r="D7" s="6" t="n">
        <v>27494.5</v>
      </c>
      <c r="E7" s="10" t="n">
        <f aca="false">C7-D7</f>
        <v>39615.5</v>
      </c>
      <c r="F7" s="23" t="n">
        <f aca="false">IFERROR((D7-C7)/C7,0)</f>
        <v>-0.590306958724482</v>
      </c>
      <c r="G7" s="25" t="str">
        <f aca="false">IF(C7=0,"UNBUDGETED",IF(F7&gt;0.5,"CRITICAL",IF(F7&gt;0.1,"OVER",IF(F7&lt;-0.1,"UNDER","ON"))))</f>
        <v>UNDER</v>
      </c>
    </row>
    <row r="8" customFormat="false" ht="15" hidden="false" customHeight="true" outlineLevel="0" collapsed="false">
      <c r="A8" s="5" t="s">
        <v>142</v>
      </c>
      <c r="B8" s="5" t="s">
        <v>143</v>
      </c>
      <c r="C8" s="6" t="n">
        <v>291758</v>
      </c>
      <c r="D8" s="6" t="n">
        <v>110765.25</v>
      </c>
      <c r="E8" s="10" t="n">
        <f aca="false">C8-D8</f>
        <v>180992.75</v>
      </c>
      <c r="F8" s="23" t="n">
        <f aca="false">IFERROR((D8-C8)/C8,0)</f>
        <v>-0.62035231253299</v>
      </c>
      <c r="G8" s="25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144</v>
      </c>
      <c r="B9" s="5" t="s">
        <v>145</v>
      </c>
      <c r="C9" s="6" t="n">
        <v>56815</v>
      </c>
      <c r="D9" s="6" t="n">
        <v>41968</v>
      </c>
      <c r="E9" s="10" t="n">
        <f aca="false">C9-D9</f>
        <v>14847</v>
      </c>
      <c r="F9" s="23" t="n">
        <f aca="false">IFERROR((D9-C9)/C9,0)</f>
        <v>-0.261321834022705</v>
      </c>
      <c r="G9" s="25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146</v>
      </c>
      <c r="B10" s="5" t="s">
        <v>147</v>
      </c>
      <c r="C10" s="6" t="n">
        <v>618308</v>
      </c>
      <c r="D10" s="6" t="n">
        <v>422639.89</v>
      </c>
      <c r="E10" s="10" t="n">
        <f aca="false">C10-D10</f>
        <v>195668.11</v>
      </c>
      <c r="F10" s="23" t="n">
        <f aca="false">IFERROR((D10-C10)/C10,0)</f>
        <v>-0.316457348117767</v>
      </c>
      <c r="G10" s="25" t="str">
        <f aca="false">IF(C10=0,"UNBUDGETED",IF(F10&gt;0.5,"CRITICAL",IF(F10&gt;0.1,"OVER",IF(F10&lt;-0.1,"UNDER","ON"))))</f>
        <v>UNDER</v>
      </c>
    </row>
    <row r="11" customFormat="false" ht="15" hidden="false" customHeight="true" outlineLevel="0" collapsed="false">
      <c r="A11" s="5" t="s">
        <v>148</v>
      </c>
      <c r="B11" s="5" t="s">
        <v>149</v>
      </c>
      <c r="C11" s="6" t="n">
        <v>129670</v>
      </c>
      <c r="D11" s="6" t="n">
        <v>107754</v>
      </c>
      <c r="E11" s="10" t="n">
        <f aca="false">C11-D11</f>
        <v>21916</v>
      </c>
      <c r="F11" s="23" t="n">
        <f aca="false">IFERROR((D11-C11)/C11,0)</f>
        <v>-0.169013650034703</v>
      </c>
      <c r="G11" s="25" t="str">
        <f aca="false">IF(C11=0,"UNBUDGETED",IF(F11&gt;0.5,"CRITICAL",IF(F11&gt;0.1,"OVER",IF(F11&lt;-0.1,"UNDER","ON"))))</f>
        <v>UNDER</v>
      </c>
    </row>
    <row r="12" customFormat="false" ht="15" hidden="false" customHeight="true" outlineLevel="0" collapsed="false">
      <c r="A12" s="5" t="s">
        <v>150</v>
      </c>
      <c r="B12" s="5" t="s">
        <v>151</v>
      </c>
      <c r="C12" s="6" t="n">
        <v>55700</v>
      </c>
      <c r="D12" s="6" t="n">
        <v>17179.5</v>
      </c>
      <c r="E12" s="10" t="n">
        <f aca="false">C12-D12</f>
        <v>38520.5</v>
      </c>
      <c r="F12" s="23" t="n">
        <f aca="false">IFERROR((D12-C12)/C12,0)</f>
        <v>-0.69157091561939</v>
      </c>
      <c r="G12" s="25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152</v>
      </c>
      <c r="B13" s="5" t="s">
        <v>153</v>
      </c>
      <c r="C13" s="6" t="n">
        <v>159280</v>
      </c>
      <c r="D13" s="6" t="n">
        <v>114150.95</v>
      </c>
      <c r="E13" s="10" t="n">
        <f aca="false">C13-D13</f>
        <v>45129.05</v>
      </c>
      <c r="F13" s="23" t="n">
        <f aca="false">IFERROR((D13-C13)/C13,0)</f>
        <v>-0.283331554495229</v>
      </c>
      <c r="G13" s="25" t="str">
        <f aca="false">IF(C13=0,"UNBUDGETED",IF(F13&gt;0.5,"CRITICAL",IF(F13&gt;0.1,"OVER",IF(F13&lt;-0.1,"UNDER","ON"))))</f>
        <v>UNDER</v>
      </c>
    </row>
    <row r="14" customFormat="false" ht="15" hidden="false" customHeight="true" outlineLevel="0" collapsed="false">
      <c r="A14" s="5" t="s">
        <v>154</v>
      </c>
      <c r="B14" s="5" t="s">
        <v>155</v>
      </c>
      <c r="C14" s="6" t="n">
        <v>40500</v>
      </c>
      <c r="D14" s="6" t="n">
        <v>47501.5</v>
      </c>
      <c r="E14" s="10" t="n">
        <f aca="false">C14-D14</f>
        <v>-7001.5</v>
      </c>
      <c r="F14" s="23" t="n">
        <f aca="false">IFERROR((D14-C14)/C14,0)</f>
        <v>0.172876543209877</v>
      </c>
      <c r="G14" s="25" t="str">
        <f aca="false">IF(C14=0,"UNBUDGETED",IF(F14&gt;0.5,"CRITICAL",IF(F14&gt;0.1,"OVER",IF(F14&lt;-0.1,"UNDER","ON"))))</f>
        <v>OVER</v>
      </c>
    </row>
    <row r="15" customFormat="false" ht="15" hidden="false" customHeight="true" outlineLevel="0" collapsed="false">
      <c r="A15" s="5" t="s">
        <v>156</v>
      </c>
      <c r="B15" s="5" t="s">
        <v>157</v>
      </c>
      <c r="C15" s="6" t="n">
        <v>0</v>
      </c>
      <c r="D15" s="6" t="n">
        <v>829</v>
      </c>
      <c r="E15" s="10" t="n">
        <f aca="false">C15-D15</f>
        <v>-829</v>
      </c>
      <c r="F15" s="23" t="n">
        <f aca="false">IFERROR((D15-C15)/C15,0)</f>
        <v>0</v>
      </c>
      <c r="G15" s="25" t="str">
        <f aca="false">IF(C15=0,"UNBUDGETED",IF(F15&gt;0.5,"CRITICAL",IF(F15&gt;0.1,"OVER",IF(F15&lt;-0.1,"UNDER","ON"))))</f>
        <v>UNBUDGETED</v>
      </c>
    </row>
    <row r="16" customFormat="false" ht="15" hidden="false" customHeight="true" outlineLevel="0" collapsed="false">
      <c r="A16" s="5" t="s">
        <v>158</v>
      </c>
      <c r="B16" s="5" t="s">
        <v>159</v>
      </c>
      <c r="C16" s="6" t="n">
        <v>50750</v>
      </c>
      <c r="D16" s="6" t="n">
        <v>26001.45</v>
      </c>
      <c r="E16" s="10" t="n">
        <f aca="false">C16-D16</f>
        <v>24748.55</v>
      </c>
      <c r="F16" s="23" t="n">
        <f aca="false">IFERROR((D16-C16)/C16,0)</f>
        <v>-0.487656157635468</v>
      </c>
      <c r="G16" s="25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160</v>
      </c>
      <c r="B17" s="5" t="s">
        <v>161</v>
      </c>
      <c r="C17" s="6" t="n">
        <v>250234</v>
      </c>
      <c r="D17" s="6" t="n">
        <v>39400.27</v>
      </c>
      <c r="E17" s="10" t="n">
        <f aca="false">C17-D17</f>
        <v>210833.73</v>
      </c>
      <c r="F17" s="23" t="n">
        <f aca="false">IFERROR((D17-C17)/C17,0)</f>
        <v>-0.84254629666632</v>
      </c>
      <c r="G17" s="25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162</v>
      </c>
      <c r="B18" s="5" t="s">
        <v>163</v>
      </c>
      <c r="C18" s="6" t="n">
        <v>54950</v>
      </c>
      <c r="D18" s="6" t="n">
        <v>24014.23</v>
      </c>
      <c r="E18" s="10" t="n">
        <f aca="false">C18-D18</f>
        <v>30935.77</v>
      </c>
      <c r="F18" s="23" t="n">
        <f aca="false">IFERROR((D18-C18)/C18,0)</f>
        <v>-0.562980345768881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164</v>
      </c>
      <c r="B19" s="5" t="s">
        <v>165</v>
      </c>
      <c r="C19" s="6" t="n">
        <v>376194</v>
      </c>
      <c r="D19" s="6" t="n">
        <v>162471.68</v>
      </c>
      <c r="E19" s="10" t="n">
        <f aca="false">C19-D19</f>
        <v>213722.32</v>
      </c>
      <c r="F19" s="23" t="n">
        <f aca="false">IFERROR((D19-C19)/C19,0)</f>
        <v>-0.568117301179711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166</v>
      </c>
      <c r="B20" s="5" t="s">
        <v>167</v>
      </c>
      <c r="C20" s="6" t="n">
        <v>998490</v>
      </c>
      <c r="D20" s="6" t="n">
        <v>539813.97</v>
      </c>
      <c r="E20" s="10" t="n">
        <f aca="false">C20-D20</f>
        <v>458676.03</v>
      </c>
      <c r="F20" s="23" t="n">
        <f aca="false">IFERROR((D20-C20)/C20,0)</f>
        <v>-0.459369678214103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168</v>
      </c>
      <c r="B21" s="5" t="s">
        <v>169</v>
      </c>
      <c r="C21" s="6" t="n">
        <v>71950</v>
      </c>
      <c r="D21" s="6" t="n">
        <v>13263.56</v>
      </c>
      <c r="E21" s="10" t="n">
        <f aca="false">C21-D21</f>
        <v>58686.44</v>
      </c>
      <c r="F21" s="23" t="n">
        <f aca="false">IFERROR((D21-C21)/C21,0)</f>
        <v>-0.815655872133426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170</v>
      </c>
      <c r="B22" s="5" t="s">
        <v>171</v>
      </c>
      <c r="C22" s="6" t="n">
        <v>195680</v>
      </c>
      <c r="D22" s="6" t="n">
        <v>134603.6</v>
      </c>
      <c r="E22" s="10" t="n">
        <f aca="false">C22-D22</f>
        <v>61076.4</v>
      </c>
      <c r="F22" s="23" t="n">
        <f aca="false">IFERROR((D22-C22)/C22,0)</f>
        <v>-0.312123875715454</v>
      </c>
      <c r="G22" s="25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172</v>
      </c>
      <c r="B23" s="5" t="s">
        <v>173</v>
      </c>
      <c r="C23" s="6" t="n">
        <v>40000</v>
      </c>
      <c r="D23" s="6" t="n">
        <v>69474.91</v>
      </c>
      <c r="E23" s="10" t="n">
        <f aca="false">C23-D23</f>
        <v>-29474.91</v>
      </c>
      <c r="F23" s="23" t="n">
        <f aca="false">IFERROR((D23-C23)/C23,0)</f>
        <v>0.73687275</v>
      </c>
      <c r="G23" s="25" t="str">
        <f aca="false">IF(C23=0,"UNBUDGETED",IF(F23&gt;0.5,"CRITICAL",IF(F23&gt;0.1,"OVER",IF(F23&lt;-0.1,"UNDER","ON"))))</f>
        <v>CRITICAL</v>
      </c>
    </row>
    <row r="24" customFormat="false" ht="15" hidden="false" customHeight="true" outlineLevel="0" collapsed="false">
      <c r="A24" s="5" t="s">
        <v>174</v>
      </c>
      <c r="B24" s="5" t="s">
        <v>175</v>
      </c>
      <c r="C24" s="6" t="n">
        <v>8300</v>
      </c>
      <c r="D24" s="6" t="n">
        <v>25781.65</v>
      </c>
      <c r="E24" s="10" t="n">
        <f aca="false">C24-D24</f>
        <v>-17481.65</v>
      </c>
      <c r="F24" s="23" t="n">
        <f aca="false">IFERROR((D24-C24)/C24,0)</f>
        <v>2.10622289156627</v>
      </c>
      <c r="G24" s="25" t="str">
        <f aca="false">IF(C24=0,"UNBUDGETED",IF(F24&gt;0.5,"CRITICAL",IF(F24&gt;0.1,"OVER",IF(F24&lt;-0.1,"UNDER","ON"))))</f>
        <v>CRITICAL</v>
      </c>
    </row>
    <row r="25" customFormat="false" ht="15" hidden="false" customHeight="true" outlineLevel="0" collapsed="false">
      <c r="A25" s="5" t="s">
        <v>176</v>
      </c>
      <c r="B25" s="5" t="s">
        <v>177</v>
      </c>
      <c r="C25" s="6" t="n">
        <v>120000</v>
      </c>
      <c r="D25" s="6" t="n">
        <v>100995.25</v>
      </c>
      <c r="E25" s="10" t="n">
        <f aca="false">C25-D25</f>
        <v>19004.75</v>
      </c>
      <c r="F25" s="23" t="n">
        <f aca="false">IFERROR((D25-C25)/C25,0)</f>
        <v>-0.158372916666667</v>
      </c>
      <c r="G25" s="25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178</v>
      </c>
      <c r="B26" s="5" t="s">
        <v>179</v>
      </c>
      <c r="C26" s="6" t="n">
        <v>10000</v>
      </c>
      <c r="D26" s="6" t="n">
        <v>1673.84</v>
      </c>
      <c r="E26" s="10" t="n">
        <f aca="false">C26-D26</f>
        <v>8326.16</v>
      </c>
      <c r="F26" s="23" t="n">
        <f aca="false">IFERROR((D26-C26)/C26,0)</f>
        <v>-0.832616</v>
      </c>
      <c r="G26" s="25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180</v>
      </c>
      <c r="B27" s="5" t="s">
        <v>181</v>
      </c>
      <c r="C27" s="6" t="n">
        <v>35400</v>
      </c>
      <c r="D27" s="6" t="n">
        <v>29026.58</v>
      </c>
      <c r="E27" s="10" t="n">
        <f aca="false">C27-D27</f>
        <v>6373.42</v>
      </c>
      <c r="F27" s="23" t="n">
        <f aca="false">IFERROR((D27-C27)/C27,0)</f>
        <v>-0.18004011299435</v>
      </c>
      <c r="G27" s="25" t="str">
        <f aca="false">IF(C27=0,"UNBUDGETED",IF(F27&gt;0.5,"CRITICAL",IF(F27&gt;0.1,"OVER",IF(F27&lt;-0.1,"UNDER","ON"))))</f>
        <v>UNDER</v>
      </c>
    </row>
    <row r="28" customFormat="false" ht="15" hidden="false" customHeight="true" outlineLevel="0" collapsed="false">
      <c r="A28" s="5" t="s">
        <v>182</v>
      </c>
      <c r="B28" s="5" t="s">
        <v>183</v>
      </c>
      <c r="C28" s="6" t="n">
        <v>30000</v>
      </c>
      <c r="D28" s="6" t="n">
        <v>30712.97</v>
      </c>
      <c r="E28" s="10" t="n">
        <f aca="false">C28-D28</f>
        <v>-712.970000000001</v>
      </c>
      <c r="F28" s="23" t="n">
        <f aca="false">IFERROR((D28-C28)/C28,0)</f>
        <v>0.0237656666666667</v>
      </c>
      <c r="G28" s="25" t="str">
        <f aca="false">IF(C28=0,"UNBUDGETED",IF(F28&gt;0.5,"CRITICAL",IF(F28&gt;0.1,"OVER",IF(F28&lt;-0.1,"UNDER","ON"))))</f>
        <v>ON</v>
      </c>
    </row>
    <row r="29" customFormat="false" ht="15" hidden="false" customHeight="true" outlineLevel="0" collapsed="false">
      <c r="A29" s="5" t="s">
        <v>184</v>
      </c>
      <c r="B29" s="5" t="s">
        <v>185</v>
      </c>
      <c r="C29" s="6" t="n">
        <v>590721.42</v>
      </c>
      <c r="D29" s="6" t="n">
        <v>385611.57</v>
      </c>
      <c r="E29" s="10" t="n">
        <f aca="false">C29-D29</f>
        <v>205109.85</v>
      </c>
      <c r="F29" s="23" t="n">
        <f aca="false">IFERROR((D29-C29)/C29,0)</f>
        <v>-0.347219252689364</v>
      </c>
      <c r="G29" s="25" t="str">
        <f aca="false">IF(C29=0,"UNBUDGETED",IF(F29&gt;0.5,"CRITICAL",IF(F29&gt;0.1,"OVER",IF(F29&lt;-0.1,"UNDER","ON"))))</f>
        <v>UNDER</v>
      </c>
    </row>
    <row r="30" customFormat="false" ht="15" hidden="false" customHeight="true" outlineLevel="0" collapsed="false">
      <c r="A30" s="5" t="s">
        <v>186</v>
      </c>
      <c r="B30" s="5" t="s">
        <v>187</v>
      </c>
      <c r="C30" s="6" t="n">
        <v>117805.26</v>
      </c>
      <c r="D30" s="6" t="n">
        <v>70655.82</v>
      </c>
      <c r="E30" s="10" t="n">
        <f aca="false">C30-D30</f>
        <v>47149.44</v>
      </c>
      <c r="F30" s="23" t="n">
        <f aca="false">IFERROR((D30-C30)/C30,0)</f>
        <v>-0.400232043968156</v>
      </c>
      <c r="G30" s="25" t="str">
        <f aca="false">IF(C30=0,"UNBUDGETED",IF(F30&gt;0.5,"CRITICAL",IF(F30&gt;0.1,"OVER",IF(F30&lt;-0.1,"UNDER","ON"))))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200</v>
      </c>
    </row>
    <row r="3" customFormat="false" ht="15" hidden="false" customHeight="true" outlineLevel="0" collapsed="false">
      <c r="A3" s="22" t="s">
        <v>201</v>
      </c>
      <c r="B3" s="22" t="s">
        <v>202</v>
      </c>
      <c r="C3" s="22" t="s">
        <v>203</v>
      </c>
      <c r="D3" s="22" t="s">
        <v>204</v>
      </c>
    </row>
    <row r="4" customFormat="false" ht="15" hidden="false" customHeight="true" outlineLevel="0" collapsed="false">
      <c r="A4" s="5" t="s">
        <v>205</v>
      </c>
      <c r="B4" s="6" t="n">
        <v>338444.3</v>
      </c>
      <c r="C4" s="5" t="n">
        <v>75</v>
      </c>
      <c r="D4" s="23" t="n">
        <f aca="false">IFERROR(B4/SUM(B$4:B$23),0)</f>
        <v>0.336990351757439</v>
      </c>
    </row>
    <row r="5" customFormat="false" ht="15" hidden="false" customHeight="true" outlineLevel="0" collapsed="false">
      <c r="A5" s="5" t="s">
        <v>206</v>
      </c>
      <c r="B5" s="6" t="n">
        <v>196759.71</v>
      </c>
      <c r="C5" s="5" t="n">
        <v>212</v>
      </c>
      <c r="D5" s="23" t="n">
        <f aca="false">IFERROR(B5/SUM(B$4:B$23),0)</f>
        <v>0.195914435210141</v>
      </c>
    </row>
    <row r="6" customFormat="false" ht="15" hidden="false" customHeight="true" outlineLevel="0" collapsed="false">
      <c r="A6" s="5" t="s">
        <v>207</v>
      </c>
      <c r="B6" s="6" t="n">
        <v>111606.23</v>
      </c>
      <c r="C6" s="5" t="n">
        <v>4</v>
      </c>
      <c r="D6" s="23" t="n">
        <f aca="false">IFERROR(B6/SUM(B$4:B$23),0)</f>
        <v>0.111126772429087</v>
      </c>
    </row>
    <row r="7" customFormat="false" ht="15" hidden="false" customHeight="true" outlineLevel="0" collapsed="false">
      <c r="A7" s="5" t="s">
        <v>208</v>
      </c>
      <c r="B7" s="6" t="n">
        <v>100995.25</v>
      </c>
      <c r="C7" s="5" t="n">
        <v>17</v>
      </c>
      <c r="D7" s="23" t="n">
        <f aca="false">IFERROR(B7/SUM(B$4:B$23),0)</f>
        <v>0.100561376933606</v>
      </c>
    </row>
    <row r="8" customFormat="false" ht="15" hidden="false" customHeight="true" outlineLevel="0" collapsed="false">
      <c r="A8" s="5" t="s">
        <v>209</v>
      </c>
      <c r="B8" s="6" t="n">
        <v>82037.71</v>
      </c>
      <c r="C8" s="5" t="n">
        <v>33</v>
      </c>
      <c r="D8" s="23" t="n">
        <f aca="false">IFERROR(B8/SUM(B$4:B$23),0)</f>
        <v>0.0816852780509962</v>
      </c>
    </row>
    <row r="9" customFormat="false" ht="15" hidden="false" customHeight="true" outlineLevel="0" collapsed="false">
      <c r="A9" s="5" t="s">
        <v>210</v>
      </c>
      <c r="B9" s="6" t="n">
        <v>68801.51</v>
      </c>
      <c r="C9" s="5" t="n">
        <v>40</v>
      </c>
      <c r="D9" s="23" t="n">
        <f aca="false">IFERROR(B9/SUM(B$4:B$23),0)</f>
        <v>0.0685059404349341</v>
      </c>
    </row>
    <row r="10" customFormat="false" ht="15" hidden="false" customHeight="true" outlineLevel="0" collapsed="false">
      <c r="A10" s="5" t="s">
        <v>211</v>
      </c>
      <c r="B10" s="6" t="n">
        <v>40021.6500000001</v>
      </c>
      <c r="C10" s="5" t="n">
        <v>195</v>
      </c>
      <c r="D10" s="23" t="n">
        <f aca="false">IFERROR(B10/SUM(B$4:B$23),0)</f>
        <v>0.0398497179932212</v>
      </c>
    </row>
    <row r="11" customFormat="false" ht="15" hidden="false" customHeight="true" outlineLevel="0" collapsed="false">
      <c r="A11" s="5" t="s">
        <v>212</v>
      </c>
      <c r="B11" s="6" t="n">
        <v>17750</v>
      </c>
      <c r="C11" s="5" t="n">
        <v>2</v>
      </c>
      <c r="D11" s="23" t="n">
        <f aca="false">IFERROR(B11/SUM(B$4:B$23),0)</f>
        <v>0.0176737464442289</v>
      </c>
    </row>
    <row r="12" customFormat="false" ht="15" hidden="false" customHeight="true" outlineLevel="0" collapsed="false">
      <c r="A12" s="5" t="s">
        <v>213</v>
      </c>
      <c r="B12" s="6" t="n">
        <v>17506.05</v>
      </c>
      <c r="C12" s="5" t="n">
        <v>29</v>
      </c>
      <c r="D12" s="23" t="n">
        <f aca="false">IFERROR(B12/SUM(B$4:B$23),0)</f>
        <v>0.0174308444473236</v>
      </c>
    </row>
    <row r="13" customFormat="false" ht="15" hidden="false" customHeight="true" outlineLevel="0" collapsed="false">
      <c r="A13" s="5" t="s">
        <v>214</v>
      </c>
      <c r="B13" s="6" t="n">
        <v>9534</v>
      </c>
      <c r="C13" s="5" t="n">
        <v>3</v>
      </c>
      <c r="D13" s="23" t="n">
        <f aca="false">IFERROR(B13/SUM(B$4:B$23),0)</f>
        <v>0.00949304217460723</v>
      </c>
    </row>
    <row r="14" customFormat="false" ht="15" hidden="false" customHeight="true" outlineLevel="0" collapsed="false">
      <c r="A14" s="5" t="s">
        <v>215</v>
      </c>
      <c r="B14" s="6" t="n">
        <v>6300</v>
      </c>
      <c r="C14" s="5" t="n">
        <v>2</v>
      </c>
      <c r="D14" s="23" t="n">
        <f aca="false">IFERROR(B14/SUM(B$4:B$23),0)</f>
        <v>0.00627293535766998</v>
      </c>
    </row>
    <row r="15" customFormat="false" ht="15" hidden="false" customHeight="true" outlineLevel="0" collapsed="false">
      <c r="A15" s="5" t="s">
        <v>216</v>
      </c>
      <c r="B15" s="6" t="n">
        <v>5141</v>
      </c>
      <c r="C15" s="5" t="n">
        <v>1</v>
      </c>
      <c r="D15" s="23" t="n">
        <f aca="false">IFERROR(B15/SUM(B$4:B$23),0)</f>
        <v>0.00511891439266371</v>
      </c>
    </row>
    <row r="16" customFormat="false" ht="15" hidden="false" customHeight="true" outlineLevel="0" collapsed="false">
      <c r="A16" s="5" t="s">
        <v>217</v>
      </c>
      <c r="B16" s="6" t="n">
        <v>4482.3</v>
      </c>
      <c r="C16" s="5" t="n">
        <v>23</v>
      </c>
      <c r="D16" s="23" t="n">
        <f aca="false">IFERROR(B16/SUM(B$4:B$23),0)</f>
        <v>0.00446304415137844</v>
      </c>
    </row>
    <row r="17" customFormat="false" ht="15" hidden="false" customHeight="true" outlineLevel="0" collapsed="false">
      <c r="A17" s="5" t="s">
        <v>218</v>
      </c>
      <c r="B17" s="6" t="n">
        <v>1822.07</v>
      </c>
      <c r="C17" s="5" t="n">
        <v>2</v>
      </c>
      <c r="D17" s="23" t="n">
        <f aca="false">IFERROR(B17/SUM(B$4:B$23),0)</f>
        <v>0.00181424243288091</v>
      </c>
    </row>
    <row r="18" customFormat="false" ht="15" hidden="false" customHeight="true" outlineLevel="0" collapsed="false">
      <c r="A18" s="5" t="s">
        <v>219</v>
      </c>
      <c r="B18" s="6" t="n">
        <v>1419.28</v>
      </c>
      <c r="C18" s="5" t="n">
        <v>2</v>
      </c>
      <c r="D18" s="23" t="n">
        <f aca="false">IFERROR(B18/SUM(B$4:B$23),0)</f>
        <v>0.00141318280864029</v>
      </c>
    </row>
    <row r="19" customFormat="false" ht="15" hidden="false" customHeight="true" outlineLevel="0" collapsed="false">
      <c r="A19" s="5" t="s">
        <v>220</v>
      </c>
      <c r="B19" s="6" t="n">
        <v>675</v>
      </c>
      <c r="C19" s="5" t="n">
        <v>1</v>
      </c>
      <c r="D19" s="23" t="n">
        <f aca="false">IFERROR(B19/SUM(B$4:B$23),0)</f>
        <v>0.000672100216893212</v>
      </c>
    </row>
    <row r="20" customFormat="false" ht="15" hidden="false" customHeight="true" outlineLevel="0" collapsed="false">
      <c r="A20" s="5" t="s">
        <v>221</v>
      </c>
      <c r="B20" s="6" t="n">
        <v>650</v>
      </c>
      <c r="C20" s="5" t="n">
        <v>1</v>
      </c>
      <c r="D20" s="23" t="n">
        <f aca="false">IFERROR(B20/SUM(B$4:B$23),0)</f>
        <v>0.000647207616267537</v>
      </c>
    </row>
    <row r="21" customFormat="false" ht="15" hidden="false" customHeight="true" outlineLevel="0" collapsed="false">
      <c r="A21" s="5" t="s">
        <v>222</v>
      </c>
      <c r="B21" s="6" t="n">
        <v>199.43</v>
      </c>
      <c r="C21" s="5" t="n">
        <v>1</v>
      </c>
      <c r="D21" s="23" t="n">
        <f aca="false">IFERROR(B21/SUM(B$4:B$23),0)</f>
        <v>0.000198573253711131</v>
      </c>
    </row>
    <row r="22" customFormat="false" ht="15" hidden="false" customHeight="true" outlineLevel="0" collapsed="false">
      <c r="A22" s="5" t="s">
        <v>223</v>
      </c>
      <c r="B22" s="6" t="n">
        <v>169.02</v>
      </c>
      <c r="C22" s="5" t="n">
        <v>1</v>
      </c>
      <c r="D22" s="23" t="n">
        <f aca="false">IFERROR(B22/SUM(B$4:B$23),0)</f>
        <v>0.00016829389431006</v>
      </c>
    </row>
    <row r="23" customFormat="false" ht="15" hidden="false" customHeight="true" outlineLevel="0" collapsed="false">
      <c r="A23" s="5" t="s">
        <v>224</v>
      </c>
      <c r="B23" s="6" t="n">
        <v>0</v>
      </c>
      <c r="C23" s="5" t="n">
        <v>2</v>
      </c>
      <c r="D23" s="23" t="n">
        <f aca="false">IFERROR(B23/SUM(B$4:B$23),0)</f>
        <v>0</v>
      </c>
    </row>
    <row r="24" customFormat="false" ht="15" hidden="false" customHeight="true" outlineLevel="0" collapsed="false">
      <c r="A24" s="13" t="s">
        <v>225</v>
      </c>
      <c r="B24" s="7" t="n">
        <f aca="false">SUM(B4:B23)</f>
        <v>1004314.51</v>
      </c>
      <c r="C24" s="26" t="n">
        <f aca="false">SUM(C4:C23)</f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226</v>
      </c>
    </row>
    <row r="3" customFormat="false" ht="15" hidden="false" customHeight="true" outlineLevel="0" collapsed="false">
      <c r="A3" s="22" t="s">
        <v>227</v>
      </c>
      <c r="B3" s="22" t="s">
        <v>228</v>
      </c>
      <c r="C3" s="22" t="s">
        <v>229</v>
      </c>
      <c r="D3" s="22" t="s">
        <v>230</v>
      </c>
      <c r="E3" s="22" t="s">
        <v>231</v>
      </c>
    </row>
    <row r="4" customFormat="false" ht="15" hidden="false" customHeight="true" outlineLevel="0" collapsed="false">
      <c r="A4" s="5" t="s">
        <v>232</v>
      </c>
      <c r="B4" s="27" t="n">
        <v>3946</v>
      </c>
      <c r="C4" s="6" t="n">
        <v>188262</v>
      </c>
      <c r="D4" s="28" t="n">
        <f aca="false">IFERROR(C4/B4,0)</f>
        <v>47.7095793208312</v>
      </c>
      <c r="E4" s="5" t="s">
        <v>233</v>
      </c>
    </row>
    <row r="5" customFormat="false" ht="15" hidden="false" customHeight="true" outlineLevel="0" collapsed="false">
      <c r="A5" s="5" t="s">
        <v>234</v>
      </c>
      <c r="B5" s="27" t="n">
        <v>3107.5</v>
      </c>
      <c r="C5" s="6" t="n">
        <v>59762</v>
      </c>
      <c r="D5" s="28" t="n">
        <f aca="false">IFERROR(C5/B5,0)</f>
        <v>19.2315366049879</v>
      </c>
      <c r="E5" s="5" t="s">
        <v>235</v>
      </c>
    </row>
    <row r="6" customFormat="false" ht="15" hidden="false" customHeight="true" outlineLevel="0" collapsed="false">
      <c r="A6" s="5" t="s">
        <v>236</v>
      </c>
      <c r="B6" s="27" t="n">
        <v>2337.5</v>
      </c>
      <c r="C6" s="6" t="n">
        <v>43592</v>
      </c>
      <c r="D6" s="28" t="n">
        <f aca="false">IFERROR(C6/B6,0)</f>
        <v>18.6489839572193</v>
      </c>
      <c r="E6" s="5" t="s">
        <v>235</v>
      </c>
    </row>
    <row r="7" customFormat="false" ht="15" hidden="false" customHeight="true" outlineLevel="0" collapsed="false">
      <c r="A7" s="5" t="s">
        <v>237</v>
      </c>
      <c r="B7" s="27" t="n">
        <v>2252</v>
      </c>
      <c r="C7" s="6" t="n">
        <v>78288</v>
      </c>
      <c r="D7" s="28" t="n">
        <f aca="false">IFERROR(C7/B7,0)</f>
        <v>34.7637655417407</v>
      </c>
      <c r="E7" s="5" t="s">
        <v>238</v>
      </c>
    </row>
    <row r="8" customFormat="false" ht="15" hidden="false" customHeight="true" outlineLevel="0" collapsed="false">
      <c r="A8" s="5" t="s">
        <v>239</v>
      </c>
      <c r="B8" s="27" t="n">
        <v>1562.5</v>
      </c>
      <c r="C8" s="6" t="n">
        <v>60737</v>
      </c>
      <c r="D8" s="28" t="n">
        <f aca="false">IFERROR(C8/B8,0)</f>
        <v>38.87168</v>
      </c>
      <c r="E8" s="5" t="s">
        <v>233</v>
      </c>
    </row>
    <row r="9" customFormat="false" ht="15" hidden="false" customHeight="true" outlineLevel="0" collapsed="false">
      <c r="A9" s="5" t="s">
        <v>240</v>
      </c>
      <c r="B9" s="27" t="n">
        <v>1389</v>
      </c>
      <c r="C9" s="6" t="n">
        <v>78828</v>
      </c>
      <c r="D9" s="28" t="n">
        <f aca="false">IFERROR(C9/B9,0)</f>
        <v>56.7516198704104</v>
      </c>
      <c r="E9" s="5" t="s">
        <v>233</v>
      </c>
    </row>
    <row r="10" customFormat="false" ht="15" hidden="false" customHeight="true" outlineLevel="0" collapsed="false">
      <c r="A10" s="5" t="s">
        <v>241</v>
      </c>
      <c r="B10" s="27" t="n">
        <v>1384</v>
      </c>
      <c r="C10" s="6" t="n">
        <v>54028</v>
      </c>
      <c r="D10" s="28" t="n">
        <f aca="false">IFERROR(C10/B10,0)</f>
        <v>39.0375722543353</v>
      </c>
      <c r="E10" s="5" t="s">
        <v>233</v>
      </c>
    </row>
    <row r="11" customFormat="false" ht="15" hidden="false" customHeight="true" outlineLevel="0" collapsed="false">
      <c r="A11" s="5" t="s">
        <v>242</v>
      </c>
      <c r="B11" s="27" t="n">
        <v>1380</v>
      </c>
      <c r="C11" s="6" t="n">
        <v>24817</v>
      </c>
      <c r="D11" s="28" t="n">
        <f aca="false">IFERROR(C11/B11,0)</f>
        <v>17.9833333333333</v>
      </c>
      <c r="E11" s="5" t="s">
        <v>235</v>
      </c>
    </row>
    <row r="12" customFormat="false" ht="15" hidden="false" customHeight="true" outlineLevel="0" collapsed="false">
      <c r="A12" s="5" t="s">
        <v>243</v>
      </c>
      <c r="B12" s="27" t="n">
        <v>1353</v>
      </c>
      <c r="C12" s="6" t="n">
        <v>45496</v>
      </c>
      <c r="D12" s="28" t="n">
        <f aca="false">IFERROR(C12/B12,0)</f>
        <v>33.6260162601626</v>
      </c>
      <c r="E12" s="5" t="s">
        <v>238</v>
      </c>
    </row>
    <row r="13" customFormat="false" ht="15" hidden="false" customHeight="true" outlineLevel="0" collapsed="false">
      <c r="A13" s="5" t="s">
        <v>244</v>
      </c>
      <c r="B13" s="27" t="n">
        <v>1176</v>
      </c>
      <c r="C13" s="6" t="n">
        <v>31266</v>
      </c>
      <c r="D13" s="28" t="n">
        <f aca="false">IFERROR(C13/B13,0)</f>
        <v>26.5867346938776</v>
      </c>
      <c r="E13" s="5" t="s">
        <v>238</v>
      </c>
    </row>
    <row r="14" customFormat="false" ht="15" hidden="false" customHeight="true" outlineLevel="0" collapsed="false">
      <c r="A14" s="5" t="s">
        <v>245</v>
      </c>
      <c r="B14" s="27" t="n">
        <v>1148</v>
      </c>
      <c r="C14" s="6" t="n">
        <v>44128</v>
      </c>
      <c r="D14" s="28" t="n">
        <f aca="false">IFERROR(C14/B14,0)</f>
        <v>38.4390243902439</v>
      </c>
      <c r="E14" s="5" t="s">
        <v>233</v>
      </c>
    </row>
    <row r="15" customFormat="false" ht="15" hidden="false" customHeight="true" outlineLevel="0" collapsed="false">
      <c r="A15" s="5" t="s">
        <v>246</v>
      </c>
      <c r="B15" s="27" t="n">
        <v>1051</v>
      </c>
      <c r="C15" s="6" t="n">
        <v>29400</v>
      </c>
      <c r="D15" s="28" t="n">
        <f aca="false">IFERROR(C15/B15,0)</f>
        <v>27.9733587059943</v>
      </c>
      <c r="E15" s="5" t="s">
        <v>238</v>
      </c>
    </row>
    <row r="16" customFormat="false" ht="15" hidden="false" customHeight="true" outlineLevel="0" collapsed="false">
      <c r="A16" s="5" t="s">
        <v>247</v>
      </c>
      <c r="B16" s="27" t="n">
        <v>1015</v>
      </c>
      <c r="C16" s="6" t="n">
        <v>33364</v>
      </c>
      <c r="D16" s="28" t="n">
        <f aca="false">IFERROR(C16/B16,0)</f>
        <v>32.8709359605911</v>
      </c>
      <c r="E16" s="5" t="s">
        <v>238</v>
      </c>
    </row>
    <row r="17" customFormat="false" ht="15" hidden="false" customHeight="true" outlineLevel="0" collapsed="false">
      <c r="A17" s="5" t="s">
        <v>248</v>
      </c>
      <c r="B17" s="27" t="n">
        <v>536</v>
      </c>
      <c r="C17" s="6" t="n">
        <v>9648</v>
      </c>
      <c r="D17" s="28" t="n">
        <f aca="false">IFERROR(C17/B17,0)</f>
        <v>18</v>
      </c>
      <c r="E17" s="5" t="s">
        <v>235</v>
      </c>
    </row>
    <row r="18" customFormat="false" ht="15" hidden="false" customHeight="true" outlineLevel="0" collapsed="false">
      <c r="A18" s="5" t="s">
        <v>249</v>
      </c>
      <c r="B18" s="27" t="n">
        <v>477</v>
      </c>
      <c r="C18" s="6" t="n">
        <v>23621</v>
      </c>
      <c r="D18" s="28" t="n">
        <f aca="false">IFERROR(C18/B18,0)</f>
        <v>49.5199161425577</v>
      </c>
      <c r="E18" s="5" t="s">
        <v>233</v>
      </c>
    </row>
    <row r="19" customFormat="false" ht="15" hidden="false" customHeight="true" outlineLevel="0" collapsed="false">
      <c r="A19" s="5" t="s">
        <v>250</v>
      </c>
      <c r="B19" s="27" t="n">
        <v>463</v>
      </c>
      <c r="C19" s="6" t="n">
        <v>11467</v>
      </c>
      <c r="D19" s="28" t="n">
        <f aca="false">IFERROR(C19/B19,0)</f>
        <v>24.7667386609071</v>
      </c>
      <c r="E19" s="5" t="s">
        <v>238</v>
      </c>
    </row>
    <row r="20" customFormat="false" ht="15" hidden="false" customHeight="true" outlineLevel="0" collapsed="false">
      <c r="A20" s="5" t="s">
        <v>251</v>
      </c>
      <c r="B20" s="27" t="n">
        <v>393</v>
      </c>
      <c r="C20" s="6" t="n">
        <v>24562</v>
      </c>
      <c r="D20" s="28" t="n">
        <f aca="false">IFERROR(C20/B20,0)</f>
        <v>62.498727735369</v>
      </c>
      <c r="E20" s="5" t="s">
        <v>233</v>
      </c>
    </row>
    <row r="21" customFormat="false" ht="15" hidden="false" customHeight="true" outlineLevel="0" collapsed="false">
      <c r="A21" s="5" t="s">
        <v>252</v>
      </c>
      <c r="B21" s="27" t="n">
        <v>365.5</v>
      </c>
      <c r="C21" s="6" t="n">
        <v>6460</v>
      </c>
      <c r="D21" s="28" t="n">
        <f aca="false">IFERROR(C21/B21,0)</f>
        <v>17.6744186046512</v>
      </c>
      <c r="E21" s="5" t="s">
        <v>235</v>
      </c>
    </row>
    <row r="22" customFormat="false" ht="15" hidden="false" customHeight="true" outlineLevel="0" collapsed="false">
      <c r="A22" s="5" t="s">
        <v>253</v>
      </c>
      <c r="B22" s="27" t="n">
        <v>213</v>
      </c>
      <c r="C22" s="6" t="n">
        <v>7643</v>
      </c>
      <c r="D22" s="28" t="n">
        <f aca="false">IFERROR(C22/B22,0)</f>
        <v>35.8826291079812</v>
      </c>
      <c r="E22" s="5" t="s">
        <v>238</v>
      </c>
    </row>
    <row r="23" customFormat="false" ht="15" hidden="false" customHeight="true" outlineLevel="0" collapsed="false">
      <c r="A23" s="5" t="s">
        <v>254</v>
      </c>
      <c r="B23" s="27" t="n">
        <v>179.5</v>
      </c>
      <c r="C23" s="6" t="n">
        <v>10793</v>
      </c>
      <c r="D23" s="28" t="n">
        <f aca="false">IFERROR(C23/B23,0)</f>
        <v>60.1281337047354</v>
      </c>
      <c r="E23" s="5" t="s">
        <v>233</v>
      </c>
    </row>
    <row r="24" customFormat="false" ht="15" hidden="false" customHeight="true" outlineLevel="0" collapsed="false">
      <c r="A24" s="5" t="s">
        <v>255</v>
      </c>
      <c r="B24" s="27" t="n">
        <v>173</v>
      </c>
      <c r="C24" s="6" t="n">
        <v>5190</v>
      </c>
      <c r="D24" s="28" t="n">
        <f aca="false">IFERROR(C24/B24,0)</f>
        <v>30</v>
      </c>
      <c r="E24" s="5" t="s">
        <v>238</v>
      </c>
    </row>
    <row r="25" customFormat="false" ht="15" hidden="false" customHeight="true" outlineLevel="0" collapsed="false">
      <c r="A25" s="5" t="s">
        <v>256</v>
      </c>
      <c r="B25" s="27" t="n">
        <v>138.5</v>
      </c>
      <c r="C25" s="6" t="n">
        <v>7658</v>
      </c>
      <c r="D25" s="28" t="n">
        <f aca="false">IFERROR(C25/B25,0)</f>
        <v>55.2924187725632</v>
      </c>
      <c r="E25" s="5" t="s">
        <v>233</v>
      </c>
    </row>
    <row r="26" customFormat="false" ht="15" hidden="false" customHeight="true" outlineLevel="0" collapsed="false">
      <c r="A26" s="5" t="s">
        <v>257</v>
      </c>
      <c r="B26" s="27" t="n">
        <v>126</v>
      </c>
      <c r="C26" s="6" t="n">
        <v>3002</v>
      </c>
      <c r="D26" s="28" t="n">
        <f aca="false">IFERROR(C26/B26,0)</f>
        <v>23.8253968253968</v>
      </c>
      <c r="E26" s="5" t="s">
        <v>238</v>
      </c>
    </row>
    <row r="27" customFormat="false" ht="15" hidden="false" customHeight="true" outlineLevel="0" collapsed="false">
      <c r="A27" s="5" t="s">
        <v>258</v>
      </c>
      <c r="B27" s="27" t="n">
        <v>122</v>
      </c>
      <c r="C27" s="6" t="n">
        <v>5104</v>
      </c>
      <c r="D27" s="28" t="n">
        <f aca="false">IFERROR(C27/B27,0)</f>
        <v>41.8360655737705</v>
      </c>
      <c r="E27" s="5" t="s">
        <v>233</v>
      </c>
    </row>
    <row r="28" customFormat="false" ht="15" hidden="false" customHeight="true" outlineLevel="0" collapsed="false">
      <c r="A28" s="5" t="s">
        <v>259</v>
      </c>
      <c r="B28" s="27" t="n">
        <v>117</v>
      </c>
      <c r="C28" s="6" t="n">
        <v>3321</v>
      </c>
      <c r="D28" s="28" t="n">
        <f aca="false">IFERROR(C28/B28,0)</f>
        <v>28.3846153846154</v>
      </c>
      <c r="E28" s="5" t="s">
        <v>238</v>
      </c>
    </row>
    <row r="29" customFormat="false" ht="15" hidden="false" customHeight="true" outlineLevel="0" collapsed="false">
      <c r="A29" s="5" t="s">
        <v>260</v>
      </c>
      <c r="B29" s="27" t="n">
        <v>116</v>
      </c>
      <c r="C29" s="6" t="n">
        <v>3158</v>
      </c>
      <c r="D29" s="28" t="n">
        <f aca="false">IFERROR(C29/B29,0)</f>
        <v>27.2241379310345</v>
      </c>
      <c r="E29" s="5" t="s">
        <v>238</v>
      </c>
    </row>
    <row r="30" customFormat="false" ht="15" hidden="false" customHeight="true" outlineLevel="0" collapsed="false">
      <c r="A30" s="5" t="s">
        <v>261</v>
      </c>
      <c r="B30" s="27" t="n">
        <v>113.5</v>
      </c>
      <c r="C30" s="6" t="n">
        <v>4091</v>
      </c>
      <c r="D30" s="28" t="n">
        <f aca="false">IFERROR(C30/B30,0)</f>
        <v>36.0440528634361</v>
      </c>
      <c r="E30" s="5" t="s">
        <v>238</v>
      </c>
    </row>
    <row r="31" customFormat="false" ht="15" hidden="false" customHeight="true" outlineLevel="0" collapsed="false">
      <c r="A31" s="5" t="s">
        <v>262</v>
      </c>
      <c r="B31" s="27" t="n">
        <v>98</v>
      </c>
      <c r="C31" s="6" t="n">
        <v>5574</v>
      </c>
      <c r="D31" s="28" t="n">
        <f aca="false">IFERROR(C31/B31,0)</f>
        <v>56.8775510204082</v>
      </c>
      <c r="E31" s="5" t="s">
        <v>233</v>
      </c>
    </row>
    <row r="32" customFormat="false" ht="15" hidden="false" customHeight="true" outlineLevel="0" collapsed="false">
      <c r="A32" s="5" t="s">
        <v>263</v>
      </c>
      <c r="B32" s="27" t="n">
        <v>75.5</v>
      </c>
      <c r="C32" s="6" t="n">
        <v>3398</v>
      </c>
      <c r="D32" s="28" t="n">
        <f aca="false">IFERROR(C32/B32,0)</f>
        <v>45.0066225165563</v>
      </c>
      <c r="E32" s="5" t="s">
        <v>233</v>
      </c>
    </row>
    <row r="33" customFormat="false" ht="15" hidden="false" customHeight="true" outlineLevel="0" collapsed="false">
      <c r="A33" s="5" t="s">
        <v>264</v>
      </c>
      <c r="B33" s="27" t="n">
        <v>69.5</v>
      </c>
      <c r="C33" s="6" t="n">
        <v>2759</v>
      </c>
      <c r="D33" s="28" t="n">
        <f aca="false">IFERROR(C33/B33,0)</f>
        <v>39.6978417266187</v>
      </c>
      <c r="E33" s="5" t="s">
        <v>238</v>
      </c>
    </row>
    <row r="34" customFormat="false" ht="15" hidden="false" customHeight="true" outlineLevel="0" collapsed="false">
      <c r="A34" s="5" t="s">
        <v>265</v>
      </c>
      <c r="B34" s="27" t="n">
        <v>65.5</v>
      </c>
      <c r="C34" s="6" t="n">
        <v>2198</v>
      </c>
      <c r="D34" s="28" t="n">
        <f aca="false">IFERROR(C34/B34,0)</f>
        <v>33.557251908397</v>
      </c>
      <c r="E34" s="5" t="s">
        <v>238</v>
      </c>
    </row>
    <row r="35" customFormat="false" ht="15" hidden="false" customHeight="true" outlineLevel="0" collapsed="false">
      <c r="A35" s="5" t="s">
        <v>266</v>
      </c>
      <c r="B35" s="27" t="n">
        <v>45</v>
      </c>
      <c r="C35" s="6" t="n">
        <v>1620</v>
      </c>
      <c r="D35" s="28" t="n">
        <f aca="false">IFERROR(C35/B35,0)</f>
        <v>36</v>
      </c>
      <c r="E35" s="5" t="s">
        <v>233</v>
      </c>
    </row>
    <row r="36" customFormat="false" ht="15" hidden="false" customHeight="true" outlineLevel="0" collapsed="false">
      <c r="A36" s="5" t="s">
        <v>267</v>
      </c>
      <c r="B36" s="27" t="n">
        <v>42</v>
      </c>
      <c r="C36" s="6" t="n">
        <v>1548</v>
      </c>
      <c r="D36" s="28" t="n">
        <f aca="false">IFERROR(C36/B36,0)</f>
        <v>36.8571428571429</v>
      </c>
      <c r="E36" s="5" t="s">
        <v>233</v>
      </c>
    </row>
    <row r="37" customFormat="false" ht="15" hidden="false" customHeight="true" outlineLevel="0" collapsed="false">
      <c r="A37" s="5" t="s">
        <v>268</v>
      </c>
      <c r="B37" s="27" t="n">
        <v>41</v>
      </c>
      <c r="C37" s="6" t="n">
        <v>2046</v>
      </c>
      <c r="D37" s="28" t="n">
        <f aca="false">IFERROR(C37/B37,0)</f>
        <v>49.9024390243903</v>
      </c>
      <c r="E37" s="5" t="s">
        <v>233</v>
      </c>
    </row>
    <row r="38" customFormat="false" ht="15" hidden="false" customHeight="true" outlineLevel="0" collapsed="false">
      <c r="A38" s="5" t="s">
        <v>269</v>
      </c>
      <c r="B38" s="27" t="n">
        <v>27</v>
      </c>
      <c r="C38" s="6" t="n">
        <v>1015</v>
      </c>
      <c r="D38" s="28" t="n">
        <f aca="false">IFERROR(C38/B38,0)</f>
        <v>37.5925925925926</v>
      </c>
      <c r="E38" s="5" t="s">
        <v>238</v>
      </c>
    </row>
    <row r="39" customFormat="false" ht="15" hidden="false" customHeight="true" outlineLevel="0" collapsed="false">
      <c r="A39" s="5" t="s">
        <v>270</v>
      </c>
      <c r="B39" s="27" t="n">
        <v>26</v>
      </c>
      <c r="C39" s="6" t="n">
        <v>746</v>
      </c>
      <c r="D39" s="28" t="n">
        <f aca="false">IFERROR(C39/B39,0)</f>
        <v>28.6923076923077</v>
      </c>
      <c r="E39" s="5" t="s">
        <v>238</v>
      </c>
    </row>
    <row r="40" customFormat="false" ht="15" hidden="false" customHeight="true" outlineLevel="0" collapsed="false">
      <c r="A40" s="5" t="s">
        <v>271</v>
      </c>
      <c r="B40" s="27" t="n">
        <v>25</v>
      </c>
      <c r="C40" s="6" t="n">
        <v>816</v>
      </c>
      <c r="D40" s="28" t="n">
        <f aca="false">IFERROR(C40/B40,0)</f>
        <v>32.64</v>
      </c>
      <c r="E40" s="5" t="s">
        <v>238</v>
      </c>
    </row>
    <row r="41" customFormat="false" ht="15" hidden="false" customHeight="true" outlineLevel="0" collapsed="false">
      <c r="A41" s="5" t="s">
        <v>272</v>
      </c>
      <c r="B41" s="27" t="n">
        <v>16</v>
      </c>
      <c r="C41" s="6" t="n">
        <v>628</v>
      </c>
      <c r="D41" s="28" t="n">
        <f aca="false">IFERROR(C41/B41,0)</f>
        <v>39.25</v>
      </c>
      <c r="E41" s="5" t="s">
        <v>238</v>
      </c>
    </row>
    <row r="42" customFormat="false" ht="15" hidden="false" customHeight="true" outlineLevel="0" collapsed="false">
      <c r="A42" s="5" t="s">
        <v>273</v>
      </c>
      <c r="B42" s="27" t="n">
        <v>16</v>
      </c>
      <c r="C42" s="6" t="n">
        <v>688</v>
      </c>
      <c r="D42" s="28" t="n">
        <f aca="false">IFERROR(C42/B42,0)</f>
        <v>43</v>
      </c>
      <c r="E42" s="5" t="s">
        <v>233</v>
      </c>
    </row>
    <row r="43" customFormat="false" ht="15" hidden="false" customHeight="true" outlineLevel="0" collapsed="false">
      <c r="A43" s="5" t="s">
        <v>274</v>
      </c>
      <c r="B43" s="27" t="n">
        <v>14</v>
      </c>
      <c r="C43" s="6" t="n">
        <v>700</v>
      </c>
      <c r="D43" s="28" t="n">
        <f aca="false">IFERROR(C43/B43,0)</f>
        <v>50</v>
      </c>
      <c r="E43" s="5" t="s">
        <v>233</v>
      </c>
    </row>
    <row r="44" customFormat="false" ht="15" hidden="false" customHeight="true" outlineLevel="0" collapsed="false">
      <c r="A44" s="5" t="s">
        <v>275</v>
      </c>
      <c r="B44" s="27" t="n">
        <v>9.5</v>
      </c>
      <c r="C44" s="6" t="n">
        <v>556</v>
      </c>
      <c r="D44" s="28" t="n">
        <f aca="false">IFERROR(C44/B44,0)</f>
        <v>58.5263157894737</v>
      </c>
      <c r="E44" s="5" t="s">
        <v>233</v>
      </c>
    </row>
    <row r="45" customFormat="false" ht="15" hidden="false" customHeight="true" outlineLevel="0" collapsed="false">
      <c r="A45" s="5" t="s">
        <v>276</v>
      </c>
      <c r="B45" s="27" t="n">
        <v>8</v>
      </c>
      <c r="C45" s="6" t="n">
        <v>264</v>
      </c>
      <c r="D45" s="28" t="n">
        <f aca="false">IFERROR(C45/B45,0)</f>
        <v>33</v>
      </c>
      <c r="E45" s="5" t="s">
        <v>238</v>
      </c>
    </row>
    <row r="46" customFormat="false" ht="15" hidden="false" customHeight="true" outlineLevel="0" collapsed="false">
      <c r="A46" s="5" t="s">
        <v>277</v>
      </c>
      <c r="B46" s="27" t="n">
        <v>8</v>
      </c>
      <c r="C46" s="6" t="n">
        <v>352</v>
      </c>
      <c r="D46" s="28" t="n">
        <f aca="false">IFERROR(C46/B46,0)</f>
        <v>44</v>
      </c>
      <c r="E46" s="5" t="s">
        <v>233</v>
      </c>
    </row>
    <row r="47" customFormat="false" ht="15" hidden="false" customHeight="true" outlineLevel="0" collapsed="false">
      <c r="A47" s="5" t="s">
        <v>278</v>
      </c>
      <c r="B47" s="27" t="n">
        <v>8</v>
      </c>
      <c r="C47" s="6" t="n">
        <v>432</v>
      </c>
      <c r="D47" s="28" t="n">
        <f aca="false">IFERROR(C47/B47,0)</f>
        <v>54</v>
      </c>
      <c r="E47" s="5" t="s">
        <v>279</v>
      </c>
    </row>
    <row r="48" customFormat="false" ht="15" hidden="false" customHeight="true" outlineLevel="0" collapsed="false">
      <c r="A48" s="5" t="s">
        <v>280</v>
      </c>
      <c r="B48" s="27" t="n">
        <v>8</v>
      </c>
      <c r="C48" s="6" t="n">
        <v>396</v>
      </c>
      <c r="D48" s="28" t="n">
        <f aca="false">IFERROR(C48/B48,0)</f>
        <v>49.5</v>
      </c>
      <c r="E48" s="5" t="s">
        <v>279</v>
      </c>
    </row>
    <row r="49" customFormat="false" ht="15" hidden="false" customHeight="true" outlineLevel="0" collapsed="false">
      <c r="A49" s="5" t="s">
        <v>281</v>
      </c>
      <c r="B49" s="27" t="n">
        <v>4.5</v>
      </c>
      <c r="C49" s="6" t="n">
        <v>182</v>
      </c>
      <c r="D49" s="28" t="n">
        <f aca="false">IFERROR(C49/B49,0)</f>
        <v>40.4444444444444</v>
      </c>
      <c r="E49" s="5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282</v>
      </c>
    </row>
    <row r="3" customFormat="false" ht="15" hidden="false" customHeight="true" outlineLevel="0" collapsed="false">
      <c r="A3" s="22" t="s">
        <v>231</v>
      </c>
      <c r="B3" s="22" t="s">
        <v>283</v>
      </c>
      <c r="C3" s="22" t="s">
        <v>228</v>
      </c>
      <c r="D3" s="22" t="s">
        <v>229</v>
      </c>
      <c r="E3" s="22" t="s">
        <v>284</v>
      </c>
    </row>
    <row r="4" customFormat="false" ht="15" hidden="false" customHeight="true" outlineLevel="0" collapsed="false">
      <c r="A4" s="13" t="s">
        <v>233</v>
      </c>
      <c r="B4" s="5" t="n">
        <v>19</v>
      </c>
      <c r="C4" s="27" t="n">
        <v>11088.5</v>
      </c>
      <c r="D4" s="6" t="n">
        <v>514202</v>
      </c>
      <c r="E4" s="23" t="n">
        <f aca="false">IFERROR(C4/SUM(C$4:C$7),0)</f>
        <v>0.407051870342498</v>
      </c>
    </row>
    <row r="5" customFormat="false" ht="15" hidden="false" customHeight="true" outlineLevel="0" collapsed="false">
      <c r="A5" s="13" t="s">
        <v>238</v>
      </c>
      <c r="B5" s="5" t="n">
        <v>19</v>
      </c>
      <c r="C5" s="27" t="n">
        <v>8405.5</v>
      </c>
      <c r="D5" s="6" t="n">
        <v>264112</v>
      </c>
      <c r="E5" s="23" t="n">
        <f aca="false">IFERROR(C5/SUM(C$4:C$7),0)</f>
        <v>0.308560625527697</v>
      </c>
    </row>
    <row r="6" customFormat="false" ht="15" hidden="false" customHeight="true" outlineLevel="0" collapsed="false">
      <c r="A6" s="13" t="s">
        <v>235</v>
      </c>
      <c r="B6" s="5" t="n">
        <v>5</v>
      </c>
      <c r="C6" s="27" t="n">
        <v>7726.5</v>
      </c>
      <c r="D6" s="6" t="n">
        <v>144278</v>
      </c>
      <c r="E6" s="23" t="n">
        <f aca="false">IFERROR(C6/SUM(C$4:C$7),0)</f>
        <v>0.2836349620058</v>
      </c>
    </row>
    <row r="7" customFormat="false" ht="15" hidden="false" customHeight="true" outlineLevel="0" collapsed="false">
      <c r="A7" s="13" t="s">
        <v>279</v>
      </c>
      <c r="B7" s="5" t="n">
        <v>3</v>
      </c>
      <c r="C7" s="27" t="n">
        <v>20.5</v>
      </c>
      <c r="D7" s="6" t="n">
        <v>1010</v>
      </c>
      <c r="E7" s="23" t="n">
        <f aca="false">IFERROR(C7/SUM(C$4:C$7),0)</f>
        <v>0.000752542124004258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285</v>
      </c>
    </row>
    <row r="3" customFormat="false" ht="15" hidden="false" customHeight="true" outlineLevel="0" collapsed="false">
      <c r="A3" s="5" t="s">
        <v>286</v>
      </c>
      <c r="B3" s="27" t="n">
        <v>27241</v>
      </c>
    </row>
    <row r="4" customFormat="false" ht="15" hidden="false" customHeight="true" outlineLevel="0" collapsed="false">
      <c r="A4" s="5" t="s">
        <v>287</v>
      </c>
      <c r="B4" s="29" t="n">
        <v>46</v>
      </c>
    </row>
    <row r="5" customFormat="false" ht="15" hidden="false" customHeight="true" outlineLevel="0" collapsed="false">
      <c r="A5" s="5" t="s">
        <v>288</v>
      </c>
      <c r="B5" s="27" t="n">
        <v>107.2</v>
      </c>
    </row>
    <row r="6" customFormat="false" ht="15" hidden="false" customHeight="true" outlineLevel="0" collapsed="false">
      <c r="A6" s="5" t="s">
        <v>289</v>
      </c>
      <c r="B6" s="30" t="n">
        <v>226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290</v>
      </c>
    </row>
    <row r="3" customFormat="false" ht="15" hidden="false" customHeight="true" outlineLevel="0" collapsed="false">
      <c r="A3" s="22" t="s">
        <v>291</v>
      </c>
      <c r="B3" s="22" t="s">
        <v>292</v>
      </c>
      <c r="C3" s="22" t="s">
        <v>293</v>
      </c>
      <c r="D3" s="22" t="s">
        <v>110</v>
      </c>
    </row>
    <row r="4" customFormat="false" ht="15" hidden="false" customHeight="true" outlineLevel="0" collapsed="false">
      <c r="A4" s="5" t="s">
        <v>294</v>
      </c>
      <c r="B4" s="31" t="n">
        <v>0.270614875766193</v>
      </c>
      <c r="C4" s="31" t="n">
        <v>0.34</v>
      </c>
      <c r="D4" s="23" t="n">
        <f aca="false">B4-C4</f>
        <v>-0.0693851242338071</v>
      </c>
    </row>
    <row r="5" customFormat="false" ht="15" hidden="false" customHeight="true" outlineLevel="0" collapsed="false">
      <c r="A5" s="5" t="s">
        <v>295</v>
      </c>
      <c r="B5" s="31" t="n">
        <v>0.401488012332139</v>
      </c>
      <c r="C5" s="31" t="n">
        <v>0.45</v>
      </c>
      <c r="D5" s="23" t="n">
        <f aca="false">B5-C5</f>
        <v>-0.048511987667861</v>
      </c>
    </row>
    <row r="6" customFormat="false" ht="15" hidden="false" customHeight="true" outlineLevel="0" collapsed="false">
      <c r="A6" s="5" t="s">
        <v>296</v>
      </c>
      <c r="B6" s="31" t="n">
        <v>0.336990351757439</v>
      </c>
      <c r="C6" s="31" t="n">
        <v>0.38</v>
      </c>
      <c r="D6" s="23" t="n">
        <f aca="false">B6-C6</f>
        <v>-0.043009648242561</v>
      </c>
    </row>
    <row r="7" customFormat="false" ht="15" hidden="false" customHeight="true" outlineLevel="0" collapsed="false">
      <c r="A7" s="5" t="s">
        <v>297</v>
      </c>
      <c r="B7" s="27" t="n">
        <v>107.248031496063</v>
      </c>
      <c r="C7" s="27" t="n">
        <v>95</v>
      </c>
      <c r="D7" s="32" t="n">
        <f aca="false">B7-C7</f>
        <v>12.248031496063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298</v>
      </c>
    </row>
    <row r="3" customFormat="false" ht="15" hidden="false" customHeight="true" outlineLevel="0" collapsed="false">
      <c r="A3" s="22" t="s">
        <v>299</v>
      </c>
      <c r="B3" s="22" t="s">
        <v>129</v>
      </c>
      <c r="C3" s="22" t="s">
        <v>300</v>
      </c>
    </row>
    <row r="4" customFormat="false" ht="15" hidden="false" customHeight="true" outlineLevel="0" collapsed="false">
      <c r="A4" s="5" t="s">
        <v>301</v>
      </c>
      <c r="B4" s="33" t="s">
        <v>302</v>
      </c>
      <c r="C4" s="5" t="s">
        <v>303</v>
      </c>
    </row>
    <row r="5" customFormat="false" ht="15" hidden="false" customHeight="true" outlineLevel="0" collapsed="false">
      <c r="A5" s="5" t="s">
        <v>304</v>
      </c>
      <c r="B5" s="33" t="s">
        <v>302</v>
      </c>
      <c r="C5" s="5" t="s">
        <v>305</v>
      </c>
    </row>
    <row r="6" customFormat="false" ht="15" hidden="false" customHeight="true" outlineLevel="0" collapsed="false">
      <c r="A6" s="5" t="s">
        <v>306</v>
      </c>
      <c r="B6" s="33" t="s">
        <v>302</v>
      </c>
      <c r="C6" s="5" t="s">
        <v>307</v>
      </c>
    </row>
    <row r="7" customFormat="false" ht="15" hidden="false" customHeight="true" outlineLevel="0" collapsed="false">
      <c r="A7" s="5" t="s">
        <v>308</v>
      </c>
      <c r="B7" s="34" t="s">
        <v>309</v>
      </c>
      <c r="C7" s="5" t="s">
        <v>310</v>
      </c>
    </row>
    <row r="8" customFormat="false" ht="15" hidden="false" customHeight="true" outlineLevel="0" collapsed="false">
      <c r="A8" s="5" t="s">
        <v>311</v>
      </c>
      <c r="B8" s="34" t="s">
        <v>309</v>
      </c>
      <c r="C8" s="5" t="s">
        <v>312</v>
      </c>
    </row>
    <row r="9" customFormat="false" ht="15" hidden="false" customHeight="true" outlineLevel="0" collapsed="false">
      <c r="A9" s="5" t="s">
        <v>6</v>
      </c>
      <c r="B9" s="34" t="s">
        <v>309</v>
      </c>
      <c r="C9" s="5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314</v>
      </c>
    </row>
    <row r="3" customFormat="false" ht="15" hidden="false" customHeight="true" outlineLevel="0" collapsed="false">
      <c r="A3" s="22" t="s">
        <v>14</v>
      </c>
      <c r="B3" s="22" t="s">
        <v>315</v>
      </c>
      <c r="C3" s="22" t="s">
        <v>316</v>
      </c>
      <c r="D3" s="22" t="s">
        <v>110</v>
      </c>
    </row>
    <row r="4" customFormat="false" ht="15" hidden="false" customHeight="true" outlineLevel="0" collapsed="false">
      <c r="A4" s="5" t="s">
        <v>317</v>
      </c>
      <c r="B4" s="6" t="n">
        <v>2575672.94</v>
      </c>
      <c r="C4" s="6" t="n">
        <v>2575672.94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318</v>
      </c>
      <c r="B5" s="6" t="n">
        <v>-6156577</v>
      </c>
      <c r="C5" s="6" t="n">
        <v>6156577</v>
      </c>
      <c r="D5" s="10" t="n">
        <f aca="false">IF(ISNUMBER(B5),B5-C5,"—")</f>
        <v>-12313154</v>
      </c>
    </row>
    <row r="6" customFormat="false" ht="15" hidden="false" customHeight="true" outlineLevel="0" collapsed="false">
      <c r="A6" s="5" t="s">
        <v>319</v>
      </c>
      <c r="C6" s="6" t="n">
        <v>1004314.51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320</v>
      </c>
      <c r="C7" s="6" t="n">
        <v>1379870.39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321</v>
      </c>
      <c r="C8" s="6" t="n">
        <v>191488.04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322</v>
      </c>
    </row>
    <row r="3" customFormat="false" ht="15" hidden="false" customHeight="true" outlineLevel="0" collapsed="false">
      <c r="A3" s="22" t="s">
        <v>291</v>
      </c>
      <c r="B3" s="22" t="s">
        <v>323</v>
      </c>
      <c r="C3" s="22" t="s">
        <v>324</v>
      </c>
    </row>
    <row r="4" customFormat="false" ht="15" hidden="false" customHeight="true" outlineLevel="0" collapsed="false">
      <c r="A4" s="35" t="s">
        <v>294</v>
      </c>
      <c r="B4" s="35" t="s">
        <v>325</v>
      </c>
      <c r="C4" s="35" t="s">
        <v>326</v>
      </c>
    </row>
    <row r="5" customFormat="false" ht="15" hidden="false" customHeight="true" outlineLevel="0" collapsed="false">
      <c r="A5" s="35" t="s">
        <v>12</v>
      </c>
      <c r="B5" s="35" t="s">
        <v>325</v>
      </c>
      <c r="C5" s="35" t="s">
        <v>327</v>
      </c>
    </row>
    <row r="6" customFormat="false" ht="15" hidden="false" customHeight="true" outlineLevel="0" collapsed="false">
      <c r="A6" s="35" t="s">
        <v>328</v>
      </c>
      <c r="B6" s="35" t="s">
        <v>329</v>
      </c>
      <c r="C6" s="35" t="s">
        <v>330</v>
      </c>
    </row>
    <row r="7" customFormat="false" ht="15" hidden="false" customHeight="true" outlineLevel="0" collapsed="false">
      <c r="A7" s="35" t="s">
        <v>296</v>
      </c>
      <c r="B7" s="35" t="s">
        <v>331</v>
      </c>
      <c r="C7" s="35" t="s">
        <v>332</v>
      </c>
    </row>
    <row r="8" customFormat="false" ht="15" hidden="false" customHeight="true" outlineLevel="0" collapsed="false">
      <c r="A8" s="35" t="s">
        <v>297</v>
      </c>
      <c r="B8" s="35" t="s">
        <v>333</v>
      </c>
      <c r="C8" s="35" t="s">
        <v>334</v>
      </c>
    </row>
    <row r="9" customFormat="false" ht="23.25" hidden="false" customHeight="true" outlineLevel="0" collapsed="false">
      <c r="A9" s="35" t="s">
        <v>335</v>
      </c>
      <c r="B9" s="35" t="s">
        <v>336</v>
      </c>
      <c r="C9" s="35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338</v>
      </c>
    </row>
    <row r="3" customFormat="false" ht="15" hidden="false" customHeight="true" outlineLevel="0" collapsed="false">
      <c r="A3" s="22" t="s">
        <v>339</v>
      </c>
      <c r="B3" s="22" t="s">
        <v>340</v>
      </c>
      <c r="C3" s="22" t="s">
        <v>341</v>
      </c>
    </row>
    <row r="4" customFormat="false" ht="15" hidden="false" customHeight="true" outlineLevel="0" collapsed="false">
      <c r="A4" s="5" t="s">
        <v>342</v>
      </c>
      <c r="B4" s="5" t="s">
        <v>343</v>
      </c>
      <c r="C4" s="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2026-04-26T02:18:37Z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