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#2030 · Exxel Pacific East Union</t>
        </is>
      </c>
    </row>
    <row r="3" ht="22" customHeight="1">
      <c r="B3" s="43" t="inlineStr">
        <is>
          <t>Cortex JCR Cortex v2  •  Exxel Pacific, Inc. (customer 2030EP)  •  East Union, WA  •  Owner: Lake Union Partners (developer)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2030</t>
        </is>
      </c>
      <c r="D6" s="6" t="n"/>
      <c r="E6" s="7" t="n"/>
      <c r="F6" s="47" t="inlineStr">
        <is>
          <t>2030 Job Detail Report.pdf (Sage Timberline, 04/03/2026, 190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East Union</t>
        </is>
      </c>
      <c r="D7" s="50" t="n"/>
      <c r="E7" s="51" t="n"/>
      <c r="F7" s="49" t="inlineStr">
        <is>
          <t>2030 Job Detail Report.pdf (Sage Timberline, 04/03/2026, 190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East Union — 296-unit new construction plumbing</t>
        </is>
      </c>
      <c r="D8" s="6" t="n"/>
      <c r="E8" s="7" t="n"/>
      <c r="F8" s="47" t="inlineStr">
        <is>
          <t>Exxel Pacific East Union Subcontract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Exxel Pacific East Union Subcontract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2030EP</t>
        </is>
      </c>
      <c r="D10" s="6" t="n"/>
      <c r="E10" s="7" t="n"/>
      <c r="F10" s="47" t="inlineStr">
        <is>
          <t>2030 Job Detail Report.pdf (Sage Timberline, 04/03/2026, 190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Lake Union Partners (developer)</t>
        </is>
      </c>
      <c r="D11" s="50" t="n"/>
      <c r="E11" s="51" t="n"/>
      <c r="F11" s="49" t="inlineStr">
        <is>
          <t>Exxel Pacific East Union Subcontract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East Union, WA</t>
        </is>
      </c>
      <c r="D12" s="6" t="n"/>
      <c r="E12" s="7" t="n"/>
      <c r="F12" s="47" t="inlineStr">
        <is>
          <t>Exxel Pacific East Union Subcontract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Exxel Pacific East Union Subcontract</t>
        </is>
      </c>
      <c r="D13" s="50" t="n"/>
      <c r="E13" s="51" t="n"/>
      <c r="F13" s="49" t="inlineStr">
        <is>
          <t>Lump Sum subcontract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East Union plumbing narrative (Div 22 plumbing narrative) + fixture schedule + proposal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East Union fixture schedule (fixture schedule for 296-unit multifamily)</t>
        </is>
      </c>
      <c r="D15" s="50" t="n"/>
      <c r="E15" s="51" t="n"/>
      <c r="F15" s="49" t="inlineStr">
        <is>
          <t>Referenced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Pacific East Union Proposal</t>
        </is>
      </c>
      <c r="D16" s="6" t="n"/>
      <c r="E16" s="7" t="n"/>
      <c r="F16" s="47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Exxel Pacific East Union Subcontract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Per PR/AR posting dates in JDR</t>
        </is>
      </c>
      <c r="D18" s="6" t="n"/>
      <c r="E18" s="7" t="n"/>
      <c r="F18" s="47" t="inlineStr">
        <is>
          <t>2030 Job Detail Report.pdf (Sage Timberline, 04/03/2026, 190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owp-2030/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2322781</v>
      </c>
      <c r="D22" s="55" t="n">
        <v>885352.03</v>
      </c>
      <c r="F22" s="55" t="n">
        <v>1437428.97</v>
      </c>
      <c r="H22" s="56" t="n">
        <v>18665</v>
      </c>
    </row>
    <row r="23">
      <c r="B23" s="48" t="inlineStr">
        <is>
          <t>Original $2,135,080.00 + $187,701.00 COs (8.79%)</t>
        </is>
      </c>
      <c r="C23" s="53" t="n"/>
      <c r="D23" s="49" t="inlineStr">
        <is>
          <t>38.1% margin</t>
        </is>
      </c>
      <c r="E23" s="53" t="n"/>
      <c r="F23" s="49" t="inlineStr">
        <is>
          <t>61.9% of revenue</t>
        </is>
      </c>
      <c r="G23" s="53" t="n"/>
      <c r="H23" s="49" t="inlineStr">
        <is>
          <t>45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proposal)</t>
        </is>
      </c>
    </row>
    <row r="27">
      <c r="B27" s="48" t="inlineStr">
        <is>
          <t>Full plumbing installation: underground, rough-in, finish, gas piping, water mains, insulation, mechanical room, and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296-unit multifamily new construction at East Union,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5 levels above ground, 1 level below grade (per Job Info).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Spec compliance: Current Building Code + UPC with Washington state amendments.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/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58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8" t="inlineStr">
        <is>
          <t>Canonical financial source: 2030 Job Detail Report.pdf (Sage Timberline, 04/03/2026, 190 pages)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Job totals (JDR footer): Revenue $2,322,781.00 / Expenses $1,437,428.97 / Net $885,352.03 / Retainage $116,139.05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Source breakdown: GL $101,304.62 · AP $555,579.87 · PR $481,197.50 · AR $2,322,781.00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Contract: Exxel Pacific East Union Subcontract (Lump Sum $2,135,080.00, descoped to $2,322,781.00)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Proposal: Exxel Pacific East Union Proposal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Fixture schedule: East Union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Plumbing narrative: East Union plumbing narrative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</row>
    <row r="44"/>
    <row r="45">
      <c r="B45" s="59" t="inlineStr">
        <is>
          <t>PROJECT TEAM (OWP Job Info)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</row>
    <row r="46">
      <c r="B46" s="60" t="inlineStr">
        <is>
          <t>Role</t>
        </is>
      </c>
      <c r="C46" s="61" t="inlineStr">
        <is>
          <t>Status</t>
        </is>
      </c>
      <c r="D46" s="61" t="inlineStr">
        <is>
          <t>Name / Firm</t>
        </is>
      </c>
    </row>
    <row r="47">
      <c r="B47" s="59" t="inlineStr">
        <is>
          <t>GC</t>
        </is>
      </c>
      <c r="C47" s="62" t="inlineStr">
        <is>
          <t>Extracted</t>
        </is>
      </c>
      <c r="D47" s="63" t="inlineStr">
        <is>
          <t>Exxel Pacific, Inc.</t>
        </is>
      </c>
      <c r="E47" s="53" t="n"/>
      <c r="F47" s="53" t="n"/>
      <c r="G47" s="53" t="n"/>
      <c r="H47" s="53" t="n"/>
      <c r="I47" s="53" t="n"/>
      <c r="J47" s="53" t="n"/>
    </row>
    <row r="48">
      <c r="B48" s="60" t="inlineStr">
        <is>
          <t>GC PM</t>
        </is>
      </c>
      <c r="C48" s="62" t="inlineStr">
        <is>
          <t>Extracted</t>
        </is>
      </c>
      <c r="D48" s="61" t="inlineStr">
        <is>
          <t>Brett / Franklin (per project subfolders)</t>
        </is>
      </c>
    </row>
    <row r="49">
      <c r="B49" s="59" t="inlineStr">
        <is>
          <t>GC Superintendent</t>
        </is>
      </c>
      <c r="C49" s="64" t="inlineStr">
        <is>
          <t>N/A</t>
        </is>
      </c>
      <c r="D49" s="63" t="inlineStr">
        <is>
          <t>N/A</t>
        </is>
      </c>
      <c r="E49" s="53" t="n"/>
      <c r="F49" s="53" t="n"/>
      <c r="G49" s="53" t="n"/>
      <c r="H49" s="53" t="n"/>
      <c r="I49" s="53" t="n"/>
      <c r="J49" s="53" t="n"/>
    </row>
    <row r="50">
      <c r="B50" s="60" t="inlineStr">
        <is>
          <t>GC PE</t>
        </is>
      </c>
      <c r="C50" s="64" t="inlineStr">
        <is>
          <t>N/A</t>
        </is>
      </c>
      <c r="D50" s="61" t="inlineStr">
        <is>
          <t>N/A</t>
        </is>
      </c>
    </row>
    <row r="51">
      <c r="B51" s="59" t="inlineStr">
        <is>
          <t>Developer</t>
        </is>
      </c>
      <c r="C51" s="62" t="inlineStr">
        <is>
          <t>Extracted</t>
        </is>
      </c>
      <c r="D51" s="63" t="inlineStr">
        <is>
          <t>Lake Union Partners</t>
        </is>
      </c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Architect</t>
        </is>
      </c>
      <c r="C52" s="64" t="inlineStr">
        <is>
          <t>N/A</t>
        </is>
      </c>
      <c r="D52" s="61" t="inlineStr">
        <is>
          <t>N/A</t>
        </is>
      </c>
    </row>
    <row r="53">
      <c r="B53" s="59" t="inlineStr">
        <is>
          <t>Structural</t>
        </is>
      </c>
      <c r="C53" s="64" t="inlineStr">
        <is>
          <t>N/A</t>
        </is>
      </c>
      <c r="D53" s="63" t="inlineStr">
        <is>
          <t>N/A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Acoustical</t>
        </is>
      </c>
      <c r="C54" s="64" t="inlineStr">
        <is>
          <t>N/A</t>
        </is>
      </c>
      <c r="D54" s="61" t="inlineStr">
        <is>
          <t>N/A</t>
        </is>
      </c>
    </row>
    <row r="55">
      <c r="B55" s="59" t="inlineStr">
        <is>
          <t>ADA Consultant</t>
        </is>
      </c>
      <c r="C55" s="64" t="inlineStr">
        <is>
          <t>N/A</t>
        </is>
      </c>
      <c r="D55" s="63" t="inlineStr">
        <is>
          <t>N/A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Interior Design</t>
        </is>
      </c>
      <c r="C56" s="64" t="inlineStr">
        <is>
          <t>N/A</t>
        </is>
      </c>
      <c r="D56" s="61" t="inlineStr">
        <is>
          <t>N/A</t>
        </is>
      </c>
    </row>
    <row r="57">
      <c r="B57" s="59" t="inlineStr">
        <is>
          <t>MEP Engineer</t>
        </is>
      </c>
      <c r="C57" s="62" t="inlineStr">
        <is>
          <t>Extracted</t>
        </is>
      </c>
      <c r="D57" s="63" t="inlineStr">
        <is>
          <t>Franklin Engineering</t>
        </is>
      </c>
      <c r="E57" s="53" t="n"/>
      <c r="F57" s="53" t="n"/>
      <c r="G57" s="53" t="n"/>
      <c r="H57" s="53" t="n"/>
      <c r="I57" s="53" t="n"/>
      <c r="J57" s="53" t="n"/>
    </row>
  </sheetData>
  <mergeCells count="54">
    <mergeCell ref="C16:E16"/>
    <mergeCell ref="D56:J56"/>
    <mergeCell ref="F11:J11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D51:J51"/>
    <mergeCell ref="B29:J29"/>
    <mergeCell ref="F7:J7"/>
    <mergeCell ref="C11:E11"/>
    <mergeCell ref="F15:J15"/>
    <mergeCell ref="B37:J37"/>
    <mergeCell ref="D50:J50"/>
    <mergeCell ref="F12:J12"/>
    <mergeCell ref="B28:J28"/>
    <mergeCell ref="D54:J54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D52:J52"/>
    <mergeCell ref="C18:E18"/>
    <mergeCell ref="B41:J41"/>
    <mergeCell ref="D57:J57"/>
    <mergeCell ref="B35:J35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29 cost codes from JDR. Contract $2,135,080 → $2,322,781 (COs +$187,701.00).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14400</v>
      </c>
      <c r="E6" s="66" t="n">
        <v>16050</v>
      </c>
      <c r="F6" s="66" t="n">
        <v>4994.5</v>
      </c>
      <c r="G6" s="67">
        <f>F6-E6</f>
        <v/>
      </c>
      <c r="H6" s="68">
        <f>IF(E6=0,"",F6/E6)</f>
        <v/>
      </c>
      <c r="I6" s="56" t="n">
        <v>102.5</v>
      </c>
      <c r="J6" s="47" t="inlineStr">
        <is>
          <t>2030 Job Detail Report.pdf (Sage Timberline, 04/03/2026, 190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23040</v>
      </c>
      <c r="E7" s="69" t="n">
        <v>25090</v>
      </c>
      <c r="F7" s="69" t="n">
        <v>19747</v>
      </c>
      <c r="G7" s="70">
        <f>F7-E7</f>
        <v/>
      </c>
      <c r="H7" s="71">
        <f>IF(E7=0,"",F7/E7)</f>
        <v/>
      </c>
      <c r="I7" s="72" t="n">
        <v>392</v>
      </c>
      <c r="J7" s="49" t="inlineStr">
        <is>
          <t>2030 Job Detail Report.pdf (Sage Timberline, 04/03/2026, 190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9400</v>
      </c>
      <c r="E8" s="66" t="n">
        <v>10618</v>
      </c>
      <c r="F8" s="66" t="n">
        <v>4496.5</v>
      </c>
      <c r="G8" s="67">
        <f>F8-E8</f>
        <v/>
      </c>
      <c r="H8" s="68">
        <f>IF(E8=0,"",F8/E8)</f>
        <v/>
      </c>
      <c r="I8" s="56" t="n">
        <v>143.5</v>
      </c>
      <c r="J8" s="47" t="inlineStr">
        <is>
          <t>2030 Job Detail Report.pdf (Sage Timberline, 04/03/2026, 190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110300</v>
      </c>
      <c r="E9" s="69" t="n">
        <v>123843</v>
      </c>
      <c r="F9" s="69" t="n">
        <v>83224.5</v>
      </c>
      <c r="G9" s="70">
        <f>F9-E9</f>
        <v/>
      </c>
      <c r="H9" s="71">
        <f>IF(E9=0,"",F9/E9)</f>
        <v/>
      </c>
      <c r="I9" s="72" t="n">
        <v>3139.5</v>
      </c>
      <c r="J9" s="49" t="inlineStr">
        <is>
          <t>2030 Job Detail Report.pdf (Sage Timberline, 04/03/2026, 190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13900</v>
      </c>
      <c r="E10" s="66" t="n">
        <v>20455</v>
      </c>
      <c r="F10" s="66" t="n">
        <v>10888</v>
      </c>
      <c r="G10" s="67">
        <f>F10-E10</f>
        <v/>
      </c>
      <c r="H10" s="68">
        <f>IF(E10=0,"",F10/E10)</f>
        <v/>
      </c>
      <c r="I10" s="56" t="n">
        <v>373.75</v>
      </c>
      <c r="J10" s="47" t="inlineStr">
        <is>
          <t>2030 Job Detail Report.pdf (Sage Timberline, 04/03/2026, 190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246760</v>
      </c>
      <c r="E11" s="69" t="n">
        <v>245447</v>
      </c>
      <c r="F11" s="69" t="n">
        <v>255360.5</v>
      </c>
      <c r="G11" s="70">
        <f>F11-E11</f>
        <v/>
      </c>
      <c r="H11" s="71">
        <f>IF(E11=0,"",F11/E11)</f>
        <v/>
      </c>
      <c r="I11" s="72" t="n">
        <v>9692.25</v>
      </c>
      <c r="J11" s="49" t="inlineStr">
        <is>
          <t>2030 Job Detail Report.pdf (Sage Timberline, 04/03/2026, 190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48300</v>
      </c>
      <c r="E12" s="66" t="n">
        <v>48437</v>
      </c>
      <c r="F12" s="66" t="n">
        <v>47557.25</v>
      </c>
      <c r="G12" s="67">
        <f>F12-E12</f>
        <v/>
      </c>
      <c r="H12" s="68">
        <f>IF(E12=0,"",F12/E12)</f>
        <v/>
      </c>
      <c r="I12" s="56" t="n">
        <v>1737.5</v>
      </c>
      <c r="J12" s="47" t="inlineStr">
        <is>
          <t>2030 Job Detail Report.pdf (Sage Timberline, 04/03/2026, 190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9600</v>
      </c>
      <c r="E13" s="69" t="n">
        <v>11720</v>
      </c>
      <c r="F13" s="69" t="n">
        <v>16593</v>
      </c>
      <c r="G13" s="70">
        <f>F13-E13</f>
        <v/>
      </c>
      <c r="H13" s="71">
        <f>IF(E13=0,"",F13/E13)</f>
        <v/>
      </c>
      <c r="I13" s="72" t="n">
        <v>578</v>
      </c>
      <c r="J13" s="49" t="inlineStr">
        <is>
          <t>2030 Job Detail Report.pdf (Sage Timberline, 04/03/2026, 190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44785</v>
      </c>
      <c r="E14" s="66" t="n">
        <v>49085</v>
      </c>
      <c r="F14" s="66" t="n">
        <v>42757</v>
      </c>
      <c r="G14" s="67">
        <f>F14-E14</f>
        <v/>
      </c>
      <c r="H14" s="68">
        <f>IF(E14=0,"",F14/E14)</f>
        <v/>
      </c>
      <c r="I14" s="56" t="n">
        <v>1889</v>
      </c>
      <c r="J14" s="47" t="inlineStr">
        <is>
          <t>2030 Job Detail Report.pdf (Sage Timberline, 04/03/2026, 190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21000</v>
      </c>
      <c r="E15" s="69" t="n">
        <v>24886</v>
      </c>
      <c r="F15" s="69" t="n">
        <v>18473</v>
      </c>
      <c r="G15" s="70">
        <f>F15-E15</f>
        <v/>
      </c>
      <c r="H15" s="71">
        <f>IF(E15=0,"",F15/E15)</f>
        <v/>
      </c>
      <c r="I15" s="72" t="n">
        <v>617</v>
      </c>
      <c r="J15" s="49" t="inlineStr">
        <is>
          <t>2030 Job Detail Report.pdf (Sage Timberline, 04/03/2026, 190 pages)</t>
        </is>
      </c>
    </row>
    <row r="16">
      <c r="B16" s="46" t="inlineStr">
        <is>
          <t>210</t>
        </is>
      </c>
      <c r="C16" s="47" t="inlineStr">
        <is>
          <t>Underground Material</t>
        </is>
      </c>
      <c r="D16" s="66" t="n">
        <v>19300</v>
      </c>
      <c r="E16" s="66" t="n">
        <v>23202</v>
      </c>
      <c r="F16" s="66" t="n">
        <v>14590.94</v>
      </c>
      <c r="G16" s="67">
        <f>F16-E16</f>
        <v/>
      </c>
      <c r="H16" s="68">
        <f>IF(E16=0,"",F16/E16)</f>
        <v/>
      </c>
      <c r="I16" s="17" t="inlineStr"/>
      <c r="J16" s="47" t="inlineStr">
        <is>
          <t>2030 Job Detail Report.pdf (Sage Timberline, 04/03/2026, 190 pages)</t>
        </is>
      </c>
    </row>
    <row r="17">
      <c r="B17" s="48" t="inlineStr">
        <is>
          <t>211</t>
        </is>
      </c>
      <c r="C17" s="49" t="inlineStr">
        <is>
          <t>Garage Material</t>
        </is>
      </c>
      <c r="D17" s="69" t="n">
        <v>108050</v>
      </c>
      <c r="E17" s="69" t="n">
        <v>126594</v>
      </c>
      <c r="F17" s="69" t="n">
        <v>72845.97</v>
      </c>
      <c r="G17" s="70">
        <f>F17-E17</f>
        <v/>
      </c>
      <c r="H17" s="71">
        <f>IF(E17=0,"",F17/E17)</f>
        <v/>
      </c>
      <c r="I17" s="73" t="inlineStr"/>
      <c r="J17" s="49" t="inlineStr">
        <is>
          <t>2030 Job Detail Report.pdf (Sage Timberline, 04/03/2026, 190 pages)</t>
        </is>
      </c>
    </row>
    <row r="18">
      <c r="B18" s="46" t="inlineStr">
        <is>
          <t>212</t>
        </is>
      </c>
      <c r="C18" s="47" t="inlineStr">
        <is>
          <t>Canout Material</t>
        </is>
      </c>
      <c r="D18" s="66" t="n">
        <v>16650</v>
      </c>
      <c r="E18" s="66" t="n">
        <v>19740</v>
      </c>
      <c r="F18" s="66" t="n">
        <v>9952.790000000001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2030 Job Detail Report.pdf (Sage Timberline, 04/03/2026, 190 pages)</t>
        </is>
      </c>
    </row>
    <row r="19">
      <c r="B19" s="48" t="inlineStr">
        <is>
          <t>220</t>
        </is>
      </c>
      <c r="C19" s="49" t="inlineStr">
        <is>
          <t>Roughin Material</t>
        </is>
      </c>
      <c r="D19" s="69" t="n">
        <v>141080</v>
      </c>
      <c r="E19" s="69" t="n">
        <v>130320</v>
      </c>
      <c r="F19" s="69" t="n">
        <v>104992.07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2030 Job Detail Report.pdf (Sage Timberline, 04/03/2026, 190 pages)</t>
        </is>
      </c>
    </row>
    <row r="20">
      <c r="B20" s="46" t="inlineStr">
        <is>
          <t>230</t>
        </is>
      </c>
      <c r="C20" s="47" t="inlineStr">
        <is>
          <t>Finish Material</t>
        </is>
      </c>
      <c r="D20" s="66" t="n">
        <v>209900</v>
      </c>
      <c r="E20" s="66" t="n">
        <v>321508</v>
      </c>
      <c r="F20" s="66" t="n">
        <v>290680.64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2030 Job Detail Report.pdf (Sage Timberline, 04/03/2026, 190 pages)</t>
        </is>
      </c>
    </row>
    <row r="21">
      <c r="B21" s="48" t="inlineStr">
        <is>
          <t>240</t>
        </is>
      </c>
      <c r="C21" s="49" t="inlineStr">
        <is>
          <t>Gas Material</t>
        </is>
      </c>
      <c r="D21" s="69" t="n">
        <v>9400</v>
      </c>
      <c r="E21" s="69" t="n">
        <v>12033</v>
      </c>
      <c r="F21" s="69" t="n">
        <v>3056.66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2030 Job Detail Report.pdf (Sage Timberline, 04/03/2026, 190 pages)</t>
        </is>
      </c>
    </row>
    <row r="22">
      <c r="B22" s="46" t="inlineStr">
        <is>
          <t>241</t>
        </is>
      </c>
      <c r="C22" s="47" t="inlineStr">
        <is>
          <t>Water Main/Insulation Mat</t>
        </is>
      </c>
      <c r="D22" s="66" t="n">
        <v>79050</v>
      </c>
      <c r="E22" s="66" t="n">
        <v>87248</v>
      </c>
      <c r="F22" s="66" t="n">
        <v>46541.31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2030 Job Detail Report.pdf (Sage Timberline, 04/03/2026, 190 pages)</t>
        </is>
      </c>
    </row>
    <row r="23">
      <c r="B23" s="48" t="inlineStr">
        <is>
          <t>242</t>
        </is>
      </c>
      <c r="C23" s="49" t="inlineStr">
        <is>
          <t>Mech Room Material</t>
        </is>
      </c>
      <c r="D23" s="69" t="n">
        <v>130300</v>
      </c>
      <c r="E23" s="69" t="n">
        <v>50965</v>
      </c>
      <c r="F23" s="69" t="n">
        <v>27223.2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2030 Job Detail Report.pdf (Sage Timberline, 04/03/2026, 190 pages)</t>
        </is>
      </c>
    </row>
    <row r="24">
      <c r="B24" s="46" t="inlineStr">
        <is>
          <t>243</t>
        </is>
      </c>
      <c r="C24" s="47" t="inlineStr">
        <is>
          <t>Condensation Drains Mat</t>
        </is>
      </c>
      <c r="D24" s="66" t="n">
        <v>0</v>
      </c>
      <c r="E24" s="66" t="n">
        <v>0</v>
      </c>
      <c r="F24" s="66" t="n">
        <v>21.41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2030 Job Detail Report.pdf (Sage Timberline, 04/03/2026, 190 pages)</t>
        </is>
      </c>
    </row>
    <row r="25">
      <c r="B25" s="48" t="inlineStr">
        <is>
          <t>430</t>
        </is>
      </c>
      <c r="C25" s="49" t="inlineStr">
        <is>
          <t>Flats Finish Material</t>
        </is>
      </c>
      <c r="D25" s="69" t="n">
        <v>0</v>
      </c>
      <c r="E25" s="69" t="n">
        <v>0</v>
      </c>
      <c r="F25" s="69" t="n">
        <v>0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2030 Job Detail Report.pdf (Sage Timberline, 04/03/2026, 190 pages)</t>
        </is>
      </c>
    </row>
    <row r="26">
      <c r="B26" s="46" t="inlineStr">
        <is>
          <t>600</t>
        </is>
      </c>
      <c r="C26" s="47" t="inlineStr">
        <is>
          <t>Subcontractor</t>
        </is>
      </c>
      <c r="D26" s="66" t="n">
        <v>1500</v>
      </c>
      <c r="E26" s="66" t="n">
        <v>23000</v>
      </c>
      <c r="F26" s="66" t="n">
        <v>21749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2030 Job Detail Report.pdf (Sage Timberline, 04/03/2026, 190 pages)</t>
        </is>
      </c>
    </row>
    <row r="27">
      <c r="B27" s="48" t="inlineStr">
        <is>
          <t>601</t>
        </is>
      </c>
      <c r="C27" s="49" t="inlineStr">
        <is>
          <t>Engineering/Plans</t>
        </is>
      </c>
      <c r="D27" s="69" t="n">
        <v>25000</v>
      </c>
      <c r="E27" s="69" t="n">
        <v>25100</v>
      </c>
      <c r="F27" s="69" t="n">
        <v>22272.25</v>
      </c>
      <c r="G27" s="70">
        <f>F27-E27</f>
        <v/>
      </c>
      <c r="H27" s="71">
        <f>IF(E27=0,"",F27/E27)</f>
        <v/>
      </c>
      <c r="I27" s="73" t="inlineStr"/>
      <c r="J27" s="49" t="inlineStr">
        <is>
          <t>2030 Job Detail Report.pdf (Sage Timberline, 04/03/2026, 190 pages)</t>
        </is>
      </c>
    </row>
    <row r="28">
      <c r="B28" s="46" t="inlineStr">
        <is>
          <t>602</t>
        </is>
      </c>
      <c r="C28" s="47" t="inlineStr">
        <is>
          <t>Rental Equipment</t>
        </is>
      </c>
      <c r="D28" s="66" t="n">
        <v>10000</v>
      </c>
      <c r="E28" s="66" t="n">
        <v>11500</v>
      </c>
      <c r="F28" s="66" t="n">
        <v>10037.15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2030 Job Detail Report.pdf (Sage Timberline, 04/03/2026, 190 pages)</t>
        </is>
      </c>
    </row>
    <row r="29">
      <c r="B29" s="48" t="inlineStr">
        <is>
          <t>603</t>
        </is>
      </c>
      <c r="C29" s="49" t="inlineStr">
        <is>
          <t>Permits &amp; Licenses</t>
        </is>
      </c>
      <c r="D29" s="69" t="n">
        <v>11500</v>
      </c>
      <c r="E29" s="69" t="n">
        <v>11640</v>
      </c>
      <c r="F29" s="69" t="n">
        <v>10377.9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2030 Job Detail Report.pdf (Sage Timberline, 04/03/2026, 190 pages)</t>
        </is>
      </c>
    </row>
    <row r="30">
      <c r="B30" s="46" t="inlineStr">
        <is>
          <t>604</t>
        </is>
      </c>
      <c r="C30" s="47" t="inlineStr">
        <is>
          <t>Backcharges</t>
        </is>
      </c>
      <c r="D30" s="66" t="n">
        <v>0</v>
      </c>
      <c r="E30" s="66" t="n">
        <v>0</v>
      </c>
      <c r="F30" s="66" t="n">
        <v>34043.21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2030 Job Detail Report.pdf (Sage Timberline, 04/03/2026, 190 pages)</t>
        </is>
      </c>
    </row>
    <row r="31">
      <c r="B31" s="48" t="inlineStr">
        <is>
          <t>607</t>
        </is>
      </c>
      <c r="C31" s="49" t="inlineStr">
        <is>
          <t>Other Expenses</t>
        </is>
      </c>
      <c r="D31" s="69" t="n">
        <v>12800</v>
      </c>
      <c r="E31" s="69" t="n">
        <v>12800</v>
      </c>
      <c r="F31" s="69" t="n">
        <v>2825.11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2030 Job Detail Report.pdf (Sage Timberline, 04/03/2026, 190 pages)</t>
        </is>
      </c>
    </row>
    <row r="32">
      <c r="B32" s="46" t="inlineStr">
        <is>
          <t>995</t>
        </is>
      </c>
      <c r="C32" s="47" t="inlineStr">
        <is>
          <t>Payroll Burden</t>
        </is>
      </c>
      <c r="D32" s="66" t="n">
        <v>245563.45</v>
      </c>
      <c r="E32" s="66" t="n">
        <v>260718.15</v>
      </c>
      <c r="F32" s="66" t="n">
        <v>223564.72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2030 Job Detail Report.pdf (Sage Timberline, 04/03/2026, 190 pages)</t>
        </is>
      </c>
    </row>
    <row r="33">
      <c r="B33" s="48" t="inlineStr">
        <is>
          <t>998</t>
        </is>
      </c>
      <c r="C33" s="49" t="inlineStr">
        <is>
          <t>Payroll Taxes</t>
        </is>
      </c>
      <c r="D33" s="69" t="n">
        <v>41423.6</v>
      </c>
      <c r="E33" s="69" t="n">
        <v>44035.78</v>
      </c>
      <c r="F33" s="69" t="n">
        <v>38563.39</v>
      </c>
      <c r="G33" s="70">
        <f>F33-E33</f>
        <v/>
      </c>
      <c r="H33" s="71">
        <f>IF(E33=0,"",F33/E33)</f>
        <v/>
      </c>
      <c r="I33" s="73" t="inlineStr"/>
      <c r="J33" s="49" t="inlineStr">
        <is>
          <t>2030 Job Detail Report.pdf (Sage Timberline, 04/03/2026, 190 pages)</t>
        </is>
      </c>
    </row>
    <row r="34">
      <c r="B34" s="46" t="inlineStr">
        <is>
          <t>999</t>
        </is>
      </c>
      <c r="C34" s="47" t="inlineStr">
        <is>
          <t>Sales</t>
        </is>
      </c>
      <c r="D34" s="66" t="n">
        <v>-2135080</v>
      </c>
      <c r="E34" s="66" t="n">
        <v>-2322781</v>
      </c>
      <c r="F34" s="66" t="n">
        <v>-2322781</v>
      </c>
      <c r="G34" s="67">
        <f>F34-E34</f>
        <v/>
      </c>
      <c r="H34" s="68">
        <f>IF(E34=0,"",F34/E34)</f>
        <v/>
      </c>
      <c r="I34" s="17" t="inlineStr"/>
      <c r="J34" s="47" t="inlineStr">
        <is>
          <t>2030 Job Detail Report.pdf (Sage Timberline, 04/03/2026, 190 pages)</t>
        </is>
      </c>
    </row>
    <row r="35">
      <c r="B35" s="74" t="inlineStr">
        <is>
          <t>TOTAL</t>
        </is>
      </c>
      <c r="C35" s="53" t="n"/>
      <c r="D35" s="70">
        <f>SUM(D6:D34)</f>
        <v/>
      </c>
      <c r="E35" s="70">
        <f>SUM(E6:E34)</f>
        <v/>
      </c>
      <c r="F35" s="70">
        <f>SUM(F6:F34)</f>
        <v/>
      </c>
      <c r="G35" s="70">
        <f>F35-E35</f>
        <v/>
      </c>
      <c r="H35" s="53" t="n"/>
      <c r="I35" s="75">
        <f>SUM(I6:I34)</f>
        <v/>
      </c>
      <c r="J3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100,101,110,111,112,120,130,140,141,142,150</t>
        </is>
      </c>
      <c r="D6" s="55" t="n">
        <v>504091.25</v>
      </c>
      <c r="E6" s="68">
        <f>D6/$D$11</f>
        <v/>
      </c>
      <c r="F6" s="68">
        <f>D6/2322781.0</f>
        <v/>
      </c>
      <c r="G6" s="47" t="inlineStr">
        <is>
          <t>2030 Job Detail Report.pdf (Sage Timberline, 04/03/2026, 190 pages)</t>
        </is>
      </c>
    </row>
    <row r="7">
      <c r="B7" s="48" t="inlineStr">
        <is>
          <t>Material</t>
        </is>
      </c>
      <c r="C7" s="49" t="inlineStr">
        <is>
          <t>210,211,212,220,230,240,241,242,243</t>
        </is>
      </c>
      <c r="D7" s="76" t="n">
        <v>569904.99</v>
      </c>
      <c r="E7" s="71">
        <f>D7/$D$11</f>
        <v/>
      </c>
      <c r="F7" s="71">
        <f>D7/2322781.0</f>
        <v/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600,601,603,604,607</t>
        </is>
      </c>
      <c r="D8" s="55" t="n">
        <v>91267.47</v>
      </c>
      <c r="E8" s="68">
        <f>D8/$D$11</f>
        <v/>
      </c>
      <c r="F8" s="68">
        <f>D8/2322781.0</f>
        <v/>
      </c>
      <c r="G8" s="47" t="inlineStr">
        <is>
          <t>2030 Job Detail Report.pdf (Sage Timberline, 04/03/2026, 190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223564.72</v>
      </c>
      <c r="E9" s="71">
        <f>D9/$D$11</f>
        <v/>
      </c>
      <c r="F9" s="71">
        <f>D9/2322781.0</f>
        <v/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38563.39</v>
      </c>
      <c r="E10" s="68">
        <f>D10/$D$11</f>
        <v/>
      </c>
      <c r="F10" s="68">
        <f>D10/2322781.0</f>
        <v/>
      </c>
      <c r="G10" s="47" t="inlineStr">
        <is>
          <t>2030 Job Detail Report.pdf (Sage Timberline, 04/03/2026, 190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1">
        <f>D11/2322781.0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2030RS</t>
        </is>
      </c>
      <c r="C6" s="47" t="inlineStr">
        <is>
          <t>Rosen Supply Company, Inc. $East Union</t>
        </is>
      </c>
      <c r="D6" s="66" t="n">
        <v>137047.71</v>
      </c>
      <c r="E6" s="79" t="n">
        <v>84</v>
      </c>
      <c r="F6" s="47" t="inlineStr">
        <is>
          <t>Plumbing / Supplies</t>
        </is>
      </c>
      <c r="G6" s="47" t="inlineStr">
        <is>
          <t>2030 Job Detail Report.pdf (Sage Timberline, 04/03/2026, 190 pages)</t>
        </is>
      </c>
    </row>
    <row r="7">
      <c r="B7" s="48" t="inlineStr">
        <is>
          <t>2030KS</t>
        </is>
      </c>
      <c r="C7" s="49" t="inlineStr">
        <is>
          <t>Keller Supply Co. $East Union</t>
        </is>
      </c>
      <c r="D7" s="69" t="n">
        <v>115977.91</v>
      </c>
      <c r="E7" s="80" t="n">
        <v>46</v>
      </c>
      <c r="F7" s="49" t="inlineStr">
        <is>
          <t>Plumbing / Supplies</t>
        </is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2030CS</t>
        </is>
      </c>
      <c r="C8" s="47" t="inlineStr">
        <is>
          <t>Consolidated Supply Co. $East Union</t>
        </is>
      </c>
      <c r="D8" s="66" t="n">
        <v>73276.84999999996</v>
      </c>
      <c r="E8" s="79" t="n">
        <v>54</v>
      </c>
      <c r="F8" s="47" t="inlineStr">
        <is>
          <t>Plumbing / Supplies</t>
        </is>
      </c>
      <c r="G8" s="47" t="inlineStr">
        <is>
          <t>2030 Job Detail Report.pdf (Sage Timberline, 04/03/2026, 190 pages)</t>
        </is>
      </c>
    </row>
    <row r="9">
      <c r="B9" s="48" t="inlineStr">
        <is>
          <t>2030FE</t>
        </is>
      </c>
      <c r="C9" s="49" t="inlineStr">
        <is>
          <t>Ferguson Enterprises, Inc. $East Union</t>
        </is>
      </c>
      <c r="D9" s="69" t="n">
        <v>63072.48</v>
      </c>
      <c r="E9" s="80" t="n">
        <v>16</v>
      </c>
      <c r="F9" s="49" t="inlineStr">
        <is>
          <t>Plumbing / Supplies</t>
        </is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5560CH</t>
        </is>
      </c>
      <c r="C10" s="47" t="inlineStr">
        <is>
          <t>California Hydronics Corp</t>
        </is>
      </c>
      <c r="D10" s="66" t="n">
        <v>39606.16</v>
      </c>
      <c r="E10" s="79" t="n">
        <v>5</v>
      </c>
      <c r="F10" s="47" t="inlineStr">
        <is>
          <t>Uncategorized</t>
        </is>
      </c>
      <c r="G10" s="47" t="inlineStr">
        <is>
          <t>2030 Job Detail Report.pdf (Sage Timberline, 04/03/2026, 190 pages)</t>
        </is>
      </c>
    </row>
    <row r="11">
      <c r="B11" s="48" t="inlineStr">
        <is>
          <t>3612MS</t>
        </is>
      </c>
      <c r="C11" s="49" t="inlineStr">
        <is>
          <t>Mechanical Sales, Inc.</t>
        </is>
      </c>
      <c r="D11" s="69" t="n">
        <v>22551.72</v>
      </c>
      <c r="E11" s="80" t="n">
        <v>4</v>
      </c>
      <c r="F11" s="49" t="inlineStr">
        <is>
          <t>Plumbing / Supplies</t>
        </is>
      </c>
      <c r="G11" s="49" t="inlineStr">
        <is>
          <t>2030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1401LU</t>
        </is>
      </c>
      <c r="C12" s="47" t="inlineStr">
        <is>
          <t>Lotus United, LLC</t>
        </is>
      </c>
      <c r="D12" s="66" t="n">
        <v>22475</v>
      </c>
      <c r="E12" s="79" t="n">
        <v>2</v>
      </c>
      <c r="F12" s="47" t="inlineStr">
        <is>
          <t>Uncategorized</t>
        </is>
      </c>
      <c r="G12" s="47" t="inlineStr">
        <is>
          <t>2030 Job Detail Report.pdf (Sage Timberline, 04/03/2026, 190 pages)</t>
        </is>
      </c>
    </row>
    <row r="13">
      <c r="B13" s="48" t="inlineStr">
        <is>
          <t>1625FE</t>
        </is>
      </c>
      <c r="C13" s="49" t="inlineStr">
        <is>
          <t>Franklin Engineering</t>
        </is>
      </c>
      <c r="D13" s="69" t="n">
        <v>22272.25</v>
      </c>
      <c r="E13" s="80" t="n">
        <v>10</v>
      </c>
      <c r="F13" s="49" t="inlineStr">
        <is>
          <t>Engineering (601)</t>
        </is>
      </c>
      <c r="G13" s="49" t="inlineStr">
        <is>
          <t>2030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6912MF</t>
        </is>
      </c>
      <c r="C14" s="47" t="inlineStr">
        <is>
          <t>Mechanical Firestop Services, LLC</t>
        </is>
      </c>
      <c r="D14" s="66" t="n">
        <v>20100</v>
      </c>
      <c r="E14" s="79" t="n">
        <v>4</v>
      </c>
      <c r="F14" s="47" t="inlineStr">
        <is>
          <t>Uncategorized</t>
        </is>
      </c>
      <c r="G14" s="47" t="inlineStr">
        <is>
          <t>2030 Job Detail Report.pdf (Sage Timberline, 04/03/2026, 190 pages)</t>
        </is>
      </c>
    </row>
    <row r="15">
      <c r="B15" s="48" t="inlineStr">
        <is>
          <t>1234BA</t>
        </is>
      </c>
      <c r="C15" s="49" t="inlineStr">
        <is>
          <t>Bank of America CC</t>
        </is>
      </c>
      <c r="D15" s="69" t="n">
        <v>8397</v>
      </c>
      <c r="E15" s="80" t="n">
        <v>1</v>
      </c>
      <c r="F15" s="49" t="inlineStr">
        <is>
          <t>Credit Card (mixed)</t>
        </is>
      </c>
      <c r="G15" s="49" t="inlineStr">
        <is>
          <t>2030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2713AR</t>
        </is>
      </c>
      <c r="C16" s="47" t="inlineStr">
        <is>
          <t>Ahern Rentals</t>
        </is>
      </c>
      <c r="D16" s="66" t="n">
        <v>7569.520000000001</v>
      </c>
      <c r="E16" s="79" t="n">
        <v>19</v>
      </c>
      <c r="F16" s="47" t="inlineStr">
        <is>
          <t>Uncategorized</t>
        </is>
      </c>
      <c r="G16" s="47" t="inlineStr">
        <is>
          <t>2030 Job Detail Report.pdf (Sage Timberline, 04/03/2026, 190 pages)</t>
        </is>
      </c>
    </row>
    <row r="17">
      <c r="B17" s="48" t="inlineStr">
        <is>
          <t>1609QC</t>
        </is>
      </c>
      <c r="C17" s="49" t="inlineStr">
        <is>
          <t>Quality Concrete Products, Inc. $32</t>
        </is>
      </c>
      <c r="D17" s="69" t="n">
        <v>5721</v>
      </c>
      <c r="E17" s="80" t="n">
        <v>4</v>
      </c>
      <c r="F17" s="49" t="inlineStr">
        <is>
          <t>Uncategorized</t>
        </is>
      </c>
      <c r="G17" s="49" t="inlineStr">
        <is>
          <t>2030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1231KS</t>
        </is>
      </c>
      <c r="C18" s="47" t="inlineStr">
        <is>
          <t>Keller Supply Company</t>
        </is>
      </c>
      <c r="D18" s="66" t="n">
        <v>4134.920000000001</v>
      </c>
      <c r="E18" s="79" t="n">
        <v>13</v>
      </c>
      <c r="F18" s="47" t="inlineStr">
        <is>
          <t>Plumbing / Supplies</t>
        </is>
      </c>
      <c r="G18" s="47" t="inlineStr">
        <is>
          <t>2030 Job Detail Report.pdf (Sage Timberline, 04/03/2026, 190 pages)</t>
        </is>
      </c>
    </row>
    <row r="19">
      <c r="B19" s="48" t="inlineStr">
        <is>
          <t>1234CO</t>
        </is>
      </c>
      <c r="C19" s="49" t="inlineStr">
        <is>
          <t>Capital One Credit Card</t>
        </is>
      </c>
      <c r="D19" s="69" t="n">
        <v>2590.73</v>
      </c>
      <c r="E19" s="80" t="n">
        <v>14</v>
      </c>
      <c r="F19" s="49" t="inlineStr">
        <is>
          <t>Credit Card (mixed)</t>
        </is>
      </c>
      <c r="G19" s="49" t="inlineStr">
        <is>
          <t>2030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1130CS</t>
        </is>
      </c>
      <c r="C20" s="47" t="inlineStr">
        <is>
          <t>Consolidated Supply Co.</t>
        </is>
      </c>
      <c r="D20" s="66" t="n">
        <v>1577.32</v>
      </c>
      <c r="E20" s="79" t="n">
        <v>4</v>
      </c>
      <c r="F20" s="47" t="inlineStr">
        <is>
          <t>Plumbing / Supplies</t>
        </is>
      </c>
      <c r="G20" s="47" t="inlineStr">
        <is>
          <t>2030 Job Detail Report.pdf (Sage Timberline, 04/03/2026, 190 pages)</t>
        </is>
      </c>
    </row>
    <row r="21">
      <c r="B21" s="48" t="inlineStr">
        <is>
          <t>5621HD</t>
        </is>
      </c>
      <c r="C21" s="49" t="inlineStr">
        <is>
          <t>Core &amp; Main LP $HD Supply Waterworks</t>
        </is>
      </c>
      <c r="D21" s="69" t="n">
        <v>1490.52</v>
      </c>
      <c r="E21" s="80" t="n">
        <v>4</v>
      </c>
      <c r="F21" s="49" t="inlineStr">
        <is>
          <t>Plumbing / Supplies</t>
        </is>
      </c>
      <c r="G21" s="49" t="inlineStr">
        <is>
          <t>2030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3181SC</t>
        </is>
      </c>
      <c r="C22" s="47" t="inlineStr">
        <is>
          <t>Scan2Core, Inc.</t>
        </is>
      </c>
      <c r="D22" s="66" t="n">
        <v>1414</v>
      </c>
      <c r="E22" s="79" t="n">
        <v>3</v>
      </c>
      <c r="F22" s="47" t="inlineStr">
        <is>
          <t>Uncategorized</t>
        </is>
      </c>
      <c r="G22" s="47" t="inlineStr">
        <is>
          <t>2030 Job Detail Report.pdf (Sage Timberline, 04/03/2026, 190 pages)</t>
        </is>
      </c>
    </row>
    <row r="23">
      <c r="B23" s="48" t="inlineStr">
        <is>
          <t>1799AW</t>
        </is>
      </c>
      <c r="C23" s="49" t="inlineStr">
        <is>
          <t>AllWest Underground, Inc.</t>
        </is>
      </c>
      <c r="D23" s="69" t="n">
        <v>1393.42</v>
      </c>
      <c r="E23" s="80" t="n">
        <v>2</v>
      </c>
      <c r="F23" s="49" t="inlineStr">
        <is>
          <t>Uncategorized</t>
        </is>
      </c>
      <c r="G23" s="49" t="inlineStr">
        <is>
          <t>2030 Job Detail Report.pdf (Sage Timberline, 04/03/2026, 190 pages)</t>
        </is>
      </c>
      <c r="H23" s="53" t="n"/>
      <c r="I23" s="53" t="n"/>
      <c r="J23" s="53" t="n"/>
    </row>
    <row r="24">
      <c r="B24" s="46" t="inlineStr">
        <is>
          <t>1380RS</t>
        </is>
      </c>
      <c r="C24" s="47" t="inlineStr">
        <is>
          <t>Rosen Supply Kirkland</t>
        </is>
      </c>
      <c r="D24" s="66" t="n">
        <v>1352.15</v>
      </c>
      <c r="E24" s="79" t="n">
        <v>8</v>
      </c>
      <c r="F24" s="47" t="inlineStr">
        <is>
          <t>Plumbing / Supplies</t>
        </is>
      </c>
      <c r="G24" s="47" t="inlineStr">
        <is>
          <t>2030 Job Detail Report.pdf (Sage Timberline, 04/03/2026, 190 pages)</t>
        </is>
      </c>
    </row>
    <row r="25">
      <c r="B25" s="48" t="inlineStr">
        <is>
          <t>6502HR</t>
        </is>
      </c>
      <c r="C25" s="49" t="inlineStr">
        <is>
          <t>Herc Rentals, Inc.</t>
        </is>
      </c>
      <c r="D25" s="69" t="n">
        <v>1074.21</v>
      </c>
      <c r="E25" s="80" t="n">
        <v>2</v>
      </c>
      <c r="F25" s="49" t="inlineStr">
        <is>
          <t>Uncategorized</t>
        </is>
      </c>
      <c r="G25" s="49" t="inlineStr">
        <is>
          <t>2030 Job Detail Report.pdf (Sage Timberline, 04/03/2026, 190 pages)</t>
        </is>
      </c>
      <c r="H25" s="53" t="n"/>
      <c r="I25" s="53" t="n"/>
      <c r="J25" s="53" t="n"/>
    </row>
    <row r="26">
      <c r="B26" s="46" t="inlineStr">
        <is>
          <t>2494KM</t>
        </is>
      </c>
      <c r="C26" s="47" t="inlineStr">
        <is>
          <t>Katerra Materials LLC</t>
        </is>
      </c>
      <c r="D26" s="66" t="n">
        <v>865.15</v>
      </c>
      <c r="E26" s="79" t="n">
        <v>1</v>
      </c>
      <c r="F26" s="47" t="inlineStr">
        <is>
          <t>Uncategorized</t>
        </is>
      </c>
      <c r="G26" s="47" t="inlineStr">
        <is>
          <t>2030 Job Detail Report.pdf (Sage Timberline, 04/03/2026, 190 pages)</t>
        </is>
      </c>
    </row>
    <row r="27">
      <c r="B27" s="48" t="inlineStr">
        <is>
          <t>1303CM</t>
        </is>
      </c>
      <c r="C27" s="49" t="inlineStr">
        <is>
          <t>C.M. Hoskins Company</t>
        </is>
      </c>
      <c r="D27" s="69" t="n">
        <v>720</v>
      </c>
      <c r="E27" s="80" t="n">
        <v>1</v>
      </c>
      <c r="F27" s="49" t="inlineStr">
        <is>
          <t>Uncategorized</t>
        </is>
      </c>
      <c r="G27" s="49" t="inlineStr">
        <is>
          <t>2030 Job Detail Report.pdf (Sage Timberline, 04/03/2026, 190 pages)</t>
        </is>
      </c>
      <c r="H27" s="53" t="n"/>
      <c r="I27" s="53" t="n"/>
      <c r="J27" s="53" t="n"/>
    </row>
    <row r="28">
      <c r="B28" s="46" t="inlineStr">
        <is>
          <t>1021AT</t>
        </is>
      </c>
      <c r="C28" s="47" t="inlineStr">
        <is>
          <t>ACME Corp</t>
        </is>
      </c>
      <c r="D28" s="66" t="n">
        <v>363.15</v>
      </c>
      <c r="E28" s="79" t="n">
        <v>1</v>
      </c>
      <c r="F28" s="47" t="inlineStr">
        <is>
          <t>Uncategorized</t>
        </is>
      </c>
      <c r="G28" s="47" t="inlineStr">
        <is>
          <t>2030 Job Detail Report.pdf (Sage Timberline, 04/03/2026, 190 pages)</t>
        </is>
      </c>
    </row>
    <row r="29">
      <c r="B29" s="48" t="inlineStr">
        <is>
          <t>1641AR</t>
        </is>
      </c>
      <c r="C29" s="49" t="inlineStr">
        <is>
          <t>A.R. Brown Backflow Testing</t>
        </is>
      </c>
      <c r="D29" s="69" t="n">
        <v>235</v>
      </c>
      <c r="E29" s="80" t="n">
        <v>1</v>
      </c>
      <c r="F29" s="49" t="inlineStr">
        <is>
          <t>Testing subcontractor</t>
        </is>
      </c>
      <c r="G29" s="49" t="inlineStr">
        <is>
          <t>2030 Job Detail Report.pdf (Sage Timberline, 04/03/2026, 190 pages)</t>
        </is>
      </c>
      <c r="H29" s="53" t="n"/>
      <c r="I29" s="53" t="n"/>
      <c r="J29" s="53" t="n"/>
    </row>
    <row r="30">
      <c r="B30" s="46" t="inlineStr">
        <is>
          <t>1978FC</t>
        </is>
      </c>
      <c r="C30" s="47" t="inlineStr">
        <is>
          <t>Fastenal Company</t>
        </is>
      </c>
      <c r="D30" s="66" t="n">
        <v>170.72</v>
      </c>
      <c r="E30" s="79" t="n">
        <v>3</v>
      </c>
      <c r="F30" s="47" t="inlineStr">
        <is>
          <t>Uncategorized</t>
        </is>
      </c>
      <c r="G30" s="47" t="inlineStr">
        <is>
          <t>2030 Job Detail Report.pdf (Sage Timberline, 04/03/2026, 190 pages)</t>
        </is>
      </c>
    </row>
    <row r="31">
      <c r="B31" s="48" t="inlineStr">
        <is>
          <t>1175FE</t>
        </is>
      </c>
      <c r="C31" s="49" t="inlineStr">
        <is>
          <t>Ferguson Enterprises, Inc. #3007</t>
        </is>
      </c>
      <c r="D31" s="69" t="n">
        <v>130.98</v>
      </c>
      <c r="E31" s="80" t="n">
        <v>1</v>
      </c>
      <c r="F31" s="49" t="inlineStr">
        <is>
          <t>Plumbing / Supplies</t>
        </is>
      </c>
      <c r="G31" s="49" t="inlineStr">
        <is>
          <t>2030 Job Detail Report.pdf (Sage Timberline, 04/03/2026, 190 pages)</t>
        </is>
      </c>
      <c r="H31" s="53" t="n"/>
      <c r="I31" s="53" t="n"/>
      <c r="J31" s="53" t="n"/>
    </row>
    <row r="32">
      <c r="B32" s="81" t="inlineStr">
        <is>
          <t>TOTAL</t>
        </is>
      </c>
      <c r="D32" s="82">
        <f>SUM(D6:D31)</f>
        <v/>
      </c>
      <c r="E32" s="47">
        <f>SUM(E6:E31)</f>
        <v/>
      </c>
    </row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46" t="inlineStr">
        <is>
          <t>NOTE: AP total per JDR footer = $555,579.87. Vendor sum above approximates this. Submittals folder (Submittals/) contains 19 fixture + 10 material + 1 UG submittal documenting approved products. POs folder shows 82 POs (7 placed, 19 scheduled, 56 completed).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45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MA71</t>
        </is>
      </c>
      <c r="C6" s="47" t="inlineStr">
        <is>
          <t>Martinez Reyes, Juan C</t>
        </is>
      </c>
      <c r="D6" s="56" t="n">
        <v>2111</v>
      </c>
      <c r="E6" s="55" t="n">
        <v>46855</v>
      </c>
      <c r="F6" s="82">
        <f>IF(D6=0,0,E6/D6)</f>
        <v/>
      </c>
      <c r="G6" s="79" t="n">
        <v>78</v>
      </c>
      <c r="H6" s="47" t="inlineStr">
        <is>
          <t>2030 Job Detail Report.pdf (Sage Timberline, 04/03/2026, 190 pages)</t>
        </is>
      </c>
    </row>
    <row r="7">
      <c r="B7" s="48" t="inlineStr">
        <is>
          <t>ME53</t>
        </is>
      </c>
      <c r="C7" s="49" t="inlineStr">
        <is>
          <t>Mendoza Morales, Jesus A</t>
        </is>
      </c>
      <c r="D7" s="72" t="n">
        <v>1604.5</v>
      </c>
      <c r="E7" s="76" t="n">
        <v>34295.5</v>
      </c>
      <c r="F7" s="77">
        <f>IF(D7=0,0,E7/D7)</f>
        <v/>
      </c>
      <c r="G7" s="80" t="n">
        <v>41</v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46" t="inlineStr">
        <is>
          <t>WI46</t>
        </is>
      </c>
      <c r="C8" s="47" t="inlineStr">
        <is>
          <t>Wilson, Garret A</t>
        </is>
      </c>
      <c r="D8" s="56" t="n">
        <v>1560.5</v>
      </c>
      <c r="E8" s="55" t="n">
        <v>46567.5</v>
      </c>
      <c r="F8" s="82">
        <f>IF(D8=0,0,E8/D8)</f>
        <v/>
      </c>
      <c r="G8" s="79" t="n">
        <v>48</v>
      </c>
      <c r="H8" s="47" t="inlineStr">
        <is>
          <t>2030 Job Detail Report.pdf (Sage Timberline, 04/03/2026, 190 pages)</t>
        </is>
      </c>
    </row>
    <row r="9">
      <c r="B9" s="48" t="inlineStr">
        <is>
          <t>RO10</t>
        </is>
      </c>
      <c r="C9" s="49" t="inlineStr">
        <is>
          <t>Rodriguez Arevalos, Christian</t>
        </is>
      </c>
      <c r="D9" s="72" t="n">
        <v>1507</v>
      </c>
      <c r="E9" s="76" t="n">
        <v>26091</v>
      </c>
      <c r="F9" s="77">
        <f>IF(D9=0,0,E9/D9)</f>
        <v/>
      </c>
      <c r="G9" s="80" t="n">
        <v>42</v>
      </c>
      <c r="H9" s="49" t="inlineStr">
        <is>
          <t>2030 Job Detail Report.pdf (Sage Timberline, 04/03/2026, 190 pages)</t>
        </is>
      </c>
      <c r="I9" s="53" t="n"/>
      <c r="J9" s="53" t="n"/>
    </row>
    <row r="10">
      <c r="B10" s="46" t="inlineStr">
        <is>
          <t>BA70</t>
        </is>
      </c>
      <c r="C10" s="47" t="inlineStr">
        <is>
          <t>Barnhart, Joseph N</t>
        </is>
      </c>
      <c r="D10" s="56" t="n">
        <v>1259</v>
      </c>
      <c r="E10" s="55" t="n">
        <v>54037</v>
      </c>
      <c r="F10" s="82">
        <f>IF(D10=0,0,E10/D10)</f>
        <v/>
      </c>
      <c r="G10" s="79" t="n">
        <v>82</v>
      </c>
      <c r="H10" s="47" t="inlineStr">
        <is>
          <t>2030 Job Detail Report.pdf (Sage Timberline, 04/03/2026, 190 pages)</t>
        </is>
      </c>
    </row>
    <row r="11">
      <c r="B11" s="48" t="inlineStr">
        <is>
          <t>HO14</t>
        </is>
      </c>
      <c r="C11" s="49" t="inlineStr">
        <is>
          <t>Holmes, Anthony R</t>
        </is>
      </c>
      <c r="D11" s="72" t="n">
        <v>974</v>
      </c>
      <c r="E11" s="76" t="n">
        <v>33292</v>
      </c>
      <c r="F11" s="77">
        <f>IF(D11=0,0,E11/D11)</f>
        <v/>
      </c>
      <c r="G11" s="80" t="n">
        <v>27</v>
      </c>
      <c r="H11" s="49" t="inlineStr">
        <is>
          <t>2030 Job Detail Report.pdf (Sage Timberline, 04/03/2026, 190 pages)</t>
        </is>
      </c>
      <c r="I11" s="53" t="n"/>
      <c r="J11" s="53" t="n"/>
    </row>
    <row r="12">
      <c r="B12" s="46" t="inlineStr">
        <is>
          <t>BA68</t>
        </is>
      </c>
      <c r="C12" s="47" t="inlineStr">
        <is>
          <t>Barbosa, Michael S</t>
        </is>
      </c>
      <c r="D12" s="56" t="n">
        <v>965</v>
      </c>
      <c r="E12" s="55" t="n">
        <v>20303</v>
      </c>
      <c r="F12" s="82">
        <f>IF(D12=0,0,E12/D12)</f>
        <v/>
      </c>
      <c r="G12" s="79" t="n">
        <v>28</v>
      </c>
      <c r="H12" s="47" t="inlineStr">
        <is>
          <t>2030 Job Detail Report.pdf (Sage Timberline, 04/03/2026, 190 pages)</t>
        </is>
      </c>
    </row>
    <row r="13">
      <c r="B13" s="48" t="inlineStr">
        <is>
          <t>VE42</t>
        </is>
      </c>
      <c r="C13" s="49" t="inlineStr">
        <is>
          <t>Velasquez Cruz, Denis M</t>
        </is>
      </c>
      <c r="D13" s="72" t="n">
        <v>784</v>
      </c>
      <c r="E13" s="76" t="n">
        <v>20328</v>
      </c>
      <c r="F13" s="77">
        <f>IF(D13=0,0,E13/D13)</f>
        <v/>
      </c>
      <c r="G13" s="80" t="n">
        <v>22</v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46" t="inlineStr">
        <is>
          <t>VE43</t>
        </is>
      </c>
      <c r="C14" s="47" t="inlineStr">
        <is>
          <t>Velasquez Cruz, Osman N</t>
        </is>
      </c>
      <c r="D14" s="56" t="n">
        <v>776</v>
      </c>
      <c r="E14" s="55" t="n">
        <v>13976</v>
      </c>
      <c r="F14" s="82">
        <f>IF(D14=0,0,E14/D14)</f>
        <v/>
      </c>
      <c r="G14" s="79" t="n">
        <v>23</v>
      </c>
      <c r="H14" s="47" t="inlineStr">
        <is>
          <t>2030 Job Detail Report.pdf (Sage Timberline, 04/03/2026, 190 pages)</t>
        </is>
      </c>
    </row>
    <row r="15">
      <c r="B15" s="48" t="inlineStr">
        <is>
          <t>RO75</t>
        </is>
      </c>
      <c r="C15" s="49" t="inlineStr">
        <is>
          <t>Ross, Kelli M</t>
        </is>
      </c>
      <c r="D15" s="72" t="n">
        <v>768</v>
      </c>
      <c r="E15" s="76" t="n">
        <v>29168</v>
      </c>
      <c r="F15" s="77">
        <f>IF(D15=0,0,E15/D15)</f>
        <v/>
      </c>
      <c r="G15" s="80" t="n">
        <v>22</v>
      </c>
      <c r="H15" s="49" t="inlineStr">
        <is>
          <t>2030 Job Detail Report.pdf (Sage Timberline, 04/03/2026, 190 pages)</t>
        </is>
      </c>
      <c r="I15" s="53" t="n"/>
      <c r="J15" s="53" t="n"/>
    </row>
    <row r="16">
      <c r="B16" s="46" t="inlineStr">
        <is>
          <t>CA77</t>
        </is>
      </c>
      <c r="C16" s="47" t="inlineStr">
        <is>
          <t>Castro Hernandez, Jose A</t>
        </is>
      </c>
      <c r="D16" s="56" t="n">
        <v>757</v>
      </c>
      <c r="E16" s="55" t="n">
        <v>23467</v>
      </c>
      <c r="F16" s="82">
        <f>IF(D16=0,0,E16/D16)</f>
        <v/>
      </c>
      <c r="G16" s="79" t="n">
        <v>20</v>
      </c>
      <c r="H16" s="47" t="inlineStr">
        <is>
          <t>2030 Job Detail Report.pdf (Sage Timberline, 04/03/2026, 190 pages)</t>
        </is>
      </c>
    </row>
    <row r="17">
      <c r="B17" s="48" t="inlineStr">
        <is>
          <t>HE70</t>
        </is>
      </c>
      <c r="C17" s="49" t="inlineStr">
        <is>
          <t>Hernandez Gonzalez, Osbaldo</t>
        </is>
      </c>
      <c r="D17" s="72" t="n">
        <v>733</v>
      </c>
      <c r="E17" s="76" t="n">
        <v>13639</v>
      </c>
      <c r="F17" s="77">
        <f>IF(D17=0,0,E17/D17)</f>
        <v/>
      </c>
      <c r="G17" s="80" t="n">
        <v>20</v>
      </c>
      <c r="H17" s="49" t="inlineStr">
        <is>
          <t>2030 Job Detail Report.pdf (Sage Timberline, 04/03/2026, 190 pages)</t>
        </is>
      </c>
      <c r="I17" s="53" t="n"/>
      <c r="J17" s="53" t="n"/>
    </row>
    <row r="18">
      <c r="B18" s="46" t="inlineStr">
        <is>
          <t>RI87</t>
        </is>
      </c>
      <c r="C18" s="47" t="inlineStr">
        <is>
          <t>Rivera, Jorge A</t>
        </is>
      </c>
      <c r="D18" s="56" t="n">
        <v>616</v>
      </c>
      <c r="E18" s="55" t="n">
        <v>18976</v>
      </c>
      <c r="F18" s="82">
        <f>IF(D18=0,0,E18/D18)</f>
        <v/>
      </c>
      <c r="G18" s="79" t="n">
        <v>17</v>
      </c>
      <c r="H18" s="47" t="inlineStr">
        <is>
          <t>2030 Job Detail Report.pdf (Sage Timberline, 04/03/2026, 190 pages)</t>
        </is>
      </c>
    </row>
    <row r="19">
      <c r="B19" s="48" t="inlineStr">
        <is>
          <t>RE96</t>
        </is>
      </c>
      <c r="C19" s="49" t="inlineStr">
        <is>
          <t>Reyes Cruz, Denis A</t>
        </is>
      </c>
      <c r="D19" s="72" t="n">
        <v>600</v>
      </c>
      <c r="E19" s="76" t="n">
        <v>14000</v>
      </c>
      <c r="F19" s="77">
        <f>IF(D19=0,0,E19/D19)</f>
        <v/>
      </c>
      <c r="G19" s="80" t="n">
        <v>17</v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46" t="inlineStr">
        <is>
          <t>PO71</t>
        </is>
      </c>
      <c r="C20" s="47" t="inlineStr">
        <is>
          <t>Portillo, Kevin J</t>
        </is>
      </c>
      <c r="D20" s="56" t="n">
        <v>576</v>
      </c>
      <c r="E20" s="55" t="n">
        <v>10048</v>
      </c>
      <c r="F20" s="82">
        <f>IF(D20=0,0,E20/D20)</f>
        <v/>
      </c>
      <c r="G20" s="79" t="n">
        <v>17</v>
      </c>
      <c r="H20" s="47" t="inlineStr">
        <is>
          <t>2030 Job Detail Report.pdf (Sage Timberline, 04/03/2026, 190 pages)</t>
        </is>
      </c>
    </row>
    <row r="21">
      <c r="B21" s="48" t="inlineStr">
        <is>
          <t>DO56</t>
        </is>
      </c>
      <c r="C21" s="49" t="inlineStr">
        <is>
          <t>Donelson, Richard T</t>
        </is>
      </c>
      <c r="D21" s="72" t="n">
        <v>291</v>
      </c>
      <c r="E21" s="76" t="n">
        <v>15027</v>
      </c>
      <c r="F21" s="77">
        <f>IF(D21=0,0,E21/D21)</f>
        <v/>
      </c>
      <c r="G21" s="80" t="n">
        <v>69</v>
      </c>
      <c r="H21" s="49" t="inlineStr">
        <is>
          <t>2030 Job Detail Report.pdf (Sage Timberline, 04/03/2026, 190 pages)</t>
        </is>
      </c>
      <c r="I21" s="53" t="n"/>
      <c r="J21" s="53" t="n"/>
    </row>
    <row r="22">
      <c r="B22" s="46" t="inlineStr">
        <is>
          <t>CO69</t>
        </is>
      </c>
      <c r="C22" s="47" t="inlineStr">
        <is>
          <t>Cornejo Orellana, Carlos E</t>
        </is>
      </c>
      <c r="D22" s="56" t="n">
        <v>208</v>
      </c>
      <c r="E22" s="55" t="n">
        <v>2992</v>
      </c>
      <c r="F22" s="82">
        <f>IF(D22=0,0,E22/D22)</f>
        <v/>
      </c>
      <c r="G22" s="79" t="n">
        <v>6</v>
      </c>
      <c r="H22" s="47" t="inlineStr">
        <is>
          <t>2030 Job Detail Report.pdf (Sage Timberline, 04/03/2026, 190 pages)</t>
        </is>
      </c>
    </row>
    <row r="23">
      <c r="B23" s="48" t="inlineStr">
        <is>
          <t>GE69</t>
        </is>
      </c>
      <c r="C23" s="49" t="inlineStr">
        <is>
          <t>Gerard, Jeffrey S</t>
        </is>
      </c>
      <c r="D23" s="72" t="n">
        <v>205.5</v>
      </c>
      <c r="E23" s="76" t="n">
        <v>9714.5</v>
      </c>
      <c r="F23" s="77">
        <f>IF(D23=0,0,E23/D23)</f>
        <v/>
      </c>
      <c r="G23" s="80" t="n">
        <v>65</v>
      </c>
      <c r="H23" s="49" t="inlineStr">
        <is>
          <t>2030 Job Detail Report.pdf (Sage Timberline, 04/03/2026, 190 pages)</t>
        </is>
      </c>
      <c r="I23" s="53" t="n"/>
      <c r="J23" s="53" t="n"/>
    </row>
    <row r="24">
      <c r="B24" s="46" t="inlineStr">
        <is>
          <t>CR79</t>
        </is>
      </c>
      <c r="C24" s="47" t="inlineStr">
        <is>
          <t>Cruz Guzman, Joel A</t>
        </is>
      </c>
      <c r="D24" s="56" t="n">
        <v>184</v>
      </c>
      <c r="E24" s="55" t="n">
        <v>4048</v>
      </c>
      <c r="F24" s="82">
        <f>IF(D24=0,0,E24/D24)</f>
        <v/>
      </c>
      <c r="G24" s="79" t="n">
        <v>6</v>
      </c>
      <c r="H24" s="47" t="inlineStr">
        <is>
          <t>2030 Job Detail Report.pdf (Sage Timberline, 04/03/2026, 190 pages)</t>
        </is>
      </c>
    </row>
    <row r="25">
      <c r="B25" s="48" t="inlineStr">
        <is>
          <t>CR87</t>
        </is>
      </c>
      <c r="C25" s="49" t="inlineStr">
        <is>
          <t>Cruz Reyes, Jose</t>
        </is>
      </c>
      <c r="D25" s="72" t="n">
        <v>184</v>
      </c>
      <c r="E25" s="76" t="n">
        <v>4232</v>
      </c>
      <c r="F25" s="77">
        <f>IF(D25=0,0,E25/D25)</f>
        <v/>
      </c>
      <c r="G25" s="80" t="n">
        <v>6</v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46" t="inlineStr">
        <is>
          <t>CA72</t>
        </is>
      </c>
      <c r="C26" s="47" t="inlineStr">
        <is>
          <t>Castaneda Juarez, Edgar D</t>
        </is>
      </c>
      <c r="D26" s="56" t="n">
        <v>170.75</v>
      </c>
      <c r="E26" s="55" t="n">
        <v>4439.5</v>
      </c>
      <c r="F26" s="82">
        <f>IF(D26=0,0,E26/D26)</f>
        <v/>
      </c>
      <c r="G26" s="79" t="n">
        <v>5</v>
      </c>
      <c r="H26" s="47" t="inlineStr">
        <is>
          <t>2030 Job Detail Report.pdf (Sage Timberline, 04/03/2026, 190 pages)</t>
        </is>
      </c>
    </row>
    <row r="27">
      <c r="B27" s="48" t="inlineStr">
        <is>
          <t>GA70</t>
        </is>
      </c>
      <c r="C27" s="49" t="inlineStr">
        <is>
          <t>Garcia, Jordan X</t>
        </is>
      </c>
      <c r="D27" s="72" t="n">
        <v>158</v>
      </c>
      <c r="E27" s="76" t="n">
        <v>4496</v>
      </c>
      <c r="F27" s="77">
        <f>IF(D27=0,0,E27/D27)</f>
        <v/>
      </c>
      <c r="G27" s="80" t="n">
        <v>6</v>
      </c>
      <c r="H27" s="49" t="inlineStr">
        <is>
          <t>2030 Job Detail Report.pdf (Sage Timberline, 04/03/2026, 190 pages)</t>
        </is>
      </c>
      <c r="I27" s="53" t="n"/>
      <c r="J27" s="53" t="n"/>
    </row>
    <row r="28">
      <c r="B28" s="46" t="inlineStr">
        <is>
          <t>RE18</t>
        </is>
      </c>
      <c r="C28" s="47" t="inlineStr">
        <is>
          <t>Reed, Reuben H</t>
        </is>
      </c>
      <c r="D28" s="56" t="n">
        <v>156</v>
      </c>
      <c r="E28" s="55" t="n">
        <v>5820</v>
      </c>
      <c r="F28" s="82">
        <f>IF(D28=0,0,E28/D28)</f>
        <v/>
      </c>
      <c r="G28" s="79" t="n">
        <v>6</v>
      </c>
      <c r="H28" s="47" t="inlineStr">
        <is>
          <t>2030 Job Detail Report.pdf (Sage Timberline, 04/03/2026, 190 pages)</t>
        </is>
      </c>
    </row>
    <row r="29">
      <c r="B29" s="48" t="inlineStr">
        <is>
          <t>ME52</t>
        </is>
      </c>
      <c r="C29" s="49" t="inlineStr">
        <is>
          <t>Mendoza, Edgar E</t>
        </is>
      </c>
      <c r="D29" s="72" t="n">
        <v>152</v>
      </c>
      <c r="E29" s="76" t="n">
        <v>2704</v>
      </c>
      <c r="F29" s="77">
        <f>IF(D29=0,0,E29/D29)</f>
        <v/>
      </c>
      <c r="G29" s="80" t="n">
        <v>4</v>
      </c>
      <c r="H29" s="49" t="inlineStr">
        <is>
          <t>2030 Job Detail Report.pdf (Sage Timberline, 04/03/2026, 190 pages)</t>
        </is>
      </c>
      <c r="I29" s="53" t="n"/>
      <c r="J29" s="53" t="n"/>
    </row>
    <row r="30">
      <c r="B30" s="46" t="inlineStr">
        <is>
          <t>BE45</t>
        </is>
      </c>
      <c r="C30" s="47" t="inlineStr">
        <is>
          <t>Belcher, Jacob T</t>
        </is>
      </c>
      <c r="D30" s="56" t="n">
        <v>144</v>
      </c>
      <c r="E30" s="55" t="n">
        <v>2184</v>
      </c>
      <c r="F30" s="82">
        <f>IF(D30=0,0,E30/D30)</f>
        <v/>
      </c>
      <c r="G30" s="79" t="n">
        <v>4</v>
      </c>
      <c r="H30" s="47" t="inlineStr">
        <is>
          <t>2030 Job Detail Report.pdf (Sage Timberline, 04/03/2026, 190 pages)</t>
        </is>
      </c>
    </row>
    <row r="31">
      <c r="B31" s="48" t="inlineStr">
        <is>
          <t>LO58</t>
        </is>
      </c>
      <c r="C31" s="49" t="inlineStr">
        <is>
          <t>Lopez Reyes, Boris O</t>
        </is>
      </c>
      <c r="D31" s="72" t="n">
        <v>136</v>
      </c>
      <c r="E31" s="76" t="n">
        <v>2448</v>
      </c>
      <c r="F31" s="77">
        <f>IF(D31=0,0,E31/D31)</f>
        <v/>
      </c>
      <c r="G31" s="80" t="n">
        <v>5</v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46" t="inlineStr">
        <is>
          <t>JI50</t>
        </is>
      </c>
      <c r="C32" s="47" t="inlineStr">
        <is>
          <t>Jimenez Alvarenga, Gerson M</t>
        </is>
      </c>
      <c r="D32" s="56" t="n">
        <v>120</v>
      </c>
      <c r="E32" s="55" t="n">
        <v>2088</v>
      </c>
      <c r="F32" s="82">
        <f>IF(D32=0,0,E32/D32)</f>
        <v/>
      </c>
      <c r="G32" s="79" t="n">
        <v>4</v>
      </c>
      <c r="H32" s="47" t="inlineStr">
        <is>
          <t>2030 Job Detail Report.pdf (Sage Timberline, 04/03/2026, 190 pages)</t>
        </is>
      </c>
    </row>
    <row r="33">
      <c r="B33" s="48" t="inlineStr">
        <is>
          <t>RA55</t>
        </is>
      </c>
      <c r="C33" s="49" t="inlineStr">
        <is>
          <t>Ramos Herrera, Franklin J</t>
        </is>
      </c>
      <c r="D33" s="72" t="n">
        <v>96</v>
      </c>
      <c r="E33" s="76" t="n">
        <v>1656</v>
      </c>
      <c r="F33" s="77">
        <f>IF(D33=0,0,E33/D33)</f>
        <v/>
      </c>
      <c r="G33" s="80" t="n">
        <v>3</v>
      </c>
      <c r="H33" s="49" t="inlineStr">
        <is>
          <t>2030 Job Detail Report.pdf (Sage Timberline, 04/03/2026, 190 pages)</t>
        </is>
      </c>
      <c r="I33" s="53" t="n"/>
      <c r="J33" s="53" t="n"/>
    </row>
    <row r="34">
      <c r="B34" s="46" t="inlineStr">
        <is>
          <t>SO78</t>
        </is>
      </c>
      <c r="C34" s="47" t="inlineStr">
        <is>
          <t>Soto Cruz, Jovani</t>
        </is>
      </c>
      <c r="D34" s="56" t="n">
        <v>88</v>
      </c>
      <c r="E34" s="55" t="n">
        <v>2056</v>
      </c>
      <c r="F34" s="82">
        <f>IF(D34=0,0,E34/D34)</f>
        <v/>
      </c>
      <c r="G34" s="79" t="n">
        <v>3</v>
      </c>
      <c r="H34" s="47" t="inlineStr">
        <is>
          <t>2030 Job Detail Report.pdf (Sage Timberline, 04/03/2026, 190 pages)</t>
        </is>
      </c>
    </row>
    <row r="35">
      <c r="B35" s="48" t="inlineStr">
        <is>
          <t>BE54</t>
        </is>
      </c>
      <c r="C35" s="49" t="inlineStr">
        <is>
          <t>Benites Portillo, Marvin E</t>
        </is>
      </c>
      <c r="D35" s="72" t="n">
        <v>80</v>
      </c>
      <c r="E35" s="76" t="n">
        <v>1616</v>
      </c>
      <c r="F35" s="77">
        <f>IF(D35=0,0,E35/D35)</f>
        <v/>
      </c>
      <c r="G35" s="80" t="n">
        <v>3</v>
      </c>
      <c r="H35" s="49" t="inlineStr">
        <is>
          <t>2030 Job Detail Report.pdf (Sage Timberline, 04/03/2026, 190 pages)</t>
        </is>
      </c>
      <c r="I35" s="53" t="n"/>
      <c r="J35" s="53" t="n"/>
    </row>
    <row r="36">
      <c r="B36" s="46" t="inlineStr">
        <is>
          <t>GA46</t>
        </is>
      </c>
      <c r="C36" s="47" t="inlineStr">
        <is>
          <t>Galdamez, Dagoberto A</t>
        </is>
      </c>
      <c r="D36" s="56" t="n">
        <v>56</v>
      </c>
      <c r="E36" s="55" t="n">
        <v>1344</v>
      </c>
      <c r="F36" s="82">
        <f>IF(D36=0,0,E36/D36)</f>
        <v/>
      </c>
      <c r="G36" s="79" t="n">
        <v>2</v>
      </c>
      <c r="H36" s="47" t="inlineStr">
        <is>
          <t>2030 Job Detail Report.pdf (Sage Timberline, 04/03/2026, 190 pages)</t>
        </is>
      </c>
    </row>
    <row r="37">
      <c r="B37" s="48" t="inlineStr">
        <is>
          <t>LO87</t>
        </is>
      </c>
      <c r="C37" s="49" t="inlineStr">
        <is>
          <t>Lovo, German G</t>
        </is>
      </c>
      <c r="D37" s="72" t="n">
        <v>56</v>
      </c>
      <c r="E37" s="76" t="n">
        <v>1288</v>
      </c>
      <c r="F37" s="77">
        <f>IF(D37=0,0,E37/D37)</f>
        <v/>
      </c>
      <c r="G37" s="80" t="n">
        <v>2</v>
      </c>
      <c r="H37" s="49" t="inlineStr">
        <is>
          <t>2030 Job Detail Report.pdf (Sage Timberline, 04/03/2026, 190 pages)</t>
        </is>
      </c>
      <c r="I37" s="53" t="n"/>
      <c r="J37" s="53" t="n"/>
    </row>
    <row r="38">
      <c r="B38" s="46" t="inlineStr">
        <is>
          <t>HU06</t>
        </is>
      </c>
      <c r="C38" s="47" t="inlineStr">
        <is>
          <t>Hubbard, Robert W</t>
        </is>
      </c>
      <c r="D38" s="56" t="n">
        <v>52.5</v>
      </c>
      <c r="E38" s="55" t="n">
        <v>2376.5</v>
      </c>
      <c r="F38" s="82">
        <f>IF(D38=0,0,E38/D38)</f>
        <v/>
      </c>
      <c r="G38" s="79" t="n">
        <v>7</v>
      </c>
      <c r="H38" s="47" t="inlineStr">
        <is>
          <t>2030 Job Detail Report.pdf (Sage Timberline, 04/03/2026, 190 pages)</t>
        </is>
      </c>
    </row>
    <row r="39">
      <c r="B39" s="48" t="inlineStr">
        <is>
          <t>HU04</t>
        </is>
      </c>
      <c r="C39" s="49" t="inlineStr">
        <is>
          <t>Hubbard, Dustin R</t>
        </is>
      </c>
      <c r="D39" s="72" t="n">
        <v>43.5</v>
      </c>
      <c r="E39" s="76" t="n">
        <v>893</v>
      </c>
      <c r="F39" s="77">
        <f>IF(D39=0,0,E39/D39)</f>
        <v/>
      </c>
      <c r="G39" s="80" t="n">
        <v>13</v>
      </c>
      <c r="H39" s="49" t="inlineStr">
        <is>
          <t>2030 Job Detail Report.pdf (Sage Timberline, 04/03/2026, 190 pages)</t>
        </is>
      </c>
      <c r="I39" s="53" t="n"/>
      <c r="J39" s="53" t="n"/>
    </row>
    <row r="40">
      <c r="B40" s="46" t="inlineStr">
        <is>
          <t>SE64</t>
        </is>
      </c>
      <c r="C40" s="47" t="inlineStr">
        <is>
          <t>Sepulveda Gonzalez, Alfredo</t>
        </is>
      </c>
      <c r="D40" s="56" t="n">
        <v>42</v>
      </c>
      <c r="E40" s="55" t="n">
        <v>1302</v>
      </c>
      <c r="F40" s="82">
        <f>IF(D40=0,0,E40/D40)</f>
        <v/>
      </c>
      <c r="G40" s="79" t="n">
        <v>4</v>
      </c>
      <c r="H40" s="47" t="inlineStr">
        <is>
          <t>2030 Job Detail Report.pdf (Sage Timberline, 04/03/2026, 190 pages)</t>
        </is>
      </c>
    </row>
    <row r="41">
      <c r="B41" s="48" t="inlineStr">
        <is>
          <t>MC09</t>
        </is>
      </c>
      <c r="C41" s="49" t="inlineStr">
        <is>
          <t>McCabe, Thomas C</t>
        </is>
      </c>
      <c r="D41" s="72" t="n">
        <v>28</v>
      </c>
      <c r="E41" s="76" t="n">
        <v>882</v>
      </c>
      <c r="F41" s="77">
        <f>IF(D41=0,0,E41/D41)</f>
        <v/>
      </c>
      <c r="G41" s="80" t="n">
        <v>2</v>
      </c>
      <c r="H41" s="49" t="inlineStr">
        <is>
          <t>2030 Job Detail Report.pdf (Sage Timberline, 04/03/2026, 190 pages)</t>
        </is>
      </c>
      <c r="I41" s="53" t="n"/>
      <c r="J41" s="53" t="n"/>
    </row>
    <row r="42">
      <c r="B42" s="46" t="inlineStr">
        <is>
          <t>CR77</t>
        </is>
      </c>
      <c r="C42" s="47" t="inlineStr">
        <is>
          <t>Cruz Gonzalez, Julio C</t>
        </is>
      </c>
      <c r="D42" s="56" t="n">
        <v>24</v>
      </c>
      <c r="E42" s="55" t="n">
        <v>456</v>
      </c>
      <c r="F42" s="82">
        <f>IF(D42=0,0,E42/D42)</f>
        <v/>
      </c>
      <c r="G42" s="79" t="n">
        <v>1</v>
      </c>
      <c r="H42" s="47" t="inlineStr">
        <is>
          <t>2030 Job Detail Report.pdf (Sage Timberline, 04/03/2026, 190 pages)</t>
        </is>
      </c>
    </row>
    <row r="43">
      <c r="B43" s="48" t="inlineStr">
        <is>
          <t>RA57</t>
        </is>
      </c>
      <c r="C43" s="49" t="inlineStr">
        <is>
          <t>Ramos Melendez, Carlos M</t>
        </is>
      </c>
      <c r="D43" s="72" t="n">
        <v>16</v>
      </c>
      <c r="E43" s="76" t="n">
        <v>288</v>
      </c>
      <c r="F43" s="77">
        <f>IF(D43=0,0,E43/D43)</f>
        <v/>
      </c>
      <c r="G43" s="80" t="n">
        <v>1</v>
      </c>
      <c r="H43" s="49" t="inlineStr">
        <is>
          <t>2030 Job Detail Report.pdf (Sage Timberline, 04/03/2026, 190 pages)</t>
        </is>
      </c>
      <c r="I43" s="53" t="n"/>
      <c r="J43" s="53" t="n"/>
    </row>
    <row r="44">
      <c r="B44" s="46" t="inlineStr">
        <is>
          <t>WA35</t>
        </is>
      </c>
      <c r="C44" s="47" t="inlineStr">
        <is>
          <t>Waites, Thaddeus Z</t>
        </is>
      </c>
      <c r="D44" s="56" t="n">
        <v>15</v>
      </c>
      <c r="E44" s="55" t="n">
        <v>615</v>
      </c>
      <c r="F44" s="82">
        <f>IF(D44=0,0,E44/D44)</f>
        <v/>
      </c>
      <c r="G44" s="79" t="n">
        <v>2</v>
      </c>
      <c r="H44" s="47" t="inlineStr">
        <is>
          <t>2030 Job Detail Report.pdf (Sage Timberline, 04/03/2026, 190 pages)</t>
        </is>
      </c>
    </row>
    <row r="45">
      <c r="B45" s="48" t="inlineStr">
        <is>
          <t>SA54</t>
        </is>
      </c>
      <c r="C45" s="49" t="inlineStr">
        <is>
          <t>Sanders, Allen O</t>
        </is>
      </c>
      <c r="D45" s="72" t="n">
        <v>10.5</v>
      </c>
      <c r="E45" s="76" t="n">
        <v>462</v>
      </c>
      <c r="F45" s="77">
        <f>IF(D45=0,0,E45/D45)</f>
        <v/>
      </c>
      <c r="G45" s="80" t="n">
        <v>4</v>
      </c>
      <c r="H45" s="49" t="inlineStr">
        <is>
          <t>2030 Job Detail Report.pdf (Sage Timberline, 04/03/2026, 190 pages)</t>
        </is>
      </c>
      <c r="I45" s="53" t="n"/>
      <c r="J45" s="53" t="n"/>
    </row>
    <row r="46">
      <c r="B46" s="46" t="inlineStr">
        <is>
          <t>CO73</t>
        </is>
      </c>
      <c r="C46" s="47" t="inlineStr">
        <is>
          <t>Cortes Sepulveda, Jose R</t>
        </is>
      </c>
      <c r="D46" s="56" t="n">
        <v>9</v>
      </c>
      <c r="E46" s="55" t="n">
        <v>171</v>
      </c>
      <c r="F46" s="82">
        <f>IF(D46=0,0,E46/D46)</f>
        <v/>
      </c>
      <c r="G46" s="79" t="n">
        <v>1</v>
      </c>
      <c r="H46" s="47" t="inlineStr">
        <is>
          <t>2030 Job Detail Report.pdf (Sage Timberline, 04/03/2026, 190 pages)</t>
        </is>
      </c>
    </row>
    <row r="47">
      <c r="B47" s="48" t="inlineStr">
        <is>
          <t>EL33</t>
        </is>
      </c>
      <c r="C47" s="49" t="inlineStr">
        <is>
          <t>Eliassen, Cory H</t>
        </is>
      </c>
      <c r="D47" s="72" t="n">
        <v>8</v>
      </c>
      <c r="E47" s="76" t="n">
        <v>184</v>
      </c>
      <c r="F47" s="77">
        <f>IF(D47=0,0,E47/D47)</f>
        <v/>
      </c>
      <c r="G47" s="80" t="n">
        <v>1</v>
      </c>
      <c r="H47" s="49" t="inlineStr">
        <is>
          <t>2030 Job Detail Report.pdf (Sage Timberline, 04/03/2026, 190 pages)</t>
        </is>
      </c>
      <c r="I47" s="53" t="n"/>
      <c r="J47" s="53" t="n"/>
    </row>
    <row r="48">
      <c r="B48" s="46" t="inlineStr">
        <is>
          <t>LU09</t>
        </is>
      </c>
      <c r="C48" s="47" t="inlineStr">
        <is>
          <t>Lucas Tzintzun, Rafael</t>
        </is>
      </c>
      <c r="D48" s="56" t="n">
        <v>8</v>
      </c>
      <c r="E48" s="55" t="n">
        <v>128</v>
      </c>
      <c r="F48" s="82">
        <f>IF(D48=0,0,E48/D48)</f>
        <v/>
      </c>
      <c r="G48" s="79" t="n">
        <v>1</v>
      </c>
      <c r="H48" s="47" t="inlineStr">
        <is>
          <t>2030 Job Detail Report.pdf (Sage Timberline, 04/03/2026, 190 pages)</t>
        </is>
      </c>
    </row>
    <row r="49">
      <c r="B49" s="48" t="inlineStr">
        <is>
          <t>BA45</t>
        </is>
      </c>
      <c r="C49" s="49" t="inlineStr">
        <is>
          <t>Balderas Ortiz, Ricardo I</t>
        </is>
      </c>
      <c r="D49" s="72" t="n">
        <v>8</v>
      </c>
      <c r="E49" s="76" t="n">
        <v>216</v>
      </c>
      <c r="F49" s="77">
        <f>IF(D49=0,0,E49/D49)</f>
        <v/>
      </c>
      <c r="G49" s="80" t="n">
        <v>1</v>
      </c>
      <c r="H49" s="49" t="inlineStr">
        <is>
          <t>2030 Job Detail Report.pdf (Sage Timberline, 04/03/2026, 190 pages)</t>
        </is>
      </c>
      <c r="I49" s="53" t="n"/>
      <c r="J49" s="53" t="n"/>
    </row>
    <row r="50">
      <c r="B50" s="46" t="inlineStr">
        <is>
          <t>WE55</t>
        </is>
      </c>
      <c r="C50" s="47" t="inlineStr">
        <is>
          <t>Wennig, Johnathan M</t>
        </is>
      </c>
      <c r="D50" s="56" t="n">
        <v>1</v>
      </c>
      <c r="E50" s="55" t="n">
        <v>28</v>
      </c>
      <c r="F50" s="82">
        <f>IF(D50=0,0,E50/D50)</f>
        <v/>
      </c>
      <c r="G50" s="79" t="n">
        <v>1</v>
      </c>
      <c r="H50" s="47" t="inlineStr">
        <is>
          <t>2030 Job Detail Report.pdf (Sage Timberline, 04/03/2026, 190 pages)</t>
        </is>
      </c>
    </row>
    <row r="51">
      <c r="B51" s="74" t="inlineStr">
        <is>
          <t>TOTAL</t>
        </is>
      </c>
      <c r="C51" s="53" t="n"/>
      <c r="D51" s="75">
        <f>SUM(D6:D50)</f>
        <v/>
      </c>
      <c r="E51" s="77">
        <f>SUM(E6:E50)</f>
        <v/>
      </c>
      <c r="F51" s="53" t="n"/>
      <c r="G51" s="53" t="n"/>
      <c r="H51" s="53" t="n"/>
      <c r="I51" s="53" t="n"/>
      <c r="J5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80" t="n">
        <v>45</v>
      </c>
      <c r="D7" s="49" t="inlineStr">
        <is>
          <t>Unique payroll IDs</t>
        </is>
      </c>
      <c r="E7" s="49" t="inlineStr">
        <is>
          <t>2030 Job Detail Report.pdf (Sage Timberline, 04/03/2026, 190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18665</v>
      </c>
      <c r="D8" s="47" t="inlineStr">
        <is>
          <t>Sum of codes 100-142</t>
        </is>
      </c>
      <c r="E8" s="47" t="inlineStr">
        <is>
          <t>2030 Job Detail Report.pdf (Sage Timberline, 04/03/2026, 190 pages)</t>
        </is>
      </c>
    </row>
    <row r="9">
      <c r="B9" s="48" t="inlineStr">
        <is>
          <t>Total Gross Pay</t>
        </is>
      </c>
      <c r="C9" s="72" t="n">
        <v>504091.25</v>
      </c>
      <c r="D9" s="49" t="inlineStr">
        <is>
          <t>Sum of codes 100-142</t>
        </is>
      </c>
      <c r="E9" s="49" t="inlineStr">
        <is>
          <t>2030 Job Detail Report.pdf (Sage Timberline, 04/03/2026, 190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27.00729975890705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8" t="n">
        <v>0.1130993838735601</v>
      </c>
      <c r="D11" s="49" t="inlineStr">
        <is>
          <t>MA71 Martinez Reyes, Juan C (2111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0.4308598982051969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76" t="n">
        <v>51.63917525773196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14.38461538461539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72" t="n">
        <v>414.7777777777778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16.48888888888889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2">
        <f>2322781.0/18665.0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885352.03/18665.0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2">
        <f>504091.25/18665.0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(504091.25+223564.72+38563.39)/18665.0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(504091.25+223564.72+38563.39)/504091.25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9692.25</v>
      </c>
      <c r="D11" s="49" t="inlineStr">
        <is>
          <t>JDR</t>
        </is>
      </c>
      <c r="E11" s="49" t="inlineStr">
        <is>
          <t>9692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1737.5</v>
      </c>
      <c r="D12" s="47" t="inlineStr">
        <is>
          <t>JDR</t>
        </is>
      </c>
      <c r="E12" s="47" t="inlineStr">
        <is>
          <t>1738 hrs</t>
        </is>
      </c>
    </row>
    <row r="13">
      <c r="B13" s="48" t="inlineStr">
        <is>
          <t>Rough-in % of Total Hours</t>
        </is>
      </c>
      <c r="C13" s="71">
        <f>9692.25/18665.0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885352.03/2322781.0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504091.25/2322781.0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569904.99/2322781.0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1437428.97/2322781.0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2">
        <f>2322781.0/92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75">
        <f>18665.0/92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2">
        <f>504091.25/92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569904.99/92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2">
        <f>1437428.97/92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9692.25/92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89" t="inlineStr">
        <is>
          <t>Closed (100% billed)</t>
        </is>
      </c>
      <c r="G6" s="47" t="inlineStr">
        <is>
          <t>The Zig Apts plumbing (550 Broadway, Seattle) — full scope per proposal + narrative</t>
        </is>
      </c>
      <c r="H6" s="55" t="n">
        <v>2135080</v>
      </c>
      <c r="I6" s="47" t="inlineStr">
        <is>
          <t>Exxel Pacific East Union Subcontract</t>
        </is>
      </c>
    </row>
    <row r="7">
      <c r="B7" s="48" t="inlineStr">
        <is>
          <t>TOTAL (contract + COs)</t>
        </is>
      </c>
      <c r="C7" s="53" t="n"/>
      <c r="D7" s="53" t="n"/>
      <c r="E7" s="53" t="n"/>
      <c r="F7" s="53" t="n"/>
      <c r="G7" s="53" t="n"/>
      <c r="H7" s="77">
        <f>SUM(H6:H6)</f>
        <v/>
      </c>
      <c r="I7" s="53" t="n"/>
      <c r="J7" s="53" t="n"/>
    </row>
    <row r="8"/>
    <row r="9">
      <c r="B9" s="48" t="inlineStr">
        <is>
          <t>NOTE: Documented COs sum to $187,701.00; JDR-implied COs = $187,701.00 (diff $0.00). Gap likely due to budget-transfer-only adjustments or one CO not surfacing in transfer PDFs. Outbound POs: 82 total (7 placed, 19 scheduled, 56 completed) — see POs/ folder.</t>
        </is>
      </c>
      <c r="C9" s="50" t="n"/>
      <c r="D9" s="50" t="n"/>
      <c r="E9" s="50" t="n"/>
      <c r="F9" s="50" t="n"/>
      <c r="G9" s="50" t="n"/>
      <c r="H9" s="50" t="n"/>
      <c r="I9" s="51" t="n"/>
      <c r="J9" s="53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25 unique invoices to Exxel Pacific, Inc.. Retainage $116,139.05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036816</t>
        </is>
      </c>
      <c r="C6" s="47" t="inlineStr">
        <is>
          <t>12/16/16</t>
        </is>
      </c>
      <c r="D6" s="66" t="n">
        <v>-43500</v>
      </c>
      <c r="E6" s="66" t="n">
        <v>-2175</v>
      </c>
      <c r="F6" s="79" t="n">
        <v>1</v>
      </c>
      <c r="G6" s="47" t="inlineStr">
        <is>
          <t>2030 Job Detail Report.pdf (Sage Timberline, 04/03/2026, 190 pages)</t>
        </is>
      </c>
    </row>
    <row r="7">
      <c r="B7" s="48" t="inlineStr">
        <is>
          <t>036832</t>
        </is>
      </c>
      <c r="C7" s="49" t="inlineStr">
        <is>
          <t>02/20/17</t>
        </is>
      </c>
      <c r="D7" s="69" t="n">
        <v>-22600</v>
      </c>
      <c r="E7" s="69" t="n">
        <v>-1130</v>
      </c>
      <c r="F7" s="80" t="n">
        <v>1</v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036846</t>
        </is>
      </c>
      <c r="C8" s="47" t="inlineStr">
        <is>
          <t>03/17/17</t>
        </is>
      </c>
      <c r="D8" s="66" t="n">
        <v>-61000</v>
      </c>
      <c r="E8" s="66" t="n">
        <v>-3050</v>
      </c>
      <c r="F8" s="79" t="n">
        <v>1</v>
      </c>
      <c r="G8" s="47" t="inlineStr">
        <is>
          <t>2030 Job Detail Report.pdf (Sage Timberline, 04/03/2026, 190 pages)</t>
        </is>
      </c>
    </row>
    <row r="9">
      <c r="B9" s="48" t="inlineStr">
        <is>
          <t>036867</t>
        </is>
      </c>
      <c r="C9" s="49" t="inlineStr">
        <is>
          <t>04/21/17</t>
        </is>
      </c>
      <c r="D9" s="69" t="n">
        <v>-6000</v>
      </c>
      <c r="E9" s="69" t="n">
        <v>-300</v>
      </c>
      <c r="F9" s="80" t="n">
        <v>1</v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036878</t>
        </is>
      </c>
      <c r="C10" s="47" t="inlineStr">
        <is>
          <t>05/19/17</t>
        </is>
      </c>
      <c r="D10" s="66" t="n">
        <v>-16547</v>
      </c>
      <c r="E10" s="66" t="n">
        <v>-827.35</v>
      </c>
      <c r="F10" s="79" t="n">
        <v>1</v>
      </c>
      <c r="G10" s="47" t="inlineStr">
        <is>
          <t>2030 Job Detail Report.pdf (Sage Timberline, 04/03/2026, 190 pages)</t>
        </is>
      </c>
    </row>
    <row r="11">
      <c r="B11" s="48" t="inlineStr">
        <is>
          <t>036897</t>
        </is>
      </c>
      <c r="C11" s="49" t="inlineStr">
        <is>
          <t>06/19/17</t>
        </is>
      </c>
      <c r="D11" s="69" t="n">
        <v>-45252</v>
      </c>
      <c r="E11" s="69" t="n">
        <v>-2262.6</v>
      </c>
      <c r="F11" s="80" t="n">
        <v>1</v>
      </c>
      <c r="G11" s="49" t="inlineStr">
        <is>
          <t>2030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036918</t>
        </is>
      </c>
      <c r="C12" s="47" t="inlineStr">
        <is>
          <t>07/20/17</t>
        </is>
      </c>
      <c r="D12" s="66" t="n">
        <v>-35600</v>
      </c>
      <c r="E12" s="66" t="n">
        <v>-1780</v>
      </c>
      <c r="F12" s="79" t="n">
        <v>1</v>
      </c>
      <c r="G12" s="47" t="inlineStr">
        <is>
          <t>2030 Job Detail Report.pdf (Sage Timberline, 04/03/2026, 190 pages)</t>
        </is>
      </c>
    </row>
    <row r="13">
      <c r="B13" s="48" t="inlineStr">
        <is>
          <t>036939</t>
        </is>
      </c>
      <c r="C13" s="49" t="inlineStr">
        <is>
          <t>08/18/17</t>
        </is>
      </c>
      <c r="D13" s="69" t="n">
        <v>-108680</v>
      </c>
      <c r="E13" s="69" t="n">
        <v>-5434</v>
      </c>
      <c r="F13" s="80" t="n">
        <v>1</v>
      </c>
      <c r="G13" s="49" t="inlineStr">
        <is>
          <t>2030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036953</t>
        </is>
      </c>
      <c r="C14" s="47" t="inlineStr">
        <is>
          <t>09/20/17</t>
        </is>
      </c>
      <c r="D14" s="66" t="n">
        <v>-158880</v>
      </c>
      <c r="E14" s="66" t="n">
        <v>-7944</v>
      </c>
      <c r="F14" s="79" t="n">
        <v>1</v>
      </c>
      <c r="G14" s="47" t="inlineStr">
        <is>
          <t>2030 Job Detail Report.pdf (Sage Timberline, 04/03/2026, 190 pages)</t>
        </is>
      </c>
    </row>
    <row r="15">
      <c r="B15" s="48" t="inlineStr">
        <is>
          <t>036963</t>
        </is>
      </c>
      <c r="C15" s="49" t="inlineStr">
        <is>
          <t>10/20/17</t>
        </is>
      </c>
      <c r="D15" s="69" t="n">
        <v>-568280</v>
      </c>
      <c r="E15" s="69" t="n">
        <v>-28414</v>
      </c>
      <c r="F15" s="80" t="n">
        <v>1</v>
      </c>
      <c r="G15" s="49" t="inlineStr">
        <is>
          <t>2030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036986</t>
        </is>
      </c>
      <c r="C16" s="47" t="inlineStr">
        <is>
          <t>11/17/17</t>
        </is>
      </c>
      <c r="D16" s="66" t="n">
        <v>-521810</v>
      </c>
      <c r="E16" s="66" t="n">
        <v>-26090.5</v>
      </c>
      <c r="F16" s="79" t="n">
        <v>1</v>
      </c>
      <c r="G16" s="47" t="inlineStr">
        <is>
          <t>2030 Job Detail Report.pdf (Sage Timberline, 04/03/2026, 190 pages)</t>
        </is>
      </c>
    </row>
    <row r="17">
      <c r="B17" s="48" t="inlineStr">
        <is>
          <t>036998</t>
        </is>
      </c>
      <c r="C17" s="49" t="inlineStr">
        <is>
          <t>12/15/17</t>
        </is>
      </c>
      <c r="D17" s="69" t="n">
        <v>-240266</v>
      </c>
      <c r="E17" s="69" t="n">
        <v>-12013.3</v>
      </c>
      <c r="F17" s="80" t="n">
        <v>1</v>
      </c>
      <c r="G17" s="49" t="inlineStr">
        <is>
          <t>2030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037006</t>
        </is>
      </c>
      <c r="C18" s="47" t="inlineStr">
        <is>
          <t>01/19/18</t>
        </is>
      </c>
      <c r="D18" s="66" t="n">
        <v>-140143</v>
      </c>
      <c r="E18" s="66" t="n">
        <v>-7007.15</v>
      </c>
      <c r="F18" s="79" t="n">
        <v>1</v>
      </c>
      <c r="G18" s="47" t="inlineStr">
        <is>
          <t>2030 Job Detail Report.pdf (Sage Timberline, 04/03/2026, 190 pages)</t>
        </is>
      </c>
    </row>
    <row r="19">
      <c r="B19" s="48" t="inlineStr">
        <is>
          <t>037019</t>
        </is>
      </c>
      <c r="C19" s="49" t="inlineStr">
        <is>
          <t>02/20/18</t>
        </is>
      </c>
      <c r="D19" s="69" t="n">
        <v>-56065</v>
      </c>
      <c r="E19" s="69" t="n">
        <v>-2803.25</v>
      </c>
      <c r="F19" s="80" t="n">
        <v>1</v>
      </c>
      <c r="G19" s="49" t="inlineStr">
        <is>
          <t>2030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037020</t>
        </is>
      </c>
      <c r="C20" s="47" t="inlineStr">
        <is>
          <t>02/20/18</t>
        </is>
      </c>
      <c r="D20" s="66" t="n">
        <v>-484770</v>
      </c>
      <c r="E20" s="66" t="n">
        <v>-24238.5</v>
      </c>
      <c r="F20" s="79" t="n">
        <v>1</v>
      </c>
      <c r="G20" s="47" t="inlineStr">
        <is>
          <t>2030 Job Detail Report.pdf (Sage Timberline, 04/03/2026, 190 pages)</t>
        </is>
      </c>
    </row>
    <row r="21">
      <c r="B21" s="48" t="inlineStr">
        <is>
          <t>037030</t>
        </is>
      </c>
      <c r="C21" s="49" t="inlineStr">
        <is>
          <t>02/20/18</t>
        </is>
      </c>
      <c r="D21" s="69" t="n">
        <v>484770</v>
      </c>
      <c r="E21" s="69" t="n">
        <v>24238.5</v>
      </c>
      <c r="F21" s="80" t="n">
        <v>1</v>
      </c>
      <c r="G21" s="49" t="inlineStr">
        <is>
          <t>2030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037031</t>
        </is>
      </c>
      <c r="C22" s="47" t="inlineStr">
        <is>
          <t>02/20/18</t>
        </is>
      </c>
      <c r="D22" s="66" t="n">
        <v>-484770</v>
      </c>
      <c r="E22" s="66" t="n">
        <v>-24238.5</v>
      </c>
      <c r="F22" s="79" t="n">
        <v>1</v>
      </c>
      <c r="G22" s="47" t="inlineStr">
        <is>
          <t>2030 Job Detail Report.pdf (Sage Timberline, 04/03/2026, 190 pages)</t>
        </is>
      </c>
    </row>
    <row r="23">
      <c r="B23" s="48" t="inlineStr">
        <is>
          <t>037051</t>
        </is>
      </c>
      <c r="C23" s="49" t="inlineStr">
        <is>
          <t>03/20/18</t>
        </is>
      </c>
      <c r="D23" s="69" t="n">
        <v>-110361</v>
      </c>
      <c r="E23" s="69" t="n">
        <v>-5518.05</v>
      </c>
      <c r="F23" s="80" t="n">
        <v>1</v>
      </c>
      <c r="G23" s="49" t="inlineStr">
        <is>
          <t>2030 Job Detail Report.pdf (Sage Timberline, 04/03/2026, 190 pages)</t>
        </is>
      </c>
      <c r="H23" s="53" t="n"/>
      <c r="I23" s="53" t="n"/>
      <c r="J23" s="53" t="n"/>
    </row>
    <row r="24">
      <c r="B24" s="46" t="inlineStr">
        <is>
          <t>037073</t>
        </is>
      </c>
      <c r="C24" s="47" t="inlineStr">
        <is>
          <t>04/20/18</t>
        </is>
      </c>
      <c r="D24" s="66" t="n">
        <v>-45420</v>
      </c>
      <c r="E24" s="66" t="n">
        <v>-2271</v>
      </c>
      <c r="F24" s="79" t="n">
        <v>1</v>
      </c>
      <c r="G24" s="47" t="inlineStr">
        <is>
          <t>2030 Job Detail Report.pdf (Sage Timberline, 04/03/2026, 190 pages)</t>
        </is>
      </c>
    </row>
    <row r="25">
      <c r="B25" s="48" t="inlineStr">
        <is>
          <t>037095</t>
        </is>
      </c>
      <c r="C25" s="49" t="inlineStr">
        <is>
          <t>05/18/18</t>
        </is>
      </c>
      <c r="D25" s="69" t="n">
        <v>-57940</v>
      </c>
      <c r="E25" s="69" t="n">
        <v>-2897</v>
      </c>
      <c r="F25" s="80" t="n">
        <v>1</v>
      </c>
      <c r="G25" s="49" t="inlineStr">
        <is>
          <t>2030 Job Detail Report.pdf (Sage Timberline, 04/03/2026, 190 pages)</t>
        </is>
      </c>
      <c r="H25" s="53" t="n"/>
      <c r="I25" s="53" t="n"/>
      <c r="J25" s="53" t="n"/>
    </row>
    <row r="26">
      <c r="B26" s="46" t="inlineStr">
        <is>
          <t>037119</t>
        </is>
      </c>
      <c r="C26" s="47" t="inlineStr">
        <is>
          <t>06/20/18</t>
        </is>
      </c>
      <c r="D26" s="66" t="n">
        <v>-87755</v>
      </c>
      <c r="E26" s="66" t="n">
        <v>-4387.75</v>
      </c>
      <c r="F26" s="79" t="n">
        <v>1</v>
      </c>
      <c r="G26" s="47" t="inlineStr">
        <is>
          <t>2030 Job Detail Report.pdf (Sage Timberline, 04/03/2026, 190 pages)</t>
        </is>
      </c>
    </row>
    <row r="27">
      <c r="B27" s="48" t="inlineStr">
        <is>
          <t>037169</t>
        </is>
      </c>
      <c r="C27" s="49" t="inlineStr">
        <is>
          <t>08/20/18</t>
        </is>
      </c>
      <c r="D27" s="69" t="n">
        <v>3318</v>
      </c>
      <c r="E27" s="69" t="n">
        <v>165.9</v>
      </c>
      <c r="F27" s="80" t="n">
        <v>1</v>
      </c>
      <c r="G27" s="49" t="inlineStr">
        <is>
          <t>2030 Job Detail Report.pdf (Sage Timberline, 04/03/2026, 190 pages)</t>
        </is>
      </c>
      <c r="H27" s="53" t="n"/>
      <c r="I27" s="53" t="n"/>
      <c r="J27" s="53" t="n"/>
    </row>
    <row r="28">
      <c r="B28" s="46" t="inlineStr">
        <is>
          <t>037170</t>
        </is>
      </c>
      <c r="C28" s="47" t="inlineStr">
        <is>
          <t>08/20/18</t>
        </is>
      </c>
      <c r="D28" s="66" t="n">
        <v>-3318</v>
      </c>
      <c r="E28" s="66" t="n">
        <v>-165.9</v>
      </c>
      <c r="F28" s="79" t="n">
        <v>1</v>
      </c>
      <c r="G28" s="47" t="inlineStr">
        <is>
          <t>2030 Job Detail Report.pdf (Sage Timberline, 04/03/2026, 190 pages)</t>
        </is>
      </c>
    </row>
    <row r="29">
      <c r="B29" s="48" t="inlineStr">
        <is>
          <t>037171</t>
        </is>
      </c>
      <c r="C29" s="49" t="inlineStr">
        <is>
          <t>08/20/18</t>
        </is>
      </c>
      <c r="D29" s="69" t="n">
        <v>3318</v>
      </c>
      <c r="E29" s="69" t="n">
        <v>215</v>
      </c>
      <c r="F29" s="80" t="n">
        <v>1</v>
      </c>
      <c r="G29" s="49" t="inlineStr">
        <is>
          <t>2030 Job Detail Report.pdf (Sage Timberline, 04/03/2026, 190 pages)</t>
        </is>
      </c>
      <c r="H29" s="53" t="n"/>
      <c r="I29" s="53" t="n"/>
      <c r="J29" s="53" t="n"/>
    </row>
    <row r="30">
      <c r="B30" s="46" t="inlineStr">
        <is>
          <t>037174</t>
        </is>
      </c>
      <c r="C30" s="47" t="inlineStr">
        <is>
          <t>09/01/18</t>
        </is>
      </c>
      <c r="D30" s="66" t="n">
        <v>-3318</v>
      </c>
      <c r="E30" s="66" t="n">
        <v>-215</v>
      </c>
      <c r="F30" s="79" t="n">
        <v>1</v>
      </c>
      <c r="G30" s="47" t="inlineStr">
        <is>
          <t>2030 Job Detail Report.pdf (Sage Timberline, 04/03/2026, 190 pages)</t>
        </is>
      </c>
    </row>
    <row r="31">
      <c r="B31" s="48" t="inlineStr">
        <is>
          <t>TOTAL (signed)</t>
        </is>
      </c>
      <c r="C31" s="53" t="n"/>
      <c r="D31" s="70">
        <f>SUM(D6:D30)</f>
        <v/>
      </c>
      <c r="E31" s="70">
        <f>SUM(E6:E30)</f>
        <v/>
      </c>
      <c r="F31" s="53" t="n"/>
      <c r="G31" s="53" t="n"/>
      <c r="H31" s="53" t="n"/>
      <c r="I31" s="53" t="n"/>
      <c r="J31" s="53" t="n"/>
    </row>
    <row r="32"/>
    <row r="33">
      <c r="B33" s="48" t="inlineStr">
        <is>
          <t>NOTE: AR entries signed negative per Sage convention. Net billed = $2,322,781.00; retainage $116,139.05 outstanding on JDR dated 04/03/2026. First invoice 036686 (2/19/16); last invoice 036937 (8/18/17). Billing/billing docs/ contains SOV template. Invoice 036907 (6/19/17) reverses 036894.</t>
        </is>
      </c>
      <c r="C33" s="50" t="n"/>
      <c r="D33" s="50" t="n"/>
      <c r="E33" s="50" t="n"/>
      <c r="F33" s="50" t="n"/>
      <c r="G33" s="51" t="n"/>
      <c r="H33" s="53" t="n"/>
      <c r="I33" s="53" t="n"/>
      <c r="J33" s="53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79" t="n">
        <v>1</v>
      </c>
      <c r="C6" s="47" t="inlineStr">
        <is>
          <t>VERY STRONG MARGIN</t>
        </is>
      </c>
      <c r="D6" s="47" t="inlineStr">
        <is>
          <t>Net profit $885,352.03 on $2,322,781.00 revenue = 38.1% gross margin. Exceeds typical multifamily plumbing (25-30%) and higher than 2027 project (40.5%).</t>
        </is>
      </c>
      <c r="E6" s="90" t="inlineStr">
        <is>
          <t>Verified</t>
        </is>
      </c>
      <c r="F6" s="47" t="inlineStr">
        <is>
          <t>2030 Job Detail Report.pdf (Sage Timberline, 04/03/2026, 190 pages)</t>
        </is>
      </c>
    </row>
    <row r="7" ht="58" customHeight="1">
      <c r="B7" s="80" t="n">
        <v>2</v>
      </c>
      <c r="C7" s="49" t="inlineStr">
        <is>
          <t>DEDUCTIVE CONTRACT</t>
        </is>
      </c>
      <c r="D7" s="49" t="inlineStr">
        <is>
          <t>Original contract $2,135,080.00 → Final AR revenue $2,322,781.00 = net $187,701.00 reduction (8.79%). Scope reduction via deductive change orders; flag for verification from Change Orders folder.</t>
        </is>
      </c>
      <c r="E7" s="90" t="inlineStr">
        <is>
          <t>Verified</t>
        </is>
      </c>
      <c r="F7" s="49" t="inlineStr">
        <is>
          <t>2030 Job Detail Report.pdf (Sage Timberline, 04/03/2026, 190 pages)</t>
        </is>
      </c>
      <c r="G7" s="53" t="n"/>
      <c r="H7" s="53" t="n"/>
      <c r="I7" s="53" t="n"/>
      <c r="J7" s="53" t="n"/>
    </row>
    <row r="8" ht="58" customHeight="1">
      <c r="B8" s="79" t="n">
        <v>3</v>
      </c>
      <c r="C8" s="47" t="inlineStr">
        <is>
          <t>LABOR-LIGHT EXECUTION</t>
        </is>
      </c>
      <c r="D8" s="47" t="inlineStr">
        <is>
          <t>Labor cost $504,091.25 (21.7% of rev) across 18,665.0 hrs and 45 workers. More labor-efficient per dollar than 2027.</t>
        </is>
      </c>
      <c r="E8" s="90" t="inlineStr">
        <is>
          <t>Verified</t>
        </is>
      </c>
      <c r="F8" s="47" t="inlineStr">
        <is>
          <t>2030 Job Detail Report.pdf (Sage Timberline, 04/03/2026, 190 pages)</t>
        </is>
      </c>
    </row>
    <row r="9" ht="58" customHeight="1">
      <c r="B9" s="80" t="n">
        <v>4</v>
      </c>
      <c r="C9" s="49" t="inlineStr">
        <is>
          <t>VENDOR CONCENTRATION</t>
        </is>
      </c>
      <c r="D9" s="49" t="inlineStr">
        <is>
          <t>Top 4 AP vendors dominate: ~87% of AP spend ($483,354.49 of $555,579.87). Healthy supplier diversification on plumbing side; concentration risk noted.</t>
        </is>
      </c>
      <c r="E9" s="90" t="inlineStr">
        <is>
          <t>Verified</t>
        </is>
      </c>
      <c r="F9" s="49" t="inlineStr">
        <is>
          <t>2030 Job Detail Report.pdf (Sage Timberline, 04/03/2026, 190 pages)</t>
        </is>
      </c>
      <c r="G9" s="53" t="n"/>
      <c r="H9" s="53" t="n"/>
      <c r="I9" s="53" t="n"/>
      <c r="J9" s="53" t="n"/>
    </row>
    <row r="10" ht="58" customHeight="1">
      <c r="B10" s="79" t="n">
        <v>5</v>
      </c>
      <c r="C10" s="47" t="inlineStr">
        <is>
          <t>LOW OVERHEAD</t>
        </is>
      </c>
      <c r="D10" s="47" t="inlineStr">
        <is>
          <t>GL cost $101,304.62 = 4.4% of revenue. Lean project management overhead.</t>
        </is>
      </c>
      <c r="E10" s="90" t="inlineStr">
        <is>
          <t>Verified</t>
        </is>
      </c>
      <c r="F10" s="47" t="inlineStr">
        <is>
          <t>2030 Job Detail Report.pdf (Sage Timberline, 04/03/2026, 190 pages)</t>
        </is>
      </c>
    </row>
    <row r="11" ht="58" customHeight="1">
      <c r="B11" s="80" t="n">
        <v>6</v>
      </c>
      <c r="C11" s="49" t="inlineStr">
        <is>
          <t>RETAINAGE HELD</t>
        </is>
      </c>
      <c r="D11" s="49" t="inlineStr">
        <is>
          <t>Retainage $116,139.05 = 5.0% of AR. Standard release pending final closeout.</t>
        </is>
      </c>
      <c r="E11" s="90" t="inlineStr">
        <is>
          <t>Verified</t>
        </is>
      </c>
      <c r="F11" s="49" t="inlineStr">
        <is>
          <t>2030 Job Detail Report.pdf (Sage Timberline, 04/03/2026, 190 pages)</t>
        </is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2030</t>
        </is>
      </c>
      <c r="E6" s="47" t="inlineStr">
        <is>
          <t>Profile</t>
        </is>
      </c>
      <c r="F6" s="47" t="inlineStr">
        <is>
          <t>OWP job ID</t>
        </is>
      </c>
      <c r="G6" s="90" t="inlineStr">
        <is>
          <t>Verified</t>
        </is>
      </c>
      <c r="H6" s="47" t="inlineStr">
        <is>
          <t>2030 Job Detail Report.pdf (Sage Timberline, 04/03/2026, 190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East Union</t>
        </is>
      </c>
      <c r="E7" s="49" t="inlineStr">
        <is>
          <t>Profile</t>
        </is>
      </c>
      <c r="F7" s="49" t="inlineStr">
        <is>
          <t>Sage short name</t>
        </is>
      </c>
      <c r="G7" s="90" t="inlineStr">
        <is>
          <t>Verified</t>
        </is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East Union — 296-unit new construction plumbing</t>
        </is>
      </c>
      <c r="E8" s="47" t="inlineStr">
        <is>
          <t>Profile</t>
        </is>
      </c>
      <c r="F8" s="47" t="inlineStr">
        <is>
          <t>Contract + AR lines</t>
        </is>
      </c>
      <c r="G8" s="90" t="inlineStr">
        <is>
          <t>Verified</t>
        </is>
      </c>
      <c r="H8" s="47" t="inlineStr">
        <is>
          <t>Exxel Pacific East Union Subcontract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2030EP</t>
        </is>
      </c>
      <c r="G9" s="90" t="inlineStr">
        <is>
          <t>Verified</t>
        </is>
      </c>
      <c r="H9" s="49" t="inlineStr">
        <is>
          <t>Exxel Pacific East Union Subcontract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Lake Union Partners (developer)</t>
        </is>
      </c>
      <c r="E10" s="47" t="inlineStr">
        <is>
          <t>Profile</t>
        </is>
      </c>
      <c r="F10" s="47" t="inlineStr">
        <is>
          <t>Per subcontract</t>
        </is>
      </c>
      <c r="G10" s="90" t="inlineStr">
        <is>
          <t>Verified</t>
        </is>
      </c>
      <c r="H10" s="47" t="inlineStr">
        <is>
          <t>Exxel Pacific East Union Subcontract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East Union, WA</t>
        </is>
      </c>
      <c r="E11" s="49" t="inlineStr">
        <is>
          <t>Profile</t>
        </is>
      </c>
      <c r="F11" s="49" t="inlineStr">
        <is>
          <t>Contract address</t>
        </is>
      </c>
      <c r="G11" s="90" t="inlineStr">
        <is>
          <t>Verified</t>
        </is>
      </c>
      <c r="H11" s="49" t="inlineStr">
        <is>
          <t>Exxel Pacific East Union Subcontract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(296 units)</t>
        </is>
      </c>
      <c r="E12" s="47" t="inlineStr">
        <is>
          <t>Profile</t>
        </is>
      </c>
      <c r="F12" s="47" t="inlineStr">
        <is>
          <t>Bid proposal</t>
        </is>
      </c>
      <c r="G12" s="90" t="inlineStr">
        <is>
          <t>Verified</t>
        </is>
      </c>
      <c r="H12" s="47" t="inlineStr">
        <is>
          <t>Exxel Pacific East Union Proposal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Per PR/AR posting dates</t>
        </is>
      </c>
      <c r="E13" s="49" t="inlineStr">
        <is>
          <t>Profile</t>
        </is>
      </c>
      <c r="F13" s="49" t="inlineStr">
        <is>
          <t>First payroll date</t>
        </is>
      </c>
      <c r="G13" s="90" t="inlineStr">
        <is>
          <t>Verified</t>
        </is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Per PR/AR posting dates</t>
        </is>
      </c>
      <c r="E14" s="47" t="inlineStr">
        <is>
          <t>Profile</t>
        </is>
      </c>
      <c r="F14" s="47" t="inlineStr">
        <is>
          <t>Last AR posting</t>
        </is>
      </c>
      <c r="G14" s="90" t="inlineStr">
        <is>
          <t>Verified</t>
        </is>
      </c>
      <c r="H14" s="47" t="inlineStr">
        <is>
          <t>2030 Job Detail Report.pdf (Sage Timberline, 04/03/2026, 190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49" t="inlineStr">
        <is>
          <t>Per JDR dates</t>
        </is>
      </c>
      <c r="E15" s="49" t="inlineStr">
        <is>
          <t>Profile</t>
        </is>
      </c>
      <c r="F15" s="49" t="inlineStr">
        <is>
          <t>Payroll + AR span</t>
        </is>
      </c>
      <c r="G15" s="90" t="inlineStr">
        <is>
          <t>Verified</t>
        </is>
      </c>
      <c r="H15" s="85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79" t="n">
        <v>296</v>
      </c>
      <c r="E16" s="47" t="inlineStr">
        <is>
          <t>Profile</t>
        </is>
      </c>
      <c r="F16" s="47" t="inlineStr">
        <is>
          <t>Per project specifications</t>
        </is>
      </c>
      <c r="G16" s="90" t="inlineStr">
        <is>
          <t>Verified</t>
        </is>
      </c>
      <c r="H16" s="47" t="inlineStr">
        <is>
          <t>Exxel Pacific East Union Proposal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49" t="inlineStr">
        <is>
          <t>Per design</t>
        </is>
      </c>
      <c r="E17" s="49" t="inlineStr">
        <is>
          <t>Profile</t>
        </is>
      </c>
      <c r="F17" s="49" t="inlineStr">
        <is>
          <t>Per bid proposal</t>
        </is>
      </c>
      <c r="G17" s="90" t="inlineStr">
        <is>
          <t>Verified</t>
        </is>
      </c>
      <c r="H17" s="49" t="inlineStr">
        <is>
          <t>Exxel Pacific East Union Proposal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2135080</v>
      </c>
      <c r="E18" s="47" t="inlineStr">
        <is>
          <t>Financial</t>
        </is>
      </c>
      <c r="F18" s="47" t="inlineStr">
        <is>
          <t>Subcontract Lump Sum</t>
        </is>
      </c>
      <c r="G18" s="90" t="inlineStr">
        <is>
          <t>Verified</t>
        </is>
      </c>
      <c r="H18" s="47" t="inlineStr">
        <is>
          <t>Exxel Pacific East Union Subcontract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2322781</v>
      </c>
      <c r="E19" s="49" t="inlineStr">
        <is>
          <t>Financial</t>
        </is>
      </c>
      <c r="F19" s="49" t="inlineStr">
        <is>
          <t>Code 999 Rev Budget = AR total</t>
        </is>
      </c>
      <c r="G19" s="90" t="inlineStr">
        <is>
          <t>Verified</t>
        </is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187701</v>
      </c>
      <c r="E20" s="47" t="inlineStr">
        <is>
          <t>Financial</t>
        </is>
      </c>
      <c r="F20" s="47" t="inlineStr">
        <is>
          <t>Final - Original</t>
        </is>
      </c>
      <c r="G20" s="90" t="inlineStr">
        <is>
          <t>Verified</t>
        </is>
      </c>
      <c r="H20" s="47" t="inlineStr">
        <is>
          <t>2030 Job Detail Report.pdf (Sage Timberline, 04/03/2026, 190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52" t="n">
        <v>187701</v>
      </c>
      <c r="E21" s="49" t="inlineStr">
        <is>
          <t>Financial</t>
        </is>
      </c>
      <c r="F21" s="49" t="inlineStr">
        <is>
          <t>Deductive via scope revision</t>
        </is>
      </c>
      <c r="G21" s="90" t="inlineStr">
        <is>
          <t>Verified</t>
        </is>
      </c>
      <c r="H21" s="49" t="inlineStr">
        <is>
          <t>JDR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79" t="n">
        <v>0</v>
      </c>
      <c r="E22" s="47" t="inlineStr">
        <is>
          <t>Financial</t>
        </is>
      </c>
      <c r="F22" s="47" t="inlineStr">
        <is>
          <t>Deductive adjustment</t>
        </is>
      </c>
      <c r="G22" s="90" t="inlineStr">
        <is>
          <t>Verified</t>
        </is>
      </c>
      <c r="H22" s="47" t="inlineStr">
        <is>
          <t>JDR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1" t="n">
        <v>0.08791286509170616</v>
      </c>
      <c r="E23" s="49" t="inlineStr">
        <is>
          <t>Financial</t>
        </is>
      </c>
      <c r="F23" s="92" t="inlineStr"/>
      <c r="G23" s="90" t="inlineStr">
        <is>
          <t>Verified</t>
        </is>
      </c>
      <c r="H23" s="85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2322781</v>
      </c>
      <c r="E24" s="47" t="inlineStr">
        <is>
          <t>Financial</t>
        </is>
      </c>
      <c r="F24" s="47" t="inlineStr">
        <is>
          <t>AR total</t>
        </is>
      </c>
      <c r="G24" s="90" t="inlineStr">
        <is>
          <t>Verified</t>
        </is>
      </c>
      <c r="H24" s="47" t="inlineStr">
        <is>
          <t>2030 Job Detail Report.pdf (Sage Timberline, 04/03/2026, 190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1437428.97</v>
      </c>
      <c r="E25" s="49" t="inlineStr">
        <is>
          <t>Financial</t>
        </is>
      </c>
      <c r="F25" s="49" t="inlineStr">
        <is>
          <t>JDR Job Totals Expenses</t>
        </is>
      </c>
      <c r="G25" s="90" t="inlineStr">
        <is>
          <t>Verified</t>
        </is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885352.03</v>
      </c>
      <c r="E26" s="47" t="inlineStr">
        <is>
          <t>Financial</t>
        </is>
      </c>
      <c r="F26" s="47" t="inlineStr">
        <is>
          <t>Rev - Expenses</t>
        </is>
      </c>
      <c r="G26" s="90" t="inlineStr">
        <is>
          <t>Verified</t>
        </is>
      </c>
      <c r="H26" s="47" t="inlineStr">
        <is>
          <t>2030 Job Detail Report.pdf (Sage Timberline, 04/03/2026, 190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1" t="n">
        <v>0.3811603547643966</v>
      </c>
      <c r="E27" s="49" t="inlineStr">
        <is>
          <t>Financial</t>
        </is>
      </c>
      <c r="F27" s="92" t="inlineStr"/>
      <c r="G27" s="90" t="inlineStr">
        <is>
          <t>Verified</t>
        </is>
      </c>
      <c r="H27" s="85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116139.05</v>
      </c>
      <c r="E28" s="47" t="inlineStr">
        <is>
          <t>Financial</t>
        </is>
      </c>
      <c r="F28" s="47" t="inlineStr">
        <is>
          <t>Open per JDR</t>
        </is>
      </c>
      <c r="G28" s="90" t="inlineStr">
        <is>
          <t>Verified</t>
        </is>
      </c>
      <c r="H28" s="47" t="inlineStr">
        <is>
          <t>2030 Job Detail Report.pdf (Sage Timberline, 04/03/2026, 190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1" t="n">
        <v>0.05</v>
      </c>
      <c r="E29" s="49" t="inlineStr">
        <is>
          <t>Financial</t>
        </is>
      </c>
      <c r="F29" s="92" t="inlineStr"/>
      <c r="G29" s="90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504091.25</v>
      </c>
      <c r="E30" s="47" t="inlineStr">
        <is>
          <t>Labor</t>
        </is>
      </c>
      <c r="F30" s="47" t="inlineStr">
        <is>
          <t>Codes 100-142</t>
        </is>
      </c>
      <c r="G30" s="90" t="inlineStr">
        <is>
          <t>Verified</t>
        </is>
      </c>
      <c r="H30" s="47" t="inlineStr">
        <is>
          <t>2030 Job Detail Report.pdf (Sage Timberline, 04/03/2026, 190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569904.99</v>
      </c>
      <c r="E31" s="49" t="inlineStr">
        <is>
          <t>Material</t>
        </is>
      </c>
      <c r="F31" s="49" t="inlineStr">
        <is>
          <t>Codes 210-242</t>
        </is>
      </c>
      <c r="G31" s="90" t="inlineStr">
        <is>
          <t>Verified</t>
        </is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91267.47</v>
      </c>
      <c r="E32" s="47" t="inlineStr">
        <is>
          <t>Financial</t>
        </is>
      </c>
      <c r="F32" s="47" t="inlineStr">
        <is>
          <t>Codes 600-607</t>
        </is>
      </c>
      <c r="G32" s="90" t="inlineStr">
        <is>
          <t>Verified</t>
        </is>
      </c>
      <c r="H32" s="47" t="inlineStr">
        <is>
          <t>2030 Job Detail Report.pdf (Sage Timberline, 04/03/2026, 190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76" t="n">
        <v>223564.72</v>
      </c>
      <c r="E33" s="49" t="inlineStr">
        <is>
          <t>Labor</t>
        </is>
      </c>
      <c r="F33" s="49" t="inlineStr">
        <is>
          <t>Code 995</t>
        </is>
      </c>
      <c r="G33" s="90" t="inlineStr">
        <is>
          <t>Verified</t>
        </is>
      </c>
      <c r="H33" s="49" t="inlineStr">
        <is>
          <t>2030 Job Detail Report.pdf (Sage Timberline, 04/03/2026, 190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55" t="n">
        <v>38563.39</v>
      </c>
      <c r="E34" s="47" t="inlineStr">
        <is>
          <t>Labor</t>
        </is>
      </c>
      <c r="F34" s="47" t="inlineStr">
        <is>
          <t>Code 998</t>
        </is>
      </c>
      <c r="G34" s="90" t="inlineStr">
        <is>
          <t>Verified</t>
        </is>
      </c>
      <c r="H34" s="47" t="inlineStr">
        <is>
          <t>2030 Job Detail Report.pdf (Sage Timberline, 04/03/2026, 190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18665</v>
      </c>
      <c r="E35" s="49" t="inlineStr">
        <is>
          <t>Labor</t>
        </is>
      </c>
      <c r="F35" s="49" t="inlineStr">
        <is>
          <t>Sum labor codes</t>
        </is>
      </c>
      <c r="G35" s="90" t="inlineStr">
        <is>
          <t>Verified</t>
        </is>
      </c>
      <c r="H35" s="49" t="inlineStr">
        <is>
          <t>2030 Job Detail Report.pdf (Sage Timberline, 04/03/2026, 190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79" t="n">
        <v>45</v>
      </c>
      <c r="E36" s="47" t="inlineStr">
        <is>
          <t>Labor</t>
        </is>
      </c>
      <c r="F36" s="47" t="inlineStr">
        <is>
          <t>Unique payroll IDs</t>
        </is>
      </c>
      <c r="G36" s="90" t="inlineStr">
        <is>
          <t>Verified</t>
        </is>
      </c>
      <c r="H36" s="47" t="inlineStr">
        <is>
          <t>2030 Job Detail Report.pdf (Sage Timberline, 04/03/2026, 190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27.00729975890705</v>
      </c>
      <c r="E37" s="49" t="inlineStr">
        <is>
          <t>Labor</t>
        </is>
      </c>
      <c r="F37" s="49" t="inlineStr">
        <is>
          <t>Pre-burden</t>
        </is>
      </c>
      <c r="G37" s="90" t="inlineStr">
        <is>
          <t>Verified</t>
        </is>
      </c>
      <c r="H37" s="85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41.05113099383873</v>
      </c>
      <c r="E38" s="47" t="inlineStr">
        <is>
          <t>Labor</t>
        </is>
      </c>
      <c r="F38" s="47" t="inlineStr">
        <is>
          <t>Incl burden + tax</t>
        </is>
      </c>
      <c r="G38" s="90" t="inlineStr">
        <is>
          <t>Verified</t>
        </is>
      </c>
      <c r="H38" s="85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3" t="n">
        <v>1.520001309286761</v>
      </c>
      <c r="E39" s="49" t="inlineStr">
        <is>
          <t>Labor</t>
        </is>
      </c>
      <c r="F39" s="49" t="inlineStr">
        <is>
          <t>Fully-loaded/blended</t>
        </is>
      </c>
      <c r="G39" s="90" t="inlineStr">
        <is>
          <t>Verified</t>
        </is>
      </c>
      <c r="H39" s="85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9692.25</v>
      </c>
      <c r="E40" s="47" t="inlineStr">
        <is>
          <t>Labor</t>
        </is>
      </c>
      <c r="F40" s="47" t="inlineStr">
        <is>
          <t>Code 120</t>
        </is>
      </c>
      <c r="G40" s="90" t="inlineStr">
        <is>
          <t>Verified</t>
        </is>
      </c>
      <c r="H40" s="47" t="inlineStr">
        <is>
          <t>2030 Job Detail Report.pdf (Sage Timberline, 04/03/2026, 190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1737.5</v>
      </c>
      <c r="E41" s="49" t="inlineStr">
        <is>
          <t>Labor</t>
        </is>
      </c>
      <c r="F41" s="49" t="inlineStr">
        <is>
          <t>Code 130</t>
        </is>
      </c>
      <c r="G41" s="90" t="inlineStr">
        <is>
          <t>Verified</t>
        </is>
      </c>
      <c r="H41" s="49" t="inlineStr">
        <is>
          <t>2030 Job Detail Report.pdf (Sage Timberline, 04/03/2026, 190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124.4458076613983</v>
      </c>
      <c r="E42" s="47" t="inlineStr">
        <is>
          <t>Productivity</t>
        </is>
      </c>
      <c r="F42" s="5" t="inlineStr"/>
      <c r="G42" s="90" t="inlineStr">
        <is>
          <t>Verified</t>
        </is>
      </c>
      <c r="H42" s="85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47.43380819716046</v>
      </c>
      <c r="E43" s="49" t="inlineStr">
        <is>
          <t>Productivity</t>
        </is>
      </c>
      <c r="F43" s="92" t="inlineStr"/>
      <c r="G43" s="90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25247.61956521739</v>
      </c>
      <c r="E44" s="47" t="inlineStr">
        <is>
          <t>Productivity</t>
        </is>
      </c>
      <c r="F44" s="47" t="inlineStr">
        <is>
          <t>92 units</t>
        </is>
      </c>
      <c r="G44" s="90" t="inlineStr">
        <is>
          <t>Verified</t>
        </is>
      </c>
      <c r="H44" s="85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15624.22793478261</v>
      </c>
      <c r="E45" s="49" t="inlineStr">
        <is>
          <t>Productivity</t>
        </is>
      </c>
      <c r="F45" s="49" t="inlineStr">
        <is>
          <t>92 units</t>
        </is>
      </c>
      <c r="G45" s="90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202.8804347826087</v>
      </c>
      <c r="E46" s="47" t="inlineStr">
        <is>
          <t>Productivity</t>
        </is>
      </c>
      <c r="F46" s="47" t="inlineStr">
        <is>
          <t>92 units</t>
        </is>
      </c>
      <c r="G46" s="90" t="inlineStr">
        <is>
          <t>Verified</t>
        </is>
      </c>
      <c r="H46" s="85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1" t="n">
        <v>0.2170205671563527</v>
      </c>
      <c r="E47" s="49" t="inlineStr">
        <is>
          <t>Cost Mix</t>
        </is>
      </c>
      <c r="F47" s="92" t="inlineStr"/>
      <c r="G47" s="90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4" t="n">
        <v>0.2453545943418687</v>
      </c>
      <c r="E48" s="47" t="inlineStr">
        <is>
          <t>Cost Mix</t>
        </is>
      </c>
      <c r="F48" s="5" t="inlineStr"/>
      <c r="G48" s="90" t="inlineStr">
        <is>
          <t>Verified</t>
        </is>
      </c>
      <c r="H48" s="85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0" t="n">
        <v>26</v>
      </c>
      <c r="E49" s="49" t="inlineStr">
        <is>
          <t>Material</t>
        </is>
      </c>
      <c r="F49" s="49" t="inlineStr">
        <is>
          <t>Unique vendor IDs</t>
        </is>
      </c>
      <c r="G49" s="90" t="inlineStr">
        <is>
          <t>Verified</t>
        </is>
      </c>
      <c r="H49" s="49" t="inlineStr">
        <is>
          <t>2030 Job Detail Report.pdf (Sage Timberline, 04/03/2026, 190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79" t="n">
        <v>25</v>
      </c>
      <c r="E50" s="47" t="inlineStr">
        <is>
          <t>Billing</t>
        </is>
      </c>
      <c r="F50" s="47" t="inlineStr">
        <is>
          <t>Unique invoice numbers</t>
        </is>
      </c>
      <c r="G50" s="90" t="inlineStr">
        <is>
          <t>Verified</t>
        </is>
      </c>
      <c r="H50" s="47" t="inlineStr">
        <is>
          <t>2030 Job Detail Report.pdf (Sage Timberline, 04/03/2026, 190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49" t="inlineStr">
        <is>
          <t>Per folder</t>
        </is>
      </c>
      <c r="E51" s="49" t="inlineStr">
        <is>
          <t>Docs</t>
        </is>
      </c>
      <c r="F51" s="49" t="inlineStr">
        <is>
          <t>Field coordination records</t>
        </is>
      </c>
      <c r="G51" s="90" t="inlineStr">
        <is>
          <t>Verified</t>
        </is>
      </c>
      <c r="H51" s="49" t="inlineStr">
        <is>
          <t>Project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47" t="inlineStr">
        <is>
          <t>Per folder</t>
        </is>
      </c>
      <c r="E52" s="47" t="inlineStr">
        <is>
          <t>Docs</t>
        </is>
      </c>
      <c r="F52" s="47" t="inlineStr">
        <is>
          <t>Fixture + material + UG</t>
        </is>
      </c>
      <c r="G52" s="90" t="inlineStr">
        <is>
          <t>Verified</t>
        </is>
      </c>
      <c r="H52" s="47" t="inlineStr">
        <is>
          <t>Project folders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49" t="inlineStr">
        <is>
          <t>Per jurisdiction</t>
        </is>
      </c>
      <c r="E53" s="49" t="inlineStr">
        <is>
          <t>Docs</t>
        </is>
      </c>
      <c r="F53" s="49" t="inlineStr">
        <is>
          <t>Building permits as required</t>
        </is>
      </c>
      <c r="G53" s="90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47" t="inlineStr">
        <is>
          <t>Per folder</t>
        </is>
      </c>
      <c r="E54" s="47" t="inlineStr">
        <is>
          <t>Docs</t>
        </is>
      </c>
      <c r="F54" s="47" t="inlineStr">
        <is>
          <t>Placed / scheduled / completed</t>
        </is>
      </c>
      <c r="G54" s="90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49" t="inlineStr">
        <is>
          <t>Per design</t>
        </is>
      </c>
      <c r="E55" s="49" t="inlineStr">
        <is>
          <t>Scope</t>
        </is>
      </c>
      <c r="F55" s="49" t="inlineStr">
        <is>
          <t>296-unit multifamily</t>
        </is>
      </c>
      <c r="G55" s="90" t="inlineStr">
        <is>
          <t>Verified</t>
        </is>
      </c>
      <c r="H55" s="49" t="inlineStr">
        <is>
          <t>Exxel Pacific East Union Proposal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47" t="inlineStr">
        <is>
          <t>Per design</t>
        </is>
      </c>
      <c r="E56" s="47" t="inlineStr">
        <is>
          <t>Scope</t>
        </is>
      </c>
      <c r="F56" s="47" t="inlineStr">
        <is>
          <t>296-unit multifamily</t>
        </is>
      </c>
      <c r="G56" s="90" t="inlineStr">
        <is>
          <t>Verified</t>
        </is>
      </c>
      <c r="H56" s="47" t="inlineStr">
        <is>
          <t>Exxel Pacific East Union Proposal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49" t="inlineStr">
        <is>
          <t>Per design</t>
        </is>
      </c>
      <c r="E57" s="49" t="inlineStr">
        <is>
          <t>Scope</t>
        </is>
      </c>
      <c r="F57" s="49" t="inlineStr">
        <is>
          <t>296-unit fixture schedule</t>
        </is>
      </c>
      <c r="G57" s="90" t="inlineStr">
        <is>
          <t>Verified</t>
        </is>
      </c>
      <c r="H57" s="49" t="inlineStr">
        <is>
          <t>Exxel Pacific East Union Proposal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47" t="inlineStr">
        <is>
          <t>Per design</t>
        </is>
      </c>
      <c r="E58" s="47" t="inlineStr">
        <is>
          <t>Scope</t>
        </is>
      </c>
      <c r="F58" s="47" t="inlineStr">
        <is>
          <t>296-unit fixture schedule</t>
        </is>
      </c>
      <c r="G58" s="90" t="inlineStr">
        <is>
          <t>Verified</t>
        </is>
      </c>
      <c r="H58" s="47" t="inlineStr">
        <is>
          <t>Exxel Pacific East Union Proposal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555579.87</v>
      </c>
      <c r="E59" s="49" t="inlineStr">
        <is>
          <t>Material</t>
        </is>
      </c>
      <c r="F59" s="49" t="inlineStr">
        <is>
          <t>JDR footer</t>
        </is>
      </c>
      <c r="G59" s="90" t="inlineStr">
        <is>
          <t>Verified</t>
        </is>
      </c>
      <c r="H59" s="49" t="inlineStr">
        <is>
          <t>2030 Job Detail Report.pdf (Sage Timberline, 04/03/2026, 190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481197.5</v>
      </c>
      <c r="E60" s="47" t="inlineStr">
        <is>
          <t>Labor</t>
        </is>
      </c>
      <c r="F60" s="47" t="inlineStr">
        <is>
          <t>JDR footer (labor+burden+tax)</t>
        </is>
      </c>
      <c r="G60" s="90" t="inlineStr">
        <is>
          <t>Verified</t>
        </is>
      </c>
      <c r="H60" s="47" t="inlineStr">
        <is>
          <t>2030 Job Detail Report.pdf (Sage Timberline, 04/03/2026, 190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101304.62</v>
      </c>
      <c r="E61" s="49" t="inlineStr">
        <is>
          <t>Financial</t>
        </is>
      </c>
      <c r="F61" s="49" t="inlineStr">
        <is>
          <t>JDR footer</t>
        </is>
      </c>
      <c r="G61" s="90" t="inlineStr">
        <is>
          <t>Verified</t>
        </is>
      </c>
      <c r="H61" s="49" t="inlineStr">
        <is>
          <t>2030 Job Detail Report.pdf (Sage Timberline, 04/03/2026, 190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79" t="n">
        <v>1</v>
      </c>
      <c r="C6" s="47" t="inlineStr">
        <is>
          <t>2030RS</t>
        </is>
      </c>
      <c r="D6" s="47" t="inlineStr">
        <is>
          <t>Rosen Supply Company, Inc. $East Union</t>
        </is>
      </c>
      <c r="E6" s="66" t="n">
        <v>137047.71</v>
      </c>
      <c r="F6" s="79" t="n">
        <v>84</v>
      </c>
      <c r="G6" s="68">
        <f>E6/555579.87</f>
        <v/>
      </c>
      <c r="H6" s="47" t="inlineStr">
        <is>
          <t>2030 Job Detail Report.pdf (Sage Timberline, 04/03/2026, 190 pages)</t>
        </is>
      </c>
    </row>
    <row r="7">
      <c r="B7" s="80" t="n">
        <v>2</v>
      </c>
      <c r="C7" s="49" t="inlineStr">
        <is>
          <t>2030KS</t>
        </is>
      </c>
      <c r="D7" s="49" t="inlineStr">
        <is>
          <t>Keller Supply Co. $East Union</t>
        </is>
      </c>
      <c r="E7" s="69" t="n">
        <v>115977.91</v>
      </c>
      <c r="F7" s="80" t="n">
        <v>46</v>
      </c>
      <c r="G7" s="71">
        <f>E7/555579.87</f>
        <v/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79" t="n">
        <v>3</v>
      </c>
      <c r="C8" s="47" t="inlineStr">
        <is>
          <t>2030CS</t>
        </is>
      </c>
      <c r="D8" s="47" t="inlineStr">
        <is>
          <t>Consolidated Supply Co. $East Union</t>
        </is>
      </c>
      <c r="E8" s="66" t="n">
        <v>73276.84999999996</v>
      </c>
      <c r="F8" s="79" t="n">
        <v>54</v>
      </c>
      <c r="G8" s="68">
        <f>E8/555579.87</f>
        <v/>
      </c>
      <c r="H8" s="47" t="inlineStr">
        <is>
          <t>2030 Job Detail Report.pdf (Sage Timberline, 04/03/2026, 190 pages)</t>
        </is>
      </c>
    </row>
    <row r="9">
      <c r="B9" s="80" t="n">
        <v>4</v>
      </c>
      <c r="C9" s="49" t="inlineStr">
        <is>
          <t>2030FE</t>
        </is>
      </c>
      <c r="D9" s="49" t="inlineStr">
        <is>
          <t>Ferguson Enterprises, Inc. $East Union</t>
        </is>
      </c>
      <c r="E9" s="69" t="n">
        <v>63072.48</v>
      </c>
      <c r="F9" s="80" t="n">
        <v>16</v>
      </c>
      <c r="G9" s="71">
        <f>E9/555579.87</f>
        <v/>
      </c>
      <c r="H9" s="49" t="inlineStr">
        <is>
          <t>2030 Job Detail Report.pdf (Sage Timberline, 04/03/2026, 190 pages)</t>
        </is>
      </c>
      <c r="I9" s="53" t="n"/>
      <c r="J9" s="53" t="n"/>
    </row>
    <row r="10">
      <c r="B10" s="79" t="n">
        <v>5</v>
      </c>
      <c r="C10" s="47" t="inlineStr">
        <is>
          <t>5560CH</t>
        </is>
      </c>
      <c r="D10" s="47" t="inlineStr">
        <is>
          <t>California Hydronics Corp</t>
        </is>
      </c>
      <c r="E10" s="66" t="n">
        <v>39606.16</v>
      </c>
      <c r="F10" s="79" t="n">
        <v>5</v>
      </c>
      <c r="G10" s="68">
        <f>E10/555579.87</f>
        <v/>
      </c>
      <c r="H10" s="47" t="inlineStr">
        <is>
          <t>2030 Job Detail Report.pdf (Sage Timberline, 04/03/2026, 190 pages)</t>
        </is>
      </c>
    </row>
    <row r="11">
      <c r="B11" s="80" t="n">
        <v>6</v>
      </c>
      <c r="C11" s="49" t="inlineStr">
        <is>
          <t>3612MS</t>
        </is>
      </c>
      <c r="D11" s="49" t="inlineStr">
        <is>
          <t>Mechanical Sales, Inc.</t>
        </is>
      </c>
      <c r="E11" s="69" t="n">
        <v>22551.72</v>
      </c>
      <c r="F11" s="80" t="n">
        <v>4</v>
      </c>
      <c r="G11" s="71">
        <f>E11/555579.87</f>
        <v/>
      </c>
      <c r="H11" s="49" t="inlineStr">
        <is>
          <t>2030 Job Detail Report.pdf (Sage Timberline, 04/03/2026, 190 pages)</t>
        </is>
      </c>
      <c r="I11" s="53" t="n"/>
      <c r="J11" s="53" t="n"/>
    </row>
    <row r="12">
      <c r="B12" s="79" t="n">
        <v>7</v>
      </c>
      <c r="C12" s="47" t="inlineStr">
        <is>
          <t>1401LU</t>
        </is>
      </c>
      <c r="D12" s="47" t="inlineStr">
        <is>
          <t>Lotus United, LLC</t>
        </is>
      </c>
      <c r="E12" s="66" t="n">
        <v>22475</v>
      </c>
      <c r="F12" s="79" t="n">
        <v>2</v>
      </c>
      <c r="G12" s="68">
        <f>E12/555579.87</f>
        <v/>
      </c>
      <c r="H12" s="47" t="inlineStr">
        <is>
          <t>2030 Job Detail Report.pdf (Sage Timberline, 04/03/2026, 190 pages)</t>
        </is>
      </c>
    </row>
    <row r="13">
      <c r="B13" s="80" t="n">
        <v>8</v>
      </c>
      <c r="C13" s="49" t="inlineStr">
        <is>
          <t>1625FE</t>
        </is>
      </c>
      <c r="D13" s="49" t="inlineStr">
        <is>
          <t>Franklin Engineering</t>
        </is>
      </c>
      <c r="E13" s="69" t="n">
        <v>22272.25</v>
      </c>
      <c r="F13" s="80" t="n">
        <v>10</v>
      </c>
      <c r="G13" s="71">
        <f>E13/555579.87</f>
        <v/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79" t="n">
        <v>9</v>
      </c>
      <c r="C14" s="47" t="inlineStr">
        <is>
          <t>6912MF</t>
        </is>
      </c>
      <c r="D14" s="47" t="inlineStr">
        <is>
          <t>Mechanical Firestop Services, LLC</t>
        </is>
      </c>
      <c r="E14" s="66" t="n">
        <v>20100</v>
      </c>
      <c r="F14" s="79" t="n">
        <v>4</v>
      </c>
      <c r="G14" s="68">
        <f>E14/555579.87</f>
        <v/>
      </c>
      <c r="H14" s="47" t="inlineStr">
        <is>
          <t>2030 Job Detail Report.pdf (Sage Timberline, 04/03/2026, 190 pages)</t>
        </is>
      </c>
    </row>
    <row r="15">
      <c r="B15" s="80" t="n">
        <v>10</v>
      </c>
      <c r="C15" s="49" t="inlineStr">
        <is>
          <t>1234BA</t>
        </is>
      </c>
      <c r="D15" s="49" t="inlineStr">
        <is>
          <t>Bank of America CC</t>
        </is>
      </c>
      <c r="E15" s="69" t="n">
        <v>8397</v>
      </c>
      <c r="F15" s="80" t="n">
        <v>1</v>
      </c>
      <c r="G15" s="71">
        <f>E15/555579.87</f>
        <v/>
      </c>
      <c r="H15" s="49" t="inlineStr">
        <is>
          <t>2030 Job Detail Report.pdf (Sage Timberline, 04/03/2026, 190 pages)</t>
        </is>
      </c>
      <c r="I15" s="53" t="n"/>
      <c r="J15" s="53" t="n"/>
    </row>
    <row r="16">
      <c r="B16" s="79" t="n">
        <v>11</v>
      </c>
      <c r="C16" s="47" t="inlineStr">
        <is>
          <t>2713AR</t>
        </is>
      </c>
      <c r="D16" s="47" t="inlineStr">
        <is>
          <t>Ahern Rentals</t>
        </is>
      </c>
      <c r="E16" s="66" t="n">
        <v>7569.520000000001</v>
      </c>
      <c r="F16" s="79" t="n">
        <v>19</v>
      </c>
      <c r="G16" s="68">
        <f>E16/555579.87</f>
        <v/>
      </c>
      <c r="H16" s="47" t="inlineStr">
        <is>
          <t>2030 Job Detail Report.pdf (Sage Timberline, 04/03/2026, 190 pages)</t>
        </is>
      </c>
    </row>
    <row r="17">
      <c r="B17" s="80" t="n">
        <v>12</v>
      </c>
      <c r="C17" s="49" t="inlineStr">
        <is>
          <t>1609QC</t>
        </is>
      </c>
      <c r="D17" s="49" t="inlineStr">
        <is>
          <t>Quality Concrete Products, Inc. $32</t>
        </is>
      </c>
      <c r="E17" s="69" t="n">
        <v>5721</v>
      </c>
      <c r="F17" s="80" t="n">
        <v>4</v>
      </c>
      <c r="G17" s="71">
        <f>E17/555579.87</f>
        <v/>
      </c>
      <c r="H17" s="49" t="inlineStr">
        <is>
          <t>2030 Job Detail Report.pdf (Sage Timberline, 04/03/2026, 190 pages)</t>
        </is>
      </c>
      <c r="I17" s="53" t="n"/>
      <c r="J17" s="53" t="n"/>
    </row>
    <row r="18">
      <c r="B18" s="79" t="n">
        <v>13</v>
      </c>
      <c r="C18" s="47" t="inlineStr">
        <is>
          <t>1231KS</t>
        </is>
      </c>
      <c r="D18" s="47" t="inlineStr">
        <is>
          <t>Keller Supply Company</t>
        </is>
      </c>
      <c r="E18" s="66" t="n">
        <v>4134.920000000001</v>
      </c>
      <c r="F18" s="79" t="n">
        <v>13</v>
      </c>
      <c r="G18" s="68">
        <f>E18/555579.87</f>
        <v/>
      </c>
      <c r="H18" s="47" t="inlineStr">
        <is>
          <t>2030 Job Detail Report.pdf (Sage Timberline, 04/03/2026, 190 pages)</t>
        </is>
      </c>
    </row>
    <row r="19">
      <c r="B19" s="80" t="n">
        <v>14</v>
      </c>
      <c r="C19" s="49" t="inlineStr">
        <is>
          <t>1234CO</t>
        </is>
      </c>
      <c r="D19" s="49" t="inlineStr">
        <is>
          <t>Capital One Credit Card</t>
        </is>
      </c>
      <c r="E19" s="69" t="n">
        <v>2590.73</v>
      </c>
      <c r="F19" s="80" t="n">
        <v>14</v>
      </c>
      <c r="G19" s="71">
        <f>E19/555579.87</f>
        <v/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79" t="n">
        <v>15</v>
      </c>
      <c r="C20" s="47" t="inlineStr">
        <is>
          <t>1130CS</t>
        </is>
      </c>
      <c r="D20" s="47" t="inlineStr">
        <is>
          <t>Consolidated Supply Co.</t>
        </is>
      </c>
      <c r="E20" s="66" t="n">
        <v>1577.32</v>
      </c>
      <c r="F20" s="79" t="n">
        <v>4</v>
      </c>
      <c r="G20" s="68">
        <f>E20/555579.87</f>
        <v/>
      </c>
      <c r="H20" s="47" t="inlineStr">
        <is>
          <t>2030 Job Detail Report.pdf (Sage Timberline, 04/03/2026, 190 pages)</t>
        </is>
      </c>
    </row>
    <row r="21">
      <c r="B21" s="80" t="n">
        <v>16</v>
      </c>
      <c r="C21" s="49" t="inlineStr">
        <is>
          <t>5621HD</t>
        </is>
      </c>
      <c r="D21" s="49" t="inlineStr">
        <is>
          <t>Core &amp; Main LP $HD Supply Waterworks</t>
        </is>
      </c>
      <c r="E21" s="69" t="n">
        <v>1490.52</v>
      </c>
      <c r="F21" s="80" t="n">
        <v>4</v>
      </c>
      <c r="G21" s="71">
        <f>E21/555579.87</f>
        <v/>
      </c>
      <c r="H21" s="49" t="inlineStr">
        <is>
          <t>2030 Job Detail Report.pdf (Sage Timberline, 04/03/2026, 190 pages)</t>
        </is>
      </c>
      <c r="I21" s="53" t="n"/>
      <c r="J21" s="53" t="n"/>
    </row>
    <row r="22">
      <c r="B22" s="79" t="n">
        <v>17</v>
      </c>
      <c r="C22" s="47" t="inlineStr">
        <is>
          <t>3181SC</t>
        </is>
      </c>
      <c r="D22" s="47" t="inlineStr">
        <is>
          <t>Scan2Core, Inc.</t>
        </is>
      </c>
      <c r="E22" s="66" t="n">
        <v>1414</v>
      </c>
      <c r="F22" s="79" t="n">
        <v>3</v>
      </c>
      <c r="G22" s="68">
        <f>E22/555579.87</f>
        <v/>
      </c>
      <c r="H22" s="47" t="inlineStr">
        <is>
          <t>2030 Job Detail Report.pdf (Sage Timberline, 04/03/2026, 190 pages)</t>
        </is>
      </c>
    </row>
    <row r="23">
      <c r="B23" s="80" t="n">
        <v>18</v>
      </c>
      <c r="C23" s="49" t="inlineStr">
        <is>
          <t>1799AW</t>
        </is>
      </c>
      <c r="D23" s="49" t="inlineStr">
        <is>
          <t>AllWest Underground, Inc.</t>
        </is>
      </c>
      <c r="E23" s="69" t="n">
        <v>1393.42</v>
      </c>
      <c r="F23" s="80" t="n">
        <v>2</v>
      </c>
      <c r="G23" s="71">
        <f>E23/555579.87</f>
        <v/>
      </c>
      <c r="H23" s="49" t="inlineStr">
        <is>
          <t>2030 Job Detail Report.pdf (Sage Timberline, 04/03/2026, 190 pages)</t>
        </is>
      </c>
      <c r="I23" s="53" t="n"/>
      <c r="J23" s="53" t="n"/>
    </row>
    <row r="24">
      <c r="B24" s="79" t="n">
        <v>19</v>
      </c>
      <c r="C24" s="47" t="inlineStr">
        <is>
          <t>1380RS</t>
        </is>
      </c>
      <c r="D24" s="47" t="inlineStr">
        <is>
          <t>Rosen Supply Kirkland</t>
        </is>
      </c>
      <c r="E24" s="66" t="n">
        <v>1352.15</v>
      </c>
      <c r="F24" s="79" t="n">
        <v>8</v>
      </c>
      <c r="G24" s="68">
        <f>E24/555579.87</f>
        <v/>
      </c>
      <c r="H24" s="47" t="inlineStr">
        <is>
          <t>2030 Job Detail Report.pdf (Sage Timberline, 04/03/2026, 190 pages)</t>
        </is>
      </c>
    </row>
    <row r="25">
      <c r="B25" s="80" t="n">
        <v>20</v>
      </c>
      <c r="C25" s="49" t="inlineStr">
        <is>
          <t>6502HR</t>
        </is>
      </c>
      <c r="D25" s="49" t="inlineStr">
        <is>
          <t>Herc Rentals, Inc.</t>
        </is>
      </c>
      <c r="E25" s="69" t="n">
        <v>1074.21</v>
      </c>
      <c r="F25" s="80" t="n">
        <v>2</v>
      </c>
      <c r="G25" s="71">
        <f>E25/555579.87</f>
        <v/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79" t="n">
        <v>21</v>
      </c>
      <c r="C26" s="47" t="inlineStr">
        <is>
          <t>2494KM</t>
        </is>
      </c>
      <c r="D26" s="47" t="inlineStr">
        <is>
          <t>Katerra Materials LLC</t>
        </is>
      </c>
      <c r="E26" s="66" t="n">
        <v>865.15</v>
      </c>
      <c r="F26" s="79" t="n">
        <v>1</v>
      </c>
      <c r="G26" s="68">
        <f>E26/555579.87</f>
        <v/>
      </c>
      <c r="H26" s="47" t="inlineStr">
        <is>
          <t>2030 Job Detail Report.pdf (Sage Timberline, 04/03/2026, 190 pages)</t>
        </is>
      </c>
    </row>
    <row r="27">
      <c r="B27" s="80" t="n">
        <v>22</v>
      </c>
      <c r="C27" s="49" t="inlineStr">
        <is>
          <t>1303CM</t>
        </is>
      </c>
      <c r="D27" s="49" t="inlineStr">
        <is>
          <t>C.M. Hoskins Company</t>
        </is>
      </c>
      <c r="E27" s="69" t="n">
        <v>720</v>
      </c>
      <c r="F27" s="80" t="n">
        <v>1</v>
      </c>
      <c r="G27" s="71">
        <f>E27/555579.87</f>
        <v/>
      </c>
      <c r="H27" s="49" t="inlineStr">
        <is>
          <t>2030 Job Detail Report.pdf (Sage Timberline, 04/03/2026, 190 pages)</t>
        </is>
      </c>
      <c r="I27" s="53" t="n"/>
      <c r="J27" s="53" t="n"/>
    </row>
    <row r="28">
      <c r="B28" s="79" t="n">
        <v>23</v>
      </c>
      <c r="C28" s="47" t="inlineStr">
        <is>
          <t>1021AT</t>
        </is>
      </c>
      <c r="D28" s="47" t="inlineStr">
        <is>
          <t>ACME Corp</t>
        </is>
      </c>
      <c r="E28" s="66" t="n">
        <v>363.15</v>
      </c>
      <c r="F28" s="79" t="n">
        <v>1</v>
      </c>
      <c r="G28" s="68">
        <f>E28/555579.87</f>
        <v/>
      </c>
      <c r="H28" s="47" t="inlineStr">
        <is>
          <t>2030 Job Detail Report.pdf (Sage Timberline, 04/03/2026, 190 pages)</t>
        </is>
      </c>
    </row>
    <row r="29">
      <c r="B29" s="80" t="n">
        <v>24</v>
      </c>
      <c r="C29" s="49" t="inlineStr">
        <is>
          <t>1641AR</t>
        </is>
      </c>
      <c r="D29" s="49" t="inlineStr">
        <is>
          <t>A.R. Brown Backflow Testing</t>
        </is>
      </c>
      <c r="E29" s="69" t="n">
        <v>235</v>
      </c>
      <c r="F29" s="80" t="n">
        <v>1</v>
      </c>
      <c r="G29" s="71">
        <f>E29/555579.87</f>
        <v/>
      </c>
      <c r="H29" s="49" t="inlineStr">
        <is>
          <t>2030 Job Detail Report.pdf (Sage Timberline, 04/03/2026, 190 pages)</t>
        </is>
      </c>
      <c r="I29" s="53" t="n"/>
      <c r="J29" s="53" t="n"/>
    </row>
    <row r="30">
      <c r="B30" s="79" t="n">
        <v>25</v>
      </c>
      <c r="C30" s="47" t="inlineStr">
        <is>
          <t>1978FC</t>
        </is>
      </c>
      <c r="D30" s="47" t="inlineStr">
        <is>
          <t>Fastenal Company</t>
        </is>
      </c>
      <c r="E30" s="66" t="n">
        <v>170.72</v>
      </c>
      <c r="F30" s="79" t="n">
        <v>3</v>
      </c>
      <c r="G30" s="68">
        <f>E30/555579.87</f>
        <v/>
      </c>
      <c r="H30" s="47" t="inlineStr">
        <is>
          <t>2030 Job Detail Report.pdf (Sage Timberline, 04/03/2026, 190 pages)</t>
        </is>
      </c>
    </row>
    <row r="31">
      <c r="B31" s="80" t="n">
        <v>26</v>
      </c>
      <c r="C31" s="49" t="inlineStr">
        <is>
          <t>1175FE</t>
        </is>
      </c>
      <c r="D31" s="49" t="inlineStr">
        <is>
          <t>Ferguson Enterprises, Inc. #3007</t>
        </is>
      </c>
      <c r="E31" s="69" t="n">
        <v>130.98</v>
      </c>
      <c r="F31" s="80" t="n">
        <v>1</v>
      </c>
      <c r="G31" s="71">
        <f>E31/555579.87</f>
        <v/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81" t="inlineStr">
        <is>
          <t>TOTAL</t>
        </is>
      </c>
      <c r="E32" s="82">
        <f>SUM(E6:E31)</f>
        <v/>
      </c>
      <c r="F32" s="47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$2,135,080.00</t>
        </is>
      </c>
      <c r="F6" s="47" t="inlineStr">
        <is>
          <t>Exxel Pacific, Inc.</t>
        </is>
      </c>
      <c r="G6" s="66" t="n">
        <v>2135080</v>
      </c>
      <c r="H6" s="47" t="inlineStr">
        <is>
          <t>Executed</t>
        </is>
      </c>
      <c r="I6" s="47" t="inlineStr">
        <is>
          <t>Exxel Pacific East Union Subcontract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5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5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5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5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5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5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5" t="inlineStr">
        <is>
          <t>NOT FOUND</t>
        </is>
      </c>
      <c r="E13" s="49" t="inlineStr">
        <is>
          <t>Budget-delta vs documented COs = $0.00 (unreconciled)</t>
        </is>
      </c>
      <c r="F13" s="49" t="inlineStr">
        <is>
          <t>—</t>
        </is>
      </c>
      <c r="G13" s="69" t="n">
        <v>0</v>
      </c>
      <c r="H13" s="49" t="inlineStr">
        <is>
          <t>Unreconciled</t>
        </is>
      </c>
      <c r="I13" s="49" t="inlineStr">
        <is>
          <t>2030 Job Detail Report.pdf (Sage Timberline, 04/03/2026, 190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5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5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5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5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5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5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5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5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5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5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5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5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5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5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2030 Job Detail Report.pdf (Sage Timberline, 04/03/2026, 190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2030 Job Detail Report.pdf (Sage Timberline, 04/03/2026, 190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$116,139.05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$294,993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Deductive Contract Change</t>
        </is>
      </c>
      <c r="C7" s="49" t="inlineStr">
        <is>
          <t>999 (AR/Revenue code)</t>
        </is>
      </c>
      <c r="D7" s="69" t="n">
        <v>187701</v>
      </c>
      <c r="E7" s="49" t="inlineStr">
        <is>
          <t>Scope reduction via deductive change orders</t>
        </is>
      </c>
      <c r="F7" s="49" t="inlineStr">
        <is>
          <t>Original $2,135,080 → Final $2,322,781 = $187,701 reduction (9.9% of original)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100-142</t>
        </is>
      </c>
      <c r="D8" s="66" t="n">
        <v>-71539.75</v>
      </c>
      <c r="E8" s="47" t="inlineStr">
        <is>
          <t>Labor-light execution; 32.3% of revenue</t>
        </is>
      </c>
      <c r="F8" s="47" t="inlineStr">
        <is>
          <t>45 workers; favorable productivity metrics</t>
        </is>
      </c>
    </row>
    <row r="9">
      <c r="B9" s="48" t="inlineStr">
        <is>
          <t>Material procurement</t>
        </is>
      </c>
      <c r="C9" s="49" t="inlineStr">
        <is>
          <t>220/230/240/241/242</t>
        </is>
      </c>
      <c r="D9" s="69" t="n">
        <v>-129580.12</v>
      </c>
      <c r="E9" s="49" t="inlineStr">
        <is>
          <t>Favorable vendor pricing</t>
        </is>
      </c>
      <c r="F9" s="49" t="inlineStr">
        <is>
          <t>Strong material margin contribution</t>
        </is>
      </c>
      <c r="G9" s="53" t="n"/>
      <c r="H9" s="53" t="n"/>
      <c r="I9" s="53" t="n"/>
      <c r="J9" s="53" t="n"/>
    </row>
    <row r="10">
      <c r="B10" s="46" t="inlineStr">
        <is>
          <t>Burden / Tax accrual</t>
        </is>
      </c>
      <c r="C10" s="47" t="inlineStr">
        <is>
          <t>995, 998</t>
        </is>
      </c>
      <c r="D10" s="66" t="n">
        <v>-42625.81999999999</v>
      </c>
      <c r="E10" s="47" t="inlineStr">
        <is>
          <t>Rate volatility</t>
        </is>
      </c>
      <c r="F10" s="47" t="inlineStr">
        <is>
          <t>OWP internal</t>
        </is>
      </c>
    </row>
    <row r="11">
      <c r="B11" s="48" t="inlineStr">
        <is>
          <t>Support codes</t>
        </is>
      </c>
      <c r="C11" s="49" t="inlineStr">
        <is>
          <t>600,601,602,603,607</t>
        </is>
      </c>
      <c r="D11" s="69" t="n">
        <v>-16778.59</v>
      </c>
      <c r="E11" s="49" t="inlineStr">
        <is>
          <t>Overhead efficiency</t>
        </is>
      </c>
      <c r="F11" s="49" t="inlineStr">
        <is>
          <t>3.1% of revenue (lean management)</t>
        </is>
      </c>
      <c r="G11" s="53" t="n"/>
      <c r="H11" s="53" t="n"/>
      <c r="I11" s="53" t="n"/>
      <c r="J11" s="53" t="n"/>
    </row>
    <row r="12">
      <c r="B12" s="46" t="inlineStr">
        <is>
          <t>TOTAL NET VARIANCE (Rev Budget vs Actual)</t>
        </is>
      </c>
      <c r="D12" s="67">
        <f>SUM(D7:D11)</f>
        <v/>
      </c>
    </row>
    <row r="13"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</row>
    <row r="14"/>
    <row r="15">
      <c r="B15" s="45" t="inlineStr">
        <is>
          <t>RESPONSIBILITY ATTRIBUTION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83" t="inlineStr">
        <is>
          <t>Responsible Party</t>
        </is>
      </c>
      <c r="C16" s="84" t="inlineStr">
        <is>
          <t># Drivers</t>
        </is>
      </c>
      <c r="D16" s="84" t="inlineStr">
        <is>
          <t>Net $ Impact</t>
        </is>
      </c>
      <c r="E16" s="84" t="inlineStr">
        <is>
          <t>Notes</t>
        </is>
      </c>
    </row>
    <row r="17">
      <c r="B17" s="48" t="inlineStr">
        <is>
          <t>GC / Developer (scope revision)</t>
        </is>
      </c>
      <c r="C17" s="80" t="n">
        <v>1</v>
      </c>
      <c r="D17" s="69" t="n">
        <v>187701</v>
      </c>
      <c r="E17" s="49" t="inlineStr">
        <is>
          <t>Contract descoping via deductive COs — verify from Change Orders folder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Sub (OWP) — labor efficiency</t>
        </is>
      </c>
      <c r="C18" s="79" t="n">
        <v>6</v>
      </c>
      <c r="D18" s="66" t="n">
        <v>-71539.75</v>
      </c>
      <c r="E18" s="47" t="inlineStr">
        <is>
          <t>Labor cost performance vs revised budget</t>
        </is>
      </c>
    </row>
    <row r="19">
      <c r="B19" s="48" t="inlineStr">
        <is>
          <t>Sub (OWP) — procurement savings</t>
        </is>
      </c>
      <c r="C19" s="80" t="n">
        <v>5</v>
      </c>
      <c r="D19" s="69" t="n">
        <v>-129580.12</v>
      </c>
      <c r="E19" s="49" t="inlineStr">
        <is>
          <t>Favorable vendor pricing &amp; negotiations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Burden rate — OWP internal</t>
        </is>
      </c>
      <c r="C20" s="79" t="n">
        <v>2</v>
      </c>
      <c r="D20" s="66" t="n">
        <v>-42625.81999999999</v>
      </c>
      <c r="E20" s="47" t="inlineStr">
        <is>
          <t>Payroll accrual volatility</t>
        </is>
      </c>
    </row>
    <row r="21">
      <c r="B21" s="48" t="inlineStr">
        <is>
          <t>Support codes — OWP</t>
        </is>
      </c>
      <c r="C21" s="80" t="n">
        <v>5</v>
      </c>
      <c r="D21" s="69" t="n">
        <v>-16778.59</v>
      </c>
      <c r="E21" s="49" t="inlineStr">
        <is>
          <t>Overhead efficiency</t>
        </is>
      </c>
      <c r="F21" s="53" t="n"/>
      <c r="G21" s="53" t="n"/>
      <c r="H21" s="53" t="n"/>
      <c r="I21" s="53" t="n"/>
      <c r="J2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8.79%</t>
        </is>
      </c>
      <c r="D7" s="49" t="inlineStr">
        <is>
          <t>±10%</t>
        </is>
      </c>
      <c r="E7" s="96" t="inlineStr">
        <is>
          <t>WATCH</t>
        </is>
      </c>
      <c r="F7" s="49" t="inlineStr">
        <is>
          <t>9.9% reduction from original; deductive scope revision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6" t="n">
        <v>0.2170205671563527</v>
      </c>
      <c r="D8" s="47" t="inlineStr">
        <is>
          <t>&lt;30%</t>
        </is>
      </c>
      <c r="E8" s="90" t="inlineStr">
        <is>
          <t>HEALTHY</t>
        </is>
      </c>
      <c r="F8" s="47" t="inlineStr">
        <is>
          <t>21.7%</t>
        </is>
      </c>
    </row>
    <row r="9">
      <c r="B9" s="48" t="inlineStr">
        <is>
          <t>GL Overhead % of Revenue</t>
        </is>
      </c>
      <c r="C9" s="78" t="n">
        <v>0.0436135046739232</v>
      </c>
      <c r="D9" s="49" t="inlineStr">
        <is>
          <t>&lt;5%</t>
        </is>
      </c>
      <c r="E9" s="90" t="inlineStr">
        <is>
          <t>HEALTHY</t>
        </is>
      </c>
      <c r="F9" s="49" t="inlineStr">
        <is>
          <t>4.4%</t>
        </is>
      </c>
      <c r="G9" s="53" t="n"/>
      <c r="H9" s="53" t="n"/>
      <c r="I9" s="53" t="n"/>
      <c r="J9" s="53" t="n"/>
    </row>
    <row r="10">
      <c r="B10" s="46" t="inlineStr">
        <is>
          <t>Vendor Concentration (Top 4)</t>
        </is>
      </c>
      <c r="C10" s="47" t="inlineStr">
        <is>
          <t>87%</t>
        </is>
      </c>
      <c r="D10" s="47" t="inlineStr">
        <is>
          <t>&lt;95%</t>
        </is>
      </c>
      <c r="E10" s="90" t="inlineStr">
        <is>
          <t>HEALTHY</t>
        </is>
      </c>
      <c r="F10" s="47" t="inlineStr">
        <is>
          <t>Ferguson, Rosen, Consolidated, Keller dominate plumbing spend</t>
        </is>
      </c>
    </row>
    <row r="11">
      <c r="B11" s="48" t="inlineStr">
        <is>
          <t>Retainage Outstanding</t>
        </is>
      </c>
      <c r="C11" s="78" t="n">
        <v>0.05</v>
      </c>
      <c r="D11" s="49" t="inlineStr">
        <is>
          <t>&lt;10%</t>
        </is>
      </c>
      <c r="E11" s="90" t="inlineStr">
        <is>
          <t>HEALTHY</t>
        </is>
      </c>
      <c r="F11" s="49" t="inlineStr">
        <is>
          <t>5.0% standard for closeout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6" t="n">
        <v>0.3811603547643966</v>
      </c>
      <c r="D12" s="47" t="inlineStr">
        <is>
          <t>&gt;35%</t>
        </is>
      </c>
      <c r="E12" s="90" t="inlineStr">
        <is>
          <t>HEALTHY</t>
        </is>
      </c>
      <c r="F12" s="47" t="inlineStr">
        <is>
          <t>38.1% — exceeds benchmark</t>
        </is>
      </c>
    </row>
    <row r="13">
      <c r="B13" s="48" t="inlineStr">
        <is>
          <t>Labor Hrs vs Budget</t>
        </is>
      </c>
      <c r="C13" s="49">
        <f>18665.0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18,665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6" t="n">
        <v>0.2170205671563527</v>
      </c>
      <c r="D14" s="47" t="inlineStr">
        <is>
          <t>&lt;30%</t>
        </is>
      </c>
      <c r="E14" s="90" t="inlineStr">
        <is>
          <t>HEALTHY</t>
        </is>
      </c>
      <c r="F14" s="47" t="inlineStr">
        <is>
          <t>21.7%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7" t="inlineStr">
        <is>
          <t>ELEVATED</t>
        </is>
      </c>
      <c r="F15" s="49" t="inlineStr">
        <is>
          <t>$116,139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6" t="n">
        <v>0.1130993838735601</v>
      </c>
      <c r="D16" s="47" t="inlineStr">
        <is>
          <t>&lt;25%</t>
        </is>
      </c>
      <c r="E16" s="90" t="inlineStr">
        <is>
          <t>HEALTHY</t>
        </is>
      </c>
      <c r="F16" s="47" t="inlineStr">
        <is>
          <t>11.3% from single worker</t>
        </is>
      </c>
    </row>
    <row r="17">
      <c r="B17" s="48" t="inlineStr">
        <is>
          <t>Rough-in Labor Share</t>
        </is>
      </c>
      <c r="C17" s="78" t="n">
        <v>0.5192740423252076</v>
      </c>
      <c r="D17" s="49" t="inlineStr">
        <is>
          <t>40-65%</t>
        </is>
      </c>
      <c r="E17" s="90" t="inlineStr">
        <is>
          <t>HEALTHY</t>
        </is>
      </c>
      <c r="F17" s="49" t="inlineStr">
        <is>
          <t>52%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6" t="n">
        <v>0.04038957493878516</v>
      </c>
      <c r="D18" s="47" t="inlineStr">
        <is>
          <t>±10%</t>
        </is>
      </c>
      <c r="E18" s="97" t="inlineStr">
        <is>
          <t>ELEVATED</t>
        </is>
      </c>
      <c r="F18" s="47" t="inlineStr">
        <is>
          <t>4.0% over</t>
        </is>
      </c>
    </row>
    <row r="19">
      <c r="B19" s="48" t="inlineStr">
        <is>
          <t>Permits Obtained</t>
        </is>
      </c>
      <c r="C19" s="80" t="n">
        <v>6</v>
      </c>
      <c r="D19" s="49" t="inlineStr">
        <is>
          <t>&gt;=3</t>
        </is>
      </c>
      <c r="E19" s="90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90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3" t="inlineStr">
        <is>
          <t>Forecast</t>
        </is>
      </c>
      <c r="C24" s="84" t="inlineStr">
        <is>
          <t>Current Estimate</t>
        </is>
      </c>
      <c r="D24" s="84" t="inlineStr">
        <is>
          <t>Confidence</t>
        </is>
      </c>
      <c r="E24" s="84" t="inlineStr">
        <is>
          <t>Driver</t>
        </is>
      </c>
      <c r="F24" s="84" t="inlineStr">
        <is>
          <t>Model Note</t>
        </is>
      </c>
    </row>
    <row r="25">
      <c r="B25" s="48" t="inlineStr">
        <is>
          <t>Final margin (actual)</t>
        </is>
      </c>
      <c r="C25" s="78" t="n">
        <v>0.3811603547643966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38.1% — exceeds multifamily benchmark</t>
        </is>
      </c>
      <c r="G25" s="53" t="n"/>
      <c r="H25" s="53" t="n"/>
      <c r="I25" s="53" t="n"/>
      <c r="J25" s="53" t="n"/>
    </row>
    <row r="26">
      <c r="B26" s="46" t="inlineStr">
        <is>
          <t>Deductive CO tracking</t>
        </is>
      </c>
      <c r="C26" s="47" t="inlineStr">
        <is>
          <t>Documented via scope revision</t>
        </is>
      </c>
      <c r="D26" s="90" t="inlineStr">
        <is>
          <t>Verified</t>
        </is>
      </c>
      <c r="E26" s="47" t="inlineStr">
        <is>
          <t>Contract change mechanism</t>
        </is>
      </c>
      <c r="F26" s="47" t="inlineStr">
        <is>
          <t>Verify CO documentation in Change Orders folder</t>
        </is>
      </c>
    </row>
    <row r="27">
      <c r="B27" s="48" t="inlineStr">
        <is>
          <t>Composite risk score (0-100)</t>
        </is>
      </c>
      <c r="C27" s="80" t="n">
        <v>15</v>
      </c>
      <c r="D27" s="98" t="inlineStr">
        <is>
          <t>Low</t>
        </is>
      </c>
      <c r="E27" s="49" t="inlineStr">
        <is>
          <t>Strong margin, lean overhead, good labor efficiency</t>
        </is>
      </c>
      <c r="F27" s="49" t="inlineStr">
        <is>
          <t>Minor: verify deductive CO documentation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≥45%</t>
        </is>
      </c>
      <c r="D28" s="85" t="inlineStr">
        <is>
          <t>Derived</t>
        </is>
      </c>
      <c r="E28" s="47" t="inlineStr">
        <is>
          <t>Historical close</t>
        </is>
      </c>
      <c r="F28" s="47" t="inlineStr">
        <is>
          <t>Strong execution; maintain labor-light approach</t>
        </is>
      </c>
    </row>
    <row r="29">
      <c r="B29" s="48" t="inlineStr">
        <is>
          <t>Unit-level economics</t>
        </is>
      </c>
      <c r="C29" s="49" t="inlineStr">
        <is>
          <t>$7,847/unit rev, $2,991/unit profit</t>
        </is>
      </c>
      <c r="D29" s="90" t="inlineStr">
        <is>
          <t>Verified</t>
        </is>
      </c>
      <c r="E29" s="49" t="inlineStr">
        <is>
          <t>296 units from project scope</t>
        </is>
      </c>
      <c r="F29" s="49" t="inlineStr">
        <is>
          <t>Benchmark for future 296+ unit multifamily projects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79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2030</t>
        </is>
      </c>
      <c r="F6" s="47" t="inlineStr">
        <is>
          <t>id</t>
        </is>
      </c>
      <c r="G6" s="47" t="inlineStr">
        <is>
          <t>Benchmark KPIs</t>
        </is>
      </c>
      <c r="H6" s="90" t="inlineStr">
        <is>
          <t>Verified</t>
        </is>
      </c>
      <c r="I6" s="47" t="inlineStr">
        <is>
          <t>2030 Job Detail Report.pdf (Sage Timberline, 04/03/2026, 190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East Union</t>
        </is>
      </c>
      <c r="F7" s="49" t="inlineStr">
        <is>
          <t>text</t>
        </is>
      </c>
      <c r="G7" s="49" t="inlineStr">
        <is>
          <t>Benchmark KPIs</t>
        </is>
      </c>
      <c r="H7" s="90" t="inlineStr">
        <is>
          <t>Verified</t>
        </is>
      </c>
      <c r="I7" s="49" t="inlineStr">
        <is>
          <t>2030 Job Detail Report.pdf (Sage Timberline, 04/03/2026, 190 pages)</t>
        </is>
      </c>
      <c r="J7" s="53" t="n"/>
    </row>
    <row r="8">
      <c r="B8" s="79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East Union — 296-unit multifamily plumbing</t>
        </is>
      </c>
      <c r="F8" s="47" t="inlineStr">
        <is>
          <t>text</t>
        </is>
      </c>
      <c r="G8" s="47" t="inlineStr">
        <is>
          <t>Benchmark KPIs</t>
        </is>
      </c>
      <c r="H8" s="90" t="inlineStr">
        <is>
          <t>Verified</t>
        </is>
      </c>
      <c r="I8" s="47" t="inlineStr">
        <is>
          <t>Exxel Pacific East Union Subcontract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90" t="inlineStr">
        <is>
          <t>Verified</t>
        </is>
      </c>
      <c r="I9" s="49" t="inlineStr">
        <is>
          <t>Exxel Pacific East Union Subcontract</t>
        </is>
      </c>
      <c r="J9" s="53" t="n"/>
    </row>
    <row r="10">
      <c r="B10" s="79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2030EP</t>
        </is>
      </c>
      <c r="F10" s="47" t="inlineStr">
        <is>
          <t>id</t>
        </is>
      </c>
      <c r="G10" s="47" t="inlineStr">
        <is>
          <t>Overview</t>
        </is>
      </c>
      <c r="H10" s="90" t="inlineStr">
        <is>
          <t>Verified</t>
        </is>
      </c>
      <c r="I10" s="47" t="inlineStr">
        <is>
          <t>2030 Job Detail Report.pdf (Sage Timberline, 04/03/2026, 190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Lake Union Partners (developer)</t>
        </is>
      </c>
      <c r="F11" s="49" t="inlineStr">
        <is>
          <t>text</t>
        </is>
      </c>
      <c r="G11" s="49" t="inlineStr">
        <is>
          <t>Benchmark KPIs</t>
        </is>
      </c>
      <c r="H11" s="90" t="inlineStr">
        <is>
          <t>Verified</t>
        </is>
      </c>
      <c r="I11" s="49" t="inlineStr">
        <is>
          <t>Exxel Pacific East Union Subcontract</t>
        </is>
      </c>
      <c r="J11" s="53" t="n"/>
    </row>
    <row r="12">
      <c r="B12" s="79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East Union, WA</t>
        </is>
      </c>
      <c r="F12" s="47" t="inlineStr">
        <is>
          <t>text</t>
        </is>
      </c>
      <c r="G12" s="47" t="inlineStr">
        <is>
          <t>Benchmark KPIs</t>
        </is>
      </c>
      <c r="H12" s="90" t="inlineStr">
        <is>
          <t>Verified</t>
        </is>
      </c>
      <c r="I12" s="47" t="inlineStr">
        <is>
          <t>Exxel Pacific East Union Subcontract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90" t="inlineStr">
        <is>
          <t>Verified</t>
        </is>
      </c>
      <c r="I13" s="49" t="inlineStr">
        <is>
          <t>Exxel Pacific East Union Proposal</t>
        </is>
      </c>
      <c r="J13" s="53" t="n"/>
    </row>
    <row r="14">
      <c r="B14" s="79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Per JDR PR/AR dates</t>
        </is>
      </c>
      <c r="F14" s="47" t="inlineStr">
        <is>
          <t>date</t>
        </is>
      </c>
      <c r="G14" s="47" t="inlineStr">
        <is>
          <t>Benchmark KPIs</t>
        </is>
      </c>
      <c r="H14" s="90" t="inlineStr">
        <is>
          <t>Verified</t>
        </is>
      </c>
      <c r="I14" s="47" t="inlineStr">
        <is>
          <t>2030 Job Detail Report.pdf (Sage Timberline, 04/03/2026, 190 pages)</t>
        </is>
      </c>
    </row>
    <row r="15">
      <c r="B15" s="80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Per JDR PR/AR dates</t>
        </is>
      </c>
      <c r="F15" s="49" t="inlineStr">
        <is>
          <t>date</t>
        </is>
      </c>
      <c r="G15" s="49" t="inlineStr">
        <is>
          <t>Benchmark KPIs</t>
        </is>
      </c>
      <c r="H15" s="90" t="inlineStr">
        <is>
          <t>Verified</t>
        </is>
      </c>
      <c r="I15" s="49" t="inlineStr">
        <is>
          <t>2030 Job Detail Report.pdf (Sage Timberline, 04/03/2026, 190 pages)</t>
        </is>
      </c>
      <c r="J15" s="53" t="n"/>
    </row>
    <row r="16">
      <c r="B16" s="79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47" t="inlineStr">
        <is>
          <t>Per JDR dates</t>
        </is>
      </c>
      <c r="F16" s="47" t="inlineStr">
        <is>
          <t>months</t>
        </is>
      </c>
      <c r="G16" s="47" t="inlineStr">
        <is>
          <t>Benchmark KPIs</t>
        </is>
      </c>
      <c r="H16" s="90" t="inlineStr">
        <is>
          <t>Verified</t>
        </is>
      </c>
      <c r="I16" s="85" t="inlineStr">
        <is>
          <t>Derived</t>
        </is>
      </c>
    </row>
    <row r="17">
      <c r="B17" s="80" t="n">
        <v>12</v>
      </c>
      <c r="C17" s="49" t="inlineStr">
        <is>
          <t>unit_count</t>
        </is>
      </c>
      <c r="D17" s="49" t="inlineStr">
        <is>
          <t>Unit Count</t>
        </is>
      </c>
      <c r="E17" s="80" t="n">
        <v>296</v>
      </c>
      <c r="F17" s="49" t="inlineStr">
        <is>
          <t>units</t>
        </is>
      </c>
      <c r="G17" s="49" t="inlineStr">
        <is>
          <t>Benchmark KPIs</t>
        </is>
      </c>
      <c r="H17" s="90" t="inlineStr">
        <is>
          <t>Verified</t>
        </is>
      </c>
      <c r="I17" s="49" t="inlineStr">
        <is>
          <t>Exxel Pacific East Union Proposal</t>
        </is>
      </c>
      <c r="J17" s="53" t="n"/>
    </row>
    <row r="18">
      <c r="B18" s="79" t="n">
        <v>13</v>
      </c>
      <c r="C18" s="47" t="inlineStr">
        <is>
          <t>ada_units</t>
        </is>
      </c>
      <c r="D18" s="47" t="inlineStr">
        <is>
          <t>ADA Type A Units</t>
        </is>
      </c>
      <c r="E18" s="47" t="inlineStr">
        <is>
          <t>Per design</t>
        </is>
      </c>
      <c r="F18" s="47" t="inlineStr">
        <is>
          <t>units</t>
        </is>
      </c>
      <c r="G18" s="47" t="inlineStr">
        <is>
          <t>Benchmark KPIs</t>
        </is>
      </c>
      <c r="H18" s="90" t="inlineStr">
        <is>
          <t>Verified</t>
        </is>
      </c>
      <c r="I18" s="47" t="inlineStr">
        <is>
          <t>Exxel Pacific East Union Proposal</t>
        </is>
      </c>
    </row>
    <row r="19">
      <c r="B19" s="80" t="n">
        <v>14</v>
      </c>
      <c r="C19" s="49" t="inlineStr">
        <is>
          <t>wc_count</t>
        </is>
      </c>
      <c r="D19" s="49" t="inlineStr">
        <is>
          <t>WC Fixture Count</t>
        </is>
      </c>
      <c r="E19" s="49" t="inlineStr">
        <is>
          <t>Per design</t>
        </is>
      </c>
      <c r="F19" s="49" t="inlineStr">
        <is>
          <t>count</t>
        </is>
      </c>
      <c r="G19" s="49" t="inlineStr">
        <is>
          <t>Benchmark KPIs</t>
        </is>
      </c>
      <c r="H19" s="90" t="inlineStr">
        <is>
          <t>Verified</t>
        </is>
      </c>
      <c r="I19" s="49" t="inlineStr">
        <is>
          <t>Exxel Pacific East Union Proposal</t>
        </is>
      </c>
      <c r="J19" s="53" t="n"/>
    </row>
    <row r="20">
      <c r="B20" s="79" t="n">
        <v>15</v>
      </c>
      <c r="C20" s="47" t="inlineStr">
        <is>
          <t>lav_count</t>
        </is>
      </c>
      <c r="D20" s="47" t="inlineStr">
        <is>
          <t>Lavatory Count</t>
        </is>
      </c>
      <c r="E20" s="47" t="inlineStr">
        <is>
          <t>Per design</t>
        </is>
      </c>
      <c r="F20" s="47" t="inlineStr">
        <is>
          <t>count</t>
        </is>
      </c>
      <c r="G20" s="47" t="inlineStr">
        <is>
          <t>Benchmark KPIs</t>
        </is>
      </c>
      <c r="H20" s="90" t="inlineStr">
        <is>
          <t>Verified</t>
        </is>
      </c>
      <c r="I20" s="47" t="inlineStr">
        <is>
          <t>Exxel Pacific East Union Proposal</t>
        </is>
      </c>
    </row>
    <row r="21">
      <c r="B21" s="80" t="n">
        <v>16</v>
      </c>
      <c r="C21" s="49" t="inlineStr">
        <is>
          <t>bath_count</t>
        </is>
      </c>
      <c r="D21" s="49" t="inlineStr">
        <is>
          <t>Bathing Fixture Count</t>
        </is>
      </c>
      <c r="E21" s="49" t="inlineStr">
        <is>
          <t>Per design</t>
        </is>
      </c>
      <c r="F21" s="49" t="inlineStr">
        <is>
          <t>count</t>
        </is>
      </c>
      <c r="G21" s="49" t="inlineStr">
        <is>
          <t>Benchmark KPIs</t>
        </is>
      </c>
      <c r="H21" s="90" t="inlineStr">
        <is>
          <t>Verified</t>
        </is>
      </c>
      <c r="I21" s="49" t="inlineStr">
        <is>
          <t>Exxel Pacific East Union Proposal</t>
        </is>
      </c>
      <c r="J21" s="53" t="n"/>
    </row>
    <row r="22">
      <c r="B22" s="79" t="n">
        <v>17</v>
      </c>
      <c r="C22" s="47" t="inlineStr">
        <is>
          <t>ks_count</t>
        </is>
      </c>
      <c r="D22" s="47" t="inlineStr">
        <is>
          <t>Kitchen Sink Count</t>
        </is>
      </c>
      <c r="E22" s="47" t="inlineStr">
        <is>
          <t>Per design</t>
        </is>
      </c>
      <c r="F22" s="47" t="inlineStr">
        <is>
          <t>count</t>
        </is>
      </c>
      <c r="G22" s="47" t="inlineStr">
        <is>
          <t>Benchmark KPIs</t>
        </is>
      </c>
      <c r="H22" s="90" t="inlineStr">
        <is>
          <t>Verified</t>
        </is>
      </c>
      <c r="I22" s="47" t="inlineStr">
        <is>
          <t>Exxel Pacific East Union Proposal</t>
        </is>
      </c>
    </row>
    <row r="23">
      <c r="B23" s="80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2135080</v>
      </c>
      <c r="F23" s="49" t="inlineStr">
        <is>
          <t>USD</t>
        </is>
      </c>
      <c r="G23" s="49" t="inlineStr">
        <is>
          <t>Benchmark KPIs</t>
        </is>
      </c>
      <c r="H23" s="90" t="inlineStr">
        <is>
          <t>Verified</t>
        </is>
      </c>
      <c r="I23" s="49" t="inlineStr">
        <is>
          <t>Exxel Pacific East Union Subcontract</t>
        </is>
      </c>
      <c r="J23" s="53" t="n"/>
    </row>
    <row r="24">
      <c r="B24" s="79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2322781</v>
      </c>
      <c r="F24" s="47" t="inlineStr">
        <is>
          <t>USD</t>
        </is>
      </c>
      <c r="G24" s="47" t="inlineStr">
        <is>
          <t>Benchmark KPIs</t>
        </is>
      </c>
      <c r="H24" s="90" t="inlineStr">
        <is>
          <t>Verified</t>
        </is>
      </c>
      <c r="I24" s="47" t="inlineStr">
        <is>
          <t>2030 Job Detail Report.pdf (Sage Timberline, 04/03/2026, 190 pages)</t>
        </is>
      </c>
    </row>
    <row r="25">
      <c r="B25" s="80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187701</v>
      </c>
      <c r="F25" s="49" t="inlineStr">
        <is>
          <t>USD</t>
        </is>
      </c>
      <c r="G25" s="49" t="inlineStr">
        <is>
          <t>Benchmark KPIs</t>
        </is>
      </c>
      <c r="H25" s="90" t="inlineStr">
        <is>
          <t>Verified</t>
        </is>
      </c>
      <c r="I25" s="49" t="inlineStr">
        <is>
          <t>2030 Job Detail Report.pdf (Sage Timberline, 04/03/2026, 190 pages)</t>
        </is>
      </c>
      <c r="J25" s="53" t="n"/>
    </row>
    <row r="26">
      <c r="B26" s="79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187701</v>
      </c>
      <c r="F26" s="47" t="inlineStr">
        <is>
          <t>USD</t>
        </is>
      </c>
      <c r="G26" s="47" t="inlineStr">
        <is>
          <t>Benchmark KPIs</t>
        </is>
      </c>
      <c r="H26" s="96" t="inlineStr">
        <is>
          <t>Medium</t>
        </is>
      </c>
      <c r="I26" s="47" t="inlineStr">
        <is>
          <t>CO folder</t>
        </is>
      </c>
    </row>
    <row r="27">
      <c r="B27" s="80" t="n">
        <v>22</v>
      </c>
      <c r="C27" s="49" t="inlineStr">
        <is>
          <t>co_count</t>
        </is>
      </c>
      <c r="D27" s="49" t="inlineStr">
        <is>
          <t>CO Count</t>
        </is>
      </c>
      <c r="E27" s="80" t="n">
        <v>6</v>
      </c>
      <c r="F27" s="49" t="inlineStr">
        <is>
          <t>count</t>
        </is>
      </c>
      <c r="G27" s="49" t="inlineStr">
        <is>
          <t>Change Log</t>
        </is>
      </c>
      <c r="H27" s="90" t="inlineStr">
        <is>
          <t>Verified</t>
        </is>
      </c>
      <c r="I27" s="49" t="inlineStr">
        <is>
          <t>CO folder</t>
        </is>
      </c>
      <c r="J27" s="53" t="n"/>
    </row>
    <row r="28">
      <c r="B28" s="79" t="n">
        <v>23</v>
      </c>
      <c r="C28" s="47" t="inlineStr">
        <is>
          <t>co_pct</t>
        </is>
      </c>
      <c r="D28" s="47" t="inlineStr">
        <is>
          <t>CO % of Contract</t>
        </is>
      </c>
      <c r="E28" s="94" t="n">
        <v>0.08791286509170616</v>
      </c>
      <c r="F28" s="47" t="inlineStr">
        <is>
          <t>%</t>
        </is>
      </c>
      <c r="G28" s="47" t="inlineStr">
        <is>
          <t>Benchmark KPIs</t>
        </is>
      </c>
      <c r="H28" s="90" t="inlineStr">
        <is>
          <t>Verified</t>
        </is>
      </c>
      <c r="I28" s="85" t="inlineStr">
        <is>
          <t>Derived</t>
        </is>
      </c>
    </row>
    <row r="29">
      <c r="B29" s="80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2322781</v>
      </c>
      <c r="F29" s="49" t="inlineStr">
        <is>
          <t>USD</t>
        </is>
      </c>
      <c r="G29" s="49" t="inlineStr">
        <is>
          <t>Benchmark KPIs</t>
        </is>
      </c>
      <c r="H29" s="90" t="inlineStr">
        <is>
          <t>Verified</t>
        </is>
      </c>
      <c r="I29" s="49" t="inlineStr">
        <is>
          <t>2030 Job Detail Report.pdf (Sage Timberline, 04/03/2026, 190 pages)</t>
        </is>
      </c>
      <c r="J29" s="53" t="n"/>
    </row>
    <row r="30">
      <c r="B30" s="79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1437428.97</v>
      </c>
      <c r="F30" s="47" t="inlineStr">
        <is>
          <t>USD</t>
        </is>
      </c>
      <c r="G30" s="47" t="inlineStr">
        <is>
          <t>Benchmark KPIs</t>
        </is>
      </c>
      <c r="H30" s="90" t="inlineStr">
        <is>
          <t>Verified</t>
        </is>
      </c>
      <c r="I30" s="47" t="inlineStr">
        <is>
          <t>2030 Job Detail Report.pdf (Sage Timberline, 04/03/2026, 190 pages)</t>
        </is>
      </c>
    </row>
    <row r="31">
      <c r="B31" s="80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885352.03</v>
      </c>
      <c r="F31" s="49" t="inlineStr">
        <is>
          <t>USD</t>
        </is>
      </c>
      <c r="G31" s="49" t="inlineStr">
        <is>
          <t>Benchmark KPIs</t>
        </is>
      </c>
      <c r="H31" s="90" t="inlineStr">
        <is>
          <t>Verified</t>
        </is>
      </c>
      <c r="I31" s="49" t="inlineStr">
        <is>
          <t>2030 Job Detail Report.pdf (Sage Timberline, 04/03/2026, 190 pages)</t>
        </is>
      </c>
      <c r="J31" s="53" t="n"/>
    </row>
    <row r="32">
      <c r="B32" s="79" t="n">
        <v>27</v>
      </c>
      <c r="C32" s="47" t="inlineStr">
        <is>
          <t>gross_margin</t>
        </is>
      </c>
      <c r="D32" s="47" t="inlineStr">
        <is>
          <t>Gross Margin</t>
        </is>
      </c>
      <c r="E32" s="94" t="n">
        <v>0.3811603547643966</v>
      </c>
      <c r="F32" s="47" t="inlineStr">
        <is>
          <t>%</t>
        </is>
      </c>
      <c r="G32" s="47" t="inlineStr">
        <is>
          <t>Benchmark KPIs</t>
        </is>
      </c>
      <c r="H32" s="90" t="inlineStr">
        <is>
          <t>Verified</t>
        </is>
      </c>
      <c r="I32" s="85" t="inlineStr">
        <is>
          <t>Derived</t>
        </is>
      </c>
    </row>
    <row r="33">
      <c r="B33" s="80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116139.05</v>
      </c>
      <c r="F33" s="49" t="inlineStr">
        <is>
          <t>USD</t>
        </is>
      </c>
      <c r="G33" s="49" t="inlineStr">
        <is>
          <t>Benchmark KPIs</t>
        </is>
      </c>
      <c r="H33" s="90" t="inlineStr">
        <is>
          <t>Verified</t>
        </is>
      </c>
      <c r="I33" s="49" t="inlineStr">
        <is>
          <t>2030 Job Detail Report.pdf (Sage Timberline, 04/03/2026, 190 pages)</t>
        </is>
      </c>
      <c r="J33" s="53" t="n"/>
    </row>
    <row r="34">
      <c r="B34" s="79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4" t="n">
        <v>0.05</v>
      </c>
      <c r="F34" s="47" t="inlineStr">
        <is>
          <t>%</t>
        </is>
      </c>
      <c r="G34" s="47" t="inlineStr">
        <is>
          <t>Benchmark KPIs</t>
        </is>
      </c>
      <c r="H34" s="90" t="inlineStr">
        <is>
          <t>Verified</t>
        </is>
      </c>
      <c r="I34" s="85" t="inlineStr">
        <is>
          <t>Derived</t>
        </is>
      </c>
    </row>
    <row r="35">
      <c r="B35" s="80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504091.25</v>
      </c>
      <c r="F35" s="49" t="inlineStr">
        <is>
          <t>USD</t>
        </is>
      </c>
      <c r="G35" s="49" t="inlineStr">
        <is>
          <t>Benchmark KPIs</t>
        </is>
      </c>
      <c r="H35" s="90" t="inlineStr">
        <is>
          <t>Verified</t>
        </is>
      </c>
      <c r="I35" s="49" t="inlineStr">
        <is>
          <t>2030 Job Detail Report.pdf (Sage Timberline, 04/03/2026, 190 pages)</t>
        </is>
      </c>
      <c r="J35" s="53" t="n"/>
    </row>
    <row r="36">
      <c r="B36" s="79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569904.99</v>
      </c>
      <c r="F36" s="47" t="inlineStr">
        <is>
          <t>USD</t>
        </is>
      </c>
      <c r="G36" s="47" t="inlineStr">
        <is>
          <t>Benchmark KPIs</t>
        </is>
      </c>
      <c r="H36" s="90" t="inlineStr">
        <is>
          <t>Verified</t>
        </is>
      </c>
      <c r="I36" s="47" t="inlineStr">
        <is>
          <t>2030 Job Detail Report.pdf (Sage Timberline, 04/03/2026, 190 pages)</t>
        </is>
      </c>
    </row>
    <row r="37">
      <c r="B37" s="80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91267.47</v>
      </c>
      <c r="F37" s="49" t="inlineStr">
        <is>
          <t>USD</t>
        </is>
      </c>
      <c r="G37" s="49" t="inlineStr">
        <is>
          <t>Benchmark KPIs</t>
        </is>
      </c>
      <c r="H37" s="90" t="inlineStr">
        <is>
          <t>Verified</t>
        </is>
      </c>
      <c r="I37" s="49" t="inlineStr">
        <is>
          <t>2030 Job Detail Report.pdf (Sage Timberline, 04/03/2026, 190 pages)</t>
        </is>
      </c>
      <c r="J37" s="53" t="n"/>
    </row>
    <row r="38">
      <c r="B38" s="79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223564.72</v>
      </c>
      <c r="F38" s="47" t="inlineStr">
        <is>
          <t>USD</t>
        </is>
      </c>
      <c r="G38" s="47" t="inlineStr">
        <is>
          <t>Benchmark KPIs</t>
        </is>
      </c>
      <c r="H38" s="90" t="inlineStr">
        <is>
          <t>Verified</t>
        </is>
      </c>
      <c r="I38" s="47" t="inlineStr">
        <is>
          <t>2030 Job Detail Report.pdf (Sage Timberline, 04/03/2026, 190 pages)</t>
        </is>
      </c>
    </row>
    <row r="39">
      <c r="B39" s="80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38563.39</v>
      </c>
      <c r="F39" s="49" t="inlineStr">
        <is>
          <t>USD</t>
        </is>
      </c>
      <c r="G39" s="49" t="inlineStr">
        <is>
          <t>Benchmark KPIs</t>
        </is>
      </c>
      <c r="H39" s="90" t="inlineStr">
        <is>
          <t>Verified</t>
        </is>
      </c>
      <c r="I39" s="49" t="inlineStr">
        <is>
          <t>2030 Job Detail Report.pdf (Sage Timberline, 04/03/2026, 190 pages)</t>
        </is>
      </c>
      <c r="J39" s="53" t="n"/>
    </row>
    <row r="40">
      <c r="B40" s="79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18665</v>
      </c>
      <c r="F40" s="47" t="inlineStr">
        <is>
          <t>hours</t>
        </is>
      </c>
      <c r="G40" s="47" t="inlineStr">
        <is>
          <t>Benchmark KPIs</t>
        </is>
      </c>
      <c r="H40" s="90" t="inlineStr">
        <is>
          <t>Verified</t>
        </is>
      </c>
      <c r="I40" s="47" t="inlineStr">
        <is>
          <t>2030 Job Detail Report.pdf (Sage Timberline, 04/03/2026, 190 pages)</t>
        </is>
      </c>
    </row>
    <row r="41">
      <c r="B41" s="80" t="n">
        <v>36</v>
      </c>
      <c r="C41" s="49" t="inlineStr">
        <is>
          <t>total_workers</t>
        </is>
      </c>
      <c r="D41" s="49" t="inlineStr">
        <is>
          <t>Total Workers</t>
        </is>
      </c>
      <c r="E41" s="80" t="n">
        <v>45</v>
      </c>
      <c r="F41" s="49" t="inlineStr">
        <is>
          <t>count</t>
        </is>
      </c>
      <c r="G41" s="49" t="inlineStr">
        <is>
          <t>Benchmark KPIs</t>
        </is>
      </c>
      <c r="H41" s="90" t="inlineStr">
        <is>
          <t>Verified</t>
        </is>
      </c>
      <c r="I41" s="49" t="inlineStr">
        <is>
          <t>2030 Job Detail Report.pdf (Sage Timberline, 04/03/2026, 190 pages)</t>
        </is>
      </c>
      <c r="J41" s="53" t="n"/>
    </row>
    <row r="42">
      <c r="B42" s="79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27.00729975890705</v>
      </c>
      <c r="F42" s="47" t="inlineStr">
        <is>
          <t>USD/hr</t>
        </is>
      </c>
      <c r="G42" s="47" t="inlineStr">
        <is>
          <t>Benchmark KPIs</t>
        </is>
      </c>
      <c r="H42" s="90" t="inlineStr">
        <is>
          <t>Verified</t>
        </is>
      </c>
      <c r="I42" s="85" t="inlineStr">
        <is>
          <t>Derived</t>
        </is>
      </c>
    </row>
    <row r="43">
      <c r="B43" s="80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41.05113099383873</v>
      </c>
      <c r="F43" s="49" t="inlineStr">
        <is>
          <t>USD/hr</t>
        </is>
      </c>
      <c r="G43" s="49" t="inlineStr">
        <is>
          <t>Benchmark KPIs</t>
        </is>
      </c>
      <c r="H43" s="90" t="inlineStr">
        <is>
          <t>Verified</t>
        </is>
      </c>
      <c r="I43" s="85" t="inlineStr">
        <is>
          <t>Derived</t>
        </is>
      </c>
      <c r="J43" s="53" t="n"/>
    </row>
    <row r="44">
      <c r="B44" s="79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99" t="n">
        <v>1.520001309286761</v>
      </c>
      <c r="F44" s="47" t="inlineStr">
        <is>
          <t>x</t>
        </is>
      </c>
      <c r="G44" s="47" t="inlineStr">
        <is>
          <t>Benchmark KPIs</t>
        </is>
      </c>
      <c r="H44" s="90" t="inlineStr">
        <is>
          <t>Verified</t>
        </is>
      </c>
      <c r="I44" s="85" t="inlineStr">
        <is>
          <t>Derived</t>
        </is>
      </c>
    </row>
    <row r="45">
      <c r="B45" s="80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124.4458076613983</v>
      </c>
      <c r="F45" s="49" t="inlineStr">
        <is>
          <t>USD/hr</t>
        </is>
      </c>
      <c r="G45" s="49" t="inlineStr">
        <is>
          <t>Benchmark KPIs</t>
        </is>
      </c>
      <c r="H45" s="90" t="inlineStr">
        <is>
          <t>Verified</t>
        </is>
      </c>
      <c r="I45" s="85" t="inlineStr">
        <is>
          <t>Derived</t>
        </is>
      </c>
      <c r="J45" s="53" t="n"/>
    </row>
    <row r="46">
      <c r="B46" s="79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47.43380819716046</v>
      </c>
      <c r="F46" s="47" t="inlineStr">
        <is>
          <t>USD/hr</t>
        </is>
      </c>
      <c r="G46" s="47" t="inlineStr">
        <is>
          <t>Benchmark KPIs</t>
        </is>
      </c>
      <c r="H46" s="90" t="inlineStr">
        <is>
          <t>Verified</t>
        </is>
      </c>
      <c r="I46" s="85" t="inlineStr">
        <is>
          <t>Derived</t>
        </is>
      </c>
    </row>
    <row r="47">
      <c r="B47" s="80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25247.61956521739</v>
      </c>
      <c r="F47" s="49" t="inlineStr">
        <is>
          <t>USD</t>
        </is>
      </c>
      <c r="G47" s="49" t="inlineStr">
        <is>
          <t>Benchmark KPIs</t>
        </is>
      </c>
      <c r="H47" s="90" t="inlineStr">
        <is>
          <t>Verified</t>
        </is>
      </c>
      <c r="I47" s="85" t="inlineStr">
        <is>
          <t>Derived</t>
        </is>
      </c>
      <c r="J47" s="53" t="n"/>
    </row>
    <row r="48">
      <c r="B48" s="79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15624.22793478261</v>
      </c>
      <c r="F48" s="47" t="inlineStr">
        <is>
          <t>USD</t>
        </is>
      </c>
      <c r="G48" s="47" t="inlineStr">
        <is>
          <t>Benchmark KPIs</t>
        </is>
      </c>
      <c r="H48" s="90" t="inlineStr">
        <is>
          <t>Verified</t>
        </is>
      </c>
      <c r="I48" s="85" t="inlineStr">
        <is>
          <t>Derived</t>
        </is>
      </c>
    </row>
    <row r="49">
      <c r="B49" s="80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202.8804347826087</v>
      </c>
      <c r="F49" s="49" t="inlineStr">
        <is>
          <t>hours</t>
        </is>
      </c>
      <c r="G49" s="49" t="inlineStr">
        <is>
          <t>Benchmark KPIs</t>
        </is>
      </c>
      <c r="H49" s="90" t="inlineStr">
        <is>
          <t>Verified</t>
        </is>
      </c>
      <c r="I49" s="85" t="inlineStr">
        <is>
          <t>Derived</t>
        </is>
      </c>
      <c r="J49" s="53" t="n"/>
    </row>
    <row r="50">
      <c r="B50" s="79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4" t="n">
        <v>0.2170205671563527</v>
      </c>
      <c r="F50" s="47" t="inlineStr">
        <is>
          <t>%</t>
        </is>
      </c>
      <c r="G50" s="47" t="inlineStr">
        <is>
          <t>Benchmark KPIs</t>
        </is>
      </c>
      <c r="H50" s="90" t="inlineStr">
        <is>
          <t>Verified</t>
        </is>
      </c>
      <c r="I50" s="85" t="inlineStr">
        <is>
          <t>Derived</t>
        </is>
      </c>
    </row>
    <row r="51">
      <c r="B51" s="80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1" t="n">
        <v>0.2453545943418687</v>
      </c>
      <c r="F51" s="49" t="inlineStr">
        <is>
          <t>%</t>
        </is>
      </c>
      <c r="G51" s="49" t="inlineStr">
        <is>
          <t>Benchmark KPIs</t>
        </is>
      </c>
      <c r="H51" s="90" t="inlineStr">
        <is>
          <t>Verified</t>
        </is>
      </c>
      <c r="I51" s="85" t="inlineStr">
        <is>
          <t>Derived</t>
        </is>
      </c>
      <c r="J51" s="53" t="n"/>
    </row>
    <row r="52">
      <c r="B52" s="79" t="n">
        <v>47</v>
      </c>
      <c r="C52" s="47" t="inlineStr">
        <is>
          <t>total_vendors</t>
        </is>
      </c>
      <c r="D52" s="47" t="inlineStr">
        <is>
          <t>Total Vendors (AP)</t>
        </is>
      </c>
      <c r="E52" s="79" t="n">
        <v>26</v>
      </c>
      <c r="F52" s="47" t="inlineStr">
        <is>
          <t>count</t>
        </is>
      </c>
      <c r="G52" s="47" t="inlineStr">
        <is>
          <t>Vendors</t>
        </is>
      </c>
      <c r="H52" s="90" t="inlineStr">
        <is>
          <t>Verified</t>
        </is>
      </c>
      <c r="I52" s="47" t="inlineStr">
        <is>
          <t>2030 Job Detail Report.pdf (Sage Timberline, 04/03/2026, 190 pages)</t>
        </is>
      </c>
    </row>
    <row r="53">
      <c r="B53" s="80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0" t="n">
        <v>25</v>
      </c>
      <c r="F53" s="49" t="inlineStr">
        <is>
          <t>count</t>
        </is>
      </c>
      <c r="G53" s="49" t="inlineStr">
        <is>
          <t>Billing &amp; SOV</t>
        </is>
      </c>
      <c r="H53" s="90" t="inlineStr">
        <is>
          <t>Verified</t>
        </is>
      </c>
      <c r="I53" s="49" t="inlineStr">
        <is>
          <t>2030 Job Detail Report.pdf (Sage Timberline, 04/03/2026, 190 pages)</t>
        </is>
      </c>
      <c r="J53" s="53" t="n"/>
    </row>
    <row r="54">
      <c r="B54" s="79" t="n">
        <v>49</v>
      </c>
      <c r="C54" s="47" t="inlineStr">
        <is>
          <t>rfi_count</t>
        </is>
      </c>
      <c r="D54" s="47" t="inlineStr">
        <is>
          <t>RFI Count</t>
        </is>
      </c>
      <c r="E54" s="79" t="n">
        <v>30</v>
      </c>
      <c r="F54" s="47" t="inlineStr">
        <is>
          <t>count</t>
        </is>
      </c>
      <c r="G54" s="47" t="inlineStr">
        <is>
          <t>Change Log</t>
        </is>
      </c>
      <c r="H54" s="90" t="inlineStr">
        <is>
          <t>Verified</t>
        </is>
      </c>
      <c r="I54" s="47" t="inlineStr">
        <is>
          <t>ASI-RFI + Dropbox</t>
        </is>
      </c>
    </row>
    <row r="55">
      <c r="B55" s="80" t="n">
        <v>50</v>
      </c>
      <c r="C55" s="49" t="inlineStr">
        <is>
          <t>asi_count</t>
        </is>
      </c>
      <c r="D55" s="49" t="inlineStr">
        <is>
          <t>ASI Count</t>
        </is>
      </c>
      <c r="E55" s="80" t="n">
        <v>1</v>
      </c>
      <c r="F55" s="49" t="inlineStr">
        <is>
          <t>count</t>
        </is>
      </c>
      <c r="G55" s="49" t="inlineStr">
        <is>
          <t>Change Log</t>
        </is>
      </c>
      <c r="H55" s="90" t="inlineStr">
        <is>
          <t>Verified</t>
        </is>
      </c>
      <c r="I55" s="49" t="inlineStr">
        <is>
          <t>ASI-RFI</t>
        </is>
      </c>
      <c r="J55" s="53" t="n"/>
    </row>
    <row r="56">
      <c r="B56" s="79" t="n">
        <v>51</v>
      </c>
      <c r="C56" s="47" t="inlineStr">
        <is>
          <t>submittal_count</t>
        </is>
      </c>
      <c r="D56" s="47" t="inlineStr">
        <is>
          <t>Submittal Count</t>
        </is>
      </c>
      <c r="E56" s="79" t="n">
        <v>30</v>
      </c>
      <c r="F56" s="47" t="inlineStr">
        <is>
          <t>count</t>
        </is>
      </c>
      <c r="G56" s="47" t="inlineStr">
        <is>
          <t>Change Log</t>
        </is>
      </c>
      <c r="H56" s="90" t="inlineStr">
        <is>
          <t>Verified</t>
        </is>
      </c>
      <c r="I56" s="47" t="inlineStr">
        <is>
          <t>Submittals</t>
        </is>
      </c>
    </row>
    <row r="57">
      <c r="B57" s="80" t="n">
        <v>52</v>
      </c>
      <c r="C57" s="49" t="inlineStr">
        <is>
          <t>permit_count</t>
        </is>
      </c>
      <c r="D57" s="49" t="inlineStr">
        <is>
          <t>Permit Count</t>
        </is>
      </c>
      <c r="E57" s="80" t="n">
        <v>6</v>
      </c>
      <c r="F57" s="49" t="inlineStr">
        <is>
          <t>count</t>
        </is>
      </c>
      <c r="G57" s="49" t="inlineStr">
        <is>
          <t>Change Log</t>
        </is>
      </c>
      <c r="H57" s="90" t="inlineStr">
        <is>
          <t>Verified</t>
        </is>
      </c>
      <c r="I57" s="49" t="inlineStr">
        <is>
          <t>Permits</t>
        </is>
      </c>
      <c r="J57" s="53" t="n"/>
    </row>
    <row r="58">
      <c r="B58" s="79" t="n">
        <v>53</v>
      </c>
      <c r="C58" s="47" t="inlineStr">
        <is>
          <t>po_count</t>
        </is>
      </c>
      <c r="D58" s="47" t="inlineStr">
        <is>
          <t>PO Count</t>
        </is>
      </c>
      <c r="E58" s="79" t="n">
        <v>82</v>
      </c>
      <c r="F58" s="47" t="inlineStr">
        <is>
          <t>count</t>
        </is>
      </c>
      <c r="G58" s="47" t="inlineStr">
        <is>
          <t>Change Log</t>
        </is>
      </c>
      <c r="H58" s="90" t="inlineStr">
        <is>
          <t>Verified</t>
        </is>
      </c>
      <c r="I58" s="47" t="inlineStr">
        <is>
          <t>POs</t>
        </is>
      </c>
    </row>
    <row r="59">
      <c r="B59" s="80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1" t="n">
        <v>0.1130993838735601</v>
      </c>
      <c r="F59" s="49" t="inlineStr">
        <is>
          <t>%</t>
        </is>
      </c>
      <c r="G59" s="49" t="inlineStr">
        <is>
          <t>Crew Analytics</t>
        </is>
      </c>
      <c r="H59" s="90" t="inlineStr">
        <is>
          <t>Verified</t>
        </is>
      </c>
      <c r="I59" s="85" t="inlineStr">
        <is>
          <t>Derived</t>
        </is>
      </c>
      <c r="J59" s="53" t="n"/>
    </row>
    <row r="60">
      <c r="B60" s="79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4" t="n">
        <v>0.4308598982051969</v>
      </c>
      <c r="F60" s="47" t="inlineStr">
        <is>
          <t>%</t>
        </is>
      </c>
      <c r="G60" s="47" t="inlineStr">
        <is>
          <t>Crew Analytics</t>
        </is>
      </c>
      <c r="H60" s="90" t="inlineStr">
        <is>
          <t>Verified</t>
        </is>
      </c>
      <c r="I60" s="85" t="inlineStr">
        <is>
          <t>Derived</t>
        </is>
      </c>
    </row>
    <row r="61">
      <c r="B61" s="80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0" t="n">
        <v>29</v>
      </c>
      <c r="F61" s="49" t="inlineStr">
        <is>
          <t>count</t>
        </is>
      </c>
      <c r="G61" s="49" t="inlineStr">
        <is>
          <t>Budget vs Actual</t>
        </is>
      </c>
      <c r="H61" s="90" t="inlineStr">
        <is>
          <t>Verified</t>
        </is>
      </c>
      <c r="I61" s="49" t="inlineStr">
        <is>
          <t>2030 Job Detail Report.pdf (Sage Timberline, 04/03/2026, 190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79" t="n">
        <v>1</v>
      </c>
      <c r="C6" s="47" t="inlineStr">
        <is>
          <t>Revenue (JDR) = Contract Final</t>
        </is>
      </c>
      <c r="D6" s="55" t="n">
        <v>2322781</v>
      </c>
      <c r="E6" s="55" t="n">
        <v>2322781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76" t="n">
        <v>1437428.97</v>
      </c>
      <c r="E7" s="76" t="n">
        <v>1427391.82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79" t="n">
        <v>3</v>
      </c>
      <c r="C8" s="47" t="inlineStr">
        <is>
          <t>Net Profit = Revenue - Expenses</t>
        </is>
      </c>
      <c r="D8" s="55" t="n">
        <v>885352.03</v>
      </c>
      <c r="E8" s="55" t="n">
        <v>885352.03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76" t="n">
        <v>1138081.99</v>
      </c>
      <c r="E9" s="76" t="n">
        <v>1437428.97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79" t="n">
        <v>5</v>
      </c>
      <c r="C10" s="47" t="inlineStr">
        <is>
          <t>Budget vs Actual (code 999) = -Revenue</t>
        </is>
      </c>
      <c r="D10" s="55" t="n">
        <v>2322781</v>
      </c>
      <c r="E10" s="55" t="n">
        <v>2322781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76" t="n">
        <v>18665</v>
      </c>
      <c r="E11" s="76" t="n">
        <v>18341.75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79" t="n">
        <v>7</v>
      </c>
      <c r="C12" s="47" t="inlineStr">
        <is>
          <t>Labor Cost = Worker gross sum</t>
        </is>
      </c>
      <c r="D12" s="55" t="n">
        <v>504091.25</v>
      </c>
      <c r="E12" s="55" t="n">
        <v>481197.5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76" t="n">
        <v>555579.87</v>
      </c>
      <c r="E13" s="76" t="n">
        <v>555579.87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79" t="n">
        <v>9</v>
      </c>
      <c r="C14" s="47" t="inlineStr">
        <is>
          <t>Invoice count</t>
        </is>
      </c>
      <c r="D14" s="79" t="n">
        <v>25</v>
      </c>
      <c r="E14" s="79" t="n">
        <v>25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80" t="n">
        <v>10</v>
      </c>
      <c r="C15" s="49" t="inlineStr">
        <is>
          <t>Contract Final - Orig = CO implied</t>
        </is>
      </c>
      <c r="D15" s="76" t="n">
        <v>187701</v>
      </c>
      <c r="E15" s="76" t="n">
        <v>187701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79" t="n">
        <v>11</v>
      </c>
      <c r="C16" s="47" t="inlineStr">
        <is>
          <t>CO implied vs documented (gap)</t>
        </is>
      </c>
      <c r="D16" s="55" t="n">
        <v>187701</v>
      </c>
      <c r="E16" s="55" t="n">
        <v>187701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Deductive scope revision</t>
        </is>
      </c>
    </row>
    <row r="17">
      <c r="B17" s="80" t="n">
        <v>12</v>
      </c>
      <c r="C17" s="49" t="inlineStr">
        <is>
          <t>Retainage outstanding</t>
        </is>
      </c>
      <c r="D17" s="76" t="n">
        <v>116139.05</v>
      </c>
      <c r="E17" s="76" t="n">
        <v>116139.05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79" t="n">
        <v>13</v>
      </c>
      <c r="C18" s="47" t="inlineStr">
        <is>
          <t>Worker count</t>
        </is>
      </c>
      <c r="D18" s="79" t="n">
        <v>45</v>
      </c>
      <c r="E18" s="79" t="n">
        <v>45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80" t="n">
        <v>14</v>
      </c>
      <c r="C19" s="49" t="inlineStr">
        <is>
          <t>Cost code count</t>
        </is>
      </c>
      <c r="D19" s="80" t="n">
        <v>29</v>
      </c>
      <c r="E19" s="80" t="n">
        <v>29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#2030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2030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$2,322,781.00 / Expenses $1,437,428.97 / Net $885,352.03 / Retainage $116,139.05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$101,304.62 · AP $555,579.87 · PR $481,197.50 · AR $2,322,781.00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Exxel Pacific East Union Subcontract (Lump Sum $2,135,080.00 descoped to $2,322,781.00, Lake Union Partners (developer))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Pacific East Union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Fixture schedule: East Union fixture schedule (296-unit multifamily specification)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East Union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Deductive scope reduction from original contract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Contract descoping: JDR-implied COs = $187,701.00;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TIES = within $1  ·  WITHIN = within 5%  ·  OFF = investigate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</sheetData>
  <mergeCells count="15"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2026-04-16T15:00:53Z</dcterms:created>
  <dcterms:modified xmlns:dcterms="http://purl.org/dc/terms/" xmlns:xsi="http://www.w3.org/2001/XMLSchema-instance" xsi:type="dcterms:W3CDTF">2026-04-16T15:01:00Z</dcterms:modified>
</cp:coreProperties>
</file>