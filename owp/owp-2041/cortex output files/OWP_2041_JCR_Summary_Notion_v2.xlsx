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Vendors" sheetId="12" state="visible" r:id="rId14"/>
    <sheet name="Change Log" sheetId="13" state="visible" r:id="rId15"/>
    <sheet name="Root Cause Analysis" sheetId="14" state="visible" r:id="rId16"/>
    <sheet name="Predictive Signals" sheetId="15" state="visible" r:id="rId17"/>
    <sheet name="Metric Registry" sheetId="16" state="visible" r:id="rId18"/>
    <sheet name="Reconciliation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<sst xmlns="http://schemas.openxmlformats.org/spreadsheetml/2006/main" count="1821" uniqueCount="826">
  <si>
    <t xml:space="preserve">Job #2041 · Luna @ 2749 California Ave</t>
  </si>
  <si>
    <t xml:space="preserve">Cortex JCR v2  •  Chinn Construction, LLC (customer 2041CC)  •  2749 California Avenue SW, Seattle, WA 98116  •  Owner: 2741 California LLC</t>
  </si>
  <si>
    <t xml:space="preserve">PROJECT OVERVIEW</t>
  </si>
  <si>
    <t xml:space="preserve">Project Job #</t>
  </si>
  <si>
    <t xml:space="preserve">2041</t>
  </si>
  <si>
    <t xml:space="preserve">2041 Job Detail Report.pdf (Sage Timberline, 04/03/2026)</t>
  </si>
  <si>
    <t xml:space="preserve">Project Name (Sage)</t>
  </si>
  <si>
    <t xml:space="preserve">Chinn California Ave Luna</t>
  </si>
  <si>
    <t xml:space="preserve">Project Description</t>
  </si>
  <si>
    <t xml:space="preserve">Luna Apartments — 108-unit mixed-use residential + PCC retail, West Seattle</t>
  </si>
  <si>
    <t xml:space="preserve">OWP Project List with Schedule - UPDATED 04-01-26.xlsx + contract</t>
  </si>
  <si>
    <t xml:space="preserve">General Contractor</t>
  </si>
  <si>
    <t xml:space="preserve">Chinn Construction, LLC</t>
  </si>
  <si>
    <t xml:space="preserve">OWP Project List with Schedule - UPDATED 04-01-26.xlsx</t>
  </si>
  <si>
    <t xml:space="preserve">Customer Code (Sage)</t>
  </si>
  <si>
    <t xml:space="preserve">2041CC</t>
  </si>
  <si>
    <t xml:space="preserve">Owner / Developer</t>
  </si>
  <si>
    <t xml:space="preserve">2741 California LLC</t>
  </si>
  <si>
    <t xml:space="preserve">GC PM</t>
  </si>
  <si>
    <t xml:space="preserve">Joe Hanley / Amir Molavi</t>
  </si>
  <si>
    <t xml:space="preserve">2041-Chinn Construction subcontract + Job Info sheet</t>
  </si>
  <si>
    <t xml:space="preserve">GC Superintendent</t>
  </si>
  <si>
    <t xml:space="preserve">James Casal</t>
  </si>
  <si>
    <t xml:space="preserve">GC PE</t>
  </si>
  <si>
    <t xml:space="preserve">N/A</t>
  </si>
  <si>
    <t xml:space="preserve">OWP Signatory</t>
  </si>
  <si>
    <t xml:space="preserve">Mike Donelson</t>
  </si>
  <si>
    <t xml:space="preserve">Jobsite Location</t>
  </si>
  <si>
    <t xml:space="preserve">2749 California Avenue SW, Seattle, WA 98116</t>
  </si>
  <si>
    <t xml:space="preserve">Insurance</t>
  </si>
  <si>
    <t xml:space="preserve">Not Wrap</t>
  </si>
  <si>
    <t xml:space="preserve">Fixture Schedule</t>
  </si>
  <si>
    <t xml:space="preserve">754 fixtures total (656 unit + 98 retail/common)</t>
  </si>
  <si>
    <t xml:space="preserve">Submittal Table of Contents + Plumbing Scope</t>
  </si>
  <si>
    <t xml:space="preserve">Architect</t>
  </si>
  <si>
    <t xml:space="preserve">Hewitt Architects</t>
  </si>
  <si>
    <t xml:space="preserve">Chinn Luna project info.pdf</t>
  </si>
  <si>
    <t xml:space="preserve">Contract Type</t>
  </si>
  <si>
    <t xml:space="preserve">Lump Sum</t>
  </si>
  <si>
    <t xml:space="preserve">Unit Count</t>
  </si>
  <si>
    <t xml:space="preserve">Submittal TOC (102 Type B + 6 Type A/ADA)</t>
  </si>
  <si>
    <t xml:space="preserve">Work Period</t>
  </si>
  <si>
    <t xml:space="preserve">2018-01 start → 2019-12 (24 months)</t>
  </si>
  <si>
    <t xml:space="preserve">JDR PR/AR dates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</si>
  <si>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</si>
  <si>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</si>
  <si>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</si>
  <si>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</si>
  <si>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Original $1,766,205.00 + ($117,556.00) COs (6.66%)</t>
  </si>
  <si>
    <t xml:space="preserve">29.4% margin</t>
  </si>
  <si>
    <t xml:space="preserve">70.6% of revenue</t>
  </si>
  <si>
    <t xml:space="preserve">44 workers</t>
  </si>
  <si>
    <t xml:space="preserve">SCOPE OF WORK</t>
  </si>
  <si>
    <t xml:space="preserve">Full plumbing installation per Division 22: underground, garage, rough-in, finish, gas, water main, insulation, roof drains.</t>
  </si>
  <si>
    <t xml:space="preserve">108-unit mixed-use (102 Type B + 6 Type A/ADA) at 2749 California Avenue SW, Seattle, WA 98116, 4-story residential + PCC retail ground floor + P1/P2 parking.</t>
  </si>
  <si>
    <t xml:space="preserve">GC: Chinn Construction, LLC (2041CC); Owner: 2741 California LLC.</t>
  </si>
  <si>
    <t xml:space="preserve">Insurance: Not Wrap (retail-adjacent residential).</t>
  </si>
  <si>
    <t xml:space="preserve">Project team: Joe Hanley / Amir Molavi (GC PM) · James Casal (GC Sup) · Hewitt Architects (Architect) · Mike Donelson (OWP signatory).</t>
  </si>
  <si>
    <t xml:space="preserve">SOURCES</t>
  </si>
  <si>
    <t xml:space="preserve">Canonical financial source: 2041 Job Detail Report.pdf (Sage Timberline, 04/03/2026)</t>
  </si>
  <si>
    <t xml:space="preserve">Job totals (JDR footer): Revenue $1,883,761.00 / Expenses $1,329,860.36 / Net $553,900.64 / Retainage $93,941.20</t>
  </si>
  <si>
    <t xml:space="preserve">Source breakdown (derived): PR $725,409.66 · AP $546,513.36 · GL $57,937.34</t>
  </si>
  <si>
    <t xml:space="preserve">Contract: Lump Sum $1,766,205.00 → $1,883,761.00</t>
  </si>
  <si>
    <t xml:space="preserve">Change Orders (executed): $117,556.00 net across 18 COs (CO log in enriched meta)</t>
  </si>
  <si>
    <t xml:space="preserve">Project Team: Joe Hanley / Amir Molavi (PM) · James Casal (Sup) · Hewitt Architects · 2741 California LLC</t>
  </si>
  <si>
    <t xml:space="preserve">PROJECT TEAM (OWP Job Info)</t>
  </si>
  <si>
    <t xml:space="preserve">Role</t>
  </si>
  <si>
    <t xml:space="preserve">Status</t>
  </si>
  <si>
    <t xml:space="preserve">Name / Firm</t>
  </si>
  <si>
    <t xml:space="preserve">GC</t>
  </si>
  <si>
    <t xml:space="preserve">Extracted</t>
  </si>
  <si>
    <t xml:space="preserve">Owner</t>
  </si>
  <si>
    <t xml:space="preserve">Structural</t>
  </si>
  <si>
    <t xml:space="preserve">Acoustical</t>
  </si>
  <si>
    <t xml:space="preserve">ADA Consultant</t>
  </si>
  <si>
    <t xml:space="preserve">Interior Design</t>
  </si>
  <si>
    <t xml:space="preserve">MEP Engineer</t>
  </si>
  <si>
    <t xml:space="preserve">Budget vs Actual</t>
  </si>
  <si>
    <t xml:space="preserve">All 29 cost codes from JDR. Contract $1,766,205 → $1,883,761.</t>
  </si>
  <si>
    <t xml:space="preserve">Cost Code</t>
  </si>
  <si>
    <t xml:space="preserve">Description</t>
  </si>
  <si>
    <t xml:space="preserve">Original Budget</t>
  </si>
  <si>
    <t xml:space="preserve">Revised Budget</t>
  </si>
  <si>
    <t xml:space="preserve">Actual</t>
  </si>
  <si>
    <t xml:space="preserve">Variance</t>
  </si>
  <si>
    <t xml:space="preserve">% of Revised</t>
  </si>
  <si>
    <t xml:space="preserve">Hours</t>
  </si>
  <si>
    <t xml:space="preserve">Source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</si>
  <si>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</si>
  <si>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</si>
  <si>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</si>
  <si>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</si>
  <si>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</si>
  <si>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</si>
  <si>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</si>
  <si>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</si>
  <si>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</si>
  <si>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</si>
  <si>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</si>
  <si>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</si>
  <si>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</si>
  <si>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</si>
  <si>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</si>
  <si>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</si>
  <si>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</si>
  <si>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</si>
  <si>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</si>
  <si>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</si>
  <si>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143</t>
  </si>
  <si>
    <t xml:space="preserve">Condensation Drains Labor</t>
  </si>
  <si>
    <t xml:space="preserve">150</t>
  </si>
  <si>
    <t xml:space="preserve">Warranty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</si>
  <si>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</si>
  <si>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</si>
  <si>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</si>
  <si>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</si>
  <si>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</si>
  <si>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</si>
  <si>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</si>
  <si>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</si>
  <si>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</si>
  <si>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</si>
  <si>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</si>
  <si>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</si>
  <si>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</si>
  <si>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</si>
  <si>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</si>
  <si>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</si>
  <si>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243</t>
  </si>
  <si>
    <t xml:space="preserve">Condensation Drains Mat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</si>
  <si>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</si>
  <si>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</si>
  <si>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</si>
  <si>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</si>
  <si>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</si>
  <si>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</si>
  <si>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</si>
  <si>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</si>
  <si>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</si>
  <si>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</si>
  <si>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</si>
  <si>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</si>
  <si>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</si>
  <si>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</si>
  <si>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</si>
  <si>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</si>
  <si>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TOTAL</t>
  </si>
  <si>
    <t xml:space="preserve">Cost Breakdown by Category</t>
  </si>
  <si>
    <t xml:space="preserve">Direct cost composition by category from JDR cost codes</t>
  </si>
  <si>
    <t xml:space="preserve">Category</t>
  </si>
  <si>
    <t xml:space="preserve">Cost Codes</t>
  </si>
  <si>
    <t xml:space="preserve">Actual $</t>
  </si>
  <si>
    <t xml:space="preserve">% of Direct Cost</t>
  </si>
  <si>
    <t xml:space="preserve">% of Revenue</t>
  </si>
  <si>
    <t xml:space="preserve">Labor</t>
  </si>
  <si>
    <t xml:space="preserve">100,101,110,111,112,120,130,140,141,142,143,150</t>
  </si>
  <si>
    <t xml:space="preserve">Material</t>
  </si>
  <si>
    <t xml:space="preserve">210,211,212,220,230,240,241,242,243</t>
  </si>
  <si>
    <t xml:space="preserve">Overhead</t>
  </si>
  <si>
    <t xml:space="preserve">600,601,602,603,607</t>
  </si>
  <si>
    <t xml:space="preserve">TOTAL DIRECT COST</t>
  </si>
  <si>
    <t xml:space="preserve">Material Purchases — AP Vendors</t>
  </si>
  <si>
    <t xml:space="preserve">Material + subcontractor spend by vendor from JDR AP records</t>
  </si>
  <si>
    <t xml:space="preserve">Vendor ID</t>
  </si>
  <si>
    <t xml:space="preserve">Vendor Name</t>
  </si>
  <si>
    <t xml:space="preserve">Total Spend</t>
  </si>
  <si>
    <t xml:space="preserve"># Transactions</t>
  </si>
  <si>
    <t xml:space="preserve">Category (inferred)</t>
  </si>
  <si>
    <t xml:space="preserve">1380RS</t>
  </si>
  <si>
    <t xml:space="preserve">Rosen Supply Kirkland</t>
  </si>
  <si>
    <t xml:space="preserve">Plumbing / Supplies</t>
  </si>
  <si>
    <t xml:space="preserve">1130CS</t>
  </si>
  <si>
    <t xml:space="preserve">Consolidated Supply Co.</t>
  </si>
  <si>
    <t xml:space="preserve">1625FE</t>
  </si>
  <si>
    <t xml:space="preserve">Franklin Engineering</t>
  </si>
  <si>
    <t xml:space="preserve">Engineering (601)</t>
  </si>
  <si>
    <t xml:space="preserve">1231KS</t>
  </si>
  <si>
    <t xml:space="preserve">Keller Supply Company</t>
  </si>
  <si>
    <t xml:space="preserve">5560CH</t>
  </si>
  <si>
    <t xml:space="preserve">California Hydronics Corp</t>
  </si>
  <si>
    <t xml:space="preserve">3129MR</t>
  </si>
  <si>
    <t xml:space="preserve">Mechanical Resource Services, Inc.</t>
  </si>
  <si>
    <t xml:space="preserve">Uncategorized</t>
  </si>
  <si>
    <t xml:space="preserve">1175FE</t>
  </si>
  <si>
    <t xml:space="preserve">Ferguson Enterprises, Inc. #3007</t>
  </si>
  <si>
    <t xml:space="preserve">7423OC</t>
  </si>
  <si>
    <t xml:space="preserve">Old Castle Infrastructure, Inc.</t>
  </si>
  <si>
    <t xml:space="preserve">1234CO</t>
  </si>
  <si>
    <t xml:space="preserve">Capital One Credit Card</t>
  </si>
  <si>
    <t xml:space="preserve">Credit Card (mixed)</t>
  </si>
  <si>
    <t xml:space="preserve">2713AR</t>
  </si>
  <si>
    <t xml:space="preserve">Ahern Rentals</t>
  </si>
  <si>
    <t xml:space="preserve">1609QC</t>
  </si>
  <si>
    <t xml:space="preserve">Quality Concrete Products, Inc. $32</t>
  </si>
  <si>
    <t xml:space="preserve">5621HD</t>
  </si>
  <si>
    <t xml:space="preserve">Core &amp; Main LP $HD Supply Waterworks</t>
  </si>
  <si>
    <t xml:space="preserve">2041RS</t>
  </si>
  <si>
    <t xml:space="preserve">Rosen Supply Company, Inc. $Cal Luna</t>
  </si>
  <si>
    <t xml:space="preserve">3181SC</t>
  </si>
  <si>
    <t xml:space="preserve">Scan2Core, Inc.</t>
  </si>
  <si>
    <t xml:space="preserve">5919PW</t>
  </si>
  <si>
    <t xml:space="preserve">Patchworks, Inc.</t>
  </si>
  <si>
    <t xml:space="preserve">1799AW</t>
  </si>
  <si>
    <t xml:space="preserve">AllWest Underground, Inc.</t>
  </si>
  <si>
    <t xml:space="preserve">8068MI</t>
  </si>
  <si>
    <t xml:space="preserve">Kele, Inc $ MI Controls</t>
  </si>
  <si>
    <t xml:space="preserve">3612MS</t>
  </si>
  <si>
    <t xml:space="preserve">Mechanical Sales, Inc.</t>
  </si>
  <si>
    <t xml:space="preserve">1288DR</t>
  </si>
  <si>
    <t xml:space="preserve">DRSi</t>
  </si>
  <si>
    <t xml:space="preserve">1641AR</t>
  </si>
  <si>
    <t xml:space="preserve">A.R. Brown Backflow Testing</t>
  </si>
  <si>
    <t xml:space="preserve">Testing subcontractor</t>
  </si>
  <si>
    <t xml:space="preserve">2132MH</t>
  </si>
  <si>
    <t xml:space="preserve">Manor Hardware &amp; Construction Supply</t>
  </si>
  <si>
    <t xml:space="preserve">2041KS</t>
  </si>
  <si>
    <t xml:space="preserve">Keller Supply Co. $Cali Luna</t>
  </si>
  <si>
    <t xml:space="preserve">Crew &amp; Labor — Worker Roster</t>
  </si>
  <si>
    <t xml:space="preserve">All 44 unique payroll workers. OWP signatory: Mike Donelson.</t>
  </si>
  <si>
    <t xml:space="preserve">Worker ID</t>
  </si>
  <si>
    <t xml:space="preserve">Worker Name</t>
  </si>
  <si>
    <t xml:space="preserve">Total Hours</t>
  </si>
  <si>
    <t xml:space="preserve">Gross Pay</t>
  </si>
  <si>
    <t xml:space="preserve">Blended Wage ($/hr)</t>
  </si>
  <si>
    <t xml:space="preserve"># Work Days</t>
  </si>
  <si>
    <t xml:space="preserve">RI87</t>
  </si>
  <si>
    <t xml:space="preserve">Rivera, Jorge A</t>
  </si>
  <si>
    <t xml:space="preserve">HE70</t>
  </si>
  <si>
    <t xml:space="preserve">Hernandez Gonzalez, Osbaldo</t>
  </si>
  <si>
    <t xml:space="preserve">GO56</t>
  </si>
  <si>
    <t xml:space="preserve">Gonzalez Hernandez, Josue</t>
  </si>
  <si>
    <t xml:space="preserve">AN14</t>
  </si>
  <si>
    <t xml:space="preserve">Anderson, Richard P</t>
  </si>
  <si>
    <t xml:space="preserve">LE17</t>
  </si>
  <si>
    <t xml:space="preserve">Lee, Ha Nul</t>
  </si>
  <si>
    <t xml:space="preserve">ME53</t>
  </si>
  <si>
    <t xml:space="preserve">Mendoza Morales, Jesus A</t>
  </si>
  <si>
    <t xml:space="preserve">RE96</t>
  </si>
  <si>
    <t xml:space="preserve">Reyes Cruz, Denis A</t>
  </si>
  <si>
    <t xml:space="preserve">RO75</t>
  </si>
  <si>
    <t xml:space="preserve">Ross, Kelli M</t>
  </si>
  <si>
    <t xml:space="preserve">BA68</t>
  </si>
  <si>
    <t xml:space="preserve">Barbosa, Michael S</t>
  </si>
  <si>
    <t xml:space="preserve">BA70</t>
  </si>
  <si>
    <t xml:space="preserve">Barnhart, Joseph N</t>
  </si>
  <si>
    <t xml:space="preserve">LI49</t>
  </si>
  <si>
    <t xml:space="preserve">Lima Romero, Melvin A</t>
  </si>
  <si>
    <t xml:space="preserve">TR60</t>
  </si>
  <si>
    <t xml:space="preserve">Trower-Kelly, Fidel D</t>
  </si>
  <si>
    <t xml:space="preserve">VA98</t>
  </si>
  <si>
    <t xml:space="preserve">Vazquez Popoca, Jose N</t>
  </si>
  <si>
    <t xml:space="preserve">SE64</t>
  </si>
  <si>
    <t xml:space="preserve">Sepulveda Gonzalez, Alfredo</t>
  </si>
  <si>
    <t xml:space="preserve">SA54</t>
  </si>
  <si>
    <t xml:space="preserve">Sanders, Allen O</t>
  </si>
  <si>
    <t xml:space="preserve">GE69</t>
  </si>
  <si>
    <t xml:space="preserve">Gerard, Jeffrey S</t>
  </si>
  <si>
    <t xml:space="preserve">DO56</t>
  </si>
  <si>
    <t xml:space="preserve">Donelson, Richard T</t>
  </si>
  <si>
    <t xml:space="preserve">MA71</t>
  </si>
  <si>
    <t xml:space="preserve">Martinez Reyes, Juan C</t>
  </si>
  <si>
    <t xml:space="preserve">CR79</t>
  </si>
  <si>
    <t xml:space="preserve">Cruz Guzman, Joel A</t>
  </si>
  <si>
    <t xml:space="preserve">HU06</t>
  </si>
  <si>
    <t xml:space="preserve">Hubbard, Robert W</t>
  </si>
  <si>
    <t xml:space="preserve">MO56</t>
  </si>
  <si>
    <t xml:space="preserve">Montenegro, Carlos E</t>
  </si>
  <si>
    <t xml:space="preserve">ST02</t>
  </si>
  <si>
    <t xml:space="preserve">Stahlschmidt, John P</t>
  </si>
  <si>
    <t xml:space="preserve">EL33</t>
  </si>
  <si>
    <t xml:space="preserve">Eliassen, Cory H</t>
  </si>
  <si>
    <t xml:space="preserve">GA83</t>
  </si>
  <si>
    <t xml:space="preserve">Gauthier, Dillon R</t>
  </si>
  <si>
    <t xml:space="preserve">MC09</t>
  </si>
  <si>
    <t xml:space="preserve">McCabe, Thomas C</t>
  </si>
  <si>
    <t xml:space="preserve">KI55</t>
  </si>
  <si>
    <t xml:space="preserve">Kinssies, Jr, John E</t>
  </si>
  <si>
    <t xml:space="preserve">CR87</t>
  </si>
  <si>
    <t xml:space="preserve">Cruz Reyes, Jose</t>
  </si>
  <si>
    <t xml:space="preserve">CR77</t>
  </si>
  <si>
    <t xml:space="preserve">Cruz Gonzalez, Julio C</t>
  </si>
  <si>
    <t xml:space="preserve">GE70</t>
  </si>
  <si>
    <t xml:space="preserve">Gerard, Jordan E</t>
  </si>
  <si>
    <t xml:space="preserve">RE91</t>
  </si>
  <si>
    <t xml:space="preserve">Reyes, Maria E</t>
  </si>
  <si>
    <t xml:space="preserve">RO10</t>
  </si>
  <si>
    <t xml:space="preserve">Rodriguez Arevalos, Christian</t>
  </si>
  <si>
    <t xml:space="preserve">HU04</t>
  </si>
  <si>
    <t xml:space="preserve">Hubbard, Dustin R</t>
  </si>
  <si>
    <t xml:space="preserve">LU09</t>
  </si>
  <si>
    <t xml:space="preserve">Lucas Tzintzun, Rafael</t>
  </si>
  <si>
    <t xml:space="preserve">WI46</t>
  </si>
  <si>
    <t xml:space="preserve">Wilson, Garret A</t>
  </si>
  <si>
    <t xml:space="preserve">CO69</t>
  </si>
  <si>
    <t xml:space="preserve">Cornejo Orellana, Carlos E</t>
  </si>
  <si>
    <t xml:space="preserve">VE43</t>
  </si>
  <si>
    <t xml:space="preserve">Velasquez Cruz, Osman N</t>
  </si>
  <si>
    <t xml:space="preserve">WE55</t>
  </si>
  <si>
    <t xml:space="preserve">Wennig, Johnathan M</t>
  </si>
  <si>
    <t xml:space="preserve">FR04</t>
  </si>
  <si>
    <t xml:space="preserve">Frausto Mendoza, Pedro</t>
  </si>
  <si>
    <t xml:space="preserve">VE42</t>
  </si>
  <si>
    <t xml:space="preserve">Velasquez Cruz, Denis M</t>
  </si>
  <si>
    <t xml:space="preserve">AS10</t>
  </si>
  <si>
    <t xml:space="preserve">Ascencio, Jose L</t>
  </si>
  <si>
    <t xml:space="preserve">FO75</t>
  </si>
  <si>
    <t xml:space="preserve">Foster, Antonio T</t>
  </si>
  <si>
    <t xml:space="preserve">SI48</t>
  </si>
  <si>
    <t xml:space="preserve">Silva Morales, Jair J</t>
  </si>
  <si>
    <t xml:space="preserve">RE18</t>
  </si>
  <si>
    <t xml:space="preserve">Reed, Reuben H</t>
  </si>
  <si>
    <t xml:space="preserve">HO14</t>
  </si>
  <si>
    <t xml:space="preserve">Holmes, Anthony R</t>
  </si>
  <si>
    <t xml:space="preserve">Crew Analytics</t>
  </si>
  <si>
    <t xml:space="preserve">Team-level labor productivity, concentration, wage dispersion</t>
  </si>
  <si>
    <t xml:space="preserve">TEAM-LEVEL METRICS</t>
  </si>
  <si>
    <t xml:space="preserve">Metric</t>
  </si>
  <si>
    <t xml:space="preserve">Value</t>
  </si>
  <si>
    <t xml:space="preserve">Notes</t>
  </si>
  <si>
    <t xml:space="preserve">Total Workers</t>
  </si>
  <si>
    <t xml:space="preserve">Unique payroll IDs</t>
  </si>
  <si>
    <t xml:space="preserve">Total Labor Hours</t>
  </si>
  <si>
    <t xml:space="preserve">Sum of labor codes</t>
  </si>
  <si>
    <t xml:space="preserve">Total Gross Pay</t>
  </si>
  <si>
    <t xml:space="preserve">Blended Gross Wage ($/hr)</t>
  </si>
  <si>
    <t xml:space="preserve">Labor$/Hrs (pre-burden)</t>
  </si>
  <si>
    <t xml:space="preserve">Derived</t>
  </si>
  <si>
    <t xml:space="preserve">Top Worker Hours Share</t>
  </si>
  <si>
    <t xml:space="preserve">RI87 Rivera, Jorge A (1608 hrs)</t>
  </si>
  <si>
    <t xml:space="preserve">Top 5 Workers Hours Share</t>
  </si>
  <si>
    <t xml:space="preserve">Concentration metric</t>
  </si>
  <si>
    <t xml:space="preserve">Highest Wage Rate ($/hr)</t>
  </si>
  <si>
    <t xml:space="preserve">Single-worker blended</t>
  </si>
  <si>
    <t xml:space="preserve">Lowest Wage Rate ($/hr)</t>
  </si>
  <si>
    <t xml:space="preserve">Avg Hours per Worker</t>
  </si>
  <si>
    <t xml:space="preserve">Includes short-tenure workers</t>
  </si>
  <si>
    <t xml:space="preserve">Avg Project Days per Worker</t>
  </si>
  <si>
    <t xml:space="preserve">Mean days</t>
  </si>
  <si>
    <t xml:space="preserve">Productivity Metrics</t>
  </si>
  <si>
    <t xml:space="preserve">Normalized ratios. Per-unit from 108 units (754 fixtures).</t>
  </si>
  <si>
    <t xml:space="preserve">Basis</t>
  </si>
  <si>
    <t xml:space="preserve">Source / Note</t>
  </si>
  <si>
    <t xml:space="preserve">Revenue per Labor Hour</t>
  </si>
  <si>
    <t xml:space="preserve">USD/hr</t>
  </si>
  <si>
    <t xml:space="preserve">Profit per Labor Hour</t>
  </si>
  <si>
    <t xml:space="preserve">Labor Cost per Hour (blended)</t>
  </si>
  <si>
    <t xml:space="preserve">Pre-burden</t>
  </si>
  <si>
    <t xml:space="preserve">Fully-Loaded Labor Rate ($/hr)</t>
  </si>
  <si>
    <t xml:space="preserve">Incl burden+taxes</t>
  </si>
  <si>
    <t xml:space="preserve">Burden Multiplier</t>
  </si>
  <si>
    <t xml:space="preserve">x</t>
  </si>
  <si>
    <t xml:space="preserve">Fully-loaded/blended</t>
  </si>
  <si>
    <t xml:space="preserve">Rough-in Hours (code 120)</t>
  </si>
  <si>
    <t xml:space="preserve">hrs</t>
  </si>
  <si>
    <t xml:space="preserve">Finish Hours (code 130)</t>
  </si>
  <si>
    <t xml:space="preserve">Rough-in % of Total Hours</t>
  </si>
  <si>
    <t xml:space="preserve">%</t>
  </si>
  <si>
    <t xml:space="preserve">Gross Margin</t>
  </si>
  <si>
    <t xml:space="preserve">Labor % of Revenue</t>
  </si>
  <si>
    <t xml:space="preserve">Material % of Revenue</t>
  </si>
  <si>
    <t xml:space="preserve">Direct Cost Ratio</t>
  </si>
  <si>
    <t xml:space="preserve">All exp/Rev</t>
  </si>
  <si>
    <t xml:space="preserve">Revenue per Unit (108)</t>
  </si>
  <si>
    <t xml:space="preserve">USD</t>
  </si>
  <si>
    <t xml:space="preserve">108 units</t>
  </si>
  <si>
    <t xml:space="preserve">Labor Hours per Unit</t>
  </si>
  <si>
    <t xml:space="preserve">Labor Cost per Unit</t>
  </si>
  <si>
    <t xml:space="preserve">Material Cost per Unit</t>
  </si>
  <si>
    <t xml:space="preserve">Direct Cost per Unit</t>
  </si>
  <si>
    <t xml:space="preserve">Rough-in Hours per Unit</t>
  </si>
  <si>
    <t xml:space="preserve">Revenue per Fixture</t>
  </si>
  <si>
    <t xml:space="preserve">754 fixtures</t>
  </si>
  <si>
    <t xml:space="preserve">Hours per Fixture</t>
  </si>
  <si>
    <t xml:space="preserve">PO Commitments</t>
  </si>
  <si>
    <t xml:space="preserve">Inbound contract (GC → OWP). Outbound vendor commitments — see Material tab.</t>
  </si>
  <si>
    <t xml:space="preserve">PO #</t>
  </si>
  <si>
    <t xml:space="preserve">Date</t>
  </si>
  <si>
    <t xml:space="preserve">Issuer</t>
  </si>
  <si>
    <t xml:space="preserve">Type</t>
  </si>
  <si>
    <t xml:space="preserve">Amount</t>
  </si>
  <si>
    <t xml:space="preserve">PRIME</t>
  </si>
  <si>
    <t xml:space="preserve">2018-03-09</t>
  </si>
  <si>
    <t xml:space="preserve">Lump Sum Subcontract</t>
  </si>
  <si>
    <t xml:space="preserve">Closed</t>
  </si>
  <si>
    <t xml:space="preserve">Luna Apartments plumbing (108 units + retail) — per Div 22</t>
  </si>
  <si>
    <t xml:space="preserve">CO-NET</t>
  </si>
  <si>
    <t xml:space="preserve">—</t>
  </si>
  <si>
    <t xml:space="preserve">Change Orders (executed, 18 COs)</t>
  </si>
  <si>
    <t xml:space="preserve">Executed</t>
  </si>
  <si>
    <t xml:space="preserve">Net CO impact (Sage 999 rev - orig)</t>
  </si>
  <si>
    <t xml:space="preserve">TOTAL (contract + COs)</t>
  </si>
  <si>
    <t xml:space="preserve">Billing &amp; Schedule of Values</t>
  </si>
  <si>
    <t xml:space="preserve">174 invoices to Chinn Construction, LLC. Retainage $93,941.20.</t>
  </si>
  <si>
    <t xml:space="preserve">Invoice #</t>
  </si>
  <si>
    <t xml:space="preserve">Total Billed (signed)</t>
  </si>
  <si>
    <t xml:space="preserve">Retainage (signed)</t>
  </si>
  <si>
    <t xml:space="preserve"># Lines</t>
  </si>
  <si>
    <t xml:space="preserve">555</t>
  </si>
  <si>
    <t xml:space="preserve">01/18/19</t>
  </si>
  <si>
    <t xml:space="preserve">587</t>
  </si>
  <si>
    <t xml:space="preserve">02/20/18</t>
  </si>
  <si>
    <t xml:space="preserve">568</t>
  </si>
  <si>
    <t xml:space="preserve">02/20/19</t>
  </si>
  <si>
    <t xml:space="preserve">569</t>
  </si>
  <si>
    <t xml:space="preserve">687</t>
  </si>
  <si>
    <t xml:space="preserve">03/20/19</t>
  </si>
  <si>
    <t xml:space="preserve">798</t>
  </si>
  <si>
    <t xml:space="preserve">03/25/19</t>
  </si>
  <si>
    <t xml:space="preserve">04/19/19</t>
  </si>
  <si>
    <t xml:space="preserve">514</t>
  </si>
  <si>
    <t xml:space="preserve">05/18/18</t>
  </si>
  <si>
    <t xml:space="preserve">511</t>
  </si>
  <si>
    <t xml:space="preserve">05/20/19</t>
  </si>
  <si>
    <t xml:space="preserve">608</t>
  </si>
  <si>
    <t xml:space="preserve">06/19/19</t>
  </si>
  <si>
    <t xml:space="preserve">678</t>
  </si>
  <si>
    <t xml:space="preserve">06/20/18</t>
  </si>
  <si>
    <t xml:space="preserve">597</t>
  </si>
  <si>
    <t xml:space="preserve">07/19/19</t>
  </si>
  <si>
    <t xml:space="preserve">591</t>
  </si>
  <si>
    <t xml:space="preserve">08/20/18</t>
  </si>
  <si>
    <t xml:space="preserve">750</t>
  </si>
  <si>
    <t xml:space="preserve">08/20/19</t>
  </si>
  <si>
    <t xml:space="preserve">471</t>
  </si>
  <si>
    <t xml:space="preserve">09/19/18</t>
  </si>
  <si>
    <t xml:space="preserve">476</t>
  </si>
  <si>
    <t xml:space="preserve">477</t>
  </si>
  <si>
    <t xml:space="preserve">566</t>
  </si>
  <si>
    <t xml:space="preserve">09/20/19</t>
  </si>
  <si>
    <t xml:space="preserve">526</t>
  </si>
  <si>
    <t xml:space="preserve">10/19/18</t>
  </si>
  <si>
    <t xml:space="preserve">531</t>
  </si>
  <si>
    <t xml:space="preserve">11/16/18</t>
  </si>
  <si>
    <t xml:space="preserve">234</t>
  </si>
  <si>
    <t xml:space="preserve">12/04/19</t>
  </si>
  <si>
    <t xml:space="preserve">235</t>
  </si>
  <si>
    <t xml:space="preserve">236</t>
  </si>
  <si>
    <t xml:space="preserve">231</t>
  </si>
  <si>
    <t xml:space="preserve">12/10/19</t>
  </si>
  <si>
    <t xml:space="preserve">379</t>
  </si>
  <si>
    <t xml:space="preserve">12/11/19</t>
  </si>
  <si>
    <t xml:space="preserve">474</t>
  </si>
  <si>
    <t xml:space="preserve">12/13/19</t>
  </si>
  <si>
    <t xml:space="preserve">352</t>
  </si>
  <si>
    <t xml:space="preserve">12/14/18</t>
  </si>
  <si>
    <t xml:space="preserve">TOTAL (signed)</t>
  </si>
  <si>
    <t xml:space="preserve">Insights &amp; Observations</t>
  </si>
  <si>
    <t xml:space="preserve">Narrative findings from JDR + GDrive CO log</t>
  </si>
  <si>
    <t xml:space="preserve">#</t>
  </si>
  <si>
    <t xml:space="preserve">Insight</t>
  </si>
  <si>
    <t xml:space="preserve">Detail</t>
  </si>
  <si>
    <t xml:space="preserve">Confidence</t>
  </si>
  <si>
    <t xml:space="preserve">MARGIN PROFILE</t>
  </si>
  <si>
    <t xml:space="preserve">Net profit $553,900.64 on $1,883,761.00 revenue = 29.4% gross margin.</t>
  </si>
  <si>
    <t xml:space="preserve">Verified</t>
  </si>
  <si>
    <t xml:space="preserve">CONTRACT CHANGE</t>
  </si>
  <si>
    <t xml:space="preserve">Original $1,766,205.00 → final $1,883,761.00 = $+117,556.00 net (6.66%) across 18 executed COs.</t>
  </si>
  <si>
    <t xml:space="preserve">2041 Job Detail Report.pdf (Sage Timberline, 04/03/2026) + CO log</t>
  </si>
  <si>
    <t xml:space="preserve">LABOR PROFILE</t>
  </si>
  <si>
    <t xml:space="preserve">Labor cost $467,297.50 (24.8% of rev) across 14,650 hrs and 44 workers. Blended wage $31.90/hr.</t>
  </si>
  <si>
    <t xml:space="preserve">VENDOR CONCENTRATION</t>
  </si>
  <si>
    <t xml:space="preserve">Top 5 AP vendors: ~$441,025.56 (81% of AP). Top vendor: Rosen Supply Kirkland ($171,816.03).</t>
  </si>
  <si>
    <t xml:space="preserve">RETAINAGE</t>
  </si>
  <si>
    <t xml:space="preserve">Retainage $93,941.20 — outstanding as of report date.</t>
  </si>
  <si>
    <t xml:space="preserve">ROUGH-IN SHARE</t>
  </si>
  <si>
    <t xml:space="preserve">Code 120 Roughin Labor = 6,131 hrs (42% of labor hours).</t>
  </si>
  <si>
    <t xml:space="preserve">TOP COST CODE</t>
  </si>
  <si>
    <t xml:space="preserve">Largest actual cost: 230 Finish Material = $251,663.70</t>
  </si>
  <si>
    <t xml:space="preserve">WORKER CONCENTRATION</t>
  </si>
  <si>
    <t xml:space="preserve">Top worker Rivera, Jorge A = 1,608 hrs (11% of total).</t>
  </si>
  <si>
    <t xml:space="preserve">INSURANCE</t>
  </si>
  <si>
    <t xml:space="preserve">Not Wrap — retail-adjacent mixed-use.</t>
  </si>
  <si>
    <t xml:space="preserve">SCOPE CONTEXT</t>
  </si>
  <si>
    <t xml:space="preserve">Luna Apartments — 108-unit mixed-use (102 Type B + 6 Type A/ADA) + PCC retail + P1/P2 parking at 2749 California Avenue SW, Seattle, WA 98116.</t>
  </si>
  <si>
    <t xml:space="preserve">Submittal TOC + scope doc</t>
  </si>
  <si>
    <t xml:space="preserve">Benchmark KPIs</t>
  </si>
  <si>
    <t xml:space="preserve">Normalized metrics for cross-project comparison</t>
  </si>
  <si>
    <t xml:space="preserve">KPI</t>
  </si>
  <si>
    <t xml:space="preserve">Data Name</t>
  </si>
  <si>
    <t xml:space="preserve">Source Document</t>
  </si>
  <si>
    <t xml:space="preserve">Job Number</t>
  </si>
  <si>
    <t xml:space="preserve">job_number</t>
  </si>
  <si>
    <t xml:space="preserve">Profile</t>
  </si>
  <si>
    <t xml:space="preserve">OWP job ID</t>
  </si>
  <si>
    <t xml:space="preserve">Job Name</t>
  </si>
  <si>
    <t xml:space="preserve">job_name</t>
  </si>
  <si>
    <t xml:space="preserve">Luna @ 2749 California Ave</t>
  </si>
  <si>
    <t xml:space="preserve">general_contractor</t>
  </si>
  <si>
    <t xml:space="preserve">owner</t>
  </si>
  <si>
    <t xml:space="preserve">architect</t>
  </si>
  <si>
    <t xml:space="preserve">Location</t>
  </si>
  <si>
    <t xml:space="preserve">location</t>
  </si>
  <si>
    <t xml:space="preserve">Project Type</t>
  </si>
  <si>
    <t xml:space="preserve">project_type</t>
  </si>
  <si>
    <t xml:space="preserve">4-story mixed-use: 108 residential units + PCC retail ground floor + 2 parking levels (P1/P2)</t>
  </si>
  <si>
    <t xml:space="preserve">Scope + Submittal TOC</t>
  </si>
  <si>
    <t xml:space="preserve">Insurance Type</t>
  </si>
  <si>
    <t xml:space="preserve">insurance</t>
  </si>
  <si>
    <t xml:space="preserve">gc_pm</t>
  </si>
  <si>
    <t xml:space="preserve">GC Sup</t>
  </si>
  <si>
    <t xml:space="preserve">gc_sup</t>
  </si>
  <si>
    <t xml:space="preserve">owp_signatory</t>
  </si>
  <si>
    <t xml:space="preserve">Contract Signed Date</t>
  </si>
  <si>
    <t xml:space="preserve">contract_signed_date</t>
  </si>
  <si>
    <t xml:space="preserve">Work Start</t>
  </si>
  <si>
    <t xml:space="preserve">start_date</t>
  </si>
  <si>
    <t xml:space="preserve">2018-01</t>
  </si>
  <si>
    <t xml:space="preserve">Work End</t>
  </si>
  <si>
    <t xml:space="preserve">end_date</t>
  </si>
  <si>
    <t xml:space="preserve">2019-12</t>
  </si>
  <si>
    <t xml:space="preserve">Duration (months)</t>
  </si>
  <si>
    <t xml:space="preserve">duration_months</t>
  </si>
  <si>
    <t xml:space="preserve">unit_count</t>
  </si>
  <si>
    <t xml:space="preserve">102 Type B + 6 Type A/ADA</t>
  </si>
  <si>
    <t xml:space="preserve">Submittal TOC</t>
  </si>
  <si>
    <t xml:space="preserve">Total Fixtures</t>
  </si>
  <si>
    <t xml:space="preserve">total_fixtures</t>
  </si>
  <si>
    <t xml:space="preserve">656 unit + 98 retail/common</t>
  </si>
  <si>
    <t xml:space="preserve">Contract Original</t>
  </si>
  <si>
    <t xml:space="preserve">contract_original</t>
  </si>
  <si>
    <t xml:space="preserve">Financial</t>
  </si>
  <si>
    <t xml:space="preserve">Contract Final</t>
  </si>
  <si>
    <t xml:space="preserve">contract_final</t>
  </si>
  <si>
    <t xml:space="preserve">Change Orders ($)</t>
  </si>
  <si>
    <t xml:space="preserve">co_net</t>
  </si>
  <si>
    <t xml:space="preserve">18 executed</t>
  </si>
  <si>
    <t xml:space="preserve">CO % of Contract</t>
  </si>
  <si>
    <t xml:space="preserve">co_pct</t>
  </si>
  <si>
    <t xml:space="preserve">Revenue</t>
  </si>
  <si>
    <t xml:space="preserve">revenue</t>
  </si>
  <si>
    <t xml:space="preserve">AR total</t>
  </si>
  <si>
    <t xml:space="preserve">Direct Cost</t>
  </si>
  <si>
    <t xml:space="preserve">direct_cost</t>
  </si>
  <si>
    <t xml:space="preserve">JDR Expenses</t>
  </si>
  <si>
    <t xml:space="preserve">Net Profit</t>
  </si>
  <si>
    <t xml:space="preserve">net_profit</t>
  </si>
  <si>
    <t xml:space="preserve">Rev - Exp</t>
  </si>
  <si>
    <t xml:space="preserve">gross_margin</t>
  </si>
  <si>
    <t xml:space="preserve">Retainage</t>
  </si>
  <si>
    <t xml:space="preserve">retainage</t>
  </si>
  <si>
    <t xml:space="preserve">JDR AR retainage</t>
  </si>
  <si>
    <t xml:space="preserve">Retainage % of Revenue</t>
  </si>
  <si>
    <t xml:space="preserve">retainage_pct</t>
  </si>
  <si>
    <t xml:space="preserve">Labor Cost</t>
  </si>
  <si>
    <t xml:space="preserve">labor_cost</t>
  </si>
  <si>
    <t xml:space="preserve">Codes 100-151</t>
  </si>
  <si>
    <t xml:space="preserve">Material Cost</t>
  </si>
  <si>
    <t xml:space="preserve">material_cost</t>
  </si>
  <si>
    <t xml:space="preserve">Codes 210-245</t>
  </si>
  <si>
    <t xml:space="preserve">Overhead Cost</t>
  </si>
  <si>
    <t xml:space="preserve">overhead_cost</t>
  </si>
  <si>
    <t xml:space="preserve">Codes 600-607</t>
  </si>
  <si>
    <t xml:space="preserve">Burden Cost</t>
  </si>
  <si>
    <t xml:space="preserve">burden_cost</t>
  </si>
  <si>
    <t xml:space="preserve">Code 995</t>
  </si>
  <si>
    <t xml:space="preserve">Tax Cost</t>
  </si>
  <si>
    <t xml:space="preserve">tax_cost</t>
  </si>
  <si>
    <t xml:space="preserve">Code 998</t>
  </si>
  <si>
    <t xml:space="preserve">total_hours</t>
  </si>
  <si>
    <t xml:space="preserve">Sum labor codes</t>
  </si>
  <si>
    <t xml:space="preserve">total_workers</t>
  </si>
  <si>
    <t xml:space="preserve">Unique PR IDs</t>
  </si>
  <si>
    <t xml:space="preserve">Blended Gross Wage</t>
  </si>
  <si>
    <t xml:space="preserve">blended_wage</t>
  </si>
  <si>
    <t xml:space="preserve">Fully-Loaded Wage</t>
  </si>
  <si>
    <t xml:space="preserve">loaded_wage</t>
  </si>
  <si>
    <t xml:space="preserve">burden_mult</t>
  </si>
  <si>
    <t xml:space="preserve">Rough-in Hours</t>
  </si>
  <si>
    <t xml:space="preserve">roughin_hours</t>
  </si>
  <si>
    <t xml:space="preserve">Code 120</t>
  </si>
  <si>
    <t xml:space="preserve">Finish Hours</t>
  </si>
  <si>
    <t xml:space="preserve">finish_hours</t>
  </si>
  <si>
    <t xml:space="preserve">Code 130</t>
  </si>
  <si>
    <t xml:space="preserve">Revenue per Hour</t>
  </si>
  <si>
    <t xml:space="preserve">rev_per_hour</t>
  </si>
  <si>
    <t xml:space="preserve">Productivity</t>
  </si>
  <si>
    <t xml:space="preserve">Profit per Hour</t>
  </si>
  <si>
    <t xml:space="preserve">profit_per_hour</t>
  </si>
  <si>
    <t xml:space="preserve">Revenue per Unit</t>
  </si>
  <si>
    <t xml:space="preserve">rev_per_unit</t>
  </si>
  <si>
    <t xml:space="preserve">cost_per_unit</t>
  </si>
  <si>
    <t xml:space="preserve">Hours per Unit</t>
  </si>
  <si>
    <t xml:space="preserve">hours_per_unit</t>
  </si>
  <si>
    <t xml:space="preserve">rev_per_fixture</t>
  </si>
  <si>
    <t xml:space="preserve">labor_pct</t>
  </si>
  <si>
    <t xml:space="preserve">Cost Mix</t>
  </si>
  <si>
    <t xml:space="preserve">material_pct</t>
  </si>
  <si>
    <t xml:space="preserve">Total Vendors</t>
  </si>
  <si>
    <t xml:space="preserve">total_vendors</t>
  </si>
  <si>
    <t xml:space="preserve">Total Invoices</t>
  </si>
  <si>
    <t xml:space="preserve">total_invoices</t>
  </si>
  <si>
    <t xml:space="preserve">Billing</t>
  </si>
  <si>
    <t xml:space="preserve">Top Worker Share</t>
  </si>
  <si>
    <t xml:space="preserve">top_worker_share</t>
  </si>
  <si>
    <t xml:space="preserve">Crew</t>
  </si>
  <si>
    <t xml:space="preserve">Top 5 Worker Share</t>
  </si>
  <si>
    <t xml:space="preserve">top5_worker_share</t>
  </si>
  <si>
    <t xml:space="preserve">Cost Codes Active</t>
  </si>
  <si>
    <t xml:space="preserve">cost_code_count</t>
  </si>
  <si>
    <t xml:space="preserve">Structure</t>
  </si>
  <si>
    <t xml:space="preserve">Executed CO Count</t>
  </si>
  <si>
    <t xml:space="preserve">executed_co_count</t>
  </si>
  <si>
    <t xml:space="preserve">Documents</t>
  </si>
  <si>
    <t xml:space="preserve">CO log</t>
  </si>
  <si>
    <t xml:space="preserve">COR Count</t>
  </si>
  <si>
    <t xml:space="preserve">cor_count</t>
  </si>
  <si>
    <t xml:space="preserve">GDrive COR folder</t>
  </si>
  <si>
    <t xml:space="preserve">RFI/ASI Count</t>
  </si>
  <si>
    <t xml:space="preserve">rfi_asi_count</t>
  </si>
  <si>
    <t xml:space="preserve">GDrive ASI-RFI folder</t>
  </si>
  <si>
    <t xml:space="preserve">Submittal Count</t>
  </si>
  <si>
    <t xml:space="preserve">submittal_count</t>
  </si>
  <si>
    <t xml:space="preserve">GDrive Submittals</t>
  </si>
  <si>
    <t xml:space="preserve">PO Total (all)</t>
  </si>
  <si>
    <t xml:space="preserve">po_count_total</t>
  </si>
  <si>
    <t xml:space="preserve">placed+scheduled+completed</t>
  </si>
  <si>
    <t xml:space="preserve">GDrive POs</t>
  </si>
  <si>
    <t xml:space="preserve">Vendors — AP Summary</t>
  </si>
  <si>
    <t xml:space="preserve">Vendor-level spend ranking</t>
  </si>
  <si>
    <t xml:space="preserve">Rank</t>
  </si>
  <si>
    <t xml:space="preserve">% of AP</t>
  </si>
  <si>
    <t xml:space="preserve">Change Log — Master Register</t>
  </si>
  <si>
    <t xml:space="preserve">Contract, 18 executed COs, retainage events — JDR + GDrive CO folder</t>
  </si>
  <si>
    <t xml:space="preserve">Event ID</t>
  </si>
  <si>
    <t xml:space="preserve">Subject</t>
  </si>
  <si>
    <t xml:space="preserve">Originator</t>
  </si>
  <si>
    <t xml:space="preserve">Cost Impact ($)</t>
  </si>
  <si>
    <t xml:space="preserve">CONTRACT-ORIG</t>
  </si>
  <si>
    <t xml:space="preserve">Contract</t>
  </si>
  <si>
    <t xml:space="preserve">Prime subcontract — Lump Sum $1,766,205.00</t>
  </si>
  <si>
    <t xml:space="preserve">CO-01</t>
  </si>
  <si>
    <t xml:space="preserve">Change Order</t>
  </si>
  <si>
    <t xml:space="preserve">CD Drawing Changes</t>
  </si>
  <si>
    <t xml:space="preserve">GDrive CO 1</t>
  </si>
  <si>
    <t xml:space="preserve">CO-02</t>
  </si>
  <si>
    <t xml:space="preserve">RFI-004 Delete Roof Drains</t>
  </si>
  <si>
    <t xml:space="preserve">GDrive CO 2</t>
  </si>
  <si>
    <t xml:space="preserve">CO-03</t>
  </si>
  <si>
    <t xml:space="preserve">Garage Exhaust Shaft Drain</t>
  </si>
  <si>
    <t xml:space="preserve">GDrive CO 3</t>
  </si>
  <si>
    <t xml:space="preserve">CO-04</t>
  </si>
  <si>
    <t xml:space="preserve">Lower Grease Interceptor per PCC Request</t>
  </si>
  <si>
    <t xml:space="preserve">GDrive CO 4</t>
  </si>
  <si>
    <t xml:space="preserve">CO-05</t>
  </si>
  <si>
    <t xml:space="preserve">Deduct — Bock water heaters → HTP boilers</t>
  </si>
  <si>
    <t xml:space="preserve">GDrive CO 5</t>
  </si>
  <si>
    <t xml:space="preserve">CO-06</t>
  </si>
  <si>
    <t xml:space="preserve">Added Plumbing Items for PCC</t>
  </si>
  <si>
    <t xml:space="preserve">GDrive CO 6</t>
  </si>
  <si>
    <t xml:space="preserve">CO-07</t>
  </si>
  <si>
    <t xml:space="preserve">Roof Drain Changes</t>
  </si>
  <si>
    <t xml:space="preserve">GDrive CO 7</t>
  </si>
  <si>
    <t xml:space="preserve">CO-08</t>
  </si>
  <si>
    <t xml:space="preserve">ASI-010 Added Mop Sink &amp; Move Coffee Maker</t>
  </si>
  <si>
    <t xml:space="preserve">GDrive CO 8</t>
  </si>
  <si>
    <t xml:space="preserve">CO-09</t>
  </si>
  <si>
    <t xml:space="preserve">Grease Waste Pumping (r1)</t>
  </si>
  <si>
    <t xml:space="preserve">GDrive CO 9</t>
  </si>
  <si>
    <t xml:space="preserve">CO-10</t>
  </si>
  <si>
    <t xml:space="preserve">Added Planter Drain</t>
  </si>
  <si>
    <t xml:space="preserve">GDrive CO 10</t>
  </si>
  <si>
    <t xml:space="preserve">CO-11</t>
  </si>
  <si>
    <t xml:space="preserve">Damaged Scissor Lift (backcharge)</t>
  </si>
  <si>
    <t xml:space="preserve">GDrive CO 11</t>
  </si>
  <si>
    <t xml:space="preserve">CO-12</t>
  </si>
  <si>
    <t xml:space="preserve">Move Plumbing at PCC Patio</t>
  </si>
  <si>
    <t xml:space="preserve">GDrive CO 12</t>
  </si>
  <si>
    <t xml:space="preserve">CO-13</t>
  </si>
  <si>
    <t xml:space="preserve">Move Gas Line Unit 411</t>
  </si>
  <si>
    <t xml:space="preserve">GDrive CO 13</t>
  </si>
  <si>
    <t xml:space="preserve">CO-14</t>
  </si>
  <si>
    <t xml:space="preserve">Insulate Waste Lines above PCC (r1)</t>
  </si>
  <si>
    <t xml:space="preserve">GDrive CO 14</t>
  </si>
  <si>
    <t xml:space="preserve">CO-15</t>
  </si>
  <si>
    <t xml:space="preserve">Overtime Premium</t>
  </si>
  <si>
    <t xml:space="preserve">GDrive CO 15</t>
  </si>
  <si>
    <t xml:space="preserve">CO-16</t>
  </si>
  <si>
    <t xml:space="preserve">Re-route Condensate Drains over Loading Dock</t>
  </si>
  <si>
    <t xml:space="preserve">GDrive CO 16</t>
  </si>
  <si>
    <t xml:space="preserve">CO-17</t>
  </si>
  <si>
    <t xml:space="preserve">Pressure-Flush Toilets in Amenity Baths</t>
  </si>
  <si>
    <t xml:space="preserve">GDrive CO 17</t>
  </si>
  <si>
    <t xml:space="preserve">CO-18</t>
  </si>
  <si>
    <t xml:space="preserve">Move PSE Meter Vent</t>
  </si>
  <si>
    <t xml:space="preserve">GDrive CO 18</t>
  </si>
  <si>
    <t xml:space="preserve">XT-A</t>
  </si>
  <si>
    <t xml:space="preserve">Budget Transfer</t>
  </si>
  <si>
    <t xml:space="preserve">Attic Stock Toilets (budget transfer)</t>
  </si>
  <si>
    <t xml:space="preserve">Documented</t>
  </si>
  <si>
    <t xml:space="preserve">GDrive BUDGET TRANSFERS</t>
  </si>
  <si>
    <t xml:space="preserve">XT-B</t>
  </si>
  <si>
    <t xml:space="preserve">Move PSE Gas Vent (budget transfer, likely duplicate of CO #18 line)</t>
  </si>
  <si>
    <t xml:space="preserve">XT-C</t>
  </si>
  <si>
    <t xml:space="preserve">Pressure-Flush Toilets Amenity (budget transfer, likely duplicate of CO #17 line)</t>
  </si>
  <si>
    <t xml:space="preserve">FIRST-INVOICE</t>
  </si>
  <si>
    <t xml:space="preserve">Invoice</t>
  </si>
  <si>
    <t xml:space="preserve">First billing (per JDR)</t>
  </si>
  <si>
    <t xml:space="preserve">Sub (OWP)</t>
  </si>
  <si>
    <t xml:space="preserve">Paid</t>
  </si>
  <si>
    <t xml:space="preserve">LAST-INVOICE</t>
  </si>
  <si>
    <t xml:space="preserve">Last billing (per JDR)</t>
  </si>
  <si>
    <t xml:space="preserve">RETAINAGE-OPEN</t>
  </si>
  <si>
    <t xml:space="preserve">As of 04/03/2026</t>
  </si>
  <si>
    <t xml:space="preserve">Retainage $93,941.20 (outstanding)</t>
  </si>
  <si>
    <t xml:space="preserve">Outstanding</t>
  </si>
  <si>
    <t xml:space="preserve">Root Cause Analysis</t>
  </si>
  <si>
    <t xml:space="preserve">Primary variance drivers by category</t>
  </si>
  <si>
    <t xml:space="preserve">Codes</t>
  </si>
  <si>
    <t xml:space="preserve">Net $ Variance</t>
  </si>
  <si>
    <t xml:space="preserve">Root Cause (inferred)</t>
  </si>
  <si>
    <t xml:space="preserve">Contract Change</t>
  </si>
  <si>
    <t xml:space="preserve">999 (Sales)</t>
  </si>
  <si>
    <t xml:space="preserve">JDR-implied net CO impact</t>
  </si>
  <si>
    <t xml:space="preserve">$1,766,205 → $1,883,761 (18 executed COs)</t>
  </si>
  <si>
    <t xml:space="preserve">100,101,110,111,112,120,130,140,141,142,143,145,150</t>
  </si>
  <si>
    <t xml:space="preserve">Labor variance vs revised budget</t>
  </si>
  <si>
    <t xml:space="preserve">210,211,212,213,220,230,240,241,242,243,244,245</t>
  </si>
  <si>
    <t xml:space="preserve">Material procurement variance</t>
  </si>
  <si>
    <t xml:space="preserve">22 vendors</t>
  </si>
  <si>
    <t xml:space="preserve">600,601,602,603,604,607</t>
  </si>
  <si>
    <t xml:space="preserve">Engineering/permits/subcon variance</t>
  </si>
  <si>
    <t xml:space="preserve">Burden+Tax</t>
  </si>
  <si>
    <t xml:space="preserve">995+998</t>
  </si>
  <si>
    <t xml:space="preserve">Payroll accrual tracking labor</t>
  </si>
  <si>
    <t xml:space="preserve">TOTAL NET VARIANCE</t>
  </si>
  <si>
    <t xml:space="preserve">RESPONSIBILITY ATTRIBUTION</t>
  </si>
  <si>
    <t xml:space="preserve">Responsible Party</t>
  </si>
  <si>
    <t xml:space="preserve"># Drivers</t>
  </si>
  <si>
    <t xml:space="preserve">Net $ Impact</t>
  </si>
  <si>
    <t xml:space="preserve">GC / Owner (scope changes)</t>
  </si>
  <si>
    <t xml:space="preserve">Aggregate executed COs</t>
  </si>
  <si>
    <t xml:space="preserve">Sub (OWP) labor performance</t>
  </si>
  <si>
    <t xml:space="preserve">Hours + rate vs budget</t>
  </si>
  <si>
    <t xml:space="preserve">Sub (OWP) material procurement</t>
  </si>
  <si>
    <t xml:space="preserve">OWP burden accrual</t>
  </si>
  <si>
    <t xml:space="preserve">Payroll burden + tax</t>
  </si>
  <si>
    <t xml:space="preserve">OWP overhead</t>
  </si>
  <si>
    <t xml:space="preserve">Engineering/permits/subcon</t>
  </si>
  <si>
    <t xml:space="preserve">Predictive Signals</t>
  </si>
  <si>
    <t xml:space="preserve">Leading indicators from JDR + CO log</t>
  </si>
  <si>
    <t xml:space="preserve">CURRENT-STATE SIGNALS</t>
  </si>
  <si>
    <t xml:space="preserve">Indicator</t>
  </si>
  <si>
    <t xml:space="preserve">Current Value</t>
  </si>
  <si>
    <t xml:space="preserve">Benchmark</t>
  </si>
  <si>
    <t xml:space="preserve">Meaning</t>
  </si>
  <si>
    <t xml:space="preserve">Contract Change %</t>
  </si>
  <si>
    <t xml:space="preserve">6.66%</t>
  </si>
  <si>
    <t xml:space="preserve">±10%</t>
  </si>
  <si>
    <t xml:space="preserve">HEALTHY</t>
  </si>
  <si>
    <t xml:space="preserve">+6.66% net (18 COs)</t>
  </si>
  <si>
    <t xml:space="preserve">&lt;30%</t>
  </si>
  <si>
    <t xml:space="preserve">24.8%</t>
  </si>
  <si>
    <t xml:space="preserve">GL Overhead % of Revenue</t>
  </si>
  <si>
    <t xml:space="preserve">&lt;5%</t>
  </si>
  <si>
    <t xml:space="preserve">3.1%</t>
  </si>
  <si>
    <t xml:space="preserve">Vendor Concentration (Top 5)</t>
  </si>
  <si>
    <t xml:space="preserve">&lt;95%</t>
  </si>
  <si>
    <t xml:space="preserve">Top 5 = 81% of AP</t>
  </si>
  <si>
    <t xml:space="preserve">Retainage %</t>
  </si>
  <si>
    <t xml:space="preserve">&lt;10%</t>
  </si>
  <si>
    <t xml:space="preserve">5.0%</t>
  </si>
  <si>
    <t xml:space="preserve">&gt;30%</t>
  </si>
  <si>
    <t xml:space="preserve">WATCH</t>
  </si>
  <si>
    <t xml:space="preserve">29.4%</t>
  </si>
  <si>
    <t xml:space="preserve">Labor Hrs Total</t>
  </si>
  <si>
    <t xml:space="preserve">varies</t>
  </si>
  <si>
    <t xml:space="preserve">INFO</t>
  </si>
  <si>
    <t xml:space="preserve">14,650 hrs, 44 workers</t>
  </si>
  <si>
    <t xml:space="preserve">Worker Concentration (top 1)</t>
  </si>
  <si>
    <t xml:space="preserve">&lt;25%</t>
  </si>
  <si>
    <t xml:space="preserve">11.0% (Rivera, Jorge A)</t>
  </si>
  <si>
    <t xml:space="preserve">Rough-in Labor Share</t>
  </si>
  <si>
    <t xml:space="preserve">40-65%</t>
  </si>
  <si>
    <t xml:space="preserve">42%</t>
  </si>
  <si>
    <t xml:space="preserve">Retainage Legacy</t>
  </si>
  <si>
    <t xml:space="preserve">OUTSTANDING</t>
  </si>
  <si>
    <t xml:space="preserve">&lt;90 days post-closeout</t>
  </si>
  <si>
    <t xml:space="preserve">$93,941.20</t>
  </si>
  <si>
    <t xml:space="preserve">FORECAST MODELS</t>
  </si>
  <si>
    <t xml:space="preserve">Forecast</t>
  </si>
  <si>
    <t xml:space="preserve">Current Estimate</t>
  </si>
  <si>
    <t xml:space="preserve">Driver</t>
  </si>
  <si>
    <t xml:space="preserve">Model Note</t>
  </si>
  <si>
    <t xml:space="preserve">Final margin (actual)</t>
  </si>
  <si>
    <t xml:space="preserve">Job closed</t>
  </si>
  <si>
    <t xml:space="preserve">Retainage collection</t>
  </si>
  <si>
    <t xml:space="preserve">Legacy</t>
  </si>
  <si>
    <t xml:space="preserve">Unit-level economics</t>
  </si>
  <si>
    <t xml:space="preserve">$17,442/unit rev, $5,129/unit profit</t>
  </si>
  <si>
    <t xml:space="preserve">Metric Registry — Cortex Data Catalog</t>
  </si>
  <si>
    <t xml:space="preserve">Every metric with data_label, confidence, and source</t>
  </si>
  <si>
    <t xml:space="preserve">Data Label</t>
  </si>
  <si>
    <t xml:space="preserve">Human Label</t>
  </si>
  <si>
    <t xml:space="preserve">Unit</t>
  </si>
  <si>
    <t xml:space="preserve">Source Tab</t>
  </si>
  <si>
    <t xml:space="preserve">Source Document(s)</t>
  </si>
  <si>
    <t xml:space="preserve">id</t>
  </si>
  <si>
    <t xml:space="preserve">text</t>
  </si>
  <si>
    <t xml:space="preserve">date</t>
  </si>
  <si>
    <t xml:space="preserve">months</t>
  </si>
  <si>
    <t xml:space="preserve">units</t>
  </si>
  <si>
    <t xml:space="preserve">count</t>
  </si>
  <si>
    <t xml:space="preserve">hours</t>
  </si>
  <si>
    <t xml:space="preserve">Reconciliation</t>
  </si>
  <si>
    <t xml:space="preserve">Cross-sheet formula checks</t>
  </si>
  <si>
    <t xml:space="preserve">Check</t>
  </si>
  <si>
    <t xml:space="preserve">Value A</t>
  </si>
  <si>
    <t xml:space="preserve">Value B</t>
  </si>
  <si>
    <t xml:space="preserve">Delta</t>
  </si>
  <si>
    <t xml:space="preserve">Tabs</t>
  </si>
  <si>
    <t xml:space="preserve">Revenue = Contract Final</t>
  </si>
  <si>
    <t xml:space="preserve">1↔8</t>
  </si>
  <si>
    <t xml:space="preserve">Expenses = Labor+Mat+OH+Burden+Tax</t>
  </si>
  <si>
    <t xml:space="preserve">1↔3</t>
  </si>
  <si>
    <t xml:space="preserve">Net Profit = Revenue - Expenses</t>
  </si>
  <si>
    <t xml:space="preserve">1↔Derived</t>
  </si>
  <si>
    <t xml:space="preserve">Sage 999 actual = -Revenue</t>
  </si>
  <si>
    <t xml:space="preserve">2↔1</t>
  </si>
  <si>
    <t xml:space="preserve">Total Hours = Worker hours sum</t>
  </si>
  <si>
    <t xml:space="preserve">5↔2</t>
  </si>
  <si>
    <t xml:space="preserve">Contract Final - Orig = CO implied</t>
  </si>
  <si>
    <t xml:space="preserve">11↔Derived</t>
  </si>
  <si>
    <t xml:space="preserve">Worker count</t>
  </si>
  <si>
    <t xml:space="preserve">5↔1</t>
  </si>
  <si>
    <t xml:space="preserve">Cost code count</t>
  </si>
  <si>
    <t xml:space="preserve">2↔16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</si>
</sst>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#,##0.00"/>
    <numFmt numFmtId="167" formatCode="\$#,##0"/>
    <numFmt numFmtId="168" formatCode="\$#,##0.00;&quot;($&quot;#,##0.00\);\-"/>
    <numFmt numFmtId="169" formatCode="0.0%"/>
    <numFmt numFmtId="170" formatCode="#,##0"/>
    <numFmt numFmtId="171" formatCode="0.00\x"/>
    <numFmt numFmtId="172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sz val="11"/>
      <color rgb="FF6B6B65"/>
      <name val="Calibri"/>
      <family val="0"/>
      <charset val="1"/>
    </font>
    <font>
      <b val="true"/>
      <sz val="9"/>
      <color rgb="FF9E9E97"/>
      <name val="Calibri"/>
      <family val="0"/>
      <charset val="1"/>
    </font>
    <font>
      <sz val="10"/>
      <color rgb="FF6B6B65"/>
      <name val="Calibri"/>
      <family val="0"/>
      <charset val="1"/>
    </font>
    <font>
      <sz val="10"/>
      <color rgb="FF191917"/>
      <name val="Calibri"/>
      <family val="0"/>
      <charset val="1"/>
    </font>
    <font>
      <b val="true"/>
      <sz val="9"/>
      <color rgb="FF166534"/>
      <name val="Calibri"/>
      <family val="0"/>
      <charset val="1"/>
    </font>
    <font>
      <b val="true"/>
      <sz val="10"/>
      <color rgb="FF191917"/>
      <name val="Calibri"/>
      <family val="0"/>
      <charset val="1"/>
    </font>
    <font>
      <b val="true"/>
      <sz val="9"/>
      <color rgb="FF92400E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FEFEF"/>
      </patternFill>
    </fill>
    <fill>
      <patternFill patternType="solid">
        <fgColor rgb="FFFBFAF7"/>
        <bgColor rgb="FFFFFFFF"/>
      </patternFill>
    </fill>
    <fill>
      <patternFill patternType="solid">
        <fgColor rgb="FF2E5090"/>
        <bgColor rgb="FF1F3864"/>
      </patternFill>
    </fill>
    <fill>
      <patternFill patternType="solid">
        <fgColor rgb="FFDCFCE7"/>
        <bgColor rgb="FFEFEFEF"/>
      </patternFill>
    </fill>
    <fill>
      <patternFill patternType="solid">
        <fgColor rgb="FFEFEFEF"/>
        <bgColor rgb="FFF2F2F2"/>
      </patternFill>
    </fill>
    <fill>
      <patternFill patternType="solid">
        <fgColor rgb="FFFEF3C7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F2F2F2"/>
      <rgbColor rgb="FFFBFAF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5"/>
      <rgbColor rgb="FF9E9E97"/>
      <rgbColor rgb="FF1F3864"/>
      <rgbColor rgb="FF339966"/>
      <rgbColor rgb="FF191917"/>
      <rgbColor rgb="FF333300"/>
      <rgbColor rgb="FF92400E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0</v>
      </c>
    </row>
    <row r="3" customFormat="false" ht="21.75" hidden="false" customHeight="true" outlineLevel="0" collapsed="false">
      <c r="B3" s="2" t="s">
        <v>1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  <c r="D6" s="5"/>
      <c r="E6" s="5"/>
      <c r="F6" s="5" t="s">
        <v>5</v>
      </c>
      <c r="G6" s="5"/>
      <c r="H6" s="5"/>
      <c r="I6" s="5"/>
      <c r="J6" s="5"/>
    </row>
    <row r="7" customFormat="false" ht="15" hidden="false" customHeight="false" outlineLevel="0" collapsed="false">
      <c r="B7" s="6" t="s">
        <v>6</v>
      </c>
      <c r="C7" s="7" t="s">
        <v>7</v>
      </c>
      <c r="D7" s="7"/>
      <c r="E7" s="7"/>
      <c r="F7" s="7" t="s">
        <v>5</v>
      </c>
      <c r="G7" s="7"/>
      <c r="H7" s="7"/>
      <c r="I7" s="7"/>
      <c r="J7" s="7"/>
    </row>
    <row r="8" customFormat="false" ht="15" hidden="false" customHeight="false" outlineLevel="0" collapsed="false">
      <c r="B8" s="4" t="s">
        <v>8</v>
      </c>
      <c r="C8" s="5" t="s">
        <v>9</v>
      </c>
      <c r="D8" s="5"/>
      <c r="E8" s="5"/>
      <c r="F8" s="5" t="s">
        <v>10</v>
      </c>
      <c r="G8" s="5"/>
      <c r="H8" s="5"/>
      <c r="I8" s="5"/>
      <c r="J8" s="5"/>
    </row>
    <row r="9" customFormat="false" ht="15" hidden="false" customHeight="false" outlineLevel="0" collapsed="false">
      <c r="B9" s="6" t="s">
        <v>11</v>
      </c>
      <c r="C9" s="7" t="s">
        <v>12</v>
      </c>
      <c r="D9" s="7"/>
      <c r="E9" s="7"/>
      <c r="F9" s="7" t="s">
        <v>13</v>
      </c>
      <c r="G9" s="7"/>
      <c r="H9" s="7"/>
      <c r="I9" s="7"/>
      <c r="J9" s="7"/>
    </row>
    <row r="10" customFormat="false" ht="15" hidden="false" customHeight="false" outlineLevel="0" collapsed="false">
      <c r="B10" s="4" t="s">
        <v>14</v>
      </c>
      <c r="C10" s="5" t="s">
        <v>15</v>
      </c>
      <c r="D10" s="5"/>
      <c r="E10" s="5"/>
      <c r="F10" s="5" t="s">
        <v>5</v>
      </c>
      <c r="G10" s="5"/>
      <c r="H10" s="5"/>
      <c r="I10" s="5"/>
      <c r="J10" s="5"/>
    </row>
    <row r="11" customFormat="false" ht="15" hidden="false" customHeight="false" outlineLevel="0" collapsed="false">
      <c r="B11" s="6" t="s">
        <v>16</v>
      </c>
      <c r="C11" s="7" t="s">
        <v>17</v>
      </c>
      <c r="D11" s="7"/>
      <c r="E11" s="7"/>
      <c r="F11" s="7" t="s">
        <v>13</v>
      </c>
      <c r="G11" s="7"/>
      <c r="H11" s="7"/>
      <c r="I11" s="7"/>
      <c r="J11" s="7"/>
    </row>
    <row r="12" customFormat="false" ht="15" hidden="false" customHeight="false" outlineLevel="0" collapsed="false">
      <c r="B12" s="4" t="s">
        <v>18</v>
      </c>
      <c r="C12" s="5" t="s">
        <v>19</v>
      </c>
      <c r="D12" s="5"/>
      <c r="E12" s="5"/>
      <c r="F12" s="5" t="s">
        <v>20</v>
      </c>
      <c r="G12" s="5"/>
      <c r="H12" s="5"/>
      <c r="I12" s="5"/>
      <c r="J12" s="5"/>
    </row>
    <row r="13" customFormat="false" ht="15" hidden="false" customHeight="false" outlineLevel="0" collapsed="false">
      <c r="B13" s="6" t="s">
        <v>21</v>
      </c>
      <c r="C13" s="7" t="s">
        <v>22</v>
      </c>
      <c r="D13" s="7"/>
      <c r="E13" s="7"/>
      <c r="F13" s="7" t="s">
        <v>20</v>
      </c>
      <c r="G13" s="7"/>
      <c r="H13" s="7"/>
      <c r="I13" s="7"/>
      <c r="J13" s="7"/>
    </row>
    <row r="14" customFormat="false" ht="15" hidden="false" customHeight="false" outlineLevel="0" collapsed="false">
      <c r="B14" s="4" t="s">
        <v>23</v>
      </c>
      <c r="C14" s="5" t="s">
        <v>24</v>
      </c>
      <c r="D14" s="5"/>
      <c r="E14" s="5"/>
      <c r="F14" s="5" t="s">
        <v>20</v>
      </c>
      <c r="G14" s="5"/>
      <c r="H14" s="5"/>
      <c r="I14" s="5"/>
      <c r="J14" s="5"/>
    </row>
    <row r="15" customFormat="false" ht="15" hidden="false" customHeight="false" outlineLevel="0" collapsed="false">
      <c r="B15" s="6" t="s">
        <v>25</v>
      </c>
      <c r="C15" s="7" t="s">
        <v>26</v>
      </c>
      <c r="D15" s="7"/>
      <c r="E15" s="7"/>
      <c r="F15" s="7" t="s">
        <v>20</v>
      </c>
      <c r="G15" s="7"/>
      <c r="H15" s="7"/>
      <c r="I15" s="7"/>
      <c r="J15" s="7"/>
    </row>
    <row r="16" customFormat="false" ht="15" hidden="false" customHeight="false" outlineLevel="0" collapsed="false">
      <c r="B16" s="4" t="s">
        <v>27</v>
      </c>
      <c r="C16" s="5" t="s">
        <v>28</v>
      </c>
      <c r="D16" s="5"/>
      <c r="E16" s="5"/>
      <c r="F16" s="5" t="s">
        <v>13</v>
      </c>
      <c r="G16" s="5"/>
      <c r="H16" s="5"/>
      <c r="I16" s="5"/>
      <c r="J16" s="5"/>
    </row>
    <row r="17" customFormat="false" ht="15" hidden="false" customHeight="false" outlineLevel="0" collapsed="false">
      <c r="B17" s="6" t="s">
        <v>29</v>
      </c>
      <c r="C17" s="7" t="s">
        <v>30</v>
      </c>
      <c r="D17" s="7"/>
      <c r="E17" s="7"/>
      <c r="F17" s="7" t="s">
        <v>13</v>
      </c>
      <c r="G17" s="7"/>
      <c r="H17" s="7"/>
      <c r="I17" s="7"/>
      <c r="J17" s="7"/>
    </row>
    <row r="18" customFormat="false" ht="15" hidden="false" customHeight="false" outlineLevel="0" collapsed="false">
      <c r="B18" s="4" t="s">
        <v>31</v>
      </c>
      <c r="C18" s="5" t="s">
        <v>32</v>
      </c>
      <c r="D18" s="5"/>
      <c r="E18" s="5"/>
      <c r="F18" s="5" t="s">
        <v>33</v>
      </c>
      <c r="G18" s="5"/>
      <c r="H18" s="5"/>
      <c r="I18" s="5"/>
      <c r="J18" s="5"/>
    </row>
    <row r="19" customFormat="false" ht="15" hidden="false" customHeight="false" outlineLevel="0" collapsed="false">
      <c r="B19" s="6" t="s">
        <v>34</v>
      </c>
      <c r="C19" s="7" t="s">
        <v>35</v>
      </c>
      <c r="D19" s="7"/>
      <c r="E19" s="7"/>
      <c r="F19" s="7" t="s">
        <v>36</v>
      </c>
      <c r="G19" s="7"/>
      <c r="H19" s="7"/>
      <c r="I19" s="7"/>
      <c r="J19" s="7"/>
    </row>
    <row r="20" customFormat="false" ht="15" hidden="false" customHeight="false" outlineLevel="0" collapsed="false">
      <c r="B20" s="4" t="s">
        <v>37</v>
      </c>
      <c r="C20" s="5" t="s">
        <v>38</v>
      </c>
      <c r="D20" s="5"/>
      <c r="E20" s="5"/>
      <c r="F20" s="5" t="s">
        <v>20</v>
      </c>
      <c r="G20" s="5"/>
      <c r="H20" s="5"/>
      <c r="I20" s="5"/>
      <c r="J20" s="5"/>
    </row>
    <row r="21" customFormat="false" ht="15" hidden="false" customHeight="false" outlineLevel="0" collapsed="false">
      <c r="B21" s="6" t="s">
        <v>39</v>
      </c>
      <c r="C21" s="7" t="n">
        <v>108</v>
      </c>
      <c r="D21" s="7"/>
      <c r="E21" s="7"/>
      <c r="F21" s="7" t="s">
        <v>40</v>
      </c>
      <c r="G21" s="7"/>
      <c r="H21" s="7"/>
      <c r="I21" s="7"/>
      <c r="J21" s="7"/>
    </row>
    <row r="22" customFormat="false" ht="15" hidden="false" customHeight="false" outlineLevel="0" collapsed="false">
      <c r="B22" s="4" t="s">
        <v>41</v>
      </c>
      <c r="C22" s="5" t="s">
        <v>42</v>
      </c>
      <c r="D22" s="5"/>
      <c r="E22" s="5"/>
      <c r="F22" s="5" t="s">
        <v>43</v>
      </c>
      <c r="G22" s="5"/>
      <c r="H22" s="5"/>
      <c r="I22" s="5"/>
      <c r="J22" s="5"/>
    </row>
    <row r="24" customFormat="false" ht="15" hidden="false" customHeight="false" outlineLevel="0" collapsed="false">
      <c r="B24" s="8" t="s">
        <v>44</v>
      </c>
      <c r="D24" s="8" t="s">
        <v>45</v>
      </c>
      <c r="F24" s="8" t="s">
        <v>46</v>
      </c>
      <c r="H24" s="8" t="s">
        <v>47</v>
      </c>
    </row>
    <row r="25" customFormat="false" ht="15" hidden="false" customHeight="false" outlineLevel="0" collapsed="false">
      <c r="B25" s="9" t="n">
        <v>1883761</v>
      </c>
      <c r="D25" s="9" t="n">
        <v>553900.64</v>
      </c>
      <c r="F25" s="9" t="n">
        <v>1329860.36</v>
      </c>
      <c r="H25" s="10" t="n">
        <v>14650.5</v>
      </c>
    </row>
    <row r="26" customFormat="false" ht="15" hidden="false" customHeight="false" outlineLevel="0" collapsed="false">
      <c r="B26" s="11" t="s">
        <v>48</v>
      </c>
      <c r="D26" s="11" t="s">
        <v>49</v>
      </c>
      <c r="F26" s="11" t="s">
        <v>50</v>
      </c>
      <c r="H26" s="11" t="s">
        <v>51</v>
      </c>
    </row>
    <row r="28" customFormat="false" ht="15" hidden="false" customHeight="false" outlineLevel="0" collapsed="false">
      <c r="B28" s="3" t="s">
        <v>52</v>
      </c>
    </row>
    <row r="29" customFormat="false" ht="15" hidden="false" customHeight="false" outlineLevel="0" collapsed="false">
      <c r="B29" s="5" t="s">
        <v>53</v>
      </c>
      <c r="C29" s="5"/>
      <c r="D29" s="5"/>
      <c r="E29" s="5"/>
      <c r="F29" s="5"/>
      <c r="G29" s="5"/>
      <c r="H29" s="5"/>
      <c r="I29" s="5"/>
      <c r="J29" s="5"/>
    </row>
    <row r="30" customFormat="false" ht="15" hidden="false" customHeight="false" outlineLevel="0" collapsed="false">
      <c r="B30" s="5" t="s">
        <v>54</v>
      </c>
      <c r="C30" s="5"/>
      <c r="D30" s="5"/>
      <c r="E30" s="5"/>
      <c r="F30" s="5"/>
      <c r="G30" s="5"/>
      <c r="H30" s="5"/>
      <c r="I30" s="5"/>
      <c r="J30" s="5"/>
    </row>
    <row r="31" customFormat="false" ht="15" hidden="false" customHeight="false" outlineLevel="0" collapsed="false">
      <c r="B31" s="5" t="s">
        <v>55</v>
      </c>
      <c r="C31" s="5"/>
      <c r="D31" s="5"/>
      <c r="E31" s="5"/>
      <c r="F31" s="5"/>
      <c r="G31" s="5"/>
      <c r="H31" s="5"/>
      <c r="I31" s="5"/>
      <c r="J31" s="5"/>
    </row>
    <row r="32" customFormat="false" ht="15" hidden="false" customHeight="false" outlineLevel="0" collapsed="false">
      <c r="B32" s="5" t="s">
        <v>56</v>
      </c>
      <c r="C32" s="5"/>
      <c r="D32" s="5"/>
      <c r="E32" s="5"/>
      <c r="F32" s="5"/>
      <c r="G32" s="5"/>
      <c r="H32" s="5"/>
      <c r="I32" s="5"/>
      <c r="J32" s="5"/>
    </row>
    <row r="33" customFormat="false" ht="15" hidden="false" customHeight="false" outlineLevel="0" collapsed="false">
      <c r="B33" s="5" t="s">
        <v>57</v>
      </c>
      <c r="C33" s="5"/>
      <c r="D33" s="5"/>
      <c r="E33" s="5"/>
      <c r="F33" s="5"/>
      <c r="G33" s="5"/>
      <c r="H33" s="5"/>
      <c r="I33" s="5"/>
      <c r="J33" s="5"/>
    </row>
    <row r="35" customFormat="false" ht="15" hidden="false" customHeight="false" outlineLevel="0" collapsed="false">
      <c r="B35" s="12" t="s">
        <v>58</v>
      </c>
    </row>
    <row r="36" customFormat="false" ht="15" hidden="false" customHeight="false" outlineLevel="0" collapsed="false">
      <c r="B36" s="5" t="s">
        <v>59</v>
      </c>
      <c r="C36" s="5"/>
      <c r="D36" s="5"/>
      <c r="E36" s="5"/>
      <c r="F36" s="5"/>
      <c r="G36" s="5"/>
      <c r="H36" s="5"/>
      <c r="I36" s="5"/>
      <c r="J36" s="5"/>
    </row>
    <row r="37" customFormat="false" ht="15" hidden="false" customHeight="false" outlineLevel="0" collapsed="false">
      <c r="B37" s="5" t="s">
        <v>60</v>
      </c>
      <c r="C37" s="5"/>
      <c r="D37" s="5"/>
      <c r="E37" s="5"/>
      <c r="F37" s="5"/>
      <c r="G37" s="5"/>
      <c r="H37" s="5"/>
      <c r="I37" s="5"/>
      <c r="J37" s="5"/>
    </row>
    <row r="38" customFormat="false" ht="15" hidden="false" customHeight="false" outlineLevel="0" collapsed="false">
      <c r="B38" s="5" t="s">
        <v>61</v>
      </c>
      <c r="C38" s="5"/>
      <c r="D38" s="5"/>
      <c r="E38" s="5"/>
      <c r="F38" s="5"/>
      <c r="G38" s="5"/>
      <c r="H38" s="5"/>
      <c r="I38" s="5"/>
      <c r="J38" s="5"/>
    </row>
    <row r="39" customFormat="false" ht="15" hidden="false" customHeight="false" outlineLevel="0" collapsed="false">
      <c r="B39" s="5" t="s">
        <v>62</v>
      </c>
      <c r="C39" s="5"/>
      <c r="D39" s="5"/>
      <c r="E39" s="5"/>
      <c r="F39" s="5"/>
      <c r="G39" s="5"/>
      <c r="H39" s="5"/>
      <c r="I39" s="5"/>
      <c r="J39" s="5"/>
    </row>
    <row r="40" customFormat="false" ht="15" hidden="false" customHeight="false" outlineLevel="0" collapsed="false">
      <c r="B40" s="5" t="s">
        <v>63</v>
      </c>
      <c r="C40" s="5"/>
      <c r="D40" s="5"/>
      <c r="E40" s="5"/>
      <c r="F40" s="5"/>
      <c r="G40" s="5"/>
      <c r="H40" s="5"/>
      <c r="I40" s="5"/>
      <c r="J40" s="5"/>
    </row>
    <row r="41" customFormat="false" ht="15" hidden="false" customHeight="false" outlineLevel="0" collapsed="false">
      <c r="B41" s="5" t="s">
        <v>64</v>
      </c>
      <c r="C41" s="5"/>
      <c r="D41" s="5"/>
      <c r="E41" s="5"/>
      <c r="F41" s="5"/>
      <c r="G41" s="5"/>
      <c r="H41" s="5"/>
      <c r="I41" s="5"/>
      <c r="J41" s="5"/>
    </row>
    <row r="43" customFormat="false" ht="15" hidden="false" customHeight="false" outlineLevel="0" collapsed="false">
      <c r="B43" s="3" t="s">
        <v>65</v>
      </c>
    </row>
    <row r="44" customFormat="false" ht="15" hidden="false" customHeight="false" outlineLevel="0" collapsed="false">
      <c r="B44" s="3" t="s">
        <v>66</v>
      </c>
      <c r="C44" s="3" t="s">
        <v>67</v>
      </c>
      <c r="D44" s="3" t="s">
        <v>68</v>
      </c>
    </row>
    <row r="45" customFormat="false" ht="15" hidden="false" customHeight="false" outlineLevel="0" collapsed="false">
      <c r="B45" s="11" t="s">
        <v>69</v>
      </c>
      <c r="C45" s="13" t="s">
        <v>70</v>
      </c>
      <c r="D45" s="5" t="s">
        <v>12</v>
      </c>
      <c r="E45" s="5"/>
      <c r="F45" s="5"/>
      <c r="G45" s="5"/>
      <c r="H45" s="5"/>
      <c r="I45" s="5"/>
      <c r="J45" s="5"/>
    </row>
    <row r="46" customFormat="false" ht="15" hidden="false" customHeight="false" outlineLevel="0" collapsed="false">
      <c r="B46" s="11" t="s">
        <v>18</v>
      </c>
      <c r="C46" s="13" t="s">
        <v>70</v>
      </c>
      <c r="D46" s="5" t="s">
        <v>19</v>
      </c>
      <c r="E46" s="5"/>
      <c r="F46" s="5"/>
      <c r="G46" s="5"/>
      <c r="H46" s="5"/>
      <c r="I46" s="5"/>
      <c r="J46" s="5"/>
    </row>
    <row r="47" customFormat="false" ht="15" hidden="false" customHeight="false" outlineLevel="0" collapsed="false">
      <c r="B47" s="11" t="s">
        <v>21</v>
      </c>
      <c r="C47" s="13" t="s">
        <v>70</v>
      </c>
      <c r="D47" s="5" t="s">
        <v>22</v>
      </c>
      <c r="E47" s="5"/>
      <c r="F47" s="5"/>
      <c r="G47" s="5"/>
      <c r="H47" s="5"/>
      <c r="I47" s="5"/>
      <c r="J47" s="5"/>
    </row>
    <row r="48" customFormat="false" ht="15" hidden="false" customHeight="false" outlineLevel="0" collapsed="false">
      <c r="B48" s="11" t="s">
        <v>23</v>
      </c>
      <c r="C48" s="14" t="s">
        <v>24</v>
      </c>
      <c r="D48" s="5" t="s">
        <v>24</v>
      </c>
      <c r="E48" s="5"/>
      <c r="F48" s="5"/>
      <c r="G48" s="5"/>
      <c r="H48" s="5"/>
      <c r="I48" s="5"/>
      <c r="J48" s="5"/>
    </row>
    <row r="49" customFormat="false" ht="15" hidden="false" customHeight="false" outlineLevel="0" collapsed="false">
      <c r="B49" s="11" t="s">
        <v>71</v>
      </c>
      <c r="C49" s="13" t="s">
        <v>70</v>
      </c>
      <c r="D49" s="5" t="s">
        <v>17</v>
      </c>
      <c r="E49" s="5"/>
      <c r="F49" s="5"/>
      <c r="G49" s="5"/>
      <c r="H49" s="5"/>
      <c r="I49" s="5"/>
      <c r="J49" s="5"/>
    </row>
    <row r="50" customFormat="false" ht="15" hidden="false" customHeight="false" outlineLevel="0" collapsed="false">
      <c r="B50" s="11" t="s">
        <v>34</v>
      </c>
      <c r="C50" s="13" t="s">
        <v>70</v>
      </c>
      <c r="D50" s="5" t="s">
        <v>35</v>
      </c>
      <c r="E50" s="5"/>
      <c r="F50" s="5"/>
      <c r="G50" s="5"/>
      <c r="H50" s="5"/>
      <c r="I50" s="5"/>
      <c r="J50" s="5"/>
    </row>
    <row r="51" customFormat="false" ht="15" hidden="false" customHeight="false" outlineLevel="0" collapsed="false">
      <c r="B51" s="11" t="s">
        <v>72</v>
      </c>
      <c r="C51" s="14" t="s">
        <v>24</v>
      </c>
      <c r="D51" s="5" t="s">
        <v>24</v>
      </c>
      <c r="E51" s="5"/>
      <c r="F51" s="5"/>
      <c r="G51" s="5"/>
      <c r="H51" s="5"/>
      <c r="I51" s="5"/>
      <c r="J51" s="5"/>
    </row>
    <row r="52" customFormat="false" ht="15" hidden="false" customHeight="false" outlineLevel="0" collapsed="false">
      <c r="B52" s="11" t="s">
        <v>73</v>
      </c>
      <c r="C52" s="14" t="s">
        <v>24</v>
      </c>
      <c r="D52" s="5" t="s">
        <v>24</v>
      </c>
      <c r="E52" s="5"/>
      <c r="F52" s="5"/>
      <c r="G52" s="5"/>
      <c r="H52" s="5"/>
      <c r="I52" s="5"/>
      <c r="J52" s="5"/>
    </row>
    <row r="53" customFormat="false" ht="15" hidden="false" customHeight="false" outlineLevel="0" collapsed="false">
      <c r="B53" s="11" t="s">
        <v>74</v>
      </c>
      <c r="C53" s="14" t="s">
        <v>24</v>
      </c>
      <c r="D53" s="5" t="s">
        <v>24</v>
      </c>
      <c r="E53" s="5"/>
      <c r="F53" s="5"/>
      <c r="G53" s="5"/>
      <c r="H53" s="5"/>
      <c r="I53" s="5"/>
      <c r="J53" s="5"/>
    </row>
    <row r="54" customFormat="false" ht="15" hidden="false" customHeight="false" outlineLevel="0" collapsed="false">
      <c r="B54" s="11" t="s">
        <v>75</v>
      </c>
      <c r="C54" s="14" t="s">
        <v>24</v>
      </c>
      <c r="D54" s="5" t="s">
        <v>24</v>
      </c>
      <c r="E54" s="5"/>
      <c r="F54" s="5"/>
      <c r="G54" s="5"/>
      <c r="H54" s="5"/>
      <c r="I54" s="5"/>
      <c r="J54" s="5"/>
    </row>
    <row r="55" customFormat="false" ht="15" hidden="false" customHeight="false" outlineLevel="0" collapsed="false">
      <c r="B55" s="11" t="s">
        <v>76</v>
      </c>
      <c r="C55" s="14" t="s">
        <v>24</v>
      </c>
      <c r="D55" s="5" t="s">
        <v>24</v>
      </c>
      <c r="E55" s="5"/>
      <c r="F55" s="5"/>
      <c r="G55" s="5"/>
      <c r="H55" s="5"/>
      <c r="I55" s="5"/>
      <c r="J55" s="5"/>
    </row>
    <row r="56" customFormat="false" ht="15" hidden="false" customHeight="false" outlineLevel="0" collapsed="false">
      <c r="B56" s="11" t="s">
        <v>29</v>
      </c>
      <c r="C56" s="13" t="s">
        <v>70</v>
      </c>
      <c r="D56" s="5" t="s">
        <v>30</v>
      </c>
      <c r="E56" s="5"/>
      <c r="F56" s="5"/>
      <c r="G56" s="5"/>
      <c r="H56" s="5"/>
      <c r="I56" s="5"/>
      <c r="J56" s="5"/>
    </row>
    <row r="57" customFormat="false" ht="15" hidden="false" customHeight="false" outlineLevel="0" collapsed="false">
      <c r="B57" s="11" t="s">
        <v>25</v>
      </c>
      <c r="C57" s="13" t="s">
        <v>70</v>
      </c>
      <c r="D57" s="5" t="s">
        <v>26</v>
      </c>
      <c r="E57" s="5"/>
      <c r="F57" s="5"/>
      <c r="G57" s="5"/>
      <c r="H57" s="5"/>
      <c r="I57" s="5"/>
      <c r="J57" s="5"/>
    </row>
  </sheetData>
  <mergeCells count="58">
    <mergeCell ref="C6:E6"/>
    <mergeCell ref="F6:J6"/>
    <mergeCell ref="C7:E7"/>
    <mergeCell ref="F7:J7"/>
    <mergeCell ref="C8:E8"/>
    <mergeCell ref="F8:J8"/>
    <mergeCell ref="C9:E9"/>
    <mergeCell ref="F9:J9"/>
    <mergeCell ref="C10:E10"/>
    <mergeCell ref="F10:J10"/>
    <mergeCell ref="C11:E11"/>
    <mergeCell ref="F11:J11"/>
    <mergeCell ref="C12:E12"/>
    <mergeCell ref="F12:J12"/>
    <mergeCell ref="C13:E13"/>
    <mergeCell ref="F13:J13"/>
    <mergeCell ref="C14:E14"/>
    <mergeCell ref="F14:J14"/>
    <mergeCell ref="C15:E15"/>
    <mergeCell ref="F15:J15"/>
    <mergeCell ref="C16:E16"/>
    <mergeCell ref="F16:J16"/>
    <mergeCell ref="C17:E17"/>
    <mergeCell ref="F17:J17"/>
    <mergeCell ref="C18:E18"/>
    <mergeCell ref="F18:J18"/>
    <mergeCell ref="C19:E19"/>
    <mergeCell ref="F19:J19"/>
    <mergeCell ref="C20:E20"/>
    <mergeCell ref="F20:J20"/>
    <mergeCell ref="C21:E21"/>
    <mergeCell ref="F21:J21"/>
    <mergeCell ref="C22:E22"/>
    <mergeCell ref="F22:J22"/>
    <mergeCell ref="B29:J29"/>
    <mergeCell ref="B30:J30"/>
    <mergeCell ref="B31:J31"/>
    <mergeCell ref="B32:J32"/>
    <mergeCell ref="B33:J33"/>
    <mergeCell ref="B36:J36"/>
    <mergeCell ref="B37:J37"/>
    <mergeCell ref="B38:J38"/>
    <mergeCell ref="B39:J39"/>
    <mergeCell ref="B40:J40"/>
    <mergeCell ref="B41:J41"/>
    <mergeCell ref="D45:J45"/>
    <mergeCell ref="D46:J46"/>
    <mergeCell ref="D47:J47"/>
    <mergeCell ref="D48:J48"/>
    <mergeCell ref="D49:J49"/>
    <mergeCell ref="D50:J50"/>
    <mergeCell ref="D51:J51"/>
    <mergeCell ref="D52:J52"/>
    <mergeCell ref="D53:J53"/>
    <mergeCell ref="D54:J54"/>
    <mergeCell ref="D55:J55"/>
    <mergeCell ref="D56:J56"/>
    <mergeCell ref="D57:J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77</v>
      </c>
    </row>
    <row r="3" customFormat="false" ht="21.75" hidden="false" customHeight="true" outlineLevel="0" collapsed="false">
      <c r="B3" s="2" t="s">
        <v>78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79</v>
      </c>
      <c r="C5" s="3" t="s">
        <v>80</v>
      </c>
      <c r="D5" s="3" t="s">
        <v>81</v>
      </c>
      <c r="E5" s="3" t="s">
        <v>82</v>
      </c>
      <c r="F5" s="3" t="s">
        <v>83</v>
      </c>
      <c r="G5" s="3" t="s">
        <v>84</v>
      </c>
      <c r="H5" s="3" t="s">
        <v>85</v>
      </c>
      <c r="I5" s="3" t="s">
        <v>86</v>
      </c>
      <c r="J5" s="3" t="s">
        <v>87</v>
      </c>
    </row>
    <row r="6" customFormat="false" ht="15" hidden="false" customHeight="false" outlineLevel="0" collapsed="false">
      <c r="B6" s="11" t="s">
        <v>88</v>
      </c>
      <c r="C6" s="11" t="s">
        <v>89</v>
      </c>
      <c r="D6" s="15" t="n">
        <v>8640</v>
      </c>
      <c r="E6" s="15" t="n">
        <v>9440</v>
      </c>
      <c r="F6" s="9" t="n">
        <v>5242</v>
      </c>
      <c r="G6" s="16" t="n">
        <f aca="false">F6-E6</f>
        <v>-4198</v>
      </c>
      <c r="H6" s="17" t="n">
        <f aca="false">IF(E6=0,"",F6/E6)</f>
        <v>0.555296610169492</v>
      </c>
      <c r="I6" s="10" t="n">
        <v>100</v>
      </c>
      <c r="J6" s="11" t="s">
        <v>5</v>
      </c>
    </row>
    <row r="7" customFormat="false" ht="15" hidden="false" customHeight="false" outlineLevel="0" collapsed="false">
      <c r="B7" s="11" t="s">
        <v>90</v>
      </c>
      <c r="C7" s="11" t="s">
        <v>91</v>
      </c>
      <c r="D7" s="15" t="n">
        <v>15120</v>
      </c>
      <c r="E7" s="15" t="n">
        <v>16020</v>
      </c>
      <c r="F7" s="9" t="n">
        <v>16934</v>
      </c>
      <c r="G7" s="16" t="n">
        <f aca="false">F7-E7</f>
        <v>914</v>
      </c>
      <c r="H7" s="17" t="n">
        <f aca="false">IF(E7=0,"",F7/E7)</f>
        <v>1.05705368289638</v>
      </c>
      <c r="I7" s="10" t="n">
        <v>297</v>
      </c>
      <c r="J7" s="11" t="s">
        <v>5</v>
      </c>
    </row>
    <row r="8" customFormat="false" ht="15" hidden="false" customHeight="false" outlineLevel="0" collapsed="false">
      <c r="B8" s="11" t="s">
        <v>92</v>
      </c>
      <c r="C8" s="11" t="s">
        <v>93</v>
      </c>
      <c r="D8" s="15" t="n">
        <v>14780</v>
      </c>
      <c r="E8" s="15" t="n">
        <v>17300</v>
      </c>
      <c r="F8" s="9" t="n">
        <v>11895</v>
      </c>
      <c r="G8" s="16" t="n">
        <f aca="false">F8-E8</f>
        <v>-5405</v>
      </c>
      <c r="H8" s="17" t="n">
        <f aca="false">IF(E8=0,"",F8/E8)</f>
        <v>0.68757225433526</v>
      </c>
      <c r="I8" s="10" t="n">
        <v>312.5</v>
      </c>
      <c r="J8" s="11" t="s">
        <v>5</v>
      </c>
    </row>
    <row r="9" customFormat="false" ht="15" hidden="false" customHeight="false" outlineLevel="0" collapsed="false">
      <c r="B9" s="11" t="s">
        <v>94</v>
      </c>
      <c r="C9" s="11" t="s">
        <v>95</v>
      </c>
      <c r="D9" s="15" t="n">
        <v>92270</v>
      </c>
      <c r="E9" s="15" t="n">
        <v>107770</v>
      </c>
      <c r="F9" s="9" t="n">
        <v>120082.91</v>
      </c>
      <c r="G9" s="16" t="n">
        <f aca="false">F9-E9</f>
        <v>12312.91</v>
      </c>
      <c r="H9" s="17" t="n">
        <f aca="false">IF(E9=0,"",F9/E9)</f>
        <v>1.11425173981628</v>
      </c>
      <c r="I9" s="10" t="n">
        <v>3647.5</v>
      </c>
      <c r="J9" s="11" t="s">
        <v>5</v>
      </c>
    </row>
    <row r="10" customFormat="false" ht="15" hidden="false" customHeight="false" outlineLevel="0" collapsed="false">
      <c r="B10" s="11" t="s">
        <v>96</v>
      </c>
      <c r="C10" s="11" t="s">
        <v>97</v>
      </c>
      <c r="D10" s="15" t="n">
        <v>22500</v>
      </c>
      <c r="E10" s="15" t="n">
        <v>22590</v>
      </c>
      <c r="F10" s="9" t="n">
        <v>13665</v>
      </c>
      <c r="G10" s="16" t="n">
        <f aca="false">F10-E10</f>
        <v>-8925</v>
      </c>
      <c r="H10" s="17" t="n">
        <f aca="false">IF(E10=0,"",F10/E10)</f>
        <v>0.604913678618858</v>
      </c>
      <c r="I10" s="10" t="n">
        <v>379</v>
      </c>
      <c r="J10" s="11" t="s">
        <v>5</v>
      </c>
    </row>
    <row r="11" customFormat="false" ht="15" hidden="false" customHeight="false" outlineLevel="0" collapsed="false">
      <c r="B11" s="11" t="s">
        <v>98</v>
      </c>
      <c r="C11" s="11" t="s">
        <v>99</v>
      </c>
      <c r="D11" s="15" t="n">
        <v>155820</v>
      </c>
      <c r="E11" s="15" t="n">
        <v>150920</v>
      </c>
      <c r="F11" s="9" t="n">
        <v>187351.59</v>
      </c>
      <c r="G11" s="16" t="n">
        <f aca="false">F11-E11</f>
        <v>36431.59</v>
      </c>
      <c r="H11" s="17" t="n">
        <f aca="false">IF(E11=0,"",F11/E11)</f>
        <v>1.24139670023854</v>
      </c>
      <c r="I11" s="10" t="n">
        <v>6131</v>
      </c>
      <c r="J11" s="11" t="s">
        <v>5</v>
      </c>
    </row>
    <row r="12" customFormat="false" ht="15" hidden="false" customHeight="false" outlineLevel="0" collapsed="false">
      <c r="B12" s="11" t="s">
        <v>100</v>
      </c>
      <c r="C12" s="11" t="s">
        <v>101</v>
      </c>
      <c r="D12" s="15" t="n">
        <v>42870</v>
      </c>
      <c r="E12" s="15" t="n">
        <v>43420</v>
      </c>
      <c r="F12" s="9" t="n">
        <v>33336</v>
      </c>
      <c r="G12" s="16" t="n">
        <f aca="false">F12-E12</f>
        <v>-10084</v>
      </c>
      <c r="H12" s="17" t="n">
        <f aca="false">IF(E12=0,"",F12/E12)</f>
        <v>0.7677567941041</v>
      </c>
      <c r="I12" s="10" t="n">
        <v>1290</v>
      </c>
      <c r="J12" s="11" t="s">
        <v>5</v>
      </c>
    </row>
    <row r="13" customFormat="false" ht="15" hidden="false" customHeight="false" outlineLevel="0" collapsed="false">
      <c r="B13" s="11" t="s">
        <v>102</v>
      </c>
      <c r="C13" s="11" t="s">
        <v>103</v>
      </c>
      <c r="D13" s="15" t="n">
        <v>9750</v>
      </c>
      <c r="E13" s="15" t="n">
        <v>10950</v>
      </c>
      <c r="F13" s="9" t="n">
        <v>7098</v>
      </c>
      <c r="G13" s="16" t="n">
        <f aca="false">F13-E13</f>
        <v>-3852</v>
      </c>
      <c r="H13" s="17" t="n">
        <f aca="false">IF(E13=0,"",F13/E13)</f>
        <v>0.648219178082192</v>
      </c>
      <c r="I13" s="10" t="n">
        <v>217</v>
      </c>
      <c r="J13" s="11" t="s">
        <v>5</v>
      </c>
    </row>
    <row r="14" customFormat="false" ht="15" hidden="false" customHeight="false" outlineLevel="0" collapsed="false">
      <c r="B14" s="11" t="s">
        <v>104</v>
      </c>
      <c r="C14" s="11" t="s">
        <v>105</v>
      </c>
      <c r="D14" s="15" t="n">
        <v>52850</v>
      </c>
      <c r="E14" s="15" t="n">
        <v>53000</v>
      </c>
      <c r="F14" s="9" t="n">
        <v>53432</v>
      </c>
      <c r="G14" s="16" t="n">
        <f aca="false">F14-E14</f>
        <v>432</v>
      </c>
      <c r="H14" s="17" t="n">
        <f aca="false">IF(E14=0,"",F14/E14)</f>
        <v>1.00815094339623</v>
      </c>
      <c r="I14" s="10" t="n">
        <v>1697.5</v>
      </c>
      <c r="J14" s="11" t="s">
        <v>5</v>
      </c>
    </row>
    <row r="15" customFormat="false" ht="15" hidden="false" customHeight="false" outlineLevel="0" collapsed="false">
      <c r="B15" s="11" t="s">
        <v>106</v>
      </c>
      <c r="C15" s="11" t="s">
        <v>107</v>
      </c>
      <c r="D15" s="15" t="n">
        <v>17500</v>
      </c>
      <c r="E15" s="15" t="n">
        <v>17500</v>
      </c>
      <c r="F15" s="9" t="n">
        <v>15740.5</v>
      </c>
      <c r="G15" s="16" t="n">
        <f aca="false">F15-E15</f>
        <v>-1759.5</v>
      </c>
      <c r="H15" s="17" t="n">
        <f aca="false">IF(E15=0,"",F15/E15)</f>
        <v>0.899457142857143</v>
      </c>
      <c r="I15" s="10" t="n">
        <v>424.5</v>
      </c>
      <c r="J15" s="11" t="s">
        <v>5</v>
      </c>
    </row>
    <row r="16" customFormat="false" ht="15" hidden="false" customHeight="false" outlineLevel="0" collapsed="false">
      <c r="B16" s="11" t="s">
        <v>108</v>
      </c>
      <c r="C16" s="11" t="s">
        <v>109</v>
      </c>
      <c r="D16" s="15" t="n">
        <v>0</v>
      </c>
      <c r="E16" s="15" t="n">
        <v>0</v>
      </c>
      <c r="F16" s="9" t="n">
        <v>2447</v>
      </c>
      <c r="G16" s="16" t="n">
        <f aca="false">F16-E16</f>
        <v>2447</v>
      </c>
      <c r="H16" s="17" t="str">
        <f aca="false">IF(E16=0,"",F16/E16)</f>
        <v/>
      </c>
      <c r="I16" s="10" t="n">
        <v>69</v>
      </c>
      <c r="J16" s="11" t="s">
        <v>5</v>
      </c>
    </row>
    <row r="17" customFormat="false" ht="15" hidden="false" customHeight="false" outlineLevel="0" collapsed="false">
      <c r="B17" s="11" t="s">
        <v>110</v>
      </c>
      <c r="C17" s="11" t="s">
        <v>111</v>
      </c>
      <c r="D17" s="15" t="n">
        <v>0</v>
      </c>
      <c r="E17" s="15" t="n">
        <v>0</v>
      </c>
      <c r="F17" s="9" t="n">
        <v>73.5</v>
      </c>
      <c r="G17" s="16" t="n">
        <f aca="false">F17-E17</f>
        <v>73.5</v>
      </c>
      <c r="H17" s="17" t="str">
        <f aca="false">IF(E17=0,"",F17/E17)</f>
        <v/>
      </c>
      <c r="I17" s="10" t="n">
        <v>1.5</v>
      </c>
      <c r="J17" s="11" t="s">
        <v>5</v>
      </c>
    </row>
    <row r="18" customFormat="false" ht="15" hidden="false" customHeight="false" outlineLevel="0" collapsed="false">
      <c r="B18" s="11" t="s">
        <v>112</v>
      </c>
      <c r="C18" s="11" t="s">
        <v>113</v>
      </c>
      <c r="D18" s="15" t="n">
        <v>9540</v>
      </c>
      <c r="E18" s="15" t="n">
        <v>14690</v>
      </c>
      <c r="F18" s="9" t="n">
        <v>6296.57</v>
      </c>
      <c r="G18" s="16" t="n">
        <f aca="false">F18-E18</f>
        <v>-8393.43</v>
      </c>
      <c r="H18" s="17" t="n">
        <f aca="false">IF(E18=0,"",F18/E18)</f>
        <v>0.428629680054459</v>
      </c>
      <c r="I18" s="11"/>
      <c r="J18" s="11" t="s">
        <v>5</v>
      </c>
    </row>
    <row r="19" customFormat="false" ht="15" hidden="false" customHeight="false" outlineLevel="0" collapsed="false">
      <c r="B19" s="11" t="s">
        <v>114</v>
      </c>
      <c r="C19" s="11" t="s">
        <v>115</v>
      </c>
      <c r="D19" s="15" t="n">
        <v>86250</v>
      </c>
      <c r="E19" s="15" t="n">
        <v>95533</v>
      </c>
      <c r="F19" s="9" t="n">
        <v>71058.87</v>
      </c>
      <c r="G19" s="16" t="n">
        <f aca="false">F19-E19</f>
        <v>-24474.13</v>
      </c>
      <c r="H19" s="17" t="n">
        <f aca="false">IF(E19=0,"",F19/E19)</f>
        <v>0.743814912124606</v>
      </c>
      <c r="I19" s="11"/>
      <c r="J19" s="11" t="s">
        <v>5</v>
      </c>
    </row>
    <row r="20" customFormat="false" ht="15" hidden="false" customHeight="false" outlineLevel="0" collapsed="false">
      <c r="B20" s="11" t="s">
        <v>116</v>
      </c>
      <c r="C20" s="11" t="s">
        <v>117</v>
      </c>
      <c r="D20" s="15" t="n">
        <v>22500</v>
      </c>
      <c r="E20" s="15" t="n">
        <v>22695</v>
      </c>
      <c r="F20" s="9" t="n">
        <v>8465.53</v>
      </c>
      <c r="G20" s="16" t="n">
        <f aca="false">F20-E20</f>
        <v>-14229.47</v>
      </c>
      <c r="H20" s="17" t="n">
        <f aca="false">IF(E20=0,"",F20/E20)</f>
        <v>0.37301299845781</v>
      </c>
      <c r="I20" s="11"/>
      <c r="J20" s="11" t="s">
        <v>5</v>
      </c>
    </row>
    <row r="21" customFormat="false" ht="15" hidden="false" customHeight="false" outlineLevel="0" collapsed="false">
      <c r="B21" s="11" t="s">
        <v>118</v>
      </c>
      <c r="C21" s="11" t="s">
        <v>119</v>
      </c>
      <c r="D21" s="15" t="n">
        <v>90850</v>
      </c>
      <c r="E21" s="15" t="n">
        <v>90170</v>
      </c>
      <c r="F21" s="9" t="n">
        <v>79004.39</v>
      </c>
      <c r="G21" s="16" t="n">
        <f aca="false">F21-E21</f>
        <v>-11165.61</v>
      </c>
      <c r="H21" s="17" t="n">
        <f aca="false">IF(E21=0,"",F21/E21)</f>
        <v>0.876171564822003</v>
      </c>
      <c r="I21" s="11"/>
      <c r="J21" s="11" t="s">
        <v>5</v>
      </c>
    </row>
    <row r="22" customFormat="false" ht="15" hidden="false" customHeight="false" outlineLevel="0" collapsed="false">
      <c r="B22" s="11" t="s">
        <v>120</v>
      </c>
      <c r="C22" s="11" t="s">
        <v>121</v>
      </c>
      <c r="D22" s="15" t="n">
        <v>311040</v>
      </c>
      <c r="E22" s="15" t="n">
        <v>337431</v>
      </c>
      <c r="F22" s="9" t="n">
        <v>251663.7</v>
      </c>
      <c r="G22" s="16" t="n">
        <f aca="false">F22-E22</f>
        <v>-85767.3</v>
      </c>
      <c r="H22" s="17" t="n">
        <f aca="false">IF(E22=0,"",F22/E22)</f>
        <v>0.745822701530091</v>
      </c>
      <c r="I22" s="11"/>
      <c r="J22" s="11" t="s">
        <v>5</v>
      </c>
    </row>
    <row r="23" customFormat="false" ht="15" hidden="false" customHeight="false" outlineLevel="0" collapsed="false">
      <c r="B23" s="11" t="s">
        <v>122</v>
      </c>
      <c r="C23" s="11" t="s">
        <v>123</v>
      </c>
      <c r="D23" s="15" t="n">
        <v>5250</v>
      </c>
      <c r="E23" s="15" t="n">
        <v>5580</v>
      </c>
      <c r="F23" s="9" t="n">
        <v>4155.07</v>
      </c>
      <c r="G23" s="16" t="n">
        <f aca="false">F23-E23</f>
        <v>-1424.93</v>
      </c>
      <c r="H23" s="17" t="n">
        <f aca="false">IF(E23=0,"",F23/E23)</f>
        <v>0.744636200716846</v>
      </c>
      <c r="I23" s="11"/>
      <c r="J23" s="11" t="s">
        <v>5</v>
      </c>
    </row>
    <row r="24" customFormat="false" ht="15" hidden="false" customHeight="false" outlineLevel="0" collapsed="false">
      <c r="B24" s="11" t="s">
        <v>124</v>
      </c>
      <c r="C24" s="11" t="s">
        <v>125</v>
      </c>
      <c r="D24" s="15" t="n">
        <v>50200</v>
      </c>
      <c r="E24" s="15" t="n">
        <v>51126</v>
      </c>
      <c r="F24" s="9" t="n">
        <v>62146.49</v>
      </c>
      <c r="G24" s="16" t="n">
        <f aca="false">F24-E24</f>
        <v>11020.49</v>
      </c>
      <c r="H24" s="17" t="n">
        <f aca="false">IF(E24=0,"",F24/E24)</f>
        <v>1.21555549035716</v>
      </c>
      <c r="I24" s="11"/>
      <c r="J24" s="11" t="s">
        <v>5</v>
      </c>
    </row>
    <row r="25" customFormat="false" ht="15" hidden="false" customHeight="false" outlineLevel="0" collapsed="false">
      <c r="B25" s="11" t="s">
        <v>126</v>
      </c>
      <c r="C25" s="11" t="s">
        <v>127</v>
      </c>
      <c r="D25" s="15" t="n">
        <v>22500</v>
      </c>
      <c r="E25" s="15" t="n">
        <v>22500</v>
      </c>
      <c r="F25" s="9" t="n">
        <v>19825.43</v>
      </c>
      <c r="G25" s="16" t="n">
        <f aca="false">F25-E25</f>
        <v>-2674.57</v>
      </c>
      <c r="H25" s="17" t="n">
        <f aca="false">IF(E25=0,"",F25/E25)</f>
        <v>0.881130222222222</v>
      </c>
      <c r="I25" s="11"/>
      <c r="J25" s="11" t="s">
        <v>5</v>
      </c>
    </row>
    <row r="26" customFormat="false" ht="15" hidden="false" customHeight="false" outlineLevel="0" collapsed="false">
      <c r="B26" s="11" t="s">
        <v>128</v>
      </c>
      <c r="C26" s="11" t="s">
        <v>129</v>
      </c>
      <c r="D26" s="15" t="n">
        <v>0</v>
      </c>
      <c r="E26" s="15" t="n">
        <v>0</v>
      </c>
      <c r="F26" s="9" t="n">
        <v>0</v>
      </c>
      <c r="G26" s="16" t="n">
        <f aca="false">F26-E26</f>
        <v>0</v>
      </c>
      <c r="H26" s="17" t="str">
        <f aca="false">IF(E26=0,"",F26/E26)</f>
        <v/>
      </c>
      <c r="I26" s="11"/>
      <c r="J26" s="11" t="s">
        <v>5</v>
      </c>
    </row>
    <row r="27" customFormat="false" ht="15" hidden="false" customHeight="false" outlineLevel="0" collapsed="false">
      <c r="B27" s="11" t="s">
        <v>130</v>
      </c>
      <c r="C27" s="11" t="s">
        <v>131</v>
      </c>
      <c r="D27" s="15" t="n">
        <v>500</v>
      </c>
      <c r="E27" s="15" t="n">
        <v>23850</v>
      </c>
      <c r="F27" s="9" t="n">
        <v>33916.25</v>
      </c>
      <c r="G27" s="16" t="n">
        <f aca="false">F27-E27</f>
        <v>10066.25</v>
      </c>
      <c r="H27" s="17" t="n">
        <f aca="false">IF(E27=0,"",F27/E27)</f>
        <v>1.42206498951782</v>
      </c>
      <c r="I27" s="11"/>
      <c r="J27" s="11" t="s">
        <v>5</v>
      </c>
    </row>
    <row r="28" customFormat="false" ht="15" hidden="false" customHeight="false" outlineLevel="0" collapsed="false">
      <c r="B28" s="11" t="s">
        <v>132</v>
      </c>
      <c r="C28" s="11" t="s">
        <v>133</v>
      </c>
      <c r="D28" s="15" t="n">
        <v>50000</v>
      </c>
      <c r="E28" s="15" t="n">
        <v>50000</v>
      </c>
      <c r="F28" s="9" t="n">
        <v>57943.23</v>
      </c>
      <c r="G28" s="16" t="n">
        <f aca="false">F28-E28</f>
        <v>7943.23</v>
      </c>
      <c r="H28" s="17" t="n">
        <f aca="false">IF(E28=0,"",F28/E28)</f>
        <v>1.1588646</v>
      </c>
      <c r="I28" s="11"/>
      <c r="J28" s="11" t="s">
        <v>5</v>
      </c>
    </row>
    <row r="29" customFormat="false" ht="15" hidden="false" customHeight="false" outlineLevel="0" collapsed="false">
      <c r="B29" s="11" t="s">
        <v>134</v>
      </c>
      <c r="C29" s="11" t="s">
        <v>135</v>
      </c>
      <c r="D29" s="15" t="n">
        <v>6000</v>
      </c>
      <c r="E29" s="15" t="n">
        <v>13696</v>
      </c>
      <c r="F29" s="9" t="n">
        <v>11181.2</v>
      </c>
      <c r="G29" s="16" t="n">
        <f aca="false">F29-E29</f>
        <v>-2514.8</v>
      </c>
      <c r="H29" s="17" t="n">
        <f aca="false">IF(E29=0,"",F29/E29)</f>
        <v>0.816384345794393</v>
      </c>
      <c r="I29" s="11"/>
      <c r="J29" s="11" t="s">
        <v>5</v>
      </c>
    </row>
    <row r="30" customFormat="false" ht="15" hidden="false" customHeight="false" outlineLevel="0" collapsed="false">
      <c r="B30" s="11" t="s">
        <v>136</v>
      </c>
      <c r="C30" s="11" t="s">
        <v>137</v>
      </c>
      <c r="D30" s="15" t="n">
        <v>10000</v>
      </c>
      <c r="E30" s="15" t="n">
        <v>10000</v>
      </c>
      <c r="F30" s="9" t="n">
        <v>8662</v>
      </c>
      <c r="G30" s="16" t="n">
        <f aca="false">F30-E30</f>
        <v>-1338</v>
      </c>
      <c r="H30" s="17" t="n">
        <f aca="false">IF(E30=0,"",F30/E30)</f>
        <v>0.8662</v>
      </c>
      <c r="I30" s="11"/>
      <c r="J30" s="11" t="s">
        <v>5</v>
      </c>
    </row>
    <row r="31" customFormat="false" ht="15" hidden="false" customHeight="false" outlineLevel="0" collapsed="false">
      <c r="B31" s="11" t="s">
        <v>138</v>
      </c>
      <c r="C31" s="11" t="s">
        <v>139</v>
      </c>
      <c r="D31" s="15" t="n">
        <v>8000</v>
      </c>
      <c r="E31" s="15" t="n">
        <v>8000</v>
      </c>
      <c r="F31" s="9" t="n">
        <v>76.97</v>
      </c>
      <c r="G31" s="16" t="n">
        <f aca="false">F31-E31</f>
        <v>-7923.03</v>
      </c>
      <c r="H31" s="17" t="n">
        <f aca="false">IF(E31=0,"",F31/E31)</f>
        <v>0.00962125</v>
      </c>
      <c r="I31" s="11"/>
      <c r="J31" s="11" t="s">
        <v>5</v>
      </c>
    </row>
    <row r="32" customFormat="false" ht="15" hidden="false" customHeight="false" outlineLevel="0" collapsed="false">
      <c r="B32" s="11" t="s">
        <v>140</v>
      </c>
      <c r="C32" s="11" t="s">
        <v>141</v>
      </c>
      <c r="D32" s="15" t="n">
        <v>195957.35</v>
      </c>
      <c r="E32" s="15" t="n">
        <v>203353.75</v>
      </c>
      <c r="F32" s="9" t="n">
        <v>211657.53</v>
      </c>
      <c r="G32" s="16" t="n">
        <f aca="false">F32-E32</f>
        <v>8303.78</v>
      </c>
      <c r="H32" s="17" t="n">
        <f aca="false">IF(E32=0,"",F32/E32)</f>
        <v>1.04083416214356</v>
      </c>
      <c r="I32" s="11"/>
      <c r="J32" s="11" t="s">
        <v>5</v>
      </c>
    </row>
    <row r="33" customFormat="false" ht="15" hidden="false" customHeight="false" outlineLevel="0" collapsed="false">
      <c r="B33" s="11" t="s">
        <v>142</v>
      </c>
      <c r="C33" s="11" t="s">
        <v>143</v>
      </c>
      <c r="D33" s="15" t="n">
        <v>33055.65</v>
      </c>
      <c r="E33" s="15" t="n">
        <v>34341.65</v>
      </c>
      <c r="F33" s="9" t="n">
        <v>36509.63</v>
      </c>
      <c r="G33" s="16" t="n">
        <f aca="false">F33-E33</f>
        <v>2167.98</v>
      </c>
      <c r="H33" s="17" t="n">
        <f aca="false">IF(E33=0,"",F33/E33)</f>
        <v>1.06312975643279</v>
      </c>
      <c r="I33" s="11"/>
      <c r="J33" s="11" t="s">
        <v>5</v>
      </c>
    </row>
    <row r="34" customFormat="false" ht="15" hidden="false" customHeight="false" outlineLevel="0" collapsed="false">
      <c r="B34" s="11" t="s">
        <v>144</v>
      </c>
      <c r="C34" s="11" t="s">
        <v>145</v>
      </c>
      <c r="D34" s="15" t="n">
        <v>-1766205</v>
      </c>
      <c r="E34" s="15" t="n">
        <v>-1883761</v>
      </c>
      <c r="F34" s="9" t="n">
        <v>-1883761</v>
      </c>
      <c r="G34" s="16" t="n">
        <f aca="false">F34-E34</f>
        <v>0</v>
      </c>
      <c r="H34" s="17" t="n">
        <f aca="false">IF(E34=0,"",F34/E34)</f>
        <v>1</v>
      </c>
      <c r="I34" s="11"/>
      <c r="J34" s="11" t="s">
        <v>5</v>
      </c>
    </row>
    <row r="35" customFormat="false" ht="15" hidden="false" customHeight="false" outlineLevel="0" collapsed="false">
      <c r="B35" s="18" t="s">
        <v>146</v>
      </c>
      <c r="D35" s="19" t="n">
        <f aca="false">SUM(D6:D34)</f>
        <v>-432462</v>
      </c>
      <c r="E35" s="19" t="n">
        <f aca="false">SUM(E6:E34)</f>
        <v>-451884.6</v>
      </c>
      <c r="F35" s="20" t="n">
        <f aca="false">SUM(F6:F34)</f>
        <v>-553900.64</v>
      </c>
      <c r="G35" s="16" t="n">
        <f aca="false">F35-E35</f>
        <v>-102016.04</v>
      </c>
      <c r="I35" s="21" t="n">
        <f aca="false">SUM(I6:I34)</f>
        <v>14566.5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147</v>
      </c>
    </row>
    <row r="3" customFormat="false" ht="21.75" hidden="false" customHeight="true" outlineLevel="0" collapsed="false">
      <c r="B3" s="2" t="s">
        <v>148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149</v>
      </c>
      <c r="C5" s="3" t="s">
        <v>150</v>
      </c>
      <c r="D5" s="3" t="s">
        <v>151</v>
      </c>
      <c r="E5" s="3" t="s">
        <v>152</v>
      </c>
      <c r="F5" s="3" t="s">
        <v>153</v>
      </c>
      <c r="G5" s="3" t="s">
        <v>87</v>
      </c>
    </row>
    <row r="6" customFormat="false" ht="15" hidden="false" customHeight="false" outlineLevel="0" collapsed="false">
      <c r="B6" s="11" t="s">
        <v>154</v>
      </c>
      <c r="C6" s="11" t="s">
        <v>155</v>
      </c>
      <c r="D6" s="9" t="n">
        <v>467297.5</v>
      </c>
      <c r="E6" s="17" t="n">
        <f aca="false">D6/$D$11</f>
        <v>0.351388396899055</v>
      </c>
      <c r="F6" s="17" t="n">
        <f aca="false">D6/1883761</f>
        <v>0.248066235578717</v>
      </c>
      <c r="G6" s="11" t="s">
        <v>5</v>
      </c>
    </row>
    <row r="7" customFormat="false" ht="15" hidden="false" customHeight="false" outlineLevel="0" collapsed="false">
      <c r="B7" s="11" t="s">
        <v>156</v>
      </c>
      <c r="C7" s="11" t="s">
        <v>157</v>
      </c>
      <c r="D7" s="9" t="n">
        <v>502616.05</v>
      </c>
      <c r="E7" s="17" t="n">
        <f aca="false">D7/$D$11</f>
        <v>0.377946486050611</v>
      </c>
      <c r="F7" s="17" t="n">
        <f aca="false">D7/1883761</f>
        <v>0.26681519046206</v>
      </c>
      <c r="G7" s="11" t="s">
        <v>5</v>
      </c>
    </row>
    <row r="8" customFormat="false" ht="15" hidden="false" customHeight="false" outlineLevel="0" collapsed="false">
      <c r="B8" s="11" t="s">
        <v>158</v>
      </c>
      <c r="C8" s="11" t="s">
        <v>159</v>
      </c>
      <c r="D8" s="9" t="n">
        <v>111779.65</v>
      </c>
      <c r="E8" s="17" t="n">
        <f aca="false">D8/$D$11</f>
        <v>0.0840536746279136</v>
      </c>
      <c r="F8" s="17" t="n">
        <f aca="false">D8/1883761</f>
        <v>0.0593385519712957</v>
      </c>
      <c r="G8" s="11" t="s">
        <v>5</v>
      </c>
    </row>
    <row r="9" customFormat="false" ht="15" hidden="false" customHeight="false" outlineLevel="0" collapsed="false">
      <c r="B9" s="11" t="s">
        <v>141</v>
      </c>
      <c r="C9" s="11" t="s">
        <v>140</v>
      </c>
      <c r="D9" s="9" t="n">
        <v>211657.53</v>
      </c>
      <c r="E9" s="17" t="n">
        <f aca="false">D9/$D$11</f>
        <v>0.159157710362914</v>
      </c>
      <c r="F9" s="17" t="n">
        <f aca="false">D9/1883761</f>
        <v>0.112359014758242</v>
      </c>
      <c r="G9" s="11" t="s">
        <v>5</v>
      </c>
    </row>
    <row r="10" customFormat="false" ht="15" hidden="false" customHeight="false" outlineLevel="0" collapsed="false">
      <c r="B10" s="11" t="s">
        <v>143</v>
      </c>
      <c r="C10" s="11" t="s">
        <v>142</v>
      </c>
      <c r="D10" s="9" t="n">
        <v>36509.63</v>
      </c>
      <c r="E10" s="17" t="n">
        <f aca="false">D10/$D$11</f>
        <v>0.0274537320595074</v>
      </c>
      <c r="F10" s="17" t="n">
        <f aca="false">D10/1883761</f>
        <v>0.019381243161951</v>
      </c>
      <c r="G10" s="11" t="s">
        <v>5</v>
      </c>
    </row>
    <row r="11" customFormat="false" ht="15" hidden="false" customHeight="false" outlineLevel="0" collapsed="false">
      <c r="B11" s="18" t="s">
        <v>160</v>
      </c>
      <c r="D11" s="20" t="n">
        <f aca="false">SUM(D6:D10)</f>
        <v>1329860.36</v>
      </c>
      <c r="E11" s="17" t="n">
        <v>1</v>
      </c>
      <c r="F11" s="17" t="n">
        <f aca="false">D11/1883761</f>
        <v>0.705960235932265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161</v>
      </c>
    </row>
    <row r="3" customFormat="false" ht="21.75" hidden="false" customHeight="true" outlineLevel="0" collapsed="false">
      <c r="B3" s="2" t="s">
        <v>162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163</v>
      </c>
      <c r="C5" s="3" t="s">
        <v>164</v>
      </c>
      <c r="D5" s="3" t="s">
        <v>165</v>
      </c>
      <c r="E5" s="3" t="s">
        <v>166</v>
      </c>
      <c r="F5" s="3" t="s">
        <v>167</v>
      </c>
      <c r="G5" s="3" t="s">
        <v>87</v>
      </c>
    </row>
    <row r="6" customFormat="false" ht="15" hidden="false" customHeight="false" outlineLevel="0" collapsed="false">
      <c r="B6" s="11" t="s">
        <v>168</v>
      </c>
      <c r="C6" s="11" t="s">
        <v>169</v>
      </c>
      <c r="D6" s="9" t="n">
        <v>171816.03</v>
      </c>
      <c r="E6" s="22" t="n">
        <v>97</v>
      </c>
      <c r="F6" s="11" t="s">
        <v>170</v>
      </c>
      <c r="G6" s="11" t="s">
        <v>5</v>
      </c>
    </row>
    <row r="7" customFormat="false" ht="15" hidden="false" customHeight="false" outlineLevel="0" collapsed="false">
      <c r="B7" s="11" t="s">
        <v>171</v>
      </c>
      <c r="C7" s="11" t="s">
        <v>172</v>
      </c>
      <c r="D7" s="9" t="n">
        <v>124509.19</v>
      </c>
      <c r="E7" s="22" t="n">
        <v>50</v>
      </c>
      <c r="F7" s="11" t="s">
        <v>170</v>
      </c>
      <c r="G7" s="11" t="s">
        <v>5</v>
      </c>
    </row>
    <row r="8" customFormat="false" ht="15" hidden="false" customHeight="false" outlineLevel="0" collapsed="false">
      <c r="B8" s="11" t="s">
        <v>173</v>
      </c>
      <c r="C8" s="11" t="s">
        <v>174</v>
      </c>
      <c r="D8" s="9" t="n">
        <v>57662.63</v>
      </c>
      <c r="E8" s="22" t="n">
        <v>17</v>
      </c>
      <c r="F8" s="11" t="s">
        <v>175</v>
      </c>
      <c r="G8" s="11" t="s">
        <v>5</v>
      </c>
    </row>
    <row r="9" customFormat="false" ht="15" hidden="false" customHeight="false" outlineLevel="0" collapsed="false">
      <c r="B9" s="11" t="s">
        <v>176</v>
      </c>
      <c r="C9" s="11" t="s">
        <v>177</v>
      </c>
      <c r="D9" s="9" t="n">
        <v>51636.71</v>
      </c>
      <c r="E9" s="22" t="n">
        <v>20</v>
      </c>
      <c r="F9" s="11" t="s">
        <v>170</v>
      </c>
      <c r="G9" s="11" t="s">
        <v>5</v>
      </c>
    </row>
    <row r="10" customFormat="false" ht="15" hidden="false" customHeight="false" outlineLevel="0" collapsed="false">
      <c r="B10" s="11" t="s">
        <v>178</v>
      </c>
      <c r="C10" s="11" t="s">
        <v>179</v>
      </c>
      <c r="D10" s="9" t="n">
        <v>35401</v>
      </c>
      <c r="E10" s="22" t="n">
        <v>3</v>
      </c>
      <c r="F10" s="11" t="s">
        <v>170</v>
      </c>
      <c r="G10" s="11" t="s">
        <v>5</v>
      </c>
    </row>
    <row r="11" customFormat="false" ht="15" hidden="false" customHeight="false" outlineLevel="0" collapsed="false">
      <c r="B11" s="11" t="s">
        <v>180</v>
      </c>
      <c r="C11" s="11" t="s">
        <v>181</v>
      </c>
      <c r="D11" s="9" t="n">
        <v>27506.25</v>
      </c>
      <c r="E11" s="22" t="n">
        <v>2</v>
      </c>
      <c r="F11" s="11" t="s">
        <v>182</v>
      </c>
      <c r="G11" s="11" t="s">
        <v>5</v>
      </c>
    </row>
    <row r="12" customFormat="false" ht="15" hidden="false" customHeight="false" outlineLevel="0" collapsed="false">
      <c r="B12" s="11" t="s">
        <v>183</v>
      </c>
      <c r="C12" s="11" t="s">
        <v>184</v>
      </c>
      <c r="D12" s="9" t="n">
        <v>19078.32</v>
      </c>
      <c r="E12" s="22" t="n">
        <v>31</v>
      </c>
      <c r="F12" s="11" t="s">
        <v>170</v>
      </c>
      <c r="G12" s="11" t="s">
        <v>5</v>
      </c>
    </row>
    <row r="13" customFormat="false" ht="15" hidden="false" customHeight="false" outlineLevel="0" collapsed="false">
      <c r="B13" s="11" t="s">
        <v>185</v>
      </c>
      <c r="C13" s="11" t="s">
        <v>186</v>
      </c>
      <c r="D13" s="9" t="n">
        <v>12187</v>
      </c>
      <c r="E13" s="22" t="n">
        <v>3</v>
      </c>
      <c r="F13" s="11" t="s">
        <v>182</v>
      </c>
      <c r="G13" s="11" t="s">
        <v>5</v>
      </c>
    </row>
    <row r="14" customFormat="false" ht="15" hidden="false" customHeight="false" outlineLevel="0" collapsed="false">
      <c r="B14" s="11" t="s">
        <v>187</v>
      </c>
      <c r="C14" s="11" t="s">
        <v>188</v>
      </c>
      <c r="D14" s="9" t="n">
        <v>10916.31</v>
      </c>
      <c r="E14" s="22" t="n">
        <v>35</v>
      </c>
      <c r="F14" s="11" t="s">
        <v>189</v>
      </c>
      <c r="G14" s="11" t="s">
        <v>5</v>
      </c>
    </row>
    <row r="15" customFormat="false" ht="15" hidden="false" customHeight="false" outlineLevel="0" collapsed="false">
      <c r="B15" s="11" t="s">
        <v>190</v>
      </c>
      <c r="C15" s="11" t="s">
        <v>191</v>
      </c>
      <c r="D15" s="9" t="n">
        <v>9940.79</v>
      </c>
      <c r="E15" s="22" t="n">
        <v>25</v>
      </c>
      <c r="F15" s="11" t="s">
        <v>182</v>
      </c>
      <c r="G15" s="11" t="s">
        <v>5</v>
      </c>
    </row>
    <row r="16" customFormat="false" ht="15" hidden="false" customHeight="false" outlineLevel="0" collapsed="false">
      <c r="B16" s="11" t="s">
        <v>192</v>
      </c>
      <c r="C16" s="11" t="s">
        <v>193</v>
      </c>
      <c r="D16" s="9" t="n">
        <v>7385</v>
      </c>
      <c r="E16" s="22" t="n">
        <v>1</v>
      </c>
      <c r="F16" s="11" t="s">
        <v>182</v>
      </c>
      <c r="G16" s="11" t="s">
        <v>5</v>
      </c>
    </row>
    <row r="17" customFormat="false" ht="15" hidden="false" customHeight="false" outlineLevel="0" collapsed="false">
      <c r="B17" s="11" t="s">
        <v>194</v>
      </c>
      <c r="C17" s="11" t="s">
        <v>195</v>
      </c>
      <c r="D17" s="9" t="n">
        <v>5930.19</v>
      </c>
      <c r="E17" s="22" t="n">
        <v>4</v>
      </c>
      <c r="F17" s="11" t="s">
        <v>170</v>
      </c>
      <c r="G17" s="11" t="s">
        <v>5</v>
      </c>
    </row>
    <row r="18" customFormat="false" ht="15" hidden="false" customHeight="false" outlineLevel="0" collapsed="false">
      <c r="B18" s="11" t="s">
        <v>196</v>
      </c>
      <c r="C18" s="11" t="s">
        <v>197</v>
      </c>
      <c r="D18" s="9" t="n">
        <v>4157.49</v>
      </c>
      <c r="E18" s="22" t="n">
        <v>6</v>
      </c>
      <c r="F18" s="11" t="s">
        <v>170</v>
      </c>
      <c r="G18" s="11" t="s">
        <v>5</v>
      </c>
    </row>
    <row r="19" customFormat="false" ht="15" hidden="false" customHeight="false" outlineLevel="0" collapsed="false">
      <c r="B19" s="11" t="s">
        <v>198</v>
      </c>
      <c r="C19" s="11" t="s">
        <v>199</v>
      </c>
      <c r="D19" s="9" t="n">
        <v>3465</v>
      </c>
      <c r="E19" s="22" t="n">
        <v>5</v>
      </c>
      <c r="F19" s="11" t="s">
        <v>182</v>
      </c>
      <c r="G19" s="11" t="s">
        <v>5</v>
      </c>
    </row>
    <row r="20" customFormat="false" ht="15" hidden="false" customHeight="false" outlineLevel="0" collapsed="false">
      <c r="B20" s="11" t="s">
        <v>200</v>
      </c>
      <c r="C20" s="11" t="s">
        <v>201</v>
      </c>
      <c r="D20" s="9" t="n">
        <v>2720</v>
      </c>
      <c r="E20" s="22" t="n">
        <v>1</v>
      </c>
      <c r="F20" s="11" t="s">
        <v>182</v>
      </c>
      <c r="G20" s="11" t="s">
        <v>5</v>
      </c>
    </row>
    <row r="21" customFormat="false" ht="15" hidden="false" customHeight="false" outlineLevel="0" collapsed="false">
      <c r="B21" s="11" t="s">
        <v>202</v>
      </c>
      <c r="C21" s="11" t="s">
        <v>203</v>
      </c>
      <c r="D21" s="9" t="n">
        <v>597.74</v>
      </c>
      <c r="E21" s="22" t="n">
        <v>1</v>
      </c>
      <c r="F21" s="11" t="s">
        <v>182</v>
      </c>
      <c r="G21" s="11" t="s">
        <v>5</v>
      </c>
    </row>
    <row r="22" customFormat="false" ht="15" hidden="false" customHeight="false" outlineLevel="0" collapsed="false">
      <c r="B22" s="11" t="s">
        <v>204</v>
      </c>
      <c r="C22" s="11" t="s">
        <v>205</v>
      </c>
      <c r="D22" s="9" t="n">
        <v>570.89</v>
      </c>
      <c r="E22" s="22" t="n">
        <v>2</v>
      </c>
      <c r="F22" s="11" t="s">
        <v>182</v>
      </c>
      <c r="G22" s="11" t="s">
        <v>5</v>
      </c>
    </row>
    <row r="23" customFormat="false" ht="15" hidden="false" customHeight="false" outlineLevel="0" collapsed="false">
      <c r="B23" s="11" t="s">
        <v>206</v>
      </c>
      <c r="C23" s="11" t="s">
        <v>207</v>
      </c>
      <c r="D23" s="9" t="n">
        <v>290.58</v>
      </c>
      <c r="E23" s="22" t="n">
        <v>1</v>
      </c>
      <c r="F23" s="11" t="s">
        <v>170</v>
      </c>
      <c r="G23" s="11" t="s">
        <v>5</v>
      </c>
    </row>
    <row r="24" customFormat="false" ht="15" hidden="false" customHeight="false" outlineLevel="0" collapsed="false">
      <c r="B24" s="11" t="s">
        <v>208</v>
      </c>
      <c r="C24" s="11" t="s">
        <v>209</v>
      </c>
      <c r="D24" s="9" t="n">
        <v>280.6</v>
      </c>
      <c r="E24" s="22" t="n">
        <v>2</v>
      </c>
      <c r="F24" s="11" t="s">
        <v>182</v>
      </c>
      <c r="G24" s="11" t="s">
        <v>5</v>
      </c>
    </row>
    <row r="25" customFormat="false" ht="15" hidden="false" customHeight="false" outlineLevel="0" collapsed="false">
      <c r="B25" s="11" t="s">
        <v>210</v>
      </c>
      <c r="C25" s="11" t="s">
        <v>211</v>
      </c>
      <c r="D25" s="9" t="n">
        <v>225</v>
      </c>
      <c r="E25" s="22" t="n">
        <v>1</v>
      </c>
      <c r="F25" s="11" t="s">
        <v>212</v>
      </c>
      <c r="G25" s="11" t="s">
        <v>5</v>
      </c>
    </row>
    <row r="26" customFormat="false" ht="15" hidden="false" customHeight="false" outlineLevel="0" collapsed="false">
      <c r="B26" s="11" t="s">
        <v>213</v>
      </c>
      <c r="C26" s="11" t="s">
        <v>214</v>
      </c>
      <c r="D26" s="9" t="n">
        <v>155</v>
      </c>
      <c r="E26" s="22" t="n">
        <v>1</v>
      </c>
      <c r="F26" s="11" t="s">
        <v>170</v>
      </c>
      <c r="G26" s="11" t="s">
        <v>5</v>
      </c>
    </row>
    <row r="27" customFormat="false" ht="15" hidden="false" customHeight="false" outlineLevel="0" collapsed="false">
      <c r="B27" s="11" t="s">
        <v>215</v>
      </c>
      <c r="C27" s="11" t="s">
        <v>216</v>
      </c>
      <c r="D27" s="9" t="n">
        <v>81.64</v>
      </c>
      <c r="E27" s="22" t="n">
        <v>1</v>
      </c>
      <c r="F27" s="11" t="s">
        <v>170</v>
      </c>
      <c r="G27" s="11" t="s">
        <v>5</v>
      </c>
    </row>
    <row r="28" customFormat="false" ht="15" hidden="false" customHeight="false" outlineLevel="0" collapsed="false">
      <c r="B28" s="18" t="s">
        <v>146</v>
      </c>
      <c r="D28" s="20" t="n">
        <f aca="false">SUM(D6:D27)</f>
        <v>546513.36</v>
      </c>
      <c r="E28" s="23" t="n">
        <f aca="false">SUM(E6:E27)</f>
        <v>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217</v>
      </c>
    </row>
    <row r="3" customFormat="false" ht="21.75" hidden="false" customHeight="true" outlineLevel="0" collapsed="false">
      <c r="B3" s="2" t="s">
        <v>218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219</v>
      </c>
      <c r="C5" s="3" t="s">
        <v>220</v>
      </c>
      <c r="D5" s="3" t="s">
        <v>221</v>
      </c>
      <c r="E5" s="3" t="s">
        <v>222</v>
      </c>
      <c r="F5" s="3" t="s">
        <v>223</v>
      </c>
      <c r="G5" s="3" t="s">
        <v>224</v>
      </c>
      <c r="H5" s="3" t="s">
        <v>87</v>
      </c>
    </row>
    <row r="6" customFormat="false" ht="15" hidden="false" customHeight="false" outlineLevel="0" collapsed="false">
      <c r="B6" s="11" t="s">
        <v>225</v>
      </c>
      <c r="C6" s="11" t="s">
        <v>226</v>
      </c>
      <c r="D6" s="10" t="n">
        <v>1608.5</v>
      </c>
      <c r="E6" s="9" t="n">
        <v>55278.25</v>
      </c>
      <c r="F6" s="20" t="n">
        <f aca="false">IF(D6=0,0,E6/D6)</f>
        <v>34.3663350948088</v>
      </c>
      <c r="G6" s="22" t="n">
        <v>44</v>
      </c>
      <c r="H6" s="11" t="s">
        <v>5</v>
      </c>
    </row>
    <row r="7" customFormat="false" ht="15" hidden="false" customHeight="false" outlineLevel="0" collapsed="false">
      <c r="B7" s="11" t="s">
        <v>227</v>
      </c>
      <c r="C7" s="11" t="s">
        <v>228</v>
      </c>
      <c r="D7" s="10" t="n">
        <v>1585.5</v>
      </c>
      <c r="E7" s="9" t="n">
        <v>38863.5</v>
      </c>
      <c r="F7" s="20" t="n">
        <f aca="false">IF(D7=0,0,E7/D7)</f>
        <v>24.511825922422</v>
      </c>
      <c r="G7" s="22" t="n">
        <v>41</v>
      </c>
      <c r="H7" s="11" t="s">
        <v>5</v>
      </c>
    </row>
    <row r="8" customFormat="false" ht="15" hidden="false" customHeight="false" outlineLevel="0" collapsed="false">
      <c r="B8" s="11" t="s">
        <v>229</v>
      </c>
      <c r="C8" s="11" t="s">
        <v>230</v>
      </c>
      <c r="D8" s="10" t="n">
        <v>1579</v>
      </c>
      <c r="E8" s="9" t="n">
        <v>49246</v>
      </c>
      <c r="F8" s="20" t="n">
        <f aca="false">IF(D8=0,0,E8/D8)</f>
        <v>31.188093730209</v>
      </c>
      <c r="G8" s="22" t="n">
        <v>48</v>
      </c>
      <c r="H8" s="11" t="s">
        <v>5</v>
      </c>
    </row>
    <row r="9" customFormat="false" ht="15" hidden="false" customHeight="false" outlineLevel="0" collapsed="false">
      <c r="B9" s="11" t="s">
        <v>231</v>
      </c>
      <c r="C9" s="11" t="s">
        <v>232</v>
      </c>
      <c r="D9" s="10" t="n">
        <v>1413.5</v>
      </c>
      <c r="E9" s="9" t="n">
        <v>65444.75</v>
      </c>
      <c r="F9" s="20" t="n">
        <f aca="false">IF(D9=0,0,E9/D9)</f>
        <v>46.2997877608773</v>
      </c>
      <c r="G9" s="22" t="n">
        <v>58</v>
      </c>
      <c r="H9" s="11" t="s">
        <v>5</v>
      </c>
    </row>
    <row r="10" customFormat="false" ht="15" hidden="false" customHeight="false" outlineLevel="0" collapsed="false">
      <c r="B10" s="11" t="s">
        <v>233</v>
      </c>
      <c r="C10" s="11" t="s">
        <v>234</v>
      </c>
      <c r="D10" s="10" t="n">
        <v>1169</v>
      </c>
      <c r="E10" s="9" t="n">
        <v>24208.75</v>
      </c>
      <c r="F10" s="20" t="n">
        <f aca="false">IF(D10=0,0,E10/D10)</f>
        <v>20.7089392643285</v>
      </c>
      <c r="G10" s="22" t="n">
        <v>29</v>
      </c>
      <c r="H10" s="11" t="s">
        <v>5</v>
      </c>
    </row>
    <row r="11" customFormat="false" ht="15" hidden="false" customHeight="false" outlineLevel="0" collapsed="false">
      <c r="B11" s="11" t="s">
        <v>235</v>
      </c>
      <c r="C11" s="11" t="s">
        <v>236</v>
      </c>
      <c r="D11" s="10" t="n">
        <v>1083.5</v>
      </c>
      <c r="E11" s="9" t="n">
        <v>30229</v>
      </c>
      <c r="F11" s="20" t="n">
        <f aca="false">IF(D11=0,0,E11/D11)</f>
        <v>27.8994000922935</v>
      </c>
      <c r="G11" s="22" t="n">
        <v>30</v>
      </c>
      <c r="H11" s="11" t="s">
        <v>5</v>
      </c>
    </row>
    <row r="12" customFormat="false" ht="15" hidden="false" customHeight="false" outlineLevel="0" collapsed="false">
      <c r="B12" s="11" t="s">
        <v>237</v>
      </c>
      <c r="C12" s="11" t="s">
        <v>238</v>
      </c>
      <c r="D12" s="10" t="n">
        <v>1082.5</v>
      </c>
      <c r="E12" s="9" t="n">
        <v>31596</v>
      </c>
      <c r="F12" s="20" t="n">
        <f aca="false">IF(D12=0,0,E12/D12)</f>
        <v>29.1879907621247</v>
      </c>
      <c r="G12" s="22" t="n">
        <v>28</v>
      </c>
      <c r="H12" s="11" t="s">
        <v>5</v>
      </c>
    </row>
    <row r="13" customFormat="false" ht="15" hidden="false" customHeight="false" outlineLevel="0" collapsed="false">
      <c r="B13" s="11" t="s">
        <v>239</v>
      </c>
      <c r="C13" s="11" t="s">
        <v>240</v>
      </c>
      <c r="D13" s="10" t="n">
        <v>845</v>
      </c>
      <c r="E13" s="9" t="n">
        <v>35631</v>
      </c>
      <c r="F13" s="20" t="n">
        <f aca="false">IF(D13=0,0,E13/D13)</f>
        <v>42.1668639053254</v>
      </c>
      <c r="G13" s="22" t="n">
        <v>22</v>
      </c>
      <c r="H13" s="11" t="s">
        <v>5</v>
      </c>
    </row>
    <row r="14" customFormat="false" ht="15" hidden="false" customHeight="false" outlineLevel="0" collapsed="false">
      <c r="B14" s="11" t="s">
        <v>241</v>
      </c>
      <c r="C14" s="11" t="s">
        <v>242</v>
      </c>
      <c r="D14" s="10" t="n">
        <v>583</v>
      </c>
      <c r="E14" s="9" t="n">
        <v>16388.5</v>
      </c>
      <c r="F14" s="20" t="n">
        <f aca="false">IF(D14=0,0,E14/D14)</f>
        <v>28.1106346483705</v>
      </c>
      <c r="G14" s="22" t="n">
        <v>17</v>
      </c>
      <c r="H14" s="11" t="s">
        <v>5</v>
      </c>
    </row>
    <row r="15" customFormat="false" ht="15" hidden="false" customHeight="false" outlineLevel="0" collapsed="false">
      <c r="B15" s="11" t="s">
        <v>243</v>
      </c>
      <c r="C15" s="11" t="s">
        <v>244</v>
      </c>
      <c r="D15" s="10" t="n">
        <v>499</v>
      </c>
      <c r="E15" s="9" t="n">
        <v>24658</v>
      </c>
      <c r="F15" s="20" t="n">
        <f aca="false">IF(D15=0,0,E15/D15)</f>
        <v>49.4148296593186</v>
      </c>
      <c r="G15" s="22" t="n">
        <v>59</v>
      </c>
      <c r="H15" s="11" t="s">
        <v>5</v>
      </c>
    </row>
    <row r="16" customFormat="false" ht="15" hidden="false" customHeight="false" outlineLevel="0" collapsed="false">
      <c r="B16" s="11" t="s">
        <v>245</v>
      </c>
      <c r="C16" s="11" t="s">
        <v>246</v>
      </c>
      <c r="D16" s="10" t="n">
        <v>443</v>
      </c>
      <c r="E16" s="9" t="n">
        <v>15610</v>
      </c>
      <c r="F16" s="20" t="n">
        <f aca="false">IF(D16=0,0,E16/D16)</f>
        <v>35.2370203160271</v>
      </c>
      <c r="G16" s="22" t="n">
        <v>12</v>
      </c>
      <c r="H16" s="11" t="s">
        <v>5</v>
      </c>
    </row>
    <row r="17" customFormat="false" ht="15" hidden="false" customHeight="false" outlineLevel="0" collapsed="false">
      <c r="B17" s="11" t="s">
        <v>247</v>
      </c>
      <c r="C17" s="11" t="s">
        <v>248</v>
      </c>
      <c r="D17" s="10" t="n">
        <v>397</v>
      </c>
      <c r="E17" s="9" t="n">
        <v>7194</v>
      </c>
      <c r="F17" s="20" t="n">
        <f aca="false">IF(D17=0,0,E17/D17)</f>
        <v>18.1209068010076</v>
      </c>
      <c r="G17" s="22" t="n">
        <v>14</v>
      </c>
      <c r="H17" s="11" t="s">
        <v>5</v>
      </c>
    </row>
    <row r="18" customFormat="false" ht="15" hidden="false" customHeight="false" outlineLevel="0" collapsed="false">
      <c r="B18" s="11" t="s">
        <v>249</v>
      </c>
      <c r="C18" s="11" t="s">
        <v>250</v>
      </c>
      <c r="D18" s="10" t="n">
        <v>339</v>
      </c>
      <c r="E18" s="9" t="n">
        <v>5787</v>
      </c>
      <c r="F18" s="20" t="n">
        <f aca="false">IF(D18=0,0,E18/D18)</f>
        <v>17.070796460177</v>
      </c>
      <c r="G18" s="22" t="n">
        <v>13</v>
      </c>
      <c r="H18" s="11" t="s">
        <v>5</v>
      </c>
    </row>
    <row r="19" customFormat="false" ht="15" hidden="false" customHeight="false" outlineLevel="0" collapsed="false">
      <c r="B19" s="11" t="s">
        <v>251</v>
      </c>
      <c r="C19" s="11" t="s">
        <v>252</v>
      </c>
      <c r="D19" s="10" t="n">
        <v>329.5</v>
      </c>
      <c r="E19" s="9" t="n">
        <v>11532.5</v>
      </c>
      <c r="F19" s="20" t="n">
        <f aca="false">IF(D19=0,0,E19/D19)</f>
        <v>35</v>
      </c>
      <c r="G19" s="22" t="n">
        <v>12</v>
      </c>
      <c r="H19" s="11" t="s">
        <v>5</v>
      </c>
    </row>
    <row r="20" customFormat="false" ht="15" hidden="false" customHeight="false" outlineLevel="0" collapsed="false">
      <c r="B20" s="11" t="s">
        <v>253</v>
      </c>
      <c r="C20" s="11" t="s">
        <v>254</v>
      </c>
      <c r="D20" s="10" t="n">
        <v>241</v>
      </c>
      <c r="E20" s="9" t="n">
        <v>12171.5</v>
      </c>
      <c r="F20" s="20" t="n">
        <f aca="false">IF(D20=0,0,E20/D20)</f>
        <v>50.5041493775934</v>
      </c>
      <c r="G20" s="22" t="n">
        <v>30</v>
      </c>
      <c r="H20" s="11" t="s">
        <v>5</v>
      </c>
    </row>
    <row r="21" customFormat="false" ht="15" hidden="false" customHeight="false" outlineLevel="0" collapsed="false">
      <c r="B21" s="11" t="s">
        <v>255</v>
      </c>
      <c r="C21" s="11" t="s">
        <v>256</v>
      </c>
      <c r="D21" s="10" t="n">
        <v>230</v>
      </c>
      <c r="E21" s="9" t="n">
        <v>11788.5</v>
      </c>
      <c r="F21" s="20" t="n">
        <f aca="false">IF(D21=0,0,E21/D21)</f>
        <v>51.254347826087</v>
      </c>
      <c r="G21" s="22" t="n">
        <v>82</v>
      </c>
      <c r="H21" s="11" t="s">
        <v>5</v>
      </c>
    </row>
    <row r="22" customFormat="false" ht="15" hidden="false" customHeight="false" outlineLevel="0" collapsed="false">
      <c r="B22" s="11" t="s">
        <v>257</v>
      </c>
      <c r="C22" s="11" t="s">
        <v>258</v>
      </c>
      <c r="D22" s="10" t="n">
        <v>167</v>
      </c>
      <c r="E22" s="9" t="n">
        <v>10387.5</v>
      </c>
      <c r="F22" s="20" t="n">
        <f aca="false">IF(D22=0,0,E22/D22)</f>
        <v>62.2005988023952</v>
      </c>
      <c r="G22" s="22" t="n">
        <v>70</v>
      </c>
      <c r="H22" s="11" t="s">
        <v>5</v>
      </c>
    </row>
    <row r="23" customFormat="false" ht="15" hidden="false" customHeight="false" outlineLevel="0" collapsed="false">
      <c r="B23" s="11" t="s">
        <v>259</v>
      </c>
      <c r="C23" s="11" t="s">
        <v>260</v>
      </c>
      <c r="D23" s="10" t="n">
        <v>145</v>
      </c>
      <c r="E23" s="9" t="n">
        <v>3838</v>
      </c>
      <c r="F23" s="20" t="n">
        <f aca="false">IF(D23=0,0,E23/D23)</f>
        <v>26.4689655172414</v>
      </c>
      <c r="G23" s="22" t="n">
        <v>13</v>
      </c>
      <c r="H23" s="11" t="s">
        <v>5</v>
      </c>
    </row>
    <row r="24" customFormat="false" ht="15" hidden="false" customHeight="false" outlineLevel="0" collapsed="false">
      <c r="B24" s="11" t="s">
        <v>261</v>
      </c>
      <c r="C24" s="11" t="s">
        <v>262</v>
      </c>
      <c r="D24" s="10" t="n">
        <v>130</v>
      </c>
      <c r="E24" s="9" t="n">
        <v>3528</v>
      </c>
      <c r="F24" s="20" t="n">
        <f aca="false">IF(D24=0,0,E24/D24)</f>
        <v>27.1384615384615</v>
      </c>
      <c r="G24" s="22" t="n">
        <v>6</v>
      </c>
      <c r="H24" s="11" t="s">
        <v>5</v>
      </c>
    </row>
    <row r="25" customFormat="false" ht="15" hidden="false" customHeight="false" outlineLevel="0" collapsed="false">
      <c r="B25" s="11" t="s">
        <v>263</v>
      </c>
      <c r="C25" s="11" t="s">
        <v>264</v>
      </c>
      <c r="D25" s="10" t="n">
        <v>121.5</v>
      </c>
      <c r="E25" s="9" t="n">
        <v>6062.5</v>
      </c>
      <c r="F25" s="20" t="n">
        <f aca="false">IF(D25=0,0,E25/D25)</f>
        <v>49.8971193415638</v>
      </c>
      <c r="G25" s="22" t="n">
        <v>17</v>
      </c>
      <c r="H25" s="11" t="s">
        <v>5</v>
      </c>
    </row>
    <row r="26" customFormat="false" ht="15" hidden="false" customHeight="false" outlineLevel="0" collapsed="false">
      <c r="B26" s="11" t="s">
        <v>265</v>
      </c>
      <c r="C26" s="11" t="s">
        <v>266</v>
      </c>
      <c r="D26" s="10" t="n">
        <v>98</v>
      </c>
      <c r="E26" s="9" t="n">
        <v>2871</v>
      </c>
      <c r="F26" s="20" t="n">
        <f aca="false">IF(D26=0,0,E26/D26)</f>
        <v>29.2959183673469</v>
      </c>
      <c r="G26" s="22" t="n">
        <v>3</v>
      </c>
      <c r="H26" s="11" t="s">
        <v>5</v>
      </c>
    </row>
    <row r="27" customFormat="false" ht="15" hidden="false" customHeight="false" outlineLevel="0" collapsed="false">
      <c r="B27" s="11" t="s">
        <v>267</v>
      </c>
      <c r="C27" s="11" t="s">
        <v>268</v>
      </c>
      <c r="D27" s="10" t="n">
        <v>64</v>
      </c>
      <c r="E27" s="9" t="n">
        <v>1216</v>
      </c>
      <c r="F27" s="20" t="n">
        <f aca="false">IF(D27=0,0,E27/D27)</f>
        <v>19</v>
      </c>
      <c r="G27" s="22" t="n">
        <v>5</v>
      </c>
      <c r="H27" s="11" t="s">
        <v>5</v>
      </c>
    </row>
    <row r="28" customFormat="false" ht="15" hidden="false" customHeight="false" outlineLevel="0" collapsed="false">
      <c r="B28" s="11" t="s">
        <v>269</v>
      </c>
      <c r="C28" s="11" t="s">
        <v>270</v>
      </c>
      <c r="D28" s="10" t="n">
        <v>61</v>
      </c>
      <c r="E28" s="9" t="n">
        <v>1671</v>
      </c>
      <c r="F28" s="20" t="n">
        <f aca="false">IF(D28=0,0,E28/D28)</f>
        <v>27.3934426229508</v>
      </c>
      <c r="G28" s="22" t="n">
        <v>6</v>
      </c>
      <c r="H28" s="11" t="s">
        <v>5</v>
      </c>
    </row>
    <row r="29" customFormat="false" ht="15" hidden="false" customHeight="false" outlineLevel="0" collapsed="false">
      <c r="B29" s="11" t="s">
        <v>271</v>
      </c>
      <c r="C29" s="11" t="s">
        <v>272</v>
      </c>
      <c r="D29" s="10" t="n">
        <v>56</v>
      </c>
      <c r="E29" s="9" t="n">
        <v>960</v>
      </c>
      <c r="F29" s="20" t="n">
        <f aca="false">IF(D29=0,0,E29/D29)</f>
        <v>17.1428571428571</v>
      </c>
      <c r="G29" s="22" t="n">
        <v>4</v>
      </c>
      <c r="H29" s="11" t="s">
        <v>5</v>
      </c>
    </row>
    <row r="30" customFormat="false" ht="15" hidden="false" customHeight="false" outlineLevel="0" collapsed="false">
      <c r="B30" s="11" t="s">
        <v>273</v>
      </c>
      <c r="C30" s="11" t="s">
        <v>274</v>
      </c>
      <c r="D30" s="10" t="n">
        <v>53.5</v>
      </c>
      <c r="E30" s="9" t="n">
        <v>1862.5</v>
      </c>
      <c r="F30" s="20" t="n">
        <f aca="false">IF(D30=0,0,E30/D30)</f>
        <v>34.8130841121495</v>
      </c>
      <c r="G30" s="22" t="n">
        <v>4</v>
      </c>
      <c r="H30" s="11" t="s">
        <v>5</v>
      </c>
    </row>
    <row r="31" customFormat="false" ht="15" hidden="false" customHeight="false" outlineLevel="0" collapsed="false">
      <c r="B31" s="11" t="s">
        <v>275</v>
      </c>
      <c r="C31" s="11" t="s">
        <v>276</v>
      </c>
      <c r="D31" s="10" t="n">
        <v>50.5</v>
      </c>
      <c r="E31" s="9" t="n">
        <v>1523.5</v>
      </c>
      <c r="F31" s="20" t="n">
        <f aca="false">IF(D31=0,0,E31/D31)</f>
        <v>30.1683168316832</v>
      </c>
      <c r="G31" s="22" t="n">
        <v>4</v>
      </c>
      <c r="H31" s="11" t="s">
        <v>5</v>
      </c>
    </row>
    <row r="32" customFormat="false" ht="15" hidden="false" customHeight="false" outlineLevel="0" collapsed="false">
      <c r="B32" s="11" t="s">
        <v>277</v>
      </c>
      <c r="C32" s="11" t="s">
        <v>278</v>
      </c>
      <c r="D32" s="10" t="n">
        <v>50</v>
      </c>
      <c r="E32" s="9" t="n">
        <v>1610</v>
      </c>
      <c r="F32" s="20" t="n">
        <f aca="false">IF(D32=0,0,E32/D32)</f>
        <v>32.2</v>
      </c>
      <c r="G32" s="22" t="n">
        <v>5</v>
      </c>
      <c r="H32" s="11" t="s">
        <v>5</v>
      </c>
    </row>
    <row r="33" customFormat="false" ht="15" hidden="false" customHeight="false" outlineLevel="0" collapsed="false">
      <c r="B33" s="11" t="s">
        <v>279</v>
      </c>
      <c r="C33" s="11" t="s">
        <v>280</v>
      </c>
      <c r="D33" s="10" t="n">
        <v>40</v>
      </c>
      <c r="E33" s="9" t="n">
        <v>1000</v>
      </c>
      <c r="F33" s="20" t="n">
        <f aca="false">IF(D33=0,0,E33/D33)</f>
        <v>25</v>
      </c>
      <c r="G33" s="22" t="n">
        <v>3</v>
      </c>
      <c r="H33" s="11" t="s">
        <v>5</v>
      </c>
    </row>
    <row r="34" customFormat="false" ht="15" hidden="false" customHeight="false" outlineLevel="0" collapsed="false">
      <c r="B34" s="11" t="s">
        <v>281</v>
      </c>
      <c r="C34" s="11" t="s">
        <v>282</v>
      </c>
      <c r="D34" s="10" t="n">
        <v>32</v>
      </c>
      <c r="E34" s="9" t="n">
        <v>1200</v>
      </c>
      <c r="F34" s="20" t="n">
        <f aca="false">IF(D34=0,0,E34/D34)</f>
        <v>37.5</v>
      </c>
      <c r="G34" s="22" t="n">
        <v>3</v>
      </c>
      <c r="H34" s="11" t="s">
        <v>5</v>
      </c>
    </row>
    <row r="35" customFormat="false" ht="15" hidden="false" customHeight="false" outlineLevel="0" collapsed="false">
      <c r="B35" s="11" t="s">
        <v>283</v>
      </c>
      <c r="C35" s="11" t="s">
        <v>284</v>
      </c>
      <c r="D35" s="10" t="n">
        <v>28</v>
      </c>
      <c r="E35" s="9" t="n">
        <v>0</v>
      </c>
      <c r="F35" s="20" t="n">
        <f aca="false">IF(D35=0,0,E35/D35)</f>
        <v>0</v>
      </c>
      <c r="G35" s="22" t="n">
        <v>1</v>
      </c>
      <c r="H35" s="11" t="s">
        <v>5</v>
      </c>
    </row>
    <row r="36" customFormat="false" ht="15" hidden="false" customHeight="false" outlineLevel="0" collapsed="false">
      <c r="B36" s="11" t="s">
        <v>285</v>
      </c>
      <c r="C36" s="11" t="s">
        <v>286</v>
      </c>
      <c r="D36" s="10" t="n">
        <v>16</v>
      </c>
      <c r="E36" s="9" t="n">
        <v>402.5</v>
      </c>
      <c r="F36" s="20" t="n">
        <f aca="false">IF(D36=0,0,E36/D36)</f>
        <v>25.15625</v>
      </c>
      <c r="G36" s="22" t="n">
        <v>2</v>
      </c>
      <c r="H36" s="11" t="s">
        <v>5</v>
      </c>
    </row>
    <row r="37" customFormat="false" ht="15" hidden="false" customHeight="false" outlineLevel="0" collapsed="false">
      <c r="B37" s="11" t="s">
        <v>287</v>
      </c>
      <c r="C37" s="11" t="s">
        <v>288</v>
      </c>
      <c r="D37" s="10" t="n">
        <v>15</v>
      </c>
      <c r="E37" s="9" t="n">
        <v>356</v>
      </c>
      <c r="F37" s="20" t="n">
        <f aca="false">IF(D37=0,0,E37/D37)</f>
        <v>23.7333333333333</v>
      </c>
      <c r="G37" s="22" t="n">
        <v>3</v>
      </c>
      <c r="H37" s="11" t="s">
        <v>5</v>
      </c>
    </row>
    <row r="38" customFormat="false" ht="15" hidden="false" customHeight="false" outlineLevel="0" collapsed="false">
      <c r="B38" s="11" t="s">
        <v>289</v>
      </c>
      <c r="C38" s="11" t="s">
        <v>290</v>
      </c>
      <c r="D38" s="10" t="n">
        <v>14</v>
      </c>
      <c r="E38" s="9" t="n">
        <v>306</v>
      </c>
      <c r="F38" s="20" t="n">
        <f aca="false">IF(D38=0,0,E38/D38)</f>
        <v>21.8571428571429</v>
      </c>
      <c r="G38" s="22" t="n">
        <v>2</v>
      </c>
      <c r="H38" s="11" t="s">
        <v>5</v>
      </c>
    </row>
    <row r="39" customFormat="false" ht="15" hidden="false" customHeight="false" outlineLevel="0" collapsed="false">
      <c r="B39" s="11" t="s">
        <v>291</v>
      </c>
      <c r="C39" s="11" t="s">
        <v>292</v>
      </c>
      <c r="D39" s="10" t="n">
        <v>11</v>
      </c>
      <c r="E39" s="9" t="n">
        <v>401</v>
      </c>
      <c r="F39" s="20" t="n">
        <f aca="false">IF(D39=0,0,E39/D39)</f>
        <v>36.4545454545455</v>
      </c>
      <c r="G39" s="22" t="n">
        <v>2</v>
      </c>
      <c r="H39" s="11" t="s">
        <v>5</v>
      </c>
    </row>
    <row r="40" customFormat="false" ht="15" hidden="false" customHeight="false" outlineLevel="0" collapsed="false">
      <c r="B40" s="11" t="s">
        <v>293</v>
      </c>
      <c r="C40" s="11" t="s">
        <v>294</v>
      </c>
      <c r="D40" s="10" t="n">
        <v>8</v>
      </c>
      <c r="E40" s="9" t="n">
        <v>225.75</v>
      </c>
      <c r="F40" s="20" t="n">
        <f aca="false">IF(D40=0,0,E40/D40)</f>
        <v>28.21875</v>
      </c>
      <c r="G40" s="22" t="n">
        <v>1</v>
      </c>
      <c r="H40" s="11" t="s">
        <v>5</v>
      </c>
    </row>
    <row r="41" customFormat="false" ht="15" hidden="false" customHeight="false" outlineLevel="0" collapsed="false">
      <c r="B41" s="11" t="s">
        <v>295</v>
      </c>
      <c r="C41" s="11" t="s">
        <v>296</v>
      </c>
      <c r="D41" s="10" t="n">
        <v>8</v>
      </c>
      <c r="E41" s="9" t="n">
        <v>209</v>
      </c>
      <c r="F41" s="20" t="n">
        <f aca="false">IF(D41=0,0,E41/D41)</f>
        <v>26.125</v>
      </c>
      <c r="G41" s="22" t="n">
        <v>1</v>
      </c>
      <c r="H41" s="11" t="s">
        <v>5</v>
      </c>
    </row>
    <row r="42" customFormat="false" ht="15" hidden="false" customHeight="false" outlineLevel="0" collapsed="false">
      <c r="B42" s="11" t="s">
        <v>297</v>
      </c>
      <c r="C42" s="11" t="s">
        <v>298</v>
      </c>
      <c r="D42" s="10" t="n">
        <v>8</v>
      </c>
      <c r="E42" s="9" t="n">
        <v>240</v>
      </c>
      <c r="F42" s="20" t="n">
        <f aca="false">IF(D42=0,0,E42/D42)</f>
        <v>30</v>
      </c>
      <c r="G42" s="22" t="n">
        <v>1</v>
      </c>
      <c r="H42" s="11" t="s">
        <v>5</v>
      </c>
    </row>
    <row r="43" customFormat="false" ht="15" hidden="false" customHeight="false" outlineLevel="0" collapsed="false">
      <c r="B43" s="11" t="s">
        <v>299</v>
      </c>
      <c r="C43" s="11" t="s">
        <v>300</v>
      </c>
      <c r="D43" s="10" t="n">
        <v>8</v>
      </c>
      <c r="E43" s="9" t="n">
        <v>252</v>
      </c>
      <c r="F43" s="20" t="n">
        <f aca="false">IF(D43=0,0,E43/D43)</f>
        <v>31.5</v>
      </c>
      <c r="G43" s="22" t="n">
        <v>1</v>
      </c>
      <c r="H43" s="11" t="s">
        <v>5</v>
      </c>
    </row>
    <row r="44" customFormat="false" ht="15" hidden="false" customHeight="false" outlineLevel="0" collapsed="false">
      <c r="B44" s="11" t="s">
        <v>301</v>
      </c>
      <c r="C44" s="11" t="s">
        <v>302</v>
      </c>
      <c r="D44" s="10" t="n">
        <v>8</v>
      </c>
      <c r="E44" s="9" t="n">
        <v>348</v>
      </c>
      <c r="F44" s="20" t="n">
        <f aca="false">IF(D44=0,0,E44/D44)</f>
        <v>43.5</v>
      </c>
      <c r="G44" s="22" t="n">
        <v>1</v>
      </c>
      <c r="H44" s="11" t="s">
        <v>5</v>
      </c>
    </row>
    <row r="45" customFormat="false" ht="15" hidden="false" customHeight="false" outlineLevel="0" collapsed="false">
      <c r="B45" s="11" t="s">
        <v>303</v>
      </c>
      <c r="C45" s="11" t="s">
        <v>304</v>
      </c>
      <c r="D45" s="10" t="n">
        <v>8</v>
      </c>
      <c r="E45" s="9" t="n">
        <v>336</v>
      </c>
      <c r="F45" s="20" t="n">
        <f aca="false">IF(D45=0,0,E45/D45)</f>
        <v>42</v>
      </c>
      <c r="G45" s="22" t="n">
        <v>1</v>
      </c>
      <c r="H45" s="11" t="s">
        <v>5</v>
      </c>
    </row>
    <row r="46" customFormat="false" ht="15" hidden="false" customHeight="false" outlineLevel="0" collapsed="false">
      <c r="B46" s="11" t="s">
        <v>305</v>
      </c>
      <c r="C46" s="11" t="s">
        <v>306</v>
      </c>
      <c r="D46" s="10" t="n">
        <v>8</v>
      </c>
      <c r="E46" s="9" t="n">
        <v>240</v>
      </c>
      <c r="F46" s="20" t="n">
        <f aca="false">IF(D46=0,0,E46/D46)</f>
        <v>30</v>
      </c>
      <c r="G46" s="22" t="n">
        <v>1</v>
      </c>
      <c r="H46" s="11" t="s">
        <v>5</v>
      </c>
    </row>
    <row r="47" customFormat="false" ht="15" hidden="false" customHeight="false" outlineLevel="0" collapsed="false">
      <c r="B47" s="11" t="s">
        <v>307</v>
      </c>
      <c r="C47" s="11" t="s">
        <v>308</v>
      </c>
      <c r="D47" s="10" t="n">
        <v>8</v>
      </c>
      <c r="E47" s="9" t="n">
        <v>324</v>
      </c>
      <c r="F47" s="20" t="n">
        <f aca="false">IF(D47=0,0,E47/D47)</f>
        <v>40.5</v>
      </c>
      <c r="G47" s="22" t="n">
        <v>1</v>
      </c>
      <c r="H47" s="11" t="s">
        <v>5</v>
      </c>
    </row>
    <row r="48" customFormat="false" ht="15" hidden="false" customHeight="false" outlineLevel="0" collapsed="false">
      <c r="B48" s="11" t="s">
        <v>309</v>
      </c>
      <c r="C48" s="11" t="s">
        <v>310</v>
      </c>
      <c r="D48" s="10" t="n">
        <v>5</v>
      </c>
      <c r="E48" s="9" t="n">
        <v>205</v>
      </c>
      <c r="F48" s="20" t="n">
        <f aca="false">IF(D48=0,0,E48/D48)</f>
        <v>41</v>
      </c>
      <c r="G48" s="22" t="n">
        <v>1</v>
      </c>
      <c r="H48" s="11" t="s">
        <v>5</v>
      </c>
    </row>
    <row r="49" customFormat="false" ht="15" hidden="false" customHeight="false" outlineLevel="0" collapsed="false">
      <c r="B49" s="11" t="s">
        <v>311</v>
      </c>
      <c r="C49" s="11" t="s">
        <v>312</v>
      </c>
      <c r="D49" s="10" t="n">
        <v>1</v>
      </c>
      <c r="E49" s="9" t="n">
        <v>40</v>
      </c>
      <c r="F49" s="20" t="n">
        <f aca="false">IF(D49=0,0,E49/D49)</f>
        <v>40</v>
      </c>
      <c r="G49" s="22" t="n">
        <v>1</v>
      </c>
      <c r="H49" s="11" t="s">
        <v>5</v>
      </c>
    </row>
    <row r="50" customFormat="false" ht="15" hidden="false" customHeight="false" outlineLevel="0" collapsed="false">
      <c r="B50" s="18" t="s">
        <v>146</v>
      </c>
      <c r="D50" s="21" t="n">
        <f aca="false">SUM(D6:D49)</f>
        <v>14650.5</v>
      </c>
      <c r="E50" s="20" t="n">
        <f aca="false">SUM(E6:E49)</f>
        <v>477242.5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313</v>
      </c>
    </row>
    <row r="3" customFormat="false" ht="21.75" hidden="false" customHeight="true" outlineLevel="0" collapsed="false">
      <c r="B3" s="2" t="s">
        <v>314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315</v>
      </c>
    </row>
    <row r="6" customFormat="false" ht="15" hidden="false" customHeight="false" outlineLevel="0" collapsed="false">
      <c r="B6" s="3" t="s">
        <v>316</v>
      </c>
      <c r="C6" s="3" t="s">
        <v>317</v>
      </c>
      <c r="D6" s="3" t="s">
        <v>318</v>
      </c>
      <c r="E6" s="3" t="s">
        <v>87</v>
      </c>
    </row>
    <row r="7" customFormat="false" ht="15" hidden="false" customHeight="false" outlineLevel="0" collapsed="false">
      <c r="B7" s="11" t="s">
        <v>319</v>
      </c>
      <c r="C7" s="10" t="n">
        <v>44</v>
      </c>
      <c r="D7" s="11" t="s">
        <v>320</v>
      </c>
      <c r="E7" s="11" t="s">
        <v>5</v>
      </c>
    </row>
    <row r="8" customFormat="false" ht="15" hidden="false" customHeight="false" outlineLevel="0" collapsed="false">
      <c r="B8" s="11" t="s">
        <v>321</v>
      </c>
      <c r="C8" s="10" t="n">
        <v>14650.5</v>
      </c>
      <c r="D8" s="11" t="s">
        <v>322</v>
      </c>
      <c r="E8" s="11" t="s">
        <v>5</v>
      </c>
    </row>
    <row r="9" customFormat="false" ht="15" hidden="false" customHeight="false" outlineLevel="0" collapsed="false">
      <c r="B9" s="11" t="s">
        <v>323</v>
      </c>
      <c r="C9" s="10" t="n">
        <v>477242.5</v>
      </c>
      <c r="D9" s="11" t="s">
        <v>322</v>
      </c>
      <c r="E9" s="11" t="s">
        <v>5</v>
      </c>
    </row>
    <row r="10" customFormat="false" ht="15" hidden="false" customHeight="false" outlineLevel="0" collapsed="false">
      <c r="B10" s="11" t="s">
        <v>324</v>
      </c>
      <c r="C10" s="9" t="n">
        <v>32.5751680830006</v>
      </c>
      <c r="D10" s="11" t="s">
        <v>325</v>
      </c>
      <c r="E10" s="11" t="s">
        <v>326</v>
      </c>
    </row>
    <row r="11" customFormat="false" ht="15" hidden="false" customHeight="false" outlineLevel="0" collapsed="false">
      <c r="B11" s="11" t="s">
        <v>327</v>
      </c>
      <c r="C11" s="24" t="n">
        <v>0.109791474693697</v>
      </c>
      <c r="D11" s="11" t="s">
        <v>328</v>
      </c>
      <c r="E11" s="11" t="s">
        <v>326</v>
      </c>
    </row>
    <row r="12" customFormat="false" ht="15" hidden="false" customHeight="false" outlineLevel="0" collapsed="false">
      <c r="B12" s="11" t="s">
        <v>329</v>
      </c>
      <c r="C12" s="24" t="n">
        <v>0.502064775946214</v>
      </c>
      <c r="D12" s="11" t="s">
        <v>330</v>
      </c>
      <c r="E12" s="11" t="s">
        <v>326</v>
      </c>
    </row>
    <row r="13" customFormat="false" ht="15" hidden="false" customHeight="false" outlineLevel="0" collapsed="false">
      <c r="B13" s="11" t="s">
        <v>331</v>
      </c>
      <c r="C13" s="9" t="n">
        <v>62.2005988023952</v>
      </c>
      <c r="D13" s="11" t="s">
        <v>332</v>
      </c>
      <c r="E13" s="11" t="s">
        <v>326</v>
      </c>
    </row>
    <row r="14" customFormat="false" ht="15" hidden="false" customHeight="false" outlineLevel="0" collapsed="false">
      <c r="B14" s="11" t="s">
        <v>333</v>
      </c>
      <c r="C14" s="9" t="n">
        <v>0</v>
      </c>
      <c r="D14" s="11" t="s">
        <v>332</v>
      </c>
      <c r="E14" s="11" t="s">
        <v>326</v>
      </c>
    </row>
    <row r="15" customFormat="false" ht="15" hidden="false" customHeight="false" outlineLevel="0" collapsed="false">
      <c r="B15" s="11" t="s">
        <v>334</v>
      </c>
      <c r="C15" s="10" t="n">
        <v>332.965909090909</v>
      </c>
      <c r="D15" s="11" t="s">
        <v>335</v>
      </c>
      <c r="E15" s="11" t="s">
        <v>326</v>
      </c>
    </row>
    <row r="16" customFormat="false" ht="15" hidden="false" customHeight="false" outlineLevel="0" collapsed="false">
      <c r="B16" s="11" t="s">
        <v>336</v>
      </c>
      <c r="C16" s="10" t="n">
        <v>15.9545454545455</v>
      </c>
      <c r="D16" s="11" t="s">
        <v>337</v>
      </c>
      <c r="E16" s="11" t="s">
        <v>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338</v>
      </c>
    </row>
    <row r="3" customFormat="false" ht="21.75" hidden="false" customHeight="true" outlineLevel="0" collapsed="false">
      <c r="B3" s="2" t="s">
        <v>339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316</v>
      </c>
      <c r="C5" s="3" t="s">
        <v>317</v>
      </c>
      <c r="D5" s="3" t="s">
        <v>340</v>
      </c>
      <c r="E5" s="3" t="s">
        <v>341</v>
      </c>
    </row>
    <row r="6" customFormat="false" ht="15" hidden="false" customHeight="false" outlineLevel="0" collapsed="false">
      <c r="B6" s="11" t="s">
        <v>342</v>
      </c>
      <c r="C6" s="9" t="n">
        <v>128.579980205454</v>
      </c>
      <c r="D6" s="11" t="s">
        <v>343</v>
      </c>
    </row>
    <row r="7" customFormat="false" ht="15" hidden="false" customHeight="false" outlineLevel="0" collapsed="false">
      <c r="B7" s="11" t="s">
        <v>344</v>
      </c>
      <c r="C7" s="9" t="n">
        <v>37.8076270434456</v>
      </c>
      <c r="D7" s="11" t="s">
        <v>343</v>
      </c>
    </row>
    <row r="8" customFormat="false" ht="15" hidden="false" customHeight="false" outlineLevel="0" collapsed="false">
      <c r="B8" s="11" t="s">
        <v>345</v>
      </c>
      <c r="C8" s="9" t="n">
        <v>31.8963516603529</v>
      </c>
      <c r="D8" s="11" t="s">
        <v>343</v>
      </c>
      <c r="E8" s="11" t="s">
        <v>346</v>
      </c>
    </row>
    <row r="9" customFormat="false" ht="15" hidden="false" customHeight="false" outlineLevel="0" collapsed="false">
      <c r="B9" s="11" t="s">
        <v>347</v>
      </c>
      <c r="C9" s="9" t="n">
        <v>66.4535</v>
      </c>
      <c r="D9" s="11" t="s">
        <v>343</v>
      </c>
      <c r="E9" s="11" t="s">
        <v>348</v>
      </c>
    </row>
    <row r="10" customFormat="false" ht="15" hidden="false" customHeight="false" outlineLevel="0" collapsed="false">
      <c r="B10" s="11" t="s">
        <v>349</v>
      </c>
      <c r="C10" s="25" t="n">
        <v>1.3421</v>
      </c>
      <c r="D10" s="11" t="s">
        <v>350</v>
      </c>
      <c r="E10" s="11" t="s">
        <v>351</v>
      </c>
    </row>
    <row r="11" customFormat="false" ht="15" hidden="false" customHeight="false" outlineLevel="0" collapsed="false">
      <c r="B11" s="11" t="s">
        <v>352</v>
      </c>
      <c r="C11" s="10" t="n">
        <v>6131</v>
      </c>
      <c r="D11" s="11" t="s">
        <v>353</v>
      </c>
    </row>
    <row r="12" customFormat="false" ht="15" hidden="false" customHeight="false" outlineLevel="0" collapsed="false">
      <c r="B12" s="11" t="s">
        <v>354</v>
      </c>
      <c r="C12" s="10" t="n">
        <v>1290</v>
      </c>
      <c r="D12" s="11" t="s">
        <v>353</v>
      </c>
    </row>
    <row r="13" customFormat="false" ht="15" hidden="false" customHeight="false" outlineLevel="0" collapsed="false">
      <c r="B13" s="11" t="s">
        <v>355</v>
      </c>
      <c r="C13" s="26" t="n">
        <v>0.420897264270758</v>
      </c>
      <c r="D13" s="11" t="s">
        <v>356</v>
      </c>
    </row>
    <row r="14" customFormat="false" ht="15" hidden="false" customHeight="false" outlineLevel="0" collapsed="false">
      <c r="B14" s="11" t="s">
        <v>357</v>
      </c>
      <c r="C14" s="26" t="n">
        <v>0.294039764067735</v>
      </c>
      <c r="D14" s="11" t="s">
        <v>356</v>
      </c>
    </row>
    <row r="15" customFormat="false" ht="15" hidden="false" customHeight="false" outlineLevel="0" collapsed="false">
      <c r="B15" s="11" t="s">
        <v>358</v>
      </c>
      <c r="C15" s="26" t="n">
        <v>0.248066235578717</v>
      </c>
      <c r="D15" s="11" t="s">
        <v>356</v>
      </c>
    </row>
    <row r="16" customFormat="false" ht="15" hidden="false" customHeight="false" outlineLevel="0" collapsed="false">
      <c r="B16" s="11" t="s">
        <v>359</v>
      </c>
      <c r="C16" s="26" t="n">
        <v>0.26681519046206</v>
      </c>
      <c r="D16" s="11" t="s">
        <v>356</v>
      </c>
    </row>
    <row r="17" customFormat="false" ht="15" hidden="false" customHeight="false" outlineLevel="0" collapsed="false">
      <c r="B17" s="11" t="s">
        <v>360</v>
      </c>
      <c r="C17" s="26" t="n">
        <v>0.705960235932265</v>
      </c>
      <c r="D17" s="11" t="s">
        <v>356</v>
      </c>
      <c r="E17" s="11" t="s">
        <v>361</v>
      </c>
    </row>
    <row r="18" customFormat="false" ht="15" hidden="false" customHeight="false" outlineLevel="0" collapsed="false">
      <c r="B18" s="11" t="s">
        <v>362</v>
      </c>
      <c r="C18" s="9" t="n">
        <v>17442.2314814815</v>
      </c>
      <c r="D18" s="11" t="s">
        <v>363</v>
      </c>
      <c r="E18" s="11" t="s">
        <v>364</v>
      </c>
    </row>
    <row r="19" customFormat="false" ht="15" hidden="false" customHeight="false" outlineLevel="0" collapsed="false">
      <c r="B19" s="11" t="s">
        <v>365</v>
      </c>
      <c r="C19" s="10" t="n">
        <v>135.652777777778</v>
      </c>
      <c r="D19" s="11" t="s">
        <v>353</v>
      </c>
    </row>
    <row r="20" customFormat="false" ht="15" hidden="false" customHeight="false" outlineLevel="0" collapsed="false">
      <c r="B20" s="11" t="s">
        <v>366</v>
      </c>
      <c r="C20" s="9" t="n">
        <v>4326.8287037037</v>
      </c>
      <c r="D20" s="11" t="s">
        <v>363</v>
      </c>
    </row>
    <row r="21" customFormat="false" ht="15" hidden="false" customHeight="false" outlineLevel="0" collapsed="false">
      <c r="B21" s="11" t="s">
        <v>367</v>
      </c>
      <c r="C21" s="9" t="n">
        <v>4653.85231481482</v>
      </c>
      <c r="D21" s="11" t="s">
        <v>363</v>
      </c>
    </row>
    <row r="22" customFormat="false" ht="15" hidden="false" customHeight="false" outlineLevel="0" collapsed="false">
      <c r="B22" s="11" t="s">
        <v>368</v>
      </c>
      <c r="C22" s="9" t="n">
        <v>12313.5218518519</v>
      </c>
      <c r="D22" s="11" t="s">
        <v>363</v>
      </c>
    </row>
    <row r="23" customFormat="false" ht="15" hidden="false" customHeight="false" outlineLevel="0" collapsed="false">
      <c r="B23" s="11" t="s">
        <v>369</v>
      </c>
      <c r="C23" s="10" t="n">
        <v>56.7685185185185</v>
      </c>
      <c r="D23" s="11" t="s">
        <v>353</v>
      </c>
    </row>
    <row r="24" customFormat="false" ht="15" hidden="false" customHeight="false" outlineLevel="0" collapsed="false">
      <c r="B24" s="11" t="s">
        <v>370</v>
      </c>
      <c r="C24" s="9" t="n">
        <v>2498.35676392573</v>
      </c>
      <c r="D24" s="11" t="s">
        <v>363</v>
      </c>
      <c r="E24" s="11" t="s">
        <v>371</v>
      </c>
    </row>
    <row r="25" customFormat="false" ht="15" hidden="false" customHeight="false" outlineLevel="0" collapsed="false">
      <c r="B25" s="11" t="s">
        <v>372</v>
      </c>
      <c r="C25" s="10" t="n">
        <v>19.4303713527851</v>
      </c>
      <c r="D25" s="11" t="s">
        <v>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373</v>
      </c>
    </row>
    <row r="3" customFormat="false" ht="21.75" hidden="false" customHeight="true" outlineLevel="0" collapsed="false">
      <c r="B3" s="2" t="s">
        <v>374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375</v>
      </c>
      <c r="C5" s="3" t="s">
        <v>376</v>
      </c>
      <c r="D5" s="3" t="s">
        <v>377</v>
      </c>
      <c r="E5" s="3" t="s">
        <v>378</v>
      </c>
      <c r="F5" s="3" t="s">
        <v>67</v>
      </c>
      <c r="G5" s="3" t="s">
        <v>80</v>
      </c>
      <c r="H5" s="3" t="s">
        <v>379</v>
      </c>
      <c r="I5" s="3" t="s">
        <v>87</v>
      </c>
    </row>
    <row r="6" customFormat="false" ht="15" hidden="false" customHeight="false" outlineLevel="0" collapsed="false">
      <c r="B6" s="11" t="s">
        <v>380</v>
      </c>
      <c r="C6" s="11" t="s">
        <v>381</v>
      </c>
      <c r="D6" s="11" t="s">
        <v>12</v>
      </c>
      <c r="E6" s="11" t="s">
        <v>382</v>
      </c>
      <c r="F6" s="11" t="s">
        <v>383</v>
      </c>
      <c r="G6" s="11" t="s">
        <v>384</v>
      </c>
      <c r="H6" s="9" t="n">
        <v>1766205</v>
      </c>
      <c r="I6" s="11" t="s">
        <v>20</v>
      </c>
    </row>
    <row r="7" customFormat="false" ht="15" hidden="false" customHeight="false" outlineLevel="0" collapsed="false">
      <c r="B7" s="11" t="s">
        <v>385</v>
      </c>
      <c r="C7" s="11" t="s">
        <v>386</v>
      </c>
      <c r="D7" s="11" t="s">
        <v>12</v>
      </c>
      <c r="E7" s="11" t="s">
        <v>387</v>
      </c>
      <c r="F7" s="11" t="s">
        <v>388</v>
      </c>
      <c r="G7" s="11" t="s">
        <v>389</v>
      </c>
      <c r="H7" s="9" t="n">
        <v>117556</v>
      </c>
      <c r="I7" s="11" t="s">
        <v>5</v>
      </c>
    </row>
    <row r="8" customFormat="false" ht="15" hidden="false" customHeight="false" outlineLevel="0" collapsed="false">
      <c r="B8" s="18" t="s">
        <v>390</v>
      </c>
      <c r="H8" s="20" t="n">
        <f aca="false">SUM(H6:H7)</f>
        <v>1883761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391</v>
      </c>
    </row>
    <row r="3" customFormat="false" ht="21.75" hidden="false" customHeight="true" outlineLevel="0" collapsed="false">
      <c r="B3" s="2" t="s">
        <v>392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393</v>
      </c>
      <c r="C5" s="3" t="s">
        <v>376</v>
      </c>
      <c r="D5" s="3" t="s">
        <v>394</v>
      </c>
      <c r="E5" s="3" t="s">
        <v>395</v>
      </c>
      <c r="F5" s="3" t="s">
        <v>396</v>
      </c>
      <c r="G5" s="3" t="s">
        <v>87</v>
      </c>
    </row>
    <row r="6" customFormat="false" ht="15" hidden="false" customHeight="false" outlineLevel="0" collapsed="false">
      <c r="B6" s="11" t="s">
        <v>397</v>
      </c>
      <c r="C6" s="11" t="s">
        <v>398</v>
      </c>
      <c r="D6" s="27" t="n">
        <v>-314824</v>
      </c>
      <c r="E6" s="27" t="n">
        <v>-15741.2</v>
      </c>
      <c r="F6" s="22" t="n">
        <v>19</v>
      </c>
      <c r="G6" s="11" t="s">
        <v>5</v>
      </c>
    </row>
    <row r="7" customFormat="false" ht="15" hidden="false" customHeight="false" outlineLevel="0" collapsed="false">
      <c r="B7" s="11" t="s">
        <v>399</v>
      </c>
      <c r="C7" s="11" t="s">
        <v>400</v>
      </c>
      <c r="D7" s="27" t="n">
        <v>-87400</v>
      </c>
      <c r="E7" s="27" t="n">
        <v>-4370</v>
      </c>
      <c r="F7" s="22" t="n">
        <v>2</v>
      </c>
      <c r="G7" s="11" t="s">
        <v>5</v>
      </c>
    </row>
    <row r="8" customFormat="false" ht="15" hidden="false" customHeight="false" outlineLevel="0" collapsed="false">
      <c r="B8" s="11" t="s">
        <v>401</v>
      </c>
      <c r="C8" s="11" t="s">
        <v>402</v>
      </c>
      <c r="D8" s="27" t="n">
        <v>-178786</v>
      </c>
      <c r="E8" s="27" t="n">
        <v>-8939.3</v>
      </c>
      <c r="F8" s="22" t="n">
        <v>9</v>
      </c>
      <c r="G8" s="11" t="s">
        <v>5</v>
      </c>
    </row>
    <row r="9" customFormat="false" ht="15" hidden="false" customHeight="false" outlineLevel="0" collapsed="false">
      <c r="B9" s="11" t="s">
        <v>403</v>
      </c>
      <c r="C9" s="11" t="s">
        <v>402</v>
      </c>
      <c r="D9" s="27" t="n">
        <v>-14770</v>
      </c>
      <c r="E9" s="27" t="n">
        <v>-738.5</v>
      </c>
      <c r="F9" s="22" t="n">
        <v>5</v>
      </c>
      <c r="G9" s="11" t="s">
        <v>5</v>
      </c>
    </row>
    <row r="10" customFormat="false" ht="15" hidden="false" customHeight="false" outlineLevel="0" collapsed="false">
      <c r="B10" s="11" t="s">
        <v>404</v>
      </c>
      <c r="C10" s="11" t="s">
        <v>405</v>
      </c>
      <c r="D10" s="27" t="n">
        <v>-139903</v>
      </c>
      <c r="E10" s="27" t="n">
        <v>-6995.15</v>
      </c>
      <c r="F10" s="22" t="n">
        <v>11</v>
      </c>
      <c r="G10" s="11" t="s">
        <v>5</v>
      </c>
    </row>
    <row r="11" customFormat="false" ht="15" hidden="false" customHeight="false" outlineLevel="0" collapsed="false">
      <c r="B11" s="11" t="s">
        <v>406</v>
      </c>
      <c r="C11" s="11" t="s">
        <v>407</v>
      </c>
      <c r="D11" s="27" t="n">
        <v>14770</v>
      </c>
      <c r="E11" s="27" t="n">
        <v>738.5</v>
      </c>
      <c r="F11" s="22" t="n">
        <v>1</v>
      </c>
      <c r="G11" s="11" t="s">
        <v>5</v>
      </c>
    </row>
    <row r="12" customFormat="false" ht="15" hidden="false" customHeight="false" outlineLevel="0" collapsed="false">
      <c r="B12" s="11" t="s">
        <v>136</v>
      </c>
      <c r="C12" s="11" t="s">
        <v>408</v>
      </c>
      <c r="D12" s="27" t="n">
        <v>-170820</v>
      </c>
      <c r="E12" s="27" t="n">
        <v>-8541</v>
      </c>
      <c r="F12" s="22" t="n">
        <v>14</v>
      </c>
      <c r="G12" s="11" t="s">
        <v>5</v>
      </c>
    </row>
    <row r="13" customFormat="false" ht="15" hidden="false" customHeight="false" outlineLevel="0" collapsed="false">
      <c r="B13" s="11" t="s">
        <v>409</v>
      </c>
      <c r="C13" s="11" t="s">
        <v>410</v>
      </c>
      <c r="D13" s="27" t="n">
        <v>-90600</v>
      </c>
      <c r="E13" s="27" t="n">
        <v>-4530</v>
      </c>
      <c r="F13" s="22" t="n">
        <v>2</v>
      </c>
      <c r="G13" s="11" t="s">
        <v>5</v>
      </c>
    </row>
    <row r="14" customFormat="false" ht="15" hidden="false" customHeight="false" outlineLevel="0" collapsed="false">
      <c r="B14" s="11" t="s">
        <v>411</v>
      </c>
      <c r="C14" s="11" t="s">
        <v>412</v>
      </c>
      <c r="D14" s="27" t="n">
        <v>-137558</v>
      </c>
      <c r="E14" s="27" t="n">
        <v>-6877.9</v>
      </c>
      <c r="F14" s="22" t="n">
        <v>11</v>
      </c>
      <c r="G14" s="11" t="s">
        <v>5</v>
      </c>
    </row>
    <row r="15" customFormat="false" ht="15" hidden="false" customHeight="false" outlineLevel="0" collapsed="false">
      <c r="B15" s="11" t="s">
        <v>413</v>
      </c>
      <c r="C15" s="11" t="s">
        <v>414</v>
      </c>
      <c r="D15" s="27" t="n">
        <v>-98281</v>
      </c>
      <c r="E15" s="27" t="n">
        <v>-4914.05</v>
      </c>
      <c r="F15" s="22" t="n">
        <v>3</v>
      </c>
      <c r="G15" s="11" t="s">
        <v>5</v>
      </c>
    </row>
    <row r="16" customFormat="false" ht="15" hidden="false" customHeight="false" outlineLevel="0" collapsed="false">
      <c r="B16" s="11" t="s">
        <v>415</v>
      </c>
      <c r="C16" s="11" t="s">
        <v>416</v>
      </c>
      <c r="D16" s="27" t="n">
        <v>-11763</v>
      </c>
      <c r="E16" s="27" t="n">
        <v>-588.15</v>
      </c>
      <c r="F16" s="22" t="n">
        <v>2</v>
      </c>
      <c r="G16" s="11" t="s">
        <v>5</v>
      </c>
    </row>
    <row r="17" customFormat="false" ht="15" hidden="false" customHeight="false" outlineLevel="0" collapsed="false">
      <c r="B17" s="11" t="s">
        <v>417</v>
      </c>
      <c r="C17" s="11" t="s">
        <v>418</v>
      </c>
      <c r="D17" s="27" t="n">
        <v>-57390</v>
      </c>
      <c r="E17" s="27" t="n">
        <v>-2869.5</v>
      </c>
      <c r="F17" s="22" t="n">
        <v>5</v>
      </c>
      <c r="G17" s="11" t="s">
        <v>5</v>
      </c>
    </row>
    <row r="18" customFormat="false" ht="15" hidden="false" customHeight="false" outlineLevel="0" collapsed="false">
      <c r="B18" s="11" t="s">
        <v>419</v>
      </c>
      <c r="C18" s="11" t="s">
        <v>420</v>
      </c>
      <c r="D18" s="27" t="n">
        <v>-28595</v>
      </c>
      <c r="E18" s="27" t="n">
        <v>-1429.75</v>
      </c>
      <c r="F18" s="22" t="n">
        <v>2</v>
      </c>
      <c r="G18" s="11" t="s">
        <v>5</v>
      </c>
    </row>
    <row r="19" customFormat="false" ht="15" hidden="false" customHeight="false" outlineLevel="0" collapsed="false">
      <c r="B19" s="11" t="s">
        <v>421</v>
      </c>
      <c r="C19" s="11" t="s">
        <v>422</v>
      </c>
      <c r="D19" s="27" t="n">
        <v>-116144</v>
      </c>
      <c r="E19" s="27" t="n">
        <v>-5807.2</v>
      </c>
      <c r="F19" s="22" t="n">
        <v>11</v>
      </c>
      <c r="G19" s="11" t="s">
        <v>5</v>
      </c>
    </row>
    <row r="20" customFormat="false" ht="15" hidden="false" customHeight="false" outlineLevel="0" collapsed="false">
      <c r="B20" s="11" t="s">
        <v>423</v>
      </c>
      <c r="C20" s="11" t="s">
        <v>424</v>
      </c>
      <c r="D20" s="27" t="n">
        <v>-34350</v>
      </c>
      <c r="E20" s="27" t="n">
        <v>-1717.5</v>
      </c>
      <c r="F20" s="22" t="n">
        <v>2</v>
      </c>
      <c r="G20" s="11" t="s">
        <v>5</v>
      </c>
    </row>
    <row r="21" customFormat="false" ht="15" hidden="false" customHeight="false" outlineLevel="0" collapsed="false">
      <c r="B21" s="11" t="s">
        <v>425</v>
      </c>
      <c r="C21" s="11" t="s">
        <v>424</v>
      </c>
      <c r="D21" s="27" t="n">
        <v>34350</v>
      </c>
      <c r="E21" s="27" t="n">
        <v>1717.5</v>
      </c>
      <c r="F21" s="22" t="n">
        <v>2</v>
      </c>
      <c r="G21" s="11" t="s">
        <v>5</v>
      </c>
    </row>
    <row r="22" customFormat="false" ht="15" hidden="false" customHeight="false" outlineLevel="0" collapsed="false">
      <c r="B22" s="11" t="s">
        <v>426</v>
      </c>
      <c r="C22" s="11" t="s">
        <v>424</v>
      </c>
      <c r="D22" s="27" t="n">
        <v>-27600</v>
      </c>
      <c r="E22" s="27" t="n">
        <v>-1380</v>
      </c>
      <c r="F22" s="22" t="n">
        <v>2</v>
      </c>
      <c r="G22" s="11" t="s">
        <v>5</v>
      </c>
    </row>
    <row r="23" customFormat="false" ht="15" hidden="false" customHeight="false" outlineLevel="0" collapsed="false">
      <c r="B23" s="11" t="s">
        <v>427</v>
      </c>
      <c r="C23" s="11" t="s">
        <v>428</v>
      </c>
      <c r="D23" s="27" t="n">
        <v>-71280</v>
      </c>
      <c r="E23" s="27" t="n">
        <v>-3564</v>
      </c>
      <c r="F23" s="22" t="n">
        <v>8</v>
      </c>
      <c r="G23" s="11" t="s">
        <v>5</v>
      </c>
    </row>
    <row r="24" customFormat="false" ht="15" hidden="false" customHeight="false" outlineLevel="0" collapsed="false">
      <c r="B24" s="11" t="s">
        <v>429</v>
      </c>
      <c r="C24" s="11" t="s">
        <v>430</v>
      </c>
      <c r="D24" s="27" t="n">
        <v>-50650</v>
      </c>
      <c r="E24" s="27" t="n">
        <v>-2532.5</v>
      </c>
      <c r="F24" s="22" t="n">
        <v>4</v>
      </c>
      <c r="G24" s="11" t="s">
        <v>5</v>
      </c>
    </row>
    <row r="25" customFormat="false" ht="15" hidden="false" customHeight="false" outlineLevel="0" collapsed="false">
      <c r="B25" s="11" t="s">
        <v>431</v>
      </c>
      <c r="C25" s="11" t="s">
        <v>432</v>
      </c>
      <c r="D25" s="27" t="n">
        <v>-109550</v>
      </c>
      <c r="E25" s="27" t="n">
        <v>-5477.5</v>
      </c>
      <c r="F25" s="22" t="n">
        <v>3</v>
      </c>
      <c r="G25" s="11" t="s">
        <v>5</v>
      </c>
    </row>
    <row r="26" customFormat="false" ht="15" hidden="false" customHeight="false" outlineLevel="0" collapsed="false">
      <c r="B26" s="11" t="s">
        <v>433</v>
      </c>
      <c r="C26" s="11" t="s">
        <v>434</v>
      </c>
      <c r="D26" s="27" t="n">
        <v>-1151</v>
      </c>
      <c r="E26" s="27" t="n">
        <v>-57.55</v>
      </c>
      <c r="F26" s="22" t="n">
        <v>1</v>
      </c>
      <c r="G26" s="11" t="s">
        <v>5</v>
      </c>
    </row>
    <row r="27" customFormat="false" ht="15" hidden="false" customHeight="false" outlineLevel="0" collapsed="false">
      <c r="B27" s="11" t="s">
        <v>435</v>
      </c>
      <c r="C27" s="11" t="s">
        <v>434</v>
      </c>
      <c r="D27" s="27" t="n">
        <v>1151</v>
      </c>
      <c r="E27" s="27" t="n">
        <v>57.55</v>
      </c>
      <c r="F27" s="22" t="n">
        <v>1</v>
      </c>
      <c r="G27" s="11" t="s">
        <v>5</v>
      </c>
    </row>
    <row r="28" customFormat="false" ht="15" hidden="false" customHeight="false" outlineLevel="0" collapsed="false">
      <c r="B28" s="11" t="s">
        <v>436</v>
      </c>
      <c r="C28" s="11" t="s">
        <v>434</v>
      </c>
      <c r="D28" s="27" t="n">
        <v>-1151</v>
      </c>
      <c r="E28" s="27" t="n">
        <v>0</v>
      </c>
      <c r="F28" s="22" t="n">
        <v>1</v>
      </c>
      <c r="G28" s="11" t="s">
        <v>5</v>
      </c>
    </row>
    <row r="29" customFormat="false" ht="15" hidden="false" customHeight="false" outlineLevel="0" collapsed="false">
      <c r="B29" s="11" t="s">
        <v>437</v>
      </c>
      <c r="C29" s="11" t="s">
        <v>438</v>
      </c>
      <c r="D29" s="27" t="n">
        <v>-2020</v>
      </c>
      <c r="E29" s="27" t="n">
        <v>0</v>
      </c>
      <c r="F29" s="22" t="n">
        <v>1</v>
      </c>
      <c r="G29" s="11" t="s">
        <v>5</v>
      </c>
    </row>
    <row r="30" customFormat="false" ht="15" hidden="false" customHeight="false" outlineLevel="0" collapsed="false">
      <c r="B30" s="11" t="s">
        <v>439</v>
      </c>
      <c r="C30" s="11" t="s">
        <v>440</v>
      </c>
      <c r="D30" s="27" t="n">
        <v>-1766</v>
      </c>
      <c r="E30" s="27" t="n">
        <v>0</v>
      </c>
      <c r="F30" s="22" t="n">
        <v>1</v>
      </c>
      <c r="G30" s="11" t="s">
        <v>5</v>
      </c>
    </row>
    <row r="31" customFormat="false" ht="15" hidden="false" customHeight="false" outlineLevel="0" collapsed="false">
      <c r="B31" s="11" t="s">
        <v>441</v>
      </c>
      <c r="C31" s="11" t="s">
        <v>442</v>
      </c>
      <c r="D31" s="27" t="n">
        <v>-1230</v>
      </c>
      <c r="E31" s="27" t="n">
        <v>-61.5</v>
      </c>
      <c r="F31" s="22" t="n">
        <v>1</v>
      </c>
      <c r="G31" s="11" t="s">
        <v>5</v>
      </c>
    </row>
    <row r="32" customFormat="false" ht="15" hidden="false" customHeight="false" outlineLevel="0" collapsed="false">
      <c r="B32" s="11" t="s">
        <v>443</v>
      </c>
      <c r="C32" s="11" t="s">
        <v>444</v>
      </c>
      <c r="D32" s="27" t="n">
        <v>-186450</v>
      </c>
      <c r="E32" s="27" t="n">
        <v>-9322.5</v>
      </c>
      <c r="F32" s="22" t="n">
        <v>2</v>
      </c>
      <c r="G32" s="11" t="s">
        <v>5</v>
      </c>
    </row>
    <row r="33" customFormat="false" ht="15" hidden="false" customHeight="false" outlineLevel="0" collapsed="false">
      <c r="B33" s="18" t="s">
        <v>445</v>
      </c>
      <c r="D33" s="16" t="n">
        <f aca="false">SUM(D6:D32)</f>
        <v>-1883761</v>
      </c>
      <c r="E33" s="16" t="n">
        <f aca="false">SUM(E6:E32)</f>
        <v>-93941.2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446</v>
      </c>
    </row>
    <row r="3" customFormat="false" ht="21.75" hidden="false" customHeight="true" outlineLevel="0" collapsed="false">
      <c r="B3" s="2" t="s">
        <v>447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448</v>
      </c>
      <c r="C5" s="3" t="s">
        <v>449</v>
      </c>
      <c r="D5" s="3" t="s">
        <v>450</v>
      </c>
      <c r="E5" s="3" t="s">
        <v>451</v>
      </c>
      <c r="F5" s="3" t="s">
        <v>87</v>
      </c>
    </row>
    <row r="6" customFormat="false" ht="15" hidden="false" customHeight="false" outlineLevel="0" collapsed="false">
      <c r="B6" s="11" t="n">
        <v>1</v>
      </c>
      <c r="C6" s="11" t="s">
        <v>452</v>
      </c>
      <c r="D6" s="11" t="s">
        <v>453</v>
      </c>
      <c r="E6" s="13" t="s">
        <v>454</v>
      </c>
      <c r="F6" s="11" t="s">
        <v>5</v>
      </c>
    </row>
    <row r="7" customFormat="false" ht="15" hidden="false" customHeight="false" outlineLevel="0" collapsed="false">
      <c r="B7" s="11" t="n">
        <v>2</v>
      </c>
      <c r="C7" s="11" t="s">
        <v>455</v>
      </c>
      <c r="D7" s="11" t="s">
        <v>456</v>
      </c>
      <c r="E7" s="13" t="s">
        <v>454</v>
      </c>
      <c r="F7" s="11" t="s">
        <v>457</v>
      </c>
    </row>
    <row r="8" customFormat="false" ht="15" hidden="false" customHeight="false" outlineLevel="0" collapsed="false">
      <c r="B8" s="11" t="n">
        <v>3</v>
      </c>
      <c r="C8" s="11" t="s">
        <v>458</v>
      </c>
      <c r="D8" s="11" t="s">
        <v>459</v>
      </c>
      <c r="E8" s="13" t="s">
        <v>454</v>
      </c>
      <c r="F8" s="11" t="s">
        <v>5</v>
      </c>
    </row>
    <row r="9" customFormat="false" ht="15" hidden="false" customHeight="false" outlineLevel="0" collapsed="false">
      <c r="B9" s="11" t="n">
        <v>4</v>
      </c>
      <c r="C9" s="11" t="s">
        <v>460</v>
      </c>
      <c r="D9" s="11" t="s">
        <v>461</v>
      </c>
      <c r="E9" s="13" t="s">
        <v>454</v>
      </c>
      <c r="F9" s="11" t="s">
        <v>5</v>
      </c>
    </row>
    <row r="10" customFormat="false" ht="15" hidden="false" customHeight="false" outlineLevel="0" collapsed="false">
      <c r="B10" s="11" t="n">
        <v>5</v>
      </c>
      <c r="C10" s="11" t="s">
        <v>462</v>
      </c>
      <c r="D10" s="11" t="s">
        <v>463</v>
      </c>
      <c r="E10" s="13" t="s">
        <v>454</v>
      </c>
      <c r="F10" s="11" t="s">
        <v>5</v>
      </c>
    </row>
    <row r="11" customFormat="false" ht="15" hidden="false" customHeight="false" outlineLevel="0" collapsed="false">
      <c r="B11" s="11" t="n">
        <v>6</v>
      </c>
      <c r="C11" s="11" t="s">
        <v>464</v>
      </c>
      <c r="D11" s="11" t="s">
        <v>465</v>
      </c>
      <c r="E11" s="13" t="s">
        <v>454</v>
      </c>
      <c r="F11" s="11" t="s">
        <v>5</v>
      </c>
    </row>
    <row r="12" customFormat="false" ht="15" hidden="false" customHeight="false" outlineLevel="0" collapsed="false">
      <c r="B12" s="11" t="n">
        <v>7</v>
      </c>
      <c r="C12" s="11" t="s">
        <v>466</v>
      </c>
      <c r="D12" s="11" t="s">
        <v>467</v>
      </c>
      <c r="E12" s="13" t="s">
        <v>454</v>
      </c>
      <c r="F12" s="11" t="s">
        <v>5</v>
      </c>
    </row>
    <row r="13" customFormat="false" ht="15" hidden="false" customHeight="false" outlineLevel="0" collapsed="false">
      <c r="B13" s="11" t="n">
        <v>8</v>
      </c>
      <c r="C13" s="11" t="s">
        <v>468</v>
      </c>
      <c r="D13" s="11" t="s">
        <v>469</v>
      </c>
      <c r="E13" s="13" t="s">
        <v>454</v>
      </c>
      <c r="F13" s="11" t="s">
        <v>5</v>
      </c>
    </row>
    <row r="14" customFormat="false" ht="15" hidden="false" customHeight="false" outlineLevel="0" collapsed="false">
      <c r="B14" s="11" t="n">
        <v>9</v>
      </c>
      <c r="C14" s="11" t="s">
        <v>470</v>
      </c>
      <c r="D14" s="11" t="s">
        <v>471</v>
      </c>
      <c r="E14" s="13" t="s">
        <v>454</v>
      </c>
      <c r="F14" s="11" t="s">
        <v>13</v>
      </c>
    </row>
    <row r="15" customFormat="false" ht="15" hidden="false" customHeight="false" outlineLevel="0" collapsed="false">
      <c r="B15" s="11" t="n">
        <v>10</v>
      </c>
      <c r="C15" s="11" t="s">
        <v>472</v>
      </c>
      <c r="D15" s="11" t="s">
        <v>473</v>
      </c>
      <c r="E15" s="13" t="s">
        <v>454</v>
      </c>
      <c r="F15" s="11" t="s">
        <v>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475</v>
      </c>
    </row>
    <row r="3" customFormat="false" ht="21.75" hidden="false" customHeight="true" outlineLevel="0" collapsed="false">
      <c r="B3" s="2" t="s">
        <v>476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477</v>
      </c>
      <c r="C5" s="3" t="s">
        <v>478</v>
      </c>
      <c r="D5" s="3" t="s">
        <v>317</v>
      </c>
      <c r="E5" s="3" t="s">
        <v>149</v>
      </c>
      <c r="F5" s="3" t="s">
        <v>318</v>
      </c>
      <c r="G5" s="3" t="s">
        <v>451</v>
      </c>
      <c r="H5" s="3" t="s">
        <v>479</v>
      </c>
    </row>
    <row r="6" customFormat="false" ht="15" hidden="false" customHeight="false" outlineLevel="0" collapsed="false">
      <c r="B6" s="11" t="s">
        <v>480</v>
      </c>
      <c r="C6" s="11" t="s">
        <v>481</v>
      </c>
      <c r="D6" s="11" t="s">
        <v>4</v>
      </c>
      <c r="E6" s="11" t="s">
        <v>482</v>
      </c>
      <c r="F6" s="11" t="s">
        <v>483</v>
      </c>
      <c r="G6" s="13" t="s">
        <v>454</v>
      </c>
      <c r="H6" s="11" t="s">
        <v>5</v>
      </c>
    </row>
    <row r="7" customFormat="false" ht="15" hidden="false" customHeight="false" outlineLevel="0" collapsed="false">
      <c r="B7" s="11" t="s">
        <v>484</v>
      </c>
      <c r="C7" s="11" t="s">
        <v>485</v>
      </c>
      <c r="D7" s="11" t="s">
        <v>486</v>
      </c>
      <c r="E7" s="11" t="s">
        <v>482</v>
      </c>
      <c r="F7" s="11"/>
      <c r="G7" s="13" t="s">
        <v>454</v>
      </c>
      <c r="H7" s="11" t="s">
        <v>5</v>
      </c>
    </row>
    <row r="8" customFormat="false" ht="15" hidden="false" customHeight="false" outlineLevel="0" collapsed="false">
      <c r="B8" s="11" t="s">
        <v>11</v>
      </c>
      <c r="C8" s="11" t="s">
        <v>487</v>
      </c>
      <c r="D8" s="11" t="s">
        <v>12</v>
      </c>
      <c r="E8" s="11" t="s">
        <v>482</v>
      </c>
      <c r="F8" s="11"/>
      <c r="G8" s="13" t="s">
        <v>454</v>
      </c>
      <c r="H8" s="11" t="s">
        <v>13</v>
      </c>
    </row>
    <row r="9" customFormat="false" ht="15" hidden="false" customHeight="false" outlineLevel="0" collapsed="false">
      <c r="B9" s="11" t="s">
        <v>71</v>
      </c>
      <c r="C9" s="11" t="s">
        <v>488</v>
      </c>
      <c r="D9" s="11" t="s">
        <v>17</v>
      </c>
      <c r="E9" s="11" t="s">
        <v>482</v>
      </c>
      <c r="F9" s="11"/>
      <c r="G9" s="13" t="s">
        <v>454</v>
      </c>
      <c r="H9" s="11" t="s">
        <v>13</v>
      </c>
    </row>
    <row r="10" customFormat="false" ht="15" hidden="false" customHeight="false" outlineLevel="0" collapsed="false">
      <c r="B10" s="11" t="s">
        <v>34</v>
      </c>
      <c r="C10" s="11" t="s">
        <v>489</v>
      </c>
      <c r="D10" s="11" t="s">
        <v>35</v>
      </c>
      <c r="E10" s="11" t="s">
        <v>482</v>
      </c>
      <c r="F10" s="11"/>
      <c r="G10" s="13" t="s">
        <v>454</v>
      </c>
      <c r="H10" s="11" t="s">
        <v>36</v>
      </c>
    </row>
    <row r="11" customFormat="false" ht="15" hidden="false" customHeight="false" outlineLevel="0" collapsed="false">
      <c r="B11" s="11" t="s">
        <v>490</v>
      </c>
      <c r="C11" s="11" t="s">
        <v>491</v>
      </c>
      <c r="D11" s="11" t="s">
        <v>28</v>
      </c>
      <c r="E11" s="11" t="s">
        <v>482</v>
      </c>
      <c r="F11" s="11"/>
      <c r="G11" s="13" t="s">
        <v>454</v>
      </c>
      <c r="H11" s="11" t="s">
        <v>13</v>
      </c>
    </row>
    <row r="12" customFormat="false" ht="15" hidden="false" customHeight="false" outlineLevel="0" collapsed="false">
      <c r="B12" s="11" t="s">
        <v>492</v>
      </c>
      <c r="C12" s="11" t="s">
        <v>493</v>
      </c>
      <c r="D12" s="11" t="s">
        <v>494</v>
      </c>
      <c r="E12" s="11" t="s">
        <v>482</v>
      </c>
      <c r="F12" s="11"/>
      <c r="G12" s="13" t="s">
        <v>454</v>
      </c>
      <c r="H12" s="11" t="s">
        <v>495</v>
      </c>
    </row>
    <row r="13" customFormat="false" ht="15" hidden="false" customHeight="false" outlineLevel="0" collapsed="false">
      <c r="B13" s="11" t="s">
        <v>496</v>
      </c>
      <c r="C13" s="11" t="s">
        <v>497</v>
      </c>
      <c r="D13" s="11" t="s">
        <v>30</v>
      </c>
      <c r="E13" s="11" t="s">
        <v>482</v>
      </c>
      <c r="F13" s="11"/>
      <c r="G13" s="13" t="s">
        <v>454</v>
      </c>
      <c r="H13" s="11" t="s">
        <v>13</v>
      </c>
    </row>
    <row r="14" customFormat="false" ht="15" hidden="false" customHeight="false" outlineLevel="0" collapsed="false">
      <c r="B14" s="11" t="s">
        <v>18</v>
      </c>
      <c r="C14" s="11" t="s">
        <v>498</v>
      </c>
      <c r="D14" s="11" t="s">
        <v>19</v>
      </c>
      <c r="E14" s="11" t="s">
        <v>482</v>
      </c>
      <c r="F14" s="11"/>
      <c r="G14" s="13" t="s">
        <v>454</v>
      </c>
      <c r="H14" s="11" t="s">
        <v>20</v>
      </c>
    </row>
    <row r="15" customFormat="false" ht="15" hidden="false" customHeight="false" outlineLevel="0" collapsed="false">
      <c r="B15" s="11" t="s">
        <v>499</v>
      </c>
      <c r="C15" s="11" t="s">
        <v>500</v>
      </c>
      <c r="D15" s="11" t="s">
        <v>22</v>
      </c>
      <c r="E15" s="11" t="s">
        <v>482</v>
      </c>
      <c r="F15" s="11"/>
      <c r="G15" s="13" t="s">
        <v>454</v>
      </c>
      <c r="H15" s="11" t="s">
        <v>20</v>
      </c>
    </row>
    <row r="16" customFormat="false" ht="15" hidden="false" customHeight="false" outlineLevel="0" collapsed="false">
      <c r="B16" s="11" t="s">
        <v>25</v>
      </c>
      <c r="C16" s="11" t="s">
        <v>501</v>
      </c>
      <c r="D16" s="11" t="s">
        <v>26</v>
      </c>
      <c r="E16" s="11" t="s">
        <v>482</v>
      </c>
      <c r="F16" s="11"/>
      <c r="G16" s="13" t="s">
        <v>454</v>
      </c>
      <c r="H16" s="11" t="s">
        <v>20</v>
      </c>
    </row>
    <row r="17" customFormat="false" ht="15" hidden="false" customHeight="false" outlineLevel="0" collapsed="false">
      <c r="B17" s="11" t="s">
        <v>502</v>
      </c>
      <c r="C17" s="11" t="s">
        <v>503</v>
      </c>
      <c r="D17" s="11" t="s">
        <v>381</v>
      </c>
      <c r="E17" s="11" t="s">
        <v>482</v>
      </c>
      <c r="F17" s="11"/>
      <c r="G17" s="13" t="s">
        <v>454</v>
      </c>
      <c r="H17" s="11" t="s">
        <v>20</v>
      </c>
    </row>
    <row r="18" customFormat="false" ht="15" hidden="false" customHeight="false" outlineLevel="0" collapsed="false">
      <c r="B18" s="11" t="s">
        <v>504</v>
      </c>
      <c r="C18" s="11" t="s">
        <v>505</v>
      </c>
      <c r="D18" s="11" t="s">
        <v>506</v>
      </c>
      <c r="E18" s="11" t="s">
        <v>482</v>
      </c>
      <c r="F18" s="11"/>
      <c r="G18" s="13" t="s">
        <v>454</v>
      </c>
      <c r="H18" s="11" t="s">
        <v>5</v>
      </c>
    </row>
    <row r="19" customFormat="false" ht="15" hidden="false" customHeight="false" outlineLevel="0" collapsed="false">
      <c r="B19" s="11" t="s">
        <v>507</v>
      </c>
      <c r="C19" s="11" t="s">
        <v>508</v>
      </c>
      <c r="D19" s="11" t="s">
        <v>509</v>
      </c>
      <c r="E19" s="11" t="s">
        <v>482</v>
      </c>
      <c r="F19" s="11"/>
      <c r="G19" s="13" t="s">
        <v>454</v>
      </c>
      <c r="H19" s="11" t="s">
        <v>5</v>
      </c>
    </row>
    <row r="20" customFormat="false" ht="15" hidden="false" customHeight="false" outlineLevel="0" collapsed="false">
      <c r="B20" s="11" t="s">
        <v>510</v>
      </c>
      <c r="C20" s="11" t="s">
        <v>511</v>
      </c>
      <c r="D20" s="22" t="n">
        <v>24</v>
      </c>
      <c r="E20" s="11" t="s">
        <v>482</v>
      </c>
      <c r="F20" s="11"/>
      <c r="G20" s="13" t="s">
        <v>454</v>
      </c>
      <c r="H20" s="11" t="s">
        <v>326</v>
      </c>
    </row>
    <row r="21" customFormat="false" ht="15" hidden="false" customHeight="false" outlineLevel="0" collapsed="false">
      <c r="B21" s="11" t="s">
        <v>39</v>
      </c>
      <c r="C21" s="11" t="s">
        <v>512</v>
      </c>
      <c r="D21" s="22" t="n">
        <v>108</v>
      </c>
      <c r="E21" s="11" t="s">
        <v>482</v>
      </c>
      <c r="F21" s="11" t="s">
        <v>513</v>
      </c>
      <c r="G21" s="13" t="s">
        <v>454</v>
      </c>
      <c r="H21" s="11" t="s">
        <v>514</v>
      </c>
    </row>
    <row r="22" customFormat="false" ht="15" hidden="false" customHeight="false" outlineLevel="0" collapsed="false">
      <c r="B22" s="11" t="s">
        <v>515</v>
      </c>
      <c r="C22" s="11" t="s">
        <v>516</v>
      </c>
      <c r="D22" s="22" t="n">
        <v>754</v>
      </c>
      <c r="E22" s="11" t="s">
        <v>482</v>
      </c>
      <c r="F22" s="11" t="s">
        <v>517</v>
      </c>
      <c r="G22" s="13" t="s">
        <v>454</v>
      </c>
      <c r="H22" s="11" t="s">
        <v>514</v>
      </c>
    </row>
    <row r="23" customFormat="false" ht="15" hidden="false" customHeight="false" outlineLevel="0" collapsed="false">
      <c r="B23" s="11" t="s">
        <v>518</v>
      </c>
      <c r="C23" s="11" t="s">
        <v>519</v>
      </c>
      <c r="D23" s="9" t="n">
        <v>1766205</v>
      </c>
      <c r="E23" s="11" t="s">
        <v>520</v>
      </c>
      <c r="F23" s="11"/>
      <c r="G23" s="13" t="s">
        <v>454</v>
      </c>
      <c r="H23" s="11" t="s">
        <v>13</v>
      </c>
    </row>
    <row r="24" customFormat="false" ht="15" hidden="false" customHeight="false" outlineLevel="0" collapsed="false">
      <c r="B24" s="11" t="s">
        <v>521</v>
      </c>
      <c r="C24" s="11" t="s">
        <v>522</v>
      </c>
      <c r="D24" s="9" t="n">
        <v>1883761</v>
      </c>
      <c r="E24" s="11" t="s">
        <v>520</v>
      </c>
      <c r="F24" s="11"/>
      <c r="G24" s="13" t="s">
        <v>454</v>
      </c>
      <c r="H24" s="11" t="s">
        <v>13</v>
      </c>
    </row>
    <row r="25" customFormat="false" ht="15" hidden="false" customHeight="false" outlineLevel="0" collapsed="false">
      <c r="B25" s="11" t="s">
        <v>523</v>
      </c>
      <c r="C25" s="11" t="s">
        <v>524</v>
      </c>
      <c r="D25" s="9" t="n">
        <v>117556</v>
      </c>
      <c r="E25" s="11" t="s">
        <v>520</v>
      </c>
      <c r="F25" s="11" t="s">
        <v>525</v>
      </c>
      <c r="G25" s="13" t="s">
        <v>454</v>
      </c>
      <c r="H25" s="11" t="s">
        <v>457</v>
      </c>
    </row>
    <row r="26" customFormat="false" ht="15" hidden="false" customHeight="false" outlineLevel="0" collapsed="false">
      <c r="B26" s="11" t="s">
        <v>526</v>
      </c>
      <c r="C26" s="11" t="s">
        <v>527</v>
      </c>
      <c r="D26" s="26" t="n">
        <v>0.0665585251995097</v>
      </c>
      <c r="E26" s="11" t="s">
        <v>520</v>
      </c>
      <c r="F26" s="11"/>
      <c r="G26" s="13" t="s">
        <v>454</v>
      </c>
      <c r="H26" s="11" t="s">
        <v>326</v>
      </c>
    </row>
    <row r="27" customFormat="false" ht="15" hidden="false" customHeight="false" outlineLevel="0" collapsed="false">
      <c r="B27" s="11" t="s">
        <v>528</v>
      </c>
      <c r="C27" s="11" t="s">
        <v>529</v>
      </c>
      <c r="D27" s="9" t="n">
        <v>1883761</v>
      </c>
      <c r="E27" s="11" t="s">
        <v>520</v>
      </c>
      <c r="F27" s="11" t="s">
        <v>530</v>
      </c>
      <c r="G27" s="13" t="s">
        <v>454</v>
      </c>
      <c r="H27" s="11" t="s">
        <v>5</v>
      </c>
    </row>
    <row r="28" customFormat="false" ht="15" hidden="false" customHeight="false" outlineLevel="0" collapsed="false">
      <c r="B28" s="11" t="s">
        <v>531</v>
      </c>
      <c r="C28" s="11" t="s">
        <v>532</v>
      </c>
      <c r="D28" s="9" t="n">
        <v>1329860.36</v>
      </c>
      <c r="E28" s="11" t="s">
        <v>520</v>
      </c>
      <c r="F28" s="11" t="s">
        <v>533</v>
      </c>
      <c r="G28" s="13" t="s">
        <v>454</v>
      </c>
      <c r="H28" s="11" t="s">
        <v>5</v>
      </c>
    </row>
    <row r="29" customFormat="false" ht="15" hidden="false" customHeight="false" outlineLevel="0" collapsed="false">
      <c r="B29" s="11" t="s">
        <v>534</v>
      </c>
      <c r="C29" s="11" t="s">
        <v>535</v>
      </c>
      <c r="D29" s="9" t="n">
        <v>553900.64</v>
      </c>
      <c r="E29" s="11" t="s">
        <v>520</v>
      </c>
      <c r="F29" s="11" t="s">
        <v>536</v>
      </c>
      <c r="G29" s="13" t="s">
        <v>454</v>
      </c>
      <c r="H29" s="11" t="s">
        <v>5</v>
      </c>
    </row>
    <row r="30" customFormat="false" ht="15" hidden="false" customHeight="false" outlineLevel="0" collapsed="false">
      <c r="B30" s="11" t="s">
        <v>357</v>
      </c>
      <c r="C30" s="11" t="s">
        <v>537</v>
      </c>
      <c r="D30" s="26" t="n">
        <v>0.294039764067735</v>
      </c>
      <c r="E30" s="11" t="s">
        <v>520</v>
      </c>
      <c r="F30" s="11"/>
      <c r="G30" s="13" t="s">
        <v>454</v>
      </c>
      <c r="H30" s="11" t="s">
        <v>326</v>
      </c>
    </row>
    <row r="31" customFormat="false" ht="15" hidden="false" customHeight="false" outlineLevel="0" collapsed="false">
      <c r="B31" s="11" t="s">
        <v>538</v>
      </c>
      <c r="C31" s="11" t="s">
        <v>539</v>
      </c>
      <c r="D31" s="9" t="n">
        <v>93941.2</v>
      </c>
      <c r="E31" s="11" t="s">
        <v>520</v>
      </c>
      <c r="F31" s="11" t="s">
        <v>540</v>
      </c>
      <c r="G31" s="13" t="s">
        <v>454</v>
      </c>
      <c r="H31" s="11" t="s">
        <v>5</v>
      </c>
    </row>
    <row r="32" customFormat="false" ht="15" hidden="false" customHeight="false" outlineLevel="0" collapsed="false">
      <c r="B32" s="11" t="s">
        <v>541</v>
      </c>
      <c r="C32" s="11" t="s">
        <v>542</v>
      </c>
      <c r="D32" s="26" t="n">
        <v>0.0498689589602927</v>
      </c>
      <c r="E32" s="11" t="s">
        <v>520</v>
      </c>
      <c r="F32" s="11"/>
      <c r="G32" s="13" t="s">
        <v>454</v>
      </c>
      <c r="H32" s="11" t="s">
        <v>326</v>
      </c>
    </row>
    <row r="33" customFormat="false" ht="15" hidden="false" customHeight="false" outlineLevel="0" collapsed="false">
      <c r="B33" s="11" t="s">
        <v>543</v>
      </c>
      <c r="C33" s="11" t="s">
        <v>544</v>
      </c>
      <c r="D33" s="9" t="n">
        <v>467297.5</v>
      </c>
      <c r="E33" s="11" t="s">
        <v>154</v>
      </c>
      <c r="F33" s="11" t="s">
        <v>545</v>
      </c>
      <c r="G33" s="13" t="s">
        <v>454</v>
      </c>
      <c r="H33" s="11" t="s">
        <v>5</v>
      </c>
    </row>
    <row r="34" customFormat="false" ht="15" hidden="false" customHeight="false" outlineLevel="0" collapsed="false">
      <c r="B34" s="11" t="s">
        <v>546</v>
      </c>
      <c r="C34" s="11" t="s">
        <v>547</v>
      </c>
      <c r="D34" s="9" t="n">
        <v>502616.05</v>
      </c>
      <c r="E34" s="11" t="s">
        <v>156</v>
      </c>
      <c r="F34" s="11" t="s">
        <v>548</v>
      </c>
      <c r="G34" s="13" t="s">
        <v>454</v>
      </c>
      <c r="H34" s="11" t="s">
        <v>5</v>
      </c>
    </row>
    <row r="35" customFormat="false" ht="15" hidden="false" customHeight="false" outlineLevel="0" collapsed="false">
      <c r="B35" s="11" t="s">
        <v>549</v>
      </c>
      <c r="C35" s="11" t="s">
        <v>550</v>
      </c>
      <c r="D35" s="9" t="n">
        <v>111779.65</v>
      </c>
      <c r="E35" s="11" t="s">
        <v>520</v>
      </c>
      <c r="F35" s="11" t="s">
        <v>551</v>
      </c>
      <c r="G35" s="13" t="s">
        <v>454</v>
      </c>
      <c r="H35" s="11" t="s">
        <v>5</v>
      </c>
    </row>
    <row r="36" customFormat="false" ht="15" hidden="false" customHeight="false" outlineLevel="0" collapsed="false">
      <c r="B36" s="11" t="s">
        <v>552</v>
      </c>
      <c r="C36" s="11" t="s">
        <v>553</v>
      </c>
      <c r="D36" s="9" t="n">
        <v>211657.53</v>
      </c>
      <c r="E36" s="11" t="s">
        <v>154</v>
      </c>
      <c r="F36" s="11" t="s">
        <v>554</v>
      </c>
      <c r="G36" s="13" t="s">
        <v>454</v>
      </c>
      <c r="H36" s="11" t="s">
        <v>5</v>
      </c>
    </row>
    <row r="37" customFormat="false" ht="15" hidden="false" customHeight="false" outlineLevel="0" collapsed="false">
      <c r="B37" s="11" t="s">
        <v>555</v>
      </c>
      <c r="C37" s="11" t="s">
        <v>556</v>
      </c>
      <c r="D37" s="9" t="n">
        <v>36509.63</v>
      </c>
      <c r="E37" s="11" t="s">
        <v>154</v>
      </c>
      <c r="F37" s="11" t="s">
        <v>557</v>
      </c>
      <c r="G37" s="13" t="s">
        <v>454</v>
      </c>
      <c r="H37" s="11" t="s">
        <v>5</v>
      </c>
    </row>
    <row r="38" customFormat="false" ht="15" hidden="false" customHeight="false" outlineLevel="0" collapsed="false">
      <c r="B38" s="11" t="s">
        <v>321</v>
      </c>
      <c r="C38" s="11" t="s">
        <v>558</v>
      </c>
      <c r="D38" s="10" t="n">
        <v>14650.5</v>
      </c>
      <c r="E38" s="11" t="s">
        <v>154</v>
      </c>
      <c r="F38" s="11" t="s">
        <v>559</v>
      </c>
      <c r="G38" s="13" t="s">
        <v>454</v>
      </c>
      <c r="H38" s="11" t="s">
        <v>5</v>
      </c>
    </row>
    <row r="39" customFormat="false" ht="15" hidden="false" customHeight="false" outlineLevel="0" collapsed="false">
      <c r="B39" s="11" t="s">
        <v>319</v>
      </c>
      <c r="C39" s="11" t="s">
        <v>560</v>
      </c>
      <c r="D39" s="22" t="n">
        <v>44</v>
      </c>
      <c r="E39" s="11" t="s">
        <v>154</v>
      </c>
      <c r="F39" s="11" t="s">
        <v>561</v>
      </c>
      <c r="G39" s="13" t="s">
        <v>454</v>
      </c>
      <c r="H39" s="11" t="s">
        <v>5</v>
      </c>
    </row>
    <row r="40" customFormat="false" ht="15" hidden="false" customHeight="false" outlineLevel="0" collapsed="false">
      <c r="B40" s="11" t="s">
        <v>562</v>
      </c>
      <c r="C40" s="11" t="s">
        <v>563</v>
      </c>
      <c r="D40" s="9" t="n">
        <v>31.8963516603529</v>
      </c>
      <c r="E40" s="11" t="s">
        <v>154</v>
      </c>
      <c r="F40" s="11"/>
      <c r="G40" s="13" t="s">
        <v>454</v>
      </c>
      <c r="H40" s="11" t="s">
        <v>326</v>
      </c>
    </row>
    <row r="41" customFormat="false" ht="15" hidden="false" customHeight="false" outlineLevel="0" collapsed="false">
      <c r="B41" s="11" t="s">
        <v>564</v>
      </c>
      <c r="C41" s="11" t="s">
        <v>565</v>
      </c>
      <c r="D41" s="9" t="n">
        <v>66.4535</v>
      </c>
      <c r="E41" s="11" t="s">
        <v>154</v>
      </c>
      <c r="F41" s="11"/>
      <c r="G41" s="13" t="s">
        <v>454</v>
      </c>
      <c r="H41" s="11" t="s">
        <v>326</v>
      </c>
    </row>
    <row r="42" customFormat="false" ht="15" hidden="false" customHeight="false" outlineLevel="0" collapsed="false">
      <c r="B42" s="11" t="s">
        <v>349</v>
      </c>
      <c r="C42" s="11" t="s">
        <v>566</v>
      </c>
      <c r="D42" s="25" t="n">
        <v>1.3421</v>
      </c>
      <c r="E42" s="11" t="s">
        <v>154</v>
      </c>
      <c r="F42" s="11"/>
      <c r="G42" s="13" t="s">
        <v>454</v>
      </c>
      <c r="H42" s="11" t="s">
        <v>326</v>
      </c>
    </row>
    <row r="43" customFormat="false" ht="15" hidden="false" customHeight="false" outlineLevel="0" collapsed="false">
      <c r="B43" s="11" t="s">
        <v>567</v>
      </c>
      <c r="C43" s="11" t="s">
        <v>568</v>
      </c>
      <c r="D43" s="10" t="n">
        <v>6131</v>
      </c>
      <c r="E43" s="11" t="s">
        <v>154</v>
      </c>
      <c r="F43" s="11" t="s">
        <v>569</v>
      </c>
      <c r="G43" s="13" t="s">
        <v>454</v>
      </c>
      <c r="H43" s="11" t="s">
        <v>5</v>
      </c>
    </row>
    <row r="44" customFormat="false" ht="15" hidden="false" customHeight="false" outlineLevel="0" collapsed="false">
      <c r="B44" s="11" t="s">
        <v>570</v>
      </c>
      <c r="C44" s="11" t="s">
        <v>571</v>
      </c>
      <c r="D44" s="10" t="n">
        <v>1290</v>
      </c>
      <c r="E44" s="11" t="s">
        <v>154</v>
      </c>
      <c r="F44" s="11" t="s">
        <v>572</v>
      </c>
      <c r="G44" s="13" t="s">
        <v>454</v>
      </c>
      <c r="H44" s="11" t="s">
        <v>5</v>
      </c>
    </row>
    <row r="45" customFormat="false" ht="15" hidden="false" customHeight="false" outlineLevel="0" collapsed="false">
      <c r="B45" s="11" t="s">
        <v>573</v>
      </c>
      <c r="C45" s="11" t="s">
        <v>574</v>
      </c>
      <c r="D45" s="9" t="n">
        <v>128.579980205454</v>
      </c>
      <c r="E45" s="11" t="s">
        <v>575</v>
      </c>
      <c r="F45" s="11"/>
      <c r="G45" s="13" t="s">
        <v>454</v>
      </c>
      <c r="H45" s="11" t="s">
        <v>326</v>
      </c>
    </row>
    <row r="46" customFormat="false" ht="15" hidden="false" customHeight="false" outlineLevel="0" collapsed="false">
      <c r="B46" s="11" t="s">
        <v>576</v>
      </c>
      <c r="C46" s="11" t="s">
        <v>577</v>
      </c>
      <c r="D46" s="9" t="n">
        <v>37.8076270434456</v>
      </c>
      <c r="E46" s="11" t="s">
        <v>575</v>
      </c>
      <c r="F46" s="11"/>
      <c r="G46" s="13" t="s">
        <v>454</v>
      </c>
      <c r="H46" s="11" t="s">
        <v>326</v>
      </c>
    </row>
    <row r="47" customFormat="false" ht="15" hidden="false" customHeight="false" outlineLevel="0" collapsed="false">
      <c r="B47" s="11" t="s">
        <v>578</v>
      </c>
      <c r="C47" s="11" t="s">
        <v>579</v>
      </c>
      <c r="D47" s="9" t="n">
        <v>17442.2314814815</v>
      </c>
      <c r="E47" s="11" t="s">
        <v>575</v>
      </c>
      <c r="F47" s="11" t="s">
        <v>364</v>
      </c>
      <c r="G47" s="13" t="s">
        <v>454</v>
      </c>
      <c r="H47" s="11" t="s">
        <v>326</v>
      </c>
    </row>
    <row r="48" customFormat="false" ht="15" hidden="false" customHeight="false" outlineLevel="0" collapsed="false">
      <c r="B48" s="11" t="s">
        <v>368</v>
      </c>
      <c r="C48" s="11" t="s">
        <v>580</v>
      </c>
      <c r="D48" s="9" t="n">
        <v>12313.5218518519</v>
      </c>
      <c r="E48" s="11" t="s">
        <v>575</v>
      </c>
      <c r="F48" s="11"/>
      <c r="G48" s="13" t="s">
        <v>454</v>
      </c>
      <c r="H48" s="11" t="s">
        <v>326</v>
      </c>
    </row>
    <row r="49" customFormat="false" ht="15" hidden="false" customHeight="false" outlineLevel="0" collapsed="false">
      <c r="B49" s="11" t="s">
        <v>581</v>
      </c>
      <c r="C49" s="11" t="s">
        <v>582</v>
      </c>
      <c r="D49" s="10" t="n">
        <v>135.652777777778</v>
      </c>
      <c r="E49" s="11" t="s">
        <v>575</v>
      </c>
      <c r="F49" s="11"/>
      <c r="G49" s="13" t="s">
        <v>454</v>
      </c>
      <c r="H49" s="11" t="s">
        <v>326</v>
      </c>
    </row>
    <row r="50" customFormat="false" ht="15" hidden="false" customHeight="false" outlineLevel="0" collapsed="false">
      <c r="B50" s="11" t="s">
        <v>370</v>
      </c>
      <c r="C50" s="11" t="s">
        <v>583</v>
      </c>
      <c r="D50" s="9" t="n">
        <v>2498.35676392573</v>
      </c>
      <c r="E50" s="11" t="s">
        <v>575</v>
      </c>
      <c r="F50" s="11" t="s">
        <v>371</v>
      </c>
      <c r="G50" s="13" t="s">
        <v>454</v>
      </c>
      <c r="H50" s="11" t="s">
        <v>326</v>
      </c>
    </row>
    <row r="51" customFormat="false" ht="15" hidden="false" customHeight="false" outlineLevel="0" collapsed="false">
      <c r="B51" s="11" t="s">
        <v>358</v>
      </c>
      <c r="C51" s="11" t="s">
        <v>584</v>
      </c>
      <c r="D51" s="26" t="n">
        <v>0.248066235578717</v>
      </c>
      <c r="E51" s="11" t="s">
        <v>585</v>
      </c>
      <c r="F51" s="11"/>
      <c r="G51" s="13" t="s">
        <v>454</v>
      </c>
      <c r="H51" s="11" t="s">
        <v>326</v>
      </c>
    </row>
    <row r="52" customFormat="false" ht="15" hidden="false" customHeight="false" outlineLevel="0" collapsed="false">
      <c r="B52" s="11" t="s">
        <v>359</v>
      </c>
      <c r="C52" s="11" t="s">
        <v>586</v>
      </c>
      <c r="D52" s="26" t="n">
        <v>0.26681519046206</v>
      </c>
      <c r="E52" s="11" t="s">
        <v>585</v>
      </c>
      <c r="F52" s="11"/>
      <c r="G52" s="13" t="s">
        <v>454</v>
      </c>
      <c r="H52" s="11" t="s">
        <v>326</v>
      </c>
    </row>
    <row r="53" customFormat="false" ht="15" hidden="false" customHeight="false" outlineLevel="0" collapsed="false">
      <c r="B53" s="11" t="s">
        <v>587</v>
      </c>
      <c r="C53" s="11" t="s">
        <v>588</v>
      </c>
      <c r="D53" s="22" t="n">
        <v>22</v>
      </c>
      <c r="E53" s="11" t="s">
        <v>156</v>
      </c>
      <c r="F53" s="11"/>
      <c r="G53" s="13" t="s">
        <v>454</v>
      </c>
      <c r="H53" s="11" t="s">
        <v>5</v>
      </c>
    </row>
    <row r="54" customFormat="false" ht="15" hidden="false" customHeight="false" outlineLevel="0" collapsed="false">
      <c r="B54" s="11" t="s">
        <v>589</v>
      </c>
      <c r="C54" s="11" t="s">
        <v>590</v>
      </c>
      <c r="D54" s="22" t="n">
        <v>27</v>
      </c>
      <c r="E54" s="11" t="s">
        <v>591</v>
      </c>
      <c r="F54" s="11"/>
      <c r="G54" s="13" t="s">
        <v>454</v>
      </c>
      <c r="H54" s="11" t="s">
        <v>5</v>
      </c>
    </row>
    <row r="55" customFormat="false" ht="15" hidden="false" customHeight="false" outlineLevel="0" collapsed="false">
      <c r="B55" s="11" t="s">
        <v>592</v>
      </c>
      <c r="C55" s="11" t="s">
        <v>593</v>
      </c>
      <c r="D55" s="26" t="n">
        <v>0.109791474693697</v>
      </c>
      <c r="E55" s="11" t="s">
        <v>594</v>
      </c>
      <c r="F55" s="11"/>
      <c r="G55" s="13" t="s">
        <v>454</v>
      </c>
      <c r="H55" s="11" t="s">
        <v>326</v>
      </c>
    </row>
    <row r="56" customFormat="false" ht="15" hidden="false" customHeight="false" outlineLevel="0" collapsed="false">
      <c r="B56" s="11" t="s">
        <v>595</v>
      </c>
      <c r="C56" s="11" t="s">
        <v>596</v>
      </c>
      <c r="D56" s="26" t="n">
        <v>0.502064775946214</v>
      </c>
      <c r="E56" s="11" t="s">
        <v>594</v>
      </c>
      <c r="F56" s="11"/>
      <c r="G56" s="13" t="s">
        <v>454</v>
      </c>
      <c r="H56" s="11" t="s">
        <v>326</v>
      </c>
    </row>
    <row r="57" customFormat="false" ht="15" hidden="false" customHeight="false" outlineLevel="0" collapsed="false">
      <c r="B57" s="11" t="s">
        <v>597</v>
      </c>
      <c r="C57" s="11" t="s">
        <v>598</v>
      </c>
      <c r="D57" s="22" t="n">
        <v>29</v>
      </c>
      <c r="E57" s="11" t="s">
        <v>599</v>
      </c>
      <c r="F57" s="11"/>
      <c r="G57" s="13" t="s">
        <v>454</v>
      </c>
      <c r="H57" s="11" t="s">
        <v>5</v>
      </c>
    </row>
    <row r="58" customFormat="false" ht="15" hidden="false" customHeight="false" outlineLevel="0" collapsed="false">
      <c r="B58" s="11" t="s">
        <v>600</v>
      </c>
      <c r="C58" s="11" t="s">
        <v>601</v>
      </c>
      <c r="D58" s="22" t="n">
        <v>18</v>
      </c>
      <c r="E58" s="11" t="s">
        <v>602</v>
      </c>
      <c r="F58" s="11"/>
      <c r="G58" s="13" t="s">
        <v>454</v>
      </c>
      <c r="H58" s="11" t="s">
        <v>603</v>
      </c>
    </row>
    <row r="59" customFormat="false" ht="15" hidden="false" customHeight="false" outlineLevel="0" collapsed="false">
      <c r="B59" s="11" t="s">
        <v>604</v>
      </c>
      <c r="C59" s="11" t="s">
        <v>605</v>
      </c>
      <c r="D59" s="22" t="n">
        <v>20</v>
      </c>
      <c r="E59" s="11" t="s">
        <v>602</v>
      </c>
      <c r="F59" s="11"/>
      <c r="G59" s="13" t="s">
        <v>454</v>
      </c>
      <c r="H59" s="11" t="s">
        <v>606</v>
      </c>
    </row>
    <row r="60" customFormat="false" ht="15" hidden="false" customHeight="false" outlineLevel="0" collapsed="false">
      <c r="B60" s="11" t="s">
        <v>607</v>
      </c>
      <c r="C60" s="11" t="s">
        <v>608</v>
      </c>
      <c r="D60" s="22" t="n">
        <v>74</v>
      </c>
      <c r="E60" s="11" t="s">
        <v>602</v>
      </c>
      <c r="F60" s="11"/>
      <c r="G60" s="13" t="s">
        <v>454</v>
      </c>
      <c r="H60" s="11" t="s">
        <v>609</v>
      </c>
    </row>
    <row r="61" customFormat="false" ht="15" hidden="false" customHeight="false" outlineLevel="0" collapsed="false">
      <c r="B61" s="11" t="s">
        <v>610</v>
      </c>
      <c r="C61" s="11" t="s">
        <v>611</v>
      </c>
      <c r="D61" s="22" t="n">
        <v>82</v>
      </c>
      <c r="E61" s="11" t="s">
        <v>602</v>
      </c>
      <c r="F61" s="11"/>
      <c r="G61" s="13" t="s">
        <v>454</v>
      </c>
      <c r="H61" s="11" t="s">
        <v>612</v>
      </c>
    </row>
    <row r="62" customFormat="false" ht="15" hidden="false" customHeight="false" outlineLevel="0" collapsed="false">
      <c r="B62" s="11" t="s">
        <v>613</v>
      </c>
      <c r="C62" s="11" t="s">
        <v>614</v>
      </c>
      <c r="D62" s="22" t="n">
        <v>197</v>
      </c>
      <c r="E62" s="11" t="s">
        <v>602</v>
      </c>
      <c r="F62" s="11" t="s">
        <v>615</v>
      </c>
      <c r="G62" s="13" t="s">
        <v>454</v>
      </c>
      <c r="H62" s="11" t="s">
        <v>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617</v>
      </c>
    </row>
    <row r="3" customFormat="false" ht="21.75" hidden="false" customHeight="true" outlineLevel="0" collapsed="false">
      <c r="B3" s="2" t="s">
        <v>618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619</v>
      </c>
      <c r="C5" s="3" t="s">
        <v>163</v>
      </c>
      <c r="D5" s="3" t="s">
        <v>164</v>
      </c>
      <c r="E5" s="3" t="s">
        <v>165</v>
      </c>
      <c r="F5" s="3" t="s">
        <v>166</v>
      </c>
      <c r="G5" s="3" t="s">
        <v>620</v>
      </c>
      <c r="H5" s="3" t="s">
        <v>87</v>
      </c>
    </row>
    <row r="6" customFormat="false" ht="15" hidden="false" customHeight="false" outlineLevel="0" collapsed="false">
      <c r="B6" s="22" t="n">
        <v>1</v>
      </c>
      <c r="C6" s="11" t="s">
        <v>168</v>
      </c>
      <c r="D6" s="11" t="s">
        <v>169</v>
      </c>
      <c r="E6" s="9" t="n">
        <v>171816.03</v>
      </c>
      <c r="F6" s="22" t="n">
        <v>97</v>
      </c>
      <c r="G6" s="17" t="n">
        <f aca="false">E6/546513.36</f>
        <v>0.314385781895616</v>
      </c>
      <c r="H6" s="11" t="s">
        <v>5</v>
      </c>
    </row>
    <row r="7" customFormat="false" ht="15" hidden="false" customHeight="false" outlineLevel="0" collapsed="false">
      <c r="B7" s="22" t="n">
        <v>2</v>
      </c>
      <c r="C7" s="11" t="s">
        <v>171</v>
      </c>
      <c r="D7" s="11" t="s">
        <v>172</v>
      </c>
      <c r="E7" s="9" t="n">
        <v>124509.19</v>
      </c>
      <c r="F7" s="22" t="n">
        <v>50</v>
      </c>
      <c r="G7" s="17" t="n">
        <f aca="false">E7/546513.36</f>
        <v>0.227824604324403</v>
      </c>
      <c r="H7" s="11" t="s">
        <v>5</v>
      </c>
    </row>
    <row r="8" customFormat="false" ht="15" hidden="false" customHeight="false" outlineLevel="0" collapsed="false">
      <c r="B8" s="22" t="n">
        <v>3</v>
      </c>
      <c r="C8" s="11" t="s">
        <v>173</v>
      </c>
      <c r="D8" s="11" t="s">
        <v>174</v>
      </c>
      <c r="E8" s="9" t="n">
        <v>57662.63</v>
      </c>
      <c r="F8" s="22" t="n">
        <v>17</v>
      </c>
      <c r="G8" s="17" t="n">
        <f aca="false">E8/546513.36</f>
        <v>0.105510009855935</v>
      </c>
      <c r="H8" s="11" t="s">
        <v>5</v>
      </c>
    </row>
    <row r="9" customFormat="false" ht="15" hidden="false" customHeight="false" outlineLevel="0" collapsed="false">
      <c r="B9" s="22" t="n">
        <v>4</v>
      </c>
      <c r="C9" s="11" t="s">
        <v>176</v>
      </c>
      <c r="D9" s="11" t="s">
        <v>177</v>
      </c>
      <c r="E9" s="9" t="n">
        <v>51636.71</v>
      </c>
      <c r="F9" s="22" t="n">
        <v>20</v>
      </c>
      <c r="G9" s="17" t="n">
        <f aca="false">E9/546513.36</f>
        <v>0.0944838933123245</v>
      </c>
      <c r="H9" s="11" t="s">
        <v>5</v>
      </c>
    </row>
    <row r="10" customFormat="false" ht="15" hidden="false" customHeight="false" outlineLevel="0" collapsed="false">
      <c r="B10" s="22" t="n">
        <v>5</v>
      </c>
      <c r="C10" s="11" t="s">
        <v>178</v>
      </c>
      <c r="D10" s="11" t="s">
        <v>179</v>
      </c>
      <c r="E10" s="9" t="n">
        <v>35401</v>
      </c>
      <c r="F10" s="22" t="n">
        <v>3</v>
      </c>
      <c r="G10" s="17" t="n">
        <f aca="false">E10/546513.36</f>
        <v>0.0647760925734734</v>
      </c>
      <c r="H10" s="11" t="s">
        <v>5</v>
      </c>
    </row>
    <row r="11" customFormat="false" ht="15" hidden="false" customHeight="false" outlineLevel="0" collapsed="false">
      <c r="B11" s="22" t="n">
        <v>6</v>
      </c>
      <c r="C11" s="11" t="s">
        <v>180</v>
      </c>
      <c r="D11" s="11" t="s">
        <v>181</v>
      </c>
      <c r="E11" s="9" t="n">
        <v>27506.25</v>
      </c>
      <c r="F11" s="22" t="n">
        <v>2</v>
      </c>
      <c r="G11" s="17" t="n">
        <f aca="false">E11/546513.36</f>
        <v>0.0503304255910597</v>
      </c>
      <c r="H11" s="11" t="s">
        <v>5</v>
      </c>
    </row>
    <row r="12" customFormat="false" ht="15" hidden="false" customHeight="false" outlineLevel="0" collapsed="false">
      <c r="B12" s="22" t="n">
        <v>7</v>
      </c>
      <c r="C12" s="11" t="s">
        <v>183</v>
      </c>
      <c r="D12" s="11" t="s">
        <v>184</v>
      </c>
      <c r="E12" s="9" t="n">
        <v>19078.32</v>
      </c>
      <c r="F12" s="22" t="n">
        <v>31</v>
      </c>
      <c r="G12" s="17" t="n">
        <f aca="false">E12/546513.36</f>
        <v>0.0349091557432375</v>
      </c>
      <c r="H12" s="11" t="s">
        <v>5</v>
      </c>
    </row>
    <row r="13" customFormat="false" ht="15" hidden="false" customHeight="false" outlineLevel="0" collapsed="false">
      <c r="B13" s="22" t="n">
        <v>8</v>
      </c>
      <c r="C13" s="11" t="s">
        <v>185</v>
      </c>
      <c r="D13" s="11" t="s">
        <v>186</v>
      </c>
      <c r="E13" s="9" t="n">
        <v>12187</v>
      </c>
      <c r="F13" s="22" t="n">
        <v>3</v>
      </c>
      <c r="G13" s="17" t="n">
        <f aca="false">E13/546513.36</f>
        <v>0.0222995463459484</v>
      </c>
      <c r="H13" s="11" t="s">
        <v>5</v>
      </c>
    </row>
    <row r="14" customFormat="false" ht="15" hidden="false" customHeight="false" outlineLevel="0" collapsed="false">
      <c r="B14" s="22" t="n">
        <v>9</v>
      </c>
      <c r="C14" s="11" t="s">
        <v>187</v>
      </c>
      <c r="D14" s="11" t="s">
        <v>188</v>
      </c>
      <c r="E14" s="9" t="n">
        <v>10916.31</v>
      </c>
      <c r="F14" s="22" t="n">
        <v>35</v>
      </c>
      <c r="G14" s="17" t="n">
        <f aca="false">E14/546513.36</f>
        <v>0.0199744613745582</v>
      </c>
      <c r="H14" s="11" t="s">
        <v>5</v>
      </c>
    </row>
    <row r="15" customFormat="false" ht="15" hidden="false" customHeight="false" outlineLevel="0" collapsed="false">
      <c r="B15" s="22" t="n">
        <v>10</v>
      </c>
      <c r="C15" s="11" t="s">
        <v>190</v>
      </c>
      <c r="D15" s="11" t="s">
        <v>191</v>
      </c>
      <c r="E15" s="9" t="n">
        <v>9940.79</v>
      </c>
      <c r="F15" s="22" t="n">
        <v>25</v>
      </c>
      <c r="G15" s="17" t="n">
        <f aca="false">E15/546513.36</f>
        <v>0.0181894729892788</v>
      </c>
      <c r="H15" s="11" t="s">
        <v>5</v>
      </c>
    </row>
    <row r="16" customFormat="false" ht="15" hidden="false" customHeight="false" outlineLevel="0" collapsed="false">
      <c r="B16" s="22" t="n">
        <v>11</v>
      </c>
      <c r="C16" s="11" t="s">
        <v>192</v>
      </c>
      <c r="D16" s="11" t="s">
        <v>193</v>
      </c>
      <c r="E16" s="9" t="n">
        <v>7385</v>
      </c>
      <c r="F16" s="22" t="n">
        <v>1</v>
      </c>
      <c r="G16" s="17" t="n">
        <f aca="false">E16/546513.36</f>
        <v>0.0135129358960227</v>
      </c>
      <c r="H16" s="11" t="s">
        <v>5</v>
      </c>
    </row>
    <row r="17" customFormat="false" ht="15" hidden="false" customHeight="false" outlineLevel="0" collapsed="false">
      <c r="B17" s="22" t="n">
        <v>12</v>
      </c>
      <c r="C17" s="11" t="s">
        <v>194</v>
      </c>
      <c r="D17" s="11" t="s">
        <v>195</v>
      </c>
      <c r="E17" s="9" t="n">
        <v>5930.19</v>
      </c>
      <c r="F17" s="22" t="n">
        <v>4</v>
      </c>
      <c r="G17" s="17" t="n">
        <f aca="false">E17/546513.36</f>
        <v>0.0108509515668565</v>
      </c>
      <c r="H17" s="11" t="s">
        <v>5</v>
      </c>
    </row>
    <row r="18" customFormat="false" ht="15" hidden="false" customHeight="false" outlineLevel="0" collapsed="false">
      <c r="B18" s="22" t="n">
        <v>13</v>
      </c>
      <c r="C18" s="11" t="s">
        <v>196</v>
      </c>
      <c r="D18" s="11" t="s">
        <v>197</v>
      </c>
      <c r="E18" s="9" t="n">
        <v>4157.49</v>
      </c>
      <c r="F18" s="22" t="n">
        <v>6</v>
      </c>
      <c r="G18" s="17" t="n">
        <f aca="false">E18/546513.36</f>
        <v>0.00760729801738058</v>
      </c>
      <c r="H18" s="11" t="s">
        <v>5</v>
      </c>
    </row>
    <row r="19" customFormat="false" ht="15" hidden="false" customHeight="false" outlineLevel="0" collapsed="false">
      <c r="B19" s="22" t="n">
        <v>14</v>
      </c>
      <c r="C19" s="11" t="s">
        <v>198</v>
      </c>
      <c r="D19" s="11" t="s">
        <v>199</v>
      </c>
      <c r="E19" s="9" t="n">
        <v>3465</v>
      </c>
      <c r="F19" s="22" t="n">
        <v>5</v>
      </c>
      <c r="G19" s="17" t="n">
        <f aca="false">E19/546513.36</f>
        <v>0.00634019267159361</v>
      </c>
      <c r="H19" s="11" t="s">
        <v>5</v>
      </c>
    </row>
    <row r="20" customFormat="false" ht="15" hidden="false" customHeight="false" outlineLevel="0" collapsed="false">
      <c r="B20" s="22" t="n">
        <v>15</v>
      </c>
      <c r="C20" s="11" t="s">
        <v>200</v>
      </c>
      <c r="D20" s="11" t="s">
        <v>201</v>
      </c>
      <c r="E20" s="9" t="n">
        <v>2720</v>
      </c>
      <c r="F20" s="22" t="n">
        <v>1</v>
      </c>
      <c r="G20" s="17" t="n">
        <f aca="false">E20/546513.36</f>
        <v>0.00497700550266511</v>
      </c>
      <c r="H20" s="11" t="s">
        <v>5</v>
      </c>
    </row>
    <row r="21" customFormat="false" ht="15" hidden="false" customHeight="false" outlineLevel="0" collapsed="false">
      <c r="B21" s="22" t="n">
        <v>16</v>
      </c>
      <c r="C21" s="11" t="s">
        <v>202</v>
      </c>
      <c r="D21" s="11" t="s">
        <v>203</v>
      </c>
      <c r="E21" s="9" t="n">
        <v>597.74</v>
      </c>
      <c r="F21" s="22" t="n">
        <v>1</v>
      </c>
      <c r="G21" s="17" t="n">
        <f aca="false">E21/546513.36</f>
        <v>0.00109373355483936</v>
      </c>
      <c r="H21" s="11" t="s">
        <v>5</v>
      </c>
    </row>
    <row r="22" customFormat="false" ht="15" hidden="false" customHeight="false" outlineLevel="0" collapsed="false">
      <c r="B22" s="22" t="n">
        <v>17</v>
      </c>
      <c r="C22" s="11" t="s">
        <v>204</v>
      </c>
      <c r="D22" s="11" t="s">
        <v>205</v>
      </c>
      <c r="E22" s="9" t="n">
        <v>570.89</v>
      </c>
      <c r="F22" s="22" t="n">
        <v>2</v>
      </c>
      <c r="G22" s="17" t="n">
        <f aca="false">E22/546513.36</f>
        <v>0.00104460392331489</v>
      </c>
      <c r="H22" s="11" t="s">
        <v>5</v>
      </c>
    </row>
    <row r="23" customFormat="false" ht="15" hidden="false" customHeight="false" outlineLevel="0" collapsed="false">
      <c r="B23" s="22" t="n">
        <v>18</v>
      </c>
      <c r="C23" s="11" t="s">
        <v>206</v>
      </c>
      <c r="D23" s="11" t="s">
        <v>207</v>
      </c>
      <c r="E23" s="9" t="n">
        <v>290.58</v>
      </c>
      <c r="F23" s="22" t="n">
        <v>1</v>
      </c>
      <c r="G23" s="17" t="n">
        <f aca="false">E23/546513.36</f>
        <v>0.000531697889325158</v>
      </c>
      <c r="H23" s="11" t="s">
        <v>5</v>
      </c>
    </row>
    <row r="24" customFormat="false" ht="15" hidden="false" customHeight="false" outlineLevel="0" collapsed="false">
      <c r="B24" s="22" t="n">
        <v>19</v>
      </c>
      <c r="C24" s="11" t="s">
        <v>208</v>
      </c>
      <c r="D24" s="11" t="s">
        <v>209</v>
      </c>
      <c r="E24" s="9" t="n">
        <v>280.6</v>
      </c>
      <c r="F24" s="22" t="n">
        <v>2</v>
      </c>
      <c r="G24" s="17" t="n">
        <f aca="false">E24/546513.36</f>
        <v>0.00051343667060582</v>
      </c>
      <c r="H24" s="11" t="s">
        <v>5</v>
      </c>
    </row>
    <row r="25" customFormat="false" ht="15" hidden="false" customHeight="false" outlineLevel="0" collapsed="false">
      <c r="B25" s="22" t="n">
        <v>20</v>
      </c>
      <c r="C25" s="11" t="s">
        <v>210</v>
      </c>
      <c r="D25" s="11" t="s">
        <v>211</v>
      </c>
      <c r="E25" s="9" t="n">
        <v>225</v>
      </c>
      <c r="F25" s="22" t="n">
        <v>1</v>
      </c>
      <c r="G25" s="17" t="n">
        <f aca="false">E25/546513.36</f>
        <v>0.000411700822830754</v>
      </c>
      <c r="H25" s="11" t="s">
        <v>5</v>
      </c>
    </row>
    <row r="26" customFormat="false" ht="15" hidden="false" customHeight="false" outlineLevel="0" collapsed="false">
      <c r="B26" s="22" t="n">
        <v>21</v>
      </c>
      <c r="C26" s="11" t="s">
        <v>213</v>
      </c>
      <c r="D26" s="11" t="s">
        <v>214</v>
      </c>
      <c r="E26" s="9" t="n">
        <v>155</v>
      </c>
      <c r="F26" s="22" t="n">
        <v>1</v>
      </c>
      <c r="G26" s="17" t="n">
        <f aca="false">E26/546513.36</f>
        <v>0.000283616122394519</v>
      </c>
      <c r="H26" s="11" t="s">
        <v>5</v>
      </c>
    </row>
    <row r="27" customFormat="false" ht="15" hidden="false" customHeight="false" outlineLevel="0" collapsed="false">
      <c r="B27" s="22" t="n">
        <v>22</v>
      </c>
      <c r="C27" s="11" t="s">
        <v>215</v>
      </c>
      <c r="D27" s="11" t="s">
        <v>216</v>
      </c>
      <c r="E27" s="9" t="n">
        <v>81.64</v>
      </c>
      <c r="F27" s="22" t="n">
        <v>1</v>
      </c>
      <c r="G27" s="17" t="n">
        <f aca="false">E27/546513.36</f>
        <v>0.000149383356337346</v>
      </c>
      <c r="H27" s="11" t="s">
        <v>5</v>
      </c>
    </row>
    <row r="28" customFormat="false" ht="15" hidden="false" customHeight="false" outlineLevel="0" collapsed="false">
      <c r="B28" s="18" t="s">
        <v>146</v>
      </c>
      <c r="E28" s="20" t="n">
        <f aca="false">SUM(E6:E27)</f>
        <v>546513.36</v>
      </c>
      <c r="F28" s="23" t="n">
        <f aca="false">SUM(F6:F27)</f>
        <v>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621</v>
      </c>
    </row>
    <row r="3" customFormat="false" ht="21.75" hidden="false" customHeight="true" outlineLevel="0" collapsed="false">
      <c r="B3" s="2" t="s">
        <v>622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623</v>
      </c>
      <c r="C5" s="3" t="s">
        <v>378</v>
      </c>
      <c r="D5" s="3" t="s">
        <v>376</v>
      </c>
      <c r="E5" s="3" t="s">
        <v>624</v>
      </c>
      <c r="F5" s="3" t="s">
        <v>625</v>
      </c>
      <c r="G5" s="3" t="s">
        <v>626</v>
      </c>
      <c r="H5" s="3" t="s">
        <v>67</v>
      </c>
      <c r="I5" s="3" t="s">
        <v>87</v>
      </c>
    </row>
    <row r="6" customFormat="false" ht="15" hidden="false" customHeight="false" outlineLevel="0" collapsed="false">
      <c r="B6" s="11" t="s">
        <v>627</v>
      </c>
      <c r="C6" s="11" t="s">
        <v>628</v>
      </c>
      <c r="D6" s="11" t="s">
        <v>381</v>
      </c>
      <c r="E6" s="11" t="s">
        <v>629</v>
      </c>
      <c r="F6" s="11" t="s">
        <v>12</v>
      </c>
      <c r="G6" s="27" t="n">
        <v>1766205</v>
      </c>
      <c r="H6" s="11" t="s">
        <v>388</v>
      </c>
      <c r="I6" s="11" t="s">
        <v>20</v>
      </c>
    </row>
    <row r="7" customFormat="false" ht="15" hidden="false" customHeight="false" outlineLevel="0" collapsed="false">
      <c r="B7" s="11" t="s">
        <v>630</v>
      </c>
      <c r="C7" s="11" t="s">
        <v>631</v>
      </c>
      <c r="D7" s="11" t="s">
        <v>386</v>
      </c>
      <c r="E7" s="11" t="s">
        <v>632</v>
      </c>
      <c r="F7" s="11" t="s">
        <v>12</v>
      </c>
      <c r="G7" s="27" t="n">
        <v>1963</v>
      </c>
      <c r="H7" s="11" t="s">
        <v>388</v>
      </c>
      <c r="I7" s="11" t="s">
        <v>633</v>
      </c>
    </row>
    <row r="8" customFormat="false" ht="15" hidden="false" customHeight="false" outlineLevel="0" collapsed="false">
      <c r="B8" s="11" t="s">
        <v>634</v>
      </c>
      <c r="C8" s="11" t="s">
        <v>631</v>
      </c>
      <c r="D8" s="11" t="s">
        <v>386</v>
      </c>
      <c r="E8" s="11" t="s">
        <v>635</v>
      </c>
      <c r="F8" s="11" t="s">
        <v>12</v>
      </c>
      <c r="G8" s="27" t="n">
        <v>595</v>
      </c>
      <c r="H8" s="11" t="s">
        <v>388</v>
      </c>
      <c r="I8" s="11" t="s">
        <v>636</v>
      </c>
    </row>
    <row r="9" customFormat="false" ht="15" hidden="false" customHeight="false" outlineLevel="0" collapsed="false">
      <c r="B9" s="11" t="s">
        <v>637</v>
      </c>
      <c r="C9" s="11" t="s">
        <v>631</v>
      </c>
      <c r="D9" s="11" t="s">
        <v>386</v>
      </c>
      <c r="E9" s="11" t="s">
        <v>638</v>
      </c>
      <c r="F9" s="11" t="s">
        <v>12</v>
      </c>
      <c r="G9" s="27" t="n">
        <v>9918</v>
      </c>
      <c r="H9" s="11" t="s">
        <v>388</v>
      </c>
      <c r="I9" s="11" t="s">
        <v>639</v>
      </c>
    </row>
    <row r="10" customFormat="false" ht="15" hidden="false" customHeight="false" outlineLevel="0" collapsed="false">
      <c r="B10" s="11" t="s">
        <v>640</v>
      </c>
      <c r="C10" s="11" t="s">
        <v>631</v>
      </c>
      <c r="D10" s="11" t="s">
        <v>386</v>
      </c>
      <c r="E10" s="11" t="s">
        <v>641</v>
      </c>
      <c r="F10" s="11" t="s">
        <v>12</v>
      </c>
      <c r="G10" s="27" t="n">
        <v>900</v>
      </c>
      <c r="H10" s="11" t="s">
        <v>388</v>
      </c>
      <c r="I10" s="11" t="s">
        <v>642</v>
      </c>
    </row>
    <row r="11" customFormat="false" ht="15" hidden="false" customHeight="false" outlineLevel="0" collapsed="false">
      <c r="B11" s="11" t="s">
        <v>643</v>
      </c>
      <c r="C11" s="11" t="s">
        <v>631</v>
      </c>
      <c r="D11" s="11" t="s">
        <v>386</v>
      </c>
      <c r="E11" s="11" t="s">
        <v>644</v>
      </c>
      <c r="F11" s="11" t="s">
        <v>12</v>
      </c>
      <c r="G11" s="27" t="n">
        <v>-15600</v>
      </c>
      <c r="H11" s="11" t="s">
        <v>388</v>
      </c>
      <c r="I11" s="11" t="s">
        <v>645</v>
      </c>
    </row>
    <row r="12" customFormat="false" ht="15" hidden="false" customHeight="false" outlineLevel="0" collapsed="false">
      <c r="B12" s="11" t="s">
        <v>646</v>
      </c>
      <c r="C12" s="11" t="s">
        <v>631</v>
      </c>
      <c r="D12" s="11" t="s">
        <v>386</v>
      </c>
      <c r="E12" s="11" t="s">
        <v>647</v>
      </c>
      <c r="F12" s="11" t="s">
        <v>12</v>
      </c>
      <c r="G12" s="27" t="n">
        <v>1110</v>
      </c>
      <c r="H12" s="11" t="s">
        <v>388</v>
      </c>
      <c r="I12" s="11" t="s">
        <v>648</v>
      </c>
    </row>
    <row r="13" customFormat="false" ht="15" hidden="false" customHeight="false" outlineLevel="0" collapsed="false">
      <c r="B13" s="11" t="s">
        <v>649</v>
      </c>
      <c r="C13" s="11" t="s">
        <v>631</v>
      </c>
      <c r="D13" s="11" t="s">
        <v>386</v>
      </c>
      <c r="E13" s="11" t="s">
        <v>650</v>
      </c>
      <c r="F13" s="11" t="s">
        <v>12</v>
      </c>
      <c r="G13" s="27" t="n">
        <v>48643</v>
      </c>
      <c r="H13" s="11" t="s">
        <v>388</v>
      </c>
      <c r="I13" s="11" t="s">
        <v>651</v>
      </c>
    </row>
    <row r="14" customFormat="false" ht="15" hidden="false" customHeight="false" outlineLevel="0" collapsed="false">
      <c r="B14" s="11" t="s">
        <v>652</v>
      </c>
      <c r="C14" s="11" t="s">
        <v>631</v>
      </c>
      <c r="D14" s="11" t="s">
        <v>386</v>
      </c>
      <c r="E14" s="11" t="s">
        <v>653</v>
      </c>
      <c r="F14" s="11" t="s">
        <v>12</v>
      </c>
      <c r="G14" s="27" t="n">
        <v>1438</v>
      </c>
      <c r="H14" s="11" t="s">
        <v>388</v>
      </c>
      <c r="I14" s="11" t="s">
        <v>654</v>
      </c>
    </row>
    <row r="15" customFormat="false" ht="15" hidden="false" customHeight="false" outlineLevel="0" collapsed="false">
      <c r="B15" s="11" t="s">
        <v>655</v>
      </c>
      <c r="C15" s="11" t="s">
        <v>631</v>
      </c>
      <c r="D15" s="11" t="s">
        <v>386</v>
      </c>
      <c r="E15" s="11" t="s">
        <v>656</v>
      </c>
      <c r="F15" s="11" t="s">
        <v>12</v>
      </c>
      <c r="G15" s="27" t="n">
        <v>619</v>
      </c>
      <c r="H15" s="11" t="s">
        <v>388</v>
      </c>
      <c r="I15" s="11" t="s">
        <v>657</v>
      </c>
    </row>
    <row r="16" customFormat="false" ht="15" hidden="false" customHeight="false" outlineLevel="0" collapsed="false">
      <c r="B16" s="11" t="s">
        <v>658</v>
      </c>
      <c r="C16" s="11" t="s">
        <v>631</v>
      </c>
      <c r="D16" s="11" t="s">
        <v>386</v>
      </c>
      <c r="E16" s="11" t="s">
        <v>659</v>
      </c>
      <c r="F16" s="11" t="s">
        <v>12</v>
      </c>
      <c r="G16" s="27" t="n">
        <v>2112</v>
      </c>
      <c r="H16" s="11" t="s">
        <v>388</v>
      </c>
      <c r="I16" s="11" t="s">
        <v>660</v>
      </c>
    </row>
    <row r="17" customFormat="false" ht="15" hidden="false" customHeight="false" outlineLevel="0" collapsed="false">
      <c r="B17" s="11" t="s">
        <v>661</v>
      </c>
      <c r="C17" s="11" t="s">
        <v>631</v>
      </c>
      <c r="D17" s="11" t="s">
        <v>386</v>
      </c>
      <c r="E17" s="11" t="s">
        <v>662</v>
      </c>
      <c r="F17" s="11" t="s">
        <v>12</v>
      </c>
      <c r="G17" s="27" t="n">
        <v>596</v>
      </c>
      <c r="H17" s="11" t="s">
        <v>388</v>
      </c>
      <c r="I17" s="11" t="s">
        <v>663</v>
      </c>
    </row>
    <row r="18" customFormat="false" ht="15" hidden="false" customHeight="false" outlineLevel="0" collapsed="false">
      <c r="B18" s="11" t="s">
        <v>664</v>
      </c>
      <c r="C18" s="11" t="s">
        <v>631</v>
      </c>
      <c r="D18" s="11" t="s">
        <v>386</v>
      </c>
      <c r="E18" s="11" t="s">
        <v>665</v>
      </c>
      <c r="F18" s="11" t="s">
        <v>12</v>
      </c>
      <c r="G18" s="27" t="n">
        <v>31581</v>
      </c>
      <c r="H18" s="11" t="s">
        <v>388</v>
      </c>
      <c r="I18" s="11" t="s">
        <v>666</v>
      </c>
    </row>
    <row r="19" customFormat="false" ht="15" hidden="false" customHeight="false" outlineLevel="0" collapsed="false">
      <c r="B19" s="11" t="s">
        <v>667</v>
      </c>
      <c r="C19" s="11" t="s">
        <v>631</v>
      </c>
      <c r="D19" s="11" t="s">
        <v>386</v>
      </c>
      <c r="E19" s="11" t="s">
        <v>668</v>
      </c>
      <c r="F19" s="11" t="s">
        <v>12</v>
      </c>
      <c r="G19" s="27" t="n">
        <v>19200</v>
      </c>
      <c r="H19" s="11" t="s">
        <v>388</v>
      </c>
      <c r="I19" s="11" t="s">
        <v>669</v>
      </c>
    </row>
    <row r="20" customFormat="false" ht="15" hidden="false" customHeight="false" outlineLevel="0" collapsed="false">
      <c r="B20" s="11" t="s">
        <v>670</v>
      </c>
      <c r="C20" s="11" t="s">
        <v>631</v>
      </c>
      <c r="D20" s="11" t="s">
        <v>386</v>
      </c>
      <c r="E20" s="11" t="s">
        <v>671</v>
      </c>
      <c r="F20" s="11" t="s">
        <v>12</v>
      </c>
      <c r="G20" s="27" t="n">
        <v>845</v>
      </c>
      <c r="H20" s="11" t="s">
        <v>388</v>
      </c>
      <c r="I20" s="11" t="s">
        <v>672</v>
      </c>
    </row>
    <row r="21" customFormat="false" ht="15" hidden="false" customHeight="false" outlineLevel="0" collapsed="false">
      <c r="B21" s="11" t="s">
        <v>673</v>
      </c>
      <c r="C21" s="11" t="s">
        <v>631</v>
      </c>
      <c r="D21" s="11" t="s">
        <v>386</v>
      </c>
      <c r="E21" s="11" t="s">
        <v>674</v>
      </c>
      <c r="F21" s="11" t="s">
        <v>12</v>
      </c>
      <c r="G21" s="27" t="n">
        <v>2020</v>
      </c>
      <c r="H21" s="11" t="s">
        <v>388</v>
      </c>
      <c r="I21" s="11" t="s">
        <v>675</v>
      </c>
    </row>
    <row r="22" customFormat="false" ht="15" hidden="false" customHeight="false" outlineLevel="0" collapsed="false">
      <c r="B22" s="11" t="s">
        <v>676</v>
      </c>
      <c r="C22" s="11" t="s">
        <v>631</v>
      </c>
      <c r="D22" s="11" t="s">
        <v>386</v>
      </c>
      <c r="E22" s="11" t="s">
        <v>677</v>
      </c>
      <c r="F22" s="11" t="s">
        <v>12</v>
      </c>
      <c r="G22" s="27" t="n">
        <v>2029</v>
      </c>
      <c r="H22" s="11" t="s">
        <v>388</v>
      </c>
      <c r="I22" s="11" t="s">
        <v>678</v>
      </c>
    </row>
    <row r="23" customFormat="false" ht="15" hidden="false" customHeight="false" outlineLevel="0" collapsed="false">
      <c r="B23" s="11" t="s">
        <v>679</v>
      </c>
      <c r="C23" s="11" t="s">
        <v>631</v>
      </c>
      <c r="D23" s="11" t="s">
        <v>386</v>
      </c>
      <c r="E23" s="11" t="s">
        <v>680</v>
      </c>
      <c r="F23" s="11" t="s">
        <v>12</v>
      </c>
      <c r="G23" s="27" t="n">
        <v>3420</v>
      </c>
      <c r="H23" s="11" t="s">
        <v>388</v>
      </c>
      <c r="I23" s="11" t="s">
        <v>681</v>
      </c>
    </row>
    <row r="24" customFormat="false" ht="15" hidden="false" customHeight="false" outlineLevel="0" collapsed="false">
      <c r="B24" s="11" t="s">
        <v>682</v>
      </c>
      <c r="C24" s="11" t="s">
        <v>631</v>
      </c>
      <c r="D24" s="11" t="s">
        <v>386</v>
      </c>
      <c r="E24" s="11" t="s">
        <v>683</v>
      </c>
      <c r="F24" s="11" t="s">
        <v>12</v>
      </c>
      <c r="G24" s="27" t="n">
        <v>1320</v>
      </c>
      <c r="H24" s="11" t="s">
        <v>388</v>
      </c>
      <c r="I24" s="11" t="s">
        <v>684</v>
      </c>
    </row>
    <row r="25" customFormat="false" ht="15" hidden="false" customHeight="false" outlineLevel="0" collapsed="false">
      <c r="B25" s="11" t="s">
        <v>685</v>
      </c>
      <c r="C25" s="11" t="s">
        <v>686</v>
      </c>
      <c r="D25" s="11" t="s">
        <v>386</v>
      </c>
      <c r="E25" s="11" t="s">
        <v>687</v>
      </c>
      <c r="F25" s="11" t="s">
        <v>12</v>
      </c>
      <c r="G25" s="27" t="n">
        <v>1766</v>
      </c>
      <c r="H25" s="11" t="s">
        <v>688</v>
      </c>
      <c r="I25" s="11" t="s">
        <v>689</v>
      </c>
    </row>
    <row r="26" customFormat="false" ht="15" hidden="false" customHeight="false" outlineLevel="0" collapsed="false">
      <c r="B26" s="11" t="s">
        <v>690</v>
      </c>
      <c r="C26" s="11" t="s">
        <v>686</v>
      </c>
      <c r="D26" s="11" t="s">
        <v>386</v>
      </c>
      <c r="E26" s="11" t="s">
        <v>691</v>
      </c>
      <c r="F26" s="11" t="s">
        <v>12</v>
      </c>
      <c r="G26" s="27" t="n">
        <v>2020</v>
      </c>
      <c r="H26" s="11" t="s">
        <v>688</v>
      </c>
      <c r="I26" s="11" t="s">
        <v>689</v>
      </c>
    </row>
    <row r="27" customFormat="false" ht="15" hidden="false" customHeight="false" outlineLevel="0" collapsed="false">
      <c r="B27" s="11" t="s">
        <v>692</v>
      </c>
      <c r="C27" s="11" t="s">
        <v>686</v>
      </c>
      <c r="D27" s="11" t="s">
        <v>386</v>
      </c>
      <c r="E27" s="11" t="s">
        <v>693</v>
      </c>
      <c r="F27" s="11" t="s">
        <v>12</v>
      </c>
      <c r="G27" s="27" t="n">
        <v>1151</v>
      </c>
      <c r="H27" s="11" t="s">
        <v>688</v>
      </c>
      <c r="I27" s="11" t="s">
        <v>689</v>
      </c>
    </row>
    <row r="28" customFormat="false" ht="15" hidden="false" customHeight="false" outlineLevel="0" collapsed="false">
      <c r="B28" s="11" t="s">
        <v>694</v>
      </c>
      <c r="C28" s="11" t="s">
        <v>695</v>
      </c>
      <c r="D28" s="11" t="s">
        <v>398</v>
      </c>
      <c r="E28" s="11" t="s">
        <v>696</v>
      </c>
      <c r="F28" s="11" t="s">
        <v>697</v>
      </c>
      <c r="G28" s="27" t="n">
        <v>0</v>
      </c>
      <c r="H28" s="11" t="s">
        <v>698</v>
      </c>
      <c r="I28" s="11" t="s">
        <v>5</v>
      </c>
    </row>
    <row r="29" customFormat="false" ht="15" hidden="false" customHeight="false" outlineLevel="0" collapsed="false">
      <c r="B29" s="11" t="s">
        <v>699</v>
      </c>
      <c r="C29" s="11" t="s">
        <v>695</v>
      </c>
      <c r="D29" s="11" t="s">
        <v>444</v>
      </c>
      <c r="E29" s="11" t="s">
        <v>700</v>
      </c>
      <c r="F29" s="11" t="s">
        <v>697</v>
      </c>
      <c r="G29" s="27" t="n">
        <v>0</v>
      </c>
      <c r="H29" s="11" t="s">
        <v>698</v>
      </c>
      <c r="I29" s="11" t="s">
        <v>5</v>
      </c>
    </row>
    <row r="30" customFormat="false" ht="15" hidden="false" customHeight="false" outlineLevel="0" collapsed="false">
      <c r="B30" s="11" t="s">
        <v>701</v>
      </c>
      <c r="C30" s="11" t="s">
        <v>538</v>
      </c>
      <c r="D30" s="11" t="s">
        <v>702</v>
      </c>
      <c r="E30" s="11" t="s">
        <v>703</v>
      </c>
      <c r="F30" s="11" t="s">
        <v>69</v>
      </c>
      <c r="G30" s="27" t="n">
        <v>0</v>
      </c>
      <c r="H30" s="11" t="s">
        <v>704</v>
      </c>
      <c r="I30" s="11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705</v>
      </c>
    </row>
    <row r="3" customFormat="false" ht="21.75" hidden="false" customHeight="true" outlineLevel="0" collapsed="false">
      <c r="B3" s="2" t="s">
        <v>706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149</v>
      </c>
      <c r="C5" s="3" t="s">
        <v>707</v>
      </c>
      <c r="D5" s="3" t="s">
        <v>708</v>
      </c>
      <c r="E5" s="3" t="s">
        <v>709</v>
      </c>
      <c r="F5" s="3" t="s">
        <v>318</v>
      </c>
    </row>
    <row r="6" customFormat="false" ht="15" hidden="false" customHeight="false" outlineLevel="0" collapsed="false">
      <c r="B6" s="11" t="s">
        <v>710</v>
      </c>
      <c r="C6" s="11" t="s">
        <v>711</v>
      </c>
      <c r="D6" s="27" t="n">
        <v>117556</v>
      </c>
      <c r="E6" s="11" t="s">
        <v>712</v>
      </c>
      <c r="F6" s="11" t="s">
        <v>713</v>
      </c>
    </row>
    <row r="7" customFormat="false" ht="15" hidden="false" customHeight="false" outlineLevel="0" collapsed="false">
      <c r="B7" s="11" t="s">
        <v>154</v>
      </c>
      <c r="C7" s="11" t="s">
        <v>714</v>
      </c>
      <c r="D7" s="27" t="n">
        <v>18387.5</v>
      </c>
      <c r="E7" s="11" t="s">
        <v>715</v>
      </c>
      <c r="F7" s="11" t="s">
        <v>51</v>
      </c>
    </row>
    <row r="8" customFormat="false" ht="15" hidden="false" customHeight="false" outlineLevel="0" collapsed="false">
      <c r="B8" s="11" t="s">
        <v>156</v>
      </c>
      <c r="C8" s="11" t="s">
        <v>716</v>
      </c>
      <c r="D8" s="27" t="n">
        <v>-137108.95</v>
      </c>
      <c r="E8" s="11" t="s">
        <v>717</v>
      </c>
      <c r="F8" s="11" t="s">
        <v>718</v>
      </c>
    </row>
    <row r="9" customFormat="false" ht="15" hidden="false" customHeight="false" outlineLevel="0" collapsed="false">
      <c r="B9" s="11" t="s">
        <v>158</v>
      </c>
      <c r="C9" s="11" t="s">
        <v>719</v>
      </c>
      <c r="D9" s="27" t="n">
        <v>6233.65</v>
      </c>
      <c r="E9" s="11" t="s">
        <v>720</v>
      </c>
      <c r="F9" s="11"/>
    </row>
    <row r="10" customFormat="false" ht="15" hidden="false" customHeight="false" outlineLevel="0" collapsed="false">
      <c r="B10" s="11" t="s">
        <v>721</v>
      </c>
      <c r="C10" s="11" t="s">
        <v>722</v>
      </c>
      <c r="D10" s="27" t="n">
        <v>10471.76</v>
      </c>
      <c r="E10" s="11" t="s">
        <v>723</v>
      </c>
      <c r="F10" s="11"/>
    </row>
    <row r="11" customFormat="false" ht="15" hidden="false" customHeight="false" outlineLevel="0" collapsed="false">
      <c r="B11" s="18" t="s">
        <v>724</v>
      </c>
      <c r="D11" s="16" t="n">
        <f aca="false">SUM(D6:D10)</f>
        <v>15539.96</v>
      </c>
    </row>
    <row r="14" customFormat="false" ht="15" hidden="false" customHeight="false" outlineLevel="0" collapsed="false">
      <c r="B14" s="3" t="s">
        <v>725</v>
      </c>
    </row>
    <row r="15" customFormat="false" ht="15" hidden="false" customHeight="false" outlineLevel="0" collapsed="false">
      <c r="B15" s="3" t="s">
        <v>726</v>
      </c>
      <c r="C15" s="3" t="s">
        <v>727</v>
      </c>
      <c r="D15" s="3" t="s">
        <v>728</v>
      </c>
      <c r="E15" s="3" t="s">
        <v>318</v>
      </c>
    </row>
    <row r="16" customFormat="false" ht="15" hidden="false" customHeight="false" outlineLevel="0" collapsed="false">
      <c r="B16" s="11" t="s">
        <v>729</v>
      </c>
      <c r="C16" s="22" t="n">
        <v>18</v>
      </c>
      <c r="D16" s="27" t="n">
        <v>117556</v>
      </c>
      <c r="E16" s="11" t="s">
        <v>730</v>
      </c>
    </row>
    <row r="17" customFormat="false" ht="15" hidden="false" customHeight="false" outlineLevel="0" collapsed="false">
      <c r="B17" s="11" t="s">
        <v>731</v>
      </c>
      <c r="C17" s="22" t="n">
        <v>12</v>
      </c>
      <c r="D17" s="27" t="n">
        <v>18387.5</v>
      </c>
      <c r="E17" s="11" t="s">
        <v>732</v>
      </c>
    </row>
    <row r="18" customFormat="false" ht="15" hidden="false" customHeight="false" outlineLevel="0" collapsed="false">
      <c r="B18" s="11" t="s">
        <v>733</v>
      </c>
      <c r="C18" s="22" t="n">
        <v>9</v>
      </c>
      <c r="D18" s="27" t="n">
        <v>-137108.95</v>
      </c>
      <c r="E18" s="11" t="s">
        <v>718</v>
      </c>
    </row>
    <row r="19" customFormat="false" ht="15" hidden="false" customHeight="false" outlineLevel="0" collapsed="false">
      <c r="B19" s="11" t="s">
        <v>734</v>
      </c>
      <c r="C19" s="22" t="n">
        <v>2</v>
      </c>
      <c r="D19" s="27" t="n">
        <v>10471.76</v>
      </c>
      <c r="E19" s="11" t="s">
        <v>735</v>
      </c>
    </row>
    <row r="20" customFormat="false" ht="15" hidden="false" customHeight="false" outlineLevel="0" collapsed="false">
      <c r="B20" s="11" t="s">
        <v>736</v>
      </c>
      <c r="C20" s="22" t="n">
        <v>5</v>
      </c>
      <c r="D20" s="27" t="n">
        <v>6233.65</v>
      </c>
      <c r="E20" s="11" t="s">
        <v>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738</v>
      </c>
    </row>
    <row r="3" customFormat="false" ht="21.75" hidden="false" customHeight="true" outlineLevel="0" collapsed="false">
      <c r="B3" s="2" t="s">
        <v>739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740</v>
      </c>
    </row>
    <row r="6" customFormat="false" ht="15" hidden="false" customHeight="false" outlineLevel="0" collapsed="false">
      <c r="B6" s="3" t="s">
        <v>741</v>
      </c>
      <c r="C6" s="3" t="s">
        <v>742</v>
      </c>
      <c r="D6" s="3" t="s">
        <v>743</v>
      </c>
      <c r="E6" s="3" t="s">
        <v>67</v>
      </c>
      <c r="F6" s="3" t="s">
        <v>744</v>
      </c>
    </row>
    <row r="7" customFormat="false" ht="15" hidden="false" customHeight="false" outlineLevel="0" collapsed="false">
      <c r="B7" s="11" t="s">
        <v>745</v>
      </c>
      <c r="C7" s="11" t="s">
        <v>746</v>
      </c>
      <c r="D7" s="11" t="s">
        <v>747</v>
      </c>
      <c r="E7" s="13" t="s">
        <v>748</v>
      </c>
      <c r="F7" s="11" t="s">
        <v>749</v>
      </c>
    </row>
    <row r="8" customFormat="false" ht="15" hidden="false" customHeight="false" outlineLevel="0" collapsed="false">
      <c r="B8" s="11" t="s">
        <v>358</v>
      </c>
      <c r="C8" s="24" t="n">
        <v>0.248066235578717</v>
      </c>
      <c r="D8" s="11" t="s">
        <v>750</v>
      </c>
      <c r="E8" s="13" t="s">
        <v>748</v>
      </c>
      <c r="F8" s="11" t="s">
        <v>751</v>
      </c>
    </row>
    <row r="9" customFormat="false" ht="15" hidden="false" customHeight="false" outlineLevel="0" collapsed="false">
      <c r="B9" s="11" t="s">
        <v>752</v>
      </c>
      <c r="C9" s="24" t="n">
        <v>0.0307562052723249</v>
      </c>
      <c r="D9" s="11" t="s">
        <v>753</v>
      </c>
      <c r="E9" s="13" t="s">
        <v>748</v>
      </c>
      <c r="F9" s="11" t="s">
        <v>754</v>
      </c>
    </row>
    <row r="10" customFormat="false" ht="15" hidden="false" customHeight="false" outlineLevel="0" collapsed="false">
      <c r="B10" s="11" t="s">
        <v>755</v>
      </c>
      <c r="C10" s="24" t="n">
        <v>0.806980381961751</v>
      </c>
      <c r="D10" s="11" t="s">
        <v>756</v>
      </c>
      <c r="E10" s="13" t="s">
        <v>748</v>
      </c>
      <c r="F10" s="11" t="s">
        <v>757</v>
      </c>
    </row>
    <row r="11" customFormat="false" ht="15" hidden="false" customHeight="false" outlineLevel="0" collapsed="false">
      <c r="B11" s="11" t="s">
        <v>758</v>
      </c>
      <c r="C11" s="24" t="n">
        <v>0.0498689589602927</v>
      </c>
      <c r="D11" s="11" t="s">
        <v>759</v>
      </c>
      <c r="E11" s="13" t="s">
        <v>748</v>
      </c>
      <c r="F11" s="11" t="s">
        <v>760</v>
      </c>
    </row>
    <row r="12" customFormat="false" ht="15" hidden="false" customHeight="false" outlineLevel="0" collapsed="false">
      <c r="B12" s="11" t="s">
        <v>357</v>
      </c>
      <c r="C12" s="24" t="n">
        <v>0.294039764067735</v>
      </c>
      <c r="D12" s="11" t="s">
        <v>761</v>
      </c>
      <c r="E12" s="28" t="s">
        <v>762</v>
      </c>
      <c r="F12" s="11" t="s">
        <v>763</v>
      </c>
    </row>
    <row r="13" customFormat="false" ht="15" hidden="false" customHeight="false" outlineLevel="0" collapsed="false">
      <c r="B13" s="11" t="s">
        <v>764</v>
      </c>
      <c r="C13" s="10" t="n">
        <v>14650.5</v>
      </c>
      <c r="D13" s="11" t="s">
        <v>765</v>
      </c>
      <c r="E13" s="29" t="s">
        <v>766</v>
      </c>
      <c r="F13" s="11" t="s">
        <v>767</v>
      </c>
    </row>
    <row r="14" customFormat="false" ht="15" hidden="false" customHeight="false" outlineLevel="0" collapsed="false">
      <c r="B14" s="11" t="s">
        <v>768</v>
      </c>
      <c r="C14" s="24" t="n">
        <v>0.109791474693697</v>
      </c>
      <c r="D14" s="11" t="s">
        <v>769</v>
      </c>
      <c r="E14" s="13" t="s">
        <v>748</v>
      </c>
      <c r="F14" s="11" t="s">
        <v>770</v>
      </c>
    </row>
    <row r="15" customFormat="false" ht="15" hidden="false" customHeight="false" outlineLevel="0" collapsed="false">
      <c r="B15" s="11" t="s">
        <v>771</v>
      </c>
      <c r="C15" s="24" t="n">
        <v>0.420897264270758</v>
      </c>
      <c r="D15" s="11" t="s">
        <v>772</v>
      </c>
      <c r="E15" s="13" t="s">
        <v>748</v>
      </c>
      <c r="F15" s="11" t="s">
        <v>773</v>
      </c>
    </row>
    <row r="16" customFormat="false" ht="15" hidden="false" customHeight="false" outlineLevel="0" collapsed="false">
      <c r="B16" s="11" t="s">
        <v>774</v>
      </c>
      <c r="C16" s="11" t="s">
        <v>775</v>
      </c>
      <c r="D16" s="11" t="s">
        <v>776</v>
      </c>
      <c r="E16" s="28" t="s">
        <v>762</v>
      </c>
      <c r="F16" s="11" t="s">
        <v>777</v>
      </c>
    </row>
    <row r="18" customFormat="false" ht="15" hidden="false" customHeight="false" outlineLevel="0" collapsed="false">
      <c r="B18" s="3" t="s">
        <v>778</v>
      </c>
    </row>
    <row r="19" customFormat="false" ht="15" hidden="false" customHeight="false" outlineLevel="0" collapsed="false">
      <c r="B19" s="3" t="s">
        <v>779</v>
      </c>
      <c r="C19" s="3" t="s">
        <v>780</v>
      </c>
      <c r="D19" s="3" t="s">
        <v>451</v>
      </c>
      <c r="E19" s="3" t="s">
        <v>781</v>
      </c>
      <c r="F19" s="3" t="s">
        <v>782</v>
      </c>
    </row>
    <row r="20" customFormat="false" ht="15" hidden="false" customHeight="false" outlineLevel="0" collapsed="false">
      <c r="B20" s="11" t="s">
        <v>783</v>
      </c>
      <c r="C20" s="24" t="n">
        <v>0.294039764067735</v>
      </c>
      <c r="D20" s="11" t="s">
        <v>83</v>
      </c>
      <c r="E20" s="11" t="s">
        <v>784</v>
      </c>
      <c r="F20" s="11" t="s">
        <v>763</v>
      </c>
    </row>
    <row r="21" customFormat="false" ht="15" hidden="false" customHeight="false" outlineLevel="0" collapsed="false">
      <c r="B21" s="11" t="s">
        <v>785</v>
      </c>
      <c r="C21" s="11" t="s">
        <v>777</v>
      </c>
      <c r="D21" s="11" t="s">
        <v>704</v>
      </c>
      <c r="E21" s="11" t="s">
        <v>786</v>
      </c>
      <c r="F21" s="11" t="s">
        <v>704</v>
      </c>
    </row>
    <row r="22" customFormat="false" ht="15" hidden="false" customHeight="false" outlineLevel="0" collapsed="false">
      <c r="B22" s="11" t="s">
        <v>787</v>
      </c>
      <c r="C22" s="11" t="s">
        <v>788</v>
      </c>
      <c r="D22" s="11" t="s">
        <v>454</v>
      </c>
      <c r="E22" s="11" t="s">
        <v>364</v>
      </c>
      <c r="F22" s="11" t="s">
        <v>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789</v>
      </c>
    </row>
    <row r="3" customFormat="false" ht="21.75" hidden="false" customHeight="true" outlineLevel="0" collapsed="false">
      <c r="B3" s="2" t="s">
        <v>790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448</v>
      </c>
      <c r="C5" s="3" t="s">
        <v>791</v>
      </c>
      <c r="D5" s="3" t="s">
        <v>792</v>
      </c>
      <c r="E5" s="3" t="s">
        <v>317</v>
      </c>
      <c r="F5" s="3" t="s">
        <v>793</v>
      </c>
      <c r="G5" s="3" t="s">
        <v>794</v>
      </c>
      <c r="H5" s="3" t="s">
        <v>451</v>
      </c>
      <c r="I5" s="3" t="s">
        <v>795</v>
      </c>
    </row>
    <row r="6" customFormat="false" ht="15" hidden="false" customHeight="false" outlineLevel="0" collapsed="false">
      <c r="B6" s="22" t="n">
        <v>1</v>
      </c>
      <c r="C6" s="11" t="s">
        <v>481</v>
      </c>
      <c r="D6" s="11" t="s">
        <v>480</v>
      </c>
      <c r="E6" s="11" t="s">
        <v>4</v>
      </c>
      <c r="F6" s="11" t="s">
        <v>796</v>
      </c>
      <c r="G6" s="11" t="s">
        <v>475</v>
      </c>
      <c r="H6" s="13" t="s">
        <v>454</v>
      </c>
      <c r="I6" s="11" t="s">
        <v>5</v>
      </c>
    </row>
    <row r="7" customFormat="false" ht="15" hidden="false" customHeight="false" outlineLevel="0" collapsed="false">
      <c r="B7" s="22" t="n">
        <v>2</v>
      </c>
      <c r="C7" s="11" t="s">
        <v>485</v>
      </c>
      <c r="D7" s="11" t="s">
        <v>484</v>
      </c>
      <c r="E7" s="11" t="s">
        <v>486</v>
      </c>
      <c r="F7" s="11" t="s">
        <v>797</v>
      </c>
      <c r="G7" s="11" t="s">
        <v>475</v>
      </c>
      <c r="H7" s="13" t="s">
        <v>454</v>
      </c>
      <c r="I7" s="11" t="s">
        <v>5</v>
      </c>
    </row>
    <row r="8" customFormat="false" ht="15" hidden="false" customHeight="false" outlineLevel="0" collapsed="false">
      <c r="B8" s="22" t="n">
        <v>3</v>
      </c>
      <c r="C8" s="11" t="s">
        <v>487</v>
      </c>
      <c r="D8" s="11" t="s">
        <v>11</v>
      </c>
      <c r="E8" s="11" t="s">
        <v>12</v>
      </c>
      <c r="F8" s="11" t="s">
        <v>797</v>
      </c>
      <c r="G8" s="11" t="s">
        <v>475</v>
      </c>
      <c r="H8" s="13" t="s">
        <v>454</v>
      </c>
      <c r="I8" s="11" t="s">
        <v>13</v>
      </c>
    </row>
    <row r="9" customFormat="false" ht="15" hidden="false" customHeight="false" outlineLevel="0" collapsed="false">
      <c r="B9" s="22" t="n">
        <v>4</v>
      </c>
      <c r="C9" s="11" t="s">
        <v>488</v>
      </c>
      <c r="D9" s="11" t="s">
        <v>71</v>
      </c>
      <c r="E9" s="11" t="s">
        <v>17</v>
      </c>
      <c r="F9" s="11" t="s">
        <v>797</v>
      </c>
      <c r="G9" s="11" t="s">
        <v>475</v>
      </c>
      <c r="H9" s="13" t="s">
        <v>454</v>
      </c>
      <c r="I9" s="11" t="s">
        <v>13</v>
      </c>
    </row>
    <row r="10" customFormat="false" ht="15" hidden="false" customHeight="false" outlineLevel="0" collapsed="false">
      <c r="B10" s="22" t="n">
        <v>5</v>
      </c>
      <c r="C10" s="11" t="s">
        <v>489</v>
      </c>
      <c r="D10" s="11" t="s">
        <v>34</v>
      </c>
      <c r="E10" s="11" t="s">
        <v>35</v>
      </c>
      <c r="F10" s="11" t="s">
        <v>797</v>
      </c>
      <c r="G10" s="11" t="s">
        <v>475</v>
      </c>
      <c r="H10" s="13" t="s">
        <v>454</v>
      </c>
      <c r="I10" s="11" t="s">
        <v>36</v>
      </c>
    </row>
    <row r="11" customFormat="false" ht="15" hidden="false" customHeight="false" outlineLevel="0" collapsed="false">
      <c r="B11" s="22" t="n">
        <v>6</v>
      </c>
      <c r="C11" s="11" t="s">
        <v>491</v>
      </c>
      <c r="D11" s="11" t="s">
        <v>490</v>
      </c>
      <c r="E11" s="11" t="s">
        <v>28</v>
      </c>
      <c r="F11" s="11" t="s">
        <v>797</v>
      </c>
      <c r="G11" s="11" t="s">
        <v>475</v>
      </c>
      <c r="H11" s="13" t="s">
        <v>454</v>
      </c>
      <c r="I11" s="11" t="s">
        <v>13</v>
      </c>
    </row>
    <row r="12" customFormat="false" ht="15" hidden="false" customHeight="false" outlineLevel="0" collapsed="false">
      <c r="B12" s="22" t="n">
        <v>7</v>
      </c>
      <c r="C12" s="11" t="s">
        <v>493</v>
      </c>
      <c r="D12" s="11" t="s">
        <v>492</v>
      </c>
      <c r="E12" s="11" t="s">
        <v>494</v>
      </c>
      <c r="F12" s="11" t="s">
        <v>797</v>
      </c>
      <c r="G12" s="11" t="s">
        <v>475</v>
      </c>
      <c r="H12" s="13" t="s">
        <v>454</v>
      </c>
      <c r="I12" s="11" t="s">
        <v>495</v>
      </c>
    </row>
    <row r="13" customFormat="false" ht="15" hidden="false" customHeight="false" outlineLevel="0" collapsed="false">
      <c r="B13" s="22" t="n">
        <v>8</v>
      </c>
      <c r="C13" s="11" t="s">
        <v>497</v>
      </c>
      <c r="D13" s="11" t="s">
        <v>496</v>
      </c>
      <c r="E13" s="11" t="s">
        <v>30</v>
      </c>
      <c r="F13" s="11" t="s">
        <v>797</v>
      </c>
      <c r="G13" s="11" t="s">
        <v>475</v>
      </c>
      <c r="H13" s="13" t="s">
        <v>454</v>
      </c>
      <c r="I13" s="11" t="s">
        <v>13</v>
      </c>
    </row>
    <row r="14" customFormat="false" ht="15" hidden="false" customHeight="false" outlineLevel="0" collapsed="false">
      <c r="B14" s="22" t="n">
        <v>9</v>
      </c>
      <c r="C14" s="11" t="s">
        <v>498</v>
      </c>
      <c r="D14" s="11" t="s">
        <v>18</v>
      </c>
      <c r="E14" s="11" t="s">
        <v>19</v>
      </c>
      <c r="F14" s="11" t="s">
        <v>797</v>
      </c>
      <c r="G14" s="11" t="s">
        <v>475</v>
      </c>
      <c r="H14" s="13" t="s">
        <v>454</v>
      </c>
      <c r="I14" s="11" t="s">
        <v>20</v>
      </c>
    </row>
    <row r="15" customFormat="false" ht="15" hidden="false" customHeight="false" outlineLevel="0" collapsed="false">
      <c r="B15" s="22" t="n">
        <v>10</v>
      </c>
      <c r="C15" s="11" t="s">
        <v>500</v>
      </c>
      <c r="D15" s="11" t="s">
        <v>499</v>
      </c>
      <c r="E15" s="11" t="s">
        <v>22</v>
      </c>
      <c r="F15" s="11" t="s">
        <v>797</v>
      </c>
      <c r="G15" s="11" t="s">
        <v>475</v>
      </c>
      <c r="H15" s="13" t="s">
        <v>454</v>
      </c>
      <c r="I15" s="11" t="s">
        <v>20</v>
      </c>
    </row>
    <row r="16" customFormat="false" ht="15" hidden="false" customHeight="false" outlineLevel="0" collapsed="false">
      <c r="B16" s="22" t="n">
        <v>11</v>
      </c>
      <c r="C16" s="11" t="s">
        <v>501</v>
      </c>
      <c r="D16" s="11" t="s">
        <v>25</v>
      </c>
      <c r="E16" s="11" t="s">
        <v>26</v>
      </c>
      <c r="F16" s="11" t="s">
        <v>797</v>
      </c>
      <c r="G16" s="11" t="s">
        <v>475</v>
      </c>
      <c r="H16" s="13" t="s">
        <v>454</v>
      </c>
      <c r="I16" s="11" t="s">
        <v>20</v>
      </c>
    </row>
    <row r="17" customFormat="false" ht="15" hidden="false" customHeight="false" outlineLevel="0" collapsed="false">
      <c r="B17" s="22" t="n">
        <v>12</v>
      </c>
      <c r="C17" s="11" t="s">
        <v>503</v>
      </c>
      <c r="D17" s="11" t="s">
        <v>502</v>
      </c>
      <c r="E17" s="11" t="s">
        <v>381</v>
      </c>
      <c r="F17" s="11" t="s">
        <v>798</v>
      </c>
      <c r="G17" s="11" t="s">
        <v>475</v>
      </c>
      <c r="H17" s="13" t="s">
        <v>454</v>
      </c>
      <c r="I17" s="11" t="s">
        <v>20</v>
      </c>
    </row>
    <row r="18" customFormat="false" ht="15" hidden="false" customHeight="false" outlineLevel="0" collapsed="false">
      <c r="B18" s="22" t="n">
        <v>13</v>
      </c>
      <c r="C18" s="11" t="s">
        <v>505</v>
      </c>
      <c r="D18" s="11" t="s">
        <v>504</v>
      </c>
      <c r="E18" s="11" t="s">
        <v>506</v>
      </c>
      <c r="F18" s="11" t="s">
        <v>798</v>
      </c>
      <c r="G18" s="11" t="s">
        <v>475</v>
      </c>
      <c r="H18" s="13" t="s">
        <v>454</v>
      </c>
      <c r="I18" s="11" t="s">
        <v>5</v>
      </c>
    </row>
    <row r="19" customFormat="false" ht="15" hidden="false" customHeight="false" outlineLevel="0" collapsed="false">
      <c r="B19" s="22" t="n">
        <v>14</v>
      </c>
      <c r="C19" s="11" t="s">
        <v>508</v>
      </c>
      <c r="D19" s="11" t="s">
        <v>507</v>
      </c>
      <c r="E19" s="11" t="s">
        <v>509</v>
      </c>
      <c r="F19" s="11" t="s">
        <v>798</v>
      </c>
      <c r="G19" s="11" t="s">
        <v>475</v>
      </c>
      <c r="H19" s="13" t="s">
        <v>454</v>
      </c>
      <c r="I19" s="11" t="s">
        <v>5</v>
      </c>
    </row>
    <row r="20" customFormat="false" ht="15" hidden="false" customHeight="false" outlineLevel="0" collapsed="false">
      <c r="B20" s="22" t="n">
        <v>15</v>
      </c>
      <c r="C20" s="11" t="s">
        <v>511</v>
      </c>
      <c r="D20" s="11" t="s">
        <v>510</v>
      </c>
      <c r="E20" s="22" t="n">
        <v>24</v>
      </c>
      <c r="F20" s="11" t="s">
        <v>799</v>
      </c>
      <c r="G20" s="11" t="s">
        <v>475</v>
      </c>
      <c r="H20" s="13" t="s">
        <v>454</v>
      </c>
      <c r="I20" s="11" t="s">
        <v>326</v>
      </c>
    </row>
    <row r="21" customFormat="false" ht="15" hidden="false" customHeight="false" outlineLevel="0" collapsed="false">
      <c r="B21" s="22" t="n">
        <v>16</v>
      </c>
      <c r="C21" s="11" t="s">
        <v>512</v>
      </c>
      <c r="D21" s="11" t="s">
        <v>39</v>
      </c>
      <c r="E21" s="22" t="n">
        <v>108</v>
      </c>
      <c r="F21" s="11" t="s">
        <v>800</v>
      </c>
      <c r="G21" s="11" t="s">
        <v>475</v>
      </c>
      <c r="H21" s="13" t="s">
        <v>454</v>
      </c>
      <c r="I21" s="11" t="s">
        <v>514</v>
      </c>
    </row>
    <row r="22" customFormat="false" ht="15" hidden="false" customHeight="false" outlineLevel="0" collapsed="false">
      <c r="B22" s="22" t="n">
        <v>17</v>
      </c>
      <c r="C22" s="11" t="s">
        <v>516</v>
      </c>
      <c r="D22" s="11" t="s">
        <v>515</v>
      </c>
      <c r="E22" s="22" t="n">
        <v>754</v>
      </c>
      <c r="F22" s="11" t="s">
        <v>801</v>
      </c>
      <c r="G22" s="11" t="s">
        <v>475</v>
      </c>
      <c r="H22" s="13" t="s">
        <v>454</v>
      </c>
      <c r="I22" s="11" t="s">
        <v>514</v>
      </c>
    </row>
    <row r="23" customFormat="false" ht="15" hidden="false" customHeight="false" outlineLevel="0" collapsed="false">
      <c r="B23" s="22" t="n">
        <v>18</v>
      </c>
      <c r="C23" s="11" t="s">
        <v>519</v>
      </c>
      <c r="D23" s="11" t="s">
        <v>518</v>
      </c>
      <c r="E23" s="9" t="n">
        <v>1766205</v>
      </c>
      <c r="F23" s="11" t="s">
        <v>363</v>
      </c>
      <c r="G23" s="11" t="s">
        <v>475</v>
      </c>
      <c r="H23" s="13" t="s">
        <v>454</v>
      </c>
      <c r="I23" s="11" t="s">
        <v>13</v>
      </c>
    </row>
    <row r="24" customFormat="false" ht="15" hidden="false" customHeight="false" outlineLevel="0" collapsed="false">
      <c r="B24" s="22" t="n">
        <v>19</v>
      </c>
      <c r="C24" s="11" t="s">
        <v>522</v>
      </c>
      <c r="D24" s="11" t="s">
        <v>521</v>
      </c>
      <c r="E24" s="9" t="n">
        <v>1883761</v>
      </c>
      <c r="F24" s="11" t="s">
        <v>363</v>
      </c>
      <c r="G24" s="11" t="s">
        <v>475</v>
      </c>
      <c r="H24" s="13" t="s">
        <v>454</v>
      </c>
      <c r="I24" s="11" t="s">
        <v>13</v>
      </c>
    </row>
    <row r="25" customFormat="false" ht="15" hidden="false" customHeight="false" outlineLevel="0" collapsed="false">
      <c r="B25" s="22" t="n">
        <v>20</v>
      </c>
      <c r="C25" s="11" t="s">
        <v>524</v>
      </c>
      <c r="D25" s="11" t="s">
        <v>523</v>
      </c>
      <c r="E25" s="9" t="n">
        <v>117556</v>
      </c>
      <c r="F25" s="11" t="s">
        <v>363</v>
      </c>
      <c r="G25" s="11" t="s">
        <v>475</v>
      </c>
      <c r="H25" s="13" t="s">
        <v>454</v>
      </c>
      <c r="I25" s="11" t="s">
        <v>457</v>
      </c>
    </row>
    <row r="26" customFormat="false" ht="15" hidden="false" customHeight="false" outlineLevel="0" collapsed="false">
      <c r="B26" s="22" t="n">
        <v>21</v>
      </c>
      <c r="C26" s="11" t="s">
        <v>527</v>
      </c>
      <c r="D26" s="11" t="s">
        <v>526</v>
      </c>
      <c r="E26" s="26" t="n">
        <v>0.0665585251995097</v>
      </c>
      <c r="F26" s="11" t="s">
        <v>356</v>
      </c>
      <c r="G26" s="11" t="s">
        <v>475</v>
      </c>
      <c r="H26" s="13" t="s">
        <v>454</v>
      </c>
      <c r="I26" s="11" t="s">
        <v>326</v>
      </c>
    </row>
    <row r="27" customFormat="false" ht="15" hidden="false" customHeight="false" outlineLevel="0" collapsed="false">
      <c r="B27" s="22" t="n">
        <v>22</v>
      </c>
      <c r="C27" s="11" t="s">
        <v>529</v>
      </c>
      <c r="D27" s="11" t="s">
        <v>528</v>
      </c>
      <c r="E27" s="9" t="n">
        <v>1883761</v>
      </c>
      <c r="F27" s="11" t="s">
        <v>363</v>
      </c>
      <c r="G27" s="11" t="s">
        <v>475</v>
      </c>
      <c r="H27" s="13" t="s">
        <v>454</v>
      </c>
      <c r="I27" s="11" t="s">
        <v>5</v>
      </c>
    </row>
    <row r="28" customFormat="false" ht="15" hidden="false" customHeight="false" outlineLevel="0" collapsed="false">
      <c r="B28" s="22" t="n">
        <v>23</v>
      </c>
      <c r="C28" s="11" t="s">
        <v>532</v>
      </c>
      <c r="D28" s="11" t="s">
        <v>531</v>
      </c>
      <c r="E28" s="9" t="n">
        <v>1329860.36</v>
      </c>
      <c r="F28" s="11" t="s">
        <v>363</v>
      </c>
      <c r="G28" s="11" t="s">
        <v>475</v>
      </c>
      <c r="H28" s="13" t="s">
        <v>454</v>
      </c>
      <c r="I28" s="11" t="s">
        <v>5</v>
      </c>
    </row>
    <row r="29" customFormat="false" ht="15" hidden="false" customHeight="false" outlineLevel="0" collapsed="false">
      <c r="B29" s="22" t="n">
        <v>24</v>
      </c>
      <c r="C29" s="11" t="s">
        <v>535</v>
      </c>
      <c r="D29" s="11" t="s">
        <v>534</v>
      </c>
      <c r="E29" s="9" t="n">
        <v>553900.64</v>
      </c>
      <c r="F29" s="11" t="s">
        <v>363</v>
      </c>
      <c r="G29" s="11" t="s">
        <v>475</v>
      </c>
      <c r="H29" s="13" t="s">
        <v>454</v>
      </c>
      <c r="I29" s="11" t="s">
        <v>5</v>
      </c>
    </row>
    <row r="30" customFormat="false" ht="15" hidden="false" customHeight="false" outlineLevel="0" collapsed="false">
      <c r="B30" s="22" t="n">
        <v>25</v>
      </c>
      <c r="C30" s="11" t="s">
        <v>537</v>
      </c>
      <c r="D30" s="11" t="s">
        <v>357</v>
      </c>
      <c r="E30" s="26" t="n">
        <v>0.294039764067735</v>
      </c>
      <c r="F30" s="11" t="s">
        <v>356</v>
      </c>
      <c r="G30" s="11" t="s">
        <v>475</v>
      </c>
      <c r="H30" s="13" t="s">
        <v>454</v>
      </c>
      <c r="I30" s="11" t="s">
        <v>326</v>
      </c>
    </row>
    <row r="31" customFormat="false" ht="15" hidden="false" customHeight="false" outlineLevel="0" collapsed="false">
      <c r="B31" s="22" t="n">
        <v>26</v>
      </c>
      <c r="C31" s="11" t="s">
        <v>539</v>
      </c>
      <c r="D31" s="11" t="s">
        <v>538</v>
      </c>
      <c r="E31" s="9" t="n">
        <v>93941.2</v>
      </c>
      <c r="F31" s="11" t="s">
        <v>363</v>
      </c>
      <c r="G31" s="11" t="s">
        <v>475</v>
      </c>
      <c r="H31" s="13" t="s">
        <v>454</v>
      </c>
      <c r="I31" s="11" t="s">
        <v>5</v>
      </c>
    </row>
    <row r="32" customFormat="false" ht="15" hidden="false" customHeight="false" outlineLevel="0" collapsed="false">
      <c r="B32" s="22" t="n">
        <v>27</v>
      </c>
      <c r="C32" s="11" t="s">
        <v>542</v>
      </c>
      <c r="D32" s="11" t="s">
        <v>541</v>
      </c>
      <c r="E32" s="26" t="n">
        <v>0.0498689589602927</v>
      </c>
      <c r="F32" s="11" t="s">
        <v>356</v>
      </c>
      <c r="G32" s="11" t="s">
        <v>475</v>
      </c>
      <c r="H32" s="13" t="s">
        <v>454</v>
      </c>
      <c r="I32" s="11" t="s">
        <v>326</v>
      </c>
    </row>
    <row r="33" customFormat="false" ht="15" hidden="false" customHeight="false" outlineLevel="0" collapsed="false">
      <c r="B33" s="22" t="n">
        <v>28</v>
      </c>
      <c r="C33" s="11" t="s">
        <v>544</v>
      </c>
      <c r="D33" s="11" t="s">
        <v>543</v>
      </c>
      <c r="E33" s="9" t="n">
        <v>467297.5</v>
      </c>
      <c r="F33" s="11" t="s">
        <v>363</v>
      </c>
      <c r="G33" s="11" t="s">
        <v>475</v>
      </c>
      <c r="H33" s="13" t="s">
        <v>454</v>
      </c>
      <c r="I33" s="11" t="s">
        <v>5</v>
      </c>
    </row>
    <row r="34" customFormat="false" ht="15" hidden="false" customHeight="false" outlineLevel="0" collapsed="false">
      <c r="B34" s="22" t="n">
        <v>29</v>
      </c>
      <c r="C34" s="11" t="s">
        <v>547</v>
      </c>
      <c r="D34" s="11" t="s">
        <v>546</v>
      </c>
      <c r="E34" s="9" t="n">
        <v>502616.05</v>
      </c>
      <c r="F34" s="11" t="s">
        <v>363</v>
      </c>
      <c r="G34" s="11" t="s">
        <v>475</v>
      </c>
      <c r="H34" s="13" t="s">
        <v>454</v>
      </c>
      <c r="I34" s="11" t="s">
        <v>5</v>
      </c>
    </row>
    <row r="35" customFormat="false" ht="15" hidden="false" customHeight="false" outlineLevel="0" collapsed="false">
      <c r="B35" s="22" t="n">
        <v>30</v>
      </c>
      <c r="C35" s="11" t="s">
        <v>550</v>
      </c>
      <c r="D35" s="11" t="s">
        <v>549</v>
      </c>
      <c r="E35" s="9" t="n">
        <v>111779.65</v>
      </c>
      <c r="F35" s="11" t="s">
        <v>363</v>
      </c>
      <c r="G35" s="11" t="s">
        <v>475</v>
      </c>
      <c r="H35" s="13" t="s">
        <v>454</v>
      </c>
      <c r="I35" s="11" t="s">
        <v>5</v>
      </c>
    </row>
    <row r="36" customFormat="false" ht="15" hidden="false" customHeight="false" outlineLevel="0" collapsed="false">
      <c r="B36" s="22" t="n">
        <v>31</v>
      </c>
      <c r="C36" s="11" t="s">
        <v>553</v>
      </c>
      <c r="D36" s="11" t="s">
        <v>552</v>
      </c>
      <c r="E36" s="9" t="n">
        <v>211657.53</v>
      </c>
      <c r="F36" s="11" t="s">
        <v>363</v>
      </c>
      <c r="G36" s="11" t="s">
        <v>475</v>
      </c>
      <c r="H36" s="13" t="s">
        <v>454</v>
      </c>
      <c r="I36" s="11" t="s">
        <v>5</v>
      </c>
    </row>
    <row r="37" customFormat="false" ht="15" hidden="false" customHeight="false" outlineLevel="0" collapsed="false">
      <c r="B37" s="22" t="n">
        <v>32</v>
      </c>
      <c r="C37" s="11" t="s">
        <v>556</v>
      </c>
      <c r="D37" s="11" t="s">
        <v>555</v>
      </c>
      <c r="E37" s="9" t="n">
        <v>36509.63</v>
      </c>
      <c r="F37" s="11" t="s">
        <v>363</v>
      </c>
      <c r="G37" s="11" t="s">
        <v>475</v>
      </c>
      <c r="H37" s="13" t="s">
        <v>454</v>
      </c>
      <c r="I37" s="11" t="s">
        <v>5</v>
      </c>
    </row>
    <row r="38" customFormat="false" ht="15" hidden="false" customHeight="false" outlineLevel="0" collapsed="false">
      <c r="B38" s="22" t="n">
        <v>33</v>
      </c>
      <c r="C38" s="11" t="s">
        <v>558</v>
      </c>
      <c r="D38" s="11" t="s">
        <v>321</v>
      </c>
      <c r="E38" s="10" t="n">
        <v>14650.5</v>
      </c>
      <c r="F38" s="11" t="s">
        <v>802</v>
      </c>
      <c r="G38" s="11" t="s">
        <v>475</v>
      </c>
      <c r="H38" s="13" t="s">
        <v>454</v>
      </c>
      <c r="I38" s="11" t="s">
        <v>5</v>
      </c>
    </row>
    <row r="39" customFormat="false" ht="15" hidden="false" customHeight="false" outlineLevel="0" collapsed="false">
      <c r="B39" s="22" t="n">
        <v>34</v>
      </c>
      <c r="C39" s="11" t="s">
        <v>560</v>
      </c>
      <c r="D39" s="11" t="s">
        <v>319</v>
      </c>
      <c r="E39" s="22" t="n">
        <v>44</v>
      </c>
      <c r="F39" s="11" t="s">
        <v>801</v>
      </c>
      <c r="G39" s="11" t="s">
        <v>475</v>
      </c>
      <c r="H39" s="13" t="s">
        <v>454</v>
      </c>
      <c r="I39" s="11" t="s">
        <v>5</v>
      </c>
    </row>
    <row r="40" customFormat="false" ht="15" hidden="false" customHeight="false" outlineLevel="0" collapsed="false">
      <c r="B40" s="22" t="n">
        <v>35</v>
      </c>
      <c r="C40" s="11" t="s">
        <v>563</v>
      </c>
      <c r="D40" s="11" t="s">
        <v>562</v>
      </c>
      <c r="E40" s="9" t="n">
        <v>31.8963516603529</v>
      </c>
      <c r="F40" s="11" t="s">
        <v>343</v>
      </c>
      <c r="G40" s="11" t="s">
        <v>475</v>
      </c>
      <c r="H40" s="13" t="s">
        <v>454</v>
      </c>
      <c r="I40" s="11" t="s">
        <v>326</v>
      </c>
    </row>
    <row r="41" customFormat="false" ht="15" hidden="false" customHeight="false" outlineLevel="0" collapsed="false">
      <c r="B41" s="22" t="n">
        <v>36</v>
      </c>
      <c r="C41" s="11" t="s">
        <v>565</v>
      </c>
      <c r="D41" s="11" t="s">
        <v>564</v>
      </c>
      <c r="E41" s="9" t="n">
        <v>66.4535</v>
      </c>
      <c r="F41" s="11" t="s">
        <v>343</v>
      </c>
      <c r="G41" s="11" t="s">
        <v>475</v>
      </c>
      <c r="H41" s="13" t="s">
        <v>454</v>
      </c>
      <c r="I41" s="11" t="s">
        <v>326</v>
      </c>
    </row>
    <row r="42" customFormat="false" ht="15" hidden="false" customHeight="false" outlineLevel="0" collapsed="false">
      <c r="B42" s="22" t="n">
        <v>37</v>
      </c>
      <c r="C42" s="11" t="s">
        <v>566</v>
      </c>
      <c r="D42" s="11" t="s">
        <v>349</v>
      </c>
      <c r="E42" s="25" t="n">
        <v>1.3421</v>
      </c>
      <c r="F42" s="11" t="s">
        <v>350</v>
      </c>
      <c r="G42" s="11" t="s">
        <v>475</v>
      </c>
      <c r="H42" s="13" t="s">
        <v>454</v>
      </c>
      <c r="I42" s="11" t="s">
        <v>326</v>
      </c>
    </row>
    <row r="43" customFormat="false" ht="15" hidden="false" customHeight="false" outlineLevel="0" collapsed="false">
      <c r="B43" s="22" t="n">
        <v>38</v>
      </c>
      <c r="C43" s="11" t="s">
        <v>568</v>
      </c>
      <c r="D43" s="11" t="s">
        <v>567</v>
      </c>
      <c r="E43" s="10" t="n">
        <v>6131</v>
      </c>
      <c r="F43" s="11" t="s">
        <v>802</v>
      </c>
      <c r="G43" s="11" t="s">
        <v>475</v>
      </c>
      <c r="H43" s="13" t="s">
        <v>454</v>
      </c>
      <c r="I43" s="11" t="s">
        <v>5</v>
      </c>
    </row>
    <row r="44" customFormat="false" ht="15" hidden="false" customHeight="false" outlineLevel="0" collapsed="false">
      <c r="B44" s="22" t="n">
        <v>39</v>
      </c>
      <c r="C44" s="11" t="s">
        <v>571</v>
      </c>
      <c r="D44" s="11" t="s">
        <v>570</v>
      </c>
      <c r="E44" s="10" t="n">
        <v>1290</v>
      </c>
      <c r="F44" s="11" t="s">
        <v>802</v>
      </c>
      <c r="G44" s="11" t="s">
        <v>475</v>
      </c>
      <c r="H44" s="13" t="s">
        <v>454</v>
      </c>
      <c r="I44" s="11" t="s">
        <v>5</v>
      </c>
    </row>
    <row r="45" customFormat="false" ht="15" hidden="false" customHeight="false" outlineLevel="0" collapsed="false">
      <c r="B45" s="22" t="n">
        <v>40</v>
      </c>
      <c r="C45" s="11" t="s">
        <v>574</v>
      </c>
      <c r="D45" s="11" t="s">
        <v>573</v>
      </c>
      <c r="E45" s="9" t="n">
        <v>128.579980205454</v>
      </c>
      <c r="F45" s="11" t="s">
        <v>343</v>
      </c>
      <c r="G45" s="11" t="s">
        <v>475</v>
      </c>
      <c r="H45" s="13" t="s">
        <v>454</v>
      </c>
      <c r="I45" s="11" t="s">
        <v>326</v>
      </c>
    </row>
    <row r="46" customFormat="false" ht="15" hidden="false" customHeight="false" outlineLevel="0" collapsed="false">
      <c r="B46" s="22" t="n">
        <v>41</v>
      </c>
      <c r="C46" s="11" t="s">
        <v>577</v>
      </c>
      <c r="D46" s="11" t="s">
        <v>576</v>
      </c>
      <c r="E46" s="9" t="n">
        <v>37.8076270434456</v>
      </c>
      <c r="F46" s="11" t="s">
        <v>343</v>
      </c>
      <c r="G46" s="11" t="s">
        <v>475</v>
      </c>
      <c r="H46" s="13" t="s">
        <v>454</v>
      </c>
      <c r="I46" s="11" t="s">
        <v>326</v>
      </c>
    </row>
    <row r="47" customFormat="false" ht="15" hidden="false" customHeight="false" outlineLevel="0" collapsed="false">
      <c r="B47" s="22" t="n">
        <v>42</v>
      </c>
      <c r="C47" s="11" t="s">
        <v>579</v>
      </c>
      <c r="D47" s="11" t="s">
        <v>578</v>
      </c>
      <c r="E47" s="9" t="n">
        <v>17442.2314814815</v>
      </c>
      <c r="F47" s="11" t="s">
        <v>363</v>
      </c>
      <c r="G47" s="11" t="s">
        <v>475</v>
      </c>
      <c r="H47" s="13" t="s">
        <v>454</v>
      </c>
      <c r="I47" s="11" t="s">
        <v>326</v>
      </c>
    </row>
    <row r="48" customFormat="false" ht="15" hidden="false" customHeight="false" outlineLevel="0" collapsed="false">
      <c r="B48" s="22" t="n">
        <v>43</v>
      </c>
      <c r="C48" s="11" t="s">
        <v>580</v>
      </c>
      <c r="D48" s="11" t="s">
        <v>368</v>
      </c>
      <c r="E48" s="9" t="n">
        <v>12313.5218518519</v>
      </c>
      <c r="F48" s="11" t="s">
        <v>363</v>
      </c>
      <c r="G48" s="11" t="s">
        <v>475</v>
      </c>
      <c r="H48" s="13" t="s">
        <v>454</v>
      </c>
      <c r="I48" s="11" t="s">
        <v>326</v>
      </c>
    </row>
    <row r="49" customFormat="false" ht="15" hidden="false" customHeight="false" outlineLevel="0" collapsed="false">
      <c r="B49" s="22" t="n">
        <v>44</v>
      </c>
      <c r="C49" s="11" t="s">
        <v>582</v>
      </c>
      <c r="D49" s="11" t="s">
        <v>581</v>
      </c>
      <c r="E49" s="10" t="n">
        <v>135.652777777778</v>
      </c>
      <c r="F49" s="11" t="s">
        <v>802</v>
      </c>
      <c r="G49" s="11" t="s">
        <v>475</v>
      </c>
      <c r="H49" s="13" t="s">
        <v>454</v>
      </c>
      <c r="I49" s="11" t="s">
        <v>326</v>
      </c>
    </row>
    <row r="50" customFormat="false" ht="15" hidden="false" customHeight="false" outlineLevel="0" collapsed="false">
      <c r="B50" s="22" t="n">
        <v>45</v>
      </c>
      <c r="C50" s="11" t="s">
        <v>583</v>
      </c>
      <c r="D50" s="11" t="s">
        <v>370</v>
      </c>
      <c r="E50" s="9" t="n">
        <v>2498.35676392573</v>
      </c>
      <c r="F50" s="11" t="s">
        <v>363</v>
      </c>
      <c r="G50" s="11" t="s">
        <v>475</v>
      </c>
      <c r="H50" s="13" t="s">
        <v>454</v>
      </c>
      <c r="I50" s="11" t="s">
        <v>326</v>
      </c>
    </row>
    <row r="51" customFormat="false" ht="15" hidden="false" customHeight="false" outlineLevel="0" collapsed="false">
      <c r="B51" s="22" t="n">
        <v>46</v>
      </c>
      <c r="C51" s="11" t="s">
        <v>584</v>
      </c>
      <c r="D51" s="11" t="s">
        <v>358</v>
      </c>
      <c r="E51" s="26" t="n">
        <v>0.248066235578717</v>
      </c>
      <c r="F51" s="11" t="s">
        <v>356</v>
      </c>
      <c r="G51" s="11" t="s">
        <v>475</v>
      </c>
      <c r="H51" s="13" t="s">
        <v>454</v>
      </c>
      <c r="I51" s="11" t="s">
        <v>326</v>
      </c>
    </row>
    <row r="52" customFormat="false" ht="15" hidden="false" customHeight="false" outlineLevel="0" collapsed="false">
      <c r="B52" s="22" t="n">
        <v>47</v>
      </c>
      <c r="C52" s="11" t="s">
        <v>586</v>
      </c>
      <c r="D52" s="11" t="s">
        <v>359</v>
      </c>
      <c r="E52" s="26" t="n">
        <v>0.26681519046206</v>
      </c>
      <c r="F52" s="11" t="s">
        <v>356</v>
      </c>
      <c r="G52" s="11" t="s">
        <v>475</v>
      </c>
      <c r="H52" s="13" t="s">
        <v>454</v>
      </c>
      <c r="I52" s="11" t="s">
        <v>326</v>
      </c>
    </row>
    <row r="53" customFormat="false" ht="15" hidden="false" customHeight="false" outlineLevel="0" collapsed="false">
      <c r="B53" s="22" t="n">
        <v>48</v>
      </c>
      <c r="C53" s="11" t="s">
        <v>588</v>
      </c>
      <c r="D53" s="11" t="s">
        <v>587</v>
      </c>
      <c r="E53" s="22" t="n">
        <v>22</v>
      </c>
      <c r="F53" s="11" t="s">
        <v>801</v>
      </c>
      <c r="G53" s="11" t="s">
        <v>475</v>
      </c>
      <c r="H53" s="13" t="s">
        <v>454</v>
      </c>
      <c r="I53" s="11" t="s">
        <v>5</v>
      </c>
    </row>
    <row r="54" customFormat="false" ht="15" hidden="false" customHeight="false" outlineLevel="0" collapsed="false">
      <c r="B54" s="22" t="n">
        <v>49</v>
      </c>
      <c r="C54" s="11" t="s">
        <v>590</v>
      </c>
      <c r="D54" s="11" t="s">
        <v>589</v>
      </c>
      <c r="E54" s="22" t="n">
        <v>27</v>
      </c>
      <c r="F54" s="11" t="s">
        <v>801</v>
      </c>
      <c r="G54" s="11" t="s">
        <v>475</v>
      </c>
      <c r="H54" s="13" t="s">
        <v>454</v>
      </c>
      <c r="I54" s="11" t="s">
        <v>5</v>
      </c>
    </row>
    <row r="55" customFormat="false" ht="15" hidden="false" customHeight="false" outlineLevel="0" collapsed="false">
      <c r="B55" s="22" t="n">
        <v>50</v>
      </c>
      <c r="C55" s="11" t="s">
        <v>593</v>
      </c>
      <c r="D55" s="11" t="s">
        <v>592</v>
      </c>
      <c r="E55" s="26" t="n">
        <v>0.109791474693697</v>
      </c>
      <c r="F55" s="11" t="s">
        <v>356</v>
      </c>
      <c r="G55" s="11" t="s">
        <v>475</v>
      </c>
      <c r="H55" s="13" t="s">
        <v>454</v>
      </c>
      <c r="I55" s="11" t="s">
        <v>326</v>
      </c>
    </row>
    <row r="56" customFormat="false" ht="15" hidden="false" customHeight="false" outlineLevel="0" collapsed="false">
      <c r="B56" s="22" t="n">
        <v>51</v>
      </c>
      <c r="C56" s="11" t="s">
        <v>596</v>
      </c>
      <c r="D56" s="11" t="s">
        <v>595</v>
      </c>
      <c r="E56" s="26" t="n">
        <v>0.502064775946214</v>
      </c>
      <c r="F56" s="11" t="s">
        <v>356</v>
      </c>
      <c r="G56" s="11" t="s">
        <v>475</v>
      </c>
      <c r="H56" s="13" t="s">
        <v>454</v>
      </c>
      <c r="I56" s="11" t="s">
        <v>326</v>
      </c>
    </row>
    <row r="57" customFormat="false" ht="15" hidden="false" customHeight="false" outlineLevel="0" collapsed="false">
      <c r="B57" s="22" t="n">
        <v>52</v>
      </c>
      <c r="C57" s="11" t="s">
        <v>598</v>
      </c>
      <c r="D57" s="11" t="s">
        <v>597</v>
      </c>
      <c r="E57" s="22" t="n">
        <v>29</v>
      </c>
      <c r="F57" s="11" t="s">
        <v>801</v>
      </c>
      <c r="G57" s="11" t="s">
        <v>475</v>
      </c>
      <c r="H57" s="13" t="s">
        <v>454</v>
      </c>
      <c r="I57" s="11" t="s">
        <v>5</v>
      </c>
    </row>
    <row r="58" customFormat="false" ht="15" hidden="false" customHeight="false" outlineLevel="0" collapsed="false">
      <c r="B58" s="22" t="n">
        <v>53</v>
      </c>
      <c r="C58" s="11" t="s">
        <v>601</v>
      </c>
      <c r="D58" s="11" t="s">
        <v>600</v>
      </c>
      <c r="E58" s="22" t="n">
        <v>18</v>
      </c>
      <c r="F58" s="11" t="s">
        <v>801</v>
      </c>
      <c r="G58" s="11" t="s">
        <v>475</v>
      </c>
      <c r="H58" s="13" t="s">
        <v>454</v>
      </c>
      <c r="I58" s="11" t="s">
        <v>603</v>
      </c>
    </row>
    <row r="59" customFormat="false" ht="15" hidden="false" customHeight="false" outlineLevel="0" collapsed="false">
      <c r="B59" s="22" t="n">
        <v>54</v>
      </c>
      <c r="C59" s="11" t="s">
        <v>605</v>
      </c>
      <c r="D59" s="11" t="s">
        <v>604</v>
      </c>
      <c r="E59" s="22" t="n">
        <v>20</v>
      </c>
      <c r="F59" s="11" t="s">
        <v>801</v>
      </c>
      <c r="G59" s="11" t="s">
        <v>475</v>
      </c>
      <c r="H59" s="13" t="s">
        <v>454</v>
      </c>
      <c r="I59" s="11" t="s">
        <v>606</v>
      </c>
    </row>
    <row r="60" customFormat="false" ht="15" hidden="false" customHeight="false" outlineLevel="0" collapsed="false">
      <c r="B60" s="22" t="n">
        <v>55</v>
      </c>
      <c r="C60" s="11" t="s">
        <v>608</v>
      </c>
      <c r="D60" s="11" t="s">
        <v>607</v>
      </c>
      <c r="E60" s="22" t="n">
        <v>74</v>
      </c>
      <c r="F60" s="11" t="s">
        <v>801</v>
      </c>
      <c r="G60" s="11" t="s">
        <v>475</v>
      </c>
      <c r="H60" s="13" t="s">
        <v>454</v>
      </c>
      <c r="I60" s="11" t="s">
        <v>609</v>
      </c>
    </row>
    <row r="61" customFormat="false" ht="15" hidden="false" customHeight="false" outlineLevel="0" collapsed="false">
      <c r="B61" s="22" t="n">
        <v>56</v>
      </c>
      <c r="C61" s="11" t="s">
        <v>611</v>
      </c>
      <c r="D61" s="11" t="s">
        <v>610</v>
      </c>
      <c r="E61" s="22" t="n">
        <v>82</v>
      </c>
      <c r="F61" s="11" t="s">
        <v>801</v>
      </c>
      <c r="G61" s="11" t="s">
        <v>475</v>
      </c>
      <c r="H61" s="13" t="s">
        <v>454</v>
      </c>
      <c r="I61" s="11" t="s">
        <v>612</v>
      </c>
    </row>
    <row r="62" customFormat="false" ht="15" hidden="false" customHeight="false" outlineLevel="0" collapsed="false">
      <c r="B62" s="22" t="n">
        <v>57</v>
      </c>
      <c r="C62" s="11" t="s">
        <v>614</v>
      </c>
      <c r="D62" s="11" t="s">
        <v>613</v>
      </c>
      <c r="E62" s="22" t="n">
        <v>197</v>
      </c>
      <c r="F62" s="11" t="s">
        <v>801</v>
      </c>
      <c r="G62" s="11" t="s">
        <v>475</v>
      </c>
      <c r="H62" s="13" t="s">
        <v>454</v>
      </c>
      <c r="I62" s="11" t="s">
        <v>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803</v>
      </c>
    </row>
    <row r="3" customFormat="false" ht="21.75" hidden="false" customHeight="true" outlineLevel="0" collapsed="false">
      <c r="B3" s="2" t="s">
        <v>804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448</v>
      </c>
      <c r="C5" s="3" t="s">
        <v>805</v>
      </c>
      <c r="D5" s="3" t="s">
        <v>806</v>
      </c>
      <c r="E5" s="3" t="s">
        <v>807</v>
      </c>
      <c r="F5" s="3" t="s">
        <v>808</v>
      </c>
      <c r="G5" s="3" t="s">
        <v>67</v>
      </c>
      <c r="H5" s="3" t="s">
        <v>809</v>
      </c>
    </row>
    <row r="6" customFormat="false" ht="15" hidden="false" customHeight="false" outlineLevel="0" collapsed="false">
      <c r="B6" s="22" t="n">
        <v>1</v>
      </c>
      <c r="C6" s="11" t="s">
        <v>810</v>
      </c>
      <c r="D6" s="11" t="n">
        <v>1883761</v>
      </c>
      <c r="E6" s="11" t="n">
        <v>1883761</v>
      </c>
      <c r="F6" s="16" t="n">
        <f aca="false">D6-E6</f>
        <v>0</v>
      </c>
      <c r="G6" s="0" t="str">
        <f aca="false">IF(ABS(F6)&lt;=1,"TIES",IF(ABS(F6)&lt;=ABS(E6)*0.05,"WITHIN","OFF"))</f>
        <v>TIES</v>
      </c>
      <c r="H6" s="11" t="s">
        <v>811</v>
      </c>
    </row>
    <row r="7" customFormat="false" ht="15" hidden="false" customHeight="false" outlineLevel="0" collapsed="false">
      <c r="B7" s="22" t="n">
        <v>2</v>
      </c>
      <c r="C7" s="11" t="s">
        <v>812</v>
      </c>
      <c r="D7" s="9" t="n">
        <v>1329860.36</v>
      </c>
      <c r="E7" s="9" t="n">
        <v>1329860.36</v>
      </c>
      <c r="F7" s="16" t="n">
        <f aca="false">D7-E7</f>
        <v>0</v>
      </c>
      <c r="G7" s="0" t="str">
        <f aca="false">IF(ABS(F7)&lt;=1,"TIES",IF(ABS(F7)&lt;=ABS(E7)*0.05,"WITHIN","OFF"))</f>
        <v>TIES</v>
      </c>
      <c r="H7" s="11" t="s">
        <v>813</v>
      </c>
    </row>
    <row r="8" customFormat="false" ht="15" hidden="false" customHeight="false" outlineLevel="0" collapsed="false">
      <c r="B8" s="22" t="n">
        <v>3</v>
      </c>
      <c r="C8" s="11" t="s">
        <v>814</v>
      </c>
      <c r="D8" s="9" t="n">
        <v>553900.64</v>
      </c>
      <c r="E8" s="9" t="n">
        <v>553900.64</v>
      </c>
      <c r="F8" s="16" t="n">
        <f aca="false">D8-E8</f>
        <v>0</v>
      </c>
      <c r="G8" s="0" t="str">
        <f aca="false">IF(ABS(F8)&lt;=1,"TIES",IF(ABS(F8)&lt;=ABS(E8)*0.05,"WITHIN","OFF"))</f>
        <v>TIES</v>
      </c>
      <c r="H8" s="11" t="s">
        <v>815</v>
      </c>
    </row>
    <row r="9" customFormat="false" ht="15" hidden="false" customHeight="false" outlineLevel="0" collapsed="false">
      <c r="B9" s="22" t="n">
        <v>4</v>
      </c>
      <c r="C9" s="11" t="s">
        <v>816</v>
      </c>
      <c r="D9" s="9" t="n">
        <v>1883761</v>
      </c>
      <c r="E9" s="9" t="n">
        <v>1883761</v>
      </c>
      <c r="F9" s="16" t="n">
        <f aca="false">D9-E9</f>
        <v>0</v>
      </c>
      <c r="G9" s="0" t="str">
        <f aca="false">IF(ABS(F9)&lt;=1,"TIES",IF(ABS(F9)&lt;=ABS(E9)*0.05,"WITHIN","OFF"))</f>
        <v>TIES</v>
      </c>
      <c r="H9" s="11" t="s">
        <v>817</v>
      </c>
    </row>
    <row r="10" customFormat="false" ht="15" hidden="false" customHeight="false" outlineLevel="0" collapsed="false">
      <c r="B10" s="22" t="n">
        <v>5</v>
      </c>
      <c r="C10" s="11" t="s">
        <v>818</v>
      </c>
      <c r="D10" s="9" t="n">
        <v>14650.5</v>
      </c>
      <c r="E10" s="9" t="n">
        <v>14650.5</v>
      </c>
      <c r="F10" s="16" t="n">
        <f aca="false">D10-E10</f>
        <v>0</v>
      </c>
      <c r="G10" s="0" t="str">
        <f aca="false">IF(ABS(F10)&lt;=1,"TIES",IF(ABS(F10)&lt;=ABS(E10)*0.05,"WITHIN","OFF"))</f>
        <v>TIES</v>
      </c>
      <c r="H10" s="11" t="s">
        <v>819</v>
      </c>
    </row>
    <row r="11" customFormat="false" ht="15" hidden="false" customHeight="false" outlineLevel="0" collapsed="false">
      <c r="B11" s="22" t="n">
        <v>6</v>
      </c>
      <c r="C11" s="11" t="s">
        <v>820</v>
      </c>
      <c r="D11" s="11" t="n">
        <v>117556</v>
      </c>
      <c r="E11" s="11" t="n">
        <v>117556</v>
      </c>
      <c r="F11" s="16" t="n">
        <f aca="false">D11-E11</f>
        <v>0</v>
      </c>
      <c r="G11" s="0" t="str">
        <f aca="false">IF(ABS(F11)&lt;=1,"TIES",IF(ABS(F11)&lt;=ABS(E11)*0.05,"WITHIN","OFF"))</f>
        <v>TIES</v>
      </c>
      <c r="H11" s="11" t="s">
        <v>821</v>
      </c>
    </row>
    <row r="12" customFormat="false" ht="15" hidden="false" customHeight="false" outlineLevel="0" collapsed="false">
      <c r="B12" s="22" t="n">
        <v>7</v>
      </c>
      <c r="C12" s="11" t="s">
        <v>822</v>
      </c>
      <c r="D12" s="11" t="n">
        <v>44</v>
      </c>
      <c r="E12" s="11" t="n">
        <v>44</v>
      </c>
      <c r="F12" s="16" t="n">
        <f aca="false">D12-E12</f>
        <v>0</v>
      </c>
      <c r="G12" s="0" t="str">
        <f aca="false">IF(ABS(F12)&lt;=1,"TIES",IF(ABS(F12)&lt;=ABS(E12)*0.05,"WITHIN","OFF"))</f>
        <v>TIES</v>
      </c>
      <c r="H12" s="11" t="s">
        <v>823</v>
      </c>
    </row>
    <row r="13" customFormat="false" ht="15" hidden="false" customHeight="false" outlineLevel="0" collapsed="false">
      <c r="B13" s="22" t="n">
        <v>8</v>
      </c>
      <c r="C13" s="11" t="s">
        <v>824</v>
      </c>
      <c r="D13" s="11" t="n">
        <v>29</v>
      </c>
      <c r="E13" s="11" t="n">
        <v>29</v>
      </c>
      <c r="F13" s="16" t="n">
        <f aca="false">D13-E13</f>
        <v>0</v>
      </c>
      <c r="G13" s="0" t="str">
        <f aca="false">IF(ABS(F13)&lt;=1,"TIES",IF(ABS(F13)&lt;=ABS(E13)*0.05,"WITHIN","OFF"))</f>
        <v>TIES</v>
      </c>
      <c r="H13" s="11" t="s">
        <v>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2026-04-20T21:21:40Z</dcterms:created>
  <dc:creator>openpyxl</dc:creator>
  <dc:description/>
  <dc:language>en-US</dc:language>
  <cp:lastModifiedBy/>
  <dcterms:modified xsi:type="dcterms:W3CDTF">2026-04-20T21:21:41Z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