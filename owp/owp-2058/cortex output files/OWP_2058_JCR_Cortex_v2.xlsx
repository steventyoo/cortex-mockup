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<sst xmlns="http://schemas.openxmlformats.org/spreadsheetml/2006/main" count="437" uniqueCount="318">
  <si>
    <t xml:space="preserve">OWP #2058 · Howell Apartments</t>
  </si>
  <si>
    <t xml:space="preserve">Blueprint Capital Services, LLC · 76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</si>
  <si>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</si>
  <si>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</si>
  <si>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</si>
  <si>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</si>
  <si>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</si>
  <si>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</si>
  <si>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</si>
  <si>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</si>
  <si>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</si>
  <si>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</si>
  <si>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</si>
  <si>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</si>
  <si>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</si>
  <si>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</si>
  <si>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</si>
  <si>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</si>
  <si>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</si>
  <si>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</si>
  <si>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#2058 · BLUEPRINT CAPITAL SERVICES LLC · Howell Apartments — FULL PROJECT INFORMATION</t>
  </si>
  <si>
    <t xml:space="preserve">Sourced from contract + ticket + GDrive folder + JDR. Subcontract TBD (no contract on file).</t>
  </si>
  <si>
    <t xml:space="preserve">IDENTITY</t>
  </si>
  <si>
    <t xml:space="preserve">OWP Job ID</t>
  </si>
  <si>
    <t xml:space="preserve">2058</t>
  </si>
  <si>
    <t xml:space="preserve">Project Name</t>
  </si>
  <si>
    <t xml:space="preserve">Howell Apartments</t>
  </si>
  <si>
    <t xml:space="preserve">Site Address</t>
  </si>
  <si>
    <t xml:space="preserve">600 E Howell Street, Seattle WA 98122 (Capitol Hill)</t>
  </si>
  <si>
    <t xml:space="preserve">Subcontract Number</t>
  </si>
  <si>
    <t xml:space="preserve">TBD (no contract on file)</t>
  </si>
  <si>
    <t xml:space="preserve">Effective Date</t>
  </si>
  <si>
    <t xml:space="preserve">2019</t>
  </si>
  <si>
    <t xml:space="preserve">PROJECT TEAM — GENERAL CONTRACTOR</t>
  </si>
  <si>
    <t xml:space="preserve">GC Legal Name</t>
  </si>
  <si>
    <t xml:space="preserve">Blueprint Capital Services LLC</t>
  </si>
  <si>
    <t xml:space="preserve">GC Address</t>
  </si>
  <si>
    <t xml:space="preserve">PO Box 16309, Seattle WA 98116</t>
  </si>
  <si>
    <t xml:space="preserve">GC Contract Signatory</t>
  </si>
  <si>
    <t xml:space="preserve">Blueprint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</si>
  <si>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</si>
  <si>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</si>
  <si>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</si>
  <si>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</si>
  <si>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</si>
  <si>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</si>
  <si>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</si>
  <si>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</si>
  <si>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</si>
  <si>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</si>
  <si>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</si>
  <si>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</si>
  <si>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</si>
  <si>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Owner Address</t>
  </si>
  <si>
    <t xml:space="preserve">PROJECT TEAM — DESIGN</t>
  </si>
  <si>
    <t xml:space="preserve">Architect</t>
  </si>
  <si>
    <t xml:space="preserve">TBD</t>
  </si>
  <si>
    <t xml:space="preserve">MEP / Plumbing Engineer</t>
  </si>
  <si>
    <t xml:space="preserve">INSURANCE &amp; BONDING</t>
  </si>
  <si>
    <t xml:space="preserve">Insurance Type</t>
  </si>
  <si>
    <t xml:space="preserve">Not Wrap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</si>
  <si>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</si>
  <si>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</si>
  <si>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</si>
  <si>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</si>
  <si>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$928,800 original</t>
  </si>
  <si>
    <t xml:space="preserve">CHANGE-EVENT META</t>
  </si>
  <si>
    <t xml:space="preserve">Executed CO Count</t>
  </si>
  <si>
    <t xml:space="preserve">COR Count</t>
  </si>
  <si>
    <t xml:space="preserve">RFI Count</t>
  </si>
  <si>
    <t xml:space="preserve">ASI Count</t>
  </si>
  <si>
    <t xml:space="preserve">CO Inventory</t>
  </si>
  <si>
    <t xml:space="preserve">CO #07 Convert Retail to Live/Work Units (added 2 Live/Work units with full plumbing scope)</t>
  </si>
  <si>
    <t xml:space="preserve">COR Themes</t>
  </si>
  <si>
    <t xml:space="preserve">(see GDrive)</t>
  </si>
  <si>
    <t xml:space="preserve">Key RFIs</t>
  </si>
  <si>
    <t xml:space="preserve">DOCUMENTS ON FILE (GDrive)</t>
  </si>
  <si>
    <t xml:space="preserve">Latest Job Ticket</t>
  </si>
  <si>
    <t xml:space="preserve">Howell job ticket 9-14-20.pdf</t>
  </si>
  <si>
    <t xml:space="preserve">GDrive Folder</t>
  </si>
  <si>
    <t xml:space="preserve">Job Books - Completed Jobs/2058-...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</si>
  <si>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</si>
  <si>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</si>
  <si>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</si>
  <si>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</t>
  </si>
  <si>
    <t xml:space="preserve">72 Gerber Maxwell 21-912 + 4 ADA + 2 added Live/Work</t>
  </si>
  <si>
    <t xml:space="preserve">Lavs</t>
  </si>
  <si>
    <t xml:space="preserve">Kohler K-2035-1 wall-hung; x07-x12 stacks owner-supplied</t>
  </si>
  <si>
    <t xml:space="preserve">Faucets</t>
  </si>
  <si>
    <t xml:space="preserve">Delta Trinsic 559HA-BL-DST matte black</t>
  </si>
  <si>
    <t xml:space="preserve">Showers/tubs Type B</t>
  </si>
  <si>
    <t xml:space="preserve">70 Best Bath P3838 + 3 LSS3838B5T</t>
  </si>
  <si>
    <t xml:space="preserve">Tubs Sterling</t>
  </si>
  <si>
    <t xml:space="preserve">Sterling 71171110 plastic tub base</t>
  </si>
  <si>
    <t xml:space="preserve">Tub/showers Type A ADA</t>
  </si>
  <si>
    <t xml:space="preserve">1 Aquatic 2603SMTE + 2 added Live/Work</t>
  </si>
  <si>
    <t xml:space="preserve">Kitchen faucets</t>
  </si>
  <si>
    <t xml:space="preserve">Delta Trinsic 9959-BL-DST matte black</t>
  </si>
  <si>
    <t xml:space="preserve">Air gaps</t>
  </si>
  <si>
    <t xml:space="preserve">Delta 72020-BL</t>
  </si>
  <si>
    <t xml:space="preserve">VERIFIED MAIN FIXTURE COUNT</t>
  </si>
  <si>
    <t xml:space="preserve">Per unit (76): 4.08</t>
  </si>
  <si>
    <t xml:space="preserve">AUDIT NOTE (2026-04-25): First-pass count of 464 was the all-itemized sum (included drains, hose bibs, condensate stacks, water heaters, appliance rough-ins). Verified main count of 310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</si>
  <si>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</si>
  <si>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</si>
  <si>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</si>
  <si>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</si>
  <si>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</si>
  <si>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</si>
  <si>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</si>
  <si>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</si>
  <si>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</si>
  <si>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</si>
  <si>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</si>
  <si>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</si>
  <si>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</si>
  <si>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</si>
  <si>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</si>
  <si>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</si>
  <si>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</si>
  <si>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</si>
  <si>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</si>
  <si>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</si>
  <si>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</si>
  <si>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</si>
  <si>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</si>
  <si>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</si>
  <si>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</si>
  <si>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</si>
  <si>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</si>
  <si>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</si>
  <si>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</si>
  <si>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</si>
  <si>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</si>
  <si>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</si>
  <si>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</si>
  <si>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</si>
  <si>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</si>
  <si>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</si>
  <si>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</si>
  <si>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</si>
  <si>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</si>
  <si>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</si>
  <si>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</si>
  <si>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</si>
  <si>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</si>
  <si>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</si>
  <si>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</si>
  <si>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</si>
  <si>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</si>
  <si>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</si>
  <si>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</si>
  <si>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</si>
  <si>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</si>
  <si>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</si>
  <si>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</si>
  <si>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</si>
  <si>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</si>
  <si>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</si>
  <si>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</si>
  <si>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</si>
  <si>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</si>
  <si>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</si>
  <si>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</si>
  <si>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</si>
  <si>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</si>
  <si>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</si>
  <si>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</si>
  <si>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</si>
  <si>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</si>
  <si>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</si>
  <si>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</si>
  <si>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</si>
  <si>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</si>
  <si>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</si>
  <si>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</si>
  <si>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</si>
  <si>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</si>
  <si>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</si>
  <si>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</si>
  <si>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</si>
  <si>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</si>
  <si>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</si>
  <si>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</si>
  <si>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</si>
  <si>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</si>
  <si>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</si>
  <si>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</si>
  <si>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</si>
  <si>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</si>
  <si>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</si>
  <si>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</si>
  <si>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</si>
  <si>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</si>
  <si>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</si>
  <si>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</si>
  <si>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</si>
  <si>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</si>
  <si>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</si>
  <si>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</si>
  <si>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</si>
  <si>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</si>
  <si>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Best Bath Systems</t>
  </si>
  <si>
    <t xml:space="preserve">California Hydronics Corp</t>
  </si>
  <si>
    <t xml:space="preserve">Ferguson Enterprises, Inc. #3007</t>
  </si>
  <si>
    <t xml:space="preserve">Franklin Engineering</t>
  </si>
  <si>
    <t xml:space="preserve">Capital One Credit Card</t>
  </si>
  <si>
    <t xml:space="preserve">Consolidated Supply Co.</t>
  </si>
  <si>
    <t xml:space="preserve">Mechanical Resource Services, Inc.</t>
  </si>
  <si>
    <t xml:space="preserve">H&amp;E Equipment Services, Inc.</t>
  </si>
  <si>
    <t xml:space="preserve">Mechanical Sales, Inc.</t>
  </si>
  <si>
    <t xml:space="preserve">DRSi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</si>
  <si>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</si>
  <si>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</si>
  <si>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</si>
  <si>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</si>
  <si>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</si>
  <si>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</si>
  <si>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</si>
  <si>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Castro Hernandez, Jose A</t>
  </si>
  <si>
    <t xml:space="preserve">LEAD/SUPERVISOR</t>
  </si>
  <si>
    <t xml:space="preserve">Reed, Reuben H</t>
  </si>
  <si>
    <t xml:space="preserve">Silva Morales, Jair J</t>
  </si>
  <si>
    <t xml:space="preserve">JOURNEYMAN</t>
  </si>
  <si>
    <t xml:space="preserve">Guerrero Espinoza, Mario</t>
  </si>
  <si>
    <t xml:space="preserve">APPRENTICE/HELPER</t>
  </si>
  <si>
    <t xml:space="preserve">Jimenez Alvarenga, Gerson M</t>
  </si>
  <si>
    <t xml:space="preserve">Garcia Perez, Ervey O</t>
  </si>
  <si>
    <t xml:space="preserve">Cruz Guzman, Joel A</t>
  </si>
  <si>
    <t xml:space="preserve">Frausto Mendoza, Pedro</t>
  </si>
  <si>
    <t xml:space="preserve">Kinssies, Jr, John E</t>
  </si>
  <si>
    <t xml:space="preserve">Sanders, Allen O</t>
  </si>
  <si>
    <t xml:space="preserve">Cruz Reyes, Jose</t>
  </si>
  <si>
    <t xml:space="preserve">Gauthier, Dillon R</t>
  </si>
  <si>
    <t xml:space="preserve">Cruz Gonzalez, Julio C</t>
  </si>
  <si>
    <t xml:space="preserve">Boss, Benjamin T</t>
  </si>
  <si>
    <t xml:space="preserve">Hubbard, Robert W</t>
  </si>
  <si>
    <t xml:space="preserve">Gerard, Jeffrey S</t>
  </si>
  <si>
    <t xml:space="preserve">Martinez Reyes, Juan C</t>
  </si>
  <si>
    <t xml:space="preserve">Barnhart, Joseph N</t>
  </si>
  <si>
    <t xml:space="preserve">Donelson, Richard T</t>
  </si>
  <si>
    <t xml:space="preserve">McCabe, Thomas C</t>
  </si>
  <si>
    <t xml:space="preserve">Taylor, Evan R</t>
  </si>
  <si>
    <t xml:space="preserve">Mackey, Cole J</t>
  </si>
  <si>
    <t xml:space="preserve">Lopez, Maslin A</t>
  </si>
  <si>
    <t xml:space="preserve">Romero Garza, Jesus I</t>
  </si>
  <si>
    <t xml:space="preserve">Wage Tier Distribution</t>
  </si>
  <si>
    <t xml:space="preserve"># Workers</t>
  </si>
  <si>
    <t xml:space="preserve">% of Hours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</si>
  <si>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</si>
  <si>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</si>
  <si>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</si>
  <si>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</si>
  <si>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</si>
  <si>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</si>
  <si>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</si>
  <si>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</si>
  <si>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</si>
  <si>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</si>
  <si>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</si>
  <si>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</si>
  <si>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</si>
  <si>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</si>
  <si>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</si>
  <si>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</si>
  <si>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</si>
  <si>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Roughin Labor (120) CRITICAL overrun</t>
  </si>
  <si>
    <t xml:space="preserve">⚠ WATCH</t>
  </si>
  <si>
    <t xml:space="preserve">Actual $195,332 vs revised $102,640 (+90%) — needs immediate attention</t>
  </si>
  <si>
    <t xml:space="preserve">Garage Material (211) over revised</t>
  </si>
  <si>
    <t xml:space="preserve">Actual $16,428 vs revised $13,960 (+18%) — monitor</t>
  </si>
  <si>
    <t xml:space="preserve">Mech Room Material (242) over revised</t>
  </si>
  <si>
    <t xml:space="preserve">Actual $17,680 vs revised $15,000 (+18%) — monitor</t>
  </si>
  <si>
    <t xml:space="preserve">Subcontractor (600) CRITICAL overrun</t>
  </si>
  <si>
    <t xml:space="preserve">Actual $5,000 vs revised $1,000 (+400%) — needs immediate attention</t>
  </si>
  <si>
    <t xml:space="preserve">Other Expenses (607) over revised</t>
  </si>
  <si>
    <t xml:space="preserve">Actual $9,064 vs revised $7,000 (+29%) — monitor</t>
  </si>
  <si>
    <t xml:space="preserve">Payroll Burden (995) over revised</t>
  </si>
  <si>
    <t xml:space="preserve">Actual $117,712 vs revised $103,592 (+14%) — monitor</t>
  </si>
  <si>
    <t xml:space="preserve">Payroll Taxes (998) over revised</t>
  </si>
  <si>
    <t xml:space="preserve">Actual $21,237 vs revised $17,611 (+21%) — monitor</t>
  </si>
  <si>
    <t xml:space="preserve">Top vendor concentration (Rosen Supply Kirklan)</t>
  </si>
  <si>
    <t xml:space="preserve">✓ OK</t>
  </si>
  <si>
    <t xml:space="preserve">22% of AP ($52,512) — acceptable</t>
  </si>
  <si>
    <t xml:space="preserve">Retention aging</t>
  </si>
  <si>
    <t xml:space="preserve">$0 held · 0.0% of billed · standard range</t>
  </si>
  <si>
    <t xml:space="preserve">27.3%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</si>
  <si>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</si>
  <si>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</si>
  <si>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</si>
  <si>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</si>
  <si>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</si>
  <si>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</si>
  <si>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</si>
  <si>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</si>
  <si>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</si>
  <si>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</si>
  <si>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</si>
  <si>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</si>
  <si>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</si>
  <si>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</si>
  <si>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</si>
  <si>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</si>
  <si>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</si>
  <si>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</si>
  <si>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</si>
  <si>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</si>
  <si>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</si>
  <si>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</si>
  <si>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</si>
  <si>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</si>
  <si>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</si>
  <si>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</si>
  <si>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</si>
  <si>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</si>
  <si>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</si>
  <si>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</si>
  <si>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#2058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</si>
</sst>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961556</v>
      </c>
    </row>
    <row r="6" customFormat="false" ht="15" hidden="false" customHeight="true" outlineLevel="0" collapsed="false">
      <c r="A6" s="5" t="s">
        <v>4</v>
      </c>
      <c r="B6" s="6" t="n">
        <v>698608.42</v>
      </c>
    </row>
    <row r="7" customFormat="false" ht="15" hidden="false" customHeight="true" outlineLevel="0" collapsed="false">
      <c r="A7" s="5" t="s">
        <v>5</v>
      </c>
      <c r="B7" s="7" t="n">
        <f aca="false">B5-B6</f>
        <v>262947.58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0.273460495280566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961556</v>
      </c>
    </row>
    <row r="12" customFormat="false" ht="15" hidden="false" customHeight="true" outlineLevel="0" collapsed="false">
      <c r="A12" s="5" t="s">
        <v>9</v>
      </c>
      <c r="B12" s="6" t="n">
        <v>0</v>
      </c>
    </row>
    <row r="13" customFormat="false" ht="15" hidden="false" customHeight="true" outlineLevel="0" collapsed="false">
      <c r="A13" s="5" t="s">
        <v>10</v>
      </c>
      <c r="B13" s="7" t="n">
        <f aca="false">B11-B12</f>
        <v>961556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125006.53</v>
      </c>
    </row>
    <row r="20" customFormat="false" ht="15" hidden="false" customHeight="true" outlineLevel="0" collapsed="false">
      <c r="A20" s="5" t="s">
        <v>17</v>
      </c>
      <c r="B20" s="10" t="n">
        <v>233739.79</v>
      </c>
    </row>
    <row r="21" customFormat="false" ht="15" hidden="false" customHeight="true" outlineLevel="0" collapsed="false">
      <c r="A21" s="5" t="s">
        <v>18</v>
      </c>
      <c r="B21" s="10" t="n">
        <v>416556.81</v>
      </c>
    </row>
    <row r="22" customFormat="false" ht="15" hidden="false" customHeight="true" outlineLevel="0" collapsed="false">
      <c r="A22" s="5" t="s">
        <v>19</v>
      </c>
      <c r="B22" s="10" t="n">
        <v>-1037527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39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53</v>
      </c>
      <c r="B25" s="16" t="s">
        <v>37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54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55</v>
      </c>
      <c r="B28" s="16" t="s">
        <v>56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57</v>
      </c>
      <c r="B29" s="16" t="s">
        <v>56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58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59</v>
      </c>
      <c r="B32" s="16" t="s">
        <v>60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61</v>
      </c>
      <c r="B33" s="16" t="s">
        <v>62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63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64</v>
      </c>
      <c r="B36" s="16" t="s">
        <v>65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66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67</v>
      </c>
      <c r="B39" s="16" t="n">
        <v>7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68</v>
      </c>
      <c r="B40" s="16" t="s">
        <v>56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69</v>
      </c>
      <c r="B41" s="16" t="s">
        <v>56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70</v>
      </c>
      <c r="B42" s="16" t="s">
        <v>56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71</v>
      </c>
      <c r="B43" s="16" t="s">
        <v>72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73</v>
      </c>
      <c r="B44" s="16" t="s">
        <v>74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75</v>
      </c>
      <c r="B45" s="16" t="s">
        <v>74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76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77</v>
      </c>
      <c r="B48" s="16" t="s">
        <v>78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79</v>
      </c>
      <c r="B49" s="16" t="s">
        <v>80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81</v>
      </c>
      <c r="B50" s="16" t="s">
        <v>82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83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84</v>
      </c>
      <c r="B53" s="18" t="n">
        <v>78</v>
      </c>
      <c r="C53" s="16" t="s">
        <v>85</v>
      </c>
      <c r="D53" s="16"/>
      <c r="E53" s="16"/>
      <c r="F53" s="16"/>
    </row>
    <row r="54" customFormat="false" ht="15" hidden="false" customHeight="true" outlineLevel="0" collapsed="false">
      <c r="A54" s="15" t="s">
        <v>86</v>
      </c>
      <c r="B54" s="18" t="n">
        <v>78</v>
      </c>
      <c r="C54" s="16" t="s">
        <v>87</v>
      </c>
      <c r="D54" s="16"/>
      <c r="E54" s="16"/>
      <c r="F54" s="16"/>
    </row>
    <row r="55" customFormat="false" ht="15" hidden="false" customHeight="true" outlineLevel="0" collapsed="false">
      <c r="A55" s="15" t="s">
        <v>88</v>
      </c>
      <c r="B55" s="18" t="n">
        <v>78</v>
      </c>
      <c r="C55" s="16" t="s">
        <v>89</v>
      </c>
      <c r="D55" s="16"/>
      <c r="E55" s="16"/>
      <c r="F55" s="16"/>
    </row>
    <row r="56" customFormat="false" ht="15" hidden="false" customHeight="true" outlineLevel="0" collapsed="false">
      <c r="A56" s="15" t="s">
        <v>90</v>
      </c>
      <c r="B56" s="18" t="n">
        <v>73</v>
      </c>
      <c r="C56" s="16" t="s">
        <v>91</v>
      </c>
      <c r="D56" s="16"/>
      <c r="E56" s="16"/>
      <c r="F56" s="16"/>
    </row>
    <row r="57" customFormat="false" ht="15" hidden="false" customHeight="true" outlineLevel="0" collapsed="false">
      <c r="A57" s="15" t="s">
        <v>92</v>
      </c>
      <c r="B57" s="18" t="n">
        <v>2</v>
      </c>
      <c r="C57" s="16" t="s">
        <v>93</v>
      </c>
      <c r="D57" s="16"/>
      <c r="E57" s="16"/>
      <c r="F57" s="16"/>
    </row>
    <row r="58" customFormat="false" ht="15" hidden="false" customHeight="true" outlineLevel="0" collapsed="false">
      <c r="A58" s="15" t="s">
        <v>94</v>
      </c>
      <c r="B58" s="18" t="n">
        <v>3</v>
      </c>
      <c r="C58" s="16" t="s">
        <v>95</v>
      </c>
      <c r="D58" s="16"/>
      <c r="E58" s="16"/>
      <c r="F58" s="16"/>
    </row>
    <row r="59" customFormat="false" ht="15" hidden="false" customHeight="true" outlineLevel="0" collapsed="false">
      <c r="A59" s="15" t="s">
        <v>96</v>
      </c>
      <c r="B59" s="18" t="n">
        <v>76</v>
      </c>
      <c r="C59" s="16" t="s">
        <v>97</v>
      </c>
      <c r="D59" s="16"/>
      <c r="E59" s="16"/>
      <c r="F59" s="16"/>
    </row>
    <row r="60" customFormat="false" ht="12" hidden="false" customHeight="true" outlineLevel="0" collapsed="false">
      <c r="A60" s="15" t="s">
        <v>98</v>
      </c>
      <c r="B60" s="18" t="n">
        <v>76</v>
      </c>
      <c r="C60" s="16" t="s">
        <v>99</v>
      </c>
      <c r="D60" s="16"/>
      <c r="E60" s="16"/>
      <c r="F60" s="16"/>
    </row>
    <row r="61" customFormat="false" ht="15" hidden="false" customHeight="true" outlineLevel="0" collapsed="false">
      <c r="A61" s="19" t="s">
        <v>100</v>
      </c>
      <c r="B61" s="19" t="n">
        <v>310</v>
      </c>
    </row>
    <row r="62" customFormat="false" ht="15" hidden="false" customHeight="false" outlineLevel="0" collapsed="false">
      <c r="A62" s="20" t="s">
        <v>101</v>
      </c>
    </row>
    <row r="63" customFormat="false" ht="35.05" hidden="false" customHeight="true" outlineLevel="0" collapsed="false">
      <c r="A63" s="21" t="s">
        <v>102</v>
      </c>
      <c r="B63" s="21"/>
      <c r="C63" s="21"/>
      <c r="D63" s="21"/>
      <c r="E63" s="21"/>
      <c r="F63" s="21"/>
    </row>
  </sheetData>
  <mergeCells count="51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A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103</v>
      </c>
    </row>
    <row r="3" customFormat="false" ht="15" hidden="false" customHeight="true" outlineLevel="0" collapsed="false">
      <c r="A3" s="22" t="s">
        <v>104</v>
      </c>
      <c r="B3" s="22" t="s">
        <v>105</v>
      </c>
      <c r="C3" s="22" t="s">
        <v>106</v>
      </c>
      <c r="D3" s="22" t="s">
        <v>107</v>
      </c>
    </row>
    <row r="4" customFormat="false" ht="15" hidden="false" customHeight="true" outlineLevel="0" collapsed="false">
      <c r="A4" s="5" t="s">
        <v>108</v>
      </c>
      <c r="B4" s="6" t="n">
        <v>928800</v>
      </c>
      <c r="C4" s="6" t="n">
        <v>961556</v>
      </c>
      <c r="D4" s="10" t="n">
        <f aca="false">C4-B4</f>
        <v>32756</v>
      </c>
    </row>
    <row r="5" customFormat="false" ht="15" hidden="false" customHeight="true" outlineLevel="0" collapsed="false">
      <c r="A5" s="5" t="s">
        <v>109</v>
      </c>
      <c r="B5" s="6" t="n">
        <v>0</v>
      </c>
      <c r="C5" s="6" t="n">
        <v>32756</v>
      </c>
      <c r="D5" s="10" t="n">
        <f aca="false">C5-B5</f>
        <v>32756</v>
      </c>
    </row>
    <row r="6" customFormat="false" ht="15" hidden="false" customHeight="true" outlineLevel="0" collapsed="false">
      <c r="A6" s="13" t="s">
        <v>110</v>
      </c>
      <c r="B6" s="7" t="n">
        <f aca="false">SUM(B4:B5)</f>
        <v>928800</v>
      </c>
      <c r="C6" s="7" t="n">
        <f aca="false">SUM(C4:C5)</f>
        <v>994312</v>
      </c>
      <c r="D6" s="7" t="n">
        <f aca="false">SUM(D4:D5)</f>
        <v>65512</v>
      </c>
    </row>
    <row r="9" customFormat="false" ht="15" hidden="false" customHeight="true" outlineLevel="0" collapsed="false">
      <c r="A9" s="4" t="s">
        <v>111</v>
      </c>
    </row>
    <row r="10" customFormat="false" ht="15" hidden="false" customHeight="true" outlineLevel="0" collapsed="false">
      <c r="A10" s="22" t="s">
        <v>112</v>
      </c>
      <c r="B10" s="22" t="s">
        <v>113</v>
      </c>
      <c r="C10" s="2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115</v>
      </c>
    </row>
    <row r="3" customFormat="false" ht="15" hidden="false" customHeight="tru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  <c r="F3" s="22" t="s">
        <v>121</v>
      </c>
      <c r="G3" s="2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123</v>
      </c>
    </row>
    <row r="3" customFormat="false" ht="15" hidden="false" customHeight="true" outlineLevel="0" collapsed="false">
      <c r="A3" s="22" t="s">
        <v>124</v>
      </c>
      <c r="B3" s="22" t="s">
        <v>125</v>
      </c>
      <c r="C3" s="22" t="s">
        <v>113</v>
      </c>
      <c r="D3" s="22" t="s">
        <v>114</v>
      </c>
      <c r="E3" s="2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127</v>
      </c>
    </row>
    <row r="3" customFormat="false" ht="15" hidden="false" customHeight="true" outlineLevel="0" collapsed="false">
      <c r="A3" s="22" t="s">
        <v>128</v>
      </c>
      <c r="B3" s="22" t="s">
        <v>113</v>
      </c>
      <c r="C3" s="22" t="s">
        <v>105</v>
      </c>
      <c r="D3" s="22" t="s">
        <v>106</v>
      </c>
      <c r="E3" s="22" t="s">
        <v>129</v>
      </c>
      <c r="F3" s="22" t="s">
        <v>130</v>
      </c>
      <c r="G3" s="22" t="s">
        <v>131</v>
      </c>
      <c r="H3" s="22" t="s">
        <v>132</v>
      </c>
    </row>
    <row r="4" customFormat="false" ht="15" hidden="false" customHeight="true" outlineLevel="0" collapsed="false">
      <c r="A4" s="5" t="s">
        <v>133</v>
      </c>
      <c r="B4" s="5" t="s">
        <v>134</v>
      </c>
      <c r="C4" s="6" t="n">
        <v>6930</v>
      </c>
      <c r="D4" s="6" t="n">
        <v>6980</v>
      </c>
      <c r="E4" s="6" t="n">
        <v>1731.5</v>
      </c>
      <c r="F4" s="10" t="n">
        <f aca="false">D4-E4</f>
        <v>5248.5</v>
      </c>
      <c r="G4" s="6" t="n">
        <v>0</v>
      </c>
      <c r="H4" s="23" t="n">
        <f aca="false">IFERROR(E4/D4,0)</f>
        <v>0.248065902578797</v>
      </c>
    </row>
    <row r="5" customFormat="false" ht="15" hidden="false" customHeight="true" outlineLevel="0" collapsed="false">
      <c r="A5" s="5" t="s">
        <v>135</v>
      </c>
      <c r="B5" s="5" t="s">
        <v>136</v>
      </c>
      <c r="C5" s="6" t="n">
        <v>11165</v>
      </c>
      <c r="D5" s="6" t="n">
        <v>11215</v>
      </c>
      <c r="E5" s="6" t="n">
        <v>6184.5</v>
      </c>
      <c r="F5" s="10" t="n">
        <f aca="false">D5-E5</f>
        <v>5030.5</v>
      </c>
      <c r="G5" s="6" t="n">
        <v>0</v>
      </c>
      <c r="H5" s="23" t="n">
        <f aca="false">IFERROR(E5/D5,0)</f>
        <v>0.551448952296032</v>
      </c>
    </row>
    <row r="6" customFormat="false" ht="15" hidden="false" customHeight="true" outlineLevel="0" collapsed="false">
      <c r="A6" s="5" t="s">
        <v>137</v>
      </c>
      <c r="B6" s="5" t="s">
        <v>138</v>
      </c>
      <c r="C6" s="6" t="n">
        <v>3760</v>
      </c>
      <c r="D6" s="6" t="n">
        <v>4280</v>
      </c>
      <c r="E6" s="6" t="n">
        <v>3766</v>
      </c>
      <c r="F6" s="10" t="n">
        <f aca="false">D6-E6</f>
        <v>514</v>
      </c>
      <c r="G6" s="6" t="n">
        <v>0</v>
      </c>
      <c r="H6" s="23" t="n">
        <f aca="false">IFERROR(E6/D6,0)</f>
        <v>0.879906542056075</v>
      </c>
    </row>
    <row r="7" customFormat="false" ht="15" hidden="false" customHeight="true" outlineLevel="0" collapsed="false">
      <c r="A7" s="5" t="s">
        <v>139</v>
      </c>
      <c r="B7" s="5" t="s">
        <v>140</v>
      </c>
      <c r="C7" s="6" t="n">
        <v>12325</v>
      </c>
      <c r="D7" s="6" t="n">
        <v>12815</v>
      </c>
      <c r="E7" s="6" t="n">
        <v>1242</v>
      </c>
      <c r="F7" s="10" t="n">
        <f aca="false">D7-E7</f>
        <v>11573</v>
      </c>
      <c r="G7" s="6" t="n">
        <v>0</v>
      </c>
      <c r="H7" s="23" t="n">
        <f aca="false">IFERROR(E7/D7,0)</f>
        <v>0.096917674600078</v>
      </c>
    </row>
    <row r="8" customFormat="false" ht="15" hidden="false" customHeight="true" outlineLevel="0" collapsed="false">
      <c r="A8" s="5" t="s">
        <v>141</v>
      </c>
      <c r="B8" s="5" t="s">
        <v>142</v>
      </c>
      <c r="C8" s="6" t="n">
        <v>12054</v>
      </c>
      <c r="D8" s="6" t="n">
        <v>12154</v>
      </c>
      <c r="E8" s="6" t="n">
        <v>3080</v>
      </c>
      <c r="F8" s="10" t="n">
        <f aca="false">D8-E8</f>
        <v>9074</v>
      </c>
      <c r="G8" s="6" t="n">
        <v>0</v>
      </c>
      <c r="H8" s="23" t="n">
        <f aca="false">IFERROR(E8/D8,0)</f>
        <v>0.253414513740332</v>
      </c>
    </row>
    <row r="9" customFormat="false" ht="15" hidden="false" customHeight="true" outlineLevel="0" collapsed="false">
      <c r="A9" s="5" t="s">
        <v>143</v>
      </c>
      <c r="B9" s="5" t="s">
        <v>144</v>
      </c>
      <c r="C9" s="6" t="n">
        <v>93340</v>
      </c>
      <c r="D9" s="6" t="n">
        <v>102640</v>
      </c>
      <c r="E9" s="6" t="n">
        <v>195332</v>
      </c>
      <c r="F9" s="10" t="n">
        <f aca="false">D9-E9</f>
        <v>-92692</v>
      </c>
      <c r="G9" s="6" t="n">
        <v>0</v>
      </c>
      <c r="H9" s="23" t="n">
        <f aca="false">IFERROR(E9/D9,0)</f>
        <v>1.90307872174591</v>
      </c>
    </row>
    <row r="10" customFormat="false" ht="15" hidden="false" customHeight="true" outlineLevel="0" collapsed="false">
      <c r="A10" s="5" t="s">
        <v>145</v>
      </c>
      <c r="B10" s="5" t="s">
        <v>146</v>
      </c>
      <c r="C10" s="6" t="n">
        <v>23100</v>
      </c>
      <c r="D10" s="6" t="n">
        <v>23310</v>
      </c>
      <c r="E10" s="6" t="n">
        <v>25477</v>
      </c>
      <c r="F10" s="10" t="n">
        <f aca="false">D10-E10</f>
        <v>-2167</v>
      </c>
      <c r="G10" s="6" t="n">
        <v>0</v>
      </c>
      <c r="H10" s="23" t="n">
        <f aca="false">IFERROR(E10/D10,0)</f>
        <v>1.09296439296439</v>
      </c>
    </row>
    <row r="11" customFormat="false" ht="15" hidden="false" customHeight="true" outlineLevel="0" collapsed="false">
      <c r="A11" s="5" t="s">
        <v>147</v>
      </c>
      <c r="B11" s="5" t="s">
        <v>148</v>
      </c>
      <c r="C11" s="6" t="n">
        <v>9750</v>
      </c>
      <c r="D11" s="6" t="n">
        <v>10230</v>
      </c>
      <c r="E11" s="6" t="n">
        <v>5276</v>
      </c>
      <c r="F11" s="10" t="n">
        <f aca="false">D11-E11</f>
        <v>4954</v>
      </c>
      <c r="G11" s="6" t="n">
        <v>0</v>
      </c>
      <c r="H11" s="23" t="n">
        <f aca="false">IFERROR(E11/D11,0)</f>
        <v>0.515738025415445</v>
      </c>
    </row>
    <row r="12" customFormat="false" ht="15" hidden="false" customHeight="true" outlineLevel="0" collapsed="false">
      <c r="A12" s="5" t="s">
        <v>149</v>
      </c>
      <c r="B12" s="5" t="s">
        <v>150</v>
      </c>
      <c r="C12" s="6" t="n">
        <v>32180</v>
      </c>
      <c r="D12" s="6" t="n">
        <v>32180</v>
      </c>
      <c r="E12" s="6" t="n">
        <v>22890</v>
      </c>
      <c r="F12" s="10" t="n">
        <f aca="false">D12-E12</f>
        <v>9290</v>
      </c>
      <c r="G12" s="6" t="n">
        <v>0</v>
      </c>
      <c r="H12" s="23" t="n">
        <f aca="false">IFERROR(E12/D12,0)</f>
        <v>0.711311373523928</v>
      </c>
    </row>
    <row r="13" customFormat="false" ht="15" hidden="false" customHeight="true" outlineLevel="0" collapsed="false">
      <c r="A13" s="5" t="s">
        <v>151</v>
      </c>
      <c r="B13" s="5" t="s">
        <v>152</v>
      </c>
      <c r="C13" s="6" t="n">
        <v>14400</v>
      </c>
      <c r="D13" s="6" t="n">
        <v>14400</v>
      </c>
      <c r="E13" s="6" t="n">
        <v>12628.5</v>
      </c>
      <c r="F13" s="10" t="n">
        <f aca="false">D13-E13</f>
        <v>1771.5</v>
      </c>
      <c r="G13" s="6" t="n">
        <v>0</v>
      </c>
      <c r="H13" s="23" t="n">
        <f aca="false">IFERROR(E13/D13,0)</f>
        <v>0.876979166666667</v>
      </c>
    </row>
    <row r="14" customFormat="false" ht="15" hidden="false" customHeight="true" outlineLevel="0" collapsed="false">
      <c r="A14" s="5" t="s">
        <v>153</v>
      </c>
      <c r="B14" s="5" t="s">
        <v>154</v>
      </c>
      <c r="C14" s="6" t="n">
        <v>2880</v>
      </c>
      <c r="D14" s="6" t="n">
        <v>3580</v>
      </c>
      <c r="E14" s="6" t="n">
        <v>2678.61</v>
      </c>
      <c r="F14" s="10" t="n">
        <f aca="false">D14-E14</f>
        <v>901.39</v>
      </c>
      <c r="G14" s="6" t="n">
        <v>0</v>
      </c>
      <c r="H14" s="23" t="n">
        <f aca="false">IFERROR(E14/D14,0)</f>
        <v>0.748215083798883</v>
      </c>
    </row>
    <row r="15" customFormat="false" ht="15" hidden="false" customHeight="true" outlineLevel="0" collapsed="false">
      <c r="A15" s="5" t="s">
        <v>155</v>
      </c>
      <c r="B15" s="5" t="s">
        <v>156</v>
      </c>
      <c r="C15" s="6" t="n">
        <v>13510</v>
      </c>
      <c r="D15" s="6" t="n">
        <v>13960</v>
      </c>
      <c r="E15" s="6" t="n">
        <v>16428.12</v>
      </c>
      <c r="F15" s="10" t="n">
        <f aca="false">D15-E15</f>
        <v>-2468.12</v>
      </c>
      <c r="G15" s="6" t="n">
        <v>0</v>
      </c>
      <c r="H15" s="23" t="n">
        <f aca="false">IFERROR(E15/D15,0)</f>
        <v>1.1767994269341</v>
      </c>
    </row>
    <row r="16" customFormat="false" ht="15" hidden="false" customHeight="true" outlineLevel="0" collapsed="false">
      <c r="A16" s="5" t="s">
        <v>157</v>
      </c>
      <c r="B16" s="5" t="s">
        <v>158</v>
      </c>
      <c r="C16" s="6" t="n">
        <v>11466</v>
      </c>
      <c r="D16" s="6" t="n">
        <v>11566</v>
      </c>
      <c r="E16" s="6" t="n">
        <v>4845.32</v>
      </c>
      <c r="F16" s="10" t="n">
        <f aca="false">D16-E16</f>
        <v>6720.68</v>
      </c>
      <c r="G16" s="6" t="n">
        <v>0</v>
      </c>
      <c r="H16" s="23" t="n">
        <f aca="false">IFERROR(E16/D16,0)</f>
        <v>0.418927892097527</v>
      </c>
    </row>
    <row r="17" customFormat="false" ht="15" hidden="false" customHeight="true" outlineLevel="0" collapsed="false">
      <c r="A17" s="5" t="s">
        <v>159</v>
      </c>
      <c r="B17" s="5" t="s">
        <v>160</v>
      </c>
      <c r="C17" s="6" t="n">
        <v>43040</v>
      </c>
      <c r="D17" s="6" t="n">
        <v>44540</v>
      </c>
      <c r="E17" s="6" t="n">
        <v>32023.13</v>
      </c>
      <c r="F17" s="10" t="n">
        <f aca="false">D17-E17</f>
        <v>12516.87</v>
      </c>
      <c r="G17" s="6" t="n">
        <v>0</v>
      </c>
      <c r="H17" s="23" t="n">
        <f aca="false">IFERROR(E17/D17,0)</f>
        <v>0.718974629546475</v>
      </c>
    </row>
    <row r="18" customFormat="false" ht="15" hidden="false" customHeight="true" outlineLevel="0" collapsed="false">
      <c r="A18" s="5" t="s">
        <v>161</v>
      </c>
      <c r="B18" s="5" t="s">
        <v>162</v>
      </c>
      <c r="C18" s="6" t="n">
        <v>159654</v>
      </c>
      <c r="D18" s="6" t="n">
        <v>169208</v>
      </c>
      <c r="E18" s="6" t="n">
        <v>150779.38</v>
      </c>
      <c r="F18" s="10" t="n">
        <f aca="false">D18-E18</f>
        <v>18428.62</v>
      </c>
      <c r="G18" s="6" t="n">
        <v>0</v>
      </c>
      <c r="H18" s="23" t="n">
        <f aca="false">IFERROR(E18/D18,0)</f>
        <v>0.891088955604936</v>
      </c>
    </row>
    <row r="19" customFormat="false" ht="15" hidden="false" customHeight="true" outlineLevel="0" collapsed="false">
      <c r="A19" s="5" t="s">
        <v>163</v>
      </c>
      <c r="B19" s="5" t="s">
        <v>164</v>
      </c>
      <c r="C19" s="6" t="n">
        <v>11050</v>
      </c>
      <c r="D19" s="6" t="n">
        <v>11250</v>
      </c>
      <c r="E19" s="6" t="n">
        <v>3600.92</v>
      </c>
      <c r="F19" s="10" t="n">
        <f aca="false">D19-E19</f>
        <v>7649.08</v>
      </c>
      <c r="G19" s="6" t="n">
        <v>0</v>
      </c>
      <c r="H19" s="23" t="n">
        <f aca="false">IFERROR(E19/D19,0)</f>
        <v>0.320081777777778</v>
      </c>
    </row>
    <row r="20" customFormat="false" ht="15" hidden="false" customHeight="true" outlineLevel="0" collapsed="false">
      <c r="A20" s="5" t="s">
        <v>165</v>
      </c>
      <c r="B20" s="5" t="s">
        <v>166</v>
      </c>
      <c r="C20" s="6" t="n">
        <v>30640</v>
      </c>
      <c r="D20" s="6" t="n">
        <v>30640</v>
      </c>
      <c r="E20" s="6" t="n">
        <v>16093.43</v>
      </c>
      <c r="F20" s="10" t="n">
        <f aca="false">D20-E20</f>
        <v>14546.57</v>
      </c>
      <c r="G20" s="6" t="n">
        <v>0</v>
      </c>
      <c r="H20" s="23" t="n">
        <f aca="false">IFERROR(E20/D20,0)</f>
        <v>0.525242493472585</v>
      </c>
    </row>
    <row r="21" customFormat="false" ht="15" hidden="false" customHeight="true" outlineLevel="0" collapsed="false">
      <c r="A21" s="5" t="s">
        <v>167</v>
      </c>
      <c r="B21" s="5" t="s">
        <v>168</v>
      </c>
      <c r="C21" s="6" t="n">
        <v>15000</v>
      </c>
      <c r="D21" s="6" t="n">
        <v>15000</v>
      </c>
      <c r="E21" s="6" t="n">
        <v>17680.02</v>
      </c>
      <c r="F21" s="10" t="n">
        <f aca="false">D21-E21</f>
        <v>-2680.02</v>
      </c>
      <c r="G21" s="6" t="n">
        <v>0</v>
      </c>
      <c r="H21" s="23" t="n">
        <f aca="false">IFERROR(E21/D21,0)</f>
        <v>1.178668</v>
      </c>
    </row>
    <row r="22" customFormat="false" ht="15" hidden="false" customHeight="true" outlineLevel="0" collapsed="false">
      <c r="A22" s="5" t="s">
        <v>169</v>
      </c>
      <c r="B22" s="5" t="s">
        <v>170</v>
      </c>
      <c r="C22" s="6" t="n">
        <v>1000</v>
      </c>
      <c r="D22" s="6" t="n">
        <v>1000</v>
      </c>
      <c r="E22" s="6" t="n">
        <v>5000</v>
      </c>
      <c r="F22" s="10" t="n">
        <f aca="false">D22-E22</f>
        <v>-4000</v>
      </c>
      <c r="G22" s="6" t="n">
        <v>0</v>
      </c>
      <c r="H22" s="23" t="n">
        <f aca="false">IFERROR(E22/D22,0)</f>
        <v>5</v>
      </c>
    </row>
    <row r="23" customFormat="false" ht="15" hidden="false" customHeight="true" outlineLevel="0" collapsed="false">
      <c r="A23" s="5" t="s">
        <v>171</v>
      </c>
      <c r="B23" s="5" t="s">
        <v>172</v>
      </c>
      <c r="C23" s="6" t="n">
        <v>30000</v>
      </c>
      <c r="D23" s="6" t="n">
        <v>30000</v>
      </c>
      <c r="E23" s="6" t="n">
        <v>19206.32</v>
      </c>
      <c r="F23" s="10" t="n">
        <f aca="false">D23-E23</f>
        <v>10793.68</v>
      </c>
      <c r="G23" s="6" t="n">
        <v>0</v>
      </c>
      <c r="H23" s="23" t="n">
        <f aca="false">IFERROR(E23/D23,0)</f>
        <v>0.640210666666667</v>
      </c>
    </row>
    <row r="24" customFormat="false" ht="15" hidden="false" customHeight="true" outlineLevel="0" collapsed="false">
      <c r="A24" s="5" t="s">
        <v>173</v>
      </c>
      <c r="B24" s="5" t="s">
        <v>174</v>
      </c>
      <c r="C24" s="6" t="n">
        <v>600</v>
      </c>
      <c r="D24" s="6" t="n">
        <v>600</v>
      </c>
      <c r="E24" s="6" t="n">
        <v>624.67</v>
      </c>
      <c r="F24" s="10" t="n">
        <f aca="false">D24-E24</f>
        <v>-24.67</v>
      </c>
      <c r="G24" s="6" t="n">
        <v>0</v>
      </c>
      <c r="H24" s="23" t="n">
        <f aca="false">IFERROR(E24/D24,0)</f>
        <v>1.04111666666667</v>
      </c>
    </row>
    <row r="25" customFormat="false" ht="15" hidden="false" customHeight="true" outlineLevel="0" collapsed="false">
      <c r="A25" s="5" t="s">
        <v>175</v>
      </c>
      <c r="B25" s="5" t="s">
        <v>176</v>
      </c>
      <c r="C25" s="6" t="n">
        <v>8858</v>
      </c>
      <c r="D25" s="6" t="n">
        <v>8858</v>
      </c>
      <c r="E25" s="6" t="n">
        <v>4751</v>
      </c>
      <c r="F25" s="10" t="n">
        <f aca="false">D25-E25</f>
        <v>4107</v>
      </c>
      <c r="G25" s="6" t="n">
        <v>0</v>
      </c>
      <c r="H25" s="23" t="n">
        <f aca="false">IFERROR(E25/D25,0)</f>
        <v>0.536351320839919</v>
      </c>
    </row>
    <row r="26" customFormat="false" ht="15" hidden="false" customHeight="true" outlineLevel="0" collapsed="false">
      <c r="A26" s="5" t="s">
        <v>177</v>
      </c>
      <c r="B26" s="5" t="s">
        <v>178</v>
      </c>
      <c r="C26" s="6" t="n">
        <v>7000</v>
      </c>
      <c r="D26" s="6" t="n">
        <v>7000</v>
      </c>
      <c r="E26" s="6" t="n">
        <v>9064.4</v>
      </c>
      <c r="F26" s="10" t="n">
        <f aca="false">D26-E26</f>
        <v>-2064.4</v>
      </c>
      <c r="G26" s="6" t="n">
        <v>0</v>
      </c>
      <c r="H26" s="23" t="n">
        <f aca="false">IFERROR(E26/D26,0)</f>
        <v>1.29491428571429</v>
      </c>
    </row>
    <row r="27" customFormat="false" ht="15" hidden="false" customHeight="true" outlineLevel="0" collapsed="false">
      <c r="A27" s="5" t="s">
        <v>179</v>
      </c>
      <c r="B27" s="5" t="s">
        <v>180</v>
      </c>
      <c r="C27" s="6" t="n">
        <v>98551.8</v>
      </c>
      <c r="D27" s="6" t="n">
        <v>103591.8</v>
      </c>
      <c r="E27" s="6" t="n">
        <v>117712.31</v>
      </c>
      <c r="F27" s="10" t="n">
        <f aca="false">D27-E27</f>
        <v>-14120.51</v>
      </c>
      <c r="G27" s="6" t="n">
        <v>0</v>
      </c>
      <c r="H27" s="23" t="n">
        <f aca="false">IFERROR(E27/D27,0)</f>
        <v>1.13630914802137</v>
      </c>
    </row>
    <row r="28" customFormat="false" ht="15" hidden="false" customHeight="true" outlineLevel="0" collapsed="false">
      <c r="A28" s="5" t="s">
        <v>181</v>
      </c>
      <c r="B28" s="5" t="s">
        <v>182</v>
      </c>
      <c r="C28" s="6" t="n">
        <v>16753.81</v>
      </c>
      <c r="D28" s="6" t="n">
        <v>17610.62</v>
      </c>
      <c r="E28" s="6" t="n">
        <v>21237</v>
      </c>
      <c r="F28" s="10" t="n">
        <f aca="false">D28-E28</f>
        <v>-3626.38</v>
      </c>
      <c r="G28" s="6" t="n">
        <v>0</v>
      </c>
      <c r="H28" s="23" t="n">
        <f aca="false">IFERROR(E28/D28,0)</f>
        <v>1.20592006414311</v>
      </c>
    </row>
    <row r="29" customFormat="false" ht="15" hidden="false" customHeight="true" outlineLevel="0" collapsed="false">
      <c r="A29" s="13" t="s">
        <v>183</v>
      </c>
      <c r="C29" s="7" t="n">
        <f aca="false">SUM(C4:C28)</f>
        <v>669007.61</v>
      </c>
      <c r="D29" s="7" t="n">
        <f aca="false">SUM(D4:D28)</f>
        <v>698608.42</v>
      </c>
      <c r="E29" s="7" t="n">
        <f aca="false">SUM(E4:E28)</f>
        <v>699332.13</v>
      </c>
      <c r="F29" s="7" t="n">
        <f aca="false">SUM(F4:F28)</f>
        <v>-723.71</v>
      </c>
      <c r="G29" s="7" t="n">
        <f aca="false">SUM(G4:G28)</f>
        <v>0</v>
      </c>
      <c r="H29" s="8" t="n">
        <f aca="false">IFERROR(E29/D29,0)</f>
        <v>1.00103593082946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184</v>
      </c>
    </row>
    <row r="3" customFormat="false" ht="15" hidden="false" customHeight="true" outlineLevel="0" collapsed="false">
      <c r="A3" s="22" t="s">
        <v>185</v>
      </c>
      <c r="B3" s="22" t="s">
        <v>186</v>
      </c>
      <c r="C3" s="22" t="s">
        <v>187</v>
      </c>
      <c r="D3" s="22" t="s">
        <v>129</v>
      </c>
      <c r="E3" s="22" t="s">
        <v>130</v>
      </c>
      <c r="F3" s="22" t="s">
        <v>132</v>
      </c>
    </row>
    <row r="4" customFormat="false" ht="15" hidden="false" customHeight="true" outlineLevel="0" collapsed="false">
      <c r="A4" s="13" t="s">
        <v>188</v>
      </c>
      <c r="B4" s="5" t="n">
        <v>10</v>
      </c>
      <c r="C4" s="6" t="n">
        <v>230204</v>
      </c>
      <c r="D4" s="6" t="n">
        <v>277607.5</v>
      </c>
      <c r="E4" s="10" t="n">
        <f aca="false">C4-D4</f>
        <v>-47403.5</v>
      </c>
      <c r="F4" s="23" t="n">
        <f aca="false">IFERROR(D4/C4,0)</f>
        <v>1.20591953224097</v>
      </c>
    </row>
    <row r="5" customFormat="false" ht="15" hidden="false" customHeight="true" outlineLevel="0" collapsed="false">
      <c r="A5" s="13" t="s">
        <v>189</v>
      </c>
      <c r="B5" s="5" t="n">
        <v>8</v>
      </c>
      <c r="C5" s="6" t="n">
        <v>299744</v>
      </c>
      <c r="D5" s="6" t="n">
        <v>244128.93</v>
      </c>
      <c r="E5" s="10" t="n">
        <f aca="false">C5-D5</f>
        <v>55615.07</v>
      </c>
      <c r="F5" s="23" t="n">
        <f aca="false">IFERROR(D5/C5,0)</f>
        <v>0.814458104248959</v>
      </c>
    </row>
    <row r="6" customFormat="false" ht="15" hidden="false" customHeight="true" outlineLevel="0" collapsed="false">
      <c r="A6" s="13" t="s">
        <v>190</v>
      </c>
      <c r="B6" s="5" t="n">
        <v>5</v>
      </c>
      <c r="C6" s="6" t="n">
        <v>47458</v>
      </c>
      <c r="D6" s="6" t="n">
        <v>38646.39</v>
      </c>
      <c r="E6" s="10" t="n">
        <f aca="false">C6-D6</f>
        <v>8811.61</v>
      </c>
      <c r="F6" s="23" t="n">
        <f aca="false">IFERROR(D6/C6,0)</f>
        <v>0.814328248135193</v>
      </c>
    </row>
    <row r="7" customFormat="false" ht="15" hidden="false" customHeight="true" outlineLevel="0" collapsed="false">
      <c r="A7" s="13" t="s">
        <v>191</v>
      </c>
      <c r="B7" s="5" t="n">
        <v>2</v>
      </c>
      <c r="C7" s="6" t="n">
        <v>121202.42</v>
      </c>
      <c r="D7" s="6" t="n">
        <v>138949.31</v>
      </c>
      <c r="E7" s="10" t="n">
        <f aca="false">C7-D7</f>
        <v>-17746.89</v>
      </c>
      <c r="F7" s="23" t="n">
        <f aca="false">IFERROR(D7/C7,0)</f>
        <v>1.14642356150975</v>
      </c>
    </row>
    <row r="8" customFormat="false" ht="15" hidden="false" customHeight="true" outlineLevel="0" collapsed="false">
      <c r="A8" s="13" t="s">
        <v>183</v>
      </c>
      <c r="B8" s="24" t="n">
        <f aca="false">SUM(B4:B7)</f>
        <v>25</v>
      </c>
      <c r="C8" s="7" t="n">
        <f aca="false">SUM(C4:C7)</f>
        <v>698608.42</v>
      </c>
      <c r="D8" s="7" t="n">
        <f aca="false">SUM(D4:D7)</f>
        <v>699332.13</v>
      </c>
      <c r="E8" s="7" t="n">
        <f aca="false">SUM(E4:E7)</f>
        <v>-723.709999999992</v>
      </c>
      <c r="F8" s="8" t="n">
        <f aca="false">IFERROR(D8/C8,0)</f>
        <v>1.00103593082946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192</v>
      </c>
    </row>
    <row r="2" customFormat="false" ht="15" hidden="false" customHeight="true" outlineLevel="0" collapsed="false">
      <c r="A2" s="3" t="s">
        <v>193</v>
      </c>
    </row>
    <row r="4" customFormat="false" ht="15" hidden="false" customHeight="true" outlineLevel="0" collapsed="false">
      <c r="A4" s="22" t="s">
        <v>128</v>
      </c>
      <c r="B4" s="22" t="s">
        <v>113</v>
      </c>
      <c r="C4" s="22" t="s">
        <v>106</v>
      </c>
      <c r="D4" s="22" t="s">
        <v>129</v>
      </c>
      <c r="E4" s="22" t="s">
        <v>130</v>
      </c>
      <c r="F4" s="22" t="s">
        <v>194</v>
      </c>
      <c r="G4" s="22" t="s">
        <v>126</v>
      </c>
    </row>
    <row r="5" customFormat="false" ht="15" hidden="false" customHeight="true" outlineLevel="0" collapsed="false">
      <c r="A5" s="5" t="s">
        <v>133</v>
      </c>
      <c r="B5" s="5" t="s">
        <v>134</v>
      </c>
      <c r="C5" s="6" t="n">
        <v>6980</v>
      </c>
      <c r="D5" s="6" t="n">
        <v>1731.5</v>
      </c>
      <c r="E5" s="10" t="n">
        <f aca="false">C5-D5</f>
        <v>5248.5</v>
      </c>
      <c r="F5" s="23" t="n">
        <f aca="false">IFERROR((D5-C5)/C5,0)</f>
        <v>-0.751934097421203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135</v>
      </c>
      <c r="B6" s="5" t="s">
        <v>136</v>
      </c>
      <c r="C6" s="6" t="n">
        <v>11215</v>
      </c>
      <c r="D6" s="6" t="n">
        <v>6184.5</v>
      </c>
      <c r="E6" s="10" t="n">
        <f aca="false">C6-D6</f>
        <v>5030.5</v>
      </c>
      <c r="F6" s="23" t="n">
        <f aca="false">IFERROR((D6-C6)/C6,0)</f>
        <v>-0.448551047703968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137</v>
      </c>
      <c r="B7" s="5" t="s">
        <v>138</v>
      </c>
      <c r="C7" s="6" t="n">
        <v>4280</v>
      </c>
      <c r="D7" s="6" t="n">
        <v>3766</v>
      </c>
      <c r="E7" s="10" t="n">
        <f aca="false">C7-D7</f>
        <v>514</v>
      </c>
      <c r="F7" s="23" t="n">
        <f aca="false">IFERROR((D7-C7)/C7,0)</f>
        <v>-0.120093457943925</v>
      </c>
      <c r="G7" s="25" t="str">
        <f aca="false">IF(C7=0,"UNBUDGETED",IF(F7&gt;0.5,"CRITICAL",IF(F7&gt;0.1,"OVER",IF(F7&lt;-0.1,"UNDER","ON"))))</f>
        <v>UNDER</v>
      </c>
    </row>
    <row r="8" customFormat="false" ht="15" hidden="false" customHeight="true" outlineLevel="0" collapsed="false">
      <c r="A8" s="5" t="s">
        <v>139</v>
      </c>
      <c r="B8" s="5" t="s">
        <v>140</v>
      </c>
      <c r="C8" s="6" t="n">
        <v>12815</v>
      </c>
      <c r="D8" s="6" t="n">
        <v>1242</v>
      </c>
      <c r="E8" s="10" t="n">
        <f aca="false">C8-D8</f>
        <v>11573</v>
      </c>
      <c r="F8" s="23" t="n">
        <f aca="false">IFERROR((D8-C8)/C8,0)</f>
        <v>-0.903082325399922</v>
      </c>
      <c r="G8" s="25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141</v>
      </c>
      <c r="B9" s="5" t="s">
        <v>142</v>
      </c>
      <c r="C9" s="6" t="n">
        <v>12154</v>
      </c>
      <c r="D9" s="6" t="n">
        <v>3080</v>
      </c>
      <c r="E9" s="10" t="n">
        <f aca="false">C9-D9</f>
        <v>9074</v>
      </c>
      <c r="F9" s="23" t="n">
        <f aca="false">IFERROR((D9-C9)/C9,0)</f>
        <v>-0.746585486259668</v>
      </c>
      <c r="G9" s="25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143</v>
      </c>
      <c r="B10" s="5" t="s">
        <v>144</v>
      </c>
      <c r="C10" s="6" t="n">
        <v>102640</v>
      </c>
      <c r="D10" s="6" t="n">
        <v>195332</v>
      </c>
      <c r="E10" s="10" t="n">
        <f aca="false">C10-D10</f>
        <v>-92692</v>
      </c>
      <c r="F10" s="23" t="n">
        <f aca="false">IFERROR((D10-C10)/C10,0)</f>
        <v>0.903078721745908</v>
      </c>
      <c r="G10" s="25" t="str">
        <f aca="false">IF(C10=0,"UNBUDGETED",IF(F10&gt;0.5,"CRITICAL",IF(F10&gt;0.1,"OVER",IF(F10&lt;-0.1,"UNDER","ON"))))</f>
        <v>CRITICAL</v>
      </c>
    </row>
    <row r="11" customFormat="false" ht="15" hidden="false" customHeight="true" outlineLevel="0" collapsed="false">
      <c r="A11" s="5" t="s">
        <v>145</v>
      </c>
      <c r="B11" s="5" t="s">
        <v>146</v>
      </c>
      <c r="C11" s="6" t="n">
        <v>23310</v>
      </c>
      <c r="D11" s="6" t="n">
        <v>25477</v>
      </c>
      <c r="E11" s="10" t="n">
        <f aca="false">C11-D11</f>
        <v>-2167</v>
      </c>
      <c r="F11" s="23" t="n">
        <f aca="false">IFERROR((D11-C11)/C11,0)</f>
        <v>0.092964392964393</v>
      </c>
      <c r="G11" s="25" t="str">
        <f aca="false">IF(C11=0,"UNBUDGETED",IF(F11&gt;0.5,"CRITICAL",IF(F11&gt;0.1,"OVER",IF(F11&lt;-0.1,"UNDER","ON"))))</f>
        <v>ON</v>
      </c>
    </row>
    <row r="12" customFormat="false" ht="15" hidden="false" customHeight="true" outlineLevel="0" collapsed="false">
      <c r="A12" s="5" t="s">
        <v>147</v>
      </c>
      <c r="B12" s="5" t="s">
        <v>148</v>
      </c>
      <c r="C12" s="6" t="n">
        <v>10230</v>
      </c>
      <c r="D12" s="6" t="n">
        <v>5276</v>
      </c>
      <c r="E12" s="10" t="n">
        <f aca="false">C12-D12</f>
        <v>4954</v>
      </c>
      <c r="F12" s="23" t="n">
        <f aca="false">IFERROR((D12-C12)/C12,0)</f>
        <v>-0.484261974584555</v>
      </c>
      <c r="G12" s="25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149</v>
      </c>
      <c r="B13" s="5" t="s">
        <v>150</v>
      </c>
      <c r="C13" s="6" t="n">
        <v>32180</v>
      </c>
      <c r="D13" s="6" t="n">
        <v>22890</v>
      </c>
      <c r="E13" s="10" t="n">
        <f aca="false">C13-D13</f>
        <v>9290</v>
      </c>
      <c r="F13" s="23" t="n">
        <f aca="false">IFERROR((D13-C13)/C13,0)</f>
        <v>-0.288688626476072</v>
      </c>
      <c r="G13" s="25" t="str">
        <f aca="false">IF(C13=0,"UNBUDGETED",IF(F13&gt;0.5,"CRITICAL",IF(F13&gt;0.1,"OVER",IF(F13&lt;-0.1,"UNDER","ON"))))</f>
        <v>UNDER</v>
      </c>
    </row>
    <row r="14" customFormat="false" ht="15" hidden="false" customHeight="true" outlineLevel="0" collapsed="false">
      <c r="A14" s="5" t="s">
        <v>151</v>
      </c>
      <c r="B14" s="5" t="s">
        <v>152</v>
      </c>
      <c r="C14" s="6" t="n">
        <v>14400</v>
      </c>
      <c r="D14" s="6" t="n">
        <v>12628.5</v>
      </c>
      <c r="E14" s="10" t="n">
        <f aca="false">C14-D14</f>
        <v>1771.5</v>
      </c>
      <c r="F14" s="23" t="n">
        <f aca="false">IFERROR((D14-C14)/C14,0)</f>
        <v>-0.123020833333333</v>
      </c>
      <c r="G14" s="25" t="str">
        <f aca="false">IF(C14=0,"UNBUDGETED",IF(F14&gt;0.5,"CRITICAL",IF(F14&gt;0.1,"OVER",IF(F14&lt;-0.1,"UNDER","ON"))))</f>
        <v>UNDER</v>
      </c>
    </row>
    <row r="15" customFormat="false" ht="15" hidden="false" customHeight="true" outlineLevel="0" collapsed="false">
      <c r="A15" s="5" t="s">
        <v>153</v>
      </c>
      <c r="B15" s="5" t="s">
        <v>154</v>
      </c>
      <c r="C15" s="6" t="n">
        <v>3580</v>
      </c>
      <c r="D15" s="6" t="n">
        <v>2678.61</v>
      </c>
      <c r="E15" s="10" t="n">
        <f aca="false">C15-D15</f>
        <v>901.39</v>
      </c>
      <c r="F15" s="23" t="n">
        <f aca="false">IFERROR((D15-C15)/C15,0)</f>
        <v>-0.251784916201117</v>
      </c>
      <c r="G15" s="25" t="str">
        <f aca="false">IF(C15=0,"UNBUDGETED",IF(F15&gt;0.5,"CRITICAL",IF(F15&gt;0.1,"OVER",IF(F15&lt;-0.1,"UNDER","ON"))))</f>
        <v>UNDER</v>
      </c>
    </row>
    <row r="16" customFormat="false" ht="15" hidden="false" customHeight="true" outlineLevel="0" collapsed="false">
      <c r="A16" s="5" t="s">
        <v>155</v>
      </c>
      <c r="B16" s="5" t="s">
        <v>156</v>
      </c>
      <c r="C16" s="6" t="n">
        <v>13960</v>
      </c>
      <c r="D16" s="6" t="n">
        <v>16428.12</v>
      </c>
      <c r="E16" s="10" t="n">
        <f aca="false">C16-D16</f>
        <v>-2468.12</v>
      </c>
      <c r="F16" s="23" t="n">
        <f aca="false">IFERROR((D16-C16)/C16,0)</f>
        <v>0.176799426934097</v>
      </c>
      <c r="G16" s="25" t="str">
        <f aca="false">IF(C16=0,"UNBUDGETED",IF(F16&gt;0.5,"CRITICAL",IF(F16&gt;0.1,"OVER",IF(F16&lt;-0.1,"UNDER","ON"))))</f>
        <v>OVER</v>
      </c>
    </row>
    <row r="17" customFormat="false" ht="15" hidden="false" customHeight="true" outlineLevel="0" collapsed="false">
      <c r="A17" s="5" t="s">
        <v>157</v>
      </c>
      <c r="B17" s="5" t="s">
        <v>158</v>
      </c>
      <c r="C17" s="6" t="n">
        <v>11566</v>
      </c>
      <c r="D17" s="6" t="n">
        <v>4845.32</v>
      </c>
      <c r="E17" s="10" t="n">
        <f aca="false">C17-D17</f>
        <v>6720.68</v>
      </c>
      <c r="F17" s="23" t="n">
        <f aca="false">IFERROR((D17-C17)/C17,0)</f>
        <v>-0.581072107902473</v>
      </c>
      <c r="G17" s="25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159</v>
      </c>
      <c r="B18" s="5" t="s">
        <v>160</v>
      </c>
      <c r="C18" s="6" t="n">
        <v>44540</v>
      </c>
      <c r="D18" s="6" t="n">
        <v>32023.13</v>
      </c>
      <c r="E18" s="10" t="n">
        <f aca="false">C18-D18</f>
        <v>12516.87</v>
      </c>
      <c r="F18" s="23" t="n">
        <f aca="false">IFERROR((D18-C18)/C18,0)</f>
        <v>-0.281025370453525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161</v>
      </c>
      <c r="B19" s="5" t="s">
        <v>162</v>
      </c>
      <c r="C19" s="6" t="n">
        <v>169208</v>
      </c>
      <c r="D19" s="6" t="n">
        <v>150779.38</v>
      </c>
      <c r="E19" s="10" t="n">
        <f aca="false">C19-D19</f>
        <v>18428.62</v>
      </c>
      <c r="F19" s="23" t="n">
        <f aca="false">IFERROR((D19-C19)/C19,0)</f>
        <v>-0.108911044395064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163</v>
      </c>
      <c r="B20" s="5" t="s">
        <v>164</v>
      </c>
      <c r="C20" s="6" t="n">
        <v>11250</v>
      </c>
      <c r="D20" s="6" t="n">
        <v>3600.92</v>
      </c>
      <c r="E20" s="10" t="n">
        <f aca="false">C20-D20</f>
        <v>7649.08</v>
      </c>
      <c r="F20" s="23" t="n">
        <f aca="false">IFERROR((D20-C20)/C20,0)</f>
        <v>-0.679918222222222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165</v>
      </c>
      <c r="B21" s="5" t="s">
        <v>166</v>
      </c>
      <c r="C21" s="6" t="n">
        <v>30640</v>
      </c>
      <c r="D21" s="6" t="n">
        <v>16093.43</v>
      </c>
      <c r="E21" s="10" t="n">
        <f aca="false">C21-D21</f>
        <v>14546.57</v>
      </c>
      <c r="F21" s="23" t="n">
        <f aca="false">IFERROR((D21-C21)/C21,0)</f>
        <v>-0.474757506527415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167</v>
      </c>
      <c r="B22" s="5" t="s">
        <v>168</v>
      </c>
      <c r="C22" s="6" t="n">
        <v>15000</v>
      </c>
      <c r="D22" s="6" t="n">
        <v>17680.02</v>
      </c>
      <c r="E22" s="10" t="n">
        <f aca="false">C22-D22</f>
        <v>-2680.02</v>
      </c>
      <c r="F22" s="23" t="n">
        <f aca="false">IFERROR((D22-C22)/C22,0)</f>
        <v>0.178668</v>
      </c>
      <c r="G22" s="25" t="str">
        <f aca="false">IF(C22=0,"UNBUDGETED",IF(F22&gt;0.5,"CRITICAL",IF(F22&gt;0.1,"OVER",IF(F22&lt;-0.1,"UNDER","ON"))))</f>
        <v>OVER</v>
      </c>
    </row>
    <row r="23" customFormat="false" ht="15" hidden="false" customHeight="true" outlineLevel="0" collapsed="false">
      <c r="A23" s="5" t="s">
        <v>169</v>
      </c>
      <c r="B23" s="5" t="s">
        <v>170</v>
      </c>
      <c r="C23" s="6" t="n">
        <v>1000</v>
      </c>
      <c r="D23" s="6" t="n">
        <v>5000</v>
      </c>
      <c r="E23" s="10" t="n">
        <f aca="false">C23-D23</f>
        <v>-4000</v>
      </c>
      <c r="F23" s="23" t="n">
        <f aca="false">IFERROR((D23-C23)/C23,0)</f>
        <v>4</v>
      </c>
      <c r="G23" s="25" t="str">
        <f aca="false">IF(C23=0,"UNBUDGETED",IF(F23&gt;0.5,"CRITICAL",IF(F23&gt;0.1,"OVER",IF(F23&lt;-0.1,"UNDER","ON"))))</f>
        <v>CRITICAL</v>
      </c>
    </row>
    <row r="24" customFormat="false" ht="15" hidden="false" customHeight="true" outlineLevel="0" collapsed="false">
      <c r="A24" s="5" t="s">
        <v>171</v>
      </c>
      <c r="B24" s="5" t="s">
        <v>172</v>
      </c>
      <c r="C24" s="6" t="n">
        <v>30000</v>
      </c>
      <c r="D24" s="6" t="n">
        <v>19206.32</v>
      </c>
      <c r="E24" s="10" t="n">
        <f aca="false">C24-D24</f>
        <v>10793.68</v>
      </c>
      <c r="F24" s="23" t="n">
        <f aca="false">IFERROR((D24-C24)/C24,0)</f>
        <v>-0.359789333333333</v>
      </c>
      <c r="G24" s="25" t="str">
        <f aca="false">IF(C24=0,"UNBUDGETED",IF(F24&gt;0.5,"CRITICAL",IF(F24&gt;0.1,"OVER",IF(F24&lt;-0.1,"UNDER","ON"))))</f>
        <v>UNDER</v>
      </c>
    </row>
    <row r="25" customFormat="false" ht="15" hidden="false" customHeight="true" outlineLevel="0" collapsed="false">
      <c r="A25" s="5" t="s">
        <v>173</v>
      </c>
      <c r="B25" s="5" t="s">
        <v>174</v>
      </c>
      <c r="C25" s="6" t="n">
        <v>600</v>
      </c>
      <c r="D25" s="6" t="n">
        <v>624.67</v>
      </c>
      <c r="E25" s="10" t="n">
        <f aca="false">C25-D25</f>
        <v>-24.67</v>
      </c>
      <c r="F25" s="23" t="n">
        <f aca="false">IFERROR((D25-C25)/C25,0)</f>
        <v>0.0411166666666666</v>
      </c>
      <c r="G25" s="25" t="str">
        <f aca="false">IF(C25=0,"UNBUDGETED",IF(F25&gt;0.5,"CRITICAL",IF(F25&gt;0.1,"OVER",IF(F25&lt;-0.1,"UNDER","ON"))))</f>
        <v>ON</v>
      </c>
    </row>
    <row r="26" customFormat="false" ht="15" hidden="false" customHeight="true" outlineLevel="0" collapsed="false">
      <c r="A26" s="5" t="s">
        <v>175</v>
      </c>
      <c r="B26" s="5" t="s">
        <v>176</v>
      </c>
      <c r="C26" s="6" t="n">
        <v>8858</v>
      </c>
      <c r="D26" s="6" t="n">
        <v>4751</v>
      </c>
      <c r="E26" s="10" t="n">
        <f aca="false">C26-D26</f>
        <v>4107</v>
      </c>
      <c r="F26" s="23" t="n">
        <f aca="false">IFERROR((D26-C26)/C26,0)</f>
        <v>-0.463648679160081</v>
      </c>
      <c r="G26" s="25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177</v>
      </c>
      <c r="B27" s="5" t="s">
        <v>178</v>
      </c>
      <c r="C27" s="6" t="n">
        <v>7000</v>
      </c>
      <c r="D27" s="6" t="n">
        <v>9064.4</v>
      </c>
      <c r="E27" s="10" t="n">
        <f aca="false">C27-D27</f>
        <v>-2064.4</v>
      </c>
      <c r="F27" s="23" t="n">
        <f aca="false">IFERROR((D27-C27)/C27,0)</f>
        <v>0.294914285714286</v>
      </c>
      <c r="G27" s="25" t="str">
        <f aca="false">IF(C27=0,"UNBUDGETED",IF(F27&gt;0.5,"CRITICAL",IF(F27&gt;0.1,"OVER",IF(F27&lt;-0.1,"UNDER","ON"))))</f>
        <v>OVER</v>
      </c>
    </row>
    <row r="28" customFormat="false" ht="15" hidden="false" customHeight="true" outlineLevel="0" collapsed="false">
      <c r="A28" s="5" t="s">
        <v>179</v>
      </c>
      <c r="B28" s="5" t="s">
        <v>180</v>
      </c>
      <c r="C28" s="6" t="n">
        <v>103591.8</v>
      </c>
      <c r="D28" s="6" t="n">
        <v>117712.31</v>
      </c>
      <c r="E28" s="10" t="n">
        <f aca="false">C28-D28</f>
        <v>-14120.51</v>
      </c>
      <c r="F28" s="23" t="n">
        <f aca="false">IFERROR((D28-C28)/C28,0)</f>
        <v>0.136309148021368</v>
      </c>
      <c r="G28" s="25" t="str">
        <f aca="false">IF(C28=0,"UNBUDGETED",IF(F28&gt;0.5,"CRITICAL",IF(F28&gt;0.1,"OVER",IF(F28&lt;-0.1,"UNDER","ON"))))</f>
        <v>OVER</v>
      </c>
    </row>
    <row r="29" customFormat="false" ht="15" hidden="false" customHeight="true" outlineLevel="0" collapsed="false">
      <c r="A29" s="5" t="s">
        <v>181</v>
      </c>
      <c r="B29" s="5" t="s">
        <v>182</v>
      </c>
      <c r="C29" s="6" t="n">
        <v>17610.62</v>
      </c>
      <c r="D29" s="6" t="n">
        <v>21237</v>
      </c>
      <c r="E29" s="10" t="n">
        <f aca="false">C29-D29</f>
        <v>-3626.38</v>
      </c>
      <c r="F29" s="23" t="n">
        <f aca="false">IFERROR((D29-C29)/C29,0)</f>
        <v>0.205920064143114</v>
      </c>
      <c r="G29" s="25" t="str">
        <f aca="false">IF(C29=0,"UNBUDGETED",IF(F29&gt;0.5,"CRITICAL",IF(F29&gt;0.1,"OVER",IF(F29&lt;-0.1,"UNDER","ON"))))</f>
        <v>OVER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195</v>
      </c>
    </row>
    <row r="3" customFormat="false" ht="15" hidden="false" customHeight="true" outlineLevel="0" collapsed="false">
      <c r="A3" s="22" t="s">
        <v>196</v>
      </c>
      <c r="B3" s="22" t="s">
        <v>197</v>
      </c>
      <c r="C3" s="22" t="s">
        <v>198</v>
      </c>
      <c r="D3" s="22" t="s">
        <v>199</v>
      </c>
    </row>
    <row r="4" customFormat="false" ht="15" hidden="false" customHeight="true" outlineLevel="0" collapsed="false">
      <c r="A4" s="5" t="s">
        <v>200</v>
      </c>
      <c r="B4" s="6" t="n">
        <v>52512.17</v>
      </c>
      <c r="C4" s="5" t="n">
        <v>57</v>
      </c>
      <c r="D4" s="23" t="n">
        <f aca="false">IFERROR(B4/SUM(B$4:B$15),0)</f>
        <v>0.224660807644261</v>
      </c>
    </row>
    <row r="5" customFormat="false" ht="15" hidden="false" customHeight="true" outlineLevel="0" collapsed="false">
      <c r="A5" s="5" t="s">
        <v>201</v>
      </c>
      <c r="B5" s="6" t="n">
        <v>52411.12</v>
      </c>
      <c r="C5" s="5" t="n">
        <v>13</v>
      </c>
      <c r="D5" s="23" t="n">
        <f aca="false">IFERROR(B5/SUM(B$4:B$15),0)</f>
        <v>0.224228489295725</v>
      </c>
    </row>
    <row r="6" customFormat="false" ht="15" hidden="false" customHeight="true" outlineLevel="0" collapsed="false">
      <c r="A6" s="5" t="s">
        <v>202</v>
      </c>
      <c r="B6" s="6" t="n">
        <v>37617.22</v>
      </c>
      <c r="C6" s="5" t="n">
        <v>2</v>
      </c>
      <c r="D6" s="23" t="n">
        <f aca="false">IFERROR(B6/SUM(B$4:B$15),0)</f>
        <v>0.160936312982911</v>
      </c>
    </row>
    <row r="7" customFormat="false" ht="15" hidden="false" customHeight="true" outlineLevel="0" collapsed="false">
      <c r="A7" s="5" t="s">
        <v>203</v>
      </c>
      <c r="B7" s="6" t="n">
        <v>21829</v>
      </c>
      <c r="C7" s="5" t="n">
        <v>2</v>
      </c>
      <c r="D7" s="23" t="n">
        <f aca="false">IFERROR(B7/SUM(B$4:B$15),0)</f>
        <v>0.0933901754596425</v>
      </c>
    </row>
    <row r="8" customFormat="false" ht="15" hidden="false" customHeight="true" outlineLevel="0" collapsed="false">
      <c r="A8" s="5" t="s">
        <v>204</v>
      </c>
      <c r="B8" s="6" t="n">
        <v>18946</v>
      </c>
      <c r="C8" s="5" t="n">
        <v>21</v>
      </c>
      <c r="D8" s="23" t="n">
        <f aca="false">IFERROR(B8/SUM(B$4:B$15),0)</f>
        <v>0.081055946871519</v>
      </c>
    </row>
    <row r="9" customFormat="false" ht="15" hidden="false" customHeight="true" outlineLevel="0" collapsed="false">
      <c r="A9" s="5" t="s">
        <v>205</v>
      </c>
      <c r="B9" s="6" t="n">
        <v>18537.75</v>
      </c>
      <c r="C9" s="5" t="n">
        <v>8</v>
      </c>
      <c r="D9" s="23" t="n">
        <f aca="false">IFERROR(B9/SUM(B$4:B$15),0)</f>
        <v>0.0793093465173388</v>
      </c>
    </row>
    <row r="10" customFormat="false" ht="15" hidden="false" customHeight="true" outlineLevel="0" collapsed="false">
      <c r="A10" s="5" t="s">
        <v>206</v>
      </c>
      <c r="B10" s="6" t="n">
        <v>14445.44</v>
      </c>
      <c r="C10" s="5" t="n">
        <v>36</v>
      </c>
      <c r="D10" s="23" t="n">
        <f aca="false">IFERROR(B10/SUM(B$4:B$15),0)</f>
        <v>0.0618013732278959</v>
      </c>
    </row>
    <row r="11" customFormat="false" ht="15" hidden="false" customHeight="true" outlineLevel="0" collapsed="false">
      <c r="A11" s="5" t="s">
        <v>207</v>
      </c>
      <c r="B11" s="6" t="n">
        <v>11224.38</v>
      </c>
      <c r="C11" s="5" t="n">
        <v>7</v>
      </c>
      <c r="D11" s="23" t="n">
        <f aca="false">IFERROR(B11/SUM(B$4:B$15),0)</f>
        <v>0.0480208354769207</v>
      </c>
    </row>
    <row r="12" customFormat="false" ht="15" hidden="false" customHeight="true" outlineLevel="0" collapsed="false">
      <c r="A12" s="5" t="s">
        <v>208</v>
      </c>
      <c r="B12" s="6" t="n">
        <v>5000</v>
      </c>
      <c r="C12" s="5" t="n">
        <v>1</v>
      </c>
      <c r="D12" s="23" t="n">
        <f aca="false">IFERROR(B12/SUM(B$4:B$15),0)</f>
        <v>0.0213913086856115</v>
      </c>
    </row>
    <row r="13" customFormat="false" ht="15" hidden="false" customHeight="true" outlineLevel="0" collapsed="false">
      <c r="A13" s="5" t="s">
        <v>209</v>
      </c>
      <c r="B13" s="6" t="n">
        <v>624.67</v>
      </c>
      <c r="C13" s="5" t="n">
        <v>2</v>
      </c>
      <c r="D13" s="23" t="n">
        <f aca="false">IFERROR(B13/SUM(B$4:B$15),0)</f>
        <v>0.00267250175932818</v>
      </c>
    </row>
    <row r="14" customFormat="false" ht="15" hidden="false" customHeight="true" outlineLevel="0" collapsed="false">
      <c r="A14" s="5" t="s">
        <v>210</v>
      </c>
      <c r="B14" s="6" t="n">
        <v>464.14</v>
      </c>
      <c r="C14" s="5" t="n">
        <v>3</v>
      </c>
      <c r="D14" s="23" t="n">
        <f aca="false">IFERROR(B14/SUM(B$4:B$15),0)</f>
        <v>0.00198571240266794</v>
      </c>
    </row>
    <row r="15" customFormat="false" ht="15" hidden="false" customHeight="true" outlineLevel="0" collapsed="false">
      <c r="A15" s="5" t="s">
        <v>211</v>
      </c>
      <c r="B15" s="6" t="n">
        <v>127.9</v>
      </c>
      <c r="C15" s="5" t="n">
        <v>1</v>
      </c>
      <c r="D15" s="23" t="n">
        <f aca="false">IFERROR(B15/SUM(B$4:B$15),0)</f>
        <v>0.000547189676177941</v>
      </c>
    </row>
    <row r="16" customFormat="false" ht="15" hidden="false" customHeight="true" outlineLevel="0" collapsed="false">
      <c r="A16" s="13" t="s">
        <v>212</v>
      </c>
      <c r="B16" s="7" t="n">
        <f aca="false">SUM(B4:B15)</f>
        <v>233739.79</v>
      </c>
      <c r="C16" s="26" t="n">
        <f aca="false">SUM(C4:C15)</f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213</v>
      </c>
    </row>
    <row r="3" customFormat="false" ht="15" hidden="false" customHeight="true" outlineLevel="0" collapsed="false">
      <c r="A3" s="22" t="s">
        <v>214</v>
      </c>
      <c r="B3" s="22" t="s">
        <v>215</v>
      </c>
      <c r="C3" s="22" t="s">
        <v>216</v>
      </c>
      <c r="D3" s="22" t="s">
        <v>217</v>
      </c>
      <c r="E3" s="22" t="s">
        <v>218</v>
      </c>
    </row>
    <row r="4" customFormat="false" ht="15" hidden="false" customHeight="true" outlineLevel="0" collapsed="false">
      <c r="A4" s="5" t="s">
        <v>219</v>
      </c>
      <c r="B4" s="27" t="n">
        <v>1259</v>
      </c>
      <c r="C4" s="6" t="n">
        <v>46735</v>
      </c>
      <c r="D4" s="28" t="n">
        <f aca="false">IFERROR(C4/B4,0)</f>
        <v>37.1207307386815</v>
      </c>
      <c r="E4" s="5" t="s">
        <v>220</v>
      </c>
    </row>
    <row r="5" customFormat="false" ht="15" hidden="false" customHeight="true" outlineLevel="0" collapsed="false">
      <c r="A5" s="5" t="s">
        <v>221</v>
      </c>
      <c r="B5" s="27" t="n">
        <v>1113</v>
      </c>
      <c r="C5" s="6" t="n">
        <v>53117</v>
      </c>
      <c r="D5" s="28" t="n">
        <f aca="false">IFERROR(C5/B5,0)</f>
        <v>47.7241689128482</v>
      </c>
      <c r="E5" s="5" t="s">
        <v>220</v>
      </c>
    </row>
    <row r="6" customFormat="false" ht="15" hidden="false" customHeight="true" outlineLevel="0" collapsed="false">
      <c r="A6" s="5" t="s">
        <v>222</v>
      </c>
      <c r="B6" s="27" t="n">
        <v>1050</v>
      </c>
      <c r="C6" s="6" t="n">
        <v>30453</v>
      </c>
      <c r="D6" s="28" t="n">
        <f aca="false">IFERROR(C6/B6,0)</f>
        <v>29.0028571428571</v>
      </c>
      <c r="E6" s="5" t="s">
        <v>223</v>
      </c>
    </row>
    <row r="7" customFormat="false" ht="15" hidden="false" customHeight="true" outlineLevel="0" collapsed="false">
      <c r="A7" s="5" t="s">
        <v>224</v>
      </c>
      <c r="B7" s="27" t="n">
        <v>1021</v>
      </c>
      <c r="C7" s="6" t="n">
        <v>16936</v>
      </c>
      <c r="D7" s="28" t="n">
        <f aca="false">IFERROR(C7/B7,0)</f>
        <v>16.5876591576885</v>
      </c>
      <c r="E7" s="5" t="s">
        <v>225</v>
      </c>
    </row>
    <row r="8" customFormat="false" ht="15" hidden="false" customHeight="true" outlineLevel="0" collapsed="false">
      <c r="A8" s="5" t="s">
        <v>226</v>
      </c>
      <c r="B8" s="27" t="n">
        <v>931</v>
      </c>
      <c r="C8" s="6" t="n">
        <v>25069</v>
      </c>
      <c r="D8" s="28" t="n">
        <f aca="false">IFERROR(C8/B8,0)</f>
        <v>26.9269602577873</v>
      </c>
      <c r="E8" s="5" t="s">
        <v>223</v>
      </c>
    </row>
    <row r="9" customFormat="false" ht="15" hidden="false" customHeight="true" outlineLevel="0" collapsed="false">
      <c r="A9" s="5" t="s">
        <v>227</v>
      </c>
      <c r="B9" s="27" t="n">
        <v>784</v>
      </c>
      <c r="C9" s="6" t="n">
        <v>14112</v>
      </c>
      <c r="D9" s="28" t="n">
        <f aca="false">IFERROR(C9/B9,0)</f>
        <v>18</v>
      </c>
      <c r="E9" s="5" t="s">
        <v>225</v>
      </c>
    </row>
    <row r="10" customFormat="false" ht="15" hidden="false" customHeight="true" outlineLevel="0" collapsed="false">
      <c r="A10" s="5" t="s">
        <v>228</v>
      </c>
      <c r="B10" s="27" t="n">
        <v>776</v>
      </c>
      <c r="C10" s="6" t="n">
        <v>23264</v>
      </c>
      <c r="D10" s="28" t="n">
        <f aca="false">IFERROR(C10/B10,0)</f>
        <v>29.979381443299</v>
      </c>
      <c r="E10" s="5" t="s">
        <v>223</v>
      </c>
    </row>
    <row r="11" customFormat="false" ht="15" hidden="false" customHeight="true" outlineLevel="0" collapsed="false">
      <c r="A11" s="5" t="s">
        <v>229</v>
      </c>
      <c r="B11" s="27" t="n">
        <v>372</v>
      </c>
      <c r="C11" s="6" t="n">
        <v>9300</v>
      </c>
      <c r="D11" s="28" t="n">
        <f aca="false">IFERROR(C11/B11,0)</f>
        <v>25</v>
      </c>
      <c r="E11" s="5" t="s">
        <v>223</v>
      </c>
    </row>
    <row r="12" customFormat="false" ht="15" hidden="false" customHeight="true" outlineLevel="0" collapsed="false">
      <c r="A12" s="5" t="s">
        <v>230</v>
      </c>
      <c r="B12" s="27" t="n">
        <v>278.5</v>
      </c>
      <c r="C12" s="6" t="n">
        <v>9748</v>
      </c>
      <c r="D12" s="28" t="n">
        <f aca="false">IFERROR(C12/B12,0)</f>
        <v>35.0017953321364</v>
      </c>
      <c r="E12" s="5" t="s">
        <v>223</v>
      </c>
    </row>
    <row r="13" customFormat="false" ht="15" hidden="false" customHeight="true" outlineLevel="0" collapsed="false">
      <c r="A13" s="5" t="s">
        <v>231</v>
      </c>
      <c r="B13" s="27" t="n">
        <v>225.5</v>
      </c>
      <c r="C13" s="6" t="n">
        <v>12177</v>
      </c>
      <c r="D13" s="28" t="n">
        <f aca="false">IFERROR(C13/B13,0)</f>
        <v>54</v>
      </c>
      <c r="E13" s="5" t="s">
        <v>220</v>
      </c>
    </row>
    <row r="14" customFormat="false" ht="15" hidden="false" customHeight="true" outlineLevel="0" collapsed="false">
      <c r="A14" s="5" t="s">
        <v>232</v>
      </c>
      <c r="B14" s="27" t="n">
        <v>190</v>
      </c>
      <c r="C14" s="6" t="n">
        <v>6080</v>
      </c>
      <c r="D14" s="28" t="n">
        <f aca="false">IFERROR(C14/B14,0)</f>
        <v>32</v>
      </c>
      <c r="E14" s="5" t="s">
        <v>223</v>
      </c>
    </row>
    <row r="15" customFormat="false" ht="15" hidden="false" customHeight="true" outlineLevel="0" collapsed="false">
      <c r="A15" s="5" t="s">
        <v>233</v>
      </c>
      <c r="B15" s="27" t="n">
        <v>163</v>
      </c>
      <c r="C15" s="6" t="n">
        <v>2771</v>
      </c>
      <c r="D15" s="28" t="n">
        <f aca="false">IFERROR(C15/B15,0)</f>
        <v>17</v>
      </c>
      <c r="E15" s="5" t="s">
        <v>225</v>
      </c>
    </row>
    <row r="16" customFormat="false" ht="15" hidden="false" customHeight="true" outlineLevel="0" collapsed="false">
      <c r="A16" s="5" t="s">
        <v>234</v>
      </c>
      <c r="B16" s="27" t="n">
        <v>152</v>
      </c>
      <c r="C16" s="6" t="n">
        <v>4256</v>
      </c>
      <c r="D16" s="28" t="n">
        <f aca="false">IFERROR(C16/B16,0)</f>
        <v>28</v>
      </c>
      <c r="E16" s="5" t="s">
        <v>223</v>
      </c>
    </row>
    <row r="17" customFormat="false" ht="15" hidden="false" customHeight="true" outlineLevel="0" collapsed="false">
      <c r="A17" s="5" t="s">
        <v>235</v>
      </c>
      <c r="B17" s="27" t="n">
        <v>128</v>
      </c>
      <c r="C17" s="6" t="n">
        <v>2304</v>
      </c>
      <c r="D17" s="28" t="n">
        <f aca="false">IFERROR(C17/B17,0)</f>
        <v>18</v>
      </c>
      <c r="E17" s="5" t="s">
        <v>225</v>
      </c>
    </row>
    <row r="18" customFormat="false" ht="15" hidden="false" customHeight="true" outlineLevel="0" collapsed="false">
      <c r="A18" s="5" t="s">
        <v>236</v>
      </c>
      <c r="B18" s="27" t="n">
        <v>104.5</v>
      </c>
      <c r="C18" s="6" t="n">
        <v>5551</v>
      </c>
      <c r="D18" s="28" t="n">
        <f aca="false">IFERROR(C18/B18,0)</f>
        <v>53.1196172248804</v>
      </c>
      <c r="E18" s="5" t="s">
        <v>220</v>
      </c>
    </row>
    <row r="19" customFormat="false" ht="15" hidden="false" customHeight="true" outlineLevel="0" collapsed="false">
      <c r="A19" s="5" t="s">
        <v>237</v>
      </c>
      <c r="B19" s="27" t="n">
        <v>79.5</v>
      </c>
      <c r="C19" s="6" t="n">
        <v>4416</v>
      </c>
      <c r="D19" s="28" t="n">
        <f aca="false">IFERROR(C19/B19,0)</f>
        <v>55.5471698113208</v>
      </c>
      <c r="E19" s="5" t="s">
        <v>220</v>
      </c>
    </row>
    <row r="20" customFormat="false" ht="15" hidden="false" customHeight="true" outlineLevel="0" collapsed="false">
      <c r="A20" s="5" t="s">
        <v>238</v>
      </c>
      <c r="B20" s="27" t="n">
        <v>71</v>
      </c>
      <c r="C20" s="6" t="n">
        <v>2388</v>
      </c>
      <c r="D20" s="28" t="n">
        <f aca="false">IFERROR(C20/B20,0)</f>
        <v>33.6338028169014</v>
      </c>
      <c r="E20" s="5" t="s">
        <v>223</v>
      </c>
    </row>
    <row r="21" customFormat="false" ht="15" hidden="false" customHeight="true" outlineLevel="0" collapsed="false">
      <c r="A21" s="5" t="s">
        <v>239</v>
      </c>
      <c r="B21" s="27" t="n">
        <v>67.5</v>
      </c>
      <c r="C21" s="6" t="n">
        <v>3501</v>
      </c>
      <c r="D21" s="28" t="n">
        <f aca="false">IFERROR(C21/B21,0)</f>
        <v>51.8666666666667</v>
      </c>
      <c r="E21" s="5" t="s">
        <v>220</v>
      </c>
    </row>
    <row r="22" customFormat="false" ht="15" hidden="false" customHeight="true" outlineLevel="0" collapsed="false">
      <c r="A22" s="5" t="s">
        <v>240</v>
      </c>
      <c r="B22" s="27" t="n">
        <v>56</v>
      </c>
      <c r="C22" s="6" t="n">
        <v>3500</v>
      </c>
      <c r="D22" s="28" t="n">
        <f aca="false">IFERROR(C22/B22,0)</f>
        <v>62.5</v>
      </c>
      <c r="E22" s="5" t="s">
        <v>220</v>
      </c>
    </row>
    <row r="23" customFormat="false" ht="15" hidden="false" customHeight="true" outlineLevel="0" collapsed="false">
      <c r="A23" s="5" t="s">
        <v>241</v>
      </c>
      <c r="B23" s="27" t="n">
        <v>35</v>
      </c>
      <c r="C23" s="6" t="n">
        <v>1345</v>
      </c>
      <c r="D23" s="28" t="n">
        <f aca="false">IFERROR(C23/B23,0)</f>
        <v>38.4285714285714</v>
      </c>
      <c r="E23" s="5" t="s">
        <v>220</v>
      </c>
    </row>
    <row r="24" customFormat="false" ht="15" hidden="false" customHeight="true" outlineLevel="0" collapsed="false">
      <c r="A24" s="5" t="s">
        <v>242</v>
      </c>
      <c r="B24" s="27" t="n">
        <v>12</v>
      </c>
      <c r="C24" s="6" t="n">
        <v>325</v>
      </c>
      <c r="D24" s="28" t="n">
        <f aca="false">IFERROR(C24/B24,0)</f>
        <v>27.0833333333333</v>
      </c>
      <c r="E24" s="5" t="s">
        <v>223</v>
      </c>
    </row>
    <row r="25" customFormat="false" ht="15" hidden="false" customHeight="true" outlineLevel="0" collapsed="false">
      <c r="A25" s="5" t="s">
        <v>243</v>
      </c>
      <c r="B25" s="27" t="n">
        <v>8</v>
      </c>
      <c r="C25" s="6" t="n">
        <v>120</v>
      </c>
      <c r="D25" s="28" t="n">
        <f aca="false">IFERROR(C25/B25,0)</f>
        <v>15</v>
      </c>
      <c r="E25" s="5" t="s">
        <v>225</v>
      </c>
    </row>
    <row r="26" customFormat="false" ht="15" hidden="false" customHeight="true" outlineLevel="0" collapsed="false">
      <c r="A26" s="5" t="s">
        <v>244</v>
      </c>
      <c r="B26" s="27" t="n">
        <v>4</v>
      </c>
      <c r="C26" s="6" t="n">
        <v>68</v>
      </c>
      <c r="D26" s="28" t="n">
        <f aca="false">IFERROR(C26/B26,0)</f>
        <v>17</v>
      </c>
      <c r="E26" s="5" t="s">
        <v>225</v>
      </c>
    </row>
    <row r="27" customFormat="false" ht="15" hidden="false" customHeight="true" outlineLevel="0" collapsed="false">
      <c r="A27" s="5" t="s">
        <v>245</v>
      </c>
      <c r="B27" s="27" t="n">
        <v>4</v>
      </c>
      <c r="C27" s="6" t="n">
        <v>72</v>
      </c>
      <c r="D27" s="28" t="n">
        <f aca="false">IFERROR(C27/B27,0)</f>
        <v>18</v>
      </c>
      <c r="E27" s="5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246</v>
      </c>
    </row>
    <row r="3" customFormat="false" ht="15" hidden="false" customHeight="true" outlineLevel="0" collapsed="false">
      <c r="A3" s="22" t="s">
        <v>218</v>
      </c>
      <c r="B3" s="22" t="s">
        <v>247</v>
      </c>
      <c r="C3" s="22" t="s">
        <v>215</v>
      </c>
      <c r="D3" s="22" t="s">
        <v>216</v>
      </c>
      <c r="E3" s="22" t="s">
        <v>248</v>
      </c>
    </row>
    <row r="4" customFormat="false" ht="15" hidden="false" customHeight="true" outlineLevel="0" collapsed="false">
      <c r="A4" s="13" t="s">
        <v>220</v>
      </c>
      <c r="B4" s="5" t="n">
        <v>8</v>
      </c>
      <c r="C4" s="27" t="n">
        <v>2940</v>
      </c>
      <c r="D4" s="6" t="n">
        <v>130342</v>
      </c>
      <c r="E4" s="23" t="n">
        <f aca="false">IFERROR(C4/SUM(C$4:C$7),0)</f>
        <v>0.330913388485565</v>
      </c>
    </row>
    <row r="5" customFormat="false" ht="15" hidden="false" customHeight="true" outlineLevel="0" collapsed="false">
      <c r="A5" s="13" t="s">
        <v>223</v>
      </c>
      <c r="B5" s="5" t="n">
        <v>9</v>
      </c>
      <c r="C5" s="27" t="n">
        <v>3832.5</v>
      </c>
      <c r="D5" s="6" t="n">
        <v>110882</v>
      </c>
      <c r="E5" s="23" t="n">
        <f aca="false">IFERROR(C5/SUM(C$4:C$7),0)</f>
        <v>0.43136923856154</v>
      </c>
    </row>
    <row r="6" customFormat="false" ht="15" hidden="false" customHeight="true" outlineLevel="0" collapsed="false">
      <c r="A6" s="13" t="s">
        <v>225</v>
      </c>
      <c r="B6" s="5" t="n">
        <v>7</v>
      </c>
      <c r="C6" s="27" t="n">
        <v>2112</v>
      </c>
      <c r="D6" s="6" t="n">
        <v>36383</v>
      </c>
      <c r="E6" s="23" t="n">
        <f aca="false">IFERROR(C6/SUM(C$4:C$7),0)</f>
        <v>0.237717372952896</v>
      </c>
    </row>
    <row r="7" customFormat="false" ht="15" hidden="false" customHeight="true" outlineLevel="0" collapsed="false">
      <c r="A7" s="13" t="s">
        <v>249</v>
      </c>
      <c r="B7" s="5" t="n">
        <v>0</v>
      </c>
      <c r="C7" s="27" t="n">
        <v>0</v>
      </c>
      <c r="D7" s="6" t="n">
        <v>0</v>
      </c>
      <c r="E7" s="23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250</v>
      </c>
    </row>
    <row r="3" customFormat="false" ht="15" hidden="false" customHeight="true" outlineLevel="0" collapsed="false">
      <c r="A3" s="5" t="s">
        <v>251</v>
      </c>
      <c r="B3" s="27" t="n">
        <v>8884</v>
      </c>
    </row>
    <row r="4" customFormat="false" ht="15" hidden="false" customHeight="true" outlineLevel="0" collapsed="false">
      <c r="A4" s="5" t="s">
        <v>252</v>
      </c>
      <c r="B4" s="29" t="n">
        <v>24</v>
      </c>
    </row>
    <row r="5" customFormat="false" ht="15" hidden="false" customHeight="true" outlineLevel="0" collapsed="false">
      <c r="A5" s="5" t="s">
        <v>253</v>
      </c>
      <c r="B5" s="27" t="n">
        <v>116.9</v>
      </c>
    </row>
    <row r="6" customFormat="false" ht="15" hidden="false" customHeight="true" outlineLevel="0" collapsed="false">
      <c r="A6" s="5" t="s">
        <v>254</v>
      </c>
      <c r="B6" s="30" t="n">
        <v>108.23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255</v>
      </c>
    </row>
    <row r="3" customFormat="false" ht="15" hidden="false" customHeight="true" outlineLevel="0" collapsed="false">
      <c r="A3" s="22" t="s">
        <v>256</v>
      </c>
      <c r="B3" s="22" t="s">
        <v>257</v>
      </c>
      <c r="C3" s="22" t="s">
        <v>258</v>
      </c>
      <c r="D3" s="22" t="s">
        <v>107</v>
      </c>
    </row>
    <row r="4" customFormat="false" ht="15" hidden="false" customHeight="true" outlineLevel="0" collapsed="false">
      <c r="A4" s="5" t="s">
        <v>259</v>
      </c>
      <c r="B4" s="31" t="n">
        <v>0.273460495280566</v>
      </c>
      <c r="C4" s="31" t="n">
        <v>0.34</v>
      </c>
      <c r="D4" s="23" t="n">
        <f aca="false">B4-C4</f>
        <v>-0.066539504719434</v>
      </c>
    </row>
    <row r="5" customFormat="false" ht="15" hidden="false" customHeight="true" outlineLevel="0" collapsed="false">
      <c r="A5" s="5" t="s">
        <v>260</v>
      </c>
      <c r="B5" s="31" t="n">
        <v>0.445865406335251</v>
      </c>
      <c r="C5" s="31" t="n">
        <v>0.45</v>
      </c>
      <c r="D5" s="23" t="n">
        <f aca="false">B5-C5</f>
        <v>-0.004134593664749</v>
      </c>
    </row>
    <row r="6" customFormat="false" ht="15" hidden="false" customHeight="true" outlineLevel="0" collapsed="false">
      <c r="A6" s="5" t="s">
        <v>261</v>
      </c>
      <c r="B6" s="31" t="n">
        <v>0.224660807644261</v>
      </c>
      <c r="C6" s="31" t="n">
        <v>0.38</v>
      </c>
      <c r="D6" s="23" t="n">
        <f aca="false">B6-C6</f>
        <v>-0.155339192355739</v>
      </c>
    </row>
    <row r="7" customFormat="false" ht="15" hidden="false" customHeight="true" outlineLevel="0" collapsed="false">
      <c r="A7" s="5" t="s">
        <v>262</v>
      </c>
      <c r="B7" s="27" t="n">
        <v>116.901315789474</v>
      </c>
      <c r="C7" s="27" t="n">
        <v>95</v>
      </c>
      <c r="D7" s="32" t="n">
        <f aca="false">B7-C7</f>
        <v>21.901315789474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263</v>
      </c>
    </row>
    <row r="3" customFormat="false" ht="15" hidden="false" customHeight="true" outlineLevel="0" collapsed="false">
      <c r="A3" s="22" t="s">
        <v>264</v>
      </c>
      <c r="B3" s="22" t="s">
        <v>126</v>
      </c>
      <c r="C3" s="22" t="s">
        <v>265</v>
      </c>
    </row>
    <row r="4" customFormat="false" ht="15" hidden="false" customHeight="true" outlineLevel="0" collapsed="false">
      <c r="A4" s="5" t="s">
        <v>266</v>
      </c>
      <c r="B4" s="33" t="s">
        <v>267</v>
      </c>
      <c r="C4" s="5" t="s">
        <v>268</v>
      </c>
    </row>
    <row r="5" customFormat="false" ht="15" hidden="false" customHeight="true" outlineLevel="0" collapsed="false">
      <c r="A5" s="5" t="s">
        <v>269</v>
      </c>
      <c r="B5" s="33" t="s">
        <v>267</v>
      </c>
      <c r="C5" s="5" t="s">
        <v>270</v>
      </c>
    </row>
    <row r="6" customFormat="false" ht="15" hidden="false" customHeight="true" outlineLevel="0" collapsed="false">
      <c r="A6" s="5" t="s">
        <v>271</v>
      </c>
      <c r="B6" s="33" t="s">
        <v>267</v>
      </c>
      <c r="C6" s="5" t="s">
        <v>272</v>
      </c>
    </row>
    <row r="7" customFormat="false" ht="15" hidden="false" customHeight="true" outlineLevel="0" collapsed="false">
      <c r="A7" s="5" t="s">
        <v>273</v>
      </c>
      <c r="B7" s="33" t="s">
        <v>267</v>
      </c>
      <c r="C7" s="5" t="s">
        <v>274</v>
      </c>
    </row>
    <row r="8" customFormat="false" ht="15" hidden="false" customHeight="true" outlineLevel="0" collapsed="false">
      <c r="A8" s="5" t="s">
        <v>275</v>
      </c>
      <c r="B8" s="33" t="s">
        <v>267</v>
      </c>
      <c r="C8" s="5" t="s">
        <v>276</v>
      </c>
    </row>
    <row r="9" customFormat="false" ht="15" hidden="false" customHeight="true" outlineLevel="0" collapsed="false">
      <c r="A9" s="5" t="s">
        <v>277</v>
      </c>
      <c r="B9" s="33" t="s">
        <v>267</v>
      </c>
      <c r="C9" s="5" t="s">
        <v>278</v>
      </c>
    </row>
    <row r="10" customFormat="false" ht="15" hidden="false" customHeight="true" outlineLevel="0" collapsed="false">
      <c r="A10" s="5" t="s">
        <v>279</v>
      </c>
      <c r="B10" s="33" t="s">
        <v>267</v>
      </c>
      <c r="C10" s="5" t="s">
        <v>280</v>
      </c>
    </row>
    <row r="11" customFormat="false" ht="15" hidden="false" customHeight="true" outlineLevel="0" collapsed="false">
      <c r="A11" s="5" t="s">
        <v>281</v>
      </c>
      <c r="B11" s="34" t="s">
        <v>282</v>
      </c>
      <c r="C11" s="5" t="s">
        <v>283</v>
      </c>
    </row>
    <row r="12" customFormat="false" ht="15" hidden="false" customHeight="true" outlineLevel="0" collapsed="false">
      <c r="A12" s="5" t="s">
        <v>284</v>
      </c>
      <c r="B12" s="34" t="s">
        <v>282</v>
      </c>
      <c r="C12" s="5" t="s">
        <v>285</v>
      </c>
    </row>
    <row r="13" customFormat="false" ht="15" hidden="false" customHeight="true" outlineLevel="0" collapsed="false">
      <c r="A13" s="5" t="s">
        <v>6</v>
      </c>
      <c r="B13" s="34" t="s">
        <v>282</v>
      </c>
      <c r="C13" s="5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287</v>
      </c>
    </row>
    <row r="3" customFormat="false" ht="15" hidden="false" customHeight="true" outlineLevel="0" collapsed="false">
      <c r="A3" s="22" t="s">
        <v>14</v>
      </c>
      <c r="B3" s="22" t="s">
        <v>288</v>
      </c>
      <c r="C3" s="22" t="s">
        <v>289</v>
      </c>
      <c r="D3" s="22" t="s">
        <v>107</v>
      </c>
    </row>
    <row r="4" customFormat="false" ht="15" hidden="false" customHeight="true" outlineLevel="0" collapsed="false">
      <c r="A4" s="5" t="s">
        <v>290</v>
      </c>
      <c r="B4" s="6" t="n">
        <v>699332.13</v>
      </c>
      <c r="C4" s="6" t="n">
        <v>699332.13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291</v>
      </c>
      <c r="B5" s="6" t="n">
        <v>-961556</v>
      </c>
      <c r="C5" s="6" t="n">
        <v>1037527</v>
      </c>
      <c r="D5" s="10" t="n">
        <f aca="false">IF(ISNUMBER(B5),B5-C5,"—")</f>
        <v>-1999083</v>
      </c>
    </row>
    <row r="6" customFormat="false" ht="15" hidden="false" customHeight="true" outlineLevel="0" collapsed="false">
      <c r="A6" s="5" t="s">
        <v>292</v>
      </c>
      <c r="C6" s="6" t="n">
        <v>233739.79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293</v>
      </c>
      <c r="C7" s="6" t="n">
        <v>416556.81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294</v>
      </c>
      <c r="C8" s="6" t="n">
        <v>125006.53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295</v>
      </c>
    </row>
    <row r="3" customFormat="false" ht="15" hidden="false" customHeight="true" outlineLevel="0" collapsed="false">
      <c r="A3" s="22" t="s">
        <v>256</v>
      </c>
      <c r="B3" s="22" t="s">
        <v>296</v>
      </c>
      <c r="C3" s="22" t="s">
        <v>297</v>
      </c>
    </row>
    <row r="4" customFormat="false" ht="15" hidden="false" customHeight="true" outlineLevel="0" collapsed="false">
      <c r="A4" s="35" t="s">
        <v>259</v>
      </c>
      <c r="B4" s="35" t="s">
        <v>298</v>
      </c>
      <c r="C4" s="35" t="s">
        <v>299</v>
      </c>
    </row>
    <row r="5" customFormat="false" ht="15" hidden="false" customHeight="true" outlineLevel="0" collapsed="false">
      <c r="A5" s="35" t="s">
        <v>12</v>
      </c>
      <c r="B5" s="35" t="s">
        <v>298</v>
      </c>
      <c r="C5" s="35" t="s">
        <v>300</v>
      </c>
    </row>
    <row r="6" customFormat="false" ht="15" hidden="false" customHeight="true" outlineLevel="0" collapsed="false">
      <c r="A6" s="35" t="s">
        <v>301</v>
      </c>
      <c r="B6" s="35" t="s">
        <v>302</v>
      </c>
      <c r="C6" s="35" t="s">
        <v>303</v>
      </c>
    </row>
    <row r="7" customFormat="false" ht="15" hidden="false" customHeight="true" outlineLevel="0" collapsed="false">
      <c r="A7" s="35" t="s">
        <v>261</v>
      </c>
      <c r="B7" s="35" t="s">
        <v>304</v>
      </c>
      <c r="C7" s="35" t="s">
        <v>305</v>
      </c>
    </row>
    <row r="8" customFormat="false" ht="15" hidden="false" customHeight="true" outlineLevel="0" collapsed="false">
      <c r="A8" s="35" t="s">
        <v>262</v>
      </c>
      <c r="B8" s="35" t="s">
        <v>306</v>
      </c>
      <c r="C8" s="35" t="s">
        <v>307</v>
      </c>
    </row>
    <row r="9" customFormat="false" ht="23.25" hidden="false" customHeight="true" outlineLevel="0" collapsed="false">
      <c r="A9" s="35" t="s">
        <v>308</v>
      </c>
      <c r="B9" s="35" t="s">
        <v>309</v>
      </c>
      <c r="C9" s="35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311</v>
      </c>
    </row>
    <row r="3" customFormat="false" ht="15" hidden="false" customHeight="true" outlineLevel="0" collapsed="false">
      <c r="A3" s="22" t="s">
        <v>312</v>
      </c>
      <c r="B3" s="22" t="s">
        <v>313</v>
      </c>
      <c r="C3" s="22" t="s">
        <v>314</v>
      </c>
    </row>
    <row r="4" customFormat="false" ht="15" hidden="false" customHeight="true" outlineLevel="0" collapsed="false">
      <c r="A4" s="5" t="s">
        <v>315</v>
      </c>
      <c r="B4" s="5" t="s">
        <v>316</v>
      </c>
      <c r="C4" s="5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2026-04-26T02:18:35Z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