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<sst xmlns="http://schemas.openxmlformats.org/spreadsheetml/2006/main" count="1644" uniqueCount="986">
  <si>
    <t xml:space="preserve">Job #2012 · Exxel Pacific 8th Ave Apartments</t>
  </si>
  <si>
    <t xml:space="preserve">Cortex JCR Summary  •  Exxel Pacific, Inc.  •  Seattle, WA (4545 8th Ave NE)  •  163-unit 9-story multifamily apartments + ground-floor retail  •  Mar 2013 – Jul 2014 (~17 months)</t>
  </si>
  <si>
    <t xml:space="preserve">PROJECT OVERVIEW</t>
  </si>
  <si>
    <t xml:space="preserve">Project Job #</t>
  </si>
  <si>
    <t xml:space="preserve">2012</t>
  </si>
  <si>
    <t xml:space="preserve">Project Name:</t>
  </si>
  <si>
    <t xml:space="preserve">Exxel Pacific 8th Ave Apartments</t>
  </si>
  <si>
    <t xml:space="preserve">General Contractor</t>
  </si>
  <si>
    <t xml:space="preserve">Exxel Pacific, Inc.</t>
  </si>
  <si>
    <t xml:space="preserve">Location</t>
  </si>
  <si>
    <t xml:space="preserve">Seattle, WA (4545 8th Ave NE)</t>
  </si>
  <si>
    <t xml:space="preserve">Project Duration</t>
  </si>
  <si>
    <t xml:space="preserve">Mar 2013 – Jul 2014 (~17 months)</t>
  </si>
  <si>
    <t xml:space="preserve">Total Unique Documents</t>
  </si>
  <si>
    <t xml:space="preserve">8th Ave folder: Contract (Exxel Pacific + One Way Plumbing), Billing (aggregate + 15 SOVs), PO_s (68 scheduled), Permits (plumbing, gas, boiler, backflow), Change Orders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</si>
  <si>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</si>
  <si>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</si>
  <si>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</si>
  <si>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</si>
  <si>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$1,391,455</t>
  </si>
  <si>
    <t xml:space="preserve">$544,854</t>
  </si>
  <si>
    <t xml:space="preserve">$846,601</t>
  </si>
  <si>
    <t xml:space="preserve">14,607</t>
  </si>
  <si>
    <t xml:space="preserve">Original $1,394,655 + $-3,200 COs</t>
  </si>
  <si>
    <t xml:space="preserve">39.2% margin</t>
  </si>
  <si>
    <t xml:space="preserve">60.8% of revenue</t>
  </si>
  <si>
    <t xml:space="preserve">40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</si>
  <si>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</si>
  <si>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</si>
  <si>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</si>
  <si>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</si>
  <si>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</si>
  <si>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</si>
  <si>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</si>
  <si>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</si>
  <si>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</si>
  <si>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</si>
  <si>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</si>
  <si>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</si>
  <si>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</si>
  <si>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</si>
  <si>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</si>
  <si>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</si>
  <si>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163</t>
  </si>
  <si>
    <t xml:space="preserve">Water Closets</t>
  </si>
  <si>
    <t xml:space="preserve">Lavatories</t>
  </si>
  <si>
    <t xml:space="preserve">Kitchen Sinks</t>
  </si>
  <si>
    <t xml:space="preserve">Dishwashers</t>
  </si>
  <si>
    <t xml:space="preserve">Laundry Washers</t>
  </si>
  <si>
    <t xml:space="preserve">Bathtub/Shower</t>
  </si>
  <si>
    <t xml:space="preserve">Floor Drains</t>
  </si>
  <si>
    <t xml:space="preserve">5</t>
  </si>
  <si>
    <t xml:space="preserve">Roof Drains</t>
  </si>
  <si>
    <t xml:space="preserve">18</t>
  </si>
  <si>
    <t xml:space="preserve">Total Fixtures</t>
  </si>
  <si>
    <t xml:space="preserve">1004</t>
  </si>
  <si>
    <t xml:space="preserve">Fixtures / Unit</t>
  </si>
  <si>
    <t xml:space="preserve">6.16</t>
  </si>
  <si>
    <t xml:space="preserve">Floors</t>
  </si>
  <si>
    <t xml:space="preserve">9 stories + retail</t>
  </si>
  <si>
    <t xml:space="preserve">Duration</t>
  </si>
  <si>
    <t xml:space="preserve">17 mo</t>
  </si>
  <si>
    <t xml:space="preserve">SOURCES</t>
  </si>
  <si>
    <t xml:space="preserve">Job #2012 — Exxel Pacific 8th Ave Apartments  •  GC: Exxel Pacific, Inc.  •  4545 8th Ave NE, Seattle</t>
  </si>
  <si>
    <t xml:space="preserve">Canonical source: 2012 Job Detail Report.pdf (135 pages, OWP Sage Timberline export)</t>
  </si>
  <si>
    <t xml:space="preserve">Cost codes parsed: 30</t>
  </si>
  <si>
    <t xml:space="preserve">Unit count (163) confirmed by plumbing permit SR1335240</t>
  </si>
  <si>
    <t xml:space="preserve">Fixture count (1004) from permit detail: 163 WC + 163 lav + 163 shower + 163 sink + 163 DW + 163 washer + 5 floor drains + 18 roof drains + 1 indirect + 2 sump/ejector</t>
  </si>
  <si>
    <t xml:space="preserve">Contract: One Way Plumbing contract executed (Exxel Pacific GC) with OWP markup</t>
  </si>
  <si>
    <t xml:space="preserve">Billing: 8th AGGREGATE BILLING.xlsx (15 pay apps Mar 2013 – Jul 2014) + 15 SOV files</t>
  </si>
  <si>
    <t xml:space="preserve">Final contract $1,391,455 (original $1,394,655 + $-3,200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</si>
  <si>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</si>
  <si>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</si>
  <si>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</si>
  <si>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</si>
  <si>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</si>
  <si>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</si>
  <si>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</si>
  <si>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</si>
  <si>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</si>
  <si>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</si>
  <si>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</si>
  <si>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</si>
  <si>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</si>
  <si>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</si>
  <si>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</si>
  <si>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</si>
  <si>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</si>
  <si>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</si>
  <si>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</si>
  <si>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</si>
  <si>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</si>
  <si>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</si>
  <si>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</si>
  <si>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</si>
  <si>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</si>
  <si>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</si>
  <si>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</si>
  <si>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</si>
  <si>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</si>
  <si>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</si>
  <si>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</si>
  <si>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</si>
  <si>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</si>
  <si>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</si>
  <si>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</si>
  <si>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</si>
  <si>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</si>
  <si>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</si>
  <si>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</si>
  <si>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</si>
  <si>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</si>
  <si>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</si>
  <si>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</si>
  <si>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</si>
  <si>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</si>
  <si>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</si>
  <si>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</si>
  <si>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</si>
  <si>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</si>
  <si>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</si>
  <si>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</si>
  <si>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</si>
  <si>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</si>
  <si>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</si>
  <si>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</si>
  <si>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</si>
  <si>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</si>
  <si>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</si>
  <si>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</si>
  <si>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</si>
  <si>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</si>
  <si>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</si>
  <si>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</si>
  <si>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</si>
  <si>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</si>
  <si>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</si>
  <si>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</si>
  <si>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</si>
  <si>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</si>
  <si>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</si>
  <si>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</si>
  <si>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</si>
  <si>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</si>
  <si>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</si>
  <si>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</si>
  <si>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</si>
  <si>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</si>
  <si>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</si>
  <si>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</si>
  <si>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</si>
  <si>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11 material cost codes  •  $390,751 JDR material  •  16 AP vendors  •  $409,755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</si>
  <si>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</si>
  <si>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</si>
  <si>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</si>
  <si>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</si>
  <si>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</si>
  <si>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</si>
  <si>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</si>
  <si>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</si>
  <si>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</si>
  <si>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Keller Supply Company</t>
  </si>
  <si>
    <t xml:space="preserve">Ferguson Enterprises, Inc.</t>
  </si>
  <si>
    <t xml:space="preserve">Mechanical Sales, Inc.</t>
  </si>
  <si>
    <t xml:space="preserve">Rosen Supply Company, Inc.</t>
  </si>
  <si>
    <t xml:space="preserve">Franklin Engineering</t>
  </si>
  <si>
    <t xml:space="preserve">Bank of America CC</t>
  </si>
  <si>
    <t xml:space="preserve">Quality Concrete Products, Inc.</t>
  </si>
  <si>
    <t xml:space="preserve">Manor Hardware &amp; Construction Supply</t>
  </si>
  <si>
    <t xml:space="preserve">Patchworks, Inc.</t>
  </si>
  <si>
    <t xml:space="preserve">Capital One Credit Card</t>
  </si>
  <si>
    <t xml:space="preserve">Rosen Supply Kirkland</t>
  </si>
  <si>
    <t xml:space="preserve">Ferguson Enterprises, Inc. #3007</t>
  </si>
  <si>
    <t xml:space="preserve">R.A. Brown Backflow Testing</t>
  </si>
  <si>
    <t xml:space="preserve">DRSi</t>
  </si>
  <si>
    <t xml:space="preserve">American Express 3-41000</t>
  </si>
  <si>
    <t xml:space="preserve">C.M. Hoskins Company</t>
  </si>
  <si>
    <t xml:space="preserve">Vendor AP ties to JDR 'by Source: AP' line (409,754.59)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</si>
  <si>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</si>
  <si>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</si>
  <si>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</si>
  <si>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</si>
  <si>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</si>
  <si>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</si>
  <si>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Quintanilla, Esteban R</t>
  </si>
  <si>
    <t xml:space="preserve">Senior</t>
  </si>
  <si>
    <t xml:space="preserve">Gonzalez Hernandez, Josue</t>
  </si>
  <si>
    <t xml:space="preserve">Apprentice</t>
  </si>
  <si>
    <t xml:space="preserve">Lima Romero, Melvin A</t>
  </si>
  <si>
    <t xml:space="preserve">Mid</t>
  </si>
  <si>
    <t xml:space="preserve">Palma Vides, Hugo</t>
  </si>
  <si>
    <t xml:space="preserve">Castro Hernandez, Jose A</t>
  </si>
  <si>
    <t xml:space="preserve">Rivera, Eli P</t>
  </si>
  <si>
    <t xml:space="preserve">Chavarria Lopez, Omar A</t>
  </si>
  <si>
    <t xml:space="preserve">Monico Brambila, Jesus S</t>
  </si>
  <si>
    <t xml:space="preserve">Meza Fuentes, Erick A</t>
  </si>
  <si>
    <t xml:space="preserve">Rivera, Jorge A</t>
  </si>
  <si>
    <t xml:space="preserve">Paco Leyva, Orlando</t>
  </si>
  <si>
    <t xml:space="preserve">Gerard, Jeffrey S</t>
  </si>
  <si>
    <t xml:space="preserve">Veley, Nathaniel S</t>
  </si>
  <si>
    <t xml:space="preserve">Ramos Garcia, Jose M</t>
  </si>
  <si>
    <t xml:space="preserve">Sanders, Allen O</t>
  </si>
  <si>
    <t xml:space="preserve">Waites, Thaddeus Z</t>
  </si>
  <si>
    <t xml:space="preserve">Vega Arriaga, Jorge</t>
  </si>
  <si>
    <t xml:space="preserve">Soto Cruz, Jovani</t>
  </si>
  <si>
    <t xml:space="preserve">Spears, Gregory M</t>
  </si>
  <si>
    <t xml:space="preserve">Soto Serna, Cesar E</t>
  </si>
  <si>
    <t xml:space="preserve">Castaneda Martinez, Gustavo</t>
  </si>
  <si>
    <t xml:space="preserve">Lopez Martinez, Abimael</t>
  </si>
  <si>
    <t xml:space="preserve">Castaneda Juarez, Edgar D</t>
  </si>
  <si>
    <t xml:space="preserve">Cortes Mendiola, Victor H</t>
  </si>
  <si>
    <t xml:space="preserve">Sepulveda Gonzalez, Alfredo</t>
  </si>
  <si>
    <t xml:space="preserve">Castro Hernandez, Carlos E</t>
  </si>
  <si>
    <t xml:space="preserve">Vaughan, Tyler J</t>
  </si>
  <si>
    <t xml:space="preserve">Holmes, Anthony R</t>
  </si>
  <si>
    <t xml:space="preserve">Sanchez Garcia, Adelaido</t>
  </si>
  <si>
    <t xml:space="preserve">Velasquez Cruz, Denis M</t>
  </si>
  <si>
    <t xml:space="preserve">Agustin Rodriguez, Ezequiel</t>
  </si>
  <si>
    <t xml:space="preserve">Arreola, Israel A</t>
  </si>
  <si>
    <t xml:space="preserve">Rendon Villasenor, Ismael</t>
  </si>
  <si>
    <t xml:space="preserve">Garcia, Jordan X</t>
  </si>
  <si>
    <t xml:space="preserve">Wilson, Garret A</t>
  </si>
  <si>
    <t xml:space="preserve">Barnhart, Joseph N</t>
  </si>
  <si>
    <t xml:space="preserve">McCabe, Thomas C</t>
  </si>
  <si>
    <t xml:space="preserve">Castaneda Juarez, Gustavo</t>
  </si>
  <si>
    <t xml:space="preserve">Hubbard, Dustin R</t>
  </si>
  <si>
    <t xml:space="preserve">Hubbard, Robert W</t>
  </si>
  <si>
    <t xml:space="preserve">TOTAL (40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</si>
  <si>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</si>
  <si>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</si>
  <si>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</si>
  <si>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</si>
  <si>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</si>
  <si>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</si>
  <si>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</si>
  <si>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</si>
  <si>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</si>
  <si>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</si>
  <si>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</si>
  <si>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</si>
  <si>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</si>
  <si>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</si>
  <si>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</si>
  <si>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</si>
  <si>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</si>
  <si>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</si>
  <si>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</si>
  <si>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</si>
  <si>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</si>
  <si>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</si>
  <si>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</si>
  <si>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</si>
  <si>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</si>
  <si>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</si>
  <si>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</si>
  <si>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</si>
  <si>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</si>
  <si>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</si>
  <si>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</si>
  <si>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</si>
  <si>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</si>
  <si>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</si>
  <si>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</si>
  <si>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</si>
  <si>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</si>
  <si>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</si>
  <si>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</si>
  <si>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</si>
  <si>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</si>
  <si>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</si>
  <si>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</si>
  <si>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</si>
  <si>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</si>
  <si>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</si>
  <si>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</si>
  <si>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</si>
  <si>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</si>
  <si>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</si>
  <si>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</si>
  <si>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</si>
  <si>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</si>
  <si>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</si>
  <si>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</si>
  <si>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</si>
  <si>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</si>
  <si>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</si>
  <si>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</si>
  <si>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68 unique POs  •  PO amounts not dollar-parsed from individual PDFs  •  JDR material $390,751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</si>
  <si>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</si>
  <si>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</si>
  <si>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</si>
  <si>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</si>
  <si>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</si>
  <si>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</si>
  <si>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</si>
  <si>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</si>
  <si>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</si>
  <si>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</si>
  <si>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</si>
  <si>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</si>
  <si>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34</t>
  </si>
  <si>
    <t xml:space="preserve">111+211 Garage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</si>
  <si>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</si>
  <si>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</si>
  <si>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</si>
  <si>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</si>
  <si>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</si>
  <si>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</si>
  <si>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</si>
  <si>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</si>
  <si>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MANOR</t>
  </si>
  <si>
    <t xml:space="preserve">MECH SALES</t>
  </si>
  <si>
    <t xml:space="preserve">KELLER</t>
  </si>
  <si>
    <t xml:space="preserve">SIOUX CHIEF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</si>
  <si>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</si>
  <si>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</si>
  <si>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</si>
  <si>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</si>
  <si>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</si>
  <si>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</si>
  <si>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</si>
  <si>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15 pay applications  •  Mar 2013 – Jul 2014  •  $1,391,455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</si>
  <si>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</si>
  <si>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</si>
  <si>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</si>
  <si>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</si>
  <si>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</si>
  <si>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</si>
  <si>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</si>
  <si>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</si>
  <si>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</si>
  <si>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</si>
  <si>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</si>
  <si>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</si>
  <si>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</si>
  <si>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</si>
  <si>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2013-03-19</t>
  </si>
  <si>
    <t xml:space="preserve">2013-04-18</t>
  </si>
  <si>
    <t xml:space="preserve">2013-05-20</t>
  </si>
  <si>
    <t xml:space="preserve">2013-06-20</t>
  </si>
  <si>
    <t xml:space="preserve">2013-07-20</t>
  </si>
  <si>
    <t xml:space="preserve">2013-08-20</t>
  </si>
  <si>
    <t xml:space="preserve">2013-09-20</t>
  </si>
  <si>
    <t xml:space="preserve">2013-10-17</t>
  </si>
  <si>
    <t xml:space="preserve">2013-11-19</t>
  </si>
  <si>
    <t xml:space="preserve">2013-12-12</t>
  </si>
  <si>
    <t xml:space="preserve">2014-01-20</t>
  </si>
  <si>
    <t xml:space="preserve">2014-02-20</t>
  </si>
  <si>
    <t xml:space="preserve">2014-03-20</t>
  </si>
  <si>
    <t xml:space="preserve">2014-04-20</t>
  </si>
  <si>
    <t xml:space="preserve">2014-07-17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</si>
  <si>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</si>
  <si>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</si>
  <si>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</si>
  <si>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</si>
  <si>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</si>
  <si>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</si>
  <si>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#2012 Exxel Pacific 8th Ave Apartments</t>
  </si>
  <si>
    <t xml:space="preserve">Narrative observations distilled from the full JDR analysis</t>
  </si>
  <si>
    <t xml:space="preserve">MARGIN PROFILE</t>
  </si>
  <si>
    <t xml:space="preserve">Net profit of $544,854 on $1,391,455 revenue = 39.2% gross margin. Direct cost $846,601 absorbs 60.8% of revenue.</t>
  </si>
  <si>
    <t xml:space="preserve">VENDOR CONCENTRATION</t>
  </si>
  <si>
    <t xml:space="preserve">Keller Supply Company alone = $154,464 (38% of all AP) across 45 invoices. Total 16 AP vendors, $409,755 total AP spend.</t>
  </si>
  <si>
    <t xml:space="preserve">CREW PROFILE</t>
  </si>
  <si>
    <t xml:space="preserve">40 workers for 14,607 hours = 365 avg hrs/worker. Top 3 workers logged 3,044 hrs combined (21% of all labor).</t>
  </si>
  <si>
    <t xml:space="preserve">ROUGHIN DOMINANCE</t>
  </si>
  <si>
    <t xml:space="preserve">Code 120 Roughin Labor = 9,320 hrs (64% of all labor) and $177,292 actual. Code 230 Finish Material = $210,145 — 25% of total direct cost.</t>
  </si>
  <si>
    <t xml:space="preserve">BUDGET DELIVERY</t>
  </si>
  <si>
    <t xml:space="preserve">Revised budget was $1,047,758; actual direct cost $846,601 → $201,157 variance (19.2% under revised budget).</t>
  </si>
  <si>
    <t xml:space="preserve">CONTRACT GROWTH</t>
  </si>
  <si>
    <t xml:space="preserve">Contract grew from $1,394,655 to $1,391,455 — net +$-3,200 (-0.2%). Retainage of $69,573 (5%) withheld until closeout.</t>
  </si>
  <si>
    <t xml:space="preserve">BURDEN RATIO</t>
  </si>
  <si>
    <t xml:space="preserve">Burden codes 995 + 998 = $148,590 on $291,322 labor base = 51.0%. In line with OWP's typical 48–50% labor burden.</t>
  </si>
  <si>
    <t xml:space="preserve">PROJECT SCALE</t>
  </si>
  <si>
    <t xml:space="preserve">163 units · 1004 fixtures · 17 months. Revenue/unit $8,537, hours/unit 89.6, profit/unit $3,343.</t>
  </si>
  <si>
    <t xml:space="preserve">PRODUCTIVITY</t>
  </si>
  <si>
    <t xml:space="preserve">Blended labor rate $19.94/hr. Revenue/hour $95. Profit/hour $37. 859 hrs/month burn rate.</t>
  </si>
  <si>
    <t xml:space="preserve">FIXTURE DENSITY</t>
  </si>
  <si>
    <t xml:space="preserve">1004 fixtures ÷ 163 units = 6.16 fixtures/unit. Material/fixture $389, labor/fixture $290.</t>
  </si>
  <si>
    <t xml:space="preserve">BIGGEST QUESTION</t>
  </si>
  <si>
    <t xml:space="preserve">How does this job's 39.2%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</si>
  <si>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</si>
  <si>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</si>
  <si>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</si>
  <si>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</si>
  <si>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</si>
  <si>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</si>
  <si>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</si>
  <si>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</si>
  <si>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</si>
  <si>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</si>
  <si>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</si>
  <si>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2012 Job Detail Report.pdf header</t>
  </si>
  <si>
    <t xml:space="preserve">Job Name</t>
  </si>
  <si>
    <t xml:space="preserve">job_name</t>
  </si>
  <si>
    <t xml:space="preserve">Contract folder</t>
  </si>
  <si>
    <t xml:space="preserve">general_contractor</t>
  </si>
  <si>
    <t xml:space="preserve">location</t>
  </si>
  <si>
    <t xml:space="preserve">Contract + Plans folder</t>
  </si>
  <si>
    <t xml:space="preserve">Project Type</t>
  </si>
  <si>
    <t xml:space="preserve">project_type</t>
  </si>
  <si>
    <t xml:space="preserve">163-unit 9-story multifamily apartments + ground-floor retail</t>
  </si>
  <si>
    <t xml:space="preserve">Permit + Plans</t>
  </si>
  <si>
    <t xml:space="preserve">Duration (months)</t>
  </si>
  <si>
    <t xml:space="preserve">duration_months</t>
  </si>
  <si>
    <t xml:space="preserve">First to last invoice date</t>
  </si>
  <si>
    <t xml:space="preserve">Unit Count</t>
  </si>
  <si>
    <t xml:space="preserve">unit_count</t>
  </si>
  <si>
    <t xml:space="preserve">Plumbing permit SR1335240 + P-tag list</t>
  </si>
  <si>
    <t xml:space="preserve">total_fixtures</t>
  </si>
  <si>
    <t xml:space="preserve">Permit: 163 × 5 fixture types + drains/sumps</t>
  </si>
  <si>
    <t xml:space="preserve">Fixtures per Unit</t>
  </si>
  <si>
    <t xml:space="preserve">fixtures_per_unit</t>
  </si>
  <si>
    <t xml:space="preserve">Derived: total_fixtures / unit_count</t>
  </si>
  <si>
    <t xml:space="preserve">Contract Value (Orig)</t>
  </si>
  <si>
    <t xml:space="preserve">contract_original</t>
  </si>
  <si>
    <t xml:space="preserve">Financial</t>
  </si>
  <si>
    <t xml:space="preserve">Contract SOV</t>
  </si>
  <si>
    <t xml:space="preserve">Contract Value (Final)</t>
  </si>
  <si>
    <t xml:space="preserve">contract_final</t>
  </si>
  <si>
    <t xml:space="preserve">After change orders</t>
  </si>
  <si>
    <t xml:space="preserve">Final billing SOV</t>
  </si>
  <si>
    <t xml:space="preserve">Change Orders ($)</t>
  </si>
  <si>
    <t xml:space="preserve">change_orders</t>
  </si>
  <si>
    <t xml:space="preserve">JDR revised - original</t>
  </si>
  <si>
    <t xml:space="preserve">Revenue</t>
  </si>
  <si>
    <t xml:space="preserve">revenue</t>
  </si>
  <si>
    <t xml:space="preserve">Aggregate billing final</t>
  </si>
  <si>
    <t xml:space="preserve">Net Profit</t>
  </si>
  <si>
    <t xml:space="preserve">net_profit</t>
  </si>
  <si>
    <t xml:space="preserve">Revenue - Direct Cost</t>
  </si>
  <si>
    <t xml:space="preserve">Gross Margin</t>
  </si>
  <si>
    <t xml:space="preserve">gross_margin</t>
  </si>
  <si>
    <t xml:space="preserve">Derived: Profit / Revenue</t>
  </si>
  <si>
    <t xml:space="preserve">direct_cost</t>
  </si>
  <si>
    <t xml:space="preserve">JDR cost codes L+M+OH+Burden</t>
  </si>
  <si>
    <t xml:space="preserve">Labor Cost</t>
  </si>
  <si>
    <t xml:space="preserve">labor_cost</t>
  </si>
  <si>
    <t xml:space="preserve">Sum of 13 labor codes</t>
  </si>
  <si>
    <t xml:space="preserve">JDR labor cost codes</t>
  </si>
  <si>
    <t xml:space="preserve">Material Cost</t>
  </si>
  <si>
    <t xml:space="preserve">material_cost</t>
  </si>
  <si>
    <t xml:space="preserve">Sum of 11 material codes</t>
  </si>
  <si>
    <t xml:space="preserve">JDR material cost codes</t>
  </si>
  <si>
    <t xml:space="preserve">Overhead Cost</t>
  </si>
  <si>
    <t xml:space="preserve">overhead_cost</t>
  </si>
  <si>
    <t xml:space="preserve">Sub+Eng+Permits</t>
  </si>
  <si>
    <t xml:space="preserve">JDR overhead cost codes</t>
  </si>
  <si>
    <t xml:space="preserve">Burden Cost</t>
  </si>
  <si>
    <t xml:space="preserve">burden_cost</t>
  </si>
  <si>
    <t xml:space="preserve">Codes 995+998</t>
  </si>
  <si>
    <t xml:space="preserve">JDR burden cost codes (995+998)</t>
  </si>
  <si>
    <t xml:space="preserve">retainage</t>
  </si>
  <si>
    <t xml:space="preserve">5% withheld</t>
  </si>
  <si>
    <t xml:space="preserve">Aggregate billing row 3</t>
  </si>
  <si>
    <t xml:space="preserve">Revenue per Unit</t>
  </si>
  <si>
    <t xml:space="preserve">revenue_per_unit</t>
  </si>
  <si>
    <t xml:space="preserve">Derived: revenue / unit_count</t>
  </si>
  <si>
    <t xml:space="preserve">Profit per Unit</t>
  </si>
  <si>
    <t xml:space="preserve">profit_per_unit</t>
  </si>
  <si>
    <t xml:space="preserve">Derived: net_profit / unit_count</t>
  </si>
  <si>
    <t xml:space="preserve">Direct Cost per Unit</t>
  </si>
  <si>
    <t xml:space="preserve">cost_per_unit</t>
  </si>
  <si>
    <t xml:space="preserve">Derived: direct_cost / unit_count</t>
  </si>
  <si>
    <t xml:space="preserve">Labor Cost per Unit</t>
  </si>
  <si>
    <t xml:space="preserve">labor_per_unit</t>
  </si>
  <si>
    <t xml:space="preserve">Derived: labor_cost / unit_count</t>
  </si>
  <si>
    <t xml:space="preserve">Material Cost per Unit</t>
  </si>
  <si>
    <t xml:space="preserve">material_per_unit</t>
  </si>
  <si>
    <t xml:space="preserve">Derived: material_cost / unit_count</t>
  </si>
  <si>
    <t xml:space="preserve">Revenue per Fixture</t>
  </si>
  <si>
    <t xml:space="preserve">revenue_per_fixture</t>
  </si>
  <si>
    <t xml:space="preserve">Derived: revenue / total_fixtures</t>
  </si>
  <si>
    <t xml:space="preserve">Profit per Fixture</t>
  </si>
  <si>
    <t xml:space="preserve">profit_per_fixture</t>
  </si>
  <si>
    <t xml:space="preserve">Derived: net_profit / total_fixtures</t>
  </si>
  <si>
    <t xml:space="preserve">Cost per Fixture</t>
  </si>
  <si>
    <t xml:space="preserve">cost_per_fixture</t>
  </si>
  <si>
    <t xml:space="preserve">Derived: direct_cost / total_fixtures</t>
  </si>
  <si>
    <t xml:space="preserve">Labor per Fixture</t>
  </si>
  <si>
    <t xml:space="preserve">labor_per_fixture</t>
  </si>
  <si>
    <t xml:space="preserve">Derived: labor_cost / total_fixtures</t>
  </si>
  <si>
    <t xml:space="preserve">Material per Fixture</t>
  </si>
  <si>
    <t xml:space="preserve">material_per_fixture</t>
  </si>
  <si>
    <t xml:space="preserve">Derived: material_cost / total_fixtures</t>
  </si>
  <si>
    <t xml:space="preserve">Total Labor Hours</t>
  </si>
  <si>
    <t xml:space="preserve">total_hours</t>
  </si>
  <si>
    <t xml:space="preserve">Sum of JDR cost code hours</t>
  </si>
  <si>
    <t xml:space="preserve">JDR payroll hours sum</t>
  </si>
  <si>
    <t xml:space="preserve">Total Workers</t>
  </si>
  <si>
    <t xml:space="preserve">total_workers</t>
  </si>
  <si>
    <t xml:space="preserve">Unique payroll IDs</t>
  </si>
  <si>
    <t xml:space="preserve">JDR unique payroll IDs</t>
  </si>
  <si>
    <t xml:space="preserve">blended_gross_wage</t>
  </si>
  <si>
    <t xml:space="preserve">Pre-burden</t>
  </si>
  <si>
    <t xml:space="preserve">Derived: labor_cost / total_hours</t>
  </si>
  <si>
    <t xml:space="preserve">fully_loaded_wage</t>
  </si>
  <si>
    <t xml:space="preserve">Post-burden</t>
  </si>
  <si>
    <t xml:space="preserve">Derived: (labor+burden) / total_hours</t>
  </si>
  <si>
    <t xml:space="preserve">burden_multiplier</t>
  </si>
  <si>
    <t xml:space="preserve">Derived: fully_loaded / blended</t>
  </si>
  <si>
    <t xml:space="preserve">Hours per Unit</t>
  </si>
  <si>
    <t xml:space="preserve">hours_per_unit</t>
  </si>
  <si>
    <t xml:space="preserve">Key benchmark</t>
  </si>
  <si>
    <t xml:space="preserve">Derived: total_hours / unit_count</t>
  </si>
  <si>
    <t xml:space="preserve">Hours per Fixture</t>
  </si>
  <si>
    <t xml:space="preserve">hours_per_fixture</t>
  </si>
  <si>
    <t xml:space="preserve">Derived: total_hours / total_fixtures</t>
  </si>
  <si>
    <t xml:space="preserve">Revenue per Hour</t>
  </si>
  <si>
    <t xml:space="preserve">revenue_per_hour</t>
  </si>
  <si>
    <t xml:space="preserve">Productivity</t>
  </si>
  <si>
    <t xml:space="preserve">Derived: revenue / total_hours</t>
  </si>
  <si>
    <t xml:space="preserve">Profit per Hour</t>
  </si>
  <si>
    <t xml:space="preserve">profit_per_hour</t>
  </si>
  <si>
    <t xml:space="preserve">Derived: net_profit / total_hours</t>
  </si>
  <si>
    <t xml:space="preserve">Labor % of Revenue</t>
  </si>
  <si>
    <t xml:space="preserve">labor_pct_revenue</t>
  </si>
  <si>
    <t xml:space="preserve">Cost Mix</t>
  </si>
  <si>
    <t xml:space="preserve">Derived: labor_cost / revenue</t>
  </si>
  <si>
    <t xml:space="preserve">Material % of Revenue</t>
  </si>
  <si>
    <t xml:space="preserve">material_pct_revenue</t>
  </si>
  <si>
    <t xml:space="preserve">Derived: material_cost / revenue</t>
  </si>
  <si>
    <t xml:space="preserve">Revenue per Month</t>
  </si>
  <si>
    <t xml:space="preserve">revenue_per_month</t>
  </si>
  <si>
    <t xml:space="preserve">Derived: revenue / duration_months</t>
  </si>
  <si>
    <t xml:space="preserve">Hours per Month</t>
  </si>
  <si>
    <t xml:space="preserve">hours_per_month</t>
  </si>
  <si>
    <t xml:space="preserve">Derived: total_hours / duration_months</t>
  </si>
  <si>
    <t xml:space="preserve">Units per Month</t>
  </si>
  <si>
    <t xml:space="preserve">units_per_month</t>
  </si>
  <si>
    <t xml:space="preserve">Derived: unit_count / duration_months</t>
  </si>
  <si>
    <t xml:space="preserve">Total Vendors</t>
  </si>
  <si>
    <t xml:space="preserve">total_vendors</t>
  </si>
  <si>
    <t xml:space="preserve">Unique AP vendors</t>
  </si>
  <si>
    <t xml:space="preserve">JDR distinct vendor codes</t>
  </si>
  <si>
    <t xml:space="preserve">Top Vendor Spend</t>
  </si>
  <si>
    <t xml:space="preserve">top_vendor_spend</t>
  </si>
  <si>
    <t xml:space="preserve">JDR AP max vendor</t>
  </si>
  <si>
    <t xml:space="preserve">Top Vendor Concentration</t>
  </si>
  <si>
    <t xml:space="preserve">top_vendor_pct</t>
  </si>
  <si>
    <t xml:space="preserve">Derived: top_vendor / total_AP</t>
  </si>
  <si>
    <t xml:space="preserve">Total POs</t>
  </si>
  <si>
    <t xml:space="preserve">total_pos</t>
  </si>
  <si>
    <t xml:space="preserve">Unique POs by filename</t>
  </si>
  <si>
    <t xml:space="preserve">PO_s/8th po scheduled/ file count</t>
  </si>
  <si>
    <t xml:space="preserve">Change Order %</t>
  </si>
  <si>
    <t xml:space="preserve">co_pct</t>
  </si>
  <si>
    <t xml:space="preserve">Derived: change_orders / contract_original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</si>
  <si>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</si>
  <si>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</si>
  <si>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</si>
  <si>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Vendor Detail — Job #2012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</si>
  <si>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</si>
  <si>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</si>
  <si>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</si>
  <si>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</si>
  <si>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</si>
  <si>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</si>
  <si>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Job Detail Report (Sage Timberline AP export)</t>
  </si>
  <si>
    <t xml:space="preserve">Avg Inv</t>
  </si>
  <si>
    <t xml:space="preserve">Rank</t>
  </si>
  <si>
    <t xml:space="preserve">Vendor Code</t>
  </si>
  <si>
    <t xml:space="preserve">Avg / Invoice</t>
  </si>
  <si>
    <t xml:space="preserve">Change Log — Master Register</t>
  </si>
  <si>
    <t xml:space="preserve">Unified change-event ledger: RFIs, ASIs, COPs, COs, Backcharges with cross-references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</si>
  <si>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</si>
  <si>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</si>
  <si>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</si>
  <si>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</si>
  <si>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</si>
  <si>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</si>
  <si>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</si>
  <si>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Root Cause</t>
  </si>
  <si>
    <t xml:space="preserve">Responsible Party</t>
  </si>
  <si>
    <t xml:space="preserve">Source Doc</t>
  </si>
  <si>
    <t xml:space="preserve">ASI-025</t>
  </si>
  <si>
    <t xml:space="preserve">ASI</t>
  </si>
  <si>
    <t xml:space="preserve">2013-09-15</t>
  </si>
  <si>
    <t xml:space="preserve">Janitor sink and faucet — Kavela substitution</t>
  </si>
  <si>
    <t xml:space="preserve">Architect (Kavela)</t>
  </si>
  <si>
    <t xml:space="preserve">SUB-027</t>
  </si>
  <si>
    <t xml:space="preserve">Closed — Incorporated</t>
  </si>
  <si>
    <t xml:space="preserve">Design substitution</t>
  </si>
  <si>
    <t xml:space="preserve">Designer</t>
  </si>
  <si>
    <t xml:space="preserve">Submittals/MIKE_S FILES/Kavela ASI 25 janitor sink and faucet (3).pdf</t>
  </si>
  <si>
    <t xml:space="preserve">BC-001</t>
  </si>
  <si>
    <t xml:space="preserve">Backcharge</t>
  </si>
  <si>
    <t xml:space="preserve">2014-05-04</t>
  </si>
  <si>
    <t xml:space="preserve">Patchworks — drywall repair</t>
  </si>
  <si>
    <t xml:space="preserve">GC (Exxel)</t>
  </si>
  <si>
    <t xml:space="preserve">Paid</t>
  </si>
  <si>
    <t xml:space="preserve">Coordination/damage</t>
  </si>
  <si>
    <t xml:space="preserve">Sub (OWP shared)</t>
  </si>
  <si>
    <t xml:space="preserve">Invoices/64-Backcharges/Patchworks 2014-05-04.pdf</t>
  </si>
  <si>
    <t xml:space="preserve">BC-002</t>
  </si>
  <si>
    <t xml:space="preserve">2014-10-23</t>
  </si>
  <si>
    <t xml:space="preserve">Division 9 cleanup</t>
  </si>
  <si>
    <t xml:space="preserve">Cleanup/scope gap</t>
  </si>
  <si>
    <t xml:space="preserve">Sub (OWP)</t>
  </si>
  <si>
    <t xml:space="preserve">Invoices/64-Backcharges/2014-10-23 Division 9.PDF</t>
  </si>
  <si>
    <t xml:space="preserve">BC-003</t>
  </si>
  <si>
    <t xml:space="preserve">Painters Unlimited — wall repair</t>
  </si>
  <si>
    <t xml:space="preserve">Invoices/64-Backcharges/Painters Unlimited 2014-10-23.PDF</t>
  </si>
  <si>
    <t xml:space="preserve">BC-004</t>
  </si>
  <si>
    <t xml:space="preserve">2015-02-26</t>
  </si>
  <si>
    <t xml:space="preserve">Unity Electric — conduit conflict</t>
  </si>
  <si>
    <t xml:space="preserve">MEP coordination</t>
  </si>
  <si>
    <t xml:space="preserve">Designer/MEP</t>
  </si>
  <si>
    <t xml:space="preserve">Invoices/64-Backcharges/2015-02-26 Unity Electric.pdf</t>
  </si>
  <si>
    <t xml:space="preserve">BC-005</t>
  </si>
  <si>
    <t xml:space="preserve">2014-04-27</t>
  </si>
  <si>
    <t xml:space="preserve">One Way — internal backcharge</t>
  </si>
  <si>
    <t xml:space="preserve">OWP</t>
  </si>
  <si>
    <t xml:space="preserve">Rework</t>
  </si>
  <si>
    <t xml:space="preserve">Invoices/64-Backcharges/one way 4-27.pdf</t>
  </si>
  <si>
    <t xml:space="preserve">TM-001</t>
  </si>
  <si>
    <t xml:space="preserve">T&amp;M</t>
  </si>
  <si>
    <t xml:space="preserve">2013-11-01</t>
  </si>
  <si>
    <t xml:space="preserve">Cost code 038 T&amp;M — directed work</t>
  </si>
  <si>
    <t xml:space="preserve">Field (OWP)</t>
  </si>
  <si>
    <t xml:space="preserve">Billed</t>
  </si>
  <si>
    <t xml:space="preserve">Owner directive / field condition</t>
  </si>
  <si>
    <t xml:space="preserve">Owner/GC</t>
  </si>
  <si>
    <t xml:space="preserve">JDR Cost Code 038 T&amp;M</t>
  </si>
  <si>
    <t xml:space="preserve">CO-001</t>
  </si>
  <si>
    <t xml:space="preserve">CO</t>
  </si>
  <si>
    <t xml:space="preserve">2013-12-15</t>
  </si>
  <si>
    <t xml:space="preserve">Net change orders to contract</t>
  </si>
  <si>
    <t xml:space="preserve">TM-001, ASI-025</t>
  </si>
  <si>
    <t xml:space="preserve">Approved — Billed</t>
  </si>
  <si>
    <t xml:space="preserve">Combined scope adjustments</t>
  </si>
  <si>
    <t xml:space="preserve">Mixed</t>
  </si>
  <si>
    <t xml:space="preserve">Billing documents / JCR revised contract $1,401,338</t>
  </si>
  <si>
    <t xml:space="preserve">Root Cause Analysis — Change Driver Taxonomy</t>
  </si>
  <si>
    <t xml:space="preserve">Categorized change events with responsible 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</si>
  <si>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</si>
  <si>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</si>
  <si>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</si>
  <si>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</si>
  <si>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</si>
  <si>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</si>
  <si>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ASI-driven product sub — no cost impact</t>
  </si>
  <si>
    <t xml:space="preserve">Damage during plumbing work; shared-cost pattern</t>
  </si>
  <si>
    <t xml:space="preserve">Ambiguous cleanup scope — candidate for bid clarification</t>
  </si>
  <si>
    <t xml:space="preserve">Conduit vs. plumbing conflict — design doc quality issue</t>
  </si>
  <si>
    <t xml:space="preserve">Internal quality issue</t>
  </si>
  <si>
    <t xml:space="preserve">Owner directive / field</t>
  </si>
  <si>
    <t xml:space="preserve">T&amp;M-billed directed work — successfully recovered</t>
  </si>
  <si>
    <t xml:space="preserve">Combined/multi-cause</t>
  </si>
  <si>
    <t xml:space="preserve">Aggregated COs to final contract adjustment</t>
  </si>
  <si>
    <t xml:space="preserve">RESPONSIBILITY ATTRIBUTION</t>
  </si>
  <si>
    <t xml:space="preserve">Net $ Impact</t>
  </si>
  <si>
    <t xml:space="preserve">Bid-Risk Signal</t>
  </si>
  <si>
    <t xml:space="preserve">POSITIVE — directed work successfully billed</t>
  </si>
  <si>
    <t xml:space="preserve">CAUTION — design doc quality risk; price coord contingency</t>
  </si>
  <si>
    <t xml:space="preserve">CAUTION — internal rework + scope gap; QA training opportunity</t>
  </si>
  <si>
    <t xml:space="preserve">NEUTRAL — shared damage; standard coordination</t>
  </si>
  <si>
    <t xml:space="preserve">POSITIVE — aggregated recovery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</si>
  <si>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</si>
  <si>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</si>
  <si>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</si>
  <si>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</si>
  <si>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</si>
  <si>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</si>
  <si>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</si>
  <si>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Velocity (per week)</t>
  </si>
  <si>
    <t xml:space="preserve">&lt;3.0</t>
  </si>
  <si>
    <t xml:space="preserve">N/A — no RFI log</t>
  </si>
  <si>
    <t xml:space="preserve">When &gt;3/wk, expect CO wave in 4-8 wks</t>
  </si>
  <si>
    <t xml:space="preserve">RFI Aging — avg days open</t>
  </si>
  <si>
    <t xml:space="preserve">&lt;14</t>
  </si>
  <si>
    <t xml:space="preserve">&gt;30 avg signals schedule slip risk</t>
  </si>
  <si>
    <t xml:space="preserve">RFI Aging — # overdue (&gt;30d)</t>
  </si>
  <si>
    <t xml:space="preserve">0</t>
  </si>
  <si>
    <t xml:space="preserve">Each overdue RFI ≈ 1 schedule-day slip</t>
  </si>
  <si>
    <t xml:space="preserve">ASI-to-COP lag (days)</t>
  </si>
  <si>
    <t xml:space="preserve">Unknown</t>
  </si>
  <si>
    <t xml:space="preserve">&lt;30</t>
  </si>
  <si>
    <t xml:space="preserve">GAPS PRESENT</t>
  </si>
  <si>
    <t xml:space="preserve">Unpriced ASIs = revenue recovery risk</t>
  </si>
  <si>
    <t xml:space="preserve">RFI-to-ASI conversion %</t>
  </si>
  <si>
    <t xml:space="preserve">&lt;25%</t>
  </si>
  <si>
    <t xml:space="preserve">N/A</t>
  </si>
  <si>
    <t xml:space="preserve">&gt;40% signals poor design doc quality</t>
  </si>
  <si>
    <t xml:space="preserve">Cumulative CO ratio</t>
  </si>
  <si>
    <t xml:space="preserve">&lt;8%</t>
  </si>
  <si>
    <t xml:space="preserve">HEALTHY</t>
  </si>
  <si>
    <t xml:space="preserve">&gt;8% signals scope/design trouble</t>
  </si>
  <si>
    <t xml:space="preserve">T&amp;M burn rate ($/wk)</t>
  </si>
  <si>
    <t xml:space="preserve">~$70</t>
  </si>
  <si>
    <t xml:space="preserve">&lt;$500</t>
  </si>
  <si>
    <t xml:space="preserve">Sustained T&amp;M = directed work pipeline</t>
  </si>
  <si>
    <t xml:space="preserve">Backcharge frequency</t>
  </si>
  <si>
    <t xml:space="preserve">&lt;3</t>
  </si>
  <si>
    <t xml:space="preserve">ELEVATED</t>
  </si>
  <si>
    <t xml:space="preserve">BC clusters = coordination weakness</t>
  </si>
  <si>
    <t xml:space="preserve">Submittal resubmission rate</t>
  </si>
  <si>
    <t xml:space="preserve">&lt;15%</t>
  </si>
  <si>
    <t xml:space="preserve">Repeats = coord issues incubating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</si>
  <si>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</si>
  <si>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</si>
  <si>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</si>
  <si>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</si>
  <si>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</si>
  <si>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</si>
  <si>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0.48% (actual)</t>
  </si>
  <si>
    <t xml:space="preserve">Closed project</t>
  </si>
  <si>
    <t xml:space="preserve">Final CO$ / orig contract</t>
  </si>
  <si>
    <t xml:space="preserve">Projected EAC (direct cost)</t>
  </si>
  <si>
    <t xml:space="preserve">$1,073,907 (actual)</t>
  </si>
  <si>
    <t xml:space="preserve">Sum of L+M+OH+Burden</t>
  </si>
  <si>
    <t xml:space="preserve">Projected final margin</t>
  </si>
  <si>
    <t xml:space="preserve">23.0% (actual)</t>
  </si>
  <si>
    <t xml:space="preserve">(Rev - DC) / Rev</t>
  </si>
  <si>
    <t xml:space="preserve">Projected completion slip (days)</t>
  </si>
  <si>
    <t xml:space="preserve">16 mo actual vs planned</t>
  </si>
  <si>
    <t xml:space="preserve">Delivered on schedule</t>
  </si>
  <si>
    <t xml:space="preserve">Composite risk score (0-100)</t>
  </si>
  <si>
    <t xml:space="preserve">Medium</t>
  </si>
  <si>
    <t xml:space="preserve">5 BCs + 0 RFI-log data</t>
  </si>
  <si>
    <t xml:space="preserve">Elevated BCs; missing RFI log limits score</t>
  </si>
  <si>
    <t xml:space="preserve">GC scorecard (Exxel Pacific)</t>
  </si>
  <si>
    <t xml:space="preserve">A</t>
  </si>
  <si>
    <t xml:space="preserve">High</t>
  </si>
  <si>
    <t xml:space="preserve">Payment + CO approval</t>
  </si>
  <si>
    <t xml:space="preserve">100% paid, clean retainage release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</si>
  <si>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</si>
  <si>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</si>
  <si>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</si>
  <si>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</si>
  <si>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</si>
  <si>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</si>
  <si>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</si>
  <si>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</si>
  <si>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</si>
  <si>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project_num</t>
  </si>
  <si>
    <t xml:space="preserve">Project Number</t>
  </si>
  <si>
    <t xml:space="preserve">id</t>
  </si>
  <si>
    <t xml:space="preserve">Overview</t>
  </si>
  <si>
    <t xml:space="preserve">2012 Job Detail Report.pdf</t>
  </si>
  <si>
    <t xml:space="preserve">Hardcoded from JDR header</t>
  </si>
  <si>
    <t xml:space="preserve">project_name</t>
  </si>
  <si>
    <t xml:space="preserve">Project Name</t>
  </si>
  <si>
    <t xml:space="preserve">Exxel 8th Ave Apartments</t>
  </si>
  <si>
    <t xml:space="preserve">text</t>
  </si>
  <si>
    <t xml:space="preserve">Contract folder — Exxel Pacific contract</t>
  </si>
  <si>
    <t xml:space="preserve">Hardcoded</t>
  </si>
  <si>
    <t xml:space="preserve">project_revenue</t>
  </si>
  <si>
    <t xml:space="preserve">USD</t>
  </si>
  <si>
    <t xml:space="preserve">GREENWOOD/8th Aggregate Billing.xlsx</t>
  </si>
  <si>
    <t xml:space="preserve">SUM of Revenue cost codes in JDR</t>
  </si>
  <si>
    <t xml:space="preserve">original_contract</t>
  </si>
  <si>
    <t xml:space="preserve">Contract + Billing SOV</t>
  </si>
  <si>
    <t xml:space="preserve">Hardcoded from SOV</t>
  </si>
  <si>
    <t xml:space="preserve">net_change_orders</t>
  </si>
  <si>
    <t xml:space="preserve">Net Change Orders</t>
  </si>
  <si>
    <t xml:space="preserve">JDR revised budget - original budget</t>
  </si>
  <si>
    <t xml:space="preserve">project_revenue - original_contract</t>
  </si>
  <si>
    <t xml:space="preserve">retainage_held</t>
  </si>
  <si>
    <t xml:space="preserve">Retainage Held (5%)</t>
  </si>
  <si>
    <t xml:space="preserve">Hardcoded from billing</t>
  </si>
  <si>
    <t xml:space="preserve">project_duration_months</t>
  </si>
  <si>
    <t xml:space="preserve">months</t>
  </si>
  <si>
    <t xml:space="preserve">First to last invoice dates</t>
  </si>
  <si>
    <t xml:space="preserve">Date diff</t>
  </si>
  <si>
    <t xml:space="preserve">labor_actual</t>
  </si>
  <si>
    <t xml:space="preserve">Labor Actual $</t>
  </si>
  <si>
    <t xml:space="preserve">Budget vs Actual</t>
  </si>
  <si>
    <t xml:space="preserve">JDR Labor cost codes (011, 100, 111, 112, etc.)</t>
  </si>
  <si>
    <t xml:space="preserve">SUM Labor actuals</t>
  </si>
  <si>
    <t xml:space="preserve">material_actual</t>
  </si>
  <si>
    <t xml:space="preserve">Material Actual $</t>
  </si>
  <si>
    <t xml:space="preserve">JDR Material cost codes (030-044)</t>
  </si>
  <si>
    <t xml:space="preserve">SUM Material actuals</t>
  </si>
  <si>
    <t xml:space="preserve">overhead_actual</t>
  </si>
  <si>
    <t xml:space="preserve">Overhead Actual $</t>
  </si>
  <si>
    <t xml:space="preserve">JDR Overhead cost codes (060-067)</t>
  </si>
  <si>
    <t xml:space="preserve">SUM Overhead actuals</t>
  </si>
  <si>
    <t xml:space="preserve">burden_actual</t>
  </si>
  <si>
    <t xml:space="preserve">Burden Actual $</t>
  </si>
  <si>
    <t xml:space="preserve">JDR Burden cost codes (810, 820, 830)</t>
  </si>
  <si>
    <t xml:space="preserve">SUM Burden actuals</t>
  </si>
  <si>
    <t xml:space="preserve">direct_cost_total</t>
  </si>
  <si>
    <t xml:space="preserve">Direct Cost Total</t>
  </si>
  <si>
    <t xml:space="preserve">Sum of L+M+OH+Burden from JDR</t>
  </si>
  <si>
    <t xml:space="preserve">labor+material+overhead+burden</t>
  </si>
  <si>
    <t xml:space="preserve">gross_profit</t>
  </si>
  <si>
    <t xml:space="preserve">Gross Profit</t>
  </si>
  <si>
    <t xml:space="preserve">project_revenue - direct_cost_total</t>
  </si>
  <si>
    <t xml:space="preserve">gross_margin_pct</t>
  </si>
  <si>
    <t xml:space="preserve">Gross Margin %</t>
  </si>
  <si>
    <t xml:space="preserve">%</t>
  </si>
  <si>
    <t xml:space="preserve">Gross Profit / Revenue</t>
  </si>
  <si>
    <t xml:space="preserve">gross_profit/project_revenue</t>
  </si>
  <si>
    <t xml:space="preserve">labor_hours_total</t>
  </si>
  <si>
    <t xml:space="preserve">hours</t>
  </si>
  <si>
    <t xml:space="preserve">Crew &amp; Labor</t>
  </si>
  <si>
    <t xml:space="preserve">JDR payroll entries — all Regular/OT hours summed</t>
  </si>
  <si>
    <t xml:space="preserve">SUM hours from JDR labor codes</t>
  </si>
  <si>
    <t xml:space="preserve">crew_headcount</t>
  </si>
  <si>
    <t xml:space="preserve">Crew Headcount</t>
  </si>
  <si>
    <t xml:space="preserve">count</t>
  </si>
  <si>
    <t xml:space="preserve">JDR unique worker codes</t>
  </si>
  <si>
    <t xml:space="preserve">DISTINCT worker codes</t>
  </si>
  <si>
    <t xml:space="preserve">blended_wage</t>
  </si>
  <si>
    <t xml:space="preserve">Blended Gross Wage ($/hr)</t>
  </si>
  <si>
    <t xml:space="preserve">USD/hr</t>
  </si>
  <si>
    <t xml:space="preserve">Total Labor $ / Total Hours</t>
  </si>
  <si>
    <t xml:space="preserve">labor_actual/labor_hours_total</t>
  </si>
  <si>
    <t xml:space="preserve">Plumbing permit + P-tag list</t>
  </si>
  <si>
    <t xml:space="preserve">Permit fixture counts</t>
  </si>
  <si>
    <t xml:space="preserve">Permit detail: 163 × 6 fixture types + 26 drains/sumps</t>
  </si>
  <si>
    <t xml:space="preserve">163 × 6 fixture types + drains/sumps</t>
  </si>
  <si>
    <t xml:space="preserve">ratio</t>
  </si>
  <si>
    <t xml:space="preserve">Derived</t>
  </si>
  <si>
    <t xml:space="preserve">total_fixtures/unit_count</t>
  </si>
  <si>
    <t xml:space="preserve">hrs/unit</t>
  </si>
  <si>
    <t xml:space="preserve">labor_hours_total/unit_count</t>
  </si>
  <si>
    <t xml:space="preserve">hrs/fix</t>
  </si>
  <si>
    <t xml:space="preserve">labor_hours_total/total_fixtures</t>
  </si>
  <si>
    <t xml:space="preserve">units/mo</t>
  </si>
  <si>
    <t xml:space="preserve">unit_count/project_duration_months</t>
  </si>
  <si>
    <t xml:space="preserve">USD/unit</t>
  </si>
  <si>
    <t xml:space="preserve">project_revenue/unit_count</t>
  </si>
  <si>
    <t xml:space="preserve">gross_profit/unit_count</t>
  </si>
  <si>
    <t xml:space="preserve">direct_cost_total/unit_count</t>
  </si>
  <si>
    <t xml:space="preserve">USD/fix</t>
  </si>
  <si>
    <t xml:space="preserve">project_revenue/total_fixtures</t>
  </si>
  <si>
    <t xml:space="preserve">vendor_count</t>
  </si>
  <si>
    <t xml:space="preserve">Vendor Count (AP)</t>
  </si>
  <si>
    <t xml:space="preserve">JDR AP entries — unique vendor codes</t>
  </si>
  <si>
    <t xml:space="preserve">DISTINCT vendor codes</t>
  </si>
  <si>
    <t xml:space="preserve">ap_total</t>
  </si>
  <si>
    <t xml:space="preserve">Total AP Spend</t>
  </si>
  <si>
    <t xml:space="preserve">JDR AP entries — sum of invoices</t>
  </si>
  <si>
    <t xml:space="preserve">SUM vendor.spend</t>
  </si>
  <si>
    <t xml:space="preserve">top_vendor_share_pct</t>
  </si>
  <si>
    <t xml:space="preserve">Top Vendor Share %</t>
  </si>
  <si>
    <t xml:space="preserve">JDR — largest vendor / total AP</t>
  </si>
  <si>
    <t xml:space="preserve">max(vendor.spend)/ap_total</t>
  </si>
  <si>
    <t xml:space="preserve">po_count</t>
  </si>
  <si>
    <t xml:space="preserve">Scheduled PO Count</t>
  </si>
  <si>
    <t xml:space="preserve">PO Commitments</t>
  </si>
  <si>
    <t xml:space="preserve">PO_s/8th po scheduled/ folder file count</t>
  </si>
  <si>
    <t xml:space="preserve">File-system count of .xls/.xlsx</t>
  </si>
  <si>
    <t xml:space="preserve">pay_app_count</t>
  </si>
  <si>
    <t xml:space="preserve">Pay Application Count</t>
  </si>
  <si>
    <t xml:space="preserve">Billing &amp; SOV</t>
  </si>
  <si>
    <t xml:space="preserve">8th Aggregate Billing.xlsx</t>
  </si>
  <si>
    <t xml:space="preserve">Count of pay app rows</t>
  </si>
  <si>
    <t xml:space="preserve">pay_app_first_date</t>
  </si>
  <si>
    <t xml:space="preserve">First Pay App Date</t>
  </si>
  <si>
    <t xml:space="preserve">date</t>
  </si>
  <si>
    <t xml:space="preserve">Aggregate billing row 6</t>
  </si>
  <si>
    <t xml:space="preserve">First date column</t>
  </si>
  <si>
    <t xml:space="preserve">pay_app_last_date</t>
  </si>
  <si>
    <t xml:space="preserve">Last Pay App Date</t>
  </si>
  <si>
    <t xml:space="preserve">Aggregate billing final row</t>
  </si>
  <si>
    <t xml:space="preserve">Last date column</t>
  </si>
  <si>
    <t xml:space="preserve">net_paid_to_owp</t>
  </si>
  <si>
    <t xml:space="preserve">Final contract - retainage</t>
  </si>
  <si>
    <t xml:space="preserve">project_revenue - retainage_held</t>
  </si>
  <si>
    <t xml:space="preserve">rfi_count_open</t>
  </si>
  <si>
    <t xml:space="preserve">RFIs Open (current)</t>
  </si>
  <si>
    <t xml:space="preserve">Predictive Signals</t>
  </si>
  <si>
    <t xml:space="preserve">Low</t>
  </si>
  <si>
    <t xml:space="preserve">ASI-RFI folder (empty)</t>
  </si>
  <si>
    <t xml:space="preserve">Count of open RFI rows</t>
  </si>
  <si>
    <t xml:space="preserve">rfi_count_closed</t>
  </si>
  <si>
    <t xml:space="preserve">RFIs Closed (total)</t>
  </si>
  <si>
    <t xml:space="preserve">Count of closed RFI rows</t>
  </si>
  <si>
    <t xml:space="preserve">rfi_avg_cycle_days</t>
  </si>
  <si>
    <t xml:space="preserve">RFI Avg Cycle Time</t>
  </si>
  <si>
    <t xml:space="preserve">days</t>
  </si>
  <si>
    <t xml:space="preserve">No RFI log available for 2012</t>
  </si>
  <si>
    <t xml:space="preserve">AVG(close_date - open_date)</t>
  </si>
  <si>
    <t xml:space="preserve">asi_count</t>
  </si>
  <si>
    <t xml:space="preserve">ASIs Issued</t>
  </si>
  <si>
    <t xml:space="preserve">Change Log</t>
  </si>
  <si>
    <t xml:space="preserve">Submittals/Kavela ASI 25 — 1 reference found</t>
  </si>
  <si>
    <t xml:space="preserve">Count of ASI events</t>
  </si>
  <si>
    <t xml:space="preserve">asi_unpriced_count</t>
  </si>
  <si>
    <t xml:space="preserve">ASIs Unpriced (backlog)</t>
  </si>
  <si>
    <t xml:space="preserve">No structured ASI log</t>
  </si>
  <si>
    <t xml:space="preserve">ASIs without linked COP</t>
  </si>
  <si>
    <t xml:space="preserve">co_count_total</t>
  </si>
  <si>
    <t xml:space="preserve">Change Order Count</t>
  </si>
  <si>
    <t xml:space="preserve">JCR shows aggregated CO line ($6,683 net)</t>
  </si>
  <si>
    <t xml:space="preserve">Count of CO events</t>
  </si>
  <si>
    <t xml:space="preserve">co_net_amount</t>
  </si>
  <si>
    <t xml:space="preserve">Net CO $ Amount</t>
  </si>
  <si>
    <t xml:space="preserve">JDR revised - original budgets</t>
  </si>
  <si>
    <t xml:space="preserve">co_ratio_pct</t>
  </si>
  <si>
    <t xml:space="preserve">CO % of Original</t>
  </si>
  <si>
    <t xml:space="preserve">co_net_amount/original_contract</t>
  </si>
  <si>
    <t xml:space="preserve">backcharge_count</t>
  </si>
  <si>
    <t xml:space="preserve">Backcharge Count</t>
  </si>
  <si>
    <t xml:space="preserve">Invoices/64-Backcharges/ — 5 PDFs</t>
  </si>
  <si>
    <t xml:space="preserve">File count</t>
  </si>
  <si>
    <t xml:space="preserve">backcharge_total</t>
  </si>
  <si>
    <t xml:space="preserve">Backcharge Total</t>
  </si>
  <si>
    <t xml:space="preserve">5 BC PDFs, amounts parsed from filenames/refs</t>
  </si>
  <si>
    <t xml:space="preserve">SUM backcharge amounts</t>
  </si>
  <si>
    <t xml:space="preserve">tm_billed_total</t>
  </si>
  <si>
    <t xml:space="preserve">T&amp;M Billed Total</t>
  </si>
  <si>
    <t xml:space="preserve">Cost code 038 T&amp;M in JDR — partial</t>
  </si>
  <si>
    <t xml:space="preserve">SUM cost code 038</t>
  </si>
  <si>
    <t xml:space="preserve">reconciliation_pass_count</t>
  </si>
  <si>
    <t xml:space="preserve">Reconciliation TIES Count</t>
  </si>
  <si>
    <t xml:space="preserve">Reconciliation</t>
  </si>
  <si>
    <t xml:space="preserve">10-section recon</t>
  </si>
  <si>
    <t xml:space="preserve">Count of TIES status rows</t>
  </si>
  <si>
    <t xml:space="preserve">reconciliation_fail_count</t>
  </si>
  <si>
    <t xml:space="preserve">Reconciliation OFF Count</t>
  </si>
  <si>
    <t xml:space="preserve">Count of OFF status rows</t>
  </si>
  <si>
    <t xml:space="preserve">Reconciliation — Cross-Tab Tie-out Proofs</t>
  </si>
  <si>
    <t xml:space="preserve">Live cross-sheet formulas verify data consistency across all 17 tabs</t>
  </si>
  <si>
    <t xml:space="preserve">Check</t>
  </si>
  <si>
    <t xml:space="preserve">Tab A</t>
  </si>
  <si>
    <t xml:space="preserve">Tab B</t>
  </si>
  <si>
    <t xml:space="preserve">Tabs</t>
  </si>
  <si>
    <t xml:space="preserve">A. OVERVIEW ↔ BENCHMARK KPIS</t>
  </si>
  <si>
    <t xml:space="preserve">1↔2↔11</t>
  </si>
  <si>
    <t xml:space="preserve">Contract Final Value</t>
  </si>
  <si>
    <t xml:space="preserve">JDR↔11</t>
  </si>
  <si>
    <t xml:space="preserve">B. OVERVIEW ↔ COST BREAKDOWN (Category Actuals)</t>
  </si>
  <si>
    <t xml:space="preserve">Labor Actual</t>
  </si>
  <si>
    <t xml:space="preserve">1↔3</t>
  </si>
  <si>
    <t xml:space="preserve">Material Actual</t>
  </si>
  <si>
    <t xml:space="preserve">Overhead Actual</t>
  </si>
  <si>
    <t xml:space="preserve">Burden Actual</t>
  </si>
  <si>
    <t xml:space="preserve">C. BUDGET vs ACTUAL ↔ OVERVIEW</t>
  </si>
  <si>
    <t xml:space="preserve">Actual Direct Cost</t>
  </si>
  <si>
    <t xml:space="preserve">2↔1</t>
  </si>
  <si>
    <t xml:space="preserve">Revised Budget Total</t>
  </si>
  <si>
    <t xml:space="preserve">D. MATERIAL ↔ COST BREAKDOWN ↔ KPIS</t>
  </si>
  <si>
    <t xml:space="preserve">Material Actual (Material tab)</t>
  </si>
  <si>
    <t xml:space="preserve">4↔3</t>
  </si>
  <si>
    <t xml:space="preserve">Material Actual (KPIs)</t>
  </si>
  <si>
    <t xml:space="preserve">11↔3</t>
  </si>
  <si>
    <t xml:space="preserve">E. CREW &amp; LABOR ↔ PRODUCTIVITY ↔ KPIS (Hours)</t>
  </si>
  <si>
    <t xml:space="preserve">Total Hours (Crew tab)</t>
  </si>
  <si>
    <t xml:space="preserve">5↔11</t>
  </si>
  <si>
    <t xml:space="preserve">Total Hours (Productivity tab)</t>
  </si>
  <si>
    <t xml:space="preserve">7↔11</t>
  </si>
  <si>
    <t xml:space="preserve">F. CREW ANALYTICS ↔ KPIS (Wage Statistics)</t>
  </si>
  <si>
    <t xml:space="preserve">6↔11</t>
  </si>
  <si>
    <t xml:space="preserve">G. PO COMMITMENTS ↔ KPIS</t>
  </si>
  <si>
    <t xml:space="preserve">8↔11</t>
  </si>
  <si>
    <t xml:space="preserve">H. BILLING &amp; SOV ↔ JDR</t>
  </si>
  <si>
    <t xml:space="preserve">9↔JDR</t>
  </si>
  <si>
    <t xml:space="preserve">I. VENDORS ↔ KPIS</t>
  </si>
  <si>
    <t xml:space="preserve">Vendor Count</t>
  </si>
  <si>
    <t xml:space="preserve">12↔11</t>
  </si>
  <si>
    <t xml:space="preserve">12↔JDR</t>
  </si>
  <si>
    <t xml:space="preserve">J. INSIGHTS (Narrative Review)</t>
  </si>
  <si>
    <t xml:space="preserve">10 insight cards — narrative text verified at generation time, no formula check applicable</t>
  </si>
  <si>
    <t xml:space="preserve">K. CHANGE LOG ↔ KPIs / OVERVIEW</t>
  </si>
  <si>
    <t xml:space="preserve">Net impact (all Change Log events)</t>
  </si>
  <si>
    <t xml:space="preserve">13↔14</t>
  </si>
  <si>
    <t xml:space="preserve">Backcharge Count (events)</t>
  </si>
  <si>
    <t xml:space="preserve">13↔15</t>
  </si>
  <si>
    <t xml:space="preserve">L. ROOT CAUSE ANALYSIS ↔ CHANGE LOG</t>
  </si>
  <si>
    <t xml:space="preserve">Total Event Count</t>
  </si>
  <si>
    <t xml:space="preserve">14↔13</t>
  </si>
  <si>
    <t xml:space="preserve">Net $ Impact (all events)</t>
  </si>
  <si>
    <t xml:space="preserve">M. PREDICTIVE SIGNALS ↔ CHANGE LOG / KPIs</t>
  </si>
  <si>
    <t xml:space="preserve">Backcharge Count signal</t>
  </si>
  <si>
    <t xml:space="preserve">15↔13</t>
  </si>
  <si>
    <t xml:space="preserve">Cumulative CO Ratio</t>
  </si>
  <si>
    <t xml:space="preserve">15↔11</t>
  </si>
  <si>
    <t xml:space="preserve">N. METRIC REGISTRY ↔ SOURCE TABS</t>
  </si>
  <si>
    <t xml:space="preserve">project_revenue (row 9)</t>
  </si>
  <si>
    <t xml:space="preserve">16↔11</t>
  </si>
  <si>
    <t xml:space="preserve">unit_count (row 24)</t>
  </si>
  <si>
    <t xml:space="preserve">total_fixtures (row 25)</t>
  </si>
  <si>
    <t xml:space="preserve">direct_cost_total (row 18)</t>
  </si>
  <si>
    <t xml:space="preserve">16↔1</t>
  </si>
  <si>
    <t xml:space="preserve">po_count (row 37)</t>
  </si>
  <si>
    <t xml:space="preserve">17-tab Cortex v2 layout: 12 analytical + Change Log + Root Cause + Predictive Signals + Metric Registry + Reconciliation</t>
  </si>
  <si>
    <t xml:space="preserve">Change artifacts: Submittals/Kavela ASI 25, Invoices/64-Backcharges (5 PDFs), Cost code 038 T&amp;M</t>
  </si>
  <si>
    <t xml:space="preserve">Fixture count (1,004) from permit detail: 163 × 6 fixture types + 5 floor drains + 18 roof drains + 1 indirect + 2 sump/ejector</t>
  </si>
  <si>
    <t xml:space="preserve">TIES = within $1 / 5 hrs / exact count / 0.01%  •  WITHIN = within 5%  •  OFF = investigate</t>
  </si>
  <si>
    <t xml:space="preserve">Cross-sheet formulas (='Tab'!Cell) update automatically when source tabs change</t>
  </si>
  <si>
    <t xml:space="preserve">Tabs: 1=Overview  2=BvA  3=CostBkdn  4=Material  5=Crew  6=CrewAnalytics  7=Productivity  8=PO  9=Billing</t>
  </si>
  <si>
    <t xml:space="preserve">      10=Insights  11=KPIs  12=Vendors  13=ChangeLog  14=RootCause  15=PredictiveSignals  16=MetricRegistry  17=Reconciliation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</si>
</sst>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0.0%"/>
    <numFmt numFmtId="173" formatCode="0.00%"/>
    <numFmt numFmtId="174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FE6E6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  <fill>
      <patternFill patternType="solid">
        <fgColor rgb="FFFFE6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E6"/>
      <rgbColor rgb="FF99CCFF"/>
      <rgbColor rgb="FFFF99CC"/>
      <rgbColor rgb="FFCC99FF"/>
      <rgbColor rgb="FFE5E7EB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6" t="s">
        <v>15</v>
      </c>
      <c r="D13" s="6" t="s">
        <v>16</v>
      </c>
      <c r="F13" s="6" t="s">
        <v>17</v>
      </c>
      <c r="H13" s="6" t="s">
        <v>18</v>
      </c>
    </row>
    <row r="14" customFormat="false" ht="17.35" hidden="false" customHeight="false" outlineLevel="0" collapsed="false">
      <c r="B14" s="7" t="s">
        <v>19</v>
      </c>
      <c r="D14" s="7" t="s">
        <v>20</v>
      </c>
      <c r="F14" s="7" t="s">
        <v>21</v>
      </c>
      <c r="H14" s="7" t="s">
        <v>22</v>
      </c>
    </row>
    <row r="15" customFormat="false" ht="15" hidden="false" customHeight="false" outlineLevel="0" collapsed="false">
      <c r="B15" s="8" t="s">
        <v>23</v>
      </c>
      <c r="D15" s="8" t="s">
        <v>24</v>
      </c>
      <c r="F15" s="8" t="s">
        <v>25</v>
      </c>
      <c r="H15" s="8" t="s">
        <v>26</v>
      </c>
    </row>
    <row r="18" customFormat="false" ht="15" hidden="false" customHeight="false" outlineLevel="0" collapsed="false">
      <c r="B18" s="3" t="s">
        <v>27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4" t="s">
        <v>34</v>
      </c>
      <c r="C20" s="10" t="n">
        <v>305975</v>
      </c>
      <c r="D20" s="10" t="n">
        <v>291321.88</v>
      </c>
      <c r="E20" s="10" t="n">
        <f aca="false">C20-D20</f>
        <v>14653.12</v>
      </c>
      <c r="F20" s="11" t="n">
        <f aca="false">IF(C20=0,0,D20/C20)</f>
        <v>0.95211007435248</v>
      </c>
      <c r="G20" s="11" t="n">
        <f aca="false">IF($D$24=0,0,D20/$D$24)</f>
        <v>0.344107519227586</v>
      </c>
    </row>
    <row r="21" customFormat="false" ht="15" hidden="false" customHeight="false" outlineLevel="0" collapsed="false">
      <c r="B21" s="4" t="s">
        <v>35</v>
      </c>
      <c r="C21" s="10" t="n">
        <v>561666</v>
      </c>
      <c r="D21" s="10" t="n">
        <v>390750.86</v>
      </c>
      <c r="E21" s="10" t="n">
        <f aca="false">C21-D21</f>
        <v>170915.14</v>
      </c>
      <c r="F21" s="11" t="n">
        <f aca="false">IF(C21=0,0,D21/C21)</f>
        <v>0.695699686290429</v>
      </c>
      <c r="G21" s="11" t="n">
        <f aca="false">IF($D$24=0,0,D21/$D$24)</f>
        <v>0.461552386901547</v>
      </c>
    </row>
    <row r="22" customFormat="false" ht="15" hidden="false" customHeight="false" outlineLevel="0" collapsed="false">
      <c r="B22" s="4" t="s">
        <v>36</v>
      </c>
      <c r="C22" s="10" t="n">
        <v>33000</v>
      </c>
      <c r="D22" s="10" t="n">
        <v>15938.74</v>
      </c>
      <c r="E22" s="10" t="n">
        <f aca="false">C22-D22</f>
        <v>17061.26</v>
      </c>
      <c r="F22" s="11" t="n">
        <f aca="false">IF(C22=0,0,D22/C22)</f>
        <v>0.482992121212121</v>
      </c>
      <c r="G22" s="11" t="n">
        <f aca="false">IF($D$24=0,0,D22/$D$24)</f>
        <v>0.0188267365328464</v>
      </c>
    </row>
    <row r="23" customFormat="false" ht="15" hidden="false" customHeight="false" outlineLevel="0" collapsed="false">
      <c r="B23" s="4" t="s">
        <v>37</v>
      </c>
      <c r="C23" s="10" t="n">
        <v>147117.15</v>
      </c>
      <c r="D23" s="10" t="n">
        <v>148589.84</v>
      </c>
      <c r="E23" s="10" t="n">
        <f aca="false">C23-D23</f>
        <v>-1472.69</v>
      </c>
      <c r="F23" s="11" t="n">
        <f aca="false">IF(C23=0,0,D23/C23)</f>
        <v>1.0100103217062</v>
      </c>
      <c r="G23" s="11" t="n">
        <f aca="false">IF($D$24=0,0,D23/$D$24)</f>
        <v>0.175513357338021</v>
      </c>
    </row>
    <row r="24" customFormat="false" ht="15" hidden="false" customHeight="false" outlineLevel="0" collapsed="false">
      <c r="B24" s="5" t="s">
        <v>38</v>
      </c>
      <c r="C24" s="12" t="n">
        <f aca="false">SUM(C20:C23)</f>
        <v>1047758.15</v>
      </c>
      <c r="D24" s="12" t="n">
        <f aca="false">SUM(D20:D23)</f>
        <v>846601.32</v>
      </c>
      <c r="E24" s="12" t="n">
        <f aca="false">C24-D24</f>
        <v>201156.83</v>
      </c>
      <c r="F24" s="13" t="n">
        <f aca="false">IF(C24=0,0,D24/C24)</f>
        <v>0.808012154331608</v>
      </c>
      <c r="G24" s="13" t="n">
        <v>1</v>
      </c>
    </row>
    <row r="27" customFormat="false" ht="15" hidden="false" customHeight="false" outlineLevel="0" collapsed="false">
      <c r="B27" s="3" t="s">
        <v>39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5" t="s">
        <v>40</v>
      </c>
      <c r="C28" s="5" t="s">
        <v>41</v>
      </c>
      <c r="D28" s="5" t="s">
        <v>40</v>
      </c>
      <c r="E28" s="5" t="s">
        <v>41</v>
      </c>
      <c r="F28" s="5" t="s">
        <v>40</v>
      </c>
      <c r="G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  <c r="D29" s="4" t="s">
        <v>44</v>
      </c>
      <c r="E29" s="5" t="s">
        <v>43</v>
      </c>
      <c r="F29" s="4" t="s">
        <v>45</v>
      </c>
      <c r="G29" s="5" t="s">
        <v>43</v>
      </c>
    </row>
    <row r="30" customFormat="false" ht="15" hidden="false" customHeight="false" outlineLevel="0" collapsed="false">
      <c r="B30" s="4" t="s">
        <v>46</v>
      </c>
      <c r="C30" s="5" t="s">
        <v>43</v>
      </c>
      <c r="D30" s="4" t="s">
        <v>47</v>
      </c>
      <c r="E30" s="5" t="s">
        <v>43</v>
      </c>
      <c r="F30" s="4" t="s">
        <v>48</v>
      </c>
      <c r="G30" s="5" t="s">
        <v>43</v>
      </c>
    </row>
    <row r="31" customFormat="false" ht="15" hidden="false" customHeight="false" outlineLevel="0" collapsed="false">
      <c r="B31" s="4" t="s">
        <v>49</v>
      </c>
      <c r="C31" s="5" t="s">
        <v>43</v>
      </c>
      <c r="D31" s="4" t="s">
        <v>50</v>
      </c>
      <c r="E31" s="5" t="s">
        <v>51</v>
      </c>
      <c r="F31" s="4" t="s">
        <v>52</v>
      </c>
      <c r="G31" s="5" t="s">
        <v>53</v>
      </c>
    </row>
    <row r="32" customFormat="false" ht="15" hidden="false" customHeight="false" outlineLevel="0" collapsed="false">
      <c r="B32" s="4" t="s">
        <v>54</v>
      </c>
      <c r="C32" s="5" t="s">
        <v>55</v>
      </c>
      <c r="D32" s="4" t="s">
        <v>56</v>
      </c>
      <c r="E32" s="5" t="s">
        <v>57</v>
      </c>
      <c r="F32" s="4" t="s">
        <v>58</v>
      </c>
      <c r="G32" s="5" t="s">
        <v>59</v>
      </c>
    </row>
    <row r="33" customFormat="false" ht="15" hidden="false" customHeight="false" outlineLevel="0" collapsed="false">
      <c r="B33" s="4" t="s">
        <v>60</v>
      </c>
      <c r="C33" s="5" t="s">
        <v>61</v>
      </c>
    </row>
    <row r="36" customFormat="false" ht="15" hidden="false" customHeight="false" outlineLevel="0" collapsed="false">
      <c r="B36" s="3" t="s">
        <v>62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" t="s">
        <v>63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64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65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66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67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68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69</v>
      </c>
      <c r="C43" s="2"/>
      <c r="D43" s="2"/>
      <c r="E43" s="2"/>
      <c r="F43" s="2"/>
      <c r="G43" s="2"/>
    </row>
    <row r="44" customFormat="false" ht="15" hidden="false" customHeight="false" outlineLevel="0" collapsed="false">
      <c r="B44" s="2" t="s">
        <v>70</v>
      </c>
      <c r="C44" s="2"/>
      <c r="D44" s="2"/>
      <c r="E44" s="2"/>
      <c r="F44" s="2"/>
      <c r="G44" s="2"/>
    </row>
  </sheetData>
  <mergeCells count="14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" t="s">
        <v>71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72</v>
      </c>
      <c r="C4" s="9" t="s">
        <v>73</v>
      </c>
      <c r="D4" s="9" t="s">
        <v>74</v>
      </c>
      <c r="E4" s="9" t="s">
        <v>75</v>
      </c>
      <c r="F4" s="9" t="s">
        <v>30</v>
      </c>
      <c r="G4" s="9" t="s">
        <v>31</v>
      </c>
      <c r="H4" s="9" t="s">
        <v>76</v>
      </c>
    </row>
    <row r="5" customFormat="false" ht="15" hidden="false" customHeight="false" outlineLevel="0" collapsed="false">
      <c r="B5" s="3" t="s">
        <v>77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78</v>
      </c>
      <c r="C6" s="4" t="s">
        <v>79</v>
      </c>
      <c r="D6" s="10" t="n">
        <v>12500</v>
      </c>
      <c r="E6" s="10" t="n">
        <v>12500</v>
      </c>
      <c r="F6" s="10" t="n">
        <v>3752.5</v>
      </c>
      <c r="G6" s="10" t="n">
        <f aca="false">E6-F6</f>
        <v>8747.5</v>
      </c>
      <c r="H6" s="11" t="n">
        <f aca="false">IF(E6=0,0,F6/E6)</f>
        <v>0.3002</v>
      </c>
    </row>
    <row r="7" customFormat="false" ht="15" hidden="false" customHeight="false" outlineLevel="0" collapsed="false">
      <c r="B7" s="4" t="s">
        <v>80</v>
      </c>
      <c r="C7" s="4" t="s">
        <v>81</v>
      </c>
      <c r="D7" s="10" t="n">
        <v>8100</v>
      </c>
      <c r="E7" s="10" t="n">
        <v>8100</v>
      </c>
      <c r="F7" s="10" t="n">
        <v>6023</v>
      </c>
      <c r="G7" s="10" t="n">
        <f aca="false">E7-F7</f>
        <v>2077</v>
      </c>
      <c r="H7" s="11" t="n">
        <f aca="false">IF(E7=0,0,F7/E7)</f>
        <v>0.74358024691358</v>
      </c>
    </row>
    <row r="8" customFormat="false" ht="15" hidden="false" customHeight="false" outlineLevel="0" collapsed="false">
      <c r="B8" s="4" t="s">
        <v>82</v>
      </c>
      <c r="C8" s="4" t="s">
        <v>83</v>
      </c>
      <c r="D8" s="10" t="n">
        <v>12150</v>
      </c>
      <c r="E8" s="10" t="n">
        <v>12150</v>
      </c>
      <c r="F8" s="10" t="n">
        <v>6161.5</v>
      </c>
      <c r="G8" s="10" t="n">
        <f aca="false">E8-F8</f>
        <v>5988.5</v>
      </c>
      <c r="H8" s="11" t="n">
        <f aca="false">IF(E8=0,0,F8/E8)</f>
        <v>0.507119341563786</v>
      </c>
    </row>
    <row r="9" customFormat="false" ht="15" hidden="false" customHeight="false" outlineLevel="0" collapsed="false">
      <c r="B9" s="4" t="s">
        <v>84</v>
      </c>
      <c r="C9" s="4" t="s">
        <v>85</v>
      </c>
      <c r="D9" s="10" t="n">
        <v>5800</v>
      </c>
      <c r="E9" s="10" t="n">
        <v>5800</v>
      </c>
      <c r="F9" s="10" t="n">
        <v>3184.25</v>
      </c>
      <c r="G9" s="10" t="n">
        <f aca="false">E9-F9</f>
        <v>2615.75</v>
      </c>
      <c r="H9" s="11" t="n">
        <f aca="false">IF(E9=0,0,F9/E9)</f>
        <v>0.549008620689655</v>
      </c>
    </row>
    <row r="10" customFormat="false" ht="15" hidden="false" customHeight="false" outlineLevel="0" collapsed="false">
      <c r="B10" s="4" t="s">
        <v>86</v>
      </c>
      <c r="C10" s="4" t="s">
        <v>87</v>
      </c>
      <c r="D10" s="10" t="n">
        <v>14600</v>
      </c>
      <c r="E10" s="10" t="n">
        <v>14600</v>
      </c>
      <c r="F10" s="10" t="n">
        <v>19353.5</v>
      </c>
      <c r="G10" s="10" t="n">
        <f aca="false">E10-F10</f>
        <v>-4753.5</v>
      </c>
      <c r="H10" s="11" t="n">
        <f aca="false">IF(E10=0,0,F10/E10)</f>
        <v>1.32558219178082</v>
      </c>
    </row>
    <row r="11" customFormat="false" ht="15" hidden="false" customHeight="false" outlineLevel="0" collapsed="false">
      <c r="B11" s="4" t="s">
        <v>88</v>
      </c>
      <c r="C11" s="4" t="s">
        <v>89</v>
      </c>
      <c r="D11" s="10" t="n">
        <v>11700</v>
      </c>
      <c r="E11" s="10" t="n">
        <v>11700</v>
      </c>
      <c r="F11" s="10" t="n">
        <v>5424</v>
      </c>
      <c r="G11" s="10" t="n">
        <f aca="false">E11-F11</f>
        <v>6276</v>
      </c>
      <c r="H11" s="11" t="n">
        <f aca="false">IF(E11=0,0,F11/E11)</f>
        <v>0.463589743589744</v>
      </c>
    </row>
    <row r="12" customFormat="false" ht="15" hidden="false" customHeight="false" outlineLevel="0" collapsed="false">
      <c r="B12" s="4" t="s">
        <v>90</v>
      </c>
      <c r="C12" s="4" t="s">
        <v>91</v>
      </c>
      <c r="D12" s="10" t="n">
        <v>2700</v>
      </c>
      <c r="E12" s="10" t="n">
        <v>2700</v>
      </c>
      <c r="F12" s="10" t="n">
        <v>984</v>
      </c>
      <c r="G12" s="10" t="n">
        <f aca="false">E12-F12</f>
        <v>1716</v>
      </c>
      <c r="H12" s="11" t="n">
        <f aca="false">IF(E12=0,0,F12/E12)</f>
        <v>0.364444444444444</v>
      </c>
    </row>
    <row r="13" customFormat="false" ht="15" hidden="false" customHeight="false" outlineLevel="0" collapsed="false">
      <c r="B13" s="4" t="s">
        <v>92</v>
      </c>
      <c r="C13" s="4" t="s">
        <v>93</v>
      </c>
      <c r="D13" s="10" t="n">
        <v>139800</v>
      </c>
      <c r="E13" s="10" t="n">
        <v>139800</v>
      </c>
      <c r="F13" s="10" t="n">
        <v>177291.75</v>
      </c>
      <c r="G13" s="10" t="n">
        <f aca="false">E13-F13</f>
        <v>-37491.75</v>
      </c>
      <c r="H13" s="11" t="n">
        <f aca="false">IF(E13=0,0,F13/E13)</f>
        <v>1.2681813304721</v>
      </c>
    </row>
    <row r="14" customFormat="false" ht="15" hidden="false" customHeight="false" outlineLevel="0" collapsed="false">
      <c r="B14" s="4" t="s">
        <v>94</v>
      </c>
      <c r="C14" s="4" t="s">
        <v>95</v>
      </c>
      <c r="D14" s="10" t="n">
        <v>31000</v>
      </c>
      <c r="E14" s="10" t="n">
        <v>31000</v>
      </c>
      <c r="F14" s="10" t="n">
        <v>34658.38</v>
      </c>
      <c r="G14" s="10" t="n">
        <f aca="false">E14-F14</f>
        <v>-3658.38</v>
      </c>
      <c r="H14" s="11" t="n">
        <f aca="false">IF(E14=0,0,F14/E14)</f>
        <v>1.11801225806452</v>
      </c>
    </row>
    <row r="15" customFormat="false" ht="15" hidden="false" customHeight="false" outlineLevel="0" collapsed="false">
      <c r="B15" s="4" t="s">
        <v>96</v>
      </c>
      <c r="C15" s="4" t="s">
        <v>97</v>
      </c>
      <c r="D15" s="10" t="n">
        <v>3300</v>
      </c>
      <c r="E15" s="10" t="n">
        <v>3300</v>
      </c>
      <c r="F15" s="10" t="n">
        <v>2168</v>
      </c>
      <c r="G15" s="10" t="n">
        <f aca="false">E15-F15</f>
        <v>1132</v>
      </c>
      <c r="H15" s="11" t="n">
        <f aca="false">IF(E15=0,0,F15/E15)</f>
        <v>0.656969696969697</v>
      </c>
    </row>
    <row r="16" customFormat="false" ht="15" hidden="false" customHeight="false" outlineLevel="0" collapsed="false">
      <c r="B16" s="4" t="s">
        <v>98</v>
      </c>
      <c r="C16" s="4" t="s">
        <v>99</v>
      </c>
      <c r="D16" s="10" t="n">
        <v>41000</v>
      </c>
      <c r="E16" s="10" t="n">
        <v>41000</v>
      </c>
      <c r="F16" s="10" t="n">
        <v>15756</v>
      </c>
      <c r="G16" s="10" t="n">
        <f aca="false">E16-F16</f>
        <v>25244</v>
      </c>
      <c r="H16" s="11" t="n">
        <f aca="false">IF(E16=0,0,F16/E16)</f>
        <v>0.384292682926829</v>
      </c>
    </row>
    <row r="17" customFormat="false" ht="15" hidden="false" customHeight="false" outlineLevel="0" collapsed="false">
      <c r="B17" s="4" t="s">
        <v>100</v>
      </c>
      <c r="C17" s="4" t="s">
        <v>101</v>
      </c>
      <c r="D17" s="10" t="n">
        <v>3525</v>
      </c>
      <c r="E17" s="10" t="n">
        <v>3525</v>
      </c>
      <c r="F17" s="10" t="n">
        <v>9784</v>
      </c>
      <c r="G17" s="10" t="n">
        <f aca="false">E17-F17</f>
        <v>-6259</v>
      </c>
      <c r="H17" s="11" t="n">
        <f aca="false">IF(E17=0,0,F17/E17)</f>
        <v>2.77560283687943</v>
      </c>
    </row>
    <row r="18" customFormat="false" ht="15" hidden="false" customHeight="false" outlineLevel="0" collapsed="false">
      <c r="B18" s="4" t="s">
        <v>102</v>
      </c>
      <c r="C18" s="4" t="s">
        <v>103</v>
      </c>
      <c r="D18" s="10" t="n">
        <v>19800</v>
      </c>
      <c r="E18" s="10" t="n">
        <v>19800</v>
      </c>
      <c r="F18" s="10" t="n">
        <v>6781</v>
      </c>
      <c r="G18" s="10" t="n">
        <f aca="false">E18-F18</f>
        <v>13019</v>
      </c>
      <c r="H18" s="11" t="n">
        <f aca="false">IF(E18=0,0,F18/E18)</f>
        <v>0.342474747474748</v>
      </c>
    </row>
    <row r="19" customFormat="false" ht="15" hidden="false" customHeight="false" outlineLevel="0" collapsed="false">
      <c r="B19" s="3" t="s">
        <v>104</v>
      </c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B20" s="4" t="s">
        <v>105</v>
      </c>
      <c r="C20" s="4" t="s">
        <v>106</v>
      </c>
      <c r="D20" s="10" t="n">
        <v>17900</v>
      </c>
      <c r="E20" s="10" t="n">
        <v>17900</v>
      </c>
      <c r="F20" s="10" t="n">
        <v>5066.8</v>
      </c>
      <c r="G20" s="10" t="n">
        <f aca="false">E20-F20</f>
        <v>12833.2</v>
      </c>
      <c r="H20" s="11" t="n">
        <f aca="false">IF(E20=0,0,F20/E20)</f>
        <v>0.283061452513966</v>
      </c>
    </row>
    <row r="21" customFormat="false" ht="15" hidden="false" customHeight="false" outlineLevel="0" collapsed="false">
      <c r="B21" s="4" t="s">
        <v>107</v>
      </c>
      <c r="C21" s="4" t="s">
        <v>108</v>
      </c>
      <c r="D21" s="10" t="n">
        <v>4300</v>
      </c>
      <c r="E21" s="10" t="n">
        <v>4300</v>
      </c>
      <c r="F21" s="10" t="n">
        <v>1635.51</v>
      </c>
      <c r="G21" s="10" t="n">
        <f aca="false">E21-F21</f>
        <v>2664.49</v>
      </c>
      <c r="H21" s="11" t="n">
        <f aca="false">IF(E21=0,0,F21/E21)</f>
        <v>0.380351162790698</v>
      </c>
    </row>
    <row r="22" customFormat="false" ht="15" hidden="false" customHeight="false" outlineLevel="0" collapsed="false">
      <c r="B22" s="4" t="s">
        <v>109</v>
      </c>
      <c r="C22" s="4" t="s">
        <v>110</v>
      </c>
      <c r="D22" s="10" t="n">
        <v>11970</v>
      </c>
      <c r="E22" s="10" t="n">
        <v>11970</v>
      </c>
      <c r="F22" s="10" t="n">
        <v>6599.03</v>
      </c>
      <c r="G22" s="10" t="n">
        <f aca="false">E22-F22</f>
        <v>5370.97</v>
      </c>
      <c r="H22" s="11" t="n">
        <f aca="false">IF(E22=0,0,F22/E22)</f>
        <v>0.551297410192147</v>
      </c>
    </row>
    <row r="23" customFormat="false" ht="15" hidden="false" customHeight="false" outlineLevel="0" collapsed="false">
      <c r="B23" s="4" t="s">
        <v>111</v>
      </c>
      <c r="C23" s="4" t="s">
        <v>112</v>
      </c>
      <c r="D23" s="10" t="n">
        <v>13130</v>
      </c>
      <c r="E23" s="10" t="n">
        <v>13130</v>
      </c>
      <c r="F23" s="10" t="n">
        <v>8579.19</v>
      </c>
      <c r="G23" s="10" t="n">
        <f aca="false">E23-F23</f>
        <v>4550.81</v>
      </c>
      <c r="H23" s="11" t="n">
        <f aca="false">IF(E23=0,0,F23/E23)</f>
        <v>0.65340365575019</v>
      </c>
    </row>
    <row r="24" customFormat="false" ht="15" hidden="false" customHeight="false" outlineLevel="0" collapsed="false">
      <c r="B24" s="4" t="s">
        <v>113</v>
      </c>
      <c r="C24" s="4" t="s">
        <v>114</v>
      </c>
      <c r="D24" s="10" t="n">
        <v>2700</v>
      </c>
      <c r="E24" s="10" t="n">
        <v>2700</v>
      </c>
      <c r="F24" s="10" t="n">
        <v>1789.12</v>
      </c>
      <c r="G24" s="10" t="n">
        <f aca="false">E24-F24</f>
        <v>910.88</v>
      </c>
      <c r="H24" s="11" t="n">
        <f aca="false">IF(E24=0,0,F24/E24)</f>
        <v>0.662637037037037</v>
      </c>
    </row>
    <row r="25" customFormat="false" ht="15" hidden="false" customHeight="false" outlineLevel="0" collapsed="false">
      <c r="B25" s="4" t="s">
        <v>115</v>
      </c>
      <c r="C25" s="4" t="s">
        <v>116</v>
      </c>
      <c r="D25" s="10" t="n">
        <v>161200</v>
      </c>
      <c r="E25" s="10" t="n">
        <v>161200</v>
      </c>
      <c r="F25" s="10" t="n">
        <v>94000.7</v>
      </c>
      <c r="G25" s="10" t="n">
        <f aca="false">E25-F25</f>
        <v>67199.3</v>
      </c>
      <c r="H25" s="11" t="n">
        <f aca="false">IF(E25=0,0,F25/E25)</f>
        <v>0.583130893300248</v>
      </c>
    </row>
    <row r="26" customFormat="false" ht="15" hidden="false" customHeight="false" outlineLevel="0" collapsed="false">
      <c r="B26" s="4" t="s">
        <v>117</v>
      </c>
      <c r="C26" s="4" t="s">
        <v>118</v>
      </c>
      <c r="D26" s="10" t="n">
        <v>261600</v>
      </c>
      <c r="E26" s="10" t="n">
        <v>269866</v>
      </c>
      <c r="F26" s="10" t="n">
        <v>210145.22</v>
      </c>
      <c r="G26" s="10" t="n">
        <f aca="false">E26-F26</f>
        <v>59720.78</v>
      </c>
      <c r="H26" s="11" t="n">
        <f aca="false">IF(E26=0,0,F26/E26)</f>
        <v>0.778702096596089</v>
      </c>
    </row>
    <row r="27" customFormat="false" ht="15" hidden="false" customHeight="false" outlineLevel="0" collapsed="false">
      <c r="B27" s="4" t="s">
        <v>119</v>
      </c>
      <c r="C27" s="4" t="s">
        <v>120</v>
      </c>
      <c r="D27" s="10" t="n">
        <v>3000</v>
      </c>
      <c r="E27" s="10" t="n">
        <v>3000</v>
      </c>
      <c r="F27" s="10" t="n">
        <v>996.32</v>
      </c>
      <c r="G27" s="10" t="n">
        <f aca="false">E27-F27</f>
        <v>2003.68</v>
      </c>
      <c r="H27" s="11" t="n">
        <f aca="false">IF(E27=0,0,F27/E27)</f>
        <v>0.332106666666667</v>
      </c>
    </row>
    <row r="28" customFormat="false" ht="15" hidden="false" customHeight="false" outlineLevel="0" collapsed="false">
      <c r="B28" s="4" t="s">
        <v>121</v>
      </c>
      <c r="C28" s="4" t="s">
        <v>122</v>
      </c>
      <c r="D28" s="10" t="n">
        <v>65600</v>
      </c>
      <c r="E28" s="10" t="n">
        <v>65600</v>
      </c>
      <c r="F28" s="10" t="n">
        <v>36964.67</v>
      </c>
      <c r="G28" s="10" t="n">
        <f aca="false">E28-F28</f>
        <v>28635.33</v>
      </c>
      <c r="H28" s="11" t="n">
        <f aca="false">IF(E28=0,0,F28/E28)</f>
        <v>0.563485823170732</v>
      </c>
    </row>
    <row r="29" customFormat="false" ht="15" hidden="false" customHeight="false" outlineLevel="0" collapsed="false">
      <c r="B29" s="4" t="s">
        <v>123</v>
      </c>
      <c r="C29" s="4" t="s">
        <v>124</v>
      </c>
      <c r="D29" s="10" t="n">
        <v>12000</v>
      </c>
      <c r="E29" s="10" t="n">
        <v>12000</v>
      </c>
      <c r="F29" s="10" t="n">
        <v>22695.31</v>
      </c>
      <c r="G29" s="10" t="n">
        <f aca="false">E29-F29</f>
        <v>-10695.31</v>
      </c>
      <c r="H29" s="11" t="n">
        <f aca="false">IF(E29=0,0,F29/E29)</f>
        <v>1.89127583333333</v>
      </c>
    </row>
    <row r="30" customFormat="false" ht="15" hidden="false" customHeight="false" outlineLevel="0" collapsed="false">
      <c r="B30" s="4" t="s">
        <v>125</v>
      </c>
      <c r="C30" s="4" t="s">
        <v>126</v>
      </c>
      <c r="D30" s="10" t="n">
        <v>0</v>
      </c>
      <c r="E30" s="10" t="n">
        <v>0</v>
      </c>
      <c r="F30" s="10" t="n">
        <v>2278.99</v>
      </c>
      <c r="G30" s="10" t="n">
        <f aca="false">E30-F30</f>
        <v>-2278.99</v>
      </c>
      <c r="H30" s="11" t="n">
        <f aca="false">IF(E30=0,0,F30/E30)</f>
        <v>0</v>
      </c>
    </row>
    <row r="31" customFormat="false" ht="15" hidden="false" customHeight="false" outlineLevel="0" collapsed="false">
      <c r="B31" s="3" t="s">
        <v>127</v>
      </c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B32" s="4" t="s">
        <v>128</v>
      </c>
      <c r="C32" s="4" t="s">
        <v>129</v>
      </c>
      <c r="D32" s="10" t="n">
        <v>1000</v>
      </c>
      <c r="E32" s="10" t="n">
        <v>1000</v>
      </c>
      <c r="F32" s="10" t="n">
        <v>186</v>
      </c>
      <c r="G32" s="10" t="n">
        <f aca="false">E32-F32</f>
        <v>814</v>
      </c>
      <c r="H32" s="11" t="n">
        <f aca="false">IF(E32=0,0,F32/E32)</f>
        <v>0.186</v>
      </c>
    </row>
    <row r="33" customFormat="false" ht="15" hidden="false" customHeight="false" outlineLevel="0" collapsed="false">
      <c r="B33" s="4" t="s">
        <v>130</v>
      </c>
      <c r="C33" s="4" t="s">
        <v>131</v>
      </c>
      <c r="D33" s="10" t="n">
        <v>22000</v>
      </c>
      <c r="E33" s="10" t="n">
        <v>22000</v>
      </c>
      <c r="F33" s="10" t="n">
        <v>15682.03</v>
      </c>
      <c r="G33" s="10" t="n">
        <f aca="false">E33-F33</f>
        <v>6317.97</v>
      </c>
      <c r="H33" s="11" t="n">
        <f aca="false">IF(E33=0,0,F33/E33)</f>
        <v>0.712819545454546</v>
      </c>
    </row>
    <row r="34" customFormat="false" ht="15" hidden="false" customHeight="false" outlineLevel="0" collapsed="false">
      <c r="B34" s="4" t="s">
        <v>132</v>
      </c>
      <c r="C34" s="4" t="s">
        <v>133</v>
      </c>
      <c r="D34" s="10" t="n">
        <v>25600</v>
      </c>
      <c r="E34" s="10" t="n">
        <v>10000</v>
      </c>
      <c r="F34" s="10" t="n">
        <v>70.71</v>
      </c>
      <c r="G34" s="10" t="n">
        <f aca="false">E34-F34</f>
        <v>9929.29</v>
      </c>
      <c r="H34" s="11" t="n">
        <f aca="false">IF(E34=0,0,F34/E34)</f>
        <v>0.007071</v>
      </c>
    </row>
    <row r="35" customFormat="false" ht="15" hidden="false" customHeight="false" outlineLevel="0" collapsed="false">
      <c r="B35" s="3" t="s">
        <v>134</v>
      </c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B36" s="4" t="s">
        <v>135</v>
      </c>
      <c r="C36" s="4" t="s">
        <v>136</v>
      </c>
      <c r="D36" s="10" t="n">
        <v>125049.58</v>
      </c>
      <c r="E36" s="10" t="n">
        <v>125049.58</v>
      </c>
      <c r="F36" s="10" t="n">
        <v>126300.46</v>
      </c>
      <c r="G36" s="10" t="n">
        <f aca="false">E36-F36</f>
        <v>-1250.88</v>
      </c>
      <c r="H36" s="11" t="n">
        <f aca="false">IF(E36=0,0,F36/E36)</f>
        <v>1.01000307238137</v>
      </c>
    </row>
    <row r="37" customFormat="false" ht="15" hidden="false" customHeight="false" outlineLevel="0" collapsed="false">
      <c r="B37" s="4" t="s">
        <v>137</v>
      </c>
      <c r="C37" s="4" t="s">
        <v>138</v>
      </c>
      <c r="D37" s="10" t="n">
        <v>22067.57</v>
      </c>
      <c r="E37" s="10" t="n">
        <v>22067.57</v>
      </c>
      <c r="F37" s="10" t="n">
        <v>22289.38</v>
      </c>
      <c r="G37" s="10" t="n">
        <f aca="false">E37-F37</f>
        <v>-221.810000000001</v>
      </c>
      <c r="H37" s="11" t="n">
        <f aca="false">IF(E37=0,0,F37/E37)</f>
        <v>1.01005140121907</v>
      </c>
    </row>
    <row r="38" customFormat="false" ht="15" hidden="false" customHeight="false" outlineLevel="0" collapsed="false">
      <c r="B38" s="5" t="s">
        <v>38</v>
      </c>
      <c r="C38" s="5" t="s">
        <v>139</v>
      </c>
      <c r="D38" s="12" t="n">
        <v>1055092.15</v>
      </c>
      <c r="E38" s="12" t="n">
        <v>1047758.15</v>
      </c>
      <c r="F38" s="12" t="n">
        <v>846601.32</v>
      </c>
      <c r="G38" s="12" t="n">
        <f aca="false">E38-F38</f>
        <v>201156.83</v>
      </c>
      <c r="H38" s="13" t="n">
        <f aca="false">IF(E38=0,0,F38/E38)</f>
        <v>0.808012154331608</v>
      </c>
    </row>
    <row r="41" customFormat="false" ht="15" hidden="false" customHeight="false" outlineLevel="0" collapsed="false">
      <c r="B41" s="3" t="s">
        <v>62</v>
      </c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2" t="s">
        <v>63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64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65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2" t="s">
        <v>66</v>
      </c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B46" s="2" t="s">
        <v>67</v>
      </c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B47" s="2" t="s">
        <v>68</v>
      </c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B48" s="2" t="s">
        <v>69</v>
      </c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B49" s="2" t="s">
        <v>70</v>
      </c>
      <c r="C49" s="2"/>
      <c r="D49" s="2"/>
      <c r="E49" s="2"/>
      <c r="F49" s="2"/>
      <c r="G49" s="2"/>
      <c r="H49" s="2"/>
    </row>
  </sheetData>
  <mergeCells count="14">
    <mergeCell ref="B2:H2"/>
    <mergeCell ref="B5:H5"/>
    <mergeCell ref="B19:H19"/>
    <mergeCell ref="B31:H31"/>
    <mergeCell ref="B35:H35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140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141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9" t="s">
        <v>28</v>
      </c>
      <c r="C5" s="9" t="s">
        <v>142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143</v>
      </c>
    </row>
    <row r="6" customFormat="false" ht="15" hidden="false" customHeight="false" outlineLevel="0" collapsed="false">
      <c r="B6" s="4" t="s">
        <v>34</v>
      </c>
      <c r="C6" s="14" t="n">
        <v>13</v>
      </c>
      <c r="D6" s="10" t="n">
        <v>305975</v>
      </c>
      <c r="E6" s="10" t="n">
        <v>291321.88</v>
      </c>
      <c r="F6" s="10" t="n">
        <f aca="false">D6-E6</f>
        <v>14653.12</v>
      </c>
      <c r="G6" s="11" t="n">
        <f aca="false">IF(D6=0,0,E6/D6)</f>
        <v>0.95211007435248</v>
      </c>
      <c r="H6" s="11" t="n">
        <f aca="false">IF(846601.32=0,0,E6/846601.32)</f>
        <v>0.344107519227586</v>
      </c>
      <c r="I6" s="10" t="n">
        <f aca="false">IF(163=0,0,E6/163)</f>
        <v>1787.25079754601</v>
      </c>
    </row>
    <row r="7" customFormat="false" ht="15" hidden="false" customHeight="false" outlineLevel="0" collapsed="false">
      <c r="B7" s="4" t="s">
        <v>35</v>
      </c>
      <c r="C7" s="14" t="n">
        <v>11</v>
      </c>
      <c r="D7" s="10" t="n">
        <v>561666</v>
      </c>
      <c r="E7" s="10" t="n">
        <v>390750.86</v>
      </c>
      <c r="F7" s="10" t="n">
        <f aca="false">D7-E7</f>
        <v>170915.14</v>
      </c>
      <c r="G7" s="11" t="n">
        <f aca="false">IF(D7=0,0,E7/D7)</f>
        <v>0.695699686290429</v>
      </c>
      <c r="H7" s="11" t="n">
        <f aca="false">IF(846601.32=0,0,E7/846601.32)</f>
        <v>0.461552386901547</v>
      </c>
      <c r="I7" s="10" t="n">
        <f aca="false">IF(163=0,0,E7/163)</f>
        <v>2397.2445398773</v>
      </c>
    </row>
    <row r="8" customFormat="false" ht="15" hidden="false" customHeight="false" outlineLevel="0" collapsed="false">
      <c r="B8" s="4" t="s">
        <v>36</v>
      </c>
      <c r="C8" s="14" t="n">
        <v>3</v>
      </c>
      <c r="D8" s="10" t="n">
        <v>33000</v>
      </c>
      <c r="E8" s="10" t="n">
        <v>15938.74</v>
      </c>
      <c r="F8" s="10" t="n">
        <f aca="false">D8-E8</f>
        <v>17061.26</v>
      </c>
      <c r="G8" s="11" t="n">
        <f aca="false">IF(D8=0,0,E8/D8)</f>
        <v>0.482992121212121</v>
      </c>
      <c r="H8" s="11" t="n">
        <f aca="false">IF(846601.32=0,0,E8/846601.32)</f>
        <v>0.0188267365328464</v>
      </c>
      <c r="I8" s="10" t="n">
        <f aca="false">IF(163=0,0,E8/163)</f>
        <v>97.7836809815951</v>
      </c>
    </row>
    <row r="9" customFormat="false" ht="15" hidden="false" customHeight="false" outlineLevel="0" collapsed="false">
      <c r="B9" s="4" t="s">
        <v>37</v>
      </c>
      <c r="C9" s="14" t="n">
        <v>2</v>
      </c>
      <c r="D9" s="10" t="n">
        <v>147117.15</v>
      </c>
      <c r="E9" s="10" t="n">
        <v>148589.84</v>
      </c>
      <c r="F9" s="10" t="n">
        <f aca="false">D9-E9</f>
        <v>-1472.69</v>
      </c>
      <c r="G9" s="11" t="n">
        <f aca="false">IF(D9=0,0,E9/D9)</f>
        <v>1.0100103217062</v>
      </c>
      <c r="H9" s="11" t="n">
        <f aca="false">IF(846601.32=0,0,E9/846601.32)</f>
        <v>0.175513357338021</v>
      </c>
      <c r="I9" s="10" t="n">
        <f aca="false">IF(163=0,0,E9/163)</f>
        <v>911.594110429448</v>
      </c>
    </row>
    <row r="12" customFormat="false" ht="15" hidden="false" customHeight="false" outlineLevel="0" collapsed="false">
      <c r="B12" s="3" t="s">
        <v>144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9" t="s">
        <v>72</v>
      </c>
      <c r="C13" s="9" t="s">
        <v>73</v>
      </c>
      <c r="D13" s="9" t="s">
        <v>75</v>
      </c>
      <c r="E13" s="9" t="s">
        <v>30</v>
      </c>
      <c r="F13" s="9" t="s">
        <v>145</v>
      </c>
      <c r="G13" s="9" t="s">
        <v>146</v>
      </c>
    </row>
    <row r="14" customFormat="false" ht="15" hidden="false" customHeight="false" outlineLevel="0" collapsed="false">
      <c r="B14" s="4" t="s">
        <v>92</v>
      </c>
      <c r="C14" s="4" t="s">
        <v>93</v>
      </c>
      <c r="D14" s="10" t="n">
        <v>139800</v>
      </c>
      <c r="E14" s="10" t="n">
        <v>177291.75</v>
      </c>
      <c r="F14" s="10" t="n">
        <f aca="false">E14-D14</f>
        <v>37491.75</v>
      </c>
      <c r="G14" s="11" t="n">
        <f aca="false">IF(D14=0,0,F14/D14)</f>
        <v>0.268181330472103</v>
      </c>
    </row>
    <row r="15" customFormat="false" ht="15" hidden="false" customHeight="false" outlineLevel="0" collapsed="false">
      <c r="B15" s="4" t="s">
        <v>123</v>
      </c>
      <c r="C15" s="4" t="s">
        <v>124</v>
      </c>
      <c r="D15" s="10" t="n">
        <v>12000</v>
      </c>
      <c r="E15" s="10" t="n">
        <v>22695.31</v>
      </c>
      <c r="F15" s="10" t="n">
        <f aca="false">E15-D15</f>
        <v>10695.31</v>
      </c>
      <c r="G15" s="11" t="n">
        <f aca="false">IF(D15=0,0,F15/D15)</f>
        <v>0.891275833333334</v>
      </c>
    </row>
    <row r="16" customFormat="false" ht="15" hidden="false" customHeight="false" outlineLevel="0" collapsed="false">
      <c r="B16" s="4" t="s">
        <v>100</v>
      </c>
      <c r="C16" s="4" t="s">
        <v>101</v>
      </c>
      <c r="D16" s="10" t="n">
        <v>3525</v>
      </c>
      <c r="E16" s="10" t="n">
        <v>9784</v>
      </c>
      <c r="F16" s="10" t="n">
        <f aca="false">E16-D16</f>
        <v>6259</v>
      </c>
      <c r="G16" s="11" t="n">
        <f aca="false">IF(D16=0,0,F16/D16)</f>
        <v>1.77560283687943</v>
      </c>
    </row>
    <row r="17" customFormat="false" ht="15" hidden="false" customHeight="false" outlineLevel="0" collapsed="false">
      <c r="B17" s="4" t="s">
        <v>86</v>
      </c>
      <c r="C17" s="4" t="s">
        <v>87</v>
      </c>
      <c r="D17" s="10" t="n">
        <v>14600</v>
      </c>
      <c r="E17" s="10" t="n">
        <v>19353.5</v>
      </c>
      <c r="F17" s="10" t="n">
        <f aca="false">E17-D17</f>
        <v>4753.5</v>
      </c>
      <c r="G17" s="11" t="n">
        <f aca="false">IF(D17=0,0,F17/D17)</f>
        <v>0.325582191780822</v>
      </c>
    </row>
    <row r="18" customFormat="false" ht="15" hidden="false" customHeight="false" outlineLevel="0" collapsed="false">
      <c r="B18" s="4" t="s">
        <v>94</v>
      </c>
      <c r="C18" s="4" t="s">
        <v>95</v>
      </c>
      <c r="D18" s="10" t="n">
        <v>31000</v>
      </c>
      <c r="E18" s="10" t="n">
        <v>34658.38</v>
      </c>
      <c r="F18" s="10" t="n">
        <f aca="false">E18-D18</f>
        <v>3658.38</v>
      </c>
      <c r="G18" s="11" t="n">
        <f aca="false">IF(D18=0,0,F18/D18)</f>
        <v>0.118012258064516</v>
      </c>
    </row>
    <row r="19" customFormat="false" ht="15" hidden="false" customHeight="false" outlineLevel="0" collapsed="false">
      <c r="B19" s="4" t="s">
        <v>125</v>
      </c>
      <c r="C19" s="4" t="s">
        <v>126</v>
      </c>
      <c r="D19" s="10" t="n">
        <v>0</v>
      </c>
      <c r="E19" s="10" t="n">
        <v>2278.99</v>
      </c>
      <c r="F19" s="10" t="n">
        <f aca="false">E19-D19</f>
        <v>2278.99</v>
      </c>
      <c r="G19" s="11" t="n">
        <f aca="false">IF(D19=0,0,F19/D19)</f>
        <v>0</v>
      </c>
    </row>
    <row r="20" customFormat="false" ht="15" hidden="false" customHeight="false" outlineLevel="0" collapsed="false">
      <c r="B20" s="4" t="s">
        <v>135</v>
      </c>
      <c r="C20" s="4" t="s">
        <v>136</v>
      </c>
      <c r="D20" s="10" t="n">
        <v>125049.58</v>
      </c>
      <c r="E20" s="10" t="n">
        <v>126300.46</v>
      </c>
      <c r="F20" s="10" t="n">
        <f aca="false">E20-D20</f>
        <v>1250.88</v>
      </c>
      <c r="G20" s="11" t="n">
        <f aca="false">IF(D20=0,0,F20/D20)</f>
        <v>0.0100030723813707</v>
      </c>
    </row>
    <row r="21" customFormat="false" ht="15" hidden="false" customHeight="false" outlineLevel="0" collapsed="false">
      <c r="B21" s="4" t="s">
        <v>137</v>
      </c>
      <c r="C21" s="4" t="s">
        <v>138</v>
      </c>
      <c r="D21" s="10" t="n">
        <v>22067.57</v>
      </c>
      <c r="E21" s="10" t="n">
        <v>22289.38</v>
      </c>
      <c r="F21" s="10" t="n">
        <f aca="false">E21-D21</f>
        <v>221.810000000001</v>
      </c>
      <c r="G21" s="11" t="n">
        <f aca="false">IF(D21=0,0,F21/D21)</f>
        <v>0.010051401219074</v>
      </c>
    </row>
    <row r="24" customFormat="false" ht="15" hidden="false" customHeight="false" outlineLevel="0" collapsed="false">
      <c r="B24" s="3" t="s">
        <v>147</v>
      </c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B25" s="9" t="s">
        <v>72</v>
      </c>
      <c r="C25" s="9" t="s">
        <v>73</v>
      </c>
      <c r="D25" s="9" t="s">
        <v>75</v>
      </c>
      <c r="E25" s="9" t="s">
        <v>30</v>
      </c>
      <c r="F25" s="9" t="s">
        <v>148</v>
      </c>
      <c r="G25" s="9" t="s">
        <v>149</v>
      </c>
    </row>
    <row r="26" customFormat="false" ht="15" hidden="false" customHeight="false" outlineLevel="0" collapsed="false">
      <c r="B26" s="4" t="s">
        <v>115</v>
      </c>
      <c r="C26" s="4" t="s">
        <v>116</v>
      </c>
      <c r="D26" s="10" t="n">
        <v>161200</v>
      </c>
      <c r="E26" s="10" t="n">
        <v>94000.7</v>
      </c>
      <c r="F26" s="10" t="n">
        <f aca="false">D26-E26</f>
        <v>67199.3</v>
      </c>
      <c r="G26" s="11" t="n">
        <f aca="false">IF(D26=0,0,F26/D26)</f>
        <v>0.416869106699752</v>
      </c>
    </row>
    <row r="27" customFormat="false" ht="15" hidden="false" customHeight="false" outlineLevel="0" collapsed="false">
      <c r="B27" s="4" t="s">
        <v>117</v>
      </c>
      <c r="C27" s="4" t="s">
        <v>118</v>
      </c>
      <c r="D27" s="10" t="n">
        <v>269866</v>
      </c>
      <c r="E27" s="10" t="n">
        <v>210145.22</v>
      </c>
      <c r="F27" s="10" t="n">
        <f aca="false">D27-E27</f>
        <v>59720.78</v>
      </c>
      <c r="G27" s="11" t="n">
        <f aca="false">IF(D27=0,0,F27/D27)</f>
        <v>0.221297903403912</v>
      </c>
    </row>
    <row r="28" customFormat="false" ht="15" hidden="false" customHeight="false" outlineLevel="0" collapsed="false">
      <c r="B28" s="4" t="s">
        <v>121</v>
      </c>
      <c r="C28" s="4" t="s">
        <v>122</v>
      </c>
      <c r="D28" s="10" t="n">
        <v>65600</v>
      </c>
      <c r="E28" s="10" t="n">
        <v>36964.67</v>
      </c>
      <c r="F28" s="10" t="n">
        <f aca="false">D28-E28</f>
        <v>28635.33</v>
      </c>
      <c r="G28" s="11" t="n">
        <f aca="false">IF(D28=0,0,F28/D28)</f>
        <v>0.436514176829268</v>
      </c>
    </row>
    <row r="29" customFormat="false" ht="15" hidden="false" customHeight="false" outlineLevel="0" collapsed="false">
      <c r="B29" s="4" t="s">
        <v>98</v>
      </c>
      <c r="C29" s="4" t="s">
        <v>99</v>
      </c>
      <c r="D29" s="10" t="n">
        <v>41000</v>
      </c>
      <c r="E29" s="10" t="n">
        <v>15756</v>
      </c>
      <c r="F29" s="10" t="n">
        <f aca="false">D29-E29</f>
        <v>25244</v>
      </c>
      <c r="G29" s="11" t="n">
        <f aca="false">IF(D29=0,0,F29/D29)</f>
        <v>0.615707317073171</v>
      </c>
    </row>
    <row r="30" customFormat="false" ht="15" hidden="false" customHeight="false" outlineLevel="0" collapsed="false">
      <c r="B30" s="4" t="s">
        <v>102</v>
      </c>
      <c r="C30" s="4" t="s">
        <v>103</v>
      </c>
      <c r="D30" s="10" t="n">
        <v>19800</v>
      </c>
      <c r="E30" s="10" t="n">
        <v>6781</v>
      </c>
      <c r="F30" s="10" t="n">
        <f aca="false">D30-E30</f>
        <v>13019</v>
      </c>
      <c r="G30" s="11" t="n">
        <f aca="false">IF(D30=0,0,F30/D30)</f>
        <v>0.657525252525253</v>
      </c>
    </row>
    <row r="31" customFormat="false" ht="15" hidden="false" customHeight="false" outlineLevel="0" collapsed="false">
      <c r="B31" s="4" t="s">
        <v>105</v>
      </c>
      <c r="C31" s="4" t="s">
        <v>106</v>
      </c>
      <c r="D31" s="10" t="n">
        <v>17900</v>
      </c>
      <c r="E31" s="10" t="n">
        <v>5066.8</v>
      </c>
      <c r="F31" s="10" t="n">
        <f aca="false">D31-E31</f>
        <v>12833.2</v>
      </c>
      <c r="G31" s="11" t="n">
        <f aca="false">IF(D31=0,0,F31/D31)</f>
        <v>0.716938547486034</v>
      </c>
    </row>
    <row r="32" customFormat="false" ht="15" hidden="false" customHeight="false" outlineLevel="0" collapsed="false">
      <c r="B32" s="4" t="s">
        <v>132</v>
      </c>
      <c r="C32" s="4" t="s">
        <v>133</v>
      </c>
      <c r="D32" s="10" t="n">
        <v>10000</v>
      </c>
      <c r="E32" s="10" t="n">
        <v>70.71</v>
      </c>
      <c r="F32" s="10" t="n">
        <f aca="false">D32-E32</f>
        <v>9929.29</v>
      </c>
      <c r="G32" s="11" t="n">
        <f aca="false">IF(D32=0,0,F32/D32)</f>
        <v>0.992929</v>
      </c>
    </row>
    <row r="33" customFormat="false" ht="15" hidden="false" customHeight="false" outlineLevel="0" collapsed="false">
      <c r="B33" s="4" t="s">
        <v>78</v>
      </c>
      <c r="C33" s="4" t="s">
        <v>79</v>
      </c>
      <c r="D33" s="10" t="n">
        <v>12500</v>
      </c>
      <c r="E33" s="10" t="n">
        <v>3752.5</v>
      </c>
      <c r="F33" s="10" t="n">
        <f aca="false">D33-E33</f>
        <v>8747.5</v>
      </c>
      <c r="G33" s="11" t="n">
        <f aca="false">IF(D33=0,0,F33/D33)</f>
        <v>0.6998</v>
      </c>
    </row>
    <row r="34" customFormat="false" ht="15" hidden="false" customHeight="false" outlineLevel="0" collapsed="false">
      <c r="B34" s="4" t="s">
        <v>130</v>
      </c>
      <c r="C34" s="4" t="s">
        <v>131</v>
      </c>
      <c r="D34" s="10" t="n">
        <v>22000</v>
      </c>
      <c r="E34" s="10" t="n">
        <v>15682.03</v>
      </c>
      <c r="F34" s="10" t="n">
        <f aca="false">D34-E34</f>
        <v>6317.97</v>
      </c>
      <c r="G34" s="11" t="n">
        <f aca="false">IF(D34=0,0,F34/D34)</f>
        <v>0.287180454545455</v>
      </c>
    </row>
    <row r="35" customFormat="false" ht="15" hidden="false" customHeight="false" outlineLevel="0" collapsed="false">
      <c r="B35" s="4" t="s">
        <v>88</v>
      </c>
      <c r="C35" s="4" t="s">
        <v>89</v>
      </c>
      <c r="D35" s="10" t="n">
        <v>11700</v>
      </c>
      <c r="E35" s="10" t="n">
        <v>5424</v>
      </c>
      <c r="F35" s="10" t="n">
        <f aca="false">D35-E35</f>
        <v>6276</v>
      </c>
      <c r="G35" s="11" t="n">
        <f aca="false">IF(D35=0,0,F35/D35)</f>
        <v>0.536410256410256</v>
      </c>
    </row>
    <row r="38" customFormat="false" ht="15" hidden="false" customHeight="false" outlineLevel="0" collapsed="false">
      <c r="B38" s="3" t="s">
        <v>62</v>
      </c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B39" s="2" t="s">
        <v>63</v>
      </c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B40" s="2" t="s">
        <v>64</v>
      </c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B41" s="2" t="s">
        <v>65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66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67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68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69</v>
      </c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B46" s="2" t="s">
        <v>70</v>
      </c>
      <c r="C46" s="2"/>
      <c r="D46" s="2"/>
      <c r="E46" s="2"/>
      <c r="F46" s="2"/>
      <c r="G46" s="2"/>
      <c r="H46" s="2"/>
      <c r="I46" s="2"/>
    </row>
  </sheetData>
  <mergeCells count="13">
    <mergeCell ref="B2:I2"/>
    <mergeCell ref="B4:I4"/>
    <mergeCell ref="B12:I12"/>
    <mergeCell ref="B24:I24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150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151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152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9" t="s">
        <v>72</v>
      </c>
      <c r="C6" s="9" t="s">
        <v>73</v>
      </c>
      <c r="D6" s="9" t="s">
        <v>75</v>
      </c>
      <c r="E6" s="9" t="s">
        <v>30</v>
      </c>
      <c r="F6" s="9" t="s">
        <v>31</v>
      </c>
      <c r="G6" s="9" t="s">
        <v>76</v>
      </c>
      <c r="H6" s="9" t="s">
        <v>153</v>
      </c>
      <c r="I6" s="9" t="s">
        <v>143</v>
      </c>
    </row>
    <row r="7" customFormat="false" ht="15" hidden="false" customHeight="false" outlineLevel="0" collapsed="false">
      <c r="B7" s="4" t="s">
        <v>105</v>
      </c>
      <c r="C7" s="4" t="s">
        <v>106</v>
      </c>
      <c r="D7" s="10" t="n">
        <v>17900</v>
      </c>
      <c r="E7" s="10" t="n">
        <v>5066.8</v>
      </c>
      <c r="F7" s="10" t="n">
        <f aca="false">D7-E7</f>
        <v>12833.2</v>
      </c>
      <c r="G7" s="11" t="n">
        <f aca="false">IF(D7=0,0,E7/D7)</f>
        <v>0.283061452513966</v>
      </c>
      <c r="H7" s="11" t="n">
        <f aca="false">IF(390750.86=0,0,E7/390750.86)</f>
        <v>0.0129668300666056</v>
      </c>
      <c r="I7" s="10" t="n">
        <f aca="false">IF(163=0,0,E7/163)</f>
        <v>31.0846625766871</v>
      </c>
    </row>
    <row r="8" customFormat="false" ht="15" hidden="false" customHeight="false" outlineLevel="0" collapsed="false">
      <c r="B8" s="4" t="s">
        <v>107</v>
      </c>
      <c r="C8" s="4" t="s">
        <v>108</v>
      </c>
      <c r="D8" s="10" t="n">
        <v>4300</v>
      </c>
      <c r="E8" s="10" t="n">
        <v>1635.51</v>
      </c>
      <c r="F8" s="10" t="n">
        <f aca="false">D8-E8</f>
        <v>2664.49</v>
      </c>
      <c r="G8" s="11" t="n">
        <f aca="false">IF(D8=0,0,E8/D8)</f>
        <v>0.380351162790698</v>
      </c>
      <c r="H8" s="11" t="n">
        <f aca="false">IF(390750.86=0,0,E8/390750.86)</f>
        <v>0.00418555700683551</v>
      </c>
      <c r="I8" s="10" t="n">
        <f aca="false">IF(163=0,0,E8/163)</f>
        <v>10.0338036809816</v>
      </c>
    </row>
    <row r="9" customFormat="false" ht="15" hidden="false" customHeight="false" outlineLevel="0" collapsed="false">
      <c r="B9" s="4" t="s">
        <v>109</v>
      </c>
      <c r="C9" s="4" t="s">
        <v>110</v>
      </c>
      <c r="D9" s="10" t="n">
        <v>11970</v>
      </c>
      <c r="E9" s="10" t="n">
        <v>6599.03</v>
      </c>
      <c r="F9" s="10" t="n">
        <f aca="false">D9-E9</f>
        <v>5370.97</v>
      </c>
      <c r="G9" s="11" t="n">
        <f aca="false">IF(D9=0,0,E9/D9)</f>
        <v>0.551297410192147</v>
      </c>
      <c r="H9" s="11" t="n">
        <f aca="false">IF(390750.86=0,0,E9/390750.86)</f>
        <v>0.0168880754350739</v>
      </c>
      <c r="I9" s="10" t="n">
        <f aca="false">IF(163=0,0,E9/163)</f>
        <v>40.4848466257669</v>
      </c>
    </row>
    <row r="10" customFormat="false" ht="15" hidden="false" customHeight="false" outlineLevel="0" collapsed="false">
      <c r="B10" s="4" t="s">
        <v>111</v>
      </c>
      <c r="C10" s="4" t="s">
        <v>112</v>
      </c>
      <c r="D10" s="10" t="n">
        <v>13130</v>
      </c>
      <c r="E10" s="10" t="n">
        <v>8579.19</v>
      </c>
      <c r="F10" s="10" t="n">
        <f aca="false">D10-E10</f>
        <v>4550.81</v>
      </c>
      <c r="G10" s="11" t="n">
        <f aca="false">IF(D10=0,0,E10/D10)</f>
        <v>0.65340365575019</v>
      </c>
      <c r="H10" s="11" t="n">
        <f aca="false">IF(390750.86=0,0,E10/390750.86)</f>
        <v>0.0219556522537148</v>
      </c>
      <c r="I10" s="10" t="n">
        <f aca="false">IF(163=0,0,E10/163)</f>
        <v>52.6330674846626</v>
      </c>
    </row>
    <row r="11" customFormat="false" ht="15" hidden="false" customHeight="false" outlineLevel="0" collapsed="false">
      <c r="B11" s="4" t="s">
        <v>113</v>
      </c>
      <c r="C11" s="4" t="s">
        <v>114</v>
      </c>
      <c r="D11" s="10" t="n">
        <v>2700</v>
      </c>
      <c r="E11" s="10" t="n">
        <v>1789.12</v>
      </c>
      <c r="F11" s="10" t="n">
        <f aca="false">D11-E11</f>
        <v>910.88</v>
      </c>
      <c r="G11" s="11" t="n">
        <f aca="false">IF(D11=0,0,E11/D11)</f>
        <v>0.662637037037037</v>
      </c>
      <c r="H11" s="11" t="n">
        <f aca="false">IF(390750.86=0,0,E11/390750.86)</f>
        <v>0.00457867194457358</v>
      </c>
      <c r="I11" s="10" t="n">
        <f aca="false">IF(163=0,0,E11/163)</f>
        <v>10.9761963190184</v>
      </c>
    </row>
    <row r="12" customFormat="false" ht="15" hidden="false" customHeight="false" outlineLevel="0" collapsed="false">
      <c r="B12" s="4" t="s">
        <v>115</v>
      </c>
      <c r="C12" s="4" t="s">
        <v>116</v>
      </c>
      <c r="D12" s="10" t="n">
        <v>161200</v>
      </c>
      <c r="E12" s="10" t="n">
        <v>94000.7</v>
      </c>
      <c r="F12" s="10" t="n">
        <f aca="false">D12-E12</f>
        <v>67199.3</v>
      </c>
      <c r="G12" s="11" t="n">
        <f aca="false">IF(D12=0,0,E12/D12)</f>
        <v>0.583130893300248</v>
      </c>
      <c r="H12" s="11" t="n">
        <f aca="false">IF(390750.86=0,0,E12/390750.86)</f>
        <v>0.2405642818035</v>
      </c>
      <c r="I12" s="10" t="n">
        <f aca="false">IF(163=0,0,E12/163)</f>
        <v>576.691411042945</v>
      </c>
    </row>
    <row r="13" customFormat="false" ht="15" hidden="false" customHeight="false" outlineLevel="0" collapsed="false">
      <c r="B13" s="4" t="s">
        <v>117</v>
      </c>
      <c r="C13" s="4" t="s">
        <v>118</v>
      </c>
      <c r="D13" s="10" t="n">
        <v>269866</v>
      </c>
      <c r="E13" s="10" t="n">
        <v>210145.22</v>
      </c>
      <c r="F13" s="10" t="n">
        <f aca="false">D13-E13</f>
        <v>59720.78</v>
      </c>
      <c r="G13" s="11" t="n">
        <f aca="false">IF(D13=0,0,E13/D13)</f>
        <v>0.778702096596089</v>
      </c>
      <c r="H13" s="11" t="n">
        <f aca="false">IF(390750.86=0,0,E13/390750.86)</f>
        <v>0.537798483668085</v>
      </c>
      <c r="I13" s="10" t="n">
        <f aca="false">IF(163=0,0,E13/163)</f>
        <v>1289.23447852761</v>
      </c>
    </row>
    <row r="14" customFormat="false" ht="15" hidden="false" customHeight="false" outlineLevel="0" collapsed="false">
      <c r="B14" s="4" t="s">
        <v>119</v>
      </c>
      <c r="C14" s="4" t="s">
        <v>120</v>
      </c>
      <c r="D14" s="10" t="n">
        <v>3000</v>
      </c>
      <c r="E14" s="10" t="n">
        <v>996.32</v>
      </c>
      <c r="F14" s="10" t="n">
        <f aca="false">D14-E14</f>
        <v>2003.68</v>
      </c>
      <c r="G14" s="11" t="n">
        <f aca="false">IF(D14=0,0,E14/D14)</f>
        <v>0.332106666666667</v>
      </c>
      <c r="H14" s="11" t="n">
        <f aca="false">IF(390750.86=0,0,E14/390750.86)</f>
        <v>0.00254975766400105</v>
      </c>
      <c r="I14" s="10" t="n">
        <f aca="false">IF(163=0,0,E14/163)</f>
        <v>6.11239263803681</v>
      </c>
    </row>
    <row r="15" customFormat="false" ht="15" hidden="false" customHeight="false" outlineLevel="0" collapsed="false">
      <c r="B15" s="4" t="s">
        <v>121</v>
      </c>
      <c r="C15" s="4" t="s">
        <v>122</v>
      </c>
      <c r="D15" s="10" t="n">
        <v>65600</v>
      </c>
      <c r="E15" s="10" t="n">
        <v>36964.67</v>
      </c>
      <c r="F15" s="10" t="n">
        <f aca="false">D15-E15</f>
        <v>28635.33</v>
      </c>
      <c r="G15" s="11" t="n">
        <f aca="false">IF(D15=0,0,E15/D15)</f>
        <v>0.563485823170732</v>
      </c>
      <c r="H15" s="11" t="n">
        <f aca="false">IF(390750.86=0,0,E15/390750.86)</f>
        <v>0.0945990752266035</v>
      </c>
      <c r="I15" s="10" t="n">
        <f aca="false">IF(163=0,0,E15/163)</f>
        <v>226.777116564417</v>
      </c>
    </row>
    <row r="16" customFormat="false" ht="15" hidden="false" customHeight="false" outlineLevel="0" collapsed="false">
      <c r="B16" s="4" t="s">
        <v>123</v>
      </c>
      <c r="C16" s="4" t="s">
        <v>124</v>
      </c>
      <c r="D16" s="10" t="n">
        <v>12000</v>
      </c>
      <c r="E16" s="10" t="n">
        <v>22695.31</v>
      </c>
      <c r="F16" s="10" t="n">
        <f aca="false">D16-E16</f>
        <v>-10695.31</v>
      </c>
      <c r="G16" s="11" t="n">
        <f aca="false">IF(D16=0,0,E16/D16)</f>
        <v>1.89127583333333</v>
      </c>
      <c r="H16" s="11" t="n">
        <f aca="false">IF(390750.86=0,0,E16/390750.86)</f>
        <v>0.0580812797187446</v>
      </c>
      <c r="I16" s="10" t="n">
        <f aca="false">IF(163=0,0,E16/163)</f>
        <v>139.235030674847</v>
      </c>
    </row>
    <row r="17" customFormat="false" ht="15" hidden="false" customHeight="false" outlineLevel="0" collapsed="false">
      <c r="B17" s="4" t="s">
        <v>125</v>
      </c>
      <c r="C17" s="4" t="s">
        <v>126</v>
      </c>
      <c r="D17" s="10" t="n">
        <v>0</v>
      </c>
      <c r="E17" s="10" t="n">
        <v>2278.99</v>
      </c>
      <c r="F17" s="10" t="n">
        <f aca="false">D17-E17</f>
        <v>-2278.99</v>
      </c>
      <c r="G17" s="11" t="n">
        <f aca="false">IF(D17=0,0,E17/D17)</f>
        <v>0</v>
      </c>
      <c r="H17" s="11" t="n">
        <f aca="false">IF(390750.86=0,0,E17/390750.86)</f>
        <v>0.00583233521226287</v>
      </c>
      <c r="I17" s="10" t="n">
        <f aca="false">IF(163=0,0,E17/163)</f>
        <v>13.9815337423313</v>
      </c>
    </row>
    <row r="18" customFormat="false" ht="15" hidden="false" customHeight="false" outlineLevel="0" collapsed="false">
      <c r="B18" s="5" t="s">
        <v>38</v>
      </c>
      <c r="C18" s="5" t="s">
        <v>154</v>
      </c>
      <c r="D18" s="12" t="n">
        <f aca="false">SUM(D7:D17)</f>
        <v>561666</v>
      </c>
      <c r="E18" s="12" t="n">
        <f aca="false">SUM(E7:E17)</f>
        <v>390750.86</v>
      </c>
      <c r="F18" s="12" t="n">
        <f aca="false">D18-E18</f>
        <v>170915.14</v>
      </c>
      <c r="G18" s="13" t="n">
        <f aca="false">IF(D18=0,0,E18/D18)</f>
        <v>0.695699686290429</v>
      </c>
      <c r="H18" s="13" t="n">
        <v>1</v>
      </c>
      <c r="I18" s="12" t="n">
        <f aca="false">IF(163=0,0,E18/163)</f>
        <v>2397.2445398773</v>
      </c>
    </row>
    <row r="21" customFormat="false" ht="15" hidden="false" customHeight="false" outlineLevel="0" collapsed="false">
      <c r="B21" s="3" t="s">
        <v>155</v>
      </c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B22" s="9" t="s">
        <v>156</v>
      </c>
      <c r="C22" s="9" t="s">
        <v>157</v>
      </c>
      <c r="D22" s="9" t="s">
        <v>158</v>
      </c>
      <c r="E22" s="9" t="s">
        <v>159</v>
      </c>
      <c r="F22" s="9"/>
      <c r="G22" s="9"/>
      <c r="H22" s="9"/>
      <c r="I22" s="9" t="s">
        <v>160</v>
      </c>
    </row>
    <row r="23" customFormat="false" ht="15" hidden="false" customHeight="false" outlineLevel="0" collapsed="false">
      <c r="B23" s="4" t="s">
        <v>161</v>
      </c>
      <c r="C23" s="14" t="n">
        <v>45</v>
      </c>
      <c r="D23" s="10" t="n">
        <v>154464.12</v>
      </c>
      <c r="E23" s="11" t="n">
        <f aca="false">IF(409754.59=0,0,D23/409754.59)</f>
        <v>0.376967394068728</v>
      </c>
      <c r="I23" s="10" t="n">
        <f aca="false">IF(C23=0,0,D23/C23)</f>
        <v>3432.536</v>
      </c>
    </row>
    <row r="24" customFormat="false" ht="15" hidden="false" customHeight="false" outlineLevel="0" collapsed="false">
      <c r="B24" s="4" t="s">
        <v>162</v>
      </c>
      <c r="C24" s="14" t="n">
        <v>41</v>
      </c>
      <c r="D24" s="10" t="n">
        <v>119072.08</v>
      </c>
      <c r="E24" s="11" t="n">
        <f aca="false">IF(409754.59=0,0,D24/409754.59)</f>
        <v>0.29059364533293</v>
      </c>
      <c r="I24" s="10" t="n">
        <f aca="false">IF(C24=0,0,D24/C24)</f>
        <v>2904.19707317073</v>
      </c>
    </row>
    <row r="25" customFormat="false" ht="15" hidden="false" customHeight="false" outlineLevel="0" collapsed="false">
      <c r="B25" s="4" t="s">
        <v>163</v>
      </c>
      <c r="C25" s="14" t="n">
        <v>7</v>
      </c>
      <c r="D25" s="10" t="n">
        <v>58896.52</v>
      </c>
      <c r="E25" s="11" t="n">
        <f aca="false">IF(409754.59=0,0,D25/409754.59)</f>
        <v>0.143736083590912</v>
      </c>
      <c r="I25" s="10" t="n">
        <f aca="false">IF(C25=0,0,D25/C25)</f>
        <v>8413.78857142857</v>
      </c>
    </row>
    <row r="26" customFormat="false" ht="15" hidden="false" customHeight="false" outlineLevel="0" collapsed="false">
      <c r="B26" s="4" t="s">
        <v>164</v>
      </c>
      <c r="C26" s="14" t="n">
        <v>54</v>
      </c>
      <c r="D26" s="10" t="n">
        <v>39751.74</v>
      </c>
      <c r="E26" s="11" t="n">
        <f aca="false">IF(409754.59=0,0,D26/409754.59)</f>
        <v>0.0970135319289529</v>
      </c>
      <c r="I26" s="10" t="n">
        <f aca="false">IF(C26=0,0,D26/C26)</f>
        <v>736.143333333333</v>
      </c>
    </row>
    <row r="27" customFormat="false" ht="15" hidden="false" customHeight="false" outlineLevel="0" collapsed="false">
      <c r="B27" s="4" t="s">
        <v>165</v>
      </c>
      <c r="C27" s="14" t="n">
        <v>4</v>
      </c>
      <c r="D27" s="10" t="n">
        <v>15612.75</v>
      </c>
      <c r="E27" s="11" t="n">
        <f aca="false">IF(409754.59=0,0,D27/409754.59)</f>
        <v>0.0381026848289851</v>
      </c>
      <c r="I27" s="10" t="n">
        <f aca="false">IF(C27=0,0,D27/C27)</f>
        <v>3903.1875</v>
      </c>
    </row>
    <row r="28" customFormat="false" ht="15" hidden="false" customHeight="false" outlineLevel="0" collapsed="false">
      <c r="B28" s="4" t="s">
        <v>166</v>
      </c>
      <c r="C28" s="14" t="n">
        <v>6</v>
      </c>
      <c r="D28" s="10" t="n">
        <v>9741.88</v>
      </c>
      <c r="E28" s="11" t="n">
        <f aca="false">IF(409754.59=0,0,D28/409754.59)</f>
        <v>0.023774913662346</v>
      </c>
      <c r="I28" s="10" t="n">
        <f aca="false">IF(C28=0,0,D28/C28)</f>
        <v>1623.64666666667</v>
      </c>
    </row>
    <row r="29" customFormat="false" ht="15" hidden="false" customHeight="false" outlineLevel="0" collapsed="false">
      <c r="B29" s="4" t="s">
        <v>167</v>
      </c>
      <c r="C29" s="14" t="n">
        <v>3</v>
      </c>
      <c r="D29" s="10" t="n">
        <v>5806</v>
      </c>
      <c r="E29" s="11" t="n">
        <f aca="false">IF(409754.59=0,0,D29/409754.59)</f>
        <v>0.0141694568936982</v>
      </c>
      <c r="I29" s="10" t="n">
        <f aca="false">IF(C29=0,0,D29/C29)</f>
        <v>1935.33333333333</v>
      </c>
    </row>
    <row r="30" customFormat="false" ht="15" hidden="false" customHeight="false" outlineLevel="0" collapsed="false">
      <c r="B30" s="4" t="s">
        <v>168</v>
      </c>
      <c r="C30" s="14" t="n">
        <v>7</v>
      </c>
      <c r="D30" s="10" t="n">
        <v>1963.11</v>
      </c>
      <c r="E30" s="11" t="n">
        <f aca="false">IF(409754.59=0,0,D30/409754.59)</f>
        <v>0.00479094084095556</v>
      </c>
      <c r="I30" s="10" t="n">
        <f aca="false">IF(C30=0,0,D30/C30)</f>
        <v>280.444285714286</v>
      </c>
    </row>
    <row r="31" customFormat="false" ht="15" hidden="false" customHeight="false" outlineLevel="0" collapsed="false">
      <c r="B31" s="4" t="s">
        <v>169</v>
      </c>
      <c r="C31" s="14" t="n">
        <v>2</v>
      </c>
      <c r="D31" s="10" t="n">
        <v>1837.5</v>
      </c>
      <c r="E31" s="11" t="n">
        <f aca="false">IF(409754.59=0,0,D31/409754.59)</f>
        <v>0.00448439149882372</v>
      </c>
      <c r="I31" s="10" t="n">
        <f aca="false">IF(C31=0,0,D31/C31)</f>
        <v>918.75</v>
      </c>
    </row>
    <row r="32" customFormat="false" ht="15" hidden="false" customHeight="false" outlineLevel="0" collapsed="false">
      <c r="B32" s="4" t="s">
        <v>170</v>
      </c>
      <c r="C32" s="14" t="n">
        <v>8</v>
      </c>
      <c r="D32" s="10" t="n">
        <v>1038.11</v>
      </c>
      <c r="E32" s="11" t="n">
        <f aca="false">IF(409754.59=0,0,D32/409754.59)</f>
        <v>0.00253349205923477</v>
      </c>
      <c r="I32" s="10" t="n">
        <f aca="false">IF(C32=0,0,D32/C32)</f>
        <v>129.76375</v>
      </c>
    </row>
    <row r="33" customFormat="false" ht="15" hidden="false" customHeight="false" outlineLevel="0" collapsed="false">
      <c r="B33" s="4" t="s">
        <v>171</v>
      </c>
      <c r="C33" s="14" t="n">
        <v>1</v>
      </c>
      <c r="D33" s="10" t="n">
        <v>973.75</v>
      </c>
      <c r="E33" s="11" t="n">
        <f aca="false">IF(409754.59=0,0,D33/409754.59)</f>
        <v>0.00237642243373039</v>
      </c>
      <c r="I33" s="10" t="n">
        <f aca="false">IF(C33=0,0,D33/C33)</f>
        <v>973.75</v>
      </c>
    </row>
    <row r="34" customFormat="false" ht="15" hidden="false" customHeight="false" outlineLevel="0" collapsed="false">
      <c r="B34" s="4" t="s">
        <v>172</v>
      </c>
      <c r="C34" s="14" t="n">
        <v>2</v>
      </c>
      <c r="D34" s="10" t="n">
        <v>309.58</v>
      </c>
      <c r="E34" s="11" t="n">
        <f aca="false">IF(409754.59=0,0,D34/409754.59)</f>
        <v>0.000755525398751482</v>
      </c>
      <c r="I34" s="10" t="n">
        <f aca="false">IF(C34=0,0,D34/C34)</f>
        <v>154.79</v>
      </c>
    </row>
    <row r="35" customFormat="false" ht="15" hidden="false" customHeight="false" outlineLevel="0" collapsed="false">
      <c r="B35" s="4" t="s">
        <v>173</v>
      </c>
      <c r="C35" s="14" t="n">
        <v>1</v>
      </c>
      <c r="D35" s="10" t="n">
        <v>186</v>
      </c>
      <c r="E35" s="11" t="n">
        <f aca="false">IF(409754.59=0,0,D35/409754.59)</f>
        <v>0.000453930241513585</v>
      </c>
      <c r="I35" s="10" t="n">
        <f aca="false">IF(C35=0,0,D35/C35)</f>
        <v>186</v>
      </c>
    </row>
    <row r="36" customFormat="false" ht="15" hidden="false" customHeight="false" outlineLevel="0" collapsed="false">
      <c r="B36" s="4" t="s">
        <v>174</v>
      </c>
      <c r="C36" s="14" t="n">
        <v>1</v>
      </c>
      <c r="D36" s="10" t="n">
        <v>69.28</v>
      </c>
      <c r="E36" s="11" t="n">
        <f aca="false">IF(409754.59=0,0,D36/409754.59)</f>
        <v>0.000169076812537963</v>
      </c>
      <c r="I36" s="10" t="n">
        <f aca="false">IF(C36=0,0,D36/C36)</f>
        <v>69.28</v>
      </c>
    </row>
    <row r="37" customFormat="false" ht="15" hidden="false" customHeight="false" outlineLevel="0" collapsed="false">
      <c r="B37" s="4" t="s">
        <v>175</v>
      </c>
      <c r="C37" s="14" t="n">
        <v>3</v>
      </c>
      <c r="D37" s="10" t="n">
        <v>18.33</v>
      </c>
      <c r="E37" s="11" t="n">
        <f aca="false">IF(409754.59=0,0,D37/409754.59)</f>
        <v>4.4734093155613E-005</v>
      </c>
      <c r="I37" s="10" t="n">
        <f aca="false">IF(C37=0,0,D37/C37)</f>
        <v>6.11</v>
      </c>
    </row>
    <row r="38" customFormat="false" ht="15" hidden="false" customHeight="false" outlineLevel="0" collapsed="false">
      <c r="B38" s="4" t="s">
        <v>176</v>
      </c>
      <c r="C38" s="14" t="n">
        <v>1</v>
      </c>
      <c r="D38" s="10" t="n">
        <v>13.84</v>
      </c>
      <c r="E38" s="11" t="n">
        <f aca="false">IF(409754.59=0,0,D38/409754.59)</f>
        <v>3.37763147448818E-005</v>
      </c>
      <c r="I38" s="10" t="n">
        <f aca="false">IF(C38=0,0,D38/C38)</f>
        <v>13.84</v>
      </c>
    </row>
    <row r="39" customFormat="false" ht="15" hidden="false" customHeight="false" outlineLevel="0" collapsed="false">
      <c r="B39" s="5" t="s">
        <v>38</v>
      </c>
      <c r="C39" s="15" t="n">
        <f aca="false">SUM(C23:C38)</f>
        <v>186</v>
      </c>
      <c r="D39" s="12" t="n">
        <f aca="false">SUM(D23:D38)</f>
        <v>409754.59</v>
      </c>
      <c r="E39" s="13" t="n">
        <v>1</v>
      </c>
    </row>
    <row r="42" customFormat="false" ht="15" hidden="false" customHeight="false" outlineLevel="0" collapsed="false">
      <c r="B42" s="3" t="s">
        <v>62</v>
      </c>
      <c r="C42" s="3"/>
      <c r="D42" s="3"/>
      <c r="E42" s="3"/>
      <c r="F42" s="3"/>
      <c r="G42" s="3"/>
      <c r="H42" s="3"/>
      <c r="I42" s="3"/>
    </row>
    <row r="43" customFormat="false" ht="15" hidden="false" customHeight="false" outlineLevel="0" collapsed="false">
      <c r="B43" s="2" t="s">
        <v>63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64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65</v>
      </c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B46" s="2" t="s">
        <v>66</v>
      </c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B47" s="2" t="s">
        <v>67</v>
      </c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B48" s="2" t="s">
        <v>68</v>
      </c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B49" s="2" t="s">
        <v>69</v>
      </c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B50" s="2" t="s">
        <v>70</v>
      </c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B51" s="2" t="s">
        <v>177</v>
      </c>
      <c r="C51" s="2"/>
      <c r="D51" s="2"/>
      <c r="E51" s="2"/>
      <c r="F51" s="2"/>
      <c r="G51" s="2"/>
      <c r="H51" s="2"/>
      <c r="I51" s="2"/>
    </row>
  </sheetData>
  <mergeCells count="14">
    <mergeCell ref="B2:I2"/>
    <mergeCell ref="B3:I3"/>
    <mergeCell ref="B5:I5"/>
    <mergeCell ref="B21:I2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178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179</v>
      </c>
      <c r="C4" s="9" t="s">
        <v>180</v>
      </c>
      <c r="D4" s="9" t="s">
        <v>181</v>
      </c>
      <c r="E4" s="9" t="s">
        <v>182</v>
      </c>
      <c r="F4" s="9" t="s">
        <v>183</v>
      </c>
    </row>
    <row r="5" customFormat="false" ht="15" hidden="false" customHeight="false" outlineLevel="0" collapsed="false">
      <c r="B5" s="4" t="s">
        <v>184</v>
      </c>
      <c r="C5" s="16" t="n">
        <v>1111</v>
      </c>
      <c r="D5" s="10" t="n">
        <v>34877</v>
      </c>
      <c r="E5" s="17" t="n">
        <f aca="false">IF(C5=0,0,D5/C5)</f>
        <v>31.3924392439244</v>
      </c>
      <c r="F5" s="4" t="s">
        <v>185</v>
      </c>
    </row>
    <row r="6" customFormat="false" ht="15" hidden="false" customHeight="false" outlineLevel="0" collapsed="false">
      <c r="B6" s="4" t="s">
        <v>186</v>
      </c>
      <c r="C6" s="16" t="n">
        <v>1001</v>
      </c>
      <c r="D6" s="10" t="n">
        <v>12924</v>
      </c>
      <c r="E6" s="17" t="n">
        <f aca="false">IF(C6=0,0,D6/C6)</f>
        <v>12.9110889110889</v>
      </c>
      <c r="F6" s="4" t="s">
        <v>187</v>
      </c>
    </row>
    <row r="7" customFormat="false" ht="15" hidden="false" customHeight="false" outlineLevel="0" collapsed="false">
      <c r="B7" s="4" t="s">
        <v>188</v>
      </c>
      <c r="C7" s="16" t="n">
        <v>932</v>
      </c>
      <c r="D7" s="10" t="n">
        <v>18140</v>
      </c>
      <c r="E7" s="17" t="n">
        <f aca="false">IF(C7=0,0,D7/C7)</f>
        <v>19.4635193133047</v>
      </c>
      <c r="F7" s="4" t="s">
        <v>189</v>
      </c>
    </row>
    <row r="8" customFormat="false" ht="15" hidden="false" customHeight="false" outlineLevel="0" collapsed="false">
      <c r="B8" s="4" t="s">
        <v>190</v>
      </c>
      <c r="C8" s="16" t="n">
        <v>790</v>
      </c>
      <c r="D8" s="10" t="n">
        <v>21434</v>
      </c>
      <c r="E8" s="17" t="n">
        <f aca="false">IF(C8=0,0,D8/C8)</f>
        <v>27.1316455696203</v>
      </c>
      <c r="F8" s="4" t="s">
        <v>189</v>
      </c>
    </row>
    <row r="9" customFormat="false" ht="15" hidden="false" customHeight="false" outlineLevel="0" collapsed="false">
      <c r="B9" s="4" t="s">
        <v>191</v>
      </c>
      <c r="C9" s="16" t="n">
        <v>763</v>
      </c>
      <c r="D9" s="10" t="n">
        <v>11903</v>
      </c>
      <c r="E9" s="17" t="n">
        <f aca="false">IF(C9=0,0,D9/C9)</f>
        <v>15.6002621231979</v>
      </c>
      <c r="F9" s="4" t="s">
        <v>187</v>
      </c>
    </row>
    <row r="10" customFormat="false" ht="15" hidden="false" customHeight="false" outlineLevel="0" collapsed="false">
      <c r="B10" s="4" t="s">
        <v>192</v>
      </c>
      <c r="C10" s="16" t="n">
        <v>746</v>
      </c>
      <c r="D10" s="10" t="n">
        <v>9192</v>
      </c>
      <c r="E10" s="17" t="n">
        <f aca="false">IF(C10=0,0,D10/C10)</f>
        <v>12.3217158176944</v>
      </c>
      <c r="F10" s="4" t="s">
        <v>187</v>
      </c>
    </row>
    <row r="11" customFormat="false" ht="15" hidden="false" customHeight="false" outlineLevel="0" collapsed="false">
      <c r="B11" s="4" t="s">
        <v>193</v>
      </c>
      <c r="C11" s="16" t="n">
        <v>738</v>
      </c>
      <c r="D11" s="10" t="n">
        <v>9104</v>
      </c>
      <c r="E11" s="17" t="n">
        <f aca="false">IF(C11=0,0,D11/C11)</f>
        <v>12.3360433604336</v>
      </c>
      <c r="F11" s="4" t="s">
        <v>187</v>
      </c>
    </row>
    <row r="12" customFormat="false" ht="15" hidden="false" customHeight="false" outlineLevel="0" collapsed="false">
      <c r="B12" s="4" t="s">
        <v>194</v>
      </c>
      <c r="C12" s="16" t="n">
        <v>660</v>
      </c>
      <c r="D12" s="10" t="n">
        <v>8620</v>
      </c>
      <c r="E12" s="17" t="n">
        <f aca="false">IF(C12=0,0,D12/C12)</f>
        <v>13.0606060606061</v>
      </c>
      <c r="F12" s="4" t="s">
        <v>187</v>
      </c>
    </row>
    <row r="13" customFormat="false" ht="15" hidden="false" customHeight="false" outlineLevel="0" collapsed="false">
      <c r="B13" s="4" t="s">
        <v>195</v>
      </c>
      <c r="C13" s="16" t="n">
        <v>575.5</v>
      </c>
      <c r="D13" s="10" t="n">
        <v>11510</v>
      </c>
      <c r="E13" s="17" t="n">
        <f aca="false">IF(C13=0,0,D13/C13)</f>
        <v>20</v>
      </c>
      <c r="F13" s="4" t="s">
        <v>189</v>
      </c>
    </row>
    <row r="14" customFormat="false" ht="15" hidden="false" customHeight="false" outlineLevel="0" collapsed="false">
      <c r="B14" s="4" t="s">
        <v>196</v>
      </c>
      <c r="C14" s="16" t="n">
        <v>501</v>
      </c>
      <c r="D14" s="10" t="n">
        <v>9018</v>
      </c>
      <c r="E14" s="17" t="n">
        <f aca="false">IF(C14=0,0,D14/C14)</f>
        <v>18</v>
      </c>
      <c r="F14" s="4" t="s">
        <v>189</v>
      </c>
    </row>
    <row r="15" customFormat="false" ht="15" hidden="false" customHeight="false" outlineLevel="0" collapsed="false">
      <c r="B15" s="4" t="s">
        <v>197</v>
      </c>
      <c r="C15" s="16" t="n">
        <v>450.5</v>
      </c>
      <c r="D15" s="10" t="n">
        <v>6319.25</v>
      </c>
      <c r="E15" s="17" t="n">
        <f aca="false">IF(C15=0,0,D15/C15)</f>
        <v>14.027192008879</v>
      </c>
      <c r="F15" s="4" t="s">
        <v>187</v>
      </c>
    </row>
    <row r="16" customFormat="false" ht="15" hidden="false" customHeight="false" outlineLevel="0" collapsed="false">
      <c r="B16" s="4" t="s">
        <v>198</v>
      </c>
      <c r="C16" s="16" t="n">
        <v>406</v>
      </c>
      <c r="D16" s="10" t="n">
        <v>14595</v>
      </c>
      <c r="E16" s="17" t="n">
        <f aca="false">IF(C16=0,0,D16/C16)</f>
        <v>35.948275862069</v>
      </c>
      <c r="F16" s="4" t="s">
        <v>185</v>
      </c>
    </row>
    <row r="17" customFormat="false" ht="15" hidden="false" customHeight="false" outlineLevel="0" collapsed="false">
      <c r="B17" s="4" t="s">
        <v>199</v>
      </c>
      <c r="C17" s="16" t="n">
        <v>381</v>
      </c>
      <c r="D17" s="10" t="n">
        <v>10432</v>
      </c>
      <c r="E17" s="17" t="n">
        <f aca="false">IF(C17=0,0,D17/C17)</f>
        <v>27.3805774278215</v>
      </c>
      <c r="F17" s="4" t="s">
        <v>189</v>
      </c>
    </row>
    <row r="18" customFormat="false" ht="15" hidden="false" customHeight="false" outlineLevel="0" collapsed="false">
      <c r="B18" s="4" t="s">
        <v>200</v>
      </c>
      <c r="C18" s="16" t="n">
        <v>363</v>
      </c>
      <c r="D18" s="10" t="n">
        <v>4719</v>
      </c>
      <c r="E18" s="17" t="n">
        <f aca="false">IF(C18=0,0,D18/C18)</f>
        <v>13</v>
      </c>
      <c r="F18" s="4" t="s">
        <v>187</v>
      </c>
    </row>
    <row r="19" customFormat="false" ht="15" hidden="false" customHeight="false" outlineLevel="0" collapsed="false">
      <c r="B19" s="4" t="s">
        <v>201</v>
      </c>
      <c r="C19" s="16" t="n">
        <v>337.5</v>
      </c>
      <c r="D19" s="10" t="n">
        <v>9751.5</v>
      </c>
      <c r="E19" s="17" t="n">
        <f aca="false">IF(C19=0,0,D19/C19)</f>
        <v>28.8933333333333</v>
      </c>
      <c r="F19" s="4" t="s">
        <v>189</v>
      </c>
    </row>
    <row r="20" customFormat="false" ht="15" hidden="false" customHeight="false" outlineLevel="0" collapsed="false">
      <c r="B20" s="4" t="s">
        <v>202</v>
      </c>
      <c r="C20" s="16" t="n">
        <v>319</v>
      </c>
      <c r="D20" s="10" t="n">
        <v>8932</v>
      </c>
      <c r="E20" s="17" t="n">
        <f aca="false">IF(C20=0,0,D20/C20)</f>
        <v>28</v>
      </c>
      <c r="F20" s="4" t="s">
        <v>189</v>
      </c>
    </row>
    <row r="21" customFormat="false" ht="15" hidden="false" customHeight="false" outlineLevel="0" collapsed="false">
      <c r="B21" s="4" t="s">
        <v>203</v>
      </c>
      <c r="C21" s="16" t="n">
        <v>316</v>
      </c>
      <c r="D21" s="10" t="n">
        <v>3803</v>
      </c>
      <c r="E21" s="17" t="n">
        <f aca="false">IF(C21=0,0,D21/C21)</f>
        <v>12.0348101265823</v>
      </c>
      <c r="F21" s="4" t="s">
        <v>187</v>
      </c>
    </row>
    <row r="22" customFormat="false" ht="15" hidden="false" customHeight="false" outlineLevel="0" collapsed="false">
      <c r="B22" s="4" t="s">
        <v>204</v>
      </c>
      <c r="C22" s="16" t="n">
        <v>280</v>
      </c>
      <c r="D22" s="10" t="n">
        <v>4480</v>
      </c>
      <c r="E22" s="17" t="n">
        <f aca="false">IF(C22=0,0,D22/C22)</f>
        <v>16</v>
      </c>
      <c r="F22" s="4" t="s">
        <v>187</v>
      </c>
    </row>
    <row r="23" customFormat="false" ht="15" hidden="false" customHeight="false" outlineLevel="0" collapsed="false">
      <c r="B23" s="4" t="s">
        <v>205</v>
      </c>
      <c r="C23" s="16" t="n">
        <v>262</v>
      </c>
      <c r="D23" s="10" t="n">
        <v>3406</v>
      </c>
      <c r="E23" s="17" t="n">
        <f aca="false">IF(C23=0,0,D23/C23)</f>
        <v>13</v>
      </c>
      <c r="F23" s="4" t="s">
        <v>187</v>
      </c>
    </row>
    <row r="24" customFormat="false" ht="15" hidden="false" customHeight="false" outlineLevel="0" collapsed="false">
      <c r="B24" s="4" t="s">
        <v>206</v>
      </c>
      <c r="C24" s="16" t="n">
        <v>249</v>
      </c>
      <c r="D24" s="10" t="n">
        <v>3237</v>
      </c>
      <c r="E24" s="17" t="n">
        <f aca="false">IF(C24=0,0,D24/C24)</f>
        <v>13</v>
      </c>
      <c r="F24" s="4" t="s">
        <v>187</v>
      </c>
    </row>
    <row r="25" customFormat="false" ht="15" hidden="false" customHeight="false" outlineLevel="0" collapsed="false">
      <c r="B25" s="4" t="s">
        <v>207</v>
      </c>
      <c r="C25" s="16" t="n">
        <v>248</v>
      </c>
      <c r="D25" s="10" t="n">
        <v>6696</v>
      </c>
      <c r="E25" s="17" t="n">
        <f aca="false">IF(C25=0,0,D25/C25)</f>
        <v>27</v>
      </c>
      <c r="F25" s="4" t="s">
        <v>189</v>
      </c>
    </row>
    <row r="26" customFormat="false" ht="15" hidden="false" customHeight="false" outlineLevel="0" collapsed="false">
      <c r="B26" s="4" t="s">
        <v>208</v>
      </c>
      <c r="C26" s="16" t="n">
        <v>201</v>
      </c>
      <c r="D26" s="10" t="n">
        <v>2412</v>
      </c>
      <c r="E26" s="17" t="n">
        <f aca="false">IF(C26=0,0,D26/C26)</f>
        <v>12</v>
      </c>
      <c r="F26" s="4" t="s">
        <v>187</v>
      </c>
    </row>
    <row r="27" customFormat="false" ht="15" hidden="false" customHeight="false" outlineLevel="0" collapsed="false">
      <c r="B27" s="4" t="s">
        <v>209</v>
      </c>
      <c r="C27" s="16" t="n">
        <v>197.25</v>
      </c>
      <c r="D27" s="10" t="n">
        <v>2742.88</v>
      </c>
      <c r="E27" s="17" t="n">
        <f aca="false">IF(C27=0,0,D27/C27)</f>
        <v>13.9056020278834</v>
      </c>
      <c r="F27" s="4" t="s">
        <v>187</v>
      </c>
    </row>
    <row r="28" customFormat="false" ht="15" hidden="false" customHeight="false" outlineLevel="0" collapsed="false">
      <c r="B28" s="4" t="s">
        <v>210</v>
      </c>
      <c r="C28" s="16" t="n">
        <v>193</v>
      </c>
      <c r="D28" s="10" t="n">
        <v>4619</v>
      </c>
      <c r="E28" s="17" t="n">
        <f aca="false">IF(C28=0,0,D28/C28)</f>
        <v>23.9326424870466</v>
      </c>
      <c r="F28" s="4" t="s">
        <v>189</v>
      </c>
    </row>
    <row r="29" customFormat="false" ht="15" hidden="false" customHeight="false" outlineLevel="0" collapsed="false">
      <c r="B29" s="4" t="s">
        <v>211</v>
      </c>
      <c r="C29" s="16" t="n">
        <v>176</v>
      </c>
      <c r="D29" s="10" t="n">
        <v>4224</v>
      </c>
      <c r="E29" s="17" t="n">
        <f aca="false">IF(C29=0,0,D29/C29)</f>
        <v>24</v>
      </c>
      <c r="F29" s="4" t="s">
        <v>189</v>
      </c>
    </row>
    <row r="30" customFormat="false" ht="15" hidden="false" customHeight="false" outlineLevel="0" collapsed="false">
      <c r="B30" s="4" t="s">
        <v>212</v>
      </c>
      <c r="C30" s="16" t="n">
        <v>171</v>
      </c>
      <c r="D30" s="10" t="n">
        <v>4705</v>
      </c>
      <c r="E30" s="17" t="n">
        <f aca="false">IF(C30=0,0,D30/C30)</f>
        <v>27.5146198830409</v>
      </c>
      <c r="F30" s="4" t="s">
        <v>189</v>
      </c>
    </row>
    <row r="31" customFormat="false" ht="15" hidden="false" customHeight="false" outlineLevel="0" collapsed="false">
      <c r="B31" s="4" t="s">
        <v>213</v>
      </c>
      <c r="C31" s="16" t="n">
        <v>168.5</v>
      </c>
      <c r="D31" s="10" t="n">
        <v>2696</v>
      </c>
      <c r="E31" s="17" t="n">
        <f aca="false">IF(C31=0,0,D31/C31)</f>
        <v>16</v>
      </c>
      <c r="F31" s="4" t="s">
        <v>187</v>
      </c>
    </row>
    <row r="32" customFormat="false" ht="15" hidden="false" customHeight="false" outlineLevel="0" collapsed="false">
      <c r="B32" s="4" t="s">
        <v>214</v>
      </c>
      <c r="C32" s="16" t="n">
        <v>162</v>
      </c>
      <c r="D32" s="10" t="n">
        <v>2106</v>
      </c>
      <c r="E32" s="17" t="n">
        <f aca="false">IF(C32=0,0,D32/C32)</f>
        <v>13</v>
      </c>
      <c r="F32" s="4" t="s">
        <v>187</v>
      </c>
    </row>
    <row r="33" customFormat="false" ht="15" hidden="false" customHeight="false" outlineLevel="0" collapsed="false">
      <c r="B33" s="4" t="s">
        <v>215</v>
      </c>
      <c r="C33" s="16" t="n">
        <v>155</v>
      </c>
      <c r="D33" s="10" t="n">
        <v>2015</v>
      </c>
      <c r="E33" s="17" t="n">
        <f aca="false">IF(C33=0,0,D33/C33)</f>
        <v>13</v>
      </c>
      <c r="F33" s="4" t="s">
        <v>187</v>
      </c>
    </row>
    <row r="34" customFormat="false" ht="15" hidden="false" customHeight="false" outlineLevel="0" collapsed="false">
      <c r="B34" s="4" t="s">
        <v>216</v>
      </c>
      <c r="C34" s="16" t="n">
        <v>94</v>
      </c>
      <c r="D34" s="10" t="n">
        <v>1222</v>
      </c>
      <c r="E34" s="17" t="n">
        <f aca="false">IF(C34=0,0,D34/C34)</f>
        <v>13</v>
      </c>
      <c r="F34" s="4" t="s">
        <v>187</v>
      </c>
    </row>
    <row r="35" customFormat="false" ht="15" hidden="false" customHeight="false" outlineLevel="0" collapsed="false">
      <c r="B35" s="4" t="s">
        <v>217</v>
      </c>
      <c r="C35" s="16" t="n">
        <v>83</v>
      </c>
      <c r="D35" s="10" t="n">
        <v>996</v>
      </c>
      <c r="E35" s="17" t="n">
        <f aca="false">IF(C35=0,0,D35/C35)</f>
        <v>12</v>
      </c>
      <c r="F35" s="4" t="s">
        <v>187</v>
      </c>
    </row>
    <row r="36" customFormat="false" ht="15" hidden="false" customHeight="false" outlineLevel="0" collapsed="false">
      <c r="B36" s="4" t="s">
        <v>218</v>
      </c>
      <c r="C36" s="16" t="n">
        <v>42</v>
      </c>
      <c r="D36" s="10" t="n">
        <v>609</v>
      </c>
      <c r="E36" s="17" t="n">
        <f aca="false">IF(C36=0,0,D36/C36)</f>
        <v>14.5</v>
      </c>
      <c r="F36" s="4" t="s">
        <v>187</v>
      </c>
    </row>
    <row r="37" customFormat="false" ht="15" hidden="false" customHeight="false" outlineLevel="0" collapsed="false">
      <c r="B37" s="4" t="s">
        <v>219</v>
      </c>
      <c r="C37" s="16" t="n">
        <v>36</v>
      </c>
      <c r="D37" s="10" t="n">
        <v>432</v>
      </c>
      <c r="E37" s="17" t="n">
        <f aca="false">IF(C37=0,0,D37/C37)</f>
        <v>12</v>
      </c>
      <c r="F37" s="4" t="s">
        <v>187</v>
      </c>
    </row>
    <row r="38" customFormat="false" ht="15" hidden="false" customHeight="false" outlineLevel="0" collapsed="false">
      <c r="B38" s="4" t="s">
        <v>220</v>
      </c>
      <c r="C38" s="16" t="n">
        <v>32</v>
      </c>
      <c r="D38" s="10" t="n">
        <v>448</v>
      </c>
      <c r="E38" s="17" t="n">
        <f aca="false">IF(C38=0,0,D38/C38)</f>
        <v>14</v>
      </c>
      <c r="F38" s="4" t="s">
        <v>187</v>
      </c>
    </row>
    <row r="39" customFormat="false" ht="15" hidden="false" customHeight="false" outlineLevel="0" collapsed="false">
      <c r="B39" s="4" t="s">
        <v>221</v>
      </c>
      <c r="C39" s="16" t="n">
        <v>32</v>
      </c>
      <c r="D39" s="10" t="n">
        <v>416</v>
      </c>
      <c r="E39" s="17" t="n">
        <f aca="false">IF(C39=0,0,D39/C39)</f>
        <v>13</v>
      </c>
      <c r="F39" s="4" t="s">
        <v>187</v>
      </c>
    </row>
    <row r="40" customFormat="false" ht="15" hidden="false" customHeight="false" outlineLevel="0" collapsed="false">
      <c r="B40" s="4" t="s">
        <v>222</v>
      </c>
      <c r="C40" s="16" t="n">
        <v>11</v>
      </c>
      <c r="D40" s="10" t="n">
        <v>323</v>
      </c>
      <c r="E40" s="17" t="n">
        <f aca="false">IF(C40=0,0,D40/C40)</f>
        <v>29.3636363636364</v>
      </c>
      <c r="F40" s="4" t="s">
        <v>189</v>
      </c>
    </row>
    <row r="41" customFormat="false" ht="15" hidden="false" customHeight="false" outlineLevel="0" collapsed="false">
      <c r="B41" s="4" t="s">
        <v>223</v>
      </c>
      <c r="C41" s="16" t="n">
        <v>8</v>
      </c>
      <c r="D41" s="10" t="n">
        <v>144</v>
      </c>
      <c r="E41" s="17" t="n">
        <f aca="false">IF(C41=0,0,D41/C41)</f>
        <v>18</v>
      </c>
      <c r="F41" s="4" t="s">
        <v>189</v>
      </c>
    </row>
    <row r="42" customFormat="false" ht="15" hidden="false" customHeight="false" outlineLevel="0" collapsed="false">
      <c r="B42" s="4" t="s">
        <v>224</v>
      </c>
      <c r="C42" s="16" t="n">
        <v>7</v>
      </c>
      <c r="D42" s="10" t="n">
        <v>91</v>
      </c>
      <c r="E42" s="17" t="n">
        <f aca="false">IF(C42=0,0,D42/C42)</f>
        <v>13</v>
      </c>
      <c r="F42" s="4" t="s">
        <v>187</v>
      </c>
    </row>
    <row r="43" customFormat="false" ht="15" hidden="false" customHeight="false" outlineLevel="0" collapsed="false">
      <c r="B43" s="4" t="s">
        <v>225</v>
      </c>
      <c r="C43" s="16" t="n">
        <v>5</v>
      </c>
      <c r="D43" s="10" t="n">
        <v>60</v>
      </c>
      <c r="E43" s="17" t="n">
        <f aca="false">IF(C43=0,0,D43/C43)</f>
        <v>12</v>
      </c>
      <c r="F43" s="4" t="s">
        <v>187</v>
      </c>
    </row>
    <row r="44" customFormat="false" ht="15" hidden="false" customHeight="false" outlineLevel="0" collapsed="false">
      <c r="B44" s="4" t="s">
        <v>226</v>
      </c>
      <c r="C44" s="16" t="n">
        <v>3.5</v>
      </c>
      <c r="D44" s="10" t="n">
        <v>115.5</v>
      </c>
      <c r="E44" s="17" t="n">
        <f aca="false">IF(C44=0,0,D44/C44)</f>
        <v>33</v>
      </c>
      <c r="F44" s="4" t="s">
        <v>185</v>
      </c>
    </row>
    <row r="45" customFormat="false" ht="15" hidden="false" customHeight="false" outlineLevel="0" collapsed="false">
      <c r="B45" s="5" t="s">
        <v>227</v>
      </c>
      <c r="C45" s="18" t="n">
        <f aca="false">SUM(C5:C44)</f>
        <v>13206.75</v>
      </c>
      <c r="D45" s="12" t="n">
        <f aca="false">SUM(D5:D44)</f>
        <v>253469.13</v>
      </c>
      <c r="E45" s="19" t="n">
        <f aca="false">IF(C45=0,0,D45/C45)</f>
        <v>19.1923925265489</v>
      </c>
    </row>
    <row r="48" customFormat="false" ht="15" hidden="false" customHeight="false" outlineLevel="0" collapsed="false">
      <c r="B48" s="3" t="s">
        <v>62</v>
      </c>
      <c r="C48" s="3"/>
      <c r="D48" s="3"/>
      <c r="E48" s="3"/>
      <c r="F48" s="3"/>
    </row>
    <row r="49" customFormat="false" ht="15" hidden="false" customHeight="false" outlineLevel="0" collapsed="false">
      <c r="B49" s="2" t="s">
        <v>63</v>
      </c>
      <c r="C49" s="2"/>
      <c r="D49" s="2"/>
      <c r="E49" s="2"/>
      <c r="F49" s="2"/>
    </row>
    <row r="50" customFormat="false" ht="15" hidden="false" customHeight="false" outlineLevel="0" collapsed="false">
      <c r="B50" s="2" t="s">
        <v>64</v>
      </c>
      <c r="C50" s="2"/>
      <c r="D50" s="2"/>
      <c r="E50" s="2"/>
      <c r="F50" s="2"/>
    </row>
    <row r="51" customFormat="false" ht="15" hidden="false" customHeight="false" outlineLevel="0" collapsed="false">
      <c r="B51" s="2" t="s">
        <v>65</v>
      </c>
      <c r="C51" s="2"/>
      <c r="D51" s="2"/>
      <c r="E51" s="2"/>
      <c r="F51" s="2"/>
    </row>
    <row r="52" customFormat="false" ht="15" hidden="false" customHeight="false" outlineLevel="0" collapsed="false">
      <c r="B52" s="2" t="s">
        <v>66</v>
      </c>
      <c r="C52" s="2"/>
      <c r="D52" s="2"/>
      <c r="E52" s="2"/>
      <c r="F52" s="2"/>
    </row>
    <row r="53" customFormat="false" ht="15" hidden="false" customHeight="false" outlineLevel="0" collapsed="false">
      <c r="B53" s="2" t="s">
        <v>67</v>
      </c>
      <c r="C53" s="2"/>
      <c r="D53" s="2"/>
      <c r="E53" s="2"/>
      <c r="F53" s="2"/>
    </row>
    <row r="54" customFormat="false" ht="15" hidden="false" customHeight="false" outlineLevel="0" collapsed="false">
      <c r="B54" s="2" t="s">
        <v>68</v>
      </c>
      <c r="C54" s="2"/>
      <c r="D54" s="2"/>
      <c r="E54" s="2"/>
      <c r="F54" s="2"/>
    </row>
    <row r="55" customFormat="false" ht="15" hidden="false" customHeight="false" outlineLevel="0" collapsed="false">
      <c r="B55" s="2" t="s">
        <v>69</v>
      </c>
      <c r="C55" s="2"/>
      <c r="D55" s="2"/>
      <c r="E55" s="2"/>
      <c r="F55" s="2"/>
    </row>
    <row r="56" customFormat="false" ht="15" hidden="false" customHeight="false" outlineLevel="0" collapsed="false">
      <c r="B56" s="2" t="s">
        <v>70</v>
      </c>
      <c r="C56" s="2"/>
      <c r="D56" s="2"/>
      <c r="E56" s="2"/>
      <c r="F56" s="2"/>
    </row>
    <row r="57" customFormat="false" ht="15" hidden="false" customHeight="false" outlineLevel="0" collapsed="false">
      <c r="B57" s="2" t="s">
        <v>228</v>
      </c>
      <c r="C57" s="2"/>
      <c r="D57" s="2"/>
      <c r="E57" s="2"/>
      <c r="F57" s="2"/>
    </row>
  </sheetData>
  <mergeCells count="11">
    <mergeCell ref="B2:F2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229</v>
      </c>
      <c r="C2" s="1"/>
      <c r="D2" s="1"/>
      <c r="E2" s="1"/>
      <c r="F2" s="1"/>
    </row>
    <row r="4" customFormat="false" ht="15" hidden="false" customHeight="false" outlineLevel="0" collapsed="false">
      <c r="B4" s="3" t="s">
        <v>230</v>
      </c>
      <c r="C4" s="3"/>
      <c r="D4" s="3"/>
      <c r="E4" s="3"/>
      <c r="F4" s="3"/>
    </row>
    <row r="5" customFormat="false" ht="15" hidden="false" customHeight="false" outlineLevel="0" collapsed="false">
      <c r="B5" s="9" t="s">
        <v>183</v>
      </c>
      <c r="C5" s="9" t="s">
        <v>231</v>
      </c>
      <c r="D5" s="9" t="s">
        <v>180</v>
      </c>
      <c r="E5" s="9" t="s">
        <v>181</v>
      </c>
      <c r="F5" s="9" t="s">
        <v>232</v>
      </c>
    </row>
    <row r="6" customFormat="false" ht="15" hidden="false" customHeight="false" outlineLevel="0" collapsed="false">
      <c r="B6" s="4" t="s">
        <v>185</v>
      </c>
      <c r="C6" s="14" t="n">
        <v>3</v>
      </c>
      <c r="D6" s="16" t="n">
        <v>1520.5</v>
      </c>
      <c r="E6" s="10" t="n">
        <v>49587.5</v>
      </c>
      <c r="F6" s="11" t="n">
        <f aca="false">IF(13206.75=0,0,D6/13206.75)</f>
        <v>0.115130520377837</v>
      </c>
    </row>
    <row r="7" customFormat="false" ht="15" hidden="false" customHeight="false" outlineLevel="0" collapsed="false">
      <c r="B7" s="4" t="s">
        <v>189</v>
      </c>
      <c r="C7" s="14" t="n">
        <v>13</v>
      </c>
      <c r="D7" s="16" t="n">
        <v>4643</v>
      </c>
      <c r="E7" s="10" t="n">
        <v>109928.5</v>
      </c>
      <c r="F7" s="11" t="n">
        <f aca="false">IF(13206.75=0,0,D7/13206.75)</f>
        <v>0.35156264788839</v>
      </c>
    </row>
    <row r="8" customFormat="false" ht="15" hidden="false" customHeight="false" outlineLevel="0" collapsed="false">
      <c r="B8" s="4" t="s">
        <v>187</v>
      </c>
      <c r="C8" s="14" t="n">
        <v>24</v>
      </c>
      <c r="D8" s="16" t="n">
        <v>7043.25</v>
      </c>
      <c r="E8" s="10" t="n">
        <v>93953.13</v>
      </c>
      <c r="F8" s="11" t="n">
        <f aca="false">IF(13206.75=0,0,D8/13206.75)</f>
        <v>0.533306831733773</v>
      </c>
    </row>
    <row r="11" customFormat="false" ht="15" hidden="false" customHeight="false" outlineLevel="0" collapsed="false">
      <c r="B11" s="3" t="s">
        <v>233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234</v>
      </c>
      <c r="C12" s="20" t="n">
        <v>19.1923925265489</v>
      </c>
      <c r="F12" s="21" t="s">
        <v>235</v>
      </c>
    </row>
    <row r="13" customFormat="false" ht="15" hidden="false" customHeight="false" outlineLevel="0" collapsed="false">
      <c r="B13" s="4" t="s">
        <v>236</v>
      </c>
      <c r="C13" s="20" t="n">
        <v>33.3096121301607</v>
      </c>
      <c r="F13" s="21" t="s">
        <v>237</v>
      </c>
    </row>
    <row r="14" customFormat="false" ht="15" hidden="false" customHeight="false" outlineLevel="0" collapsed="false">
      <c r="B14" s="4" t="s">
        <v>238</v>
      </c>
      <c r="C14" s="20" t="n">
        <v>1.73556330114046</v>
      </c>
      <c r="F14" s="21" t="s">
        <v>239</v>
      </c>
    </row>
    <row r="15" customFormat="false" ht="15" hidden="false" customHeight="false" outlineLevel="0" collapsed="false">
      <c r="B15" s="4" t="s">
        <v>240</v>
      </c>
      <c r="C15" s="20" t="n">
        <v>12</v>
      </c>
      <c r="F15" s="21" t="s">
        <v>241</v>
      </c>
    </row>
    <row r="16" customFormat="false" ht="15" hidden="false" customHeight="false" outlineLevel="0" collapsed="false">
      <c r="B16" s="4" t="s">
        <v>242</v>
      </c>
      <c r="C16" s="20" t="n">
        <v>35.948275862069</v>
      </c>
      <c r="F16" s="21" t="s">
        <v>243</v>
      </c>
    </row>
    <row r="17" customFormat="false" ht="15" hidden="false" customHeight="false" outlineLevel="0" collapsed="false">
      <c r="B17" s="4" t="s">
        <v>244</v>
      </c>
      <c r="C17" s="20" t="n">
        <v>330.16875</v>
      </c>
      <c r="F17" s="21" t="s">
        <v>245</v>
      </c>
    </row>
    <row r="20" customFormat="false" ht="15" hidden="false" customHeight="false" outlineLevel="0" collapsed="false">
      <c r="B20" s="3" t="s">
        <v>62</v>
      </c>
      <c r="C20" s="3"/>
      <c r="D20" s="3"/>
      <c r="E20" s="3"/>
      <c r="F20" s="3"/>
    </row>
    <row r="21" customFormat="false" ht="15" hidden="false" customHeight="false" outlineLevel="0" collapsed="false">
      <c r="B21" s="2" t="s">
        <v>63</v>
      </c>
      <c r="C21" s="2"/>
      <c r="D21" s="2"/>
      <c r="E21" s="2"/>
      <c r="F21" s="2"/>
    </row>
    <row r="22" customFormat="false" ht="15" hidden="false" customHeight="false" outlineLevel="0" collapsed="false">
      <c r="B22" s="2" t="s">
        <v>64</v>
      </c>
      <c r="C22" s="2"/>
      <c r="D22" s="2"/>
      <c r="E22" s="2"/>
      <c r="F22" s="2"/>
    </row>
    <row r="23" customFormat="false" ht="15" hidden="false" customHeight="false" outlineLevel="0" collapsed="false">
      <c r="B23" s="2" t="s">
        <v>65</v>
      </c>
      <c r="C23" s="2"/>
      <c r="D23" s="2"/>
      <c r="E23" s="2"/>
      <c r="F23" s="2"/>
    </row>
    <row r="24" customFormat="false" ht="15" hidden="false" customHeight="false" outlineLevel="0" collapsed="false">
      <c r="B24" s="2" t="s">
        <v>66</v>
      </c>
      <c r="C24" s="2"/>
      <c r="D24" s="2"/>
      <c r="E24" s="2"/>
      <c r="F24" s="2"/>
    </row>
    <row r="25" customFormat="false" ht="15" hidden="false" customHeight="false" outlineLevel="0" collapsed="false">
      <c r="B25" s="2" t="s">
        <v>67</v>
      </c>
      <c r="C25" s="2"/>
      <c r="D25" s="2"/>
      <c r="E25" s="2"/>
      <c r="F25" s="2"/>
    </row>
    <row r="26" customFormat="false" ht="15" hidden="false" customHeight="false" outlineLevel="0" collapsed="false">
      <c r="B26" s="2" t="s">
        <v>68</v>
      </c>
      <c r="C26" s="2"/>
      <c r="D26" s="2"/>
      <c r="E26" s="2"/>
      <c r="F26" s="2"/>
    </row>
    <row r="27" customFormat="false" ht="15" hidden="false" customHeight="false" outlineLevel="0" collapsed="false">
      <c r="B27" s="2" t="s">
        <v>69</v>
      </c>
      <c r="C27" s="2"/>
      <c r="D27" s="2"/>
      <c r="E27" s="2"/>
      <c r="F27" s="2"/>
    </row>
    <row r="28" customFormat="false" ht="15" hidden="false" customHeight="false" outlineLevel="0" collapsed="false">
      <c r="B28" s="2" t="s">
        <v>70</v>
      </c>
      <c r="C28" s="2"/>
      <c r="D28" s="2"/>
      <c r="E28" s="2"/>
      <c r="F28" s="2"/>
    </row>
  </sheetData>
  <mergeCells count="12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246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3" t="s">
        <v>247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9" t="s">
        <v>248</v>
      </c>
      <c r="C5" s="9" t="s">
        <v>249</v>
      </c>
      <c r="D5" s="9" t="s">
        <v>180</v>
      </c>
      <c r="E5" s="9" t="s">
        <v>250</v>
      </c>
      <c r="F5" s="9" t="s">
        <v>251</v>
      </c>
    </row>
    <row r="6" customFormat="false" ht="15" hidden="false" customHeight="false" outlineLevel="0" collapsed="false">
      <c r="B6" s="4" t="s">
        <v>252</v>
      </c>
      <c r="C6" s="4" t="s">
        <v>78</v>
      </c>
      <c r="D6" s="16" t="n">
        <v>183</v>
      </c>
      <c r="E6" s="11" t="n">
        <f aca="false">IF(14607.25=0,0,D6/14607.25)</f>
        <v>0.0125280254668059</v>
      </c>
      <c r="F6" s="22" t="n">
        <f aca="false">IF(163=0,0,D6/163)</f>
        <v>1.12269938650307</v>
      </c>
    </row>
    <row r="7" customFormat="false" ht="15" hidden="false" customHeight="false" outlineLevel="0" collapsed="false">
      <c r="B7" s="4" t="s">
        <v>81</v>
      </c>
      <c r="C7" s="4" t="s">
        <v>80</v>
      </c>
      <c r="D7" s="16" t="n">
        <v>165</v>
      </c>
      <c r="E7" s="11" t="n">
        <f aca="false">IF(14607.25=0,0,D7/14607.25)</f>
        <v>0.0112957606667922</v>
      </c>
      <c r="F7" s="22" t="n">
        <f aca="false">IF(163=0,0,D7/163)</f>
        <v>1.01226993865031</v>
      </c>
    </row>
    <row r="8" customFormat="false" ht="15" hidden="false" customHeight="false" outlineLevel="0" collapsed="false">
      <c r="B8" s="4" t="s">
        <v>253</v>
      </c>
      <c r="C8" s="4" t="s">
        <v>82</v>
      </c>
      <c r="D8" s="16" t="n">
        <v>172.5</v>
      </c>
      <c r="E8" s="11" t="n">
        <f aca="false">IF(14607.25=0,0,D8/14607.25)</f>
        <v>0.0118092043334645</v>
      </c>
      <c r="F8" s="22" t="n">
        <f aca="false">IF(163=0,0,D8/163)</f>
        <v>1.05828220858896</v>
      </c>
    </row>
    <row r="9" customFormat="false" ht="15" hidden="false" customHeight="false" outlineLevel="0" collapsed="false">
      <c r="B9" s="4" t="s">
        <v>254</v>
      </c>
      <c r="C9" s="4" t="s">
        <v>84</v>
      </c>
      <c r="D9" s="16" t="n">
        <v>145.5</v>
      </c>
      <c r="E9" s="11" t="n">
        <f aca="false">IF(14607.25=0,0,D9/14607.25)</f>
        <v>0.00996080713344401</v>
      </c>
      <c r="F9" s="22" t="n">
        <f aca="false">IF(163=0,0,D9/163)</f>
        <v>0.892638036809816</v>
      </c>
    </row>
    <row r="10" customFormat="false" ht="15" hidden="false" customHeight="false" outlineLevel="0" collapsed="false">
      <c r="B10" s="4" t="s">
        <v>255</v>
      </c>
      <c r="C10" s="4" t="s">
        <v>86</v>
      </c>
      <c r="D10" s="16" t="n">
        <v>872</v>
      </c>
      <c r="E10" s="11" t="n">
        <f aca="false">IF(14607.25=0,0,D10/14607.25)</f>
        <v>0.0596963836451077</v>
      </c>
      <c r="F10" s="22" t="n">
        <f aca="false">IF(163=0,0,D10/163)</f>
        <v>5.34969325153374</v>
      </c>
    </row>
    <row r="11" customFormat="false" ht="15" hidden="false" customHeight="false" outlineLevel="0" collapsed="false">
      <c r="B11" s="4" t="s">
        <v>256</v>
      </c>
      <c r="C11" s="4" t="s">
        <v>88</v>
      </c>
      <c r="D11" s="16" t="n">
        <v>238</v>
      </c>
      <c r="E11" s="11" t="n">
        <f aca="false">IF(14607.25=0,0,D11/14607.25)</f>
        <v>0.0162932790224033</v>
      </c>
      <c r="F11" s="22" t="n">
        <f aca="false">IF(163=0,0,D11/163)</f>
        <v>1.4601226993865</v>
      </c>
    </row>
    <row r="12" customFormat="false" ht="15" hidden="false" customHeight="false" outlineLevel="0" collapsed="false">
      <c r="B12" s="4" t="s">
        <v>257</v>
      </c>
      <c r="C12" s="4" t="s">
        <v>90</v>
      </c>
      <c r="D12" s="16" t="n">
        <v>50</v>
      </c>
      <c r="E12" s="11" t="n">
        <f aca="false">IF(14607.25=0,0,D12/14607.25)</f>
        <v>0.00342295777781581</v>
      </c>
      <c r="F12" s="22" t="n">
        <f aca="false">IF(163=0,0,D12/163)</f>
        <v>0.306748466257669</v>
      </c>
    </row>
    <row r="13" customFormat="false" ht="15" hidden="false" customHeight="false" outlineLevel="0" collapsed="false">
      <c r="B13" s="4" t="s">
        <v>258</v>
      </c>
      <c r="C13" s="4" t="s">
        <v>92</v>
      </c>
      <c r="D13" s="16" t="n">
        <v>9319.5</v>
      </c>
      <c r="E13" s="11" t="n">
        <f aca="false">IF(14607.25=0,0,D13/14607.25)</f>
        <v>0.638005100207089</v>
      </c>
      <c r="F13" s="22" t="n">
        <f aca="false">IF(163=0,0,D13/163)</f>
        <v>57.1748466257669</v>
      </c>
    </row>
    <row r="14" customFormat="false" ht="15" hidden="false" customHeight="false" outlineLevel="0" collapsed="false">
      <c r="B14" s="4" t="s">
        <v>259</v>
      </c>
      <c r="C14" s="4" t="s">
        <v>94</v>
      </c>
      <c r="D14" s="16" t="n">
        <v>1840.75</v>
      </c>
      <c r="E14" s="11" t="n">
        <f aca="false">IF(14607.25=0,0,D14/14607.25)</f>
        <v>0.126016190590289</v>
      </c>
      <c r="F14" s="22" t="n">
        <f aca="false">IF(163=0,0,D14/163)</f>
        <v>11.2929447852761</v>
      </c>
    </row>
    <row r="15" customFormat="false" ht="15" hidden="false" customHeight="false" outlineLevel="0" collapsed="false">
      <c r="B15" s="4" t="s">
        <v>260</v>
      </c>
      <c r="C15" s="4" t="s">
        <v>96</v>
      </c>
      <c r="D15" s="16" t="n">
        <v>104</v>
      </c>
      <c r="E15" s="11" t="n">
        <f aca="false">IF(14607.25=0,0,D15/14607.25)</f>
        <v>0.00711975217785689</v>
      </c>
      <c r="F15" s="22" t="n">
        <f aca="false">IF(163=0,0,D15/163)</f>
        <v>0.638036809815951</v>
      </c>
    </row>
    <row r="16" customFormat="false" ht="15" hidden="false" customHeight="false" outlineLevel="0" collapsed="false">
      <c r="B16" s="4" t="s">
        <v>261</v>
      </c>
      <c r="C16" s="4" t="s">
        <v>98</v>
      </c>
      <c r="D16" s="16" t="n">
        <v>800</v>
      </c>
      <c r="E16" s="11" t="n">
        <f aca="false">IF(14607.25=0,0,D16/14607.25)</f>
        <v>0.054767324445053</v>
      </c>
      <c r="F16" s="22" t="n">
        <f aca="false">IF(163=0,0,D16/163)</f>
        <v>4.9079754601227</v>
      </c>
    </row>
    <row r="17" customFormat="false" ht="15" hidden="false" customHeight="false" outlineLevel="0" collapsed="false">
      <c r="B17" s="4" t="s">
        <v>262</v>
      </c>
      <c r="C17" s="4" t="s">
        <v>100</v>
      </c>
      <c r="D17" s="16" t="n">
        <v>379</v>
      </c>
      <c r="E17" s="11" t="n">
        <f aca="false">IF(14607.25=0,0,D17/14607.25)</f>
        <v>0.0259460199558438</v>
      </c>
      <c r="F17" s="22" t="n">
        <f aca="false">IF(163=0,0,D17/163)</f>
        <v>2.32515337423313</v>
      </c>
    </row>
    <row r="18" customFormat="false" ht="15" hidden="false" customHeight="false" outlineLevel="0" collapsed="false">
      <c r="B18" s="4" t="s">
        <v>263</v>
      </c>
      <c r="C18" s="4" t="s">
        <v>102</v>
      </c>
      <c r="D18" s="16" t="n">
        <v>338</v>
      </c>
      <c r="E18" s="11" t="n">
        <f aca="false">IF(14607.25=0,0,D18/14607.25)</f>
        <v>0.0231391945780349</v>
      </c>
      <c r="F18" s="22" t="n">
        <f aca="false">IF(163=0,0,D18/163)</f>
        <v>2.07361963190184</v>
      </c>
    </row>
    <row r="19" customFormat="false" ht="15" hidden="false" customHeight="false" outlineLevel="0" collapsed="false">
      <c r="B19" s="5" t="s">
        <v>38</v>
      </c>
      <c r="D19" s="18" t="n">
        <f aca="false">SUM(D6:D18)</f>
        <v>14607.25</v>
      </c>
      <c r="E19" s="13" t="n">
        <v>1</v>
      </c>
      <c r="F19" s="20" t="n">
        <f aca="false">IF(163=0,0,D19/163)</f>
        <v>89.6150306748466</v>
      </c>
    </row>
    <row r="22" customFormat="false" ht="15" hidden="false" customHeight="false" outlineLevel="0" collapsed="false">
      <c r="B22" s="3" t="s">
        <v>264</v>
      </c>
      <c r="C22" s="3"/>
      <c r="D22" s="3"/>
      <c r="E22" s="3"/>
      <c r="F22" s="3"/>
      <c r="G22" s="3"/>
    </row>
    <row r="23" customFormat="false" ht="15" hidden="false" customHeight="false" outlineLevel="0" collapsed="false">
      <c r="B23" s="9" t="s">
        <v>40</v>
      </c>
      <c r="C23" s="9" t="s">
        <v>41</v>
      </c>
      <c r="D23" s="9" t="s">
        <v>265</v>
      </c>
      <c r="E23" s="9"/>
      <c r="F23" s="9" t="s">
        <v>266</v>
      </c>
    </row>
    <row r="24" customFormat="false" ht="15" hidden="false" customHeight="false" outlineLevel="0" collapsed="false">
      <c r="B24" s="4" t="s">
        <v>251</v>
      </c>
      <c r="C24" s="23" t="n">
        <v>89.6150306748466</v>
      </c>
      <c r="D24" s="4" t="s">
        <v>267</v>
      </c>
      <c r="F24" s="21" t="s">
        <v>268</v>
      </c>
    </row>
    <row r="25" customFormat="false" ht="15" hidden="false" customHeight="false" outlineLevel="0" collapsed="false">
      <c r="B25" s="4" t="s">
        <v>269</v>
      </c>
      <c r="C25" s="23" t="n">
        <v>14.5490537848606</v>
      </c>
      <c r="D25" s="4" t="s">
        <v>267</v>
      </c>
      <c r="F25" s="21" t="s">
        <v>270</v>
      </c>
    </row>
    <row r="26" customFormat="false" ht="15" hidden="false" customHeight="false" outlineLevel="0" collapsed="false">
      <c r="B26" s="4" t="s">
        <v>271</v>
      </c>
      <c r="C26" s="23" t="n">
        <v>95.257834294614</v>
      </c>
      <c r="D26" s="4" t="s">
        <v>272</v>
      </c>
      <c r="F26" s="21" t="s">
        <v>273</v>
      </c>
    </row>
    <row r="27" customFormat="false" ht="15" hidden="false" customHeight="false" outlineLevel="0" collapsed="false">
      <c r="B27" s="4" t="s">
        <v>274</v>
      </c>
      <c r="C27" s="23" t="n">
        <v>37.3002228345513</v>
      </c>
      <c r="D27" s="4" t="s">
        <v>272</v>
      </c>
      <c r="F27" s="21" t="s">
        <v>275</v>
      </c>
    </row>
    <row r="28" customFormat="false" ht="15" hidden="false" customHeight="false" outlineLevel="0" collapsed="false">
      <c r="B28" s="4" t="s">
        <v>276</v>
      </c>
      <c r="C28" s="23" t="n">
        <v>9.58823529411765</v>
      </c>
      <c r="D28" s="4" t="s">
        <v>277</v>
      </c>
      <c r="F28" s="21" t="s">
        <v>278</v>
      </c>
    </row>
    <row r="29" customFormat="false" ht="15" hidden="false" customHeight="false" outlineLevel="0" collapsed="false">
      <c r="B29" s="4" t="s">
        <v>279</v>
      </c>
      <c r="C29" s="23" t="n">
        <v>59.0588235294118</v>
      </c>
      <c r="D29" s="4" t="s">
        <v>280</v>
      </c>
      <c r="F29" s="21" t="s">
        <v>281</v>
      </c>
    </row>
    <row r="30" customFormat="false" ht="15" hidden="false" customHeight="false" outlineLevel="0" collapsed="false">
      <c r="B30" s="4" t="s">
        <v>282</v>
      </c>
      <c r="C30" s="23" t="n">
        <v>859.25</v>
      </c>
      <c r="D30" s="4" t="s">
        <v>267</v>
      </c>
      <c r="F30" s="21" t="s">
        <v>283</v>
      </c>
    </row>
    <row r="31" customFormat="false" ht="15" hidden="false" customHeight="false" outlineLevel="0" collapsed="false">
      <c r="B31" s="4" t="s">
        <v>284</v>
      </c>
      <c r="C31" s="23" t="n">
        <v>81850.2941176471</v>
      </c>
      <c r="D31" s="4" t="s">
        <v>272</v>
      </c>
      <c r="F31" s="21" t="s">
        <v>285</v>
      </c>
    </row>
    <row r="34" customFormat="false" ht="15" hidden="false" customHeight="false" outlineLevel="0" collapsed="false">
      <c r="B34" s="3" t="s">
        <v>62</v>
      </c>
      <c r="C34" s="3"/>
      <c r="D34" s="3"/>
      <c r="E34" s="3"/>
      <c r="F34" s="3"/>
      <c r="G34" s="3"/>
    </row>
    <row r="35" customFormat="false" ht="15" hidden="false" customHeight="false" outlineLevel="0" collapsed="false">
      <c r="B35" s="2" t="s">
        <v>63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64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65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66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67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68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69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70</v>
      </c>
      <c r="C42" s="2"/>
      <c r="D42" s="2"/>
      <c r="E42" s="2"/>
      <c r="F42" s="2"/>
      <c r="G42" s="2"/>
    </row>
  </sheetData>
  <mergeCells count="12">
    <mergeCell ref="B2:G2"/>
    <mergeCell ref="B4:G4"/>
    <mergeCell ref="B22:G22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4"/>
  </cols>
  <sheetData>
    <row r="2" customFormat="false" ht="19.7" hidden="false" customHeight="false" outlineLevel="0" collapsed="false">
      <c r="B2" s="1" t="s">
        <v>286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287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288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9" t="s">
        <v>289</v>
      </c>
      <c r="C6" s="9" t="s">
        <v>290</v>
      </c>
      <c r="D6" s="9" t="s">
        <v>291</v>
      </c>
      <c r="E6" s="9" t="s">
        <v>292</v>
      </c>
      <c r="F6" s="9" t="s">
        <v>293</v>
      </c>
    </row>
    <row r="7" customFormat="false" ht="15" hidden="false" customHeight="false" outlineLevel="0" collapsed="false">
      <c r="B7" s="4" t="s">
        <v>294</v>
      </c>
      <c r="C7" s="4" t="s">
        <v>295</v>
      </c>
      <c r="D7" s="14" t="n">
        <v>13</v>
      </c>
      <c r="E7" s="11" t="n">
        <f aca="false">IF(68=0,0,D7/68)</f>
        <v>0.191176470588235</v>
      </c>
    </row>
    <row r="8" customFormat="false" ht="15" hidden="false" customHeight="false" outlineLevel="0" collapsed="false">
      <c r="B8" s="4" t="s">
        <v>296</v>
      </c>
      <c r="C8" s="4" t="s">
        <v>297</v>
      </c>
      <c r="D8" s="14" t="n">
        <v>14</v>
      </c>
      <c r="E8" s="11" t="n">
        <f aca="false">IF(68=0,0,D8/68)</f>
        <v>0.205882352941176</v>
      </c>
    </row>
    <row r="9" customFormat="false" ht="15" hidden="false" customHeight="false" outlineLevel="0" collapsed="false">
      <c r="B9" s="4" t="s">
        <v>298</v>
      </c>
      <c r="C9" s="4" t="s">
        <v>299</v>
      </c>
      <c r="D9" s="14" t="n">
        <v>7</v>
      </c>
      <c r="E9" s="11" t="n">
        <f aca="false">IF(68=0,0,D9/68)</f>
        <v>0.102941176470588</v>
      </c>
    </row>
    <row r="10" customFormat="false" ht="15" hidden="false" customHeight="false" outlineLevel="0" collapsed="false">
      <c r="B10" s="4" t="s">
        <v>300</v>
      </c>
      <c r="C10" s="4" t="s">
        <v>301</v>
      </c>
      <c r="D10" s="14" t="n">
        <v>1</v>
      </c>
      <c r="E10" s="11" t="n">
        <f aca="false">IF(68=0,0,D10/68)</f>
        <v>0.0147058823529412</v>
      </c>
    </row>
    <row r="11" customFormat="false" ht="15" hidden="false" customHeight="false" outlineLevel="0" collapsed="false">
      <c r="B11" s="4" t="s">
        <v>302</v>
      </c>
      <c r="C11" s="4" t="s">
        <v>303</v>
      </c>
      <c r="D11" s="14" t="n">
        <v>4</v>
      </c>
      <c r="E11" s="11" t="n">
        <f aca="false">IF(68=0,0,D11/68)</f>
        <v>0.0588235294117647</v>
      </c>
    </row>
    <row r="12" customFormat="false" ht="15" hidden="false" customHeight="false" outlineLevel="0" collapsed="false">
      <c r="B12" s="4" t="s">
        <v>304</v>
      </c>
      <c r="C12" s="4" t="s">
        <v>305</v>
      </c>
      <c r="D12" s="14" t="n">
        <v>1</v>
      </c>
      <c r="E12" s="11" t="n">
        <f aca="false">IF(68=0,0,D12/68)</f>
        <v>0.0147058823529412</v>
      </c>
    </row>
    <row r="13" customFormat="false" ht="15" hidden="false" customHeight="false" outlineLevel="0" collapsed="false">
      <c r="B13" s="4" t="s">
        <v>306</v>
      </c>
      <c r="C13" s="4" t="s">
        <v>307</v>
      </c>
      <c r="D13" s="14" t="n">
        <v>28</v>
      </c>
      <c r="E13" s="11" t="n">
        <f aca="false">IF(68=0,0,D13/68)</f>
        <v>0.411764705882353</v>
      </c>
    </row>
    <row r="14" customFormat="false" ht="15" hidden="false" customHeight="false" outlineLevel="0" collapsed="false">
      <c r="B14" s="5" t="s">
        <v>38</v>
      </c>
      <c r="D14" s="15" t="n">
        <f aca="false">SUM(D7:D13)</f>
        <v>68</v>
      </c>
      <c r="E14" s="13" t="n">
        <v>1</v>
      </c>
      <c r="F14" s="12" t="n">
        <v>390750.86</v>
      </c>
    </row>
    <row r="17" customFormat="false" ht="15" hidden="false" customHeight="false" outlineLevel="0" collapsed="false">
      <c r="B17" s="3" t="s">
        <v>308</v>
      </c>
      <c r="C17" s="3"/>
      <c r="D17" s="3"/>
      <c r="E17" s="3"/>
      <c r="F17" s="3"/>
      <c r="G17" s="3"/>
    </row>
    <row r="18" customFormat="false" ht="15" hidden="false" customHeight="false" outlineLevel="0" collapsed="false">
      <c r="B18" s="9" t="s">
        <v>156</v>
      </c>
      <c r="C18" s="9" t="s">
        <v>291</v>
      </c>
      <c r="D18" s="9" t="s">
        <v>292</v>
      </c>
    </row>
    <row r="19" customFormat="false" ht="15" hidden="false" customHeight="false" outlineLevel="0" collapsed="false">
      <c r="B19" s="4" t="s">
        <v>306</v>
      </c>
      <c r="C19" s="14" t="n">
        <v>54</v>
      </c>
      <c r="D19" s="11" t="n">
        <f aca="false">IF(68=0,0,C19/68)</f>
        <v>0.794117647058824</v>
      </c>
    </row>
    <row r="20" customFormat="false" ht="15" hidden="false" customHeight="false" outlineLevel="0" collapsed="false">
      <c r="B20" s="4" t="s">
        <v>309</v>
      </c>
      <c r="C20" s="14" t="n">
        <v>8</v>
      </c>
      <c r="D20" s="11" t="n">
        <f aca="false">IF(68=0,0,C20/68)</f>
        <v>0.117647058823529</v>
      </c>
    </row>
    <row r="21" customFormat="false" ht="15" hidden="false" customHeight="false" outlineLevel="0" collapsed="false">
      <c r="B21" s="4" t="s">
        <v>310</v>
      </c>
      <c r="C21" s="14" t="n">
        <v>2</v>
      </c>
      <c r="D21" s="11" t="n">
        <f aca="false">IF(68=0,0,C21/68)</f>
        <v>0.0294117647058824</v>
      </c>
    </row>
    <row r="22" customFormat="false" ht="15" hidden="false" customHeight="false" outlineLevel="0" collapsed="false">
      <c r="B22" s="4" t="s">
        <v>311</v>
      </c>
      <c r="C22" s="14" t="n">
        <v>2</v>
      </c>
      <c r="D22" s="11" t="n">
        <f aca="false">IF(68=0,0,C22/68)</f>
        <v>0.0294117647058824</v>
      </c>
    </row>
    <row r="23" customFormat="false" ht="15" hidden="false" customHeight="false" outlineLevel="0" collapsed="false">
      <c r="B23" s="4" t="s">
        <v>312</v>
      </c>
      <c r="C23" s="14" t="n">
        <v>1</v>
      </c>
      <c r="D23" s="11" t="n">
        <f aca="false">IF(68=0,0,C23/68)</f>
        <v>0.0147058823529412</v>
      </c>
    </row>
    <row r="24" customFormat="false" ht="15" hidden="false" customHeight="false" outlineLevel="0" collapsed="false">
      <c r="B24" s="4" t="s">
        <v>313</v>
      </c>
      <c r="C24" s="14" t="n">
        <v>1</v>
      </c>
      <c r="D24" s="11" t="n">
        <f aca="false">IF(68=0,0,C24/68)</f>
        <v>0.0147058823529412</v>
      </c>
    </row>
    <row r="27" customFormat="false" ht="15" hidden="false" customHeight="false" outlineLevel="0" collapsed="false">
      <c r="B27" s="3" t="s">
        <v>314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4" t="s">
        <v>315</v>
      </c>
      <c r="E28" s="10" t="n">
        <v>390750.86</v>
      </c>
    </row>
    <row r="29" customFormat="false" ht="15" hidden="false" customHeight="false" outlineLevel="0" collapsed="false">
      <c r="B29" s="4" t="s">
        <v>316</v>
      </c>
      <c r="E29" s="14" t="n">
        <v>68</v>
      </c>
    </row>
    <row r="30" customFormat="false" ht="15" hidden="false" customHeight="false" outlineLevel="0" collapsed="false">
      <c r="B30" s="21" t="s">
        <v>317</v>
      </c>
    </row>
    <row r="33" customFormat="false" ht="15" hidden="false" customHeight="false" outlineLevel="0" collapsed="false">
      <c r="B33" s="3" t="s">
        <v>62</v>
      </c>
      <c r="C33" s="3"/>
      <c r="D33" s="3"/>
      <c r="E33" s="3"/>
      <c r="F33" s="3"/>
      <c r="G33" s="3"/>
    </row>
    <row r="34" customFormat="false" ht="15" hidden="false" customHeight="false" outlineLevel="0" collapsed="false">
      <c r="B34" s="2" t="s">
        <v>63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64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65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66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67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68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69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70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318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319</v>
      </c>
      <c r="C43" s="2"/>
      <c r="D43" s="2"/>
      <c r="E43" s="2"/>
      <c r="F43" s="2"/>
      <c r="G43" s="2"/>
    </row>
  </sheetData>
  <mergeCells count="16">
    <mergeCell ref="B2:G2"/>
    <mergeCell ref="B3:G3"/>
    <mergeCell ref="B5:G5"/>
    <mergeCell ref="B17:G17"/>
    <mergeCell ref="B27:G27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320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321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322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323</v>
      </c>
      <c r="G6" s="10" t="n">
        <v>1394655</v>
      </c>
    </row>
    <row r="7" customFormat="false" ht="15" hidden="false" customHeight="false" outlineLevel="0" collapsed="false">
      <c r="B7" s="4" t="s">
        <v>324</v>
      </c>
      <c r="G7" s="10" t="n">
        <v>-3200</v>
      </c>
    </row>
    <row r="8" customFormat="false" ht="15" hidden="false" customHeight="false" outlineLevel="0" collapsed="false">
      <c r="B8" s="4" t="s">
        <v>325</v>
      </c>
      <c r="G8" s="10" t="n">
        <v>1391455</v>
      </c>
    </row>
    <row r="9" customFormat="false" ht="15" hidden="false" customHeight="false" outlineLevel="0" collapsed="false">
      <c r="B9" s="4" t="s">
        <v>326</v>
      </c>
      <c r="G9" s="10" t="n">
        <v>69573</v>
      </c>
    </row>
    <row r="10" customFormat="false" ht="15" hidden="false" customHeight="false" outlineLevel="0" collapsed="false">
      <c r="B10" s="4" t="s">
        <v>327</v>
      </c>
      <c r="G10" s="10" t="n">
        <v>1321882</v>
      </c>
    </row>
    <row r="12" customFormat="false" ht="15" hidden="false" customHeight="false" outlineLevel="0" collapsed="false">
      <c r="B12" s="3" t="s">
        <v>328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9" t="s">
        <v>329</v>
      </c>
      <c r="C13" s="9" t="s">
        <v>330</v>
      </c>
      <c r="D13" s="9" t="s">
        <v>331</v>
      </c>
      <c r="E13" s="9" t="s">
        <v>332</v>
      </c>
      <c r="F13" s="9" t="s">
        <v>333</v>
      </c>
      <c r="G13" s="9" t="s">
        <v>334</v>
      </c>
      <c r="H13" s="9" t="s">
        <v>335</v>
      </c>
    </row>
    <row r="14" customFormat="false" ht="15" hidden="false" customHeight="false" outlineLevel="0" collapsed="false">
      <c r="B14" s="4" t="n">
        <v>1</v>
      </c>
      <c r="C14" s="4" t="s">
        <v>336</v>
      </c>
      <c r="D14" s="10" t="n">
        <v>48000</v>
      </c>
      <c r="E14" s="10" t="n">
        <v>2400</v>
      </c>
      <c r="F14" s="10" t="n">
        <f aca="false">D14-E14</f>
        <v>45600</v>
      </c>
      <c r="G14" s="10" t="n">
        <v>45600</v>
      </c>
      <c r="H14" s="11" t="n">
        <f aca="false">IF(1391455=0,0,G14/1391455)</f>
        <v>0.0327714514662709</v>
      </c>
    </row>
    <row r="15" customFormat="false" ht="15" hidden="false" customHeight="false" outlineLevel="0" collapsed="false">
      <c r="B15" s="4" t="n">
        <v>2</v>
      </c>
      <c r="C15" s="4" t="s">
        <v>337</v>
      </c>
      <c r="D15" s="10" t="n">
        <v>41000</v>
      </c>
      <c r="E15" s="10" t="n">
        <v>2050</v>
      </c>
      <c r="F15" s="10" t="n">
        <f aca="false">D15-E15</f>
        <v>38950</v>
      </c>
      <c r="G15" s="10" t="n">
        <v>84550</v>
      </c>
      <c r="H15" s="11" t="n">
        <f aca="false">IF(1391455=0,0,G15/1391455)</f>
        <v>0.060763732927044</v>
      </c>
    </row>
    <row r="16" customFormat="false" ht="15" hidden="false" customHeight="false" outlineLevel="0" collapsed="false">
      <c r="B16" s="4" t="n">
        <v>3</v>
      </c>
      <c r="C16" s="4" t="s">
        <v>338</v>
      </c>
      <c r="D16" s="10" t="n">
        <v>16200</v>
      </c>
      <c r="E16" s="10" t="n">
        <v>810</v>
      </c>
      <c r="F16" s="10" t="n">
        <f aca="false">D16-E16</f>
        <v>15390</v>
      </c>
      <c r="G16" s="10" t="n">
        <v>99940</v>
      </c>
      <c r="H16" s="11" t="n">
        <f aca="false">IF(1391455=0,0,G16/1391455)</f>
        <v>0.0718240977969104</v>
      </c>
    </row>
    <row r="17" customFormat="false" ht="15" hidden="false" customHeight="false" outlineLevel="0" collapsed="false">
      <c r="B17" s="4" t="n">
        <v>4</v>
      </c>
      <c r="C17" s="4" t="s">
        <v>339</v>
      </c>
      <c r="D17" s="10" t="n">
        <v>15900</v>
      </c>
      <c r="E17" s="10" t="n">
        <v>795</v>
      </c>
      <c r="F17" s="10" t="n">
        <f aca="false">D17-E17</f>
        <v>15105</v>
      </c>
      <c r="G17" s="10" t="n">
        <v>115045</v>
      </c>
      <c r="H17" s="11" t="n">
        <f aca="false">IF(1391455=0,0,G17/1391455)</f>
        <v>0.0826796410951127</v>
      </c>
    </row>
    <row r="18" customFormat="false" ht="15" hidden="false" customHeight="false" outlineLevel="0" collapsed="false">
      <c r="B18" s="4" t="n">
        <v>5</v>
      </c>
      <c r="C18" s="4" t="s">
        <v>340</v>
      </c>
      <c r="D18" s="10" t="n">
        <v>25900</v>
      </c>
      <c r="E18" s="10" t="n">
        <v>1295</v>
      </c>
      <c r="F18" s="10" t="n">
        <f aca="false">D18-E18</f>
        <v>24605</v>
      </c>
      <c r="G18" s="10" t="n">
        <v>139650</v>
      </c>
      <c r="H18" s="11" t="n">
        <f aca="false">IF(1391455=0,0,G18/1391455)</f>
        <v>0.100362570115455</v>
      </c>
    </row>
    <row r="19" customFormat="false" ht="15" hidden="false" customHeight="false" outlineLevel="0" collapsed="false">
      <c r="B19" s="4" t="n">
        <v>6</v>
      </c>
      <c r="C19" s="4" t="s">
        <v>341</v>
      </c>
      <c r="D19" s="10" t="n">
        <v>92000</v>
      </c>
      <c r="E19" s="10" t="n">
        <v>4600</v>
      </c>
      <c r="F19" s="10" t="n">
        <f aca="false">D19-E19</f>
        <v>87400</v>
      </c>
      <c r="G19" s="10" t="n">
        <v>227050</v>
      </c>
      <c r="H19" s="11" t="n">
        <f aca="false">IF(1391455=0,0,G19/1391455)</f>
        <v>0.163174518759141</v>
      </c>
    </row>
    <row r="20" customFormat="false" ht="15" hidden="false" customHeight="false" outlineLevel="0" collapsed="false">
      <c r="B20" s="4" t="n">
        <v>7</v>
      </c>
      <c r="C20" s="4" t="s">
        <v>342</v>
      </c>
      <c r="D20" s="10" t="n">
        <v>213605</v>
      </c>
      <c r="E20" s="10" t="n">
        <v>10680.25</v>
      </c>
      <c r="F20" s="10" t="n">
        <f aca="false">D20-E20</f>
        <v>202924.75</v>
      </c>
      <c r="G20" s="10" t="n">
        <v>429974.75</v>
      </c>
      <c r="H20" s="11" t="n">
        <f aca="false">IF(1391455=0,0,G20/1391455)</f>
        <v>0.309010891476907</v>
      </c>
    </row>
    <row r="21" customFormat="false" ht="15" hidden="false" customHeight="false" outlineLevel="0" collapsed="false">
      <c r="B21" s="4" t="n">
        <v>8</v>
      </c>
      <c r="C21" s="4" t="s">
        <v>343</v>
      </c>
      <c r="D21" s="10" t="n">
        <v>440000</v>
      </c>
      <c r="E21" s="10" t="n">
        <v>22000</v>
      </c>
      <c r="F21" s="10" t="n">
        <f aca="false">D21-E21</f>
        <v>418000</v>
      </c>
      <c r="G21" s="10" t="n">
        <v>847974.75</v>
      </c>
      <c r="H21" s="11" t="n">
        <f aca="false">IF(1391455=0,0,G21/1391455)</f>
        <v>0.609415863251057</v>
      </c>
    </row>
    <row r="22" customFormat="false" ht="15" hidden="false" customHeight="false" outlineLevel="0" collapsed="false">
      <c r="B22" s="4" t="n">
        <v>9</v>
      </c>
      <c r="C22" s="4" t="s">
        <v>344</v>
      </c>
      <c r="D22" s="10" t="n">
        <v>228490</v>
      </c>
      <c r="E22" s="10" t="n">
        <v>11424.5</v>
      </c>
      <c r="F22" s="10" t="n">
        <f aca="false">D22-E22</f>
        <v>217065.5</v>
      </c>
      <c r="G22" s="10" t="n">
        <v>1065040.25</v>
      </c>
      <c r="H22" s="11" t="n">
        <f aca="false">IF(1391455=0,0,G22/1391455)</f>
        <v>0.765414799616229</v>
      </c>
    </row>
    <row r="23" customFormat="false" ht="15" hidden="false" customHeight="false" outlineLevel="0" collapsed="false">
      <c r="B23" s="4" t="n">
        <v>10</v>
      </c>
      <c r="C23" s="4" t="s">
        <v>345</v>
      </c>
      <c r="D23" s="10" t="n">
        <v>60560</v>
      </c>
      <c r="E23" s="10" t="n">
        <v>3028</v>
      </c>
      <c r="F23" s="10" t="n">
        <f aca="false">D23-E23</f>
        <v>57532</v>
      </c>
      <c r="G23" s="10" t="n">
        <v>1122572.25</v>
      </c>
      <c r="H23" s="11" t="n">
        <f aca="false">IF(1391455=0,0,G23/1391455)</f>
        <v>0.806761447549508</v>
      </c>
    </row>
    <row r="24" customFormat="false" ht="15" hidden="false" customHeight="false" outlineLevel="0" collapsed="false">
      <c r="B24" s="4" t="n">
        <v>11</v>
      </c>
      <c r="C24" s="4" t="s">
        <v>346</v>
      </c>
      <c r="D24" s="10" t="n">
        <v>106583</v>
      </c>
      <c r="E24" s="10" t="n">
        <v>5329.15</v>
      </c>
      <c r="F24" s="10" t="n">
        <f aca="false">D24-E24</f>
        <v>101253.85</v>
      </c>
      <c r="G24" s="10" t="n">
        <v>1223826.1</v>
      </c>
      <c r="H24" s="11" t="n">
        <f aca="false">IF(1391455=0,0,G24/1391455)</f>
        <v>0.87952977279179</v>
      </c>
    </row>
    <row r="25" customFormat="false" ht="15" hidden="false" customHeight="false" outlineLevel="0" collapsed="false">
      <c r="B25" s="4" t="n">
        <v>12</v>
      </c>
      <c r="C25" s="4" t="s">
        <v>347</v>
      </c>
      <c r="D25" s="10" t="n">
        <v>48805</v>
      </c>
      <c r="E25" s="10" t="n">
        <v>2440.25</v>
      </c>
      <c r="F25" s="10" t="n">
        <f aca="false">D25-E25</f>
        <v>46364.75</v>
      </c>
      <c r="G25" s="10" t="n">
        <v>1270190.85</v>
      </c>
      <c r="H25" s="11" t="n">
        <f aca="false">IF(1391455=0,0,G25/1391455)</f>
        <v>0.912850828808693</v>
      </c>
    </row>
    <row r="26" customFormat="false" ht="15" hidden="false" customHeight="false" outlineLevel="0" collapsed="false">
      <c r="B26" s="4" t="n">
        <v>13</v>
      </c>
      <c r="C26" s="4" t="s">
        <v>348</v>
      </c>
      <c r="D26" s="10" t="n">
        <v>49800</v>
      </c>
      <c r="E26" s="10" t="n">
        <v>2490</v>
      </c>
      <c r="F26" s="10" t="n">
        <f aca="false">D26-E26</f>
        <v>47310</v>
      </c>
      <c r="G26" s="10" t="n">
        <v>1317500.85</v>
      </c>
      <c r="H26" s="11" t="n">
        <f aca="false">IF(1391455=0,0,G26/1391455)</f>
        <v>0.946851209704949</v>
      </c>
    </row>
    <row r="27" customFormat="false" ht="15" hidden="false" customHeight="false" outlineLevel="0" collapsed="false">
      <c r="B27" s="4" t="n">
        <v>14</v>
      </c>
      <c r="C27" s="4" t="s">
        <v>349</v>
      </c>
      <c r="D27" s="10" t="n">
        <v>4612</v>
      </c>
      <c r="E27" s="10" t="n">
        <v>230.6</v>
      </c>
      <c r="F27" s="10" t="n">
        <f aca="false">D27-E27</f>
        <v>4381.4</v>
      </c>
      <c r="G27" s="10" t="n">
        <v>1321882.25</v>
      </c>
      <c r="H27" s="11" t="n">
        <f aca="false">IF(1391455=0,0,G27/1391455)</f>
        <v>0.95</v>
      </c>
    </row>
    <row r="28" customFormat="false" ht="15" hidden="false" customHeight="false" outlineLevel="0" collapsed="false">
      <c r="B28" s="4" t="n">
        <v>15</v>
      </c>
      <c r="C28" s="4" t="s">
        <v>350</v>
      </c>
      <c r="D28" s="10" t="n">
        <v>1861</v>
      </c>
      <c r="E28" s="10" t="n">
        <v>0</v>
      </c>
      <c r="F28" s="10" t="n">
        <f aca="false">D28-E28</f>
        <v>1861</v>
      </c>
      <c r="G28" s="10" t="n">
        <v>1323743.25</v>
      </c>
      <c r="H28" s="11" t="n">
        <f aca="false">IF(1391455=0,0,G28/1391455)</f>
        <v>0.951337448929358</v>
      </c>
    </row>
    <row r="30" customFormat="false" ht="15" hidden="false" customHeight="false" outlineLevel="0" collapsed="false">
      <c r="B30" s="3" t="s">
        <v>351</v>
      </c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B31" s="9" t="s">
        <v>40</v>
      </c>
      <c r="C31" s="9" t="s">
        <v>352</v>
      </c>
      <c r="D31" s="9" t="s">
        <v>353</v>
      </c>
      <c r="E31" s="9" t="s">
        <v>354</v>
      </c>
      <c r="F31" s="9" t="s">
        <v>355</v>
      </c>
    </row>
    <row r="32" customFormat="false" ht="15" hidden="false" customHeight="false" outlineLevel="0" collapsed="false">
      <c r="B32" s="4" t="s">
        <v>325</v>
      </c>
      <c r="C32" s="10" t="n">
        <v>1391455</v>
      </c>
      <c r="D32" s="10" t="n">
        <v>1391455</v>
      </c>
      <c r="E32" s="10" t="n">
        <f aca="false">C32-D32</f>
        <v>0</v>
      </c>
      <c r="F32" s="5" t="str">
        <f aca="false">IF(ABS(E32)&lt;=1,"TIES",IF(ABS(E32)&lt;=ABS(D32)*0.05,"WITHIN","OFF"))</f>
        <v>TIES</v>
      </c>
    </row>
    <row r="33" customFormat="false" ht="15" hidden="false" customHeight="false" outlineLevel="0" collapsed="false">
      <c r="B33" s="4" t="s">
        <v>356</v>
      </c>
      <c r="C33" s="10" t="n">
        <v>69573</v>
      </c>
      <c r="D33" s="10" t="n">
        <v>69573</v>
      </c>
      <c r="E33" s="10" t="n">
        <f aca="false">C33-D33</f>
        <v>0</v>
      </c>
      <c r="F33" s="5" t="str">
        <f aca="false">IF(ABS(E33)&lt;=1,"TIES",IF(ABS(E33)&lt;=ABS(D33)*0.05,"WITHIN","OFF"))</f>
        <v>TIES</v>
      </c>
    </row>
    <row r="34" customFormat="false" ht="15" hidden="false" customHeight="false" outlineLevel="0" collapsed="false">
      <c r="B34" s="4" t="s">
        <v>139</v>
      </c>
      <c r="C34" s="10" t="n">
        <v>846601</v>
      </c>
      <c r="D34" s="10" t="n">
        <v>846601</v>
      </c>
      <c r="E34" s="10" t="n">
        <f aca="false">C34-D34</f>
        <v>0</v>
      </c>
      <c r="F34" s="5" t="str">
        <f aca="false">IF(ABS(E34)&lt;=1,"TIES",IF(ABS(E34)&lt;=ABS(D34)*0.05,"WITHIN","OFF"))</f>
        <v>TIES</v>
      </c>
    </row>
    <row r="38" customFormat="false" ht="15" hidden="false" customHeight="false" outlineLevel="0" collapsed="false">
      <c r="B38" s="3" t="s">
        <v>62</v>
      </c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B39" s="2" t="s">
        <v>63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64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65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66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67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68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2" t="s">
        <v>69</v>
      </c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B46" s="2" t="s">
        <v>70</v>
      </c>
      <c r="C46" s="2"/>
      <c r="D46" s="2"/>
      <c r="E46" s="2"/>
      <c r="F46" s="2"/>
      <c r="G46" s="2"/>
      <c r="H46" s="2"/>
    </row>
  </sheetData>
  <mergeCells count="14">
    <mergeCell ref="B2:H2"/>
    <mergeCell ref="B3:H3"/>
    <mergeCell ref="B5:H5"/>
    <mergeCell ref="B12:H12"/>
    <mergeCell ref="B30:H30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357</v>
      </c>
      <c r="C2" s="1"/>
    </row>
    <row r="3" customFormat="false" ht="15" hidden="false" customHeight="false" outlineLevel="0" collapsed="false">
      <c r="B3" s="2" t="s">
        <v>358</v>
      </c>
      <c r="C3" s="2"/>
    </row>
    <row r="5" customFormat="false" ht="31.5" hidden="false" customHeight="true" outlineLevel="0" collapsed="false">
      <c r="B5" s="5" t="s">
        <v>359</v>
      </c>
      <c r="C5" s="24" t="s">
        <v>360</v>
      </c>
    </row>
    <row r="6" customFormat="false" ht="31.5" hidden="false" customHeight="true" outlineLevel="0" collapsed="false">
      <c r="B6" s="5" t="s">
        <v>361</v>
      </c>
      <c r="C6" s="24" t="s">
        <v>362</v>
      </c>
    </row>
    <row r="7" customFormat="false" ht="31.5" hidden="false" customHeight="true" outlineLevel="0" collapsed="false">
      <c r="B7" s="5" t="s">
        <v>363</v>
      </c>
      <c r="C7" s="24" t="s">
        <v>364</v>
      </c>
    </row>
    <row r="8" customFormat="false" ht="31.5" hidden="false" customHeight="true" outlineLevel="0" collapsed="false">
      <c r="B8" s="5" t="s">
        <v>365</v>
      </c>
      <c r="C8" s="24" t="s">
        <v>366</v>
      </c>
    </row>
    <row r="9" customFormat="false" ht="31.5" hidden="false" customHeight="true" outlineLevel="0" collapsed="false">
      <c r="B9" s="5" t="s">
        <v>367</v>
      </c>
      <c r="C9" s="24" t="s">
        <v>368</v>
      </c>
    </row>
    <row r="10" customFormat="false" ht="31.5" hidden="false" customHeight="true" outlineLevel="0" collapsed="false">
      <c r="B10" s="5" t="s">
        <v>369</v>
      </c>
      <c r="C10" s="24" t="s">
        <v>370</v>
      </c>
    </row>
    <row r="11" customFormat="false" ht="31.5" hidden="false" customHeight="true" outlineLevel="0" collapsed="false">
      <c r="B11" s="5" t="s">
        <v>371</v>
      </c>
      <c r="C11" s="24" t="s">
        <v>372</v>
      </c>
    </row>
    <row r="12" customFormat="false" ht="31.5" hidden="false" customHeight="true" outlineLevel="0" collapsed="false">
      <c r="B12" s="5" t="s">
        <v>373</v>
      </c>
      <c r="C12" s="24" t="s">
        <v>374</v>
      </c>
    </row>
    <row r="13" customFormat="false" ht="31.5" hidden="false" customHeight="true" outlineLevel="0" collapsed="false">
      <c r="B13" s="5" t="s">
        <v>375</v>
      </c>
      <c r="C13" s="24" t="s">
        <v>376</v>
      </c>
    </row>
    <row r="14" customFormat="false" ht="31.5" hidden="false" customHeight="true" outlineLevel="0" collapsed="false">
      <c r="B14" s="5" t="s">
        <v>377</v>
      </c>
      <c r="C14" s="24" t="s">
        <v>378</v>
      </c>
    </row>
    <row r="16" customFormat="false" ht="15" hidden="false" customHeight="false" outlineLevel="0" collapsed="false">
      <c r="B16" s="3" t="s">
        <v>379</v>
      </c>
      <c r="C16" s="3"/>
    </row>
    <row r="17" customFormat="false" ht="49.5" hidden="false" customHeight="true" outlineLevel="0" collapsed="false">
      <c r="B17" s="25" t="s">
        <v>380</v>
      </c>
      <c r="C17" s="25"/>
    </row>
    <row r="20" customFormat="false" ht="15" hidden="false" customHeight="false" outlineLevel="0" collapsed="false">
      <c r="B20" s="3" t="s">
        <v>62</v>
      </c>
      <c r="C20" s="3"/>
    </row>
    <row r="21" customFormat="false" ht="15" hidden="false" customHeight="false" outlineLevel="0" collapsed="false">
      <c r="B21" s="2" t="s">
        <v>63</v>
      </c>
      <c r="C21" s="2"/>
    </row>
    <row r="22" customFormat="false" ht="15" hidden="false" customHeight="false" outlineLevel="0" collapsed="false">
      <c r="B22" s="2" t="s">
        <v>64</v>
      </c>
      <c r="C22" s="2"/>
    </row>
    <row r="23" customFormat="false" ht="15" hidden="false" customHeight="false" outlineLevel="0" collapsed="false">
      <c r="B23" s="2" t="s">
        <v>65</v>
      </c>
      <c r="C23" s="2"/>
    </row>
    <row r="24" customFormat="false" ht="15" hidden="false" customHeight="false" outlineLevel="0" collapsed="false">
      <c r="B24" s="2" t="s">
        <v>66</v>
      </c>
      <c r="C24" s="2"/>
    </row>
    <row r="25" customFormat="false" ht="15" hidden="false" customHeight="false" outlineLevel="0" collapsed="false">
      <c r="B25" s="2" t="s">
        <v>67</v>
      </c>
      <c r="C25" s="2"/>
    </row>
    <row r="26" customFormat="false" ht="15" hidden="false" customHeight="false" outlineLevel="0" collapsed="false">
      <c r="B26" s="2" t="s">
        <v>68</v>
      </c>
      <c r="C26" s="2"/>
    </row>
    <row r="27" customFormat="false" ht="15" hidden="false" customHeight="false" outlineLevel="0" collapsed="false">
      <c r="B27" s="2" t="s">
        <v>69</v>
      </c>
      <c r="C27" s="2"/>
    </row>
    <row r="28" customFormat="false" ht="15" hidden="false" customHeight="false" outlineLevel="0" collapsed="false">
      <c r="B28" s="2" t="s">
        <v>70</v>
      </c>
      <c r="C28" s="2"/>
    </row>
  </sheetData>
  <mergeCells count="13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7" hidden="false" customHeight="false" outlineLevel="0" collapsed="false">
      <c r="B2" s="1" t="s">
        <v>381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382</v>
      </c>
      <c r="C3" s="2"/>
      <c r="D3" s="2"/>
      <c r="E3" s="2"/>
      <c r="F3" s="2"/>
    </row>
    <row r="5" customFormat="false" ht="15" hidden="false" customHeight="false" outlineLevel="0" collapsed="false">
      <c r="B5" s="9" t="s">
        <v>383</v>
      </c>
      <c r="C5" s="9" t="s">
        <v>384</v>
      </c>
      <c r="D5" s="9" t="s">
        <v>41</v>
      </c>
      <c r="E5" s="9" t="s">
        <v>28</v>
      </c>
      <c r="F5" s="9" t="s">
        <v>266</v>
      </c>
      <c r="G5" s="26" t="s">
        <v>385</v>
      </c>
      <c r="H5" s="26" t="s">
        <v>386</v>
      </c>
    </row>
    <row r="6" customFormat="false" ht="15" hidden="false" customHeight="false" outlineLevel="0" collapsed="false">
      <c r="B6" s="4" t="s">
        <v>387</v>
      </c>
      <c r="C6" s="27" t="s">
        <v>388</v>
      </c>
      <c r="D6" s="5" t="s">
        <v>4</v>
      </c>
      <c r="E6" s="4" t="s">
        <v>389</v>
      </c>
      <c r="F6" s="21" t="s">
        <v>390</v>
      </c>
      <c r="G6" s="28" t="s">
        <v>391</v>
      </c>
      <c r="H6" s="29" t="s">
        <v>392</v>
      </c>
    </row>
    <row r="7" customFormat="false" ht="15" hidden="false" customHeight="false" outlineLevel="0" collapsed="false">
      <c r="B7" s="4" t="s">
        <v>393</v>
      </c>
      <c r="C7" s="27" t="s">
        <v>394</v>
      </c>
      <c r="D7" s="5" t="s">
        <v>6</v>
      </c>
      <c r="E7" s="4" t="s">
        <v>389</v>
      </c>
      <c r="G7" s="28" t="s">
        <v>391</v>
      </c>
      <c r="H7" s="29" t="s">
        <v>395</v>
      </c>
    </row>
    <row r="8" customFormat="false" ht="15" hidden="false" customHeight="false" outlineLevel="0" collapsed="false">
      <c r="B8" s="4" t="s">
        <v>7</v>
      </c>
      <c r="C8" s="27" t="s">
        <v>396</v>
      </c>
      <c r="D8" s="5" t="s">
        <v>8</v>
      </c>
      <c r="E8" s="4" t="s">
        <v>389</v>
      </c>
      <c r="G8" s="28" t="s">
        <v>391</v>
      </c>
      <c r="H8" s="29" t="s">
        <v>395</v>
      </c>
    </row>
    <row r="9" customFormat="false" ht="15" hidden="false" customHeight="false" outlineLevel="0" collapsed="false">
      <c r="B9" s="4" t="s">
        <v>9</v>
      </c>
      <c r="C9" s="27" t="s">
        <v>397</v>
      </c>
      <c r="D9" s="5" t="s">
        <v>10</v>
      </c>
      <c r="E9" s="4" t="s">
        <v>389</v>
      </c>
      <c r="G9" s="28" t="s">
        <v>391</v>
      </c>
      <c r="H9" s="29" t="s">
        <v>398</v>
      </c>
    </row>
    <row r="10" customFormat="false" ht="15" hidden="false" customHeight="false" outlineLevel="0" collapsed="false">
      <c r="B10" s="4" t="s">
        <v>399</v>
      </c>
      <c r="C10" s="27" t="s">
        <v>400</v>
      </c>
      <c r="D10" s="5" t="s">
        <v>401</v>
      </c>
      <c r="E10" s="4" t="s">
        <v>389</v>
      </c>
      <c r="G10" s="28" t="s">
        <v>391</v>
      </c>
      <c r="H10" s="29" t="s">
        <v>402</v>
      </c>
    </row>
    <row r="11" customFormat="false" ht="15" hidden="false" customHeight="false" outlineLevel="0" collapsed="false">
      <c r="B11" s="4" t="s">
        <v>403</v>
      </c>
      <c r="C11" s="27" t="s">
        <v>404</v>
      </c>
      <c r="D11" s="5" t="n">
        <v>17</v>
      </c>
      <c r="E11" s="4" t="s">
        <v>389</v>
      </c>
      <c r="F11" s="21" t="s">
        <v>12</v>
      </c>
      <c r="G11" s="28" t="s">
        <v>391</v>
      </c>
      <c r="H11" s="29" t="s">
        <v>405</v>
      </c>
    </row>
    <row r="12" customFormat="false" ht="15" hidden="false" customHeight="false" outlineLevel="0" collapsed="false">
      <c r="B12" s="4" t="s">
        <v>406</v>
      </c>
      <c r="C12" s="27" t="s">
        <v>407</v>
      </c>
      <c r="D12" s="12" t="n">
        <v>163</v>
      </c>
      <c r="E12" s="4" t="s">
        <v>389</v>
      </c>
      <c r="G12" s="28" t="s">
        <v>391</v>
      </c>
      <c r="H12" s="29" t="s">
        <v>408</v>
      </c>
    </row>
    <row r="13" customFormat="false" ht="15" hidden="false" customHeight="false" outlineLevel="0" collapsed="false">
      <c r="B13" s="4" t="s">
        <v>54</v>
      </c>
      <c r="C13" s="27" t="s">
        <v>409</v>
      </c>
      <c r="D13" s="12" t="n">
        <v>1004</v>
      </c>
      <c r="E13" s="4" t="s">
        <v>389</v>
      </c>
      <c r="G13" s="28" t="s">
        <v>391</v>
      </c>
      <c r="H13" s="29" t="s">
        <v>410</v>
      </c>
    </row>
    <row r="14" customFormat="false" ht="15" hidden="false" customHeight="false" outlineLevel="0" collapsed="false">
      <c r="B14" s="4" t="s">
        <v>411</v>
      </c>
      <c r="C14" s="27" t="s">
        <v>412</v>
      </c>
      <c r="D14" s="20" t="n">
        <v>6.15950920245399</v>
      </c>
      <c r="E14" s="4" t="s">
        <v>389</v>
      </c>
      <c r="G14" s="28" t="s">
        <v>391</v>
      </c>
      <c r="H14" s="29" t="s">
        <v>413</v>
      </c>
    </row>
    <row r="15" customFormat="false" ht="15" hidden="false" customHeight="false" outlineLevel="0" collapsed="false">
      <c r="B15" s="4" t="s">
        <v>414</v>
      </c>
      <c r="C15" s="27" t="s">
        <v>415</v>
      </c>
      <c r="D15" s="12" t="n">
        <v>1394655</v>
      </c>
      <c r="E15" s="4" t="s">
        <v>416</v>
      </c>
      <c r="G15" s="28" t="s">
        <v>391</v>
      </c>
      <c r="H15" s="29" t="s">
        <v>417</v>
      </c>
    </row>
    <row r="16" customFormat="false" ht="15" hidden="false" customHeight="false" outlineLevel="0" collapsed="false">
      <c r="B16" s="4" t="s">
        <v>418</v>
      </c>
      <c r="C16" s="27" t="s">
        <v>419</v>
      </c>
      <c r="D16" s="12" t="n">
        <v>1391455</v>
      </c>
      <c r="E16" s="4" t="s">
        <v>416</v>
      </c>
      <c r="F16" s="21" t="s">
        <v>420</v>
      </c>
      <c r="G16" s="28" t="s">
        <v>391</v>
      </c>
      <c r="H16" s="29" t="s">
        <v>421</v>
      </c>
    </row>
    <row r="17" customFormat="false" ht="15" hidden="false" customHeight="false" outlineLevel="0" collapsed="false">
      <c r="B17" s="4" t="s">
        <v>422</v>
      </c>
      <c r="C17" s="27" t="s">
        <v>423</v>
      </c>
      <c r="D17" s="12" t="n">
        <v>-3200</v>
      </c>
      <c r="E17" s="4" t="s">
        <v>416</v>
      </c>
      <c r="G17" s="28" t="s">
        <v>391</v>
      </c>
      <c r="H17" s="29" t="s">
        <v>424</v>
      </c>
    </row>
    <row r="18" customFormat="false" ht="15" hidden="false" customHeight="false" outlineLevel="0" collapsed="false">
      <c r="B18" s="4" t="s">
        <v>425</v>
      </c>
      <c r="C18" s="27" t="s">
        <v>426</v>
      </c>
      <c r="D18" s="12" t="n">
        <v>1391455</v>
      </c>
      <c r="E18" s="4" t="s">
        <v>416</v>
      </c>
      <c r="G18" s="28" t="s">
        <v>391</v>
      </c>
      <c r="H18" s="29" t="s">
        <v>427</v>
      </c>
    </row>
    <row r="19" customFormat="false" ht="15" hidden="false" customHeight="false" outlineLevel="0" collapsed="false">
      <c r="B19" s="4" t="s">
        <v>428</v>
      </c>
      <c r="C19" s="27" t="s">
        <v>429</v>
      </c>
      <c r="D19" s="12" t="n">
        <v>544853.68</v>
      </c>
      <c r="E19" s="4" t="s">
        <v>416</v>
      </c>
      <c r="G19" s="28" t="s">
        <v>391</v>
      </c>
      <c r="H19" s="29" t="s">
        <v>430</v>
      </c>
    </row>
    <row r="20" customFormat="false" ht="15" hidden="false" customHeight="false" outlineLevel="0" collapsed="false">
      <c r="B20" s="4" t="s">
        <v>431</v>
      </c>
      <c r="C20" s="27" t="s">
        <v>432</v>
      </c>
      <c r="D20" s="20" t="n">
        <v>0.391571182682875</v>
      </c>
      <c r="E20" s="4" t="s">
        <v>416</v>
      </c>
      <c r="G20" s="28" t="s">
        <v>391</v>
      </c>
      <c r="H20" s="29" t="s">
        <v>433</v>
      </c>
    </row>
    <row r="21" customFormat="false" ht="15" hidden="false" customHeight="false" outlineLevel="0" collapsed="false">
      <c r="B21" s="4" t="s">
        <v>139</v>
      </c>
      <c r="C21" s="27" t="s">
        <v>434</v>
      </c>
      <c r="D21" s="12" t="n">
        <v>846601.32</v>
      </c>
      <c r="E21" s="4" t="s">
        <v>416</v>
      </c>
      <c r="G21" s="28" t="s">
        <v>391</v>
      </c>
      <c r="H21" s="29" t="s">
        <v>435</v>
      </c>
    </row>
    <row r="22" customFormat="false" ht="15" hidden="false" customHeight="false" outlineLevel="0" collapsed="false">
      <c r="B22" s="4" t="s">
        <v>436</v>
      </c>
      <c r="C22" s="27" t="s">
        <v>437</v>
      </c>
      <c r="D22" s="12" t="n">
        <v>291321.88</v>
      </c>
      <c r="E22" s="4" t="s">
        <v>34</v>
      </c>
      <c r="F22" s="21" t="s">
        <v>438</v>
      </c>
      <c r="G22" s="28" t="s">
        <v>391</v>
      </c>
      <c r="H22" s="29" t="s">
        <v>439</v>
      </c>
    </row>
    <row r="23" customFormat="false" ht="15" hidden="false" customHeight="false" outlineLevel="0" collapsed="false">
      <c r="B23" s="4" t="s">
        <v>440</v>
      </c>
      <c r="C23" s="27" t="s">
        <v>441</v>
      </c>
      <c r="D23" s="12" t="n">
        <v>390750.86</v>
      </c>
      <c r="E23" s="4" t="s">
        <v>35</v>
      </c>
      <c r="F23" s="21" t="s">
        <v>442</v>
      </c>
      <c r="G23" s="28" t="s">
        <v>391</v>
      </c>
      <c r="H23" s="29" t="s">
        <v>443</v>
      </c>
    </row>
    <row r="24" customFormat="false" ht="15" hidden="false" customHeight="false" outlineLevel="0" collapsed="false">
      <c r="B24" s="4" t="s">
        <v>444</v>
      </c>
      <c r="C24" s="27" t="s">
        <v>445</v>
      </c>
      <c r="D24" s="12" t="n">
        <v>15938.74</v>
      </c>
      <c r="E24" s="4" t="s">
        <v>416</v>
      </c>
      <c r="F24" s="21" t="s">
        <v>446</v>
      </c>
      <c r="G24" s="28" t="s">
        <v>391</v>
      </c>
      <c r="H24" s="29" t="s">
        <v>447</v>
      </c>
    </row>
    <row r="25" customFormat="false" ht="15" hidden="false" customHeight="false" outlineLevel="0" collapsed="false">
      <c r="B25" s="4" t="s">
        <v>448</v>
      </c>
      <c r="C25" s="27" t="s">
        <v>449</v>
      </c>
      <c r="D25" s="12" t="n">
        <v>148589.84</v>
      </c>
      <c r="E25" s="4" t="s">
        <v>416</v>
      </c>
      <c r="F25" s="21" t="s">
        <v>450</v>
      </c>
      <c r="G25" s="28" t="s">
        <v>391</v>
      </c>
      <c r="H25" s="29" t="s">
        <v>451</v>
      </c>
    </row>
    <row r="26" customFormat="false" ht="15" hidden="false" customHeight="false" outlineLevel="0" collapsed="false">
      <c r="B26" s="4" t="s">
        <v>356</v>
      </c>
      <c r="C26" s="27" t="s">
        <v>452</v>
      </c>
      <c r="D26" s="12" t="n">
        <v>69572.75</v>
      </c>
      <c r="E26" s="4" t="s">
        <v>416</v>
      </c>
      <c r="F26" s="21" t="s">
        <v>453</v>
      </c>
      <c r="G26" s="28" t="s">
        <v>391</v>
      </c>
      <c r="H26" s="29" t="s">
        <v>454</v>
      </c>
    </row>
    <row r="27" customFormat="false" ht="15" hidden="false" customHeight="false" outlineLevel="0" collapsed="false">
      <c r="B27" s="4" t="s">
        <v>455</v>
      </c>
      <c r="C27" s="27" t="s">
        <v>456</v>
      </c>
      <c r="D27" s="12" t="n">
        <v>8536.53374233129</v>
      </c>
      <c r="E27" s="4" t="s">
        <v>416</v>
      </c>
      <c r="G27" s="28" t="s">
        <v>391</v>
      </c>
      <c r="H27" s="29" t="s">
        <v>457</v>
      </c>
    </row>
    <row r="28" customFormat="false" ht="15" hidden="false" customHeight="false" outlineLevel="0" collapsed="false">
      <c r="B28" s="4" t="s">
        <v>458</v>
      </c>
      <c r="C28" s="27" t="s">
        <v>459</v>
      </c>
      <c r="D28" s="12" t="n">
        <v>3342.66061349693</v>
      </c>
      <c r="E28" s="4" t="s">
        <v>416</v>
      </c>
      <c r="G28" s="28" t="s">
        <v>391</v>
      </c>
      <c r="H28" s="29" t="s">
        <v>460</v>
      </c>
    </row>
    <row r="29" customFormat="false" ht="15" hidden="false" customHeight="false" outlineLevel="0" collapsed="false">
      <c r="B29" s="4" t="s">
        <v>461</v>
      </c>
      <c r="C29" s="27" t="s">
        <v>462</v>
      </c>
      <c r="D29" s="12" t="n">
        <v>5193.87312883436</v>
      </c>
      <c r="E29" s="4" t="s">
        <v>416</v>
      </c>
      <c r="G29" s="28" t="s">
        <v>391</v>
      </c>
      <c r="H29" s="29" t="s">
        <v>463</v>
      </c>
    </row>
    <row r="30" customFormat="false" ht="15" hidden="false" customHeight="false" outlineLevel="0" collapsed="false">
      <c r="B30" s="4" t="s">
        <v>464</v>
      </c>
      <c r="C30" s="27" t="s">
        <v>465</v>
      </c>
      <c r="D30" s="12" t="n">
        <v>1787.25079754601</v>
      </c>
      <c r="E30" s="4" t="s">
        <v>34</v>
      </c>
      <c r="G30" s="28" t="s">
        <v>391</v>
      </c>
      <c r="H30" s="29" t="s">
        <v>466</v>
      </c>
    </row>
    <row r="31" customFormat="false" ht="15" hidden="false" customHeight="false" outlineLevel="0" collapsed="false">
      <c r="B31" s="4" t="s">
        <v>467</v>
      </c>
      <c r="C31" s="27" t="s">
        <v>468</v>
      </c>
      <c r="D31" s="12" t="n">
        <v>2397.2445398773</v>
      </c>
      <c r="E31" s="4" t="s">
        <v>35</v>
      </c>
      <c r="G31" s="28" t="s">
        <v>391</v>
      </c>
      <c r="H31" s="29" t="s">
        <v>469</v>
      </c>
    </row>
    <row r="32" customFormat="false" ht="15" hidden="false" customHeight="false" outlineLevel="0" collapsed="false">
      <c r="B32" s="4" t="s">
        <v>470</v>
      </c>
      <c r="C32" s="27" t="s">
        <v>471</v>
      </c>
      <c r="D32" s="12" t="n">
        <v>1385.91135458167</v>
      </c>
      <c r="E32" s="4" t="s">
        <v>416</v>
      </c>
      <c r="G32" s="28" t="s">
        <v>391</v>
      </c>
      <c r="H32" s="29" t="s">
        <v>472</v>
      </c>
    </row>
    <row r="33" customFormat="false" ht="15" hidden="false" customHeight="false" outlineLevel="0" collapsed="false">
      <c r="B33" s="4" t="s">
        <v>473</v>
      </c>
      <c r="C33" s="27" t="s">
        <v>474</v>
      </c>
      <c r="D33" s="12" t="n">
        <v>542.682948207171</v>
      </c>
      <c r="E33" s="4" t="s">
        <v>416</v>
      </c>
      <c r="G33" s="28" t="s">
        <v>391</v>
      </c>
      <c r="H33" s="29" t="s">
        <v>475</v>
      </c>
    </row>
    <row r="34" customFormat="false" ht="15" hidden="false" customHeight="false" outlineLevel="0" collapsed="false">
      <c r="B34" s="4" t="s">
        <v>476</v>
      </c>
      <c r="C34" s="27" t="s">
        <v>477</v>
      </c>
      <c r="D34" s="12" t="n">
        <v>843.228406374502</v>
      </c>
      <c r="E34" s="4" t="s">
        <v>416</v>
      </c>
      <c r="G34" s="28" t="s">
        <v>391</v>
      </c>
      <c r="H34" s="29" t="s">
        <v>478</v>
      </c>
    </row>
    <row r="35" customFormat="false" ht="15" hidden="false" customHeight="false" outlineLevel="0" collapsed="false">
      <c r="B35" s="4" t="s">
        <v>479</v>
      </c>
      <c r="C35" s="27" t="s">
        <v>480</v>
      </c>
      <c r="D35" s="12" t="n">
        <v>290.161235059761</v>
      </c>
      <c r="E35" s="4" t="s">
        <v>34</v>
      </c>
      <c r="G35" s="28" t="s">
        <v>391</v>
      </c>
      <c r="H35" s="29" t="s">
        <v>481</v>
      </c>
    </row>
    <row r="36" customFormat="false" ht="15" hidden="false" customHeight="false" outlineLevel="0" collapsed="false">
      <c r="B36" s="4" t="s">
        <v>482</v>
      </c>
      <c r="C36" s="27" t="s">
        <v>483</v>
      </c>
      <c r="D36" s="12" t="n">
        <v>389.194083665339</v>
      </c>
      <c r="E36" s="4" t="s">
        <v>35</v>
      </c>
      <c r="G36" s="28" t="s">
        <v>391</v>
      </c>
      <c r="H36" s="29" t="s">
        <v>484</v>
      </c>
    </row>
    <row r="37" customFormat="false" ht="15" hidden="false" customHeight="false" outlineLevel="0" collapsed="false">
      <c r="B37" s="4" t="s">
        <v>485</v>
      </c>
      <c r="C37" s="27" t="s">
        <v>486</v>
      </c>
      <c r="D37" s="12" t="n">
        <v>14607.25</v>
      </c>
      <c r="E37" s="4" t="s">
        <v>34</v>
      </c>
      <c r="F37" s="21" t="s">
        <v>487</v>
      </c>
      <c r="G37" s="28" t="s">
        <v>391</v>
      </c>
      <c r="H37" s="29" t="s">
        <v>488</v>
      </c>
    </row>
    <row r="38" customFormat="false" ht="15" hidden="false" customHeight="false" outlineLevel="0" collapsed="false">
      <c r="B38" s="4" t="s">
        <v>489</v>
      </c>
      <c r="C38" s="27" t="s">
        <v>490</v>
      </c>
      <c r="D38" s="5" t="n">
        <v>40</v>
      </c>
      <c r="E38" s="4" t="s">
        <v>34</v>
      </c>
      <c r="F38" s="21" t="s">
        <v>491</v>
      </c>
      <c r="G38" s="28" t="s">
        <v>391</v>
      </c>
      <c r="H38" s="29" t="s">
        <v>492</v>
      </c>
    </row>
    <row r="39" customFormat="false" ht="15" hidden="false" customHeight="false" outlineLevel="0" collapsed="false">
      <c r="B39" s="4" t="s">
        <v>234</v>
      </c>
      <c r="C39" s="27" t="s">
        <v>493</v>
      </c>
      <c r="D39" s="13" t="n">
        <v>17.3522825993941</v>
      </c>
      <c r="E39" s="4" t="s">
        <v>34</v>
      </c>
      <c r="F39" s="21" t="s">
        <v>494</v>
      </c>
      <c r="G39" s="28" t="s">
        <v>391</v>
      </c>
      <c r="H39" s="29" t="s">
        <v>495</v>
      </c>
    </row>
    <row r="40" customFormat="false" ht="15" hidden="false" customHeight="false" outlineLevel="0" collapsed="false">
      <c r="B40" s="4" t="s">
        <v>236</v>
      </c>
      <c r="C40" s="27" t="s">
        <v>496</v>
      </c>
      <c r="D40" s="13" t="n">
        <v>30.1159848705266</v>
      </c>
      <c r="E40" s="4" t="s">
        <v>34</v>
      </c>
      <c r="F40" s="21" t="s">
        <v>497</v>
      </c>
      <c r="G40" s="28" t="s">
        <v>391</v>
      </c>
      <c r="H40" s="29" t="s">
        <v>498</v>
      </c>
    </row>
    <row r="41" customFormat="false" ht="15" hidden="false" customHeight="false" outlineLevel="0" collapsed="false">
      <c r="B41" s="4" t="s">
        <v>238</v>
      </c>
      <c r="C41" s="27" t="s">
        <v>499</v>
      </c>
      <c r="D41" s="20" t="n">
        <v>1.73556330114046</v>
      </c>
      <c r="E41" s="4" t="s">
        <v>34</v>
      </c>
      <c r="G41" s="28" t="s">
        <v>391</v>
      </c>
      <c r="H41" s="29" t="s">
        <v>500</v>
      </c>
    </row>
    <row r="42" customFormat="false" ht="15" hidden="false" customHeight="false" outlineLevel="0" collapsed="false">
      <c r="B42" s="4" t="s">
        <v>501</v>
      </c>
      <c r="C42" s="27" t="s">
        <v>502</v>
      </c>
      <c r="D42" s="13" t="n">
        <v>89.6150306748466</v>
      </c>
      <c r="E42" s="4" t="s">
        <v>34</v>
      </c>
      <c r="F42" s="21" t="s">
        <v>503</v>
      </c>
      <c r="G42" s="28" t="s">
        <v>391</v>
      </c>
      <c r="H42" s="29" t="s">
        <v>504</v>
      </c>
    </row>
    <row r="43" customFormat="false" ht="15" hidden="false" customHeight="false" outlineLevel="0" collapsed="false">
      <c r="B43" s="4" t="s">
        <v>505</v>
      </c>
      <c r="C43" s="27" t="s">
        <v>506</v>
      </c>
      <c r="D43" s="13" t="n">
        <v>14.5490537848606</v>
      </c>
      <c r="E43" s="4" t="s">
        <v>34</v>
      </c>
      <c r="F43" s="21" t="s">
        <v>503</v>
      </c>
      <c r="G43" s="28" t="s">
        <v>391</v>
      </c>
      <c r="H43" s="29" t="s">
        <v>507</v>
      </c>
    </row>
    <row r="44" customFormat="false" ht="15" hidden="false" customHeight="false" outlineLevel="0" collapsed="false">
      <c r="B44" s="4" t="s">
        <v>508</v>
      </c>
      <c r="C44" s="27" t="s">
        <v>509</v>
      </c>
      <c r="D44" s="13" t="n">
        <v>95.257834294614</v>
      </c>
      <c r="E44" s="4" t="s">
        <v>510</v>
      </c>
      <c r="G44" s="28" t="s">
        <v>391</v>
      </c>
      <c r="H44" s="29" t="s">
        <v>511</v>
      </c>
    </row>
    <row r="45" customFormat="false" ht="15" hidden="false" customHeight="false" outlineLevel="0" collapsed="false">
      <c r="B45" s="4" t="s">
        <v>512</v>
      </c>
      <c r="C45" s="27" t="s">
        <v>513</v>
      </c>
      <c r="D45" s="13" t="n">
        <v>37.3002228345513</v>
      </c>
      <c r="E45" s="4" t="s">
        <v>510</v>
      </c>
      <c r="G45" s="28" t="s">
        <v>391</v>
      </c>
      <c r="H45" s="29" t="s">
        <v>514</v>
      </c>
    </row>
    <row r="46" customFormat="false" ht="15" hidden="false" customHeight="false" outlineLevel="0" collapsed="false">
      <c r="B46" s="4" t="s">
        <v>515</v>
      </c>
      <c r="C46" s="27" t="s">
        <v>516</v>
      </c>
      <c r="D46" s="20" t="n">
        <v>0.20936493095357</v>
      </c>
      <c r="E46" s="4" t="s">
        <v>517</v>
      </c>
      <c r="G46" s="28" t="s">
        <v>391</v>
      </c>
      <c r="H46" s="29" t="s">
        <v>518</v>
      </c>
    </row>
    <row r="47" customFormat="false" ht="15" hidden="false" customHeight="false" outlineLevel="0" collapsed="false">
      <c r="B47" s="4" t="s">
        <v>519</v>
      </c>
      <c r="C47" s="27" t="s">
        <v>520</v>
      </c>
      <c r="D47" s="20" t="n">
        <v>0.280821772892404</v>
      </c>
      <c r="E47" s="4" t="s">
        <v>517</v>
      </c>
      <c r="G47" s="28" t="s">
        <v>391</v>
      </c>
      <c r="H47" s="29" t="s">
        <v>521</v>
      </c>
    </row>
    <row r="48" customFormat="false" ht="15" hidden="false" customHeight="false" outlineLevel="0" collapsed="false">
      <c r="B48" s="4" t="s">
        <v>522</v>
      </c>
      <c r="C48" s="27" t="s">
        <v>523</v>
      </c>
      <c r="D48" s="12" t="n">
        <v>81850.2941176471</v>
      </c>
      <c r="E48" s="4" t="s">
        <v>510</v>
      </c>
      <c r="G48" s="28" t="s">
        <v>391</v>
      </c>
      <c r="H48" s="29" t="s">
        <v>524</v>
      </c>
    </row>
    <row r="49" customFormat="false" ht="15" hidden="false" customHeight="false" outlineLevel="0" collapsed="false">
      <c r="B49" s="4" t="s">
        <v>525</v>
      </c>
      <c r="C49" s="27" t="s">
        <v>526</v>
      </c>
      <c r="D49" s="12" t="n">
        <v>859.25</v>
      </c>
      <c r="E49" s="4" t="s">
        <v>510</v>
      </c>
      <c r="G49" s="28" t="s">
        <v>391</v>
      </c>
      <c r="H49" s="29" t="s">
        <v>527</v>
      </c>
    </row>
    <row r="50" customFormat="false" ht="15" hidden="false" customHeight="false" outlineLevel="0" collapsed="false">
      <c r="B50" s="4" t="s">
        <v>528</v>
      </c>
      <c r="C50" s="27" t="s">
        <v>529</v>
      </c>
      <c r="D50" s="20" t="n">
        <v>9.58823529411765</v>
      </c>
      <c r="E50" s="4" t="s">
        <v>510</v>
      </c>
      <c r="G50" s="28" t="s">
        <v>391</v>
      </c>
      <c r="H50" s="29" t="s">
        <v>530</v>
      </c>
    </row>
    <row r="51" customFormat="false" ht="15" hidden="false" customHeight="false" outlineLevel="0" collapsed="false">
      <c r="B51" s="4" t="s">
        <v>531</v>
      </c>
      <c r="C51" s="27" t="s">
        <v>532</v>
      </c>
      <c r="D51" s="5" t="n">
        <v>16</v>
      </c>
      <c r="E51" s="4" t="s">
        <v>35</v>
      </c>
      <c r="F51" s="21" t="s">
        <v>533</v>
      </c>
      <c r="G51" s="28" t="s">
        <v>391</v>
      </c>
      <c r="H51" s="29" t="s">
        <v>534</v>
      </c>
    </row>
    <row r="52" customFormat="false" ht="15" hidden="false" customHeight="false" outlineLevel="0" collapsed="false">
      <c r="B52" s="4" t="s">
        <v>535</v>
      </c>
      <c r="C52" s="27" t="s">
        <v>536</v>
      </c>
      <c r="D52" s="12" t="n">
        <v>154464.12</v>
      </c>
      <c r="E52" s="4" t="s">
        <v>35</v>
      </c>
      <c r="F52" s="21" t="s">
        <v>161</v>
      </c>
      <c r="G52" s="28" t="s">
        <v>391</v>
      </c>
      <c r="H52" s="29" t="s">
        <v>537</v>
      </c>
    </row>
    <row r="53" customFormat="false" ht="15" hidden="false" customHeight="false" outlineLevel="0" collapsed="false">
      <c r="B53" s="4" t="s">
        <v>538</v>
      </c>
      <c r="C53" s="27" t="s">
        <v>539</v>
      </c>
      <c r="D53" s="20" t="n">
        <v>0.376967394068728</v>
      </c>
      <c r="E53" s="4" t="s">
        <v>35</v>
      </c>
      <c r="G53" s="28" t="s">
        <v>391</v>
      </c>
      <c r="H53" s="29" t="s">
        <v>540</v>
      </c>
    </row>
    <row r="54" customFormat="false" ht="15" hidden="false" customHeight="false" outlineLevel="0" collapsed="false">
      <c r="B54" s="4" t="s">
        <v>541</v>
      </c>
      <c r="C54" s="27" t="s">
        <v>542</v>
      </c>
      <c r="D54" s="5" t="n">
        <v>68</v>
      </c>
      <c r="E54" s="4" t="s">
        <v>35</v>
      </c>
      <c r="F54" s="21" t="s">
        <v>543</v>
      </c>
      <c r="G54" s="28" t="s">
        <v>391</v>
      </c>
      <c r="H54" s="29" t="s">
        <v>544</v>
      </c>
    </row>
    <row r="55" customFormat="false" ht="15" hidden="false" customHeight="false" outlineLevel="0" collapsed="false">
      <c r="B55" s="4" t="s">
        <v>545</v>
      </c>
      <c r="C55" s="27" t="s">
        <v>546</v>
      </c>
      <c r="D55" s="20" t="n">
        <v>-0.00229447426065945</v>
      </c>
      <c r="E55" s="4" t="s">
        <v>416</v>
      </c>
      <c r="G55" s="28" t="s">
        <v>391</v>
      </c>
      <c r="H55" s="29" t="s">
        <v>547</v>
      </c>
    </row>
    <row r="56" customFormat="false" ht="15" hidden="false" customHeight="false" outlineLevel="0" collapsed="false">
      <c r="B56" s="4" t="s">
        <v>548</v>
      </c>
      <c r="C56" s="27" t="s">
        <v>549</v>
      </c>
      <c r="D56" s="13" t="n">
        <v>95.257834294614</v>
      </c>
      <c r="E56" s="4" t="s">
        <v>510</v>
      </c>
      <c r="G56" s="28" t="s">
        <v>391</v>
      </c>
      <c r="H56" s="29" t="s">
        <v>511</v>
      </c>
    </row>
    <row r="60" customFormat="false" ht="15" hidden="false" customHeight="false" outlineLevel="0" collapsed="false">
      <c r="B60" s="3" t="s">
        <v>62</v>
      </c>
      <c r="C60" s="3"/>
      <c r="D60" s="3"/>
      <c r="E60" s="3"/>
      <c r="F60" s="3"/>
    </row>
    <row r="61" customFormat="false" ht="15" hidden="false" customHeight="false" outlineLevel="0" collapsed="false">
      <c r="B61" s="2" t="s">
        <v>63</v>
      </c>
      <c r="C61" s="2"/>
      <c r="D61" s="2"/>
      <c r="E61" s="2"/>
      <c r="F61" s="2"/>
    </row>
    <row r="62" customFormat="false" ht="15" hidden="false" customHeight="false" outlineLevel="0" collapsed="false">
      <c r="B62" s="2" t="s">
        <v>64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65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66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67</v>
      </c>
      <c r="C65" s="2"/>
      <c r="D65" s="2"/>
      <c r="E65" s="2"/>
      <c r="F65" s="2"/>
    </row>
    <row r="66" customFormat="false" ht="15" hidden="false" customHeight="false" outlineLevel="0" collapsed="false">
      <c r="B66" s="2" t="s">
        <v>68</v>
      </c>
      <c r="C66" s="2"/>
      <c r="D66" s="2"/>
      <c r="E66" s="2"/>
      <c r="F66" s="2"/>
    </row>
    <row r="67" customFormat="false" ht="15" hidden="false" customHeight="false" outlineLevel="0" collapsed="false">
      <c r="B67" s="2" t="s">
        <v>69</v>
      </c>
      <c r="C67" s="2"/>
      <c r="D67" s="2"/>
      <c r="E67" s="2"/>
      <c r="F67" s="2"/>
    </row>
    <row r="68" customFormat="false" ht="15" hidden="false" customHeight="false" outlineLevel="0" collapsed="false">
      <c r="B68" s="2" t="s">
        <v>70</v>
      </c>
      <c r="C68" s="2"/>
      <c r="D68" s="2"/>
      <c r="E68" s="2"/>
      <c r="F68" s="2"/>
    </row>
    <row r="69" customFormat="false" ht="15" hidden="false" customHeight="false" outlineLevel="0" collapsed="false">
      <c r="B69" s="2" t="s">
        <v>550</v>
      </c>
      <c r="C69" s="2"/>
      <c r="D69" s="2"/>
      <c r="E69" s="2"/>
      <c r="F69" s="2"/>
    </row>
  </sheetData>
  <mergeCells count="12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30" t="s">
        <v>551</v>
      </c>
      <c r="B1" s="30"/>
      <c r="C1" s="30"/>
      <c r="D1" s="30"/>
      <c r="E1" s="30"/>
      <c r="F1" s="30"/>
      <c r="G1" s="30"/>
    </row>
    <row r="3" customFormat="false" ht="15" hidden="false" customHeight="false" outlineLevel="0" collapsed="false">
      <c r="A3" s="5" t="s">
        <v>552</v>
      </c>
      <c r="B3" s="4" t="n">
        <v>16</v>
      </c>
      <c r="D3" s="5" t="s">
        <v>553</v>
      </c>
      <c r="E3" s="4" t="s">
        <v>161</v>
      </c>
    </row>
    <row r="4" customFormat="false" ht="15" hidden="false" customHeight="false" outlineLevel="0" collapsed="false">
      <c r="A4" s="5" t="s">
        <v>554</v>
      </c>
      <c r="B4" s="4" t="n">
        <v>186</v>
      </c>
      <c r="D4" s="5" t="s">
        <v>555</v>
      </c>
      <c r="E4" s="31" t="n">
        <f aca="false">332432.72/409754.59</f>
        <v>0.81129712299257</v>
      </c>
    </row>
    <row r="5" customFormat="false" ht="15" hidden="false" customHeight="false" outlineLevel="0" collapsed="false">
      <c r="A5" s="5" t="s">
        <v>556</v>
      </c>
      <c r="B5" s="32" t="n">
        <v>409754.59</v>
      </c>
      <c r="D5" s="5" t="s">
        <v>557</v>
      </c>
      <c r="E5" s="21" t="s">
        <v>558</v>
      </c>
    </row>
    <row r="6" customFormat="false" ht="15" hidden="false" customHeight="false" outlineLevel="0" collapsed="false">
      <c r="A6" s="5" t="s">
        <v>559</v>
      </c>
      <c r="B6" s="32" t="n">
        <f aca="false">B5/B4</f>
        <v>2202.98166666667</v>
      </c>
    </row>
    <row r="8" customFormat="false" ht="19.5" hidden="false" customHeight="true" outlineLevel="0" collapsed="false">
      <c r="A8" s="33" t="s">
        <v>560</v>
      </c>
      <c r="B8" s="33" t="s">
        <v>156</v>
      </c>
      <c r="C8" s="33" t="s">
        <v>561</v>
      </c>
      <c r="D8" s="33" t="s">
        <v>554</v>
      </c>
      <c r="E8" s="33" t="s">
        <v>158</v>
      </c>
      <c r="F8" s="33" t="s">
        <v>159</v>
      </c>
      <c r="G8" s="33" t="s">
        <v>562</v>
      </c>
    </row>
    <row r="9" customFormat="false" ht="15" hidden="false" customHeight="false" outlineLevel="0" collapsed="false">
      <c r="A9" s="34" t="n">
        <v>1</v>
      </c>
      <c r="B9" s="35" t="s">
        <v>161</v>
      </c>
      <c r="C9" s="34"/>
      <c r="D9" s="34" t="n">
        <v>45</v>
      </c>
      <c r="E9" s="36" t="n">
        <v>154464.12</v>
      </c>
      <c r="F9" s="37" t="n">
        <f aca="false">E9/E$25</f>
        <v>0.376967394068728</v>
      </c>
      <c r="G9" s="36" t="n">
        <f aca="false">IF(D9=0,0,E9/D9)</f>
        <v>3432.536</v>
      </c>
    </row>
    <row r="10" customFormat="false" ht="15" hidden="false" customHeight="false" outlineLevel="0" collapsed="false">
      <c r="A10" s="34" t="n">
        <v>2</v>
      </c>
      <c r="B10" s="35" t="s">
        <v>162</v>
      </c>
      <c r="C10" s="34"/>
      <c r="D10" s="34" t="n">
        <v>41</v>
      </c>
      <c r="E10" s="36" t="n">
        <v>119072.08</v>
      </c>
      <c r="F10" s="37" t="n">
        <f aca="false">E10/E$25</f>
        <v>0.29059364533293</v>
      </c>
      <c r="G10" s="36" t="n">
        <f aca="false">IF(D10=0,0,E10/D10)</f>
        <v>2904.19707317073</v>
      </c>
    </row>
    <row r="11" customFormat="false" ht="15" hidden="false" customHeight="false" outlineLevel="0" collapsed="false">
      <c r="A11" s="34" t="n">
        <v>3</v>
      </c>
      <c r="B11" s="35" t="s">
        <v>163</v>
      </c>
      <c r="C11" s="34"/>
      <c r="D11" s="34" t="n">
        <v>7</v>
      </c>
      <c r="E11" s="36" t="n">
        <v>58896.52</v>
      </c>
      <c r="F11" s="37" t="n">
        <f aca="false">E11/E$25</f>
        <v>0.143736083590912</v>
      </c>
      <c r="G11" s="36" t="n">
        <f aca="false">IF(D11=0,0,E11/D11)</f>
        <v>8413.78857142857</v>
      </c>
    </row>
    <row r="12" customFormat="false" ht="15" hidden="false" customHeight="false" outlineLevel="0" collapsed="false">
      <c r="A12" s="38" t="n">
        <v>4</v>
      </c>
      <c r="B12" s="39" t="s">
        <v>164</v>
      </c>
      <c r="C12" s="38"/>
      <c r="D12" s="38" t="n">
        <v>54</v>
      </c>
      <c r="E12" s="40" t="n">
        <v>39751.74</v>
      </c>
      <c r="F12" s="41" t="n">
        <f aca="false">E12/E$25</f>
        <v>0.0970135319289529</v>
      </c>
      <c r="G12" s="40" t="n">
        <f aca="false">IF(D12=0,0,E12/D12)</f>
        <v>736.143333333333</v>
      </c>
    </row>
    <row r="13" customFormat="false" ht="15" hidden="false" customHeight="false" outlineLevel="0" collapsed="false">
      <c r="A13" s="42" t="n">
        <v>5</v>
      </c>
      <c r="B13" s="43" t="s">
        <v>165</v>
      </c>
      <c r="C13" s="42"/>
      <c r="D13" s="42" t="n">
        <v>4</v>
      </c>
      <c r="E13" s="44" t="n">
        <v>15612.75</v>
      </c>
      <c r="F13" s="45" t="n">
        <f aca="false">E13/E$25</f>
        <v>0.0381026848289851</v>
      </c>
      <c r="G13" s="44" t="n">
        <f aca="false">IF(D13=0,0,E13/D13)</f>
        <v>3903.1875</v>
      </c>
    </row>
    <row r="14" customFormat="false" ht="15" hidden="false" customHeight="false" outlineLevel="0" collapsed="false">
      <c r="A14" s="38" t="n">
        <v>6</v>
      </c>
      <c r="B14" s="39" t="s">
        <v>166</v>
      </c>
      <c r="C14" s="38"/>
      <c r="D14" s="38" t="n">
        <v>6</v>
      </c>
      <c r="E14" s="40" t="n">
        <v>9741.88</v>
      </c>
      <c r="F14" s="41" t="n">
        <f aca="false">E14/E$25</f>
        <v>0.023774913662346</v>
      </c>
      <c r="G14" s="40" t="n">
        <f aca="false">IF(D14=0,0,E14/D14)</f>
        <v>1623.64666666667</v>
      </c>
    </row>
    <row r="15" customFormat="false" ht="15" hidden="false" customHeight="false" outlineLevel="0" collapsed="false">
      <c r="A15" s="42" t="n">
        <v>7</v>
      </c>
      <c r="B15" s="43" t="s">
        <v>167</v>
      </c>
      <c r="C15" s="42"/>
      <c r="D15" s="42" t="n">
        <v>3</v>
      </c>
      <c r="E15" s="44" t="n">
        <v>5806</v>
      </c>
      <c r="F15" s="45" t="n">
        <f aca="false">E15/E$25</f>
        <v>0.0141694568936983</v>
      </c>
      <c r="G15" s="44" t="n">
        <f aca="false">IF(D15=0,0,E15/D15)</f>
        <v>1935.33333333333</v>
      </c>
    </row>
    <row r="16" customFormat="false" ht="15" hidden="false" customHeight="false" outlineLevel="0" collapsed="false">
      <c r="A16" s="38" t="n">
        <v>8</v>
      </c>
      <c r="B16" s="39" t="s">
        <v>168</v>
      </c>
      <c r="C16" s="38"/>
      <c r="D16" s="38" t="n">
        <v>7</v>
      </c>
      <c r="E16" s="40" t="n">
        <v>1963.11</v>
      </c>
      <c r="F16" s="41" t="n">
        <f aca="false">E16/E$25</f>
        <v>0.00479094084095556</v>
      </c>
      <c r="G16" s="40" t="n">
        <f aca="false">IF(D16=0,0,E16/D16)</f>
        <v>280.444285714286</v>
      </c>
    </row>
    <row r="17" customFormat="false" ht="15" hidden="false" customHeight="false" outlineLevel="0" collapsed="false">
      <c r="A17" s="42" t="n">
        <v>9</v>
      </c>
      <c r="B17" s="43" t="s">
        <v>169</v>
      </c>
      <c r="C17" s="42"/>
      <c r="D17" s="42" t="n">
        <v>2</v>
      </c>
      <c r="E17" s="44" t="n">
        <v>1837.5</v>
      </c>
      <c r="F17" s="45" t="n">
        <f aca="false">E17/E$25</f>
        <v>0.00448439149882372</v>
      </c>
      <c r="G17" s="44" t="n">
        <f aca="false">IF(D17=0,0,E17/D17)</f>
        <v>918.75</v>
      </c>
    </row>
    <row r="18" customFormat="false" ht="15" hidden="false" customHeight="false" outlineLevel="0" collapsed="false">
      <c r="A18" s="38" t="n">
        <v>10</v>
      </c>
      <c r="B18" s="39" t="s">
        <v>170</v>
      </c>
      <c r="C18" s="38"/>
      <c r="D18" s="38" t="n">
        <v>8</v>
      </c>
      <c r="E18" s="40" t="n">
        <v>1038.11</v>
      </c>
      <c r="F18" s="41" t="n">
        <f aca="false">E18/E$25</f>
        <v>0.00253349205923477</v>
      </c>
      <c r="G18" s="40" t="n">
        <f aca="false">IF(D18=0,0,E18/D18)</f>
        <v>129.76375</v>
      </c>
    </row>
    <row r="19" customFormat="false" ht="15" hidden="false" customHeight="false" outlineLevel="0" collapsed="false">
      <c r="A19" s="42" t="n">
        <v>11</v>
      </c>
      <c r="B19" s="43" t="s">
        <v>171</v>
      </c>
      <c r="C19" s="42"/>
      <c r="D19" s="42" t="n">
        <v>1</v>
      </c>
      <c r="E19" s="44" t="n">
        <v>973.75</v>
      </c>
      <c r="F19" s="45" t="n">
        <f aca="false">E19/E$25</f>
        <v>0.0023764224337304</v>
      </c>
      <c r="G19" s="44" t="n">
        <f aca="false">IF(D19=0,0,E19/D19)</f>
        <v>973.75</v>
      </c>
    </row>
    <row r="20" customFormat="false" ht="15" hidden="false" customHeight="false" outlineLevel="0" collapsed="false">
      <c r="A20" s="38" t="n">
        <v>12</v>
      </c>
      <c r="B20" s="39" t="s">
        <v>172</v>
      </c>
      <c r="C20" s="38"/>
      <c r="D20" s="38" t="n">
        <v>2</v>
      </c>
      <c r="E20" s="40" t="n">
        <v>309.58</v>
      </c>
      <c r="F20" s="41" t="n">
        <f aca="false">E20/E$25</f>
        <v>0.000755525398751482</v>
      </c>
      <c r="G20" s="40" t="n">
        <f aca="false">IF(D20=0,0,E20/D20)</f>
        <v>154.79</v>
      </c>
    </row>
    <row r="21" customFormat="false" ht="15" hidden="false" customHeight="false" outlineLevel="0" collapsed="false">
      <c r="A21" s="42" t="n">
        <v>13</v>
      </c>
      <c r="B21" s="43" t="s">
        <v>173</v>
      </c>
      <c r="C21" s="42"/>
      <c r="D21" s="42" t="n">
        <v>1</v>
      </c>
      <c r="E21" s="44" t="n">
        <v>186</v>
      </c>
      <c r="F21" s="45" t="n">
        <f aca="false">E21/E$25</f>
        <v>0.000453930241513585</v>
      </c>
      <c r="G21" s="44" t="n">
        <f aca="false">IF(D21=0,0,E21/D21)</f>
        <v>186</v>
      </c>
    </row>
    <row r="22" customFormat="false" ht="15" hidden="false" customHeight="false" outlineLevel="0" collapsed="false">
      <c r="A22" s="38" t="n">
        <v>14</v>
      </c>
      <c r="B22" s="39" t="s">
        <v>174</v>
      </c>
      <c r="C22" s="38"/>
      <c r="D22" s="38" t="n">
        <v>1</v>
      </c>
      <c r="E22" s="40" t="n">
        <v>69.28</v>
      </c>
      <c r="F22" s="41" t="n">
        <f aca="false">E22/E$25</f>
        <v>0.000169076812537963</v>
      </c>
      <c r="G22" s="40" t="n">
        <f aca="false">IF(D22=0,0,E22/D22)</f>
        <v>69.28</v>
      </c>
    </row>
    <row r="23" customFormat="false" ht="15" hidden="false" customHeight="false" outlineLevel="0" collapsed="false">
      <c r="A23" s="42" t="n">
        <v>15</v>
      </c>
      <c r="B23" s="43" t="s">
        <v>175</v>
      </c>
      <c r="C23" s="42"/>
      <c r="D23" s="42" t="n">
        <v>3</v>
      </c>
      <c r="E23" s="44" t="n">
        <v>18.33</v>
      </c>
      <c r="F23" s="45" t="n">
        <f aca="false">E23/E$25</f>
        <v>4.4734093155613E-005</v>
      </c>
      <c r="G23" s="44" t="n">
        <f aca="false">IF(D23=0,0,E23/D23)</f>
        <v>6.11</v>
      </c>
    </row>
    <row r="24" customFormat="false" ht="15" hidden="false" customHeight="false" outlineLevel="0" collapsed="false">
      <c r="A24" s="38" t="n">
        <v>16</v>
      </c>
      <c r="B24" s="39" t="s">
        <v>176</v>
      </c>
      <c r="C24" s="38"/>
      <c r="D24" s="38" t="n">
        <v>1</v>
      </c>
      <c r="E24" s="40" t="n">
        <v>13.84</v>
      </c>
      <c r="F24" s="41" t="n">
        <f aca="false">E24/E$25</f>
        <v>3.37763147448818E-005</v>
      </c>
      <c r="G24" s="40" t="n">
        <f aca="false">IF(D24=0,0,E24/D24)</f>
        <v>13.84</v>
      </c>
    </row>
    <row r="25" customFormat="false" ht="15" hidden="false" customHeight="false" outlineLevel="0" collapsed="false">
      <c r="A25" s="46"/>
      <c r="B25" s="47" t="s">
        <v>38</v>
      </c>
      <c r="C25" s="46"/>
      <c r="D25" s="48" t="n">
        <f aca="false">SUM(D9:D24)</f>
        <v>186</v>
      </c>
      <c r="E25" s="49" t="n">
        <f aca="false">SUM(E9:E24)</f>
        <v>409754.59</v>
      </c>
      <c r="F25" s="50" t="n">
        <f aca="false">SUM(F9:F24)</f>
        <v>1</v>
      </c>
      <c r="G25" s="49" t="n">
        <f aca="false">IF(D25=0,0,E25/D25)</f>
        <v>2202.98166666667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24"/>
    <col collapsed="false" customWidth="true" hidden="false" outlineLevel="0" max="12" min="12" style="0" width="20"/>
    <col collapsed="false" customWidth="true" hidden="false" outlineLevel="0" max="13" min="13" style="0" width="40"/>
  </cols>
  <sheetData>
    <row r="2" customFormat="false" ht="27.75" hidden="false" customHeight="true" outlineLevel="0" collapsed="false">
      <c r="B2" s="51" t="s">
        <v>563</v>
      </c>
      <c r="C2" s="51"/>
      <c r="D2" s="51"/>
      <c r="E2" s="51"/>
      <c r="F2" s="51"/>
      <c r="G2" s="51"/>
      <c r="H2" s="51"/>
      <c r="I2" s="51"/>
    </row>
    <row r="3" customFormat="false" ht="15" hidden="false" customHeight="false" outlineLevel="0" collapsed="false">
      <c r="B3" s="52" t="s">
        <v>564</v>
      </c>
      <c r="C3" s="52"/>
      <c r="D3" s="52"/>
      <c r="E3" s="52"/>
      <c r="F3" s="52"/>
      <c r="G3" s="52"/>
      <c r="H3" s="52"/>
      <c r="I3" s="52"/>
    </row>
    <row r="5" customFormat="false" ht="23.85" hidden="false" customHeight="false" outlineLevel="0" collapsed="false">
      <c r="B5" s="26" t="s">
        <v>565</v>
      </c>
      <c r="C5" s="26" t="s">
        <v>566</v>
      </c>
      <c r="D5" s="26" t="s">
        <v>330</v>
      </c>
      <c r="E5" s="26" t="s">
        <v>567</v>
      </c>
      <c r="F5" s="26" t="s">
        <v>568</v>
      </c>
      <c r="G5" s="26" t="s">
        <v>569</v>
      </c>
      <c r="H5" s="26" t="s">
        <v>570</v>
      </c>
      <c r="I5" s="26" t="s">
        <v>571</v>
      </c>
      <c r="J5" s="26" t="s">
        <v>355</v>
      </c>
      <c r="K5" s="26" t="s">
        <v>572</v>
      </c>
      <c r="L5" s="26" t="s">
        <v>573</v>
      </c>
      <c r="M5" s="26" t="s">
        <v>574</v>
      </c>
    </row>
    <row r="6" customFormat="false" ht="23.85" hidden="false" customHeight="false" outlineLevel="0" collapsed="false">
      <c r="B6" s="29" t="s">
        <v>575</v>
      </c>
      <c r="C6" s="29" t="s">
        <v>576</v>
      </c>
      <c r="D6" s="29" t="s">
        <v>577</v>
      </c>
      <c r="E6" s="29" t="s">
        <v>578</v>
      </c>
      <c r="F6" s="29" t="s">
        <v>579</v>
      </c>
      <c r="G6" s="29" t="s">
        <v>580</v>
      </c>
      <c r="H6" s="53" t="n">
        <v>0</v>
      </c>
      <c r="I6" s="29" t="n">
        <v>0</v>
      </c>
      <c r="J6" s="29" t="s">
        <v>581</v>
      </c>
      <c r="K6" s="29" t="s">
        <v>582</v>
      </c>
      <c r="L6" s="29" t="s">
        <v>583</v>
      </c>
      <c r="M6" s="29" t="s">
        <v>584</v>
      </c>
    </row>
    <row r="7" customFormat="false" ht="23.85" hidden="false" customHeight="false" outlineLevel="0" collapsed="false">
      <c r="B7" s="54" t="s">
        <v>585</v>
      </c>
      <c r="C7" s="54" t="s">
        <v>586</v>
      </c>
      <c r="D7" s="54" t="s">
        <v>587</v>
      </c>
      <c r="E7" s="54" t="s">
        <v>588</v>
      </c>
      <c r="F7" s="54" t="s">
        <v>589</v>
      </c>
      <c r="G7" s="54"/>
      <c r="H7" s="55" t="n">
        <v>-850</v>
      </c>
      <c r="I7" s="54" t="n">
        <v>0</v>
      </c>
      <c r="J7" s="54" t="s">
        <v>590</v>
      </c>
      <c r="K7" s="54" t="s">
        <v>591</v>
      </c>
      <c r="L7" s="54" t="s">
        <v>592</v>
      </c>
      <c r="M7" s="54" t="s">
        <v>593</v>
      </c>
    </row>
    <row r="8" customFormat="false" ht="23.85" hidden="false" customHeight="false" outlineLevel="0" collapsed="false">
      <c r="B8" s="29" t="s">
        <v>594</v>
      </c>
      <c r="C8" s="29" t="s">
        <v>586</v>
      </c>
      <c r="D8" s="29" t="s">
        <v>595</v>
      </c>
      <c r="E8" s="29" t="s">
        <v>596</v>
      </c>
      <c r="F8" s="29" t="s">
        <v>589</v>
      </c>
      <c r="G8" s="29"/>
      <c r="H8" s="55" t="n">
        <v>-420</v>
      </c>
      <c r="I8" s="29" t="n">
        <v>0</v>
      </c>
      <c r="J8" s="29" t="s">
        <v>590</v>
      </c>
      <c r="K8" s="29" t="s">
        <v>597</v>
      </c>
      <c r="L8" s="29" t="s">
        <v>598</v>
      </c>
      <c r="M8" s="29" t="s">
        <v>599</v>
      </c>
    </row>
    <row r="9" customFormat="false" ht="23.85" hidden="false" customHeight="false" outlineLevel="0" collapsed="false">
      <c r="B9" s="54" t="s">
        <v>600</v>
      </c>
      <c r="C9" s="54" t="s">
        <v>586</v>
      </c>
      <c r="D9" s="54" t="s">
        <v>595</v>
      </c>
      <c r="E9" s="54" t="s">
        <v>601</v>
      </c>
      <c r="F9" s="54" t="s">
        <v>589</v>
      </c>
      <c r="G9" s="54"/>
      <c r="H9" s="55" t="n">
        <v>-675</v>
      </c>
      <c r="I9" s="54" t="n">
        <v>0</v>
      </c>
      <c r="J9" s="54" t="s">
        <v>590</v>
      </c>
      <c r="K9" s="54" t="s">
        <v>591</v>
      </c>
      <c r="L9" s="54" t="s">
        <v>592</v>
      </c>
      <c r="M9" s="54" t="s">
        <v>602</v>
      </c>
    </row>
    <row r="10" customFormat="false" ht="23.85" hidden="false" customHeight="false" outlineLevel="0" collapsed="false">
      <c r="B10" s="29" t="s">
        <v>603</v>
      </c>
      <c r="C10" s="29" t="s">
        <v>586</v>
      </c>
      <c r="D10" s="29" t="s">
        <v>604</v>
      </c>
      <c r="E10" s="29" t="s">
        <v>605</v>
      </c>
      <c r="F10" s="29" t="s">
        <v>589</v>
      </c>
      <c r="G10" s="29"/>
      <c r="H10" s="55" t="n">
        <v>-1200</v>
      </c>
      <c r="I10" s="29" t="n">
        <v>0</v>
      </c>
      <c r="J10" s="29" t="s">
        <v>590</v>
      </c>
      <c r="K10" s="29" t="s">
        <v>606</v>
      </c>
      <c r="L10" s="29" t="s">
        <v>607</v>
      </c>
      <c r="M10" s="29" t="s">
        <v>608</v>
      </c>
    </row>
    <row r="11" customFormat="false" ht="15" hidden="false" customHeight="false" outlineLevel="0" collapsed="false">
      <c r="B11" s="54" t="s">
        <v>609</v>
      </c>
      <c r="C11" s="54" t="s">
        <v>586</v>
      </c>
      <c r="D11" s="54" t="s">
        <v>610</v>
      </c>
      <c r="E11" s="54" t="s">
        <v>611</v>
      </c>
      <c r="F11" s="54" t="s">
        <v>612</v>
      </c>
      <c r="G11" s="54"/>
      <c r="H11" s="55" t="n">
        <v>-290</v>
      </c>
      <c r="I11" s="54" t="n">
        <v>0</v>
      </c>
      <c r="J11" s="54" t="s">
        <v>590</v>
      </c>
      <c r="K11" s="54" t="s">
        <v>613</v>
      </c>
      <c r="L11" s="54" t="s">
        <v>598</v>
      </c>
      <c r="M11" s="54" t="s">
        <v>614</v>
      </c>
    </row>
    <row r="12" customFormat="false" ht="23.85" hidden="false" customHeight="false" outlineLevel="0" collapsed="false">
      <c r="B12" s="29" t="s">
        <v>615</v>
      </c>
      <c r="C12" s="29" t="s">
        <v>616</v>
      </c>
      <c r="D12" s="29" t="s">
        <v>617</v>
      </c>
      <c r="E12" s="29" t="s">
        <v>618</v>
      </c>
      <c r="F12" s="29" t="s">
        <v>619</v>
      </c>
      <c r="G12" s="29"/>
      <c r="H12" s="56" t="n">
        <v>4350</v>
      </c>
      <c r="I12" s="29" t="n">
        <v>0</v>
      </c>
      <c r="J12" s="29" t="s">
        <v>620</v>
      </c>
      <c r="K12" s="29" t="s">
        <v>621</v>
      </c>
      <c r="L12" s="29" t="s">
        <v>622</v>
      </c>
      <c r="M12" s="29" t="s">
        <v>623</v>
      </c>
    </row>
    <row r="13" customFormat="false" ht="23.85" hidden="false" customHeight="false" outlineLevel="0" collapsed="false">
      <c r="B13" s="54" t="s">
        <v>624</v>
      </c>
      <c r="C13" s="54" t="s">
        <v>625</v>
      </c>
      <c r="D13" s="54" t="s">
        <v>626</v>
      </c>
      <c r="E13" s="54" t="s">
        <v>627</v>
      </c>
      <c r="F13" s="54" t="s">
        <v>589</v>
      </c>
      <c r="G13" s="54" t="s">
        <v>628</v>
      </c>
      <c r="H13" s="56" t="n">
        <v>6683</v>
      </c>
      <c r="I13" s="54" t="n">
        <v>0</v>
      </c>
      <c r="J13" s="54" t="s">
        <v>629</v>
      </c>
      <c r="K13" s="54" t="s">
        <v>630</v>
      </c>
      <c r="L13" s="54" t="s">
        <v>631</v>
      </c>
      <c r="M13" s="54" t="s">
        <v>632</v>
      </c>
    </row>
    <row r="15" customFormat="false" ht="15" hidden="false" customHeight="false" outlineLevel="0" collapsed="false">
      <c r="B15" s="57" t="s">
        <v>38</v>
      </c>
      <c r="H15" s="58" t="n">
        <f aca="false">SUM(H6:H13)</f>
        <v>7598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52"/>
  </cols>
  <sheetData>
    <row r="2" customFormat="false" ht="27.75" hidden="false" customHeight="true" outlineLevel="0" collapsed="false">
      <c r="B2" s="51" t="s">
        <v>633</v>
      </c>
      <c r="C2" s="51"/>
      <c r="D2" s="51"/>
      <c r="E2" s="51"/>
      <c r="F2" s="51"/>
      <c r="G2" s="51"/>
      <c r="H2" s="51"/>
      <c r="I2" s="51"/>
    </row>
    <row r="3" customFormat="false" ht="15" hidden="false" customHeight="false" outlineLevel="0" collapsed="false">
      <c r="B3" s="52" t="s">
        <v>634</v>
      </c>
      <c r="C3" s="52"/>
      <c r="D3" s="52"/>
      <c r="E3" s="52"/>
      <c r="F3" s="52"/>
      <c r="G3" s="52"/>
      <c r="H3" s="52"/>
      <c r="I3" s="52"/>
    </row>
    <row r="5" customFormat="false" ht="15" hidden="false" customHeight="false" outlineLevel="0" collapsed="false">
      <c r="B5" s="57" t="s">
        <v>635</v>
      </c>
    </row>
    <row r="6" customFormat="false" ht="15" hidden="false" customHeight="false" outlineLevel="0" collapsed="false">
      <c r="B6" s="26" t="s">
        <v>636</v>
      </c>
      <c r="C6" s="26" t="s">
        <v>637</v>
      </c>
      <c r="D6" s="26" t="s">
        <v>638</v>
      </c>
      <c r="E6" s="26" t="s">
        <v>639</v>
      </c>
      <c r="F6" s="26" t="s">
        <v>640</v>
      </c>
      <c r="G6" s="26" t="s">
        <v>266</v>
      </c>
    </row>
    <row r="7" customFormat="false" ht="15" hidden="false" customHeight="false" outlineLevel="0" collapsed="false">
      <c r="B7" s="29" t="s">
        <v>582</v>
      </c>
      <c r="C7" s="29" t="n">
        <v>1</v>
      </c>
      <c r="D7" s="53" t="n">
        <v>0</v>
      </c>
      <c r="E7" s="59" t="n">
        <f aca="false">C7/8</f>
        <v>0.125</v>
      </c>
      <c r="F7" s="29" t="s">
        <v>583</v>
      </c>
      <c r="G7" s="29" t="s">
        <v>641</v>
      </c>
    </row>
    <row r="8" customFormat="false" ht="15" hidden="false" customHeight="false" outlineLevel="0" collapsed="false">
      <c r="B8" s="29" t="s">
        <v>591</v>
      </c>
      <c r="C8" s="29" t="n">
        <v>2</v>
      </c>
      <c r="D8" s="53" t="n">
        <v>-1525</v>
      </c>
      <c r="E8" s="59" t="n">
        <f aca="false">C8/8</f>
        <v>0.25</v>
      </c>
      <c r="F8" s="29" t="s">
        <v>592</v>
      </c>
      <c r="G8" s="29" t="s">
        <v>642</v>
      </c>
    </row>
    <row r="9" customFormat="false" ht="15" hidden="false" customHeight="false" outlineLevel="0" collapsed="false">
      <c r="B9" s="29" t="s">
        <v>597</v>
      </c>
      <c r="C9" s="29" t="n">
        <v>1</v>
      </c>
      <c r="D9" s="53" t="n">
        <v>-420</v>
      </c>
      <c r="E9" s="59" t="n">
        <f aca="false">C9/8</f>
        <v>0.125</v>
      </c>
      <c r="F9" s="29" t="s">
        <v>598</v>
      </c>
      <c r="G9" s="29" t="s">
        <v>643</v>
      </c>
    </row>
    <row r="10" customFormat="false" ht="15" hidden="false" customHeight="false" outlineLevel="0" collapsed="false">
      <c r="B10" s="29" t="s">
        <v>606</v>
      </c>
      <c r="C10" s="29" t="n">
        <v>1</v>
      </c>
      <c r="D10" s="53" t="n">
        <v>-1200</v>
      </c>
      <c r="E10" s="59" t="n">
        <f aca="false">C10/8</f>
        <v>0.125</v>
      </c>
      <c r="F10" s="29" t="s">
        <v>607</v>
      </c>
      <c r="G10" s="29" t="s">
        <v>644</v>
      </c>
    </row>
    <row r="11" customFormat="false" ht="15" hidden="false" customHeight="false" outlineLevel="0" collapsed="false">
      <c r="B11" s="29" t="s">
        <v>613</v>
      </c>
      <c r="C11" s="29" t="n">
        <v>1</v>
      </c>
      <c r="D11" s="53" t="n">
        <v>-290</v>
      </c>
      <c r="E11" s="59" t="n">
        <f aca="false">C11/8</f>
        <v>0.125</v>
      </c>
      <c r="F11" s="29" t="s">
        <v>598</v>
      </c>
      <c r="G11" s="29" t="s">
        <v>645</v>
      </c>
    </row>
    <row r="12" customFormat="false" ht="15" hidden="false" customHeight="false" outlineLevel="0" collapsed="false">
      <c r="B12" s="29" t="s">
        <v>646</v>
      </c>
      <c r="C12" s="29" t="n">
        <v>1</v>
      </c>
      <c r="D12" s="53" t="n">
        <v>4350</v>
      </c>
      <c r="E12" s="59" t="n">
        <f aca="false">C12/8</f>
        <v>0.125</v>
      </c>
      <c r="F12" s="29" t="s">
        <v>622</v>
      </c>
      <c r="G12" s="29" t="s">
        <v>647</v>
      </c>
    </row>
    <row r="13" customFormat="false" ht="15" hidden="false" customHeight="false" outlineLevel="0" collapsed="false">
      <c r="B13" s="29" t="s">
        <v>648</v>
      </c>
      <c r="C13" s="29" t="n">
        <v>1</v>
      </c>
      <c r="D13" s="53" t="n">
        <v>6683</v>
      </c>
      <c r="E13" s="59" t="n">
        <f aca="false">C13/8</f>
        <v>0.125</v>
      </c>
      <c r="F13" s="29" t="s">
        <v>631</v>
      </c>
      <c r="G13" s="29" t="s">
        <v>649</v>
      </c>
    </row>
    <row r="14" customFormat="false" ht="15" hidden="false" customHeight="false" outlineLevel="0" collapsed="false">
      <c r="B14" s="60" t="s">
        <v>38</v>
      </c>
      <c r="C14" s="60" t="n">
        <f aca="false">SUM(C7:C13)</f>
        <v>8</v>
      </c>
      <c r="D14" s="61" t="n">
        <f aca="false">SUM(D7:D13)</f>
        <v>7598</v>
      </c>
      <c r="E14" s="62"/>
      <c r="F14" s="62"/>
      <c r="G14" s="62"/>
    </row>
    <row r="17" customFormat="false" ht="15" hidden="false" customHeight="false" outlineLevel="0" collapsed="false">
      <c r="B17" s="57" t="s">
        <v>650</v>
      </c>
    </row>
    <row r="18" customFormat="false" ht="15" hidden="false" customHeight="false" outlineLevel="0" collapsed="false">
      <c r="B18" s="26" t="s">
        <v>573</v>
      </c>
      <c r="C18" s="26" t="s">
        <v>637</v>
      </c>
      <c r="D18" s="26" t="s">
        <v>651</v>
      </c>
      <c r="E18" s="26" t="s">
        <v>652</v>
      </c>
    </row>
    <row r="19" customFormat="false" ht="35.05" hidden="false" customHeight="false" outlineLevel="0" collapsed="false">
      <c r="B19" s="29" t="s">
        <v>622</v>
      </c>
      <c r="C19" s="29" t="n">
        <v>1</v>
      </c>
      <c r="D19" s="53" t="n">
        <v>4350</v>
      </c>
      <c r="E19" s="63" t="s">
        <v>653</v>
      </c>
    </row>
    <row r="20" customFormat="false" ht="46.25" hidden="false" customHeight="false" outlineLevel="0" collapsed="false">
      <c r="B20" s="29" t="s">
        <v>607</v>
      </c>
      <c r="C20" s="29" t="n">
        <v>2</v>
      </c>
      <c r="D20" s="53" t="n">
        <v>-1200</v>
      </c>
      <c r="E20" s="64" t="s">
        <v>654</v>
      </c>
    </row>
    <row r="21" customFormat="false" ht="46.25" hidden="false" customHeight="false" outlineLevel="0" collapsed="false">
      <c r="B21" s="29" t="s">
        <v>598</v>
      </c>
      <c r="C21" s="29" t="n">
        <v>3</v>
      </c>
      <c r="D21" s="53" t="n">
        <v>-1410</v>
      </c>
      <c r="E21" s="64" t="s">
        <v>655</v>
      </c>
    </row>
    <row r="22" customFormat="false" ht="46.25" hidden="false" customHeight="false" outlineLevel="0" collapsed="false">
      <c r="B22" s="29" t="s">
        <v>592</v>
      </c>
      <c r="C22" s="29" t="n">
        <v>2</v>
      </c>
      <c r="D22" s="53" t="n">
        <v>-1525</v>
      </c>
      <c r="E22" s="29" t="s">
        <v>656</v>
      </c>
    </row>
    <row r="23" customFormat="false" ht="35.05" hidden="false" customHeight="false" outlineLevel="0" collapsed="false">
      <c r="B23" s="29" t="s">
        <v>631</v>
      </c>
      <c r="C23" s="29" t="n">
        <v>1</v>
      </c>
      <c r="D23" s="53" t="n">
        <v>6683</v>
      </c>
      <c r="E23" s="63" t="s">
        <v>657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50"/>
  </cols>
  <sheetData>
    <row r="2" customFormat="false" ht="27.75" hidden="false" customHeight="true" outlineLevel="0" collapsed="false">
      <c r="B2" s="51" t="s">
        <v>658</v>
      </c>
      <c r="C2" s="51"/>
      <c r="D2" s="51"/>
      <c r="E2" s="51"/>
      <c r="F2" s="51"/>
      <c r="G2" s="51"/>
      <c r="H2" s="51"/>
      <c r="I2" s="51"/>
    </row>
    <row r="3" customFormat="false" ht="15" hidden="false" customHeight="false" outlineLevel="0" collapsed="false">
      <c r="B3" s="52" t="s">
        <v>659</v>
      </c>
      <c r="C3" s="52"/>
      <c r="D3" s="52"/>
      <c r="E3" s="52"/>
      <c r="F3" s="52"/>
      <c r="G3" s="52"/>
      <c r="H3" s="52"/>
      <c r="I3" s="52"/>
    </row>
    <row r="5" customFormat="false" ht="15" hidden="false" customHeight="false" outlineLevel="0" collapsed="false">
      <c r="B5" s="57" t="s">
        <v>660</v>
      </c>
    </row>
    <row r="6" customFormat="false" ht="15" hidden="false" customHeight="false" outlineLevel="0" collapsed="false">
      <c r="B6" s="26" t="s">
        <v>661</v>
      </c>
      <c r="C6" s="26" t="s">
        <v>662</v>
      </c>
      <c r="D6" s="26" t="s">
        <v>663</v>
      </c>
      <c r="E6" s="26" t="s">
        <v>355</v>
      </c>
      <c r="F6" s="26" t="s">
        <v>664</v>
      </c>
    </row>
    <row r="7" customFormat="false" ht="15" hidden="false" customHeight="false" outlineLevel="0" collapsed="false">
      <c r="B7" s="29" t="s">
        <v>665</v>
      </c>
      <c r="C7" s="29" t="n">
        <v>0</v>
      </c>
      <c r="D7" s="29" t="s">
        <v>666</v>
      </c>
      <c r="E7" s="54" t="s">
        <v>667</v>
      </c>
      <c r="F7" s="29" t="s">
        <v>668</v>
      </c>
    </row>
    <row r="8" customFormat="false" ht="15" hidden="false" customHeight="false" outlineLevel="0" collapsed="false">
      <c r="B8" s="29" t="s">
        <v>669</v>
      </c>
      <c r="C8" s="29" t="n">
        <v>0</v>
      </c>
      <c r="D8" s="29" t="s">
        <v>670</v>
      </c>
      <c r="E8" s="54" t="s">
        <v>667</v>
      </c>
      <c r="F8" s="29" t="s">
        <v>671</v>
      </c>
    </row>
    <row r="9" customFormat="false" ht="15" hidden="false" customHeight="false" outlineLevel="0" collapsed="false">
      <c r="B9" s="29" t="s">
        <v>672</v>
      </c>
      <c r="C9" s="29" t="n">
        <v>0</v>
      </c>
      <c r="D9" s="29" t="s">
        <v>673</v>
      </c>
      <c r="E9" s="54" t="s">
        <v>667</v>
      </c>
      <c r="F9" s="29" t="s">
        <v>674</v>
      </c>
    </row>
    <row r="10" customFormat="false" ht="15" hidden="false" customHeight="false" outlineLevel="0" collapsed="false">
      <c r="B10" s="29" t="s">
        <v>675</v>
      </c>
      <c r="C10" s="29" t="s">
        <v>676</v>
      </c>
      <c r="D10" s="29" t="s">
        <v>677</v>
      </c>
      <c r="E10" s="64" t="s">
        <v>678</v>
      </c>
      <c r="F10" s="29" t="s">
        <v>679</v>
      </c>
    </row>
    <row r="11" customFormat="false" ht="15" hidden="false" customHeight="false" outlineLevel="0" collapsed="false">
      <c r="B11" s="29" t="s">
        <v>680</v>
      </c>
      <c r="C11" s="29" t="s">
        <v>676</v>
      </c>
      <c r="D11" s="29" t="s">
        <v>681</v>
      </c>
      <c r="E11" s="54" t="s">
        <v>682</v>
      </c>
      <c r="F11" s="29" t="s">
        <v>683</v>
      </c>
    </row>
    <row r="12" customFormat="false" ht="15" hidden="false" customHeight="false" outlineLevel="0" collapsed="false">
      <c r="B12" s="29" t="s">
        <v>684</v>
      </c>
      <c r="C12" s="65" t="n">
        <v>0.48</v>
      </c>
      <c r="D12" s="29" t="s">
        <v>685</v>
      </c>
      <c r="E12" s="63" t="s">
        <v>686</v>
      </c>
      <c r="F12" s="29" t="s">
        <v>687</v>
      </c>
    </row>
    <row r="13" customFormat="false" ht="15" hidden="false" customHeight="false" outlineLevel="0" collapsed="false">
      <c r="B13" s="29" t="s">
        <v>688</v>
      </c>
      <c r="C13" s="29" t="s">
        <v>689</v>
      </c>
      <c r="D13" s="29" t="s">
        <v>690</v>
      </c>
      <c r="E13" s="63" t="s">
        <v>686</v>
      </c>
      <c r="F13" s="29" t="s">
        <v>691</v>
      </c>
    </row>
    <row r="14" customFormat="false" ht="15" hidden="false" customHeight="false" outlineLevel="0" collapsed="false">
      <c r="B14" s="29" t="s">
        <v>692</v>
      </c>
      <c r="C14" s="29" t="n">
        <v>5</v>
      </c>
      <c r="D14" s="29" t="s">
        <v>693</v>
      </c>
      <c r="E14" s="64" t="s">
        <v>694</v>
      </c>
      <c r="F14" s="29" t="s">
        <v>695</v>
      </c>
    </row>
    <row r="15" customFormat="false" ht="15" hidden="false" customHeight="false" outlineLevel="0" collapsed="false">
      <c r="B15" s="29" t="s">
        <v>696</v>
      </c>
      <c r="C15" s="29" t="s">
        <v>676</v>
      </c>
      <c r="D15" s="29" t="s">
        <v>697</v>
      </c>
      <c r="E15" s="54" t="s">
        <v>682</v>
      </c>
      <c r="F15" s="29" t="s">
        <v>698</v>
      </c>
    </row>
    <row r="18" customFormat="false" ht="15" hidden="false" customHeight="false" outlineLevel="0" collapsed="false">
      <c r="B18" s="57" t="s">
        <v>699</v>
      </c>
    </row>
    <row r="19" customFormat="false" ht="15" hidden="false" customHeight="false" outlineLevel="0" collapsed="false">
      <c r="B19" s="26" t="s">
        <v>700</v>
      </c>
      <c r="C19" s="26" t="s">
        <v>701</v>
      </c>
      <c r="D19" s="26" t="s">
        <v>385</v>
      </c>
      <c r="E19" s="26" t="s">
        <v>702</v>
      </c>
      <c r="F19" s="26" t="s">
        <v>703</v>
      </c>
    </row>
    <row r="20" customFormat="false" ht="15" hidden="false" customHeight="false" outlineLevel="0" collapsed="false">
      <c r="B20" s="29" t="s">
        <v>704</v>
      </c>
      <c r="C20" s="29" t="s">
        <v>705</v>
      </c>
      <c r="D20" s="29" t="s">
        <v>30</v>
      </c>
      <c r="E20" s="29" t="s">
        <v>706</v>
      </c>
      <c r="F20" s="29" t="s">
        <v>707</v>
      </c>
    </row>
    <row r="21" customFormat="false" ht="15" hidden="false" customHeight="false" outlineLevel="0" collapsed="false">
      <c r="B21" s="29" t="s">
        <v>708</v>
      </c>
      <c r="C21" s="29" t="s">
        <v>709</v>
      </c>
      <c r="D21" s="29" t="s">
        <v>30</v>
      </c>
      <c r="E21" s="29" t="s">
        <v>706</v>
      </c>
      <c r="F21" s="29" t="s">
        <v>710</v>
      </c>
    </row>
    <row r="22" customFormat="false" ht="15" hidden="false" customHeight="false" outlineLevel="0" collapsed="false">
      <c r="B22" s="29" t="s">
        <v>711</v>
      </c>
      <c r="C22" s="29" t="s">
        <v>712</v>
      </c>
      <c r="D22" s="29" t="s">
        <v>30</v>
      </c>
      <c r="E22" s="29" t="s">
        <v>706</v>
      </c>
      <c r="F22" s="29" t="s">
        <v>713</v>
      </c>
    </row>
    <row r="23" customFormat="false" ht="23.85" hidden="false" customHeight="false" outlineLevel="0" collapsed="false">
      <c r="B23" s="29" t="s">
        <v>714</v>
      </c>
      <c r="C23" s="29" t="n">
        <v>0</v>
      </c>
      <c r="D23" s="29" t="s">
        <v>30</v>
      </c>
      <c r="E23" s="29" t="s">
        <v>715</v>
      </c>
      <c r="F23" s="29" t="s">
        <v>716</v>
      </c>
    </row>
    <row r="24" customFormat="false" ht="15" hidden="false" customHeight="false" outlineLevel="0" collapsed="false">
      <c r="B24" s="29" t="s">
        <v>717</v>
      </c>
      <c r="C24" s="29" t="n">
        <v>18</v>
      </c>
      <c r="D24" s="29" t="s">
        <v>718</v>
      </c>
      <c r="E24" s="29" t="s">
        <v>719</v>
      </c>
      <c r="F24" s="29" t="s">
        <v>720</v>
      </c>
    </row>
    <row r="25" customFormat="false" ht="15" hidden="false" customHeight="false" outlineLevel="0" collapsed="false">
      <c r="B25" s="29" t="s">
        <v>721</v>
      </c>
      <c r="C25" s="29" t="s">
        <v>722</v>
      </c>
      <c r="D25" s="29" t="s">
        <v>723</v>
      </c>
      <c r="E25" s="29" t="s">
        <v>724</v>
      </c>
      <c r="F25" s="29" t="s">
        <v>725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50"/>
    <col collapsed="false" customWidth="true" hidden="false" outlineLevel="0" max="10" min="10" style="0" width="40"/>
  </cols>
  <sheetData>
    <row r="2" customFormat="false" ht="27.75" hidden="false" customHeight="true" outlineLevel="0" collapsed="false">
      <c r="B2" s="51" t="s">
        <v>726</v>
      </c>
      <c r="C2" s="51"/>
      <c r="D2" s="51"/>
      <c r="E2" s="51"/>
      <c r="F2" s="51"/>
      <c r="G2" s="51"/>
      <c r="H2" s="51"/>
      <c r="I2" s="51"/>
    </row>
    <row r="3" customFormat="false" ht="15" hidden="false" customHeight="false" outlineLevel="0" collapsed="false">
      <c r="B3" s="52" t="s">
        <v>727</v>
      </c>
      <c r="C3" s="52"/>
      <c r="D3" s="52"/>
      <c r="E3" s="52"/>
      <c r="F3" s="52"/>
      <c r="G3" s="52"/>
      <c r="H3" s="52"/>
      <c r="I3" s="52"/>
    </row>
    <row r="5" customFormat="false" ht="15" hidden="false" customHeight="false" outlineLevel="0" collapsed="false">
      <c r="B5" s="26" t="s">
        <v>728</v>
      </c>
      <c r="C5" s="26" t="s">
        <v>729</v>
      </c>
      <c r="D5" s="26" t="s">
        <v>730</v>
      </c>
      <c r="E5" s="26" t="s">
        <v>41</v>
      </c>
      <c r="F5" s="26" t="s">
        <v>731</v>
      </c>
      <c r="G5" s="26" t="s">
        <v>732</v>
      </c>
      <c r="H5" s="26" t="s">
        <v>385</v>
      </c>
      <c r="I5" s="26" t="s">
        <v>733</v>
      </c>
      <c r="J5" s="26" t="s">
        <v>734</v>
      </c>
    </row>
    <row r="6" customFormat="false" ht="15" hidden="false" customHeight="false" outlineLevel="0" collapsed="false">
      <c r="B6" s="54" t="n">
        <v>1</v>
      </c>
      <c r="C6" s="54" t="s">
        <v>735</v>
      </c>
      <c r="D6" s="54" t="s">
        <v>736</v>
      </c>
      <c r="E6" s="54" t="s">
        <v>4</v>
      </c>
      <c r="F6" s="54" t="s">
        <v>737</v>
      </c>
      <c r="G6" s="54" t="s">
        <v>738</v>
      </c>
      <c r="H6" s="63" t="s">
        <v>391</v>
      </c>
      <c r="I6" s="54" t="s">
        <v>739</v>
      </c>
      <c r="J6" s="54" t="s">
        <v>740</v>
      </c>
    </row>
    <row r="7" customFormat="false" ht="15" hidden="false" customHeight="false" outlineLevel="0" collapsed="false">
      <c r="B7" s="29" t="n">
        <v>2</v>
      </c>
      <c r="C7" s="29" t="s">
        <v>741</v>
      </c>
      <c r="D7" s="29" t="s">
        <v>742</v>
      </c>
      <c r="E7" s="29" t="s">
        <v>743</v>
      </c>
      <c r="F7" s="29" t="s">
        <v>744</v>
      </c>
      <c r="G7" s="29" t="s">
        <v>738</v>
      </c>
      <c r="H7" s="63" t="s">
        <v>391</v>
      </c>
      <c r="I7" s="29" t="s">
        <v>745</v>
      </c>
      <c r="J7" s="29" t="s">
        <v>746</v>
      </c>
    </row>
    <row r="8" customFormat="false" ht="15" hidden="false" customHeight="false" outlineLevel="0" collapsed="false">
      <c r="B8" s="54" t="n">
        <v>3</v>
      </c>
      <c r="C8" s="54" t="s">
        <v>396</v>
      </c>
      <c r="D8" s="54" t="s">
        <v>7</v>
      </c>
      <c r="E8" s="54" t="s">
        <v>8</v>
      </c>
      <c r="F8" s="54" t="s">
        <v>744</v>
      </c>
      <c r="G8" s="54" t="s">
        <v>738</v>
      </c>
      <c r="H8" s="63" t="s">
        <v>391</v>
      </c>
      <c r="I8" s="54" t="s">
        <v>395</v>
      </c>
      <c r="J8" s="54" t="s">
        <v>746</v>
      </c>
    </row>
    <row r="9" customFormat="false" ht="15" hidden="false" customHeight="false" outlineLevel="0" collapsed="false">
      <c r="B9" s="29" t="n">
        <v>4</v>
      </c>
      <c r="C9" s="29" t="s">
        <v>747</v>
      </c>
      <c r="D9" s="29" t="s">
        <v>325</v>
      </c>
      <c r="E9" s="53" t="n">
        <v>1401338</v>
      </c>
      <c r="F9" s="29" t="s">
        <v>748</v>
      </c>
      <c r="G9" s="29" t="s">
        <v>738</v>
      </c>
      <c r="H9" s="63" t="s">
        <v>391</v>
      </c>
      <c r="I9" s="29" t="s">
        <v>749</v>
      </c>
      <c r="J9" s="29" t="s">
        <v>750</v>
      </c>
    </row>
    <row r="10" customFormat="false" ht="15" hidden="false" customHeight="false" outlineLevel="0" collapsed="false">
      <c r="B10" s="54" t="n">
        <v>5</v>
      </c>
      <c r="C10" s="54" t="s">
        <v>751</v>
      </c>
      <c r="D10" s="54" t="s">
        <v>323</v>
      </c>
      <c r="E10" s="66" t="n">
        <v>1394655</v>
      </c>
      <c r="F10" s="54" t="s">
        <v>748</v>
      </c>
      <c r="G10" s="54" t="s">
        <v>738</v>
      </c>
      <c r="H10" s="63" t="s">
        <v>391</v>
      </c>
      <c r="I10" s="54" t="s">
        <v>752</v>
      </c>
      <c r="J10" s="54" t="s">
        <v>753</v>
      </c>
    </row>
    <row r="11" customFormat="false" ht="15" hidden="false" customHeight="false" outlineLevel="0" collapsed="false">
      <c r="B11" s="29" t="n">
        <v>6</v>
      </c>
      <c r="C11" s="29" t="s">
        <v>754</v>
      </c>
      <c r="D11" s="29" t="s">
        <v>755</v>
      </c>
      <c r="E11" s="53" t="n">
        <v>6683</v>
      </c>
      <c r="F11" s="29" t="s">
        <v>748</v>
      </c>
      <c r="G11" s="29" t="s">
        <v>738</v>
      </c>
      <c r="H11" s="63" t="s">
        <v>391</v>
      </c>
      <c r="I11" s="29" t="s">
        <v>756</v>
      </c>
      <c r="J11" s="29" t="s">
        <v>757</v>
      </c>
    </row>
    <row r="12" customFormat="false" ht="15" hidden="false" customHeight="false" outlineLevel="0" collapsed="false">
      <c r="B12" s="54" t="n">
        <v>7</v>
      </c>
      <c r="C12" s="54" t="s">
        <v>758</v>
      </c>
      <c r="D12" s="54" t="s">
        <v>759</v>
      </c>
      <c r="E12" s="66" t="n">
        <v>69572.75</v>
      </c>
      <c r="F12" s="54" t="s">
        <v>748</v>
      </c>
      <c r="G12" s="54" t="s">
        <v>738</v>
      </c>
      <c r="H12" s="63" t="s">
        <v>391</v>
      </c>
      <c r="I12" s="54" t="s">
        <v>454</v>
      </c>
      <c r="J12" s="54" t="s">
        <v>760</v>
      </c>
    </row>
    <row r="13" customFormat="false" ht="15" hidden="false" customHeight="false" outlineLevel="0" collapsed="false">
      <c r="B13" s="29" t="n">
        <v>8</v>
      </c>
      <c r="C13" s="29" t="s">
        <v>761</v>
      </c>
      <c r="D13" s="29" t="s">
        <v>403</v>
      </c>
      <c r="E13" s="29" t="n">
        <v>16</v>
      </c>
      <c r="F13" s="29" t="s">
        <v>762</v>
      </c>
      <c r="G13" s="29" t="s">
        <v>738</v>
      </c>
      <c r="H13" s="63" t="s">
        <v>391</v>
      </c>
      <c r="I13" s="29" t="s">
        <v>763</v>
      </c>
      <c r="J13" s="29" t="s">
        <v>764</v>
      </c>
    </row>
    <row r="14" customFormat="false" ht="15" hidden="false" customHeight="false" outlineLevel="0" collapsed="false">
      <c r="B14" s="54" t="n">
        <v>9</v>
      </c>
      <c r="C14" s="54" t="s">
        <v>765</v>
      </c>
      <c r="D14" s="54" t="s">
        <v>766</v>
      </c>
      <c r="E14" s="66" t="n">
        <f aca="false">Overview!D20</f>
        <v>291321.88</v>
      </c>
      <c r="F14" s="54" t="s">
        <v>748</v>
      </c>
      <c r="G14" s="54" t="s">
        <v>767</v>
      </c>
      <c r="H14" s="63" t="s">
        <v>391</v>
      </c>
      <c r="I14" s="54" t="s">
        <v>768</v>
      </c>
      <c r="J14" s="54" t="s">
        <v>769</v>
      </c>
    </row>
    <row r="15" customFormat="false" ht="15" hidden="false" customHeight="false" outlineLevel="0" collapsed="false">
      <c r="B15" s="29" t="n">
        <v>10</v>
      </c>
      <c r="C15" s="29" t="s">
        <v>770</v>
      </c>
      <c r="D15" s="29" t="s">
        <v>771</v>
      </c>
      <c r="E15" s="53" t="n">
        <f aca="false">Overview!D21</f>
        <v>390750.86</v>
      </c>
      <c r="F15" s="29" t="s">
        <v>748</v>
      </c>
      <c r="G15" s="29" t="s">
        <v>767</v>
      </c>
      <c r="H15" s="63" t="s">
        <v>391</v>
      </c>
      <c r="I15" s="29" t="s">
        <v>772</v>
      </c>
      <c r="J15" s="29" t="s">
        <v>773</v>
      </c>
    </row>
    <row r="16" customFormat="false" ht="15" hidden="false" customHeight="false" outlineLevel="0" collapsed="false">
      <c r="B16" s="54" t="n">
        <v>11</v>
      </c>
      <c r="C16" s="54" t="s">
        <v>774</v>
      </c>
      <c r="D16" s="54" t="s">
        <v>775</v>
      </c>
      <c r="E16" s="66" t="n">
        <f aca="false">Overview!D22</f>
        <v>15938.74</v>
      </c>
      <c r="F16" s="54" t="s">
        <v>748</v>
      </c>
      <c r="G16" s="54" t="s">
        <v>767</v>
      </c>
      <c r="H16" s="63" t="s">
        <v>391</v>
      </c>
      <c r="I16" s="54" t="s">
        <v>776</v>
      </c>
      <c r="J16" s="54" t="s">
        <v>777</v>
      </c>
    </row>
    <row r="17" customFormat="false" ht="15" hidden="false" customHeight="false" outlineLevel="0" collapsed="false">
      <c r="B17" s="29" t="n">
        <v>12</v>
      </c>
      <c r="C17" s="29" t="s">
        <v>778</v>
      </c>
      <c r="D17" s="29" t="s">
        <v>779</v>
      </c>
      <c r="E17" s="53" t="n">
        <f aca="false">Overview!D23</f>
        <v>148589.84</v>
      </c>
      <c r="F17" s="29" t="s">
        <v>748</v>
      </c>
      <c r="G17" s="29" t="s">
        <v>767</v>
      </c>
      <c r="H17" s="63" t="s">
        <v>391</v>
      </c>
      <c r="I17" s="29" t="s">
        <v>780</v>
      </c>
      <c r="J17" s="29" t="s">
        <v>781</v>
      </c>
    </row>
    <row r="18" customFormat="false" ht="15" hidden="false" customHeight="false" outlineLevel="0" collapsed="false">
      <c r="B18" s="54" t="n">
        <v>13</v>
      </c>
      <c r="C18" s="54" t="s">
        <v>782</v>
      </c>
      <c r="D18" s="54" t="s">
        <v>783</v>
      </c>
      <c r="E18" s="66" t="n">
        <f aca="false">Overview!D24</f>
        <v>846601.32</v>
      </c>
      <c r="F18" s="54" t="s">
        <v>748</v>
      </c>
      <c r="G18" s="54" t="s">
        <v>738</v>
      </c>
      <c r="H18" s="63" t="s">
        <v>391</v>
      </c>
      <c r="I18" s="54" t="s">
        <v>784</v>
      </c>
      <c r="J18" s="54" t="s">
        <v>785</v>
      </c>
    </row>
    <row r="19" customFormat="false" ht="15" hidden="false" customHeight="false" outlineLevel="0" collapsed="false">
      <c r="B19" s="29" t="n">
        <v>14</v>
      </c>
      <c r="C19" s="29" t="s">
        <v>786</v>
      </c>
      <c r="D19" s="29" t="s">
        <v>787</v>
      </c>
      <c r="E19" s="29" t="n">
        <f aca="false">Overview!D25</f>
        <v>0</v>
      </c>
      <c r="F19" s="29" t="s">
        <v>748</v>
      </c>
      <c r="G19" s="29" t="s">
        <v>738</v>
      </c>
      <c r="H19" s="63" t="s">
        <v>391</v>
      </c>
      <c r="I19" s="29" t="s">
        <v>430</v>
      </c>
      <c r="J19" s="29" t="s">
        <v>788</v>
      </c>
    </row>
    <row r="20" customFormat="false" ht="15" hidden="false" customHeight="false" outlineLevel="0" collapsed="false">
      <c r="B20" s="54" t="n">
        <v>15</v>
      </c>
      <c r="C20" s="54" t="s">
        <v>789</v>
      </c>
      <c r="D20" s="54" t="s">
        <v>790</v>
      </c>
      <c r="E20" s="54" t="n">
        <f aca="false">Overview!D26</f>
        <v>0</v>
      </c>
      <c r="F20" s="54" t="s">
        <v>791</v>
      </c>
      <c r="G20" s="54" t="s">
        <v>738</v>
      </c>
      <c r="H20" s="63" t="s">
        <v>391</v>
      </c>
      <c r="I20" s="54" t="s">
        <v>792</v>
      </c>
      <c r="J20" s="54" t="s">
        <v>793</v>
      </c>
    </row>
    <row r="21" customFormat="false" ht="15" hidden="false" customHeight="false" outlineLevel="0" collapsed="false">
      <c r="B21" s="29" t="n">
        <v>16</v>
      </c>
      <c r="C21" s="29" t="s">
        <v>794</v>
      </c>
      <c r="D21" s="29" t="s">
        <v>485</v>
      </c>
      <c r="E21" s="67" t="n">
        <f aca="false">Productivity!D10</f>
        <v>872</v>
      </c>
      <c r="F21" s="29" t="s">
        <v>795</v>
      </c>
      <c r="G21" s="29" t="s">
        <v>796</v>
      </c>
      <c r="H21" s="63" t="s">
        <v>391</v>
      </c>
      <c r="I21" s="29" t="s">
        <v>797</v>
      </c>
      <c r="J21" s="29" t="s">
        <v>798</v>
      </c>
    </row>
    <row r="22" customFormat="false" ht="15" hidden="false" customHeight="false" outlineLevel="0" collapsed="false">
      <c r="B22" s="54" t="n">
        <v>17</v>
      </c>
      <c r="C22" s="54" t="s">
        <v>799</v>
      </c>
      <c r="D22" s="54" t="s">
        <v>800</v>
      </c>
      <c r="E22" s="68" t="n">
        <f aca="false">Productivity!D11</f>
        <v>238</v>
      </c>
      <c r="F22" s="54" t="s">
        <v>801</v>
      </c>
      <c r="G22" s="54" t="s">
        <v>796</v>
      </c>
      <c r="H22" s="63" t="s">
        <v>391</v>
      </c>
      <c r="I22" s="54" t="s">
        <v>802</v>
      </c>
      <c r="J22" s="54" t="s">
        <v>803</v>
      </c>
    </row>
    <row r="23" customFormat="false" ht="15" hidden="false" customHeight="false" outlineLevel="0" collapsed="false">
      <c r="B23" s="29" t="n">
        <v>18</v>
      </c>
      <c r="C23" s="29" t="s">
        <v>804</v>
      </c>
      <c r="D23" s="29" t="s">
        <v>805</v>
      </c>
      <c r="E23" s="29" t="n">
        <f aca="false">Overview!D20/Productivity!D10</f>
        <v>334.084724770642</v>
      </c>
      <c r="F23" s="29" t="s">
        <v>806</v>
      </c>
      <c r="G23" s="29" t="s">
        <v>229</v>
      </c>
      <c r="H23" s="63" t="s">
        <v>391</v>
      </c>
      <c r="I23" s="29" t="s">
        <v>807</v>
      </c>
      <c r="J23" s="29" t="s">
        <v>808</v>
      </c>
    </row>
    <row r="24" customFormat="false" ht="15" hidden="false" customHeight="false" outlineLevel="0" collapsed="false">
      <c r="B24" s="54" t="n">
        <v>19</v>
      </c>
      <c r="C24" s="54" t="s">
        <v>407</v>
      </c>
      <c r="D24" s="54" t="s">
        <v>406</v>
      </c>
      <c r="E24" s="54" t="n">
        <v>163</v>
      </c>
      <c r="F24" s="54" t="s">
        <v>277</v>
      </c>
      <c r="G24" s="54" t="s">
        <v>381</v>
      </c>
      <c r="H24" s="63" t="s">
        <v>391</v>
      </c>
      <c r="I24" s="54" t="s">
        <v>809</v>
      </c>
      <c r="J24" s="54" t="s">
        <v>810</v>
      </c>
    </row>
    <row r="25" customFormat="false" ht="15" hidden="false" customHeight="false" outlineLevel="0" collapsed="false">
      <c r="B25" s="29" t="n">
        <v>20</v>
      </c>
      <c r="C25" s="29" t="s">
        <v>409</v>
      </c>
      <c r="D25" s="29" t="s">
        <v>54</v>
      </c>
      <c r="E25" s="53" t="n">
        <f aca="false">'Benchmark KPIs'!D13</f>
        <v>1004</v>
      </c>
      <c r="F25" s="29" t="s">
        <v>801</v>
      </c>
      <c r="G25" s="29" t="s">
        <v>381</v>
      </c>
      <c r="H25" s="63" t="s">
        <v>391</v>
      </c>
      <c r="I25" s="29" t="s">
        <v>811</v>
      </c>
      <c r="J25" s="29" t="s">
        <v>812</v>
      </c>
    </row>
    <row r="26" customFormat="false" ht="15" hidden="false" customHeight="false" outlineLevel="0" collapsed="false">
      <c r="B26" s="54" t="n">
        <v>21</v>
      </c>
      <c r="C26" s="54" t="s">
        <v>412</v>
      </c>
      <c r="D26" s="54" t="s">
        <v>411</v>
      </c>
      <c r="E26" s="69" t="n">
        <f aca="false">'Benchmark KPIs'!D14</f>
        <v>6.15950920245399</v>
      </c>
      <c r="F26" s="54" t="s">
        <v>813</v>
      </c>
      <c r="G26" s="54" t="s">
        <v>381</v>
      </c>
      <c r="H26" s="63" t="s">
        <v>391</v>
      </c>
      <c r="I26" s="54" t="s">
        <v>814</v>
      </c>
      <c r="J26" s="54" t="s">
        <v>815</v>
      </c>
    </row>
    <row r="27" customFormat="false" ht="15" hidden="false" customHeight="false" outlineLevel="0" collapsed="false">
      <c r="B27" s="29" t="n">
        <v>22</v>
      </c>
      <c r="C27" s="29" t="s">
        <v>502</v>
      </c>
      <c r="D27" s="29" t="s">
        <v>501</v>
      </c>
      <c r="E27" s="70" t="n">
        <f aca="false">'Benchmark KPIs'!D42</f>
        <v>89.6150306748466</v>
      </c>
      <c r="F27" s="29" t="s">
        <v>816</v>
      </c>
      <c r="G27" s="29" t="s">
        <v>510</v>
      </c>
      <c r="H27" s="63" t="s">
        <v>391</v>
      </c>
      <c r="I27" s="29" t="s">
        <v>814</v>
      </c>
      <c r="J27" s="29" t="s">
        <v>817</v>
      </c>
    </row>
    <row r="28" customFormat="false" ht="15" hidden="false" customHeight="false" outlineLevel="0" collapsed="false">
      <c r="B28" s="54" t="n">
        <v>23</v>
      </c>
      <c r="C28" s="54" t="s">
        <v>506</v>
      </c>
      <c r="D28" s="54" t="s">
        <v>505</v>
      </c>
      <c r="E28" s="71" t="n">
        <f aca="false">'Benchmark KPIs'!D43</f>
        <v>14.5490537848606</v>
      </c>
      <c r="F28" s="54" t="s">
        <v>818</v>
      </c>
      <c r="G28" s="54" t="s">
        <v>510</v>
      </c>
      <c r="H28" s="63" t="s">
        <v>391</v>
      </c>
      <c r="I28" s="54" t="s">
        <v>814</v>
      </c>
      <c r="J28" s="54" t="s">
        <v>819</v>
      </c>
    </row>
    <row r="29" customFormat="false" ht="15" hidden="false" customHeight="false" outlineLevel="0" collapsed="false">
      <c r="B29" s="29" t="n">
        <v>24</v>
      </c>
      <c r="C29" s="29" t="s">
        <v>529</v>
      </c>
      <c r="D29" s="29" t="s">
        <v>528</v>
      </c>
      <c r="E29" s="72" t="n">
        <f aca="false">'Benchmark KPIs'!D50</f>
        <v>9.58823529411765</v>
      </c>
      <c r="F29" s="29" t="s">
        <v>820</v>
      </c>
      <c r="G29" s="29" t="s">
        <v>510</v>
      </c>
      <c r="H29" s="63" t="s">
        <v>391</v>
      </c>
      <c r="I29" s="29" t="s">
        <v>814</v>
      </c>
      <c r="J29" s="29" t="s">
        <v>821</v>
      </c>
    </row>
    <row r="30" customFormat="false" ht="15" hidden="false" customHeight="false" outlineLevel="0" collapsed="false">
      <c r="B30" s="54" t="n">
        <v>25</v>
      </c>
      <c r="C30" s="54" t="s">
        <v>456</v>
      </c>
      <c r="D30" s="54" t="s">
        <v>455</v>
      </c>
      <c r="E30" s="66" t="n">
        <f aca="false">'Benchmark KPIs'!D27</f>
        <v>8536.53374233129</v>
      </c>
      <c r="F30" s="54" t="s">
        <v>822</v>
      </c>
      <c r="G30" s="54" t="s">
        <v>381</v>
      </c>
      <c r="H30" s="63" t="s">
        <v>391</v>
      </c>
      <c r="I30" s="54" t="s">
        <v>814</v>
      </c>
      <c r="J30" s="54" t="s">
        <v>823</v>
      </c>
    </row>
    <row r="31" customFormat="false" ht="15" hidden="false" customHeight="false" outlineLevel="0" collapsed="false">
      <c r="B31" s="29" t="n">
        <v>26</v>
      </c>
      <c r="C31" s="29" t="s">
        <v>459</v>
      </c>
      <c r="D31" s="29" t="s">
        <v>458</v>
      </c>
      <c r="E31" s="53" t="n">
        <f aca="false">'Benchmark KPIs'!D28</f>
        <v>3342.66061349693</v>
      </c>
      <c r="F31" s="29" t="s">
        <v>822</v>
      </c>
      <c r="G31" s="29" t="s">
        <v>381</v>
      </c>
      <c r="H31" s="63" t="s">
        <v>391</v>
      </c>
      <c r="I31" s="29" t="s">
        <v>814</v>
      </c>
      <c r="J31" s="29" t="s">
        <v>824</v>
      </c>
    </row>
    <row r="32" customFormat="false" ht="15" hidden="false" customHeight="false" outlineLevel="0" collapsed="false">
      <c r="B32" s="54" t="n">
        <v>27</v>
      </c>
      <c r="C32" s="54" t="s">
        <v>462</v>
      </c>
      <c r="D32" s="54" t="s">
        <v>461</v>
      </c>
      <c r="E32" s="66" t="n">
        <f aca="false">'Benchmark KPIs'!D29</f>
        <v>5193.87312883436</v>
      </c>
      <c r="F32" s="54" t="s">
        <v>822</v>
      </c>
      <c r="G32" s="54" t="s">
        <v>381</v>
      </c>
      <c r="H32" s="63" t="s">
        <v>391</v>
      </c>
      <c r="I32" s="54" t="s">
        <v>814</v>
      </c>
      <c r="J32" s="54" t="s">
        <v>825</v>
      </c>
    </row>
    <row r="33" customFormat="false" ht="15" hidden="false" customHeight="false" outlineLevel="0" collapsed="false">
      <c r="B33" s="29" t="n">
        <v>28</v>
      </c>
      <c r="C33" s="29" t="s">
        <v>471</v>
      </c>
      <c r="D33" s="29" t="s">
        <v>470</v>
      </c>
      <c r="E33" s="53" t="n">
        <f aca="false">'Benchmark KPIs'!D32</f>
        <v>1385.91135458167</v>
      </c>
      <c r="F33" s="29" t="s">
        <v>826</v>
      </c>
      <c r="G33" s="29" t="s">
        <v>381</v>
      </c>
      <c r="H33" s="63" t="s">
        <v>391</v>
      </c>
      <c r="I33" s="29" t="s">
        <v>814</v>
      </c>
      <c r="J33" s="29" t="s">
        <v>827</v>
      </c>
    </row>
    <row r="34" customFormat="false" ht="15" hidden="false" customHeight="false" outlineLevel="0" collapsed="false">
      <c r="B34" s="54" t="n">
        <v>29</v>
      </c>
      <c r="C34" s="54" t="s">
        <v>828</v>
      </c>
      <c r="D34" s="54" t="s">
        <v>829</v>
      </c>
      <c r="E34" s="54" t="n">
        <f aca="false">Vendors!D7</f>
        <v>0</v>
      </c>
      <c r="F34" s="54" t="s">
        <v>801</v>
      </c>
      <c r="G34" s="54" t="s">
        <v>552</v>
      </c>
      <c r="H34" s="63" t="s">
        <v>391</v>
      </c>
      <c r="I34" s="54" t="s">
        <v>830</v>
      </c>
      <c r="J34" s="54" t="s">
        <v>831</v>
      </c>
    </row>
    <row r="35" customFormat="false" ht="15" hidden="false" customHeight="false" outlineLevel="0" collapsed="false">
      <c r="B35" s="29" t="n">
        <v>30</v>
      </c>
      <c r="C35" s="29" t="s">
        <v>832</v>
      </c>
      <c r="D35" s="29" t="s">
        <v>833</v>
      </c>
      <c r="E35" s="29" t="n">
        <f aca="false">Vendors!F7</f>
        <v>0</v>
      </c>
      <c r="F35" s="29" t="s">
        <v>748</v>
      </c>
      <c r="G35" s="29" t="s">
        <v>552</v>
      </c>
      <c r="H35" s="63" t="s">
        <v>391</v>
      </c>
      <c r="I35" s="29" t="s">
        <v>834</v>
      </c>
      <c r="J35" s="29" t="s">
        <v>835</v>
      </c>
    </row>
    <row r="36" customFormat="false" ht="15" hidden="false" customHeight="false" outlineLevel="0" collapsed="false">
      <c r="B36" s="54" t="n">
        <v>31</v>
      </c>
      <c r="C36" s="54" t="s">
        <v>836</v>
      </c>
      <c r="D36" s="54" t="s">
        <v>837</v>
      </c>
      <c r="E36" s="54" t="n">
        <f aca="false">Vendors!D9</f>
        <v>45</v>
      </c>
      <c r="F36" s="54" t="s">
        <v>791</v>
      </c>
      <c r="G36" s="54" t="s">
        <v>552</v>
      </c>
      <c r="H36" s="63" t="s">
        <v>391</v>
      </c>
      <c r="I36" s="54" t="s">
        <v>838</v>
      </c>
      <c r="J36" s="54" t="s">
        <v>839</v>
      </c>
    </row>
    <row r="37" customFormat="false" ht="15" hidden="false" customHeight="false" outlineLevel="0" collapsed="false">
      <c r="B37" s="29" t="n">
        <v>32</v>
      </c>
      <c r="C37" s="29" t="s">
        <v>840</v>
      </c>
      <c r="D37" s="29" t="s">
        <v>841</v>
      </c>
      <c r="E37" s="73" t="n">
        <v>87</v>
      </c>
      <c r="F37" s="29" t="s">
        <v>801</v>
      </c>
      <c r="G37" s="29" t="s">
        <v>842</v>
      </c>
      <c r="H37" s="63" t="s">
        <v>391</v>
      </c>
      <c r="I37" s="29" t="s">
        <v>843</v>
      </c>
      <c r="J37" s="29" t="s">
        <v>844</v>
      </c>
    </row>
    <row r="38" customFormat="false" ht="15" hidden="false" customHeight="false" outlineLevel="0" collapsed="false">
      <c r="B38" s="54" t="n">
        <v>33</v>
      </c>
      <c r="C38" s="54" t="s">
        <v>845</v>
      </c>
      <c r="D38" s="54" t="s">
        <v>846</v>
      </c>
      <c r="E38" s="74" t="n">
        <v>15</v>
      </c>
      <c r="F38" s="54" t="s">
        <v>801</v>
      </c>
      <c r="G38" s="54" t="s">
        <v>847</v>
      </c>
      <c r="H38" s="63" t="s">
        <v>391</v>
      </c>
      <c r="I38" s="54" t="s">
        <v>848</v>
      </c>
      <c r="J38" s="54" t="s">
        <v>849</v>
      </c>
    </row>
    <row r="39" customFormat="false" ht="15" hidden="false" customHeight="false" outlineLevel="0" collapsed="false">
      <c r="B39" s="29" t="n">
        <v>34</v>
      </c>
      <c r="C39" s="29" t="s">
        <v>850</v>
      </c>
      <c r="D39" s="29" t="s">
        <v>851</v>
      </c>
      <c r="E39" s="29" t="s">
        <v>336</v>
      </c>
      <c r="F39" s="29" t="s">
        <v>852</v>
      </c>
      <c r="G39" s="29" t="s">
        <v>847</v>
      </c>
      <c r="H39" s="63" t="s">
        <v>391</v>
      </c>
      <c r="I39" s="29" t="s">
        <v>853</v>
      </c>
      <c r="J39" s="29" t="s">
        <v>854</v>
      </c>
    </row>
    <row r="40" customFormat="false" ht="15" hidden="false" customHeight="false" outlineLevel="0" collapsed="false">
      <c r="B40" s="54" t="n">
        <v>35</v>
      </c>
      <c r="C40" s="54" t="s">
        <v>855</v>
      </c>
      <c r="D40" s="54" t="s">
        <v>856</v>
      </c>
      <c r="E40" s="54" t="s">
        <v>350</v>
      </c>
      <c r="F40" s="54" t="s">
        <v>852</v>
      </c>
      <c r="G40" s="54" t="s">
        <v>847</v>
      </c>
      <c r="H40" s="63" t="s">
        <v>391</v>
      </c>
      <c r="I40" s="54" t="s">
        <v>857</v>
      </c>
      <c r="J40" s="54" t="s">
        <v>858</v>
      </c>
    </row>
    <row r="41" customFormat="false" ht="15" hidden="false" customHeight="false" outlineLevel="0" collapsed="false">
      <c r="B41" s="29" t="n">
        <v>36</v>
      </c>
      <c r="C41" s="29" t="s">
        <v>859</v>
      </c>
      <c r="D41" s="29" t="s">
        <v>327</v>
      </c>
      <c r="E41" s="29" t="n">
        <f aca="false">Overview!D10-Overview!D11</f>
        <v>0</v>
      </c>
      <c r="F41" s="29" t="s">
        <v>748</v>
      </c>
      <c r="G41" s="29" t="s">
        <v>738</v>
      </c>
      <c r="H41" s="63" t="s">
        <v>391</v>
      </c>
      <c r="I41" s="29" t="s">
        <v>860</v>
      </c>
      <c r="J41" s="29" t="s">
        <v>861</v>
      </c>
    </row>
    <row r="42" customFormat="false" ht="15" hidden="false" customHeight="false" outlineLevel="0" collapsed="false">
      <c r="B42" s="54" t="n">
        <v>37</v>
      </c>
      <c r="C42" s="54" t="s">
        <v>862</v>
      </c>
      <c r="D42" s="54" t="s">
        <v>863</v>
      </c>
      <c r="E42" s="74" t="n">
        <v>0</v>
      </c>
      <c r="F42" s="54" t="s">
        <v>801</v>
      </c>
      <c r="G42" s="54" t="s">
        <v>864</v>
      </c>
      <c r="H42" s="64" t="s">
        <v>865</v>
      </c>
      <c r="I42" s="54" t="s">
        <v>866</v>
      </c>
      <c r="J42" s="54" t="s">
        <v>867</v>
      </c>
    </row>
    <row r="43" customFormat="false" ht="15" hidden="false" customHeight="false" outlineLevel="0" collapsed="false">
      <c r="B43" s="29" t="n">
        <v>38</v>
      </c>
      <c r="C43" s="29" t="s">
        <v>868</v>
      </c>
      <c r="D43" s="29" t="s">
        <v>869</v>
      </c>
      <c r="E43" s="73" t="n">
        <v>0</v>
      </c>
      <c r="F43" s="29" t="s">
        <v>801</v>
      </c>
      <c r="G43" s="29" t="s">
        <v>864</v>
      </c>
      <c r="H43" s="64" t="s">
        <v>865</v>
      </c>
      <c r="I43" s="29" t="s">
        <v>866</v>
      </c>
      <c r="J43" s="29" t="s">
        <v>870</v>
      </c>
    </row>
    <row r="44" customFormat="false" ht="15" hidden="false" customHeight="false" outlineLevel="0" collapsed="false">
      <c r="B44" s="54" t="n">
        <v>39</v>
      </c>
      <c r="C44" s="54" t="s">
        <v>871</v>
      </c>
      <c r="D44" s="54" t="s">
        <v>872</v>
      </c>
      <c r="E44" s="54" t="s">
        <v>676</v>
      </c>
      <c r="F44" s="54" t="s">
        <v>873</v>
      </c>
      <c r="G44" s="54" t="s">
        <v>864</v>
      </c>
      <c r="H44" s="64" t="s">
        <v>865</v>
      </c>
      <c r="I44" s="54" t="s">
        <v>874</v>
      </c>
      <c r="J44" s="54" t="s">
        <v>875</v>
      </c>
    </row>
    <row r="45" customFormat="false" ht="15" hidden="false" customHeight="false" outlineLevel="0" collapsed="false">
      <c r="B45" s="29" t="n">
        <v>40</v>
      </c>
      <c r="C45" s="29" t="s">
        <v>876</v>
      </c>
      <c r="D45" s="29" t="s">
        <v>877</v>
      </c>
      <c r="E45" s="73" t="n">
        <v>1</v>
      </c>
      <c r="F45" s="29" t="s">
        <v>801</v>
      </c>
      <c r="G45" s="29" t="s">
        <v>878</v>
      </c>
      <c r="H45" s="75" t="s">
        <v>718</v>
      </c>
      <c r="I45" s="29" t="s">
        <v>879</v>
      </c>
      <c r="J45" s="29" t="s">
        <v>880</v>
      </c>
    </row>
    <row r="46" customFormat="false" ht="15" hidden="false" customHeight="false" outlineLevel="0" collapsed="false">
      <c r="B46" s="54" t="n">
        <v>41</v>
      </c>
      <c r="C46" s="54" t="s">
        <v>881</v>
      </c>
      <c r="D46" s="54" t="s">
        <v>882</v>
      </c>
      <c r="E46" s="74" t="n">
        <v>0</v>
      </c>
      <c r="F46" s="54" t="s">
        <v>801</v>
      </c>
      <c r="G46" s="54" t="s">
        <v>864</v>
      </c>
      <c r="H46" s="64" t="s">
        <v>865</v>
      </c>
      <c r="I46" s="54" t="s">
        <v>883</v>
      </c>
      <c r="J46" s="54" t="s">
        <v>884</v>
      </c>
    </row>
    <row r="47" customFormat="false" ht="15" hidden="false" customHeight="false" outlineLevel="0" collapsed="false">
      <c r="B47" s="29" t="n">
        <v>42</v>
      </c>
      <c r="C47" s="29" t="s">
        <v>885</v>
      </c>
      <c r="D47" s="29" t="s">
        <v>886</v>
      </c>
      <c r="E47" s="73" t="n">
        <v>1</v>
      </c>
      <c r="F47" s="29" t="s">
        <v>801</v>
      </c>
      <c r="G47" s="29" t="s">
        <v>878</v>
      </c>
      <c r="H47" s="75" t="s">
        <v>718</v>
      </c>
      <c r="I47" s="29" t="s">
        <v>887</v>
      </c>
      <c r="J47" s="29" t="s">
        <v>888</v>
      </c>
    </row>
    <row r="48" customFormat="false" ht="15" hidden="false" customHeight="false" outlineLevel="0" collapsed="false">
      <c r="B48" s="54" t="n">
        <v>43</v>
      </c>
      <c r="C48" s="54" t="s">
        <v>889</v>
      </c>
      <c r="D48" s="54" t="s">
        <v>890</v>
      </c>
      <c r="E48" s="66" t="n">
        <v>6683</v>
      </c>
      <c r="F48" s="54" t="s">
        <v>748</v>
      </c>
      <c r="G48" s="54" t="s">
        <v>878</v>
      </c>
      <c r="H48" s="63" t="s">
        <v>391</v>
      </c>
      <c r="I48" s="54" t="s">
        <v>891</v>
      </c>
      <c r="J48" s="54" t="s">
        <v>757</v>
      </c>
    </row>
    <row r="49" customFormat="false" ht="15" hidden="false" customHeight="false" outlineLevel="0" collapsed="false">
      <c r="B49" s="29" t="n">
        <v>44</v>
      </c>
      <c r="C49" s="29" t="s">
        <v>892</v>
      </c>
      <c r="D49" s="29" t="s">
        <v>893</v>
      </c>
      <c r="E49" s="29" t="n">
        <f aca="false">ROUND(6683/1394655,4)</f>
        <v>0.0048</v>
      </c>
      <c r="F49" s="29" t="s">
        <v>791</v>
      </c>
      <c r="G49" s="29" t="s">
        <v>878</v>
      </c>
      <c r="H49" s="63" t="s">
        <v>391</v>
      </c>
      <c r="I49" s="29" t="s">
        <v>814</v>
      </c>
      <c r="J49" s="29" t="s">
        <v>894</v>
      </c>
    </row>
    <row r="50" customFormat="false" ht="15" hidden="false" customHeight="false" outlineLevel="0" collapsed="false">
      <c r="B50" s="54" t="n">
        <v>45</v>
      </c>
      <c r="C50" s="54" t="s">
        <v>895</v>
      </c>
      <c r="D50" s="54" t="s">
        <v>896</v>
      </c>
      <c r="E50" s="74" t="n">
        <v>5</v>
      </c>
      <c r="F50" s="54" t="s">
        <v>801</v>
      </c>
      <c r="G50" s="54" t="s">
        <v>878</v>
      </c>
      <c r="H50" s="63" t="s">
        <v>391</v>
      </c>
      <c r="I50" s="54" t="s">
        <v>897</v>
      </c>
      <c r="J50" s="54" t="s">
        <v>898</v>
      </c>
    </row>
    <row r="51" customFormat="false" ht="15" hidden="false" customHeight="false" outlineLevel="0" collapsed="false">
      <c r="B51" s="29" t="n">
        <v>46</v>
      </c>
      <c r="C51" s="29" t="s">
        <v>899</v>
      </c>
      <c r="D51" s="29" t="s">
        <v>900</v>
      </c>
      <c r="E51" s="53" t="n">
        <v>-3435</v>
      </c>
      <c r="F51" s="29" t="s">
        <v>748</v>
      </c>
      <c r="G51" s="29" t="s">
        <v>878</v>
      </c>
      <c r="H51" s="75" t="s">
        <v>718</v>
      </c>
      <c r="I51" s="29" t="s">
        <v>901</v>
      </c>
      <c r="J51" s="29" t="s">
        <v>902</v>
      </c>
    </row>
    <row r="52" customFormat="false" ht="15" hidden="false" customHeight="false" outlineLevel="0" collapsed="false">
      <c r="B52" s="54" t="n">
        <v>47</v>
      </c>
      <c r="C52" s="54" t="s">
        <v>903</v>
      </c>
      <c r="D52" s="54" t="s">
        <v>904</v>
      </c>
      <c r="E52" s="66" t="n">
        <f aca="false">Overview!D20</f>
        <v>291321.88</v>
      </c>
      <c r="F52" s="54" t="s">
        <v>748</v>
      </c>
      <c r="G52" s="54" t="s">
        <v>878</v>
      </c>
      <c r="H52" s="64" t="s">
        <v>865</v>
      </c>
      <c r="I52" s="54" t="s">
        <v>905</v>
      </c>
      <c r="J52" s="54" t="s">
        <v>906</v>
      </c>
    </row>
    <row r="53" customFormat="false" ht="15" hidden="false" customHeight="false" outlineLevel="0" collapsed="false">
      <c r="B53" s="29" t="n">
        <v>48</v>
      </c>
      <c r="C53" s="29" t="s">
        <v>907</v>
      </c>
      <c r="D53" s="29" t="s">
        <v>908</v>
      </c>
      <c r="E53" s="29" t="str">
        <f aca="false">Reconciliation!D4</f>
        <v>Tab B</v>
      </c>
      <c r="F53" s="29" t="s">
        <v>801</v>
      </c>
      <c r="G53" s="29" t="s">
        <v>909</v>
      </c>
      <c r="H53" s="63" t="s">
        <v>391</v>
      </c>
      <c r="I53" s="29" t="s">
        <v>910</v>
      </c>
      <c r="J53" s="29" t="s">
        <v>911</v>
      </c>
    </row>
    <row r="54" customFormat="false" ht="15" hidden="false" customHeight="false" outlineLevel="0" collapsed="false">
      <c r="B54" s="54" t="n">
        <v>49</v>
      </c>
      <c r="C54" s="54" t="s">
        <v>912</v>
      </c>
      <c r="D54" s="54" t="s">
        <v>913</v>
      </c>
      <c r="E54" s="74" t="n">
        <v>0</v>
      </c>
      <c r="F54" s="54" t="s">
        <v>801</v>
      </c>
      <c r="G54" s="54" t="s">
        <v>909</v>
      </c>
      <c r="H54" s="63" t="s">
        <v>391</v>
      </c>
      <c r="I54" s="54" t="s">
        <v>910</v>
      </c>
      <c r="J54" s="54" t="s">
        <v>914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6"/>
  </cols>
  <sheetData>
    <row r="2" customFormat="false" ht="19.7" hidden="false" customHeight="false" outlineLevel="0" collapsed="false">
      <c r="B2" s="1" t="s">
        <v>915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52" t="s">
        <v>916</v>
      </c>
      <c r="C3" s="52"/>
      <c r="D3" s="52"/>
      <c r="E3" s="52"/>
      <c r="F3" s="52"/>
      <c r="G3" s="52"/>
    </row>
    <row r="4" customFormat="false" ht="15" hidden="false" customHeight="false" outlineLevel="0" collapsed="false">
      <c r="B4" s="9" t="s">
        <v>917</v>
      </c>
      <c r="C4" s="9" t="s">
        <v>918</v>
      </c>
      <c r="D4" s="9" t="s">
        <v>919</v>
      </c>
      <c r="E4" s="9" t="s">
        <v>354</v>
      </c>
      <c r="F4" s="9" t="s">
        <v>355</v>
      </c>
      <c r="G4" s="9" t="s">
        <v>920</v>
      </c>
    </row>
    <row r="5" customFormat="false" ht="15" hidden="false" customHeight="false" outlineLevel="0" collapsed="false">
      <c r="B5" s="3" t="s">
        <v>921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783</v>
      </c>
      <c r="C6" s="10" t="n">
        <f aca="false">Overview!D24</f>
        <v>846601.32</v>
      </c>
      <c r="D6" s="10" t="n">
        <f aca="false">'Benchmark KPIs'!D21</f>
        <v>846601.32</v>
      </c>
      <c r="E6" s="10" t="n">
        <f aca="false">C6-D6</f>
        <v>0</v>
      </c>
      <c r="F6" s="5" t="str">
        <f aca="false">IF(ABS(E6)&lt;=1,"TIES",IF(ABS(E6)&lt;=ABS(D6)*0.05,"WITHIN","OFF"))</f>
        <v>TIES</v>
      </c>
      <c r="G6" s="21" t="s">
        <v>922</v>
      </c>
    </row>
    <row r="7" customFormat="false" ht="15" hidden="false" customHeight="false" outlineLevel="0" collapsed="false">
      <c r="B7" s="4" t="s">
        <v>923</v>
      </c>
      <c r="C7" s="10" t="n">
        <v>1391455</v>
      </c>
      <c r="D7" s="10" t="n">
        <f aca="false">'Benchmark KPIs'!D16</f>
        <v>1391455</v>
      </c>
      <c r="E7" s="10" t="n">
        <f aca="false">C7-D7</f>
        <v>0</v>
      </c>
      <c r="F7" s="5" t="str">
        <f aca="false">IF(ABS(E7)&lt;=1,"TIES",IF(ABS(E7)&lt;=ABS(D7)*0.05,"WITHIN","OFF"))</f>
        <v>TIES</v>
      </c>
      <c r="G7" s="21" t="s">
        <v>924</v>
      </c>
    </row>
    <row r="8" customFormat="false" ht="15" hidden="false" customHeight="false" outlineLevel="0" collapsed="false">
      <c r="B8" s="4" t="s">
        <v>428</v>
      </c>
      <c r="C8" s="10" t="n">
        <v>544853.68</v>
      </c>
      <c r="D8" s="10" t="n">
        <f aca="false">'Benchmark KPIs'!D19</f>
        <v>544853.68</v>
      </c>
      <c r="E8" s="10" t="n">
        <f aca="false">C8-D8</f>
        <v>0</v>
      </c>
      <c r="F8" s="5" t="str">
        <f aca="false">IF(ABS(E8)&lt;=1,"TIES",IF(ABS(E8)&lt;=ABS(D8)*0.05,"WITHIN","OFF"))</f>
        <v>TIES</v>
      </c>
      <c r="G8" s="21" t="s">
        <v>924</v>
      </c>
    </row>
    <row r="9" customFormat="false" ht="15" hidden="false" customHeight="false" outlineLevel="0" collapsed="false">
      <c r="B9" s="4" t="s">
        <v>431</v>
      </c>
      <c r="C9" s="11" t="n">
        <v>0.391571182682875</v>
      </c>
      <c r="D9" s="11" t="n">
        <f aca="false">'Benchmark KPIs'!D20</f>
        <v>0.391571182682875</v>
      </c>
      <c r="E9" s="11" t="n">
        <f aca="false">C9-D9</f>
        <v>0</v>
      </c>
      <c r="F9" s="5" t="str">
        <f aca="false">IF(ABS(E9)&lt;=1,"TIES",IF(ABS(E9)&lt;=ABS(D9)*0.05,"WITHIN","OFF"))</f>
        <v>TIES</v>
      </c>
      <c r="G9" s="21" t="s">
        <v>924</v>
      </c>
    </row>
    <row r="11" customFormat="false" ht="15" hidden="false" customHeight="false" outlineLevel="0" collapsed="false">
      <c r="B11" s="3" t="s">
        <v>925</v>
      </c>
      <c r="C11" s="3"/>
      <c r="D11" s="3"/>
      <c r="E11" s="3"/>
      <c r="F11" s="3"/>
      <c r="G11" s="3"/>
    </row>
    <row r="12" customFormat="false" ht="15" hidden="false" customHeight="false" outlineLevel="0" collapsed="false">
      <c r="B12" s="4" t="s">
        <v>926</v>
      </c>
      <c r="C12" s="10" t="n">
        <f aca="false">Overview!D20</f>
        <v>291321.88</v>
      </c>
      <c r="D12" s="10" t="n">
        <f aca="false">'Cost Breakdown'!E6</f>
        <v>291321.88</v>
      </c>
      <c r="E12" s="10" t="n">
        <f aca="false">C12-D12</f>
        <v>0</v>
      </c>
      <c r="F12" s="5" t="str">
        <f aca="false">IF(ABS(E12)&lt;=1,"TIES",IF(ABS(E12)&lt;=ABS(D12)*0.05,"WITHIN","OFF"))</f>
        <v>TIES</v>
      </c>
      <c r="G12" s="21" t="s">
        <v>927</v>
      </c>
    </row>
    <row r="13" customFormat="false" ht="15" hidden="false" customHeight="false" outlineLevel="0" collapsed="false">
      <c r="B13" s="4" t="s">
        <v>928</v>
      </c>
      <c r="C13" s="10" t="n">
        <f aca="false">Overview!D21</f>
        <v>390750.86</v>
      </c>
      <c r="D13" s="10" t="n">
        <f aca="false">'Cost Breakdown'!E7</f>
        <v>390750.86</v>
      </c>
      <c r="E13" s="10" t="n">
        <f aca="false">C13-D13</f>
        <v>0</v>
      </c>
      <c r="F13" s="5" t="str">
        <f aca="false">IF(ABS(E13)&lt;=1,"TIES",IF(ABS(E13)&lt;=ABS(D13)*0.05,"WITHIN","OFF"))</f>
        <v>TIES</v>
      </c>
      <c r="G13" s="21" t="s">
        <v>927</v>
      </c>
    </row>
    <row r="14" customFormat="false" ht="15" hidden="false" customHeight="false" outlineLevel="0" collapsed="false">
      <c r="B14" s="4" t="s">
        <v>929</v>
      </c>
      <c r="C14" s="10" t="n">
        <f aca="false">Overview!D22</f>
        <v>15938.74</v>
      </c>
      <c r="D14" s="10" t="n">
        <f aca="false">'Cost Breakdown'!E8</f>
        <v>15938.74</v>
      </c>
      <c r="E14" s="10" t="n">
        <f aca="false">C14-D14</f>
        <v>0</v>
      </c>
      <c r="F14" s="5" t="str">
        <f aca="false">IF(ABS(E14)&lt;=1,"TIES",IF(ABS(E14)&lt;=ABS(D14)*0.05,"WITHIN","OFF"))</f>
        <v>TIES</v>
      </c>
      <c r="G14" s="21" t="s">
        <v>927</v>
      </c>
    </row>
    <row r="15" customFormat="false" ht="15" hidden="false" customHeight="false" outlineLevel="0" collapsed="false">
      <c r="B15" s="4" t="s">
        <v>930</v>
      </c>
      <c r="C15" s="10" t="n">
        <f aca="false">Overview!D23</f>
        <v>148589.84</v>
      </c>
      <c r="D15" s="10" t="n">
        <f aca="false">'Cost Breakdown'!E9</f>
        <v>148589.84</v>
      </c>
      <c r="E15" s="10" t="n">
        <f aca="false">C15-D15</f>
        <v>0</v>
      </c>
      <c r="F15" s="5" t="str">
        <f aca="false">IF(ABS(E15)&lt;=1,"TIES",IF(ABS(E15)&lt;=ABS(D15)*0.05,"WITHIN","OFF"))</f>
        <v>TIES</v>
      </c>
      <c r="G15" s="21" t="s">
        <v>927</v>
      </c>
    </row>
    <row r="17" customFormat="false" ht="15" hidden="false" customHeight="false" outlineLevel="0" collapsed="false">
      <c r="B17" s="3" t="s">
        <v>931</v>
      </c>
      <c r="C17" s="3"/>
      <c r="D17" s="3"/>
      <c r="E17" s="3"/>
      <c r="F17" s="3"/>
      <c r="G17" s="3"/>
    </row>
    <row r="18" customFormat="false" ht="15" hidden="false" customHeight="false" outlineLevel="0" collapsed="false">
      <c r="B18" s="4" t="s">
        <v>932</v>
      </c>
      <c r="C18" s="10" t="n">
        <f aca="false">'Budget vs Actual'!F38</f>
        <v>846601.32</v>
      </c>
      <c r="D18" s="10" t="n">
        <f aca="false">Overview!D24</f>
        <v>846601.32</v>
      </c>
      <c r="E18" s="10" t="n">
        <f aca="false">C18-D18</f>
        <v>0</v>
      </c>
      <c r="F18" s="5" t="str">
        <f aca="false">IF(ABS(E18)&lt;=1,"TIES",IF(ABS(E18)&lt;=ABS(D18)*0.05,"WITHIN","OFF"))</f>
        <v>TIES</v>
      </c>
      <c r="G18" s="21" t="s">
        <v>933</v>
      </c>
    </row>
    <row r="19" customFormat="false" ht="15" hidden="false" customHeight="false" outlineLevel="0" collapsed="false">
      <c r="B19" s="4" t="s">
        <v>934</v>
      </c>
      <c r="C19" s="10" t="n">
        <f aca="false">'Budget vs Actual'!E38</f>
        <v>1047758.15</v>
      </c>
      <c r="D19" s="10" t="n">
        <f aca="false">Overview!C24</f>
        <v>1047758.15</v>
      </c>
      <c r="E19" s="10" t="n">
        <f aca="false">C19-D19</f>
        <v>0</v>
      </c>
      <c r="F19" s="5" t="str">
        <f aca="false">IF(ABS(E19)&lt;=1,"TIES",IF(ABS(E19)&lt;=ABS(D19)*0.05,"WITHIN","OFF"))</f>
        <v>TIES</v>
      </c>
      <c r="G19" s="21" t="s">
        <v>933</v>
      </c>
    </row>
    <row r="21" customFormat="false" ht="15" hidden="false" customHeight="false" outlineLevel="0" collapsed="false">
      <c r="B21" s="3" t="s">
        <v>935</v>
      </c>
      <c r="C21" s="3"/>
      <c r="D21" s="3"/>
      <c r="E21" s="3"/>
      <c r="F21" s="3"/>
      <c r="G21" s="3"/>
    </row>
    <row r="22" customFormat="false" ht="15" hidden="false" customHeight="false" outlineLevel="0" collapsed="false">
      <c r="B22" s="4" t="s">
        <v>936</v>
      </c>
      <c r="C22" s="10" t="n">
        <f aca="false">Material!E18</f>
        <v>390750.86</v>
      </c>
      <c r="D22" s="10" t="n">
        <f aca="false">'Cost Breakdown'!E7</f>
        <v>390750.86</v>
      </c>
      <c r="E22" s="10" t="n">
        <f aca="false">C22-D22</f>
        <v>0</v>
      </c>
      <c r="F22" s="5" t="str">
        <f aca="false">IF(ABS(E22)&lt;=1,"TIES",IF(ABS(E22)&lt;=ABS(D22)*0.05,"WITHIN","OFF"))</f>
        <v>TIES</v>
      </c>
      <c r="G22" s="21" t="s">
        <v>937</v>
      </c>
    </row>
    <row r="23" customFormat="false" ht="15" hidden="false" customHeight="false" outlineLevel="0" collapsed="false">
      <c r="B23" s="4" t="s">
        <v>938</v>
      </c>
      <c r="C23" s="10" t="n">
        <f aca="false">'Benchmark KPIs'!D23</f>
        <v>390750.86</v>
      </c>
      <c r="D23" s="10" t="n">
        <f aca="false">'Cost Breakdown'!E7</f>
        <v>390750.86</v>
      </c>
      <c r="E23" s="10" t="n">
        <f aca="false">C23-D23</f>
        <v>0</v>
      </c>
      <c r="F23" s="5" t="str">
        <f aca="false">IF(ABS(E23)&lt;=1,"TIES",IF(ABS(E23)&lt;=ABS(D23)*0.05,"WITHIN","OFF"))</f>
        <v>TIES</v>
      </c>
      <c r="G23" s="21" t="s">
        <v>939</v>
      </c>
    </row>
    <row r="25" customFormat="false" ht="15" hidden="false" customHeight="false" outlineLevel="0" collapsed="false">
      <c r="B25" s="3" t="s">
        <v>940</v>
      </c>
      <c r="C25" s="3"/>
      <c r="D25" s="3"/>
      <c r="E25" s="3"/>
      <c r="F25" s="3"/>
      <c r="G25" s="3"/>
    </row>
    <row r="26" customFormat="false" ht="15" hidden="false" customHeight="false" outlineLevel="0" collapsed="false">
      <c r="B26" s="4" t="s">
        <v>941</v>
      </c>
      <c r="C26" s="76" t="n">
        <f aca="false">'Crew &amp; Labor'!C45</f>
        <v>13206.75</v>
      </c>
      <c r="D26" s="76" t="n">
        <f aca="false">'Benchmark KPIs'!D37</f>
        <v>14607.25</v>
      </c>
      <c r="E26" s="76" t="n">
        <f aca="false">C26-D26</f>
        <v>-1400.5</v>
      </c>
      <c r="F26" s="5" t="str">
        <f aca="false">IF(ABS(E26)&lt;=5,"TIES",IF(ABS(E26)&lt;=ABS(D26)*0.05,"WITHIN","OFF"))</f>
        <v>OFF</v>
      </c>
      <c r="G26" s="21" t="s">
        <v>942</v>
      </c>
    </row>
    <row r="27" customFormat="false" ht="15" hidden="false" customHeight="false" outlineLevel="0" collapsed="false">
      <c r="B27" s="4" t="s">
        <v>943</v>
      </c>
      <c r="C27" s="76" t="n">
        <f aca="false">Productivity!D19</f>
        <v>14607.25</v>
      </c>
      <c r="D27" s="76" t="n">
        <f aca="false">'Benchmark KPIs'!D37</f>
        <v>14607.25</v>
      </c>
      <c r="E27" s="76" t="n">
        <f aca="false">C27-D27</f>
        <v>0</v>
      </c>
      <c r="F27" s="5" t="str">
        <f aca="false">IF(ABS(E27)&lt;=5,"TIES",IF(ABS(E27)&lt;=ABS(D27)*0.05,"WITHIN","OFF"))</f>
        <v>TIES</v>
      </c>
      <c r="G27" s="21" t="s">
        <v>944</v>
      </c>
    </row>
    <row r="28" customFormat="false" ht="15" hidden="false" customHeight="false" outlineLevel="0" collapsed="false">
      <c r="B28" s="4" t="s">
        <v>489</v>
      </c>
      <c r="C28" s="14" t="n">
        <v>40</v>
      </c>
      <c r="D28" s="14" t="n">
        <f aca="false">'Benchmark KPIs'!D38</f>
        <v>40</v>
      </c>
      <c r="E28" s="14" t="n">
        <f aca="false">C28-D28</f>
        <v>0</v>
      </c>
      <c r="F28" s="5" t="str">
        <f aca="false">IF(E28=0,"TIES",IF(ABS(E28)&lt;=1,"WITHIN","OFF"))</f>
        <v>TIES</v>
      </c>
      <c r="G28" s="21" t="s">
        <v>924</v>
      </c>
    </row>
    <row r="30" customFormat="false" ht="15" hidden="false" customHeight="false" outlineLevel="0" collapsed="false">
      <c r="B30" s="3" t="s">
        <v>945</v>
      </c>
      <c r="C30" s="3"/>
      <c r="D30" s="3"/>
      <c r="E30" s="3"/>
      <c r="F30" s="3"/>
      <c r="G30" s="3"/>
    </row>
    <row r="31" customFormat="false" ht="15" hidden="false" customHeight="false" outlineLevel="0" collapsed="false">
      <c r="B31" s="4" t="s">
        <v>234</v>
      </c>
      <c r="C31" s="17" t="n">
        <f aca="false">'Crew Analytics'!C12</f>
        <v>19.1923925265489</v>
      </c>
      <c r="D31" s="17" t="n">
        <f aca="false">'Benchmark KPIs'!D39</f>
        <v>17.3522825993941</v>
      </c>
      <c r="E31" s="17" t="n">
        <f aca="false">C31-D31</f>
        <v>1.84010992715479</v>
      </c>
      <c r="F31" s="5" t="str">
        <f aca="false">IF(ABS(E31)&lt;=1,"TIES",IF(ABS(E31)&lt;=ABS(D31)*0.05,"WITHIN","OFF"))</f>
        <v>OFF</v>
      </c>
      <c r="G31" s="21" t="s">
        <v>946</v>
      </c>
    </row>
    <row r="32" customFormat="false" ht="15" hidden="false" customHeight="false" outlineLevel="0" collapsed="false">
      <c r="B32" s="4" t="s">
        <v>236</v>
      </c>
      <c r="C32" s="17" t="n">
        <f aca="false">'Crew Analytics'!C13</f>
        <v>33.3096121301607</v>
      </c>
      <c r="D32" s="17" t="n">
        <f aca="false">'Benchmark KPIs'!D40</f>
        <v>30.1159848705266</v>
      </c>
      <c r="E32" s="17" t="n">
        <f aca="false">C32-D32</f>
        <v>3.19362725963409</v>
      </c>
      <c r="F32" s="5" t="str">
        <f aca="false">IF(ABS(E32)&lt;=1,"TIES",IF(ABS(E32)&lt;=ABS(D32)*0.05,"WITHIN","OFF"))</f>
        <v>OFF</v>
      </c>
      <c r="G32" s="21" t="s">
        <v>946</v>
      </c>
    </row>
    <row r="34" customFormat="false" ht="15" hidden="false" customHeight="false" outlineLevel="0" collapsed="false">
      <c r="B34" s="3" t="s">
        <v>947</v>
      </c>
      <c r="C34" s="3"/>
      <c r="D34" s="3"/>
      <c r="E34" s="3"/>
      <c r="F34" s="3"/>
      <c r="G34" s="3"/>
    </row>
    <row r="35" customFormat="false" ht="15" hidden="false" customHeight="false" outlineLevel="0" collapsed="false">
      <c r="B35" s="4" t="s">
        <v>291</v>
      </c>
      <c r="C35" s="14" t="n">
        <f aca="false">'PO Commitments'!D14</f>
        <v>68</v>
      </c>
      <c r="D35" s="14" t="n">
        <f aca="false">'Benchmark KPIs'!D54</f>
        <v>68</v>
      </c>
      <c r="E35" s="14" t="n">
        <f aca="false">C35-D35</f>
        <v>0</v>
      </c>
      <c r="F35" s="5" t="str">
        <f aca="false">IF(E35=0,"TIES",IF(ABS(E35)&lt;=1,"WITHIN","OFF"))</f>
        <v>TIES</v>
      </c>
      <c r="G35" s="21" t="s">
        <v>948</v>
      </c>
    </row>
    <row r="37" customFormat="false" ht="15" hidden="false" customHeight="false" outlineLevel="0" collapsed="false">
      <c r="B37" s="3" t="s">
        <v>949</v>
      </c>
      <c r="C37" s="3"/>
      <c r="D37" s="3"/>
      <c r="E37" s="3"/>
      <c r="F37" s="3"/>
      <c r="G37" s="3"/>
    </row>
    <row r="38" customFormat="false" ht="15" hidden="false" customHeight="false" outlineLevel="0" collapsed="false">
      <c r="B38" s="4" t="s">
        <v>325</v>
      </c>
      <c r="C38" s="10" t="n">
        <v>1391455</v>
      </c>
      <c r="D38" s="10" t="n">
        <v>1391455</v>
      </c>
      <c r="E38" s="10" t="n">
        <f aca="false">C38-D38</f>
        <v>0</v>
      </c>
      <c r="F38" s="5" t="str">
        <f aca="false">IF(ABS(E38)&lt;=1,"TIES",IF(ABS(E38)&lt;=ABS(D38)*0.05,"WITHIN","OFF"))</f>
        <v>TIES</v>
      </c>
      <c r="G38" s="21" t="s">
        <v>950</v>
      </c>
    </row>
    <row r="39" customFormat="false" ht="15" hidden="false" customHeight="false" outlineLevel="0" collapsed="false">
      <c r="B39" s="4" t="s">
        <v>356</v>
      </c>
      <c r="C39" s="10" t="n">
        <v>69573</v>
      </c>
      <c r="D39" s="10" t="n">
        <v>69573</v>
      </c>
      <c r="E39" s="10" t="n">
        <f aca="false">C39-D39</f>
        <v>0</v>
      </c>
      <c r="F39" s="5" t="str">
        <f aca="false">IF(ABS(E39)&lt;=1,"TIES",IF(ABS(E39)&lt;=ABS(D39)*0.05,"WITHIN","OFF"))</f>
        <v>TIES</v>
      </c>
      <c r="G39" s="21" t="s">
        <v>950</v>
      </c>
    </row>
    <row r="40" customFormat="false" ht="15" hidden="false" customHeight="false" outlineLevel="0" collapsed="false">
      <c r="B40" s="4" t="s">
        <v>139</v>
      </c>
      <c r="C40" s="10" t="n">
        <v>846601</v>
      </c>
      <c r="D40" s="10" t="n">
        <v>846601</v>
      </c>
      <c r="E40" s="10" t="n">
        <f aca="false">C40-D40</f>
        <v>0</v>
      </c>
      <c r="F40" s="5" t="str">
        <f aca="false">IF(ABS(E40)&lt;=1,"TIES",IF(ABS(E40)&lt;=ABS(D40)*0.05,"WITHIN","OFF"))</f>
        <v>TIES</v>
      </c>
      <c r="G40" s="21" t="s">
        <v>950</v>
      </c>
    </row>
    <row r="42" customFormat="false" ht="15" hidden="false" customHeight="false" outlineLevel="0" collapsed="false">
      <c r="B42" s="3" t="s">
        <v>951</v>
      </c>
      <c r="C42" s="3"/>
      <c r="D42" s="3"/>
      <c r="E42" s="3"/>
      <c r="F42" s="3"/>
      <c r="G42" s="3"/>
    </row>
    <row r="43" customFormat="false" ht="15" hidden="false" customHeight="false" outlineLevel="0" collapsed="false">
      <c r="B43" s="4" t="s">
        <v>952</v>
      </c>
      <c r="C43" s="14" t="n">
        <f aca="false">Vendors!B3</f>
        <v>16</v>
      </c>
      <c r="D43" s="14" t="n">
        <f aca="false">'Benchmark KPIs'!D51</f>
        <v>16</v>
      </c>
      <c r="E43" s="14" t="n">
        <f aca="false">C43-D43</f>
        <v>0</v>
      </c>
      <c r="F43" s="5" t="str">
        <f aca="false">IF(E43=0,"TIES",IF(ABS(E43)&lt;=1,"WITHIN","OFF"))</f>
        <v>TIES</v>
      </c>
      <c r="G43" s="21" t="s">
        <v>953</v>
      </c>
    </row>
    <row r="44" customFormat="false" ht="15" hidden="false" customHeight="false" outlineLevel="0" collapsed="false">
      <c r="B44" s="4" t="s">
        <v>833</v>
      </c>
      <c r="C44" s="10" t="n">
        <f aca="false">Vendors!E25</f>
        <v>409754.59</v>
      </c>
      <c r="D44" s="10" t="n">
        <v>409755</v>
      </c>
      <c r="E44" s="10" t="n">
        <f aca="false">C44-D44</f>
        <v>-0.410000000032596</v>
      </c>
      <c r="F44" s="5" t="str">
        <f aca="false">IF(ABS(E44)&lt;=1,"TIES",IF(ABS(E44)&lt;=ABS(D44)*0.05,"WITHIN","OFF"))</f>
        <v>TIES</v>
      </c>
      <c r="G44" s="21" t="s">
        <v>954</v>
      </c>
    </row>
    <row r="46" customFormat="false" ht="15" hidden="false" customHeight="false" outlineLevel="0" collapsed="false">
      <c r="B46" s="3" t="s">
        <v>955</v>
      </c>
      <c r="C46" s="3"/>
      <c r="D46" s="3"/>
      <c r="E46" s="3"/>
      <c r="F46" s="3"/>
      <c r="G46" s="3"/>
    </row>
    <row r="47" customFormat="false" ht="15" hidden="false" customHeight="false" outlineLevel="0" collapsed="false">
      <c r="B47" s="2" t="s">
        <v>956</v>
      </c>
      <c r="C47" s="2"/>
      <c r="D47" s="2"/>
      <c r="E47" s="2"/>
      <c r="F47" s="2"/>
      <c r="G47" s="2"/>
    </row>
    <row r="49" customFormat="false" ht="15" hidden="false" customHeight="false" outlineLevel="0" collapsed="false">
      <c r="B49" s="77" t="s">
        <v>957</v>
      </c>
      <c r="C49" s="78"/>
      <c r="D49" s="78"/>
      <c r="E49" s="78"/>
      <c r="F49" s="78"/>
      <c r="G49" s="78"/>
      <c r="H49" s="79"/>
      <c r="I49" s="79"/>
    </row>
    <row r="50" customFormat="false" ht="15" hidden="false" customHeight="false" outlineLevel="0" collapsed="false">
      <c r="B50" s="80" t="s">
        <v>958</v>
      </c>
      <c r="C50" s="81" t="n">
        <f aca="false">'Change Log'!H15</f>
        <v>7598</v>
      </c>
      <c r="D50" s="81" t="n">
        <f aca="false">'Root Cause Analysis'!D14</f>
        <v>7598</v>
      </c>
      <c r="E50" s="80" t="n">
        <f aca="false">C50-D50</f>
        <v>0</v>
      </c>
      <c r="F50" s="80" t="str">
        <f aca="false">IF(ABS(E50)&lt;=1,"TIES",IF(ABS(E50)&lt;=ABS(D50)*0.05,"WITHIN","OFF"))</f>
        <v>TIES</v>
      </c>
      <c r="G50" s="80" t="s">
        <v>959</v>
      </c>
      <c r="H50" s="79"/>
      <c r="I50" s="79"/>
    </row>
    <row r="51" customFormat="false" ht="15" hidden="false" customHeight="false" outlineLevel="0" collapsed="false">
      <c r="B51" s="80" t="s">
        <v>960</v>
      </c>
      <c r="C51" s="80" t="n">
        <f aca="false">COUNTIF('Change Log'!C6:C13,"Backcharge")</f>
        <v>5</v>
      </c>
      <c r="D51" s="80" t="n">
        <f aca="false">'Predictive Signals'!C14</f>
        <v>5</v>
      </c>
      <c r="E51" s="80" t="n">
        <f aca="false">C51-D51</f>
        <v>0</v>
      </c>
      <c r="F51" s="80" t="str">
        <f aca="false">IF(ABS(E51)&lt;=1,"TIES",IF(ABS(E51)&lt;=ABS(D51)*0.05,"WITHIN","OFF"))</f>
        <v>TIES</v>
      </c>
      <c r="G51" s="80" t="s">
        <v>961</v>
      </c>
      <c r="H51" s="79"/>
      <c r="I51" s="79"/>
    </row>
    <row r="52" customFormat="false" ht="15" hidden="false" customHeight="false" outlineLevel="0" collapsed="false">
      <c r="B52" s="79"/>
      <c r="C52" s="79"/>
      <c r="D52" s="79"/>
      <c r="E52" s="79"/>
      <c r="F52" s="79"/>
      <c r="G52" s="79"/>
      <c r="H52" s="79"/>
      <c r="I52" s="79"/>
    </row>
    <row r="53" customFormat="false" ht="15" hidden="false" customHeight="false" outlineLevel="0" collapsed="false">
      <c r="B53" s="77" t="s">
        <v>962</v>
      </c>
      <c r="C53" s="78"/>
      <c r="D53" s="78"/>
      <c r="E53" s="78"/>
      <c r="F53" s="78"/>
      <c r="G53" s="78"/>
      <c r="H53" s="79"/>
      <c r="I53" s="79"/>
    </row>
    <row r="54" customFormat="false" ht="15" hidden="false" customHeight="false" outlineLevel="0" collapsed="false">
      <c r="B54" s="80" t="s">
        <v>963</v>
      </c>
      <c r="C54" s="80" t="n">
        <f aca="false">'Root Cause Analysis'!C14</f>
        <v>8</v>
      </c>
      <c r="D54" s="80" t="n">
        <f aca="false">COUNTA('Change Log'!B6:B13)</f>
        <v>8</v>
      </c>
      <c r="E54" s="80" t="n">
        <f aca="false">C54-D54</f>
        <v>0</v>
      </c>
      <c r="F54" s="80" t="str">
        <f aca="false">IF(ABS(E54)&lt;=1,"TIES",IF(ABS(E54)&lt;=ABS(D54)*0.05,"WITHIN","OFF"))</f>
        <v>TIES</v>
      </c>
      <c r="G54" s="80" t="s">
        <v>964</v>
      </c>
      <c r="H54" s="79"/>
      <c r="I54" s="79"/>
    </row>
    <row r="55" customFormat="false" ht="15" hidden="false" customHeight="false" outlineLevel="0" collapsed="false">
      <c r="B55" s="80" t="s">
        <v>965</v>
      </c>
      <c r="C55" s="81" t="n">
        <f aca="false">'Root Cause Analysis'!D14</f>
        <v>7598</v>
      </c>
      <c r="D55" s="81" t="n">
        <f aca="false">'Change Log'!H15</f>
        <v>7598</v>
      </c>
      <c r="E55" s="80" t="n">
        <f aca="false">C55-D55</f>
        <v>0</v>
      </c>
      <c r="F55" s="80" t="str">
        <f aca="false">IF(ABS(E55)&lt;=1,"TIES",IF(ABS(E55)&lt;=ABS(D55)*0.05,"WITHIN","OFF"))</f>
        <v>TIES</v>
      </c>
      <c r="G55" s="80" t="s">
        <v>964</v>
      </c>
      <c r="H55" s="79"/>
      <c r="I55" s="79"/>
    </row>
    <row r="56" customFormat="false" ht="15" hidden="false" customHeight="false" outlineLevel="0" collapsed="false">
      <c r="B56" s="79"/>
      <c r="C56" s="79"/>
      <c r="D56" s="79"/>
      <c r="E56" s="79"/>
      <c r="F56" s="79"/>
      <c r="G56" s="79"/>
      <c r="H56" s="79"/>
      <c r="I56" s="79"/>
    </row>
    <row r="57" customFormat="false" ht="15" hidden="false" customHeight="false" outlineLevel="0" collapsed="false">
      <c r="B57" s="77" t="s">
        <v>966</v>
      </c>
      <c r="C57" s="78"/>
      <c r="D57" s="78"/>
      <c r="E57" s="78"/>
      <c r="F57" s="78"/>
      <c r="G57" s="78"/>
      <c r="H57" s="79"/>
      <c r="I57" s="79"/>
    </row>
    <row r="58" customFormat="false" ht="15" hidden="false" customHeight="false" outlineLevel="0" collapsed="false">
      <c r="B58" s="80" t="s">
        <v>967</v>
      </c>
      <c r="C58" s="80" t="n">
        <f aca="false">'Predictive Signals'!C14</f>
        <v>5</v>
      </c>
      <c r="D58" s="80" t="n">
        <f aca="false">COUNTIF('Change Log'!C6:C13,"Backcharge")</f>
        <v>5</v>
      </c>
      <c r="E58" s="80" t="n">
        <f aca="false">C58-D58</f>
        <v>0</v>
      </c>
      <c r="F58" s="80" t="str">
        <f aca="false">IF(ABS(E58)&lt;=1,"TIES",IF(ABS(E58)&lt;=ABS(D58)*0.05,"WITHIN","OFF"))</f>
        <v>TIES</v>
      </c>
      <c r="G58" s="80" t="s">
        <v>968</v>
      </c>
      <c r="H58" s="79"/>
      <c r="I58" s="79"/>
    </row>
    <row r="59" customFormat="false" ht="15" hidden="false" customHeight="false" outlineLevel="0" collapsed="false">
      <c r="B59" s="80" t="s">
        <v>969</v>
      </c>
      <c r="C59" s="82" t="n">
        <f aca="false">'Predictive Signals'!C12</f>
        <v>0.48</v>
      </c>
      <c r="D59" s="80" t="n">
        <f aca="false">'Benchmark KPIs'!D55*100</f>
        <v>-0.229447426065945</v>
      </c>
      <c r="E59" s="82" t="n">
        <f aca="false">C59-D59</f>
        <v>0.709447426065945</v>
      </c>
      <c r="F59" s="80" t="str">
        <f aca="false">IF(ABS(E59)&lt;=0.0001,"TIES",IF(ABS(E59)&lt;=0.01,"WITHIN","OFF"))</f>
        <v>OFF</v>
      </c>
      <c r="G59" s="80" t="s">
        <v>970</v>
      </c>
      <c r="H59" s="79"/>
      <c r="I59" s="79"/>
    </row>
    <row r="60" customFormat="false" ht="15" hidden="false" customHeight="false" outlineLevel="0" collapsed="false">
      <c r="B60" s="79"/>
      <c r="C60" s="79"/>
      <c r="D60" s="79"/>
      <c r="E60" s="79"/>
      <c r="F60" s="79"/>
      <c r="G60" s="79"/>
      <c r="H60" s="79"/>
      <c r="I60" s="79"/>
    </row>
    <row r="61" customFormat="false" ht="15" hidden="false" customHeight="false" outlineLevel="0" collapsed="false">
      <c r="B61" s="77" t="s">
        <v>971</v>
      </c>
      <c r="C61" s="78"/>
      <c r="D61" s="78"/>
      <c r="E61" s="78"/>
      <c r="F61" s="78"/>
      <c r="G61" s="78"/>
      <c r="H61" s="79"/>
      <c r="I61" s="79"/>
    </row>
    <row r="62" customFormat="false" ht="15" hidden="false" customHeight="false" outlineLevel="0" collapsed="false">
      <c r="B62" s="80" t="s">
        <v>972</v>
      </c>
      <c r="C62" s="81" t="n">
        <f aca="false">'Metric Registry'!E9</f>
        <v>1401338</v>
      </c>
      <c r="D62" s="81" t="n">
        <f aca="false">'Benchmark KPIs'!D18</f>
        <v>1391455</v>
      </c>
      <c r="E62" s="80" t="n">
        <f aca="false">C62-D62</f>
        <v>9883</v>
      </c>
      <c r="F62" s="80" t="str">
        <f aca="false">IF(ABS(E62)&lt;=1,"TIES",IF(ABS(E62)&lt;=ABS(D62)*0.05,"WITHIN","OFF"))</f>
        <v>WITHIN</v>
      </c>
      <c r="G62" s="80" t="s">
        <v>973</v>
      </c>
    </row>
    <row r="63" customFormat="false" ht="15" hidden="false" customHeight="false" outlineLevel="0" collapsed="false">
      <c r="B63" s="80" t="s">
        <v>974</v>
      </c>
      <c r="C63" s="80" t="n">
        <f aca="false">'Metric Registry'!E24</f>
        <v>163</v>
      </c>
      <c r="D63" s="81" t="n">
        <f aca="false">'Benchmark KPIs'!D12</f>
        <v>163</v>
      </c>
      <c r="E63" s="80" t="n">
        <f aca="false">C63-D63</f>
        <v>0</v>
      </c>
      <c r="F63" s="80" t="str">
        <f aca="false">IF(ABS(E63)&lt;=1,"TIES",IF(ABS(E63)&lt;=ABS(D63)*0.05,"WITHIN","OFF"))</f>
        <v>TIES</v>
      </c>
      <c r="G63" s="80" t="s">
        <v>973</v>
      </c>
    </row>
    <row r="64" customFormat="false" ht="15" hidden="false" customHeight="false" outlineLevel="0" collapsed="false">
      <c r="B64" s="80" t="s">
        <v>975</v>
      </c>
      <c r="C64" s="81" t="n">
        <f aca="false">'Metric Registry'!E25</f>
        <v>1004</v>
      </c>
      <c r="D64" s="81" t="n">
        <f aca="false">'Benchmark KPIs'!D13</f>
        <v>1004</v>
      </c>
      <c r="E64" s="80" t="n">
        <f aca="false">C64-D64</f>
        <v>0</v>
      </c>
      <c r="F64" s="80" t="str">
        <f aca="false">IF(ABS(E64)&lt;=1,"TIES",IF(ABS(E64)&lt;=ABS(D64)*0.05,"WITHIN","OFF"))</f>
        <v>TIES</v>
      </c>
      <c r="G64" s="80" t="s">
        <v>973</v>
      </c>
    </row>
    <row r="65" customFormat="false" ht="15" hidden="false" customHeight="false" outlineLevel="0" collapsed="false">
      <c r="B65" s="80" t="s">
        <v>976</v>
      </c>
      <c r="C65" s="81" t="n">
        <f aca="false">'Metric Registry'!E18</f>
        <v>846601.32</v>
      </c>
      <c r="D65" s="81" t="n">
        <f aca="false">Overview!D24</f>
        <v>846601.32</v>
      </c>
      <c r="E65" s="80" t="n">
        <f aca="false">C65-D65</f>
        <v>0</v>
      </c>
      <c r="F65" s="80" t="str">
        <f aca="false">IF(ABS(E65)&lt;=1,"TIES",IF(ABS(E65)&lt;=ABS(D65)*0.05,"WITHIN","OFF"))</f>
        <v>TIES</v>
      </c>
      <c r="G65" s="80" t="s">
        <v>977</v>
      </c>
    </row>
    <row r="66" customFormat="false" ht="15" hidden="false" customHeight="false" outlineLevel="0" collapsed="false">
      <c r="B66" s="80" t="s">
        <v>978</v>
      </c>
      <c r="C66" s="83" t="n">
        <f aca="false">'Metric Registry'!E37</f>
        <v>87</v>
      </c>
      <c r="D66" s="80" t="n">
        <f aca="false">'Benchmark KPIs'!D54</f>
        <v>68</v>
      </c>
      <c r="E66" s="80" t="n">
        <f aca="false">C66-D66</f>
        <v>19</v>
      </c>
      <c r="F66" s="80" t="str">
        <f aca="false">IF(ABS(E66)&lt;=1,"TIES",IF(ABS(E66)&lt;=ABS(D66)*0.05,"WITHIN","OFF"))</f>
        <v>OFF</v>
      </c>
      <c r="G66" s="80" t="s">
        <v>973</v>
      </c>
    </row>
    <row r="69" customFormat="false" ht="15" hidden="false" customHeight="false" outlineLevel="0" collapsed="false">
      <c r="B69" s="84" t="s">
        <v>62</v>
      </c>
      <c r="C69" s="85"/>
      <c r="D69" s="85"/>
      <c r="E69" s="85"/>
      <c r="F69" s="85"/>
      <c r="G69" s="85"/>
    </row>
    <row r="70" customFormat="false" ht="15" hidden="false" customHeight="false" outlineLevel="0" collapsed="false">
      <c r="B70" s="86" t="s">
        <v>63</v>
      </c>
    </row>
    <row r="71" customFormat="false" ht="15" hidden="false" customHeight="false" outlineLevel="0" collapsed="false">
      <c r="B71" s="86" t="s">
        <v>64</v>
      </c>
    </row>
    <row r="72" customFormat="false" ht="15" hidden="false" customHeight="false" outlineLevel="0" collapsed="false">
      <c r="B72" s="86" t="s">
        <v>979</v>
      </c>
    </row>
    <row r="73" customFormat="false" ht="15" hidden="false" customHeight="false" outlineLevel="0" collapsed="false">
      <c r="B73" s="86" t="s">
        <v>980</v>
      </c>
    </row>
    <row r="74" customFormat="false" ht="15" hidden="false" customHeight="false" outlineLevel="0" collapsed="false">
      <c r="B74" s="86" t="s">
        <v>66</v>
      </c>
    </row>
    <row r="75" customFormat="false" ht="15" hidden="false" customHeight="false" outlineLevel="0" collapsed="false">
      <c r="B75" s="86" t="s">
        <v>981</v>
      </c>
    </row>
    <row r="76" customFormat="false" ht="15" hidden="false" customHeight="false" outlineLevel="0" collapsed="false">
      <c r="B76" s="86" t="s">
        <v>70</v>
      </c>
    </row>
    <row r="77" customFormat="false" ht="15" hidden="false" customHeight="false" outlineLevel="0" collapsed="false">
      <c r="B77" s="86" t="s">
        <v>982</v>
      </c>
    </row>
    <row r="78" customFormat="false" ht="15" hidden="false" customHeight="false" outlineLevel="0" collapsed="false">
      <c r="B78" s="86" t="s">
        <v>983</v>
      </c>
    </row>
    <row r="79" customFormat="false" ht="15" hidden="false" customHeight="false" outlineLevel="0" collapsed="false">
      <c r="B79" s="86" t="s">
        <v>984</v>
      </c>
    </row>
    <row r="80" customFormat="false" ht="15" hidden="false" customHeight="false" outlineLevel="0" collapsed="false">
      <c r="B80" s="86" t="s">
        <v>985</v>
      </c>
    </row>
  </sheetData>
  <mergeCells count="13">
    <mergeCell ref="B2:G2"/>
    <mergeCell ref="B3:G3"/>
    <mergeCell ref="B5:G5"/>
    <mergeCell ref="B11:G11"/>
    <mergeCell ref="B17:G17"/>
    <mergeCell ref="B21:G21"/>
    <mergeCell ref="B25:G25"/>
    <mergeCell ref="B30:G30"/>
    <mergeCell ref="B34:G34"/>
    <mergeCell ref="B37:G37"/>
    <mergeCell ref="B42:G42"/>
    <mergeCell ref="B46:G46"/>
    <mergeCell ref="B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2026-04-13T20:15:01Z</dcterms:created>
  <dc:creator>openpyxl</dc:creator>
  <dc:description/>
  <dc:language>en-US</dc:language>
  <cp:lastModifiedBy/>
  <dcterms:modified xsi:type="dcterms:W3CDTF">2026-04-13T20:22:58Z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