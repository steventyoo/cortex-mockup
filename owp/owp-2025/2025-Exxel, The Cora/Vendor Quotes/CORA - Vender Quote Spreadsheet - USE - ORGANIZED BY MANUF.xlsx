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5-Exxel, The Cora\Vendor Quotes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Sheet1!$A$10:$R$53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O15" i="1" l="1"/>
  <c r="O43" i="1"/>
  <c r="O44" i="1"/>
  <c r="O45" i="1"/>
  <c r="O46" i="1"/>
  <c r="O47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9" i="1"/>
  <c r="O40" i="1"/>
  <c r="O41" i="1"/>
  <c r="O42" i="1"/>
  <c r="O48" i="1"/>
  <c r="O49" i="1"/>
  <c r="O50" i="1"/>
  <c r="O51" i="1"/>
  <c r="O52" i="1"/>
  <c r="O53" i="1"/>
  <c r="O31" i="1"/>
  <c r="O32" i="1"/>
  <c r="O33" i="1"/>
  <c r="O34" i="1"/>
  <c r="O35" i="1"/>
  <c r="O36" i="1"/>
  <c r="O37" i="1"/>
  <c r="O14" i="1"/>
  <c r="K15" i="1"/>
  <c r="K43" i="1"/>
  <c r="K44" i="1"/>
  <c r="K45" i="1"/>
  <c r="K46" i="1"/>
  <c r="K47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9" i="1"/>
  <c r="K40" i="1"/>
  <c r="K41" i="1"/>
  <c r="K42" i="1"/>
  <c r="K48" i="1"/>
  <c r="K49" i="1"/>
  <c r="K50" i="1"/>
  <c r="K51" i="1"/>
  <c r="K52" i="1"/>
  <c r="K53" i="1"/>
  <c r="K31" i="1"/>
  <c r="K32" i="1"/>
  <c r="K33" i="1"/>
  <c r="K34" i="1"/>
  <c r="K35" i="1"/>
  <c r="K36" i="1"/>
  <c r="K37" i="1"/>
  <c r="K14" i="1"/>
  <c r="I15" i="1"/>
  <c r="I43" i="1"/>
  <c r="I44" i="1"/>
  <c r="I45" i="1"/>
  <c r="I46" i="1"/>
  <c r="I47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9" i="1"/>
  <c r="I40" i="1"/>
  <c r="I41" i="1"/>
  <c r="I42" i="1"/>
  <c r="I48" i="1"/>
  <c r="I49" i="1"/>
  <c r="I50" i="1"/>
  <c r="I51" i="1"/>
  <c r="I52" i="1"/>
  <c r="I53" i="1"/>
  <c r="I31" i="1"/>
  <c r="I32" i="1"/>
  <c r="I33" i="1"/>
  <c r="I34" i="1"/>
  <c r="I35" i="1"/>
  <c r="I36" i="1"/>
  <c r="I37" i="1"/>
  <c r="I14" i="1"/>
  <c r="I10" i="1" l="1"/>
  <c r="M10" i="1" l="1"/>
  <c r="K10" i="1" l="1"/>
  <c r="Q10" i="1" l="1"/>
  <c r="O10" i="1" l="1"/>
  <c r="O8" i="1" s="1"/>
</calcChain>
</file>

<file path=xl/sharedStrings.xml><?xml version="1.0" encoding="utf-8"?>
<sst xmlns="http://schemas.openxmlformats.org/spreadsheetml/2006/main" count="65" uniqueCount="64">
  <si>
    <t>PLEASE SUPPLY ITEMS LISTED BELOW</t>
  </si>
  <si>
    <t>PRICE</t>
  </si>
  <si>
    <t>VENDOR</t>
  </si>
  <si>
    <t>INVOICE NO.</t>
  </si>
  <si>
    <t>OWP#</t>
  </si>
  <si>
    <t>DATE</t>
  </si>
  <si>
    <t>DATE REQUIRED</t>
  </si>
  <si>
    <t>BUILDER JOB #</t>
  </si>
  <si>
    <t>BID#</t>
  </si>
  <si>
    <t>SHIP TO</t>
  </si>
  <si>
    <t>PO#</t>
  </si>
  <si>
    <t>order</t>
  </si>
  <si>
    <t>total</t>
  </si>
  <si>
    <t>FEI</t>
  </si>
  <si>
    <t xml:space="preserve">SHIP </t>
  </si>
  <si>
    <t>ROSEN</t>
  </si>
  <si>
    <t>OWP LLC</t>
  </si>
  <si>
    <t>KELLER</t>
  </si>
  <si>
    <t>PAC</t>
  </si>
  <si>
    <t>white Gerber 28-990 toilet tank 1.28gpf</t>
  </si>
  <si>
    <t>yellow cells indicate substitute fixture</t>
  </si>
  <si>
    <t>white Gerber 21-962 elongated toilet bowl</t>
  </si>
  <si>
    <t>Delta R100000MF rough in valve</t>
  </si>
  <si>
    <t>white Aquatic 2603SMTE with grab bars and seat</t>
  </si>
  <si>
    <t>white Aquatic 2603SMTE with backing for future grab bars</t>
  </si>
  <si>
    <t>chrome Delta T14259-LHD tub-shower valve</t>
  </si>
  <si>
    <t>chrome Delta T14459-LHD tub-shower valve</t>
  </si>
  <si>
    <t>chrome Delta RP70175-15 showerheads 1.5gpm</t>
  </si>
  <si>
    <t>Delta RP62734 aerator for handshower 1.5gpm</t>
  </si>
  <si>
    <t>DELTA</t>
  </si>
  <si>
    <t>GERBER</t>
  </si>
  <si>
    <t>BEMIS</t>
  </si>
  <si>
    <t>AQUATIC</t>
  </si>
  <si>
    <t>KOHLER</t>
  </si>
  <si>
    <t>CORA</t>
  </si>
  <si>
    <t>TOTO</t>
  </si>
  <si>
    <t>white Toto C244EF elongated front toilet bowl</t>
  </si>
  <si>
    <t>white Toto ST243E or ER 1.28 gpf toilet tank</t>
  </si>
  <si>
    <t>white Toto LT221 undercounter lav</t>
  </si>
  <si>
    <t>GROHE</t>
  </si>
  <si>
    <t>CHROME GROHE 34.270.001 LAV FAUCET</t>
  </si>
  <si>
    <t>CHROME GROHE 32.665.001 KITCHEN FAUCET</t>
  </si>
  <si>
    <t>white Aquatic 1483EN with backing for future grab bars</t>
  </si>
  <si>
    <t>Lenova Aurora LS18304 stainless steel sink</t>
  </si>
  <si>
    <t>Elkay ELUHAD211550 stainless steel sink</t>
  </si>
  <si>
    <t>white Bemis 1500 seat and cover</t>
  </si>
  <si>
    <t>white Bemis 1955 open front seat</t>
  </si>
  <si>
    <t>CHROME GROHE 34.271.001 LAV FAUCET</t>
  </si>
  <si>
    <t>LENOVA</t>
  </si>
  <si>
    <t>ELKAY</t>
  </si>
  <si>
    <t>Lenova PC-SS-ORI-S15 stainless steel bar sink</t>
  </si>
  <si>
    <t xml:space="preserve">Mustee 63M mop sink  </t>
  </si>
  <si>
    <t xml:space="preserve">Mustee 63M wall mount faucet </t>
  </si>
  <si>
    <t>chrome Kohler K-7129-A grid strainer</t>
  </si>
  <si>
    <t>MUSTEE</t>
  </si>
  <si>
    <t>T&amp;S</t>
  </si>
  <si>
    <t>T&amp;S PG-8WREV PET GROOMING FAUCET, HOSE, HANGER AND SPRAY</t>
  </si>
  <si>
    <t>chrome Delta RPW324HDF69” hose, 24” slide bar</t>
  </si>
  <si>
    <t xml:space="preserve">chrome Delta 59462-B15-BG handheld shower </t>
  </si>
  <si>
    <t>CONS</t>
  </si>
  <si>
    <t>white Toto ST243E or ER 1.28 gpf toilet tank RIGHT HAND TANK</t>
  </si>
  <si>
    <t>Lenova PU-01-W</t>
  </si>
  <si>
    <t>THESE ITEMS TO GO TO KELLER SUPPLY</t>
  </si>
  <si>
    <t>THESE ITEMS TO GO TO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</si>
</sst>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Fill="1" applyBorder="1" applyProtection="1"/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Protection="1"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/>
      <protection locked="0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Protection="1"/>
    <xf numFmtId="165" fontId="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2" xfId="0" applyFont="1" applyFill="1" applyBorder="1" applyAlignment="1" applyProtection="1">
      <alignment horizontal="center" vertical="center"/>
    </xf>
    <xf numFmtId="0" fontId="2" fillId="4" borderId="0" xfId="0" applyFont="1" applyFill="1" applyBorder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0" fillId="3" borderId="0" xfId="0" applyFill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4"/>
  <sheetViews>
    <sheetView tabSelected="1" view="pageBreakPreview" topLeftCell="A10" zoomScaleNormal="100" zoomScaleSheetLayoutView="100" workbookViewId="0">
      <selection activeCell="J52" sqref="J52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60.7109375" style="1" customWidth="1"/>
    <col min="4" max="5" width="8.85546875" style="1" hidden="1" customWidth="1"/>
    <col min="6" max="6" width="4.85546875" style="1" customWidth="1"/>
    <col min="7" max="7" width="13.140625" style="1" customWidth="1"/>
    <col min="8" max="8" width="11.42578125" style="1" customWidth="1"/>
    <col min="9" max="9" width="10.85546875" style="1" customWidth="1"/>
    <col min="10" max="10" width="10.140625" style="1" bestFit="1" customWidth="1"/>
    <col min="11" max="11" width="11" style="1" customWidth="1"/>
    <col min="12" max="12" width="9.140625" style="1" hidden="1" customWidth="1"/>
    <col min="13" max="13" width="11" style="1" hidden="1" customWidth="1"/>
    <col min="14" max="14" width="10.140625" style="1" bestFit="1" customWidth="1"/>
    <col min="15" max="15" width="10.140625" style="1" customWidth="1"/>
    <col min="16" max="16" width="9.140625" style="1" bestFit="1" customWidth="1"/>
    <col min="17" max="17" width="11" style="1" customWidth="1"/>
    <col min="18" max="16384" width="8.85546875" style="1"/>
  </cols>
  <sheetData>
    <row r="1" spans="1:18" ht="22.5" customHeight="1" x14ac:dyDescent="0.2">
      <c r="A1" s="52" t="s">
        <v>16</v>
      </c>
      <c r="B1" s="53"/>
      <c r="C1" s="15" t="s">
        <v>34</v>
      </c>
      <c r="D1" s="11"/>
      <c r="E1" s="11"/>
      <c r="F1" s="77" t="s">
        <v>10</v>
      </c>
      <c r="G1" s="78"/>
      <c r="H1" s="69"/>
      <c r="I1" s="70"/>
      <c r="J1" s="19"/>
      <c r="K1" s="19"/>
      <c r="L1" s="19"/>
      <c r="M1" s="19"/>
      <c r="O1" s="64" t="s">
        <v>20</v>
      </c>
      <c r="P1" s="64"/>
      <c r="Q1" s="64"/>
    </row>
    <row r="2" spans="1:18" ht="15.75" customHeight="1" x14ac:dyDescent="0.25">
      <c r="A2" s="54"/>
      <c r="B2" s="55"/>
      <c r="C2" s="16"/>
      <c r="D2" s="12"/>
      <c r="E2" s="12"/>
      <c r="F2" s="77"/>
      <c r="G2" s="78"/>
      <c r="H2" s="71"/>
      <c r="I2" s="72"/>
      <c r="J2" s="19"/>
      <c r="K2" s="19"/>
      <c r="L2" s="19"/>
      <c r="M2" s="19"/>
      <c r="O2" s="64"/>
      <c r="P2" s="64"/>
      <c r="Q2" s="64"/>
    </row>
    <row r="3" spans="1:18" ht="13.9" customHeight="1" x14ac:dyDescent="0.2">
      <c r="A3" s="50" t="s">
        <v>2</v>
      </c>
      <c r="B3" s="51"/>
      <c r="C3" s="40"/>
      <c r="D3" s="4"/>
      <c r="E3" s="13"/>
      <c r="F3" s="81" t="s">
        <v>8</v>
      </c>
      <c r="G3" s="82"/>
      <c r="H3" s="73"/>
      <c r="I3" s="74"/>
      <c r="J3" s="20"/>
      <c r="K3" s="20"/>
      <c r="L3" s="20"/>
      <c r="M3" s="20"/>
      <c r="O3" s="64"/>
      <c r="P3" s="64"/>
      <c r="Q3" s="64"/>
    </row>
    <row r="4" spans="1:18" ht="7.9" customHeight="1" x14ac:dyDescent="0.2">
      <c r="A4" s="51"/>
      <c r="B4" s="51"/>
      <c r="C4" s="40"/>
      <c r="D4" s="4"/>
      <c r="E4" s="13"/>
      <c r="F4" s="83"/>
      <c r="G4" s="82"/>
      <c r="H4" s="75"/>
      <c r="I4" s="76"/>
      <c r="J4" s="20"/>
      <c r="K4" s="20"/>
      <c r="L4" s="20"/>
      <c r="M4" s="20"/>
      <c r="O4" s="64"/>
      <c r="P4" s="64"/>
      <c r="Q4" s="64"/>
    </row>
    <row r="5" spans="1:18" ht="16.149999999999999" customHeight="1" outlineLevel="1" x14ac:dyDescent="0.2">
      <c r="A5" s="63" t="s">
        <v>9</v>
      </c>
      <c r="B5" s="51"/>
      <c r="C5" s="84"/>
      <c r="D5" s="84"/>
      <c r="E5" s="84"/>
      <c r="F5" s="84"/>
      <c r="G5" s="84"/>
      <c r="H5" s="21"/>
      <c r="I5" s="21"/>
      <c r="J5" s="21"/>
      <c r="K5" s="21"/>
      <c r="L5" s="21"/>
      <c r="M5" s="21"/>
      <c r="O5" s="64"/>
      <c r="P5" s="64"/>
      <c r="Q5" s="64"/>
    </row>
    <row r="6" spans="1:18" ht="6" customHeight="1" outlineLevel="1" x14ac:dyDescent="0.2">
      <c r="A6" s="51"/>
      <c r="B6" s="51"/>
      <c r="C6" s="84"/>
      <c r="D6" s="84"/>
      <c r="E6" s="84"/>
      <c r="F6" s="84"/>
      <c r="G6" s="84"/>
      <c r="H6" s="21"/>
      <c r="I6" s="21"/>
    </row>
    <row r="7" spans="1:18" ht="10.15" customHeight="1" x14ac:dyDescent="0.2">
      <c r="A7" s="58" t="s">
        <v>3</v>
      </c>
      <c r="B7" s="58"/>
      <c r="C7" s="45" t="s">
        <v>4</v>
      </c>
      <c r="D7" s="46"/>
      <c r="E7" s="46"/>
      <c r="F7" s="46"/>
      <c r="G7" s="47"/>
      <c r="H7" s="77" t="s">
        <v>5</v>
      </c>
      <c r="I7" s="78"/>
    </row>
    <row r="8" spans="1:18" ht="18.600000000000001" customHeight="1" x14ac:dyDescent="0.25">
      <c r="A8" s="56"/>
      <c r="B8" s="57"/>
      <c r="C8" s="65">
        <v>2025</v>
      </c>
      <c r="D8" s="66"/>
      <c r="E8" s="66"/>
      <c r="F8" s="66"/>
      <c r="G8" s="67"/>
      <c r="H8" s="79"/>
      <c r="I8" s="80"/>
      <c r="O8" s="7" t="e">
        <f>O10-#REF!</f>
        <v>#REF!</v>
      </c>
    </row>
    <row r="9" spans="1:18" ht="10.9" customHeight="1" x14ac:dyDescent="0.2">
      <c r="A9" s="58" t="s">
        <v>6</v>
      </c>
      <c r="B9" s="58"/>
      <c r="C9" s="45" t="s">
        <v>7</v>
      </c>
      <c r="D9" s="66"/>
      <c r="E9" s="66"/>
      <c r="F9" s="66"/>
      <c r="G9" s="67"/>
      <c r="H9" s="27" t="s">
        <v>11</v>
      </c>
      <c r="I9" s="14" t="s">
        <v>12</v>
      </c>
    </row>
    <row r="10" spans="1:18" ht="26.45" customHeight="1" x14ac:dyDescent="0.2">
      <c r="A10" s="61"/>
      <c r="B10" s="62"/>
      <c r="C10" s="68" t="s">
        <v>34</v>
      </c>
      <c r="D10" s="66"/>
      <c r="E10" s="66"/>
      <c r="F10" s="66"/>
      <c r="G10" s="67"/>
      <c r="H10" s="18" t="s">
        <v>59</v>
      </c>
      <c r="I10" s="17">
        <f>SUM(I14:I53)</f>
        <v>78711.024999999994</v>
      </c>
      <c r="J10" s="18" t="s">
        <v>17</v>
      </c>
      <c r="K10" s="17">
        <f>SUM(K14:K53)</f>
        <v>73349.744000000006</v>
      </c>
      <c r="L10" s="18" t="s">
        <v>18</v>
      </c>
      <c r="M10" s="17">
        <f>SUM(M14:M53)</f>
        <v>0</v>
      </c>
      <c r="N10" s="6" t="s">
        <v>13</v>
      </c>
      <c r="O10" s="17">
        <f>SUM(O14:O53)</f>
        <v>68329.868999999992</v>
      </c>
      <c r="P10" s="18" t="s">
        <v>15</v>
      </c>
      <c r="Q10" s="17">
        <f>SUM(Q14:Q53)</f>
        <v>0</v>
      </c>
    </row>
    <row r="11" spans="1:18" x14ac:dyDescent="0.2">
      <c r="A11" s="59" t="s">
        <v>14</v>
      </c>
      <c r="B11" s="60"/>
      <c r="C11" s="59" t="s">
        <v>0</v>
      </c>
      <c r="D11" s="40"/>
      <c r="E11" s="40"/>
      <c r="F11" s="40"/>
      <c r="G11" s="40"/>
      <c r="N11" s="85" t="s">
        <v>1</v>
      </c>
      <c r="O11" s="86"/>
    </row>
    <row r="12" spans="1:18" ht="18" customHeight="1" x14ac:dyDescent="0.2">
      <c r="A12" s="48" t="s">
        <v>62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18" customHeight="1" x14ac:dyDescent="0.2">
      <c r="A13" s="25"/>
      <c r="B13" s="31"/>
      <c r="C13" s="42" t="s">
        <v>30</v>
      </c>
      <c r="D13" s="43"/>
      <c r="E13" s="43"/>
      <c r="F13" s="43"/>
      <c r="G13" s="44"/>
      <c r="H13" s="22"/>
      <c r="I13" s="23"/>
      <c r="J13" s="22"/>
      <c r="K13" s="23"/>
      <c r="L13" s="22"/>
      <c r="M13" s="23"/>
      <c r="N13" s="22"/>
      <c r="O13" s="23"/>
      <c r="P13" s="22"/>
      <c r="Q13" s="26"/>
    </row>
    <row r="14" spans="1:18" ht="18" customHeight="1" x14ac:dyDescent="0.2">
      <c r="A14" s="25"/>
      <c r="B14" s="24">
        <v>84</v>
      </c>
      <c r="C14" s="38" t="s">
        <v>21</v>
      </c>
      <c r="D14" s="39"/>
      <c r="E14" s="39"/>
      <c r="F14" s="39"/>
      <c r="G14" s="39"/>
      <c r="H14" s="22"/>
      <c r="I14" s="23">
        <f>B14*H14</f>
        <v>0</v>
      </c>
      <c r="J14" s="22">
        <v>44.591000000000001</v>
      </c>
      <c r="K14" s="23">
        <f>B14*J14</f>
        <v>3745.6440000000002</v>
      </c>
      <c r="L14" s="22"/>
      <c r="M14" s="23"/>
      <c r="N14" s="22"/>
      <c r="O14" s="23">
        <f>B14*N14</f>
        <v>0</v>
      </c>
      <c r="P14" s="22"/>
      <c r="Q14" s="26"/>
    </row>
    <row r="15" spans="1:18" ht="18" customHeight="1" x14ac:dyDescent="0.2">
      <c r="A15" s="25"/>
      <c r="B15" s="24">
        <v>84</v>
      </c>
      <c r="C15" s="38" t="s">
        <v>19</v>
      </c>
      <c r="D15" s="39"/>
      <c r="E15" s="39"/>
      <c r="F15" s="39"/>
      <c r="G15" s="39"/>
      <c r="H15" s="22"/>
      <c r="I15" s="23">
        <f t="shared" ref="I15:I53" si="0">B15*H15</f>
        <v>0</v>
      </c>
      <c r="J15" s="22">
        <v>21.777000000000001</v>
      </c>
      <c r="K15" s="23">
        <f t="shared" ref="K15:K53" si="1">B15*J15</f>
        <v>1829.268</v>
      </c>
      <c r="L15" s="22"/>
      <c r="M15" s="23"/>
      <c r="N15" s="22"/>
      <c r="O15" s="23">
        <f t="shared" ref="O15:O53" si="2">B15*N15</f>
        <v>0</v>
      </c>
      <c r="P15" s="22"/>
      <c r="Q15" s="26"/>
    </row>
    <row r="16" spans="1:18" ht="18" customHeight="1" x14ac:dyDescent="0.2">
      <c r="A16" s="25"/>
      <c r="B16" s="31"/>
      <c r="C16" s="42" t="s">
        <v>31</v>
      </c>
      <c r="D16" s="43"/>
      <c r="E16" s="43"/>
      <c r="F16" s="43"/>
      <c r="G16" s="44"/>
      <c r="H16" s="22"/>
      <c r="I16" s="23">
        <f t="shared" si="0"/>
        <v>0</v>
      </c>
      <c r="J16" s="22"/>
      <c r="K16" s="23">
        <f t="shared" si="1"/>
        <v>0</v>
      </c>
      <c r="L16" s="22"/>
      <c r="M16" s="23"/>
      <c r="N16" s="22"/>
      <c r="O16" s="23">
        <f t="shared" si="2"/>
        <v>0</v>
      </c>
      <c r="P16" s="22"/>
      <c r="Q16" s="26"/>
    </row>
    <row r="17" spans="1:20" ht="18" customHeight="1" x14ac:dyDescent="0.2">
      <c r="A17" s="25"/>
      <c r="B17" s="24">
        <v>92</v>
      </c>
      <c r="C17" s="38" t="s">
        <v>45</v>
      </c>
      <c r="D17" s="39"/>
      <c r="E17" s="39"/>
      <c r="F17" s="39"/>
      <c r="G17" s="39"/>
      <c r="H17" s="22">
        <v>11.728999999999999</v>
      </c>
      <c r="I17" s="23">
        <f t="shared" si="0"/>
        <v>1079.068</v>
      </c>
      <c r="J17" s="22">
        <v>12.311999999999999</v>
      </c>
      <c r="K17" s="23">
        <f t="shared" si="1"/>
        <v>1132.704</v>
      </c>
      <c r="L17" s="22"/>
      <c r="M17" s="23"/>
      <c r="N17" s="22">
        <v>12.877000000000001</v>
      </c>
      <c r="O17" s="23">
        <f t="shared" si="2"/>
        <v>1184.684</v>
      </c>
      <c r="P17" s="22"/>
      <c r="Q17" s="26"/>
    </row>
    <row r="18" spans="1:20" ht="18" customHeight="1" x14ac:dyDescent="0.2">
      <c r="A18" s="25"/>
      <c r="B18" s="33">
        <v>2</v>
      </c>
      <c r="C18" s="38" t="s">
        <v>46</v>
      </c>
      <c r="D18" s="39"/>
      <c r="E18" s="39"/>
      <c r="F18" s="39"/>
      <c r="G18" s="39"/>
      <c r="H18" s="22">
        <v>13.928000000000001</v>
      </c>
      <c r="I18" s="23">
        <f t="shared" si="0"/>
        <v>27.856000000000002</v>
      </c>
      <c r="J18" s="22">
        <v>15.942</v>
      </c>
      <c r="K18" s="23">
        <f t="shared" si="1"/>
        <v>31.884</v>
      </c>
      <c r="L18" s="22"/>
      <c r="M18" s="23"/>
      <c r="N18" s="22">
        <v>15.792</v>
      </c>
      <c r="O18" s="23">
        <f t="shared" si="2"/>
        <v>31.584</v>
      </c>
      <c r="P18" s="22"/>
      <c r="Q18" s="26"/>
      <c r="S18" s="26"/>
    </row>
    <row r="19" spans="1:20" ht="18" customHeight="1" x14ac:dyDescent="0.2">
      <c r="A19" s="25"/>
      <c r="B19" s="33"/>
      <c r="C19" s="42" t="s">
        <v>39</v>
      </c>
      <c r="D19" s="43"/>
      <c r="E19" s="43"/>
      <c r="F19" s="43"/>
      <c r="G19" s="44"/>
      <c r="H19" s="22"/>
      <c r="I19" s="23">
        <f t="shared" si="0"/>
        <v>0</v>
      </c>
      <c r="J19" s="22"/>
      <c r="K19" s="23">
        <f t="shared" si="1"/>
        <v>0</v>
      </c>
      <c r="L19" s="22"/>
      <c r="M19" s="23"/>
      <c r="N19" s="22"/>
      <c r="O19" s="23">
        <f t="shared" si="2"/>
        <v>0</v>
      </c>
      <c r="P19" s="22"/>
      <c r="Q19" s="23"/>
      <c r="R19" s="22"/>
      <c r="S19" s="26"/>
    </row>
    <row r="20" spans="1:20" ht="18" customHeight="1" x14ac:dyDescent="0.2">
      <c r="A20" s="25"/>
      <c r="B20" s="33">
        <v>92</v>
      </c>
      <c r="C20" s="38" t="s">
        <v>40</v>
      </c>
      <c r="D20" s="39"/>
      <c r="E20" s="39"/>
      <c r="F20" s="39"/>
      <c r="G20" s="39"/>
      <c r="H20" s="22">
        <v>54.737000000000002</v>
      </c>
      <c r="I20" s="23">
        <f t="shared" si="0"/>
        <v>5035.8040000000001</v>
      </c>
      <c r="J20" s="22">
        <v>53.768000000000001</v>
      </c>
      <c r="K20" s="23">
        <f t="shared" si="1"/>
        <v>4946.6559999999999</v>
      </c>
      <c r="L20" s="22"/>
      <c r="M20" s="23"/>
      <c r="N20" s="22">
        <v>59.686999999999998</v>
      </c>
      <c r="O20" s="23">
        <f t="shared" si="2"/>
        <v>5491.2039999999997</v>
      </c>
      <c r="P20" s="22"/>
      <c r="Q20" s="23"/>
      <c r="R20" s="22"/>
      <c r="S20" s="26"/>
    </row>
    <row r="21" spans="1:20" ht="18" customHeight="1" x14ac:dyDescent="0.2">
      <c r="A21" s="25"/>
      <c r="B21" s="33">
        <v>2</v>
      </c>
      <c r="C21" s="38" t="s">
        <v>47</v>
      </c>
      <c r="D21" s="39"/>
      <c r="E21" s="39"/>
      <c r="F21" s="39"/>
      <c r="G21" s="39"/>
      <c r="H21" s="22">
        <v>37.895000000000003</v>
      </c>
      <c r="I21" s="23">
        <f t="shared" si="0"/>
        <v>75.790000000000006</v>
      </c>
      <c r="J21" s="22">
        <v>37.223999999999997</v>
      </c>
      <c r="K21" s="23">
        <f t="shared" si="1"/>
        <v>74.447999999999993</v>
      </c>
      <c r="L21" s="22"/>
      <c r="M21" s="23"/>
      <c r="N21" s="22">
        <v>93.77</v>
      </c>
      <c r="O21" s="23">
        <f t="shared" si="2"/>
        <v>187.54</v>
      </c>
      <c r="P21" s="22"/>
      <c r="Q21" s="23"/>
      <c r="R21" s="22"/>
      <c r="S21" s="26"/>
      <c r="T21" s="34"/>
    </row>
    <row r="22" spans="1:20" ht="18" customHeight="1" x14ac:dyDescent="0.2">
      <c r="A22" s="25"/>
      <c r="B22" s="33">
        <v>75</v>
      </c>
      <c r="C22" s="37" t="s">
        <v>41</v>
      </c>
      <c r="D22" s="37"/>
      <c r="E22" s="37"/>
      <c r="F22" s="37"/>
      <c r="G22" s="37"/>
      <c r="H22" s="22">
        <v>121.053</v>
      </c>
      <c r="I22" s="23">
        <f t="shared" si="0"/>
        <v>9078.9750000000004</v>
      </c>
      <c r="J22" s="22">
        <v>118.91</v>
      </c>
      <c r="K22" s="23">
        <f t="shared" si="1"/>
        <v>8918.25</v>
      </c>
      <c r="L22" s="23"/>
      <c r="M22" s="23"/>
      <c r="N22" s="23">
        <v>138.52000000000001</v>
      </c>
      <c r="O22" s="23">
        <f t="shared" si="2"/>
        <v>10389</v>
      </c>
      <c r="P22" s="10"/>
      <c r="Q22" s="23"/>
      <c r="R22" s="23"/>
    </row>
    <row r="23" spans="1:20" ht="18" customHeight="1" x14ac:dyDescent="0.2">
      <c r="A23" s="25"/>
      <c r="B23" s="33"/>
      <c r="C23" s="42" t="s">
        <v>29</v>
      </c>
      <c r="D23" s="43"/>
      <c r="E23" s="43"/>
      <c r="F23" s="43"/>
      <c r="G23" s="44"/>
      <c r="H23" s="22"/>
      <c r="I23" s="23">
        <f t="shared" si="0"/>
        <v>0</v>
      </c>
      <c r="J23" s="22"/>
      <c r="K23" s="23">
        <f t="shared" si="1"/>
        <v>0</v>
      </c>
      <c r="L23" s="22"/>
      <c r="M23" s="23"/>
      <c r="N23" s="22"/>
      <c r="O23" s="23">
        <f t="shared" si="2"/>
        <v>0</v>
      </c>
      <c r="P23" s="22"/>
      <c r="Q23" s="26"/>
    </row>
    <row r="24" spans="1:20" ht="18" customHeight="1" x14ac:dyDescent="0.2">
      <c r="A24" s="25"/>
      <c r="B24" s="33">
        <v>90</v>
      </c>
      <c r="C24" s="37" t="s">
        <v>22</v>
      </c>
      <c r="D24" s="41"/>
      <c r="E24" s="41"/>
      <c r="F24" s="41"/>
      <c r="G24" s="41"/>
      <c r="H24" s="22">
        <v>27.225000000000001</v>
      </c>
      <c r="I24" s="23">
        <f t="shared" si="0"/>
        <v>2450.25</v>
      </c>
      <c r="J24" s="23">
        <v>18.706</v>
      </c>
      <c r="K24" s="23">
        <f t="shared" si="1"/>
        <v>1683.54</v>
      </c>
      <c r="L24" s="23"/>
      <c r="M24" s="23"/>
      <c r="N24" s="10">
        <v>19.010000000000002</v>
      </c>
      <c r="O24" s="23">
        <f t="shared" si="2"/>
        <v>1710.9</v>
      </c>
      <c r="P24" s="23"/>
      <c r="Q24" s="26"/>
    </row>
    <row r="25" spans="1:20" ht="18" customHeight="1" x14ac:dyDescent="0.2">
      <c r="A25" s="25"/>
      <c r="B25" s="33">
        <v>66</v>
      </c>
      <c r="C25" s="37" t="s">
        <v>26</v>
      </c>
      <c r="D25" s="37"/>
      <c r="E25" s="37"/>
      <c r="F25" s="37"/>
      <c r="G25" s="37"/>
      <c r="H25" s="22">
        <v>52.356000000000002</v>
      </c>
      <c r="I25" s="23">
        <f t="shared" si="0"/>
        <v>3455.4960000000001</v>
      </c>
      <c r="J25" s="23">
        <v>51.25</v>
      </c>
      <c r="K25" s="23">
        <f t="shared" si="1"/>
        <v>3382.5</v>
      </c>
      <c r="L25" s="23"/>
      <c r="M25" s="23"/>
      <c r="N25" s="10">
        <v>52.082999999999998</v>
      </c>
      <c r="O25" s="23">
        <f t="shared" si="2"/>
        <v>3437.4780000000001</v>
      </c>
      <c r="P25" s="23"/>
      <c r="Q25" s="26"/>
    </row>
    <row r="26" spans="1:20" ht="18" customHeight="1" x14ac:dyDescent="0.2">
      <c r="A26" s="25"/>
      <c r="B26" s="33">
        <v>24</v>
      </c>
      <c r="C26" s="37" t="s">
        <v>25</v>
      </c>
      <c r="D26" s="37"/>
      <c r="E26" s="37"/>
      <c r="F26" s="37"/>
      <c r="G26" s="37"/>
      <c r="H26" s="22">
        <v>47.12</v>
      </c>
      <c r="I26" s="23">
        <f t="shared" si="0"/>
        <v>1130.8799999999999</v>
      </c>
      <c r="J26" s="23">
        <v>46.125</v>
      </c>
      <c r="K26" s="23">
        <f t="shared" si="1"/>
        <v>1107</v>
      </c>
      <c r="L26" s="23"/>
      <c r="M26" s="23"/>
      <c r="N26" s="10">
        <v>46.875</v>
      </c>
      <c r="O26" s="23">
        <f t="shared" si="2"/>
        <v>1125</v>
      </c>
      <c r="P26" s="23"/>
      <c r="Q26" s="26"/>
    </row>
    <row r="27" spans="1:20" ht="18" customHeight="1" x14ac:dyDescent="0.2">
      <c r="A27" s="25"/>
      <c r="B27" s="33">
        <v>90</v>
      </c>
      <c r="C27" s="37" t="s">
        <v>27</v>
      </c>
      <c r="D27" s="37"/>
      <c r="E27" s="37"/>
      <c r="F27" s="37"/>
      <c r="G27" s="37"/>
      <c r="H27" s="22">
        <v>15.707000000000001</v>
      </c>
      <c r="I27" s="23">
        <f t="shared" si="0"/>
        <v>1413.63</v>
      </c>
      <c r="J27" s="23">
        <v>15.375</v>
      </c>
      <c r="K27" s="23">
        <f t="shared" si="1"/>
        <v>1383.75</v>
      </c>
      <c r="L27" s="23"/>
      <c r="M27" s="23"/>
      <c r="N27" s="10">
        <v>15.625</v>
      </c>
      <c r="O27" s="23">
        <f t="shared" si="2"/>
        <v>1406.25</v>
      </c>
      <c r="P27" s="23"/>
      <c r="Q27" s="26"/>
    </row>
    <row r="28" spans="1:20" ht="18" customHeight="1" x14ac:dyDescent="0.2">
      <c r="A28" s="25"/>
      <c r="B28" s="33">
        <v>6</v>
      </c>
      <c r="C28" s="38" t="s">
        <v>57</v>
      </c>
      <c r="D28" s="38"/>
      <c r="E28" s="38"/>
      <c r="F28" s="38"/>
      <c r="G28" s="38"/>
      <c r="H28" s="22">
        <v>102.242</v>
      </c>
      <c r="I28" s="23">
        <f t="shared" si="0"/>
        <v>613.452</v>
      </c>
      <c r="J28" s="23">
        <v>99.558000000000007</v>
      </c>
      <c r="K28" s="23">
        <f t="shared" si="1"/>
        <v>597.34800000000007</v>
      </c>
      <c r="L28" s="23"/>
      <c r="M28" s="23"/>
      <c r="N28" s="10">
        <v>101.17700000000001</v>
      </c>
      <c r="O28" s="23">
        <f t="shared" si="2"/>
        <v>607.06200000000001</v>
      </c>
      <c r="P28" s="23"/>
      <c r="Q28" s="26"/>
      <c r="R28" s="34"/>
    </row>
    <row r="29" spans="1:20" ht="18" customHeight="1" x14ac:dyDescent="0.2">
      <c r="A29" s="25"/>
      <c r="B29" s="35">
        <v>6</v>
      </c>
      <c r="C29" s="38" t="s">
        <v>58</v>
      </c>
      <c r="D29" s="38"/>
      <c r="E29" s="38"/>
      <c r="F29" s="38"/>
      <c r="G29" s="38"/>
      <c r="H29" s="22">
        <v>15.4</v>
      </c>
      <c r="I29" s="23">
        <f t="shared" si="0"/>
        <v>92.4</v>
      </c>
      <c r="J29" s="23">
        <v>14.996</v>
      </c>
      <c r="K29" s="23">
        <f t="shared" si="1"/>
        <v>89.975999999999999</v>
      </c>
      <c r="L29" s="23"/>
      <c r="M29" s="23"/>
      <c r="N29" s="10">
        <v>15.24</v>
      </c>
      <c r="O29" s="23">
        <f t="shared" si="2"/>
        <v>91.44</v>
      </c>
      <c r="P29" s="23"/>
      <c r="Q29" s="26"/>
      <c r="R29" s="34"/>
    </row>
    <row r="30" spans="1:20" ht="18" customHeight="1" x14ac:dyDescent="0.2">
      <c r="A30" s="25"/>
      <c r="B30" s="33">
        <v>6</v>
      </c>
      <c r="C30" s="38" t="s">
        <v>28</v>
      </c>
      <c r="D30" s="38"/>
      <c r="E30" s="38"/>
      <c r="F30" s="38"/>
      <c r="G30" s="38"/>
      <c r="H30" s="22"/>
      <c r="I30" s="23">
        <f t="shared" si="0"/>
        <v>0</v>
      </c>
      <c r="J30" s="23">
        <v>3.5059999999999998</v>
      </c>
      <c r="K30" s="23">
        <f t="shared" si="1"/>
        <v>21.035999999999998</v>
      </c>
      <c r="L30" s="23"/>
      <c r="M30" s="23"/>
      <c r="N30" s="10">
        <v>3.5630000000000002</v>
      </c>
      <c r="O30" s="23">
        <f t="shared" si="2"/>
        <v>21.378</v>
      </c>
      <c r="P30" s="23"/>
      <c r="Q30" s="26"/>
    </row>
    <row r="31" spans="1:20" ht="18" customHeight="1" x14ac:dyDescent="0.2">
      <c r="A31" s="25"/>
      <c r="B31" s="31"/>
      <c r="C31" s="42" t="s">
        <v>33</v>
      </c>
      <c r="D31" s="43"/>
      <c r="E31" s="43"/>
      <c r="F31" s="43"/>
      <c r="G31" s="44"/>
      <c r="H31" s="22"/>
      <c r="I31" s="23">
        <f t="shared" ref="I31:I37" si="3">B31*H31</f>
        <v>0</v>
      </c>
      <c r="J31" s="22"/>
      <c r="K31" s="23">
        <f t="shared" ref="K31:K37" si="4">B31*J31</f>
        <v>0</v>
      </c>
      <c r="L31" s="22"/>
      <c r="M31" s="23"/>
      <c r="N31" s="22"/>
      <c r="O31" s="23">
        <f t="shared" ref="O31:O37" si="5">B31*N31</f>
        <v>0</v>
      </c>
      <c r="P31" s="22"/>
      <c r="Q31" s="26"/>
    </row>
    <row r="32" spans="1:20" ht="18" customHeight="1" x14ac:dyDescent="0.2">
      <c r="A32" s="25"/>
      <c r="B32" s="29">
        <v>2</v>
      </c>
      <c r="C32" s="38" t="s">
        <v>53</v>
      </c>
      <c r="D32" s="39"/>
      <c r="E32" s="39"/>
      <c r="F32" s="39"/>
      <c r="G32" s="39"/>
      <c r="H32" s="22"/>
      <c r="I32" s="23">
        <f t="shared" si="3"/>
        <v>0</v>
      </c>
      <c r="J32" s="22">
        <v>22.151</v>
      </c>
      <c r="K32" s="23">
        <f t="shared" si="4"/>
        <v>44.302</v>
      </c>
      <c r="L32" s="22"/>
      <c r="M32" s="23"/>
      <c r="N32" s="22">
        <v>23.605</v>
      </c>
      <c r="O32" s="23">
        <f t="shared" si="5"/>
        <v>47.21</v>
      </c>
      <c r="P32" s="22"/>
      <c r="Q32" s="26"/>
    </row>
    <row r="33" spans="1:18" ht="18" customHeight="1" x14ac:dyDescent="0.2">
      <c r="A33" s="25"/>
      <c r="B33" s="33"/>
      <c r="C33" s="42" t="s">
        <v>55</v>
      </c>
      <c r="D33" s="43"/>
      <c r="E33" s="43"/>
      <c r="F33" s="43"/>
      <c r="G33" s="44"/>
      <c r="H33" s="22"/>
      <c r="I33" s="23">
        <f t="shared" si="3"/>
        <v>0</v>
      </c>
      <c r="J33" s="22"/>
      <c r="K33" s="23">
        <f t="shared" si="4"/>
        <v>0</v>
      </c>
      <c r="L33" s="22"/>
      <c r="M33" s="23"/>
      <c r="N33" s="22"/>
      <c r="O33" s="23">
        <f t="shared" si="5"/>
        <v>0</v>
      </c>
      <c r="P33" s="22"/>
      <c r="Q33" s="26"/>
    </row>
    <row r="34" spans="1:18" ht="18" customHeight="1" x14ac:dyDescent="0.2">
      <c r="A34" s="25"/>
      <c r="B34" s="33">
        <v>1</v>
      </c>
      <c r="C34" s="38" t="s">
        <v>56</v>
      </c>
      <c r="D34" s="39"/>
      <c r="E34" s="39"/>
      <c r="F34" s="39"/>
      <c r="G34" s="39"/>
      <c r="H34" s="22">
        <v>283.2</v>
      </c>
      <c r="I34" s="23">
        <f t="shared" si="3"/>
        <v>283.2</v>
      </c>
      <c r="J34" s="22">
        <v>277.05500000000001</v>
      </c>
      <c r="K34" s="23">
        <f t="shared" si="4"/>
        <v>277.05500000000001</v>
      </c>
      <c r="L34" s="22"/>
      <c r="M34" s="23"/>
      <c r="N34" s="22">
        <v>283.2</v>
      </c>
      <c r="O34" s="23">
        <f t="shared" si="5"/>
        <v>283.2</v>
      </c>
      <c r="P34" s="22"/>
      <c r="Q34" s="26"/>
    </row>
    <row r="35" spans="1:18" ht="18" customHeight="1" x14ac:dyDescent="0.2">
      <c r="A35" s="25"/>
      <c r="B35" s="31"/>
      <c r="C35" s="42" t="s">
        <v>54</v>
      </c>
      <c r="D35" s="43"/>
      <c r="E35" s="43"/>
      <c r="F35" s="43"/>
      <c r="G35" s="44"/>
      <c r="H35" s="22"/>
      <c r="I35" s="23">
        <f t="shared" si="3"/>
        <v>0</v>
      </c>
      <c r="J35" s="22"/>
      <c r="K35" s="23">
        <f t="shared" si="4"/>
        <v>0</v>
      </c>
      <c r="L35" s="22"/>
      <c r="M35" s="23"/>
      <c r="N35" s="22"/>
      <c r="O35" s="23">
        <f t="shared" si="5"/>
        <v>0</v>
      </c>
      <c r="P35" s="22"/>
      <c r="Q35" s="26"/>
    </row>
    <row r="36" spans="1:18" ht="18" customHeight="1" x14ac:dyDescent="0.2">
      <c r="A36" s="3"/>
      <c r="B36" s="28">
        <v>1</v>
      </c>
      <c r="C36" s="38" t="s">
        <v>51</v>
      </c>
      <c r="D36" s="40"/>
      <c r="E36" s="40"/>
      <c r="F36" s="40"/>
      <c r="G36" s="40"/>
      <c r="H36" s="8">
        <v>111.02200000000001</v>
      </c>
      <c r="I36" s="23">
        <f t="shared" si="3"/>
        <v>111.02200000000001</v>
      </c>
      <c r="J36" s="23">
        <v>106.587</v>
      </c>
      <c r="K36" s="23">
        <f t="shared" si="4"/>
        <v>106.587</v>
      </c>
      <c r="L36" s="23"/>
      <c r="M36" s="23"/>
      <c r="N36" s="23">
        <v>134.44999999999999</v>
      </c>
      <c r="O36" s="23">
        <f t="shared" si="5"/>
        <v>134.44999999999999</v>
      </c>
      <c r="P36" s="10"/>
      <c r="Q36" s="26"/>
    </row>
    <row r="37" spans="1:18" ht="18" customHeight="1" x14ac:dyDescent="0.2">
      <c r="A37" s="3"/>
      <c r="B37" s="30">
        <v>1</v>
      </c>
      <c r="C37" s="38" t="s">
        <v>52</v>
      </c>
      <c r="D37" s="40"/>
      <c r="E37" s="40"/>
      <c r="F37" s="40"/>
      <c r="G37" s="40"/>
      <c r="H37" s="8">
        <v>83.441999999999993</v>
      </c>
      <c r="I37" s="23">
        <f t="shared" si="3"/>
        <v>83.441999999999993</v>
      </c>
      <c r="J37" s="23">
        <v>80.105999999999995</v>
      </c>
      <c r="K37" s="23">
        <f t="shared" si="4"/>
        <v>80.105999999999995</v>
      </c>
      <c r="L37" s="23"/>
      <c r="M37" s="23"/>
      <c r="N37" s="23">
        <v>78.97</v>
      </c>
      <c r="O37" s="23">
        <f t="shared" si="5"/>
        <v>78.97</v>
      </c>
      <c r="P37" s="10"/>
      <c r="Q37" s="26"/>
    </row>
    <row r="38" spans="1:18" ht="18" customHeight="1" x14ac:dyDescent="0.2">
      <c r="A38" s="48" t="s">
        <v>63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 ht="18" customHeight="1" x14ac:dyDescent="0.2">
      <c r="A39" s="25"/>
      <c r="B39" s="31"/>
      <c r="C39" s="42" t="s">
        <v>32</v>
      </c>
      <c r="D39" s="43"/>
      <c r="E39" s="43"/>
      <c r="F39" s="43"/>
      <c r="G39" s="44"/>
      <c r="H39" s="22"/>
      <c r="I39" s="23">
        <f t="shared" si="0"/>
        <v>0</v>
      </c>
      <c r="J39" s="22"/>
      <c r="K39" s="23">
        <f t="shared" si="1"/>
        <v>0</v>
      </c>
      <c r="L39" s="22"/>
      <c r="M39" s="23"/>
      <c r="N39" s="22"/>
      <c r="O39" s="23">
        <f t="shared" si="2"/>
        <v>0</v>
      </c>
      <c r="P39" s="22"/>
      <c r="Q39" s="26"/>
    </row>
    <row r="40" spans="1:18" ht="18" customHeight="1" x14ac:dyDescent="0.2">
      <c r="A40" s="25"/>
      <c r="B40" s="24">
        <v>60</v>
      </c>
      <c r="C40" s="38" t="s">
        <v>24</v>
      </c>
      <c r="D40" s="39"/>
      <c r="E40" s="39"/>
      <c r="F40" s="39"/>
      <c r="G40" s="39"/>
      <c r="H40" s="23">
        <v>348.36799999999999</v>
      </c>
      <c r="I40" s="23">
        <f t="shared" si="0"/>
        <v>20902.079999999998</v>
      </c>
      <c r="J40" s="23">
        <v>351.13799999999998</v>
      </c>
      <c r="K40" s="23">
        <f t="shared" si="1"/>
        <v>21068.28</v>
      </c>
      <c r="L40" s="23"/>
      <c r="M40" s="23"/>
      <c r="N40" s="10">
        <v>352.07</v>
      </c>
      <c r="O40" s="23">
        <f t="shared" si="2"/>
        <v>21124.2</v>
      </c>
      <c r="P40" s="23"/>
      <c r="Q40" s="26"/>
    </row>
    <row r="41" spans="1:18" ht="18" customHeight="1" x14ac:dyDescent="0.2">
      <c r="A41" s="25"/>
      <c r="B41" s="24">
        <v>6</v>
      </c>
      <c r="C41" s="38" t="s">
        <v>23</v>
      </c>
      <c r="D41" s="39"/>
      <c r="E41" s="39"/>
      <c r="F41" s="39"/>
      <c r="G41" s="39"/>
      <c r="H41" s="22">
        <v>867.31600000000003</v>
      </c>
      <c r="I41" s="23">
        <f t="shared" si="0"/>
        <v>5203.8960000000006</v>
      </c>
      <c r="J41" s="23">
        <v>874.21100000000001</v>
      </c>
      <c r="K41" s="23">
        <f t="shared" si="1"/>
        <v>5245.2659999999996</v>
      </c>
      <c r="L41" s="23"/>
      <c r="M41" s="23"/>
      <c r="N41" s="10">
        <v>876.54</v>
      </c>
      <c r="O41" s="23">
        <f t="shared" si="2"/>
        <v>5259.24</v>
      </c>
      <c r="P41" s="23"/>
      <c r="Q41" s="26"/>
    </row>
    <row r="42" spans="1:18" ht="18" customHeight="1" x14ac:dyDescent="0.2">
      <c r="A42" s="25"/>
      <c r="B42" s="32">
        <v>24</v>
      </c>
      <c r="C42" s="37" t="s">
        <v>42</v>
      </c>
      <c r="D42" s="41"/>
      <c r="E42" s="41"/>
      <c r="F42" s="41"/>
      <c r="G42" s="41"/>
      <c r="H42" s="22">
        <v>365.21100000000001</v>
      </c>
      <c r="I42" s="23">
        <f t="shared" si="0"/>
        <v>8765.0640000000003</v>
      </c>
      <c r="J42" s="23">
        <v>368.11399999999998</v>
      </c>
      <c r="K42" s="23">
        <f t="shared" si="1"/>
        <v>8834.735999999999</v>
      </c>
      <c r="L42" s="23"/>
      <c r="M42" s="23"/>
      <c r="N42" s="23">
        <v>369.09</v>
      </c>
      <c r="O42" s="23">
        <f t="shared" si="2"/>
        <v>8858.16</v>
      </c>
      <c r="P42" s="10"/>
      <c r="Q42" s="26"/>
    </row>
    <row r="43" spans="1:18" ht="18" customHeight="1" x14ac:dyDescent="0.2">
      <c r="A43" s="25"/>
      <c r="B43" s="33"/>
      <c r="C43" s="42" t="s">
        <v>35</v>
      </c>
      <c r="D43" s="43"/>
      <c r="E43" s="43"/>
      <c r="F43" s="43"/>
      <c r="G43" s="44"/>
      <c r="H43" s="22"/>
      <c r="I43" s="23">
        <f>B43*H43</f>
        <v>0</v>
      </c>
      <c r="J43" s="22"/>
      <c r="K43" s="23">
        <f>B43*J43</f>
        <v>0</v>
      </c>
      <c r="L43" s="22"/>
      <c r="M43" s="23"/>
      <c r="N43" s="22"/>
      <c r="O43" s="23">
        <f>B43*N43</f>
        <v>0</v>
      </c>
      <c r="P43" s="22"/>
      <c r="Q43" s="26"/>
    </row>
    <row r="44" spans="1:18" ht="18" customHeight="1" x14ac:dyDescent="0.2">
      <c r="A44" s="25"/>
      <c r="B44" s="33">
        <v>10</v>
      </c>
      <c r="C44" s="38" t="s">
        <v>36</v>
      </c>
      <c r="D44" s="39"/>
      <c r="E44" s="39"/>
      <c r="F44" s="39"/>
      <c r="G44" s="39"/>
      <c r="H44" s="22">
        <v>60.290999999999997</v>
      </c>
      <c r="I44" s="23">
        <f>B44*H44</f>
        <v>602.91</v>
      </c>
      <c r="J44" s="22"/>
      <c r="K44" s="23">
        <f>B44*J44</f>
        <v>0</v>
      </c>
      <c r="L44" s="22"/>
      <c r="M44" s="23"/>
      <c r="N44" s="22"/>
      <c r="O44" s="23">
        <f>B44*N44</f>
        <v>0</v>
      </c>
      <c r="P44" s="22"/>
      <c r="Q44" s="26"/>
    </row>
    <row r="45" spans="1:18" ht="18" customHeight="1" x14ac:dyDescent="0.2">
      <c r="A45" s="25"/>
      <c r="B45" s="33">
        <v>10</v>
      </c>
      <c r="C45" s="38" t="s">
        <v>37</v>
      </c>
      <c r="D45" s="39"/>
      <c r="E45" s="39"/>
      <c r="F45" s="39"/>
      <c r="G45" s="39"/>
      <c r="H45" s="22">
        <v>51.975000000000001</v>
      </c>
      <c r="I45" s="23">
        <f>B45*H45</f>
        <v>519.75</v>
      </c>
      <c r="J45" s="22"/>
      <c r="K45" s="23">
        <f>B45*J45</f>
        <v>0</v>
      </c>
      <c r="L45" s="22"/>
      <c r="M45" s="23"/>
      <c r="N45" s="22"/>
      <c r="O45" s="23">
        <f>B45*N45</f>
        <v>0</v>
      </c>
      <c r="P45" s="22"/>
      <c r="Q45" s="26"/>
    </row>
    <row r="46" spans="1:18" ht="18" customHeight="1" x14ac:dyDescent="0.2">
      <c r="A46" s="25"/>
      <c r="B46" s="36">
        <v>10</v>
      </c>
      <c r="C46" s="38" t="s">
        <v>60</v>
      </c>
      <c r="D46" s="39"/>
      <c r="E46" s="39"/>
      <c r="F46" s="39"/>
      <c r="G46" s="39"/>
      <c r="H46" s="22">
        <v>63.15</v>
      </c>
      <c r="I46" s="23">
        <f>B46*H46</f>
        <v>631.5</v>
      </c>
      <c r="J46" s="22"/>
      <c r="K46" s="23">
        <f>B46*J46</f>
        <v>0</v>
      </c>
      <c r="L46" s="22"/>
      <c r="M46" s="23"/>
      <c r="N46" s="22"/>
      <c r="O46" s="23">
        <f>B46*N46</f>
        <v>0</v>
      </c>
      <c r="P46" s="22"/>
      <c r="Q46" s="26"/>
    </row>
    <row r="47" spans="1:18" ht="18" customHeight="1" x14ac:dyDescent="0.2">
      <c r="A47" s="25"/>
      <c r="B47" s="33">
        <v>94</v>
      </c>
      <c r="C47" s="38" t="s">
        <v>38</v>
      </c>
      <c r="D47" s="39"/>
      <c r="E47" s="39"/>
      <c r="F47" s="39"/>
      <c r="G47" s="39"/>
      <c r="H47" s="22">
        <v>74.843999999999994</v>
      </c>
      <c r="I47" s="23">
        <f>B47*H47</f>
        <v>7035.3359999999993</v>
      </c>
      <c r="J47" s="22"/>
      <c r="K47" s="23">
        <f>B47*J47</f>
        <v>0</v>
      </c>
      <c r="L47" s="22"/>
      <c r="M47" s="23"/>
      <c r="N47" s="22"/>
      <c r="O47" s="23">
        <f>B47*N47</f>
        <v>0</v>
      </c>
      <c r="P47" s="22"/>
      <c r="Q47" s="26"/>
    </row>
    <row r="48" spans="1:18" ht="18" customHeight="1" x14ac:dyDescent="0.2">
      <c r="A48" s="25"/>
      <c r="B48" s="31"/>
      <c r="C48" s="42" t="s">
        <v>48</v>
      </c>
      <c r="D48" s="43"/>
      <c r="E48" s="43"/>
      <c r="F48" s="43"/>
      <c r="G48" s="44"/>
      <c r="H48" s="22"/>
      <c r="I48" s="23">
        <f t="shared" si="0"/>
        <v>0</v>
      </c>
      <c r="J48" s="22"/>
      <c r="K48" s="23">
        <f t="shared" si="1"/>
        <v>0</v>
      </c>
      <c r="L48" s="22"/>
      <c r="M48" s="23"/>
      <c r="N48" s="22"/>
      <c r="O48" s="23">
        <f t="shared" si="2"/>
        <v>0</v>
      </c>
      <c r="P48" s="22"/>
      <c r="Q48" s="26"/>
    </row>
    <row r="49" spans="1:17" ht="18" customHeight="1" x14ac:dyDescent="0.2">
      <c r="A49" s="25"/>
      <c r="B49" s="33">
        <v>67</v>
      </c>
      <c r="C49" s="37" t="s">
        <v>43</v>
      </c>
      <c r="D49" s="41"/>
      <c r="E49" s="41"/>
      <c r="F49" s="41"/>
      <c r="G49" s="41"/>
      <c r="H49" s="22">
        <v>58.511000000000003</v>
      </c>
      <c r="I49" s="23">
        <f t="shared" si="0"/>
        <v>3920.2370000000001</v>
      </c>
      <c r="J49" s="23">
        <v>59.784999999999997</v>
      </c>
      <c r="K49" s="23">
        <f t="shared" si="1"/>
        <v>4005.5949999999998</v>
      </c>
      <c r="L49" s="23"/>
      <c r="M49" s="23"/>
      <c r="N49" s="23">
        <v>64.772999999999996</v>
      </c>
      <c r="O49" s="23">
        <f t="shared" si="2"/>
        <v>4339.7910000000002</v>
      </c>
      <c r="P49" s="10"/>
      <c r="Q49" s="26"/>
    </row>
    <row r="50" spans="1:17" ht="18" customHeight="1" x14ac:dyDescent="0.2">
      <c r="A50" s="25"/>
      <c r="B50" s="33">
        <v>1</v>
      </c>
      <c r="C50" s="37" t="s">
        <v>50</v>
      </c>
      <c r="D50" s="41"/>
      <c r="E50" s="41"/>
      <c r="F50" s="41"/>
      <c r="G50" s="41"/>
      <c r="H50" s="22">
        <v>126.667</v>
      </c>
      <c r="I50" s="23">
        <f t="shared" si="0"/>
        <v>126.667</v>
      </c>
      <c r="J50" s="23">
        <v>125.005</v>
      </c>
      <c r="K50" s="23">
        <f t="shared" si="1"/>
        <v>125.005</v>
      </c>
      <c r="L50" s="23"/>
      <c r="M50" s="23"/>
      <c r="N50" s="23">
        <v>400.4</v>
      </c>
      <c r="O50" s="23">
        <f t="shared" si="2"/>
        <v>400.4</v>
      </c>
      <c r="P50" s="10"/>
      <c r="Q50" s="26"/>
    </row>
    <row r="51" spans="1:17" ht="18" customHeight="1" x14ac:dyDescent="0.2">
      <c r="A51" s="25"/>
      <c r="B51" s="36">
        <v>94</v>
      </c>
      <c r="C51" s="37" t="s">
        <v>61</v>
      </c>
      <c r="D51" s="41"/>
      <c r="E51" s="41"/>
      <c r="F51" s="41"/>
      <c r="G51" s="41"/>
      <c r="H51" s="22">
        <v>49.055999999999997</v>
      </c>
      <c r="I51" s="23">
        <f t="shared" si="0"/>
        <v>4611.2640000000001</v>
      </c>
      <c r="J51" s="23">
        <v>32.396000000000001</v>
      </c>
      <c r="K51" s="23">
        <f t="shared" si="1"/>
        <v>3045.2240000000002</v>
      </c>
      <c r="L51" s="23"/>
      <c r="M51" s="23"/>
      <c r="N51" s="23"/>
      <c r="O51" s="23">
        <f t="shared" si="2"/>
        <v>0</v>
      </c>
      <c r="P51" s="10"/>
      <c r="Q51" s="26"/>
    </row>
    <row r="52" spans="1:17" ht="18" customHeight="1" x14ac:dyDescent="0.2">
      <c r="A52" s="25"/>
      <c r="B52" s="33"/>
      <c r="C52" s="42" t="s">
        <v>49</v>
      </c>
      <c r="D52" s="43"/>
      <c r="E52" s="43"/>
      <c r="F52" s="43"/>
      <c r="G52" s="44"/>
      <c r="H52" s="22"/>
      <c r="I52" s="23">
        <f t="shared" si="0"/>
        <v>0</v>
      </c>
      <c r="J52" s="22"/>
      <c r="K52" s="23">
        <f t="shared" si="1"/>
        <v>0</v>
      </c>
      <c r="L52" s="22"/>
      <c r="M52" s="23"/>
      <c r="N52" s="22"/>
      <c r="O52" s="23">
        <f t="shared" si="2"/>
        <v>0</v>
      </c>
      <c r="P52" s="22"/>
      <c r="Q52" s="26"/>
    </row>
    <row r="53" spans="1:17" ht="18" customHeight="1" x14ac:dyDescent="0.2">
      <c r="A53" s="25"/>
      <c r="B53" s="33">
        <v>8</v>
      </c>
      <c r="C53" s="37" t="s">
        <v>44</v>
      </c>
      <c r="D53" s="41"/>
      <c r="E53" s="41"/>
      <c r="F53" s="41"/>
      <c r="G53" s="41"/>
      <c r="H53" s="22">
        <v>182.63200000000001</v>
      </c>
      <c r="I53" s="23">
        <f t="shared" si="0"/>
        <v>1461.056</v>
      </c>
      <c r="J53" s="23">
        <v>196.69800000000001</v>
      </c>
      <c r="K53" s="23">
        <f t="shared" si="1"/>
        <v>1573.5840000000001</v>
      </c>
      <c r="L53" s="23"/>
      <c r="M53" s="23"/>
      <c r="N53" s="23">
        <v>265.09100000000001</v>
      </c>
      <c r="O53" s="23">
        <f t="shared" si="2"/>
        <v>2120.7280000000001</v>
      </c>
      <c r="P53" s="10"/>
      <c r="Q53" s="26"/>
    </row>
    <row r="54" spans="1:17" ht="18" customHeight="1" x14ac:dyDescent="0.2">
      <c r="A54" s="3"/>
      <c r="B54" s="5"/>
      <c r="C54" s="38"/>
      <c r="D54" s="40"/>
      <c r="E54" s="40"/>
      <c r="F54" s="40"/>
      <c r="G54" s="40"/>
      <c r="H54" s="8"/>
      <c r="I54" s="9"/>
      <c r="J54" s="2"/>
      <c r="K54" s="2"/>
      <c r="L54" s="2"/>
      <c r="M54" s="2"/>
      <c r="N54" s="2"/>
      <c r="O54" s="2"/>
      <c r="P54" s="2"/>
      <c r="Q54" s="2"/>
    </row>
    <row r="55" spans="1:17" ht="18" customHeight="1" x14ac:dyDescent="0.2">
      <c r="A55" s="3"/>
      <c r="B55" s="5"/>
      <c r="C55" s="38"/>
      <c r="D55" s="40"/>
      <c r="E55" s="40"/>
      <c r="F55" s="40"/>
      <c r="G55" s="40"/>
      <c r="H55" s="8"/>
      <c r="I55" s="9"/>
      <c r="J55" s="2"/>
      <c r="K55" s="2"/>
      <c r="L55" s="2"/>
      <c r="M55" s="2"/>
      <c r="N55" s="2"/>
      <c r="O55" s="2"/>
      <c r="P55" s="2"/>
      <c r="Q55" s="2"/>
    </row>
    <row r="56" spans="1:17" ht="18" customHeight="1" x14ac:dyDescent="0.2">
      <c r="A56" s="3"/>
      <c r="B56" s="5"/>
      <c r="C56" s="38"/>
      <c r="D56" s="40"/>
      <c r="E56" s="40"/>
      <c r="F56" s="40"/>
      <c r="G56" s="40"/>
      <c r="H56" s="8"/>
      <c r="I56" s="9"/>
      <c r="J56" s="2"/>
      <c r="K56" s="2"/>
      <c r="L56" s="2"/>
      <c r="M56" s="2"/>
      <c r="N56" s="2"/>
      <c r="O56" s="2"/>
      <c r="P56" s="2"/>
      <c r="Q56" s="2"/>
    </row>
    <row r="57" spans="1:17" ht="16.899999999999999" customHeight="1" x14ac:dyDescent="0.2">
      <c r="A57" s="3"/>
      <c r="B57" s="5"/>
      <c r="C57" s="38"/>
      <c r="D57" s="40"/>
      <c r="E57" s="40"/>
      <c r="F57" s="40"/>
      <c r="G57" s="40"/>
      <c r="H57" s="8"/>
      <c r="I57" s="9"/>
    </row>
    <row r="58" spans="1:17" ht="16.899999999999999" customHeight="1" x14ac:dyDescent="0.2">
      <c r="A58" s="3"/>
      <c r="B58" s="5"/>
      <c r="C58" s="38"/>
      <c r="D58" s="40"/>
      <c r="E58" s="40"/>
      <c r="F58" s="40"/>
      <c r="G58" s="40"/>
      <c r="H58" s="8"/>
      <c r="I58" s="9"/>
    </row>
    <row r="59" spans="1:17" ht="16.899999999999999" customHeight="1" x14ac:dyDescent="0.2">
      <c r="A59" s="3"/>
      <c r="B59" s="5"/>
      <c r="C59" s="38"/>
      <c r="D59" s="40"/>
      <c r="E59" s="40"/>
      <c r="F59" s="40"/>
      <c r="G59" s="40"/>
      <c r="H59" s="8"/>
      <c r="I59" s="9"/>
    </row>
    <row r="60" spans="1:17" ht="18" customHeight="1" x14ac:dyDescent="0.2">
      <c r="A60" s="3"/>
      <c r="B60" s="5"/>
      <c r="C60" s="38"/>
      <c r="D60" s="40"/>
      <c r="E60" s="40"/>
      <c r="F60" s="40"/>
      <c r="G60" s="40"/>
      <c r="H60" s="8"/>
      <c r="I60" s="9"/>
    </row>
    <row r="61" spans="1:17" ht="18" customHeight="1" x14ac:dyDescent="0.2">
      <c r="A61" s="3"/>
      <c r="B61" s="5"/>
      <c r="C61" s="38"/>
      <c r="D61" s="40"/>
      <c r="E61" s="40"/>
      <c r="F61" s="40"/>
      <c r="G61" s="40"/>
      <c r="H61" s="8"/>
      <c r="I61" s="9"/>
    </row>
    <row r="62" spans="1:17" ht="18" customHeight="1" x14ac:dyDescent="0.2">
      <c r="A62" s="3"/>
      <c r="B62" s="5"/>
      <c r="C62" s="38"/>
      <c r="D62" s="40"/>
      <c r="E62" s="40"/>
      <c r="F62" s="40"/>
      <c r="G62" s="40"/>
      <c r="H62" s="8"/>
      <c r="I62" s="9"/>
    </row>
    <row r="63" spans="1:17" ht="18" customHeight="1" x14ac:dyDescent="0.2">
      <c r="A63" s="3"/>
      <c r="B63" s="5"/>
      <c r="C63" s="38"/>
      <c r="D63" s="40"/>
      <c r="E63" s="40"/>
      <c r="F63" s="40"/>
      <c r="G63" s="40"/>
      <c r="H63" s="8"/>
      <c r="I63" s="9"/>
    </row>
    <row r="64" spans="1:17" x14ac:dyDescent="0.2">
      <c r="A64" s="3"/>
      <c r="B64" s="5"/>
      <c r="C64" s="38"/>
      <c r="D64" s="40"/>
      <c r="E64" s="40"/>
      <c r="F64" s="40"/>
      <c r="G64" s="40"/>
      <c r="H64" s="8"/>
      <c r="I64" s="9"/>
    </row>
  </sheetData>
  <mergeCells count="76">
    <mergeCell ref="C30:G30"/>
    <mergeCell ref="N11:O11"/>
    <mergeCell ref="C11:G11"/>
    <mergeCell ref="C24:G24"/>
    <mergeCell ref="C40:G40"/>
    <mergeCell ref="C14:G14"/>
    <mergeCell ref="C15:G15"/>
    <mergeCell ref="C27:G27"/>
    <mergeCell ref="C28:G28"/>
    <mergeCell ref="C23:G23"/>
    <mergeCell ref="C13:G13"/>
    <mergeCell ref="C16:G16"/>
    <mergeCell ref="C39:G39"/>
    <mergeCell ref="C29:G29"/>
    <mergeCell ref="C18:G18"/>
    <mergeCell ref="C21:G21"/>
    <mergeCell ref="O1:Q5"/>
    <mergeCell ref="C8:G8"/>
    <mergeCell ref="C10:G10"/>
    <mergeCell ref="H1:I2"/>
    <mergeCell ref="H3:I4"/>
    <mergeCell ref="H7:I7"/>
    <mergeCell ref="H8:I8"/>
    <mergeCell ref="F1:G2"/>
    <mergeCell ref="C9:G9"/>
    <mergeCell ref="C3:C4"/>
    <mergeCell ref="F3:G4"/>
    <mergeCell ref="C5:G6"/>
    <mergeCell ref="A3:B4"/>
    <mergeCell ref="A1:B2"/>
    <mergeCell ref="A8:B8"/>
    <mergeCell ref="A9:B9"/>
    <mergeCell ref="A11:B11"/>
    <mergeCell ref="A10:B10"/>
    <mergeCell ref="A5:B6"/>
    <mergeCell ref="A7:B7"/>
    <mergeCell ref="C52:G52"/>
    <mergeCell ref="C50:G50"/>
    <mergeCell ref="C51:G51"/>
    <mergeCell ref="C45:G45"/>
    <mergeCell ref="C7:G7"/>
    <mergeCell ref="A12:R12"/>
    <mergeCell ref="A38:R38"/>
    <mergeCell ref="C33:G33"/>
    <mergeCell ref="C31:G31"/>
    <mergeCell ref="C19:G19"/>
    <mergeCell ref="C20:G20"/>
    <mergeCell ref="C22:G22"/>
    <mergeCell ref="C47:G47"/>
    <mergeCell ref="C17:G17"/>
    <mergeCell ref="C43:G43"/>
    <mergeCell ref="C44:G44"/>
    <mergeCell ref="C49:G49"/>
    <mergeCell ref="C37:G37"/>
    <mergeCell ref="C32:G32"/>
    <mergeCell ref="C36:G36"/>
    <mergeCell ref="C34:G34"/>
    <mergeCell ref="C35:G35"/>
    <mergeCell ref="C48:G48"/>
    <mergeCell ref="C42:G42"/>
    <mergeCell ref="C25:G25"/>
    <mergeCell ref="C26:G26"/>
    <mergeCell ref="C46:G46"/>
    <mergeCell ref="C64:G64"/>
    <mergeCell ref="C63:G63"/>
    <mergeCell ref="C57:G57"/>
    <mergeCell ref="C54:G54"/>
    <mergeCell ref="C55:G55"/>
    <mergeCell ref="C61:G61"/>
    <mergeCell ref="C56:G56"/>
    <mergeCell ref="C62:G62"/>
    <mergeCell ref="C58:G58"/>
    <mergeCell ref="C59:G59"/>
    <mergeCell ref="C60:G60"/>
    <mergeCell ref="C53:G53"/>
    <mergeCell ref="C41:G41"/>
  </mergeCells>
  <phoneticPr fontId="0" type="noConversion"/>
  <printOptions horizontalCentered="1" verticalCentered="1"/>
  <pageMargins left="0.5" right="0.5" top="1" bottom="1" header="0.5" footer="0.5"/>
  <pageSetup scale="53" pageOrder="overThenDown" orientation="portrait" horizontalDpi="4294967293" verticalDpi="4294967293" r:id="rId1"/>
  <headerFooter alignWithMargins="0"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Richard Donelson</cp:lastModifiedBy>
  <cp:lastPrinted>2016-03-28T19:31:55Z</cp:lastPrinted>
  <dcterms:created xsi:type="dcterms:W3CDTF">2000-09-01T14:58:39Z</dcterms:created>
  <dcterms:modified xsi:type="dcterms:W3CDTF">2017-03-23T23:00:31Z</dcterms:modified>
</cp:coreProperties>
</file>