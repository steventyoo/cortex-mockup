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5-Exxel, The Cora\Change Orders\BUDGET TRANSFERS\"/>
    </mc:Choice>
  </mc:AlternateContent>
  <bookViews>
    <workbookView xWindow="120" yWindow="105" windowWidth="19020" windowHeight="1215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Sheet1!$A$2:$N$46</definedName>
  </definedNames>
  <calcPr calcId="152511"/>
</workbook>
</file>

<file path=xl/calcChain.xml><?xml version="1.0" encoding="utf-8"?>
<calcChain xmlns="http://schemas.openxmlformats.org/spreadsheetml/2006/main">
  <c r="E13" i="1" l="1"/>
  <c r="E19" i="1"/>
  <c r="J14" i="1"/>
  <c r="E15" i="1" l="1"/>
  <c r="E41" i="1" l="1"/>
  <c r="E40" i="1"/>
</calcChain>
</file>

<file path=xl/sharedStrings.xml><?xml version="1.0" encoding="utf-8"?>
<sst xmlns="http://schemas.openxmlformats.org/spreadsheetml/2006/main" count="91" uniqueCount="43">
  <si>
    <t>OWP#</t>
  </si>
  <si>
    <t>JOB NAME:</t>
  </si>
  <si>
    <t>CODE</t>
  </si>
  <si>
    <t>SUPERVISION</t>
  </si>
  <si>
    <t>BUILDER:</t>
  </si>
  <si>
    <t>DESCRIPTION OF CHANGE:</t>
  </si>
  <si>
    <t xml:space="preserve">LABOR  </t>
  </si>
  <si>
    <t xml:space="preserve">ROUGHIN </t>
  </si>
  <si>
    <t xml:space="preserve">FINISH </t>
  </si>
  <si>
    <t xml:space="preserve">GAS </t>
  </si>
  <si>
    <t xml:space="preserve">GARAGE </t>
  </si>
  <si>
    <t xml:space="preserve">CANOUT </t>
  </si>
  <si>
    <t>FOUNDATION DRAIN</t>
  </si>
  <si>
    <t>WARRANTY</t>
  </si>
  <si>
    <t xml:space="preserve">T &amp; M  </t>
  </si>
  <si>
    <t>TAKEOFF &amp; PURCHASE</t>
  </si>
  <si>
    <t>MECHANICAL ROOM</t>
  </si>
  <si>
    <t>GW WASTE / STORM</t>
  </si>
  <si>
    <t>LABOR BURDEN</t>
  </si>
  <si>
    <t>MATERIAL</t>
  </si>
  <si>
    <t>WATER MAIN / INSULATION</t>
  </si>
  <si>
    <t>SALE PRICE:</t>
  </si>
  <si>
    <t>BUDGET</t>
  </si>
  <si>
    <t>DIVISION 6</t>
  </si>
  <si>
    <t>SUBCONTRACTOR</t>
  </si>
  <si>
    <t>ENGINEERING/PLANS</t>
  </si>
  <si>
    <t>RENTAL EQUIPMENT</t>
  </si>
  <si>
    <t>PERMIT &amp; LICENSES</t>
  </si>
  <si>
    <t>BACKCHARGES</t>
  </si>
  <si>
    <t>SHOP LABOR</t>
  </si>
  <si>
    <t>OTHER EXPENSES</t>
  </si>
  <si>
    <t>OWP LLC CHANGE ORDER BUDGET</t>
  </si>
  <si>
    <t>CONDENSATION DRAINS</t>
  </si>
  <si>
    <t>FIRE CAULKING</t>
  </si>
  <si>
    <t xml:space="preserve"> </t>
  </si>
  <si>
    <t>ROUGHIN</t>
  </si>
  <si>
    <t>CANOUT</t>
  </si>
  <si>
    <t>GARAGE</t>
  </si>
  <si>
    <t>GAS</t>
  </si>
  <si>
    <t>EXXEL PACIFIC</t>
  </si>
  <si>
    <t>CORA</t>
  </si>
  <si>
    <t>Change Order 02</t>
  </si>
  <si>
    <t>Trench Drain Revision, Added Planter Drain, Wall Hung Lavs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</si>
</sst>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"/>
  </numFmts>
  <fonts count="19" x14ac:knownFonts="1">
    <font>
      <sz val="10"/>
      <name val="Arial"/>
    </font>
    <font>
      <b/>
      <sz val="16"/>
      <name val="Arial"/>
      <family val="2"/>
    </font>
    <font>
      <b/>
      <i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u/>
      <sz val="11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i/>
      <sz val="14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u/>
      <sz val="18"/>
      <name val="Arial"/>
      <family val="2"/>
    </font>
    <font>
      <b/>
      <sz val="8"/>
      <name val="Arial"/>
      <family val="2"/>
    </font>
    <font>
      <b/>
      <sz val="22"/>
      <name val="Arial"/>
      <family val="2"/>
    </font>
    <font>
      <sz val="10"/>
      <name val="MS Sans Serif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3">
    <xf numFmtId="0" fontId="0" fillId="0" borderId="0"/>
    <xf numFmtId="0" fontId="17" fillId="0" borderId="0"/>
    <xf numFmtId="8" fontId="18" fillId="0" borderId="0" applyFont="0" applyFill="0" applyBorder="0" applyAlignment="0" applyProtection="0"/>
  </cellStyleXfs>
  <cellXfs count="76">
    <xf numFmtId="0" fontId="0" fillId="0" borderId="0" xfId="0"/>
    <xf numFmtId="0" fontId="0" fillId="0" borderId="0" xfId="0" applyAlignment="1"/>
    <xf numFmtId="0" fontId="7" fillId="0" borderId="0" xfId="0" applyFont="1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/>
    <xf numFmtId="0" fontId="1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0" fillId="0" borderId="3" xfId="0" applyBorder="1" applyAlignment="1"/>
    <xf numFmtId="7" fontId="1" fillId="0" borderId="4" xfId="0" applyNumberFormat="1" applyFont="1" applyBorder="1" applyAlignment="1">
      <alignment horizontal="center" vertical="center"/>
    </xf>
    <xf numFmtId="7" fontId="1" fillId="0" borderId="0" xfId="0" applyNumberFormat="1" applyFont="1" applyBorder="1" applyAlignment="1">
      <alignment horizontal="center" vertical="center"/>
    </xf>
    <xf numFmtId="44" fontId="0" fillId="0" borderId="0" xfId="0" applyNumberFormat="1" applyBorder="1" applyAlignment="1"/>
    <xf numFmtId="0" fontId="3" fillId="0" borderId="5" xfId="0" applyFont="1" applyBorder="1" applyAlignment="1"/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0" xfId="0" applyFont="1" applyBorder="1" applyAlignment="1"/>
    <xf numFmtId="0" fontId="0" fillId="0" borderId="0" xfId="0" applyBorder="1"/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10" xfId="0" applyBorder="1" applyAlignment="1"/>
    <xf numFmtId="165" fontId="0" fillId="0" borderId="0" xfId="0" applyNumberFormat="1" applyBorder="1" applyAlignment="1">
      <alignment horizontal="center" vertical="center"/>
    </xf>
    <xf numFmtId="0" fontId="11" fillId="0" borderId="0" xfId="0" applyFont="1" applyBorder="1" applyAlignment="1">
      <alignment horizontal="right" vertical="center"/>
    </xf>
    <xf numFmtId="49" fontId="14" fillId="0" borderId="0" xfId="0" applyNumberFormat="1" applyFont="1" applyBorder="1" applyAlignment="1">
      <alignment horizontal="center" vertical="center"/>
    </xf>
    <xf numFmtId="0" fontId="12" fillId="0" borderId="0" xfId="0" applyFont="1" applyBorder="1" applyAlignment="1"/>
    <xf numFmtId="0" fontId="9" fillId="0" borderId="0" xfId="0" applyFont="1" applyBorder="1" applyAlignment="1">
      <alignment horizontal="right" vertical="center"/>
    </xf>
    <xf numFmtId="10" fontId="15" fillId="0" borderId="11" xfId="0" applyNumberFormat="1" applyFont="1" applyBorder="1" applyAlignment="1">
      <alignment vertical="center"/>
    </xf>
    <xf numFmtId="49" fontId="0" fillId="0" borderId="0" xfId="0" applyNumberFormat="1" applyAlignment="1">
      <alignment horizontal="center" vertical="center"/>
    </xf>
    <xf numFmtId="165" fontId="4" fillId="0" borderId="0" xfId="0" applyNumberFormat="1" applyFont="1" applyBorder="1" applyAlignment="1">
      <alignment horizontal="center" vertical="center"/>
    </xf>
    <xf numFmtId="9" fontId="3" fillId="0" borderId="2" xfId="0" applyNumberFormat="1" applyFont="1" applyBorder="1" applyAlignment="1"/>
    <xf numFmtId="165" fontId="8" fillId="0" borderId="12" xfId="0" applyNumberFormat="1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165" fontId="8" fillId="0" borderId="13" xfId="0" applyNumberFormat="1" applyFont="1" applyBorder="1" applyAlignment="1">
      <alignment horizontal="center" vertical="center"/>
    </xf>
    <xf numFmtId="165" fontId="8" fillId="0" borderId="14" xfId="0" applyNumberFormat="1" applyFont="1" applyBorder="1" applyAlignment="1">
      <alignment horizontal="center" vertical="center"/>
    </xf>
    <xf numFmtId="0" fontId="8" fillId="0" borderId="13" xfId="0" applyFont="1" applyBorder="1" applyAlignment="1"/>
    <xf numFmtId="164" fontId="0" fillId="0" borderId="0" xfId="0" applyNumberFormat="1"/>
    <xf numFmtId="49" fontId="6" fillId="0" borderId="20" xfId="0" applyNumberFormat="1" applyFont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4" fillId="0" borderId="2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49" fontId="6" fillId="0" borderId="17" xfId="0" applyNumberFormat="1" applyFont="1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0" xfId="0" applyBorder="1" applyAlignment="1"/>
    <xf numFmtId="0" fontId="2" fillId="0" borderId="7" xfId="0" applyFont="1" applyBorder="1" applyAlignment="1">
      <alignment horizont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0" fillId="0" borderId="21" xfId="0" applyBorder="1" applyAlignment="1"/>
    <xf numFmtId="0" fontId="0" fillId="0" borderId="22" xfId="0" applyBorder="1" applyAlignment="1"/>
    <xf numFmtId="0" fontId="9" fillId="0" borderId="0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13" fillId="0" borderId="29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4" fillId="0" borderId="21" xfId="0" applyFont="1" applyBorder="1" applyAlignment="1">
      <alignment horizontal="left" vertical="center"/>
    </xf>
    <xf numFmtId="1" fontId="14" fillId="0" borderId="0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49" fontId="16" fillId="0" borderId="0" xfId="0" applyNumberFormat="1" applyFont="1" applyBorder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right" vertical="center"/>
    </xf>
  </cellXfs>
  <cellStyles count="3">
    <cellStyle name="Currency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352425</xdr:colOff>
      <xdr:row>4</xdr:row>
      <xdr:rowOff>304800</xdr:rowOff>
    </xdr:to>
    <xdr:pic>
      <xdr:nvPicPr>
        <xdr:cNvPr id="1028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"/>
          <a:ext cx="9620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66"/>
  <sheetViews>
    <sheetView tabSelected="1" view="pageBreakPreview" zoomScale="75" zoomScaleNormal="100" workbookViewId="0">
      <selection activeCell="E19" sqref="E19"/>
    </sheetView>
  </sheetViews>
  <sheetFormatPr defaultRowHeight="12.75" x14ac:dyDescent="0.2"/>
  <cols>
    <col min="2" max="2" width="28.140625" customWidth="1"/>
    <col min="3" max="3" width="6.85546875" customWidth="1"/>
    <col min="4" max="4" width="8.7109375" customWidth="1"/>
    <col min="5" max="5" width="28" customWidth="1"/>
    <col min="6" max="6" width="1.28515625" customWidth="1"/>
    <col min="8" max="8" width="27.7109375" customWidth="1"/>
    <col min="9" max="9" width="8.7109375" customWidth="1"/>
    <col min="10" max="10" width="27" customWidth="1"/>
    <col min="11" max="11" width="20.85546875" customWidth="1"/>
    <col min="12" max="12" width="11.85546875" customWidth="1"/>
    <col min="13" max="13" width="8.7109375" customWidth="1"/>
    <col min="14" max="14" width="25.42578125" customWidth="1"/>
    <col min="15" max="15" width="20.85546875" customWidth="1"/>
    <col min="18" max="18" width="11.85546875" customWidth="1"/>
  </cols>
  <sheetData>
    <row r="1" spans="1:14" ht="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1"/>
    </row>
    <row r="2" spans="1:14" ht="20.25" customHeight="1" x14ac:dyDescent="0.2">
      <c r="A2" s="22"/>
      <c r="B2" s="24"/>
      <c r="C2" s="4"/>
      <c r="D2" s="4"/>
      <c r="E2" s="4"/>
      <c r="F2" s="3"/>
      <c r="G2" s="73" t="s">
        <v>31</v>
      </c>
      <c r="H2" s="74"/>
      <c r="I2" s="74"/>
      <c r="J2" s="74"/>
      <c r="K2" s="74"/>
      <c r="L2" s="74"/>
      <c r="M2" s="53"/>
      <c r="N2" s="53"/>
    </row>
    <row r="3" spans="1:14" ht="12.75" customHeight="1" x14ac:dyDescent="0.2">
      <c r="A3" s="27"/>
      <c r="B3" s="27"/>
      <c r="C3" s="4"/>
      <c r="D3" s="4"/>
      <c r="E3" s="4"/>
      <c r="F3" s="3"/>
      <c r="G3" s="74"/>
      <c r="H3" s="74"/>
      <c r="I3" s="74"/>
      <c r="J3" s="74"/>
      <c r="K3" s="74"/>
      <c r="L3" s="74"/>
    </row>
    <row r="4" spans="1:14" ht="27.6" customHeight="1" x14ac:dyDescent="0.2">
      <c r="A4" s="75" t="s">
        <v>0</v>
      </c>
      <c r="B4" s="75"/>
      <c r="C4" s="72">
        <v>2025</v>
      </c>
      <c r="D4" s="72"/>
      <c r="E4" s="72"/>
      <c r="F4" s="4"/>
      <c r="G4" s="4"/>
      <c r="H4" s="4"/>
      <c r="I4" s="4"/>
      <c r="J4" s="4"/>
      <c r="K4" s="4"/>
    </row>
    <row r="5" spans="1:14" ht="28.9" customHeight="1" x14ac:dyDescent="0.2">
      <c r="A5" s="62" t="s">
        <v>4</v>
      </c>
      <c r="B5" s="62"/>
      <c r="C5" s="72" t="s">
        <v>39</v>
      </c>
      <c r="D5" s="72"/>
      <c r="E5" s="72"/>
      <c r="F5" s="72"/>
      <c r="G5" s="72"/>
      <c r="H5" s="72"/>
      <c r="I5" s="4"/>
      <c r="J5" s="4"/>
      <c r="K5" s="4"/>
    </row>
    <row r="6" spans="1:14" ht="27" customHeight="1" x14ac:dyDescent="0.2">
      <c r="A6" s="62" t="s">
        <v>1</v>
      </c>
      <c r="B6" s="62"/>
      <c r="C6" s="67" t="s">
        <v>40</v>
      </c>
      <c r="D6" s="67"/>
      <c r="E6" s="67"/>
      <c r="F6" s="67"/>
      <c r="G6" s="67"/>
      <c r="H6" s="67"/>
      <c r="I6" s="4"/>
      <c r="J6" s="4"/>
      <c r="K6" s="4"/>
    </row>
    <row r="7" spans="1:14" ht="8.25" customHeight="1" x14ac:dyDescent="0.2">
      <c r="A7" s="25"/>
      <c r="B7" s="22"/>
      <c r="C7" s="23"/>
      <c r="D7" s="21"/>
      <c r="E7" s="21"/>
      <c r="F7" s="21"/>
      <c r="G7" s="3"/>
      <c r="H7" s="3"/>
      <c r="I7" s="3"/>
      <c r="J7" s="3"/>
      <c r="K7" s="3"/>
      <c r="L7" s="3"/>
      <c r="M7" s="3"/>
      <c r="N7" s="3"/>
    </row>
    <row r="8" spans="1:14" ht="24.95" customHeight="1" thickBot="1" x14ac:dyDescent="0.25">
      <c r="A8" s="62" t="s">
        <v>21</v>
      </c>
      <c r="B8" s="63"/>
      <c r="C8" s="68">
        <v>999</v>
      </c>
      <c r="D8" s="69"/>
      <c r="E8" s="28">
        <v>4390</v>
      </c>
      <c r="F8" s="21"/>
      <c r="G8" s="3"/>
      <c r="H8" s="3"/>
      <c r="I8" s="3"/>
      <c r="J8" s="3"/>
      <c r="K8" s="1"/>
      <c r="L8" s="1"/>
      <c r="M8" s="1"/>
      <c r="N8" s="1"/>
    </row>
    <row r="9" spans="1:14" ht="14.25" hidden="1" x14ac:dyDescent="0.2">
      <c r="A9" s="57"/>
      <c r="B9" s="57"/>
      <c r="D9" s="2" t="s">
        <v>2</v>
      </c>
    </row>
    <row r="10" spans="1:14" ht="20.100000000000001" customHeight="1" thickTop="1" x14ac:dyDescent="0.3">
      <c r="A10" s="58"/>
      <c r="B10" s="58"/>
      <c r="C10" s="7"/>
      <c r="D10" s="7"/>
      <c r="E10" s="10"/>
      <c r="F10" s="12"/>
      <c r="G10" s="12"/>
      <c r="H10" s="12"/>
      <c r="I10" s="11"/>
      <c r="J10" s="3"/>
      <c r="K10" s="3"/>
      <c r="L10" s="3"/>
      <c r="M10" s="3"/>
      <c r="N10" s="3"/>
    </row>
    <row r="11" spans="1:14" ht="20.100000000000001" customHeight="1" thickBot="1" x14ac:dyDescent="0.35">
      <c r="A11" s="54" t="s">
        <v>6</v>
      </c>
      <c r="B11" s="54"/>
      <c r="C11" s="59"/>
      <c r="D11" s="15" t="s">
        <v>2</v>
      </c>
      <c r="E11" s="15" t="s">
        <v>22</v>
      </c>
      <c r="F11" s="15"/>
      <c r="G11" s="54" t="s">
        <v>19</v>
      </c>
      <c r="H11" s="54"/>
      <c r="I11" s="15" t="s">
        <v>2</v>
      </c>
      <c r="J11" s="15" t="s">
        <v>22</v>
      </c>
      <c r="K11" s="54" t="s">
        <v>23</v>
      </c>
      <c r="L11" s="54"/>
      <c r="M11" s="15" t="s">
        <v>2</v>
      </c>
      <c r="N11" s="15" t="s">
        <v>22</v>
      </c>
    </row>
    <row r="12" spans="1:14" ht="23.45" customHeight="1" thickTop="1" thickBot="1" x14ac:dyDescent="0.35">
      <c r="A12" s="70" t="s">
        <v>3</v>
      </c>
      <c r="B12" s="71"/>
      <c r="C12" s="13"/>
      <c r="D12" s="14">
        <v>100</v>
      </c>
      <c r="E12" s="30"/>
      <c r="F12" s="18"/>
      <c r="G12" s="55"/>
      <c r="H12" s="56"/>
      <c r="I12" s="14"/>
      <c r="J12" s="32"/>
      <c r="K12" s="55"/>
      <c r="L12" s="56"/>
      <c r="M12" s="14"/>
      <c r="N12" s="34"/>
    </row>
    <row r="13" spans="1:14" ht="23.45" customHeight="1" thickTop="1" thickBot="1" x14ac:dyDescent="0.3">
      <c r="A13" s="40" t="s">
        <v>15</v>
      </c>
      <c r="B13" s="41"/>
      <c r="C13" s="6"/>
      <c r="D13" s="5">
        <v>101</v>
      </c>
      <c r="E13" s="30">
        <f>4*47</f>
        <v>188</v>
      </c>
      <c r="F13" s="19"/>
      <c r="G13" s="42" t="s">
        <v>17</v>
      </c>
      <c r="H13" s="43"/>
      <c r="I13" s="5">
        <v>210</v>
      </c>
      <c r="J13" s="30"/>
      <c r="K13" s="42" t="s">
        <v>24</v>
      </c>
      <c r="L13" s="43"/>
      <c r="M13" s="5">
        <v>600</v>
      </c>
      <c r="N13" s="30"/>
    </row>
    <row r="14" spans="1:14" ht="23.45" customHeight="1" thickTop="1" thickBot="1" x14ac:dyDescent="0.3">
      <c r="A14" s="40" t="s">
        <v>17</v>
      </c>
      <c r="B14" s="41"/>
      <c r="C14" s="6"/>
      <c r="D14" s="5">
        <v>110</v>
      </c>
      <c r="E14" s="30"/>
      <c r="F14" s="19"/>
      <c r="G14" s="42" t="s">
        <v>10</v>
      </c>
      <c r="H14" s="43"/>
      <c r="I14" s="5">
        <v>211</v>
      </c>
      <c r="J14" s="30">
        <f>88+696+75+30</f>
        <v>889</v>
      </c>
      <c r="K14" s="42" t="s">
        <v>25</v>
      </c>
      <c r="L14" s="43"/>
      <c r="M14" s="5">
        <v>601</v>
      </c>
      <c r="N14" s="30"/>
    </row>
    <row r="15" spans="1:14" ht="23.45" customHeight="1" thickTop="1" thickBot="1" x14ac:dyDescent="0.3">
      <c r="A15" s="40" t="s">
        <v>37</v>
      </c>
      <c r="B15" s="41"/>
      <c r="C15" s="6"/>
      <c r="D15" s="5">
        <v>111</v>
      </c>
      <c r="E15" s="30">
        <f>(14+17)*27</f>
        <v>837</v>
      </c>
      <c r="F15" s="19"/>
      <c r="G15" s="42" t="s">
        <v>11</v>
      </c>
      <c r="H15" s="43"/>
      <c r="I15" s="5">
        <v>212</v>
      </c>
      <c r="J15" s="30"/>
      <c r="K15" s="42" t="s">
        <v>26</v>
      </c>
      <c r="L15" s="43"/>
      <c r="M15" s="5">
        <v>602</v>
      </c>
      <c r="N15" s="30"/>
    </row>
    <row r="16" spans="1:14" ht="23.45" customHeight="1" thickTop="1" thickBot="1" x14ac:dyDescent="0.3">
      <c r="A16" s="40" t="s">
        <v>36</v>
      </c>
      <c r="B16" s="41"/>
      <c r="C16" s="6"/>
      <c r="D16" s="5">
        <v>112</v>
      </c>
      <c r="E16" s="30"/>
      <c r="F16" s="19"/>
      <c r="G16" s="42" t="s">
        <v>12</v>
      </c>
      <c r="H16" s="43"/>
      <c r="I16" s="5">
        <v>213</v>
      </c>
      <c r="J16" s="30"/>
      <c r="K16" s="42" t="s">
        <v>27</v>
      </c>
      <c r="L16" s="43"/>
      <c r="M16" s="5">
        <v>603</v>
      </c>
      <c r="N16" s="30"/>
    </row>
    <row r="17" spans="1:14" ht="23.45" customHeight="1" thickTop="1" thickBot="1" x14ac:dyDescent="0.3">
      <c r="A17" s="40" t="s">
        <v>12</v>
      </c>
      <c r="B17" s="41"/>
      <c r="C17" s="6"/>
      <c r="D17" s="5">
        <v>113</v>
      </c>
      <c r="E17" s="30"/>
      <c r="F17" s="19"/>
      <c r="G17" s="42" t="s">
        <v>7</v>
      </c>
      <c r="H17" s="43"/>
      <c r="I17" s="5">
        <v>220</v>
      </c>
      <c r="J17" s="30"/>
      <c r="K17" s="42" t="s">
        <v>28</v>
      </c>
      <c r="L17" s="43"/>
      <c r="M17" s="5">
        <v>604</v>
      </c>
      <c r="N17" s="30"/>
    </row>
    <row r="18" spans="1:14" ht="23.45" customHeight="1" thickTop="1" thickBot="1" x14ac:dyDescent="0.3">
      <c r="A18" s="40" t="s">
        <v>35</v>
      </c>
      <c r="B18" s="41"/>
      <c r="C18" s="6"/>
      <c r="D18" s="5">
        <v>120</v>
      </c>
      <c r="E18" s="30"/>
      <c r="F18" s="19"/>
      <c r="G18" s="42" t="s">
        <v>8</v>
      </c>
      <c r="H18" s="43"/>
      <c r="I18" s="5">
        <v>230</v>
      </c>
      <c r="J18" s="30">
        <v>16</v>
      </c>
      <c r="K18" s="42" t="s">
        <v>34</v>
      </c>
      <c r="L18" s="43"/>
      <c r="M18" s="5" t="s">
        <v>34</v>
      </c>
      <c r="N18" s="30"/>
    </row>
    <row r="19" spans="1:14" ht="23.45" customHeight="1" thickTop="1" thickBot="1" x14ac:dyDescent="0.3">
      <c r="A19" s="40" t="s">
        <v>8</v>
      </c>
      <c r="B19" s="41"/>
      <c r="C19" s="6"/>
      <c r="D19" s="5">
        <v>130</v>
      </c>
      <c r="E19" s="30">
        <f>2*27</f>
        <v>54</v>
      </c>
      <c r="F19" s="19"/>
      <c r="G19" s="42" t="s">
        <v>38</v>
      </c>
      <c r="H19" s="43"/>
      <c r="I19" s="5">
        <v>240</v>
      </c>
      <c r="J19" s="30"/>
      <c r="K19" s="42" t="s">
        <v>29</v>
      </c>
      <c r="L19" s="43"/>
      <c r="M19" s="5">
        <v>606</v>
      </c>
      <c r="N19" s="30"/>
    </row>
    <row r="20" spans="1:14" ht="23.45" customHeight="1" thickTop="1" thickBot="1" x14ac:dyDescent="0.3">
      <c r="A20" s="40" t="s">
        <v>9</v>
      </c>
      <c r="B20" s="41"/>
      <c r="C20" s="6"/>
      <c r="D20" s="5">
        <v>140</v>
      </c>
      <c r="E20" s="30"/>
      <c r="F20" s="19"/>
      <c r="G20" s="42" t="s">
        <v>20</v>
      </c>
      <c r="H20" s="43"/>
      <c r="I20" s="5">
        <v>241</v>
      </c>
      <c r="J20" s="30"/>
      <c r="K20" s="42" t="s">
        <v>30</v>
      </c>
      <c r="L20" s="43"/>
      <c r="M20" s="5">
        <v>607</v>
      </c>
      <c r="N20" s="30"/>
    </row>
    <row r="21" spans="1:14" ht="23.45" customHeight="1" thickTop="1" thickBot="1" x14ac:dyDescent="0.3">
      <c r="A21" s="40" t="s">
        <v>20</v>
      </c>
      <c r="B21" s="41"/>
      <c r="C21" s="6"/>
      <c r="D21" s="5">
        <v>141</v>
      </c>
      <c r="E21" s="30"/>
      <c r="F21" s="19"/>
      <c r="G21" s="42" t="s">
        <v>16</v>
      </c>
      <c r="H21" s="43"/>
      <c r="I21" s="5">
        <v>242</v>
      </c>
      <c r="J21" s="30"/>
      <c r="K21" s="42"/>
      <c r="L21" s="43"/>
      <c r="M21" s="5"/>
      <c r="N21" s="30"/>
    </row>
    <row r="22" spans="1:14" ht="23.45" customHeight="1" thickTop="1" thickBot="1" x14ac:dyDescent="0.3">
      <c r="A22" s="40" t="s">
        <v>16</v>
      </c>
      <c r="B22" s="41"/>
      <c r="C22" s="6"/>
      <c r="D22" s="5">
        <v>142</v>
      </c>
      <c r="E22" s="30"/>
      <c r="F22" s="19"/>
      <c r="G22" s="42" t="s">
        <v>32</v>
      </c>
      <c r="H22" s="43"/>
      <c r="I22" s="5">
        <v>243</v>
      </c>
      <c r="J22" s="30"/>
      <c r="K22" s="42"/>
      <c r="L22" s="43"/>
      <c r="M22" s="5"/>
      <c r="N22" s="30"/>
    </row>
    <row r="23" spans="1:14" ht="23.45" customHeight="1" thickTop="1" thickBot="1" x14ac:dyDescent="0.3">
      <c r="A23" s="40" t="s">
        <v>32</v>
      </c>
      <c r="B23" s="41"/>
      <c r="C23" s="6"/>
      <c r="D23" s="5">
        <v>143</v>
      </c>
      <c r="E23" s="30"/>
      <c r="F23" s="19"/>
      <c r="G23" s="42" t="s">
        <v>33</v>
      </c>
      <c r="H23" s="43"/>
      <c r="I23" s="5">
        <v>244</v>
      </c>
      <c r="J23" s="30"/>
      <c r="K23" s="42"/>
      <c r="L23" s="43"/>
      <c r="M23" s="5"/>
      <c r="N23" s="30"/>
    </row>
    <row r="24" spans="1:14" ht="23.45" customHeight="1" thickTop="1" thickBot="1" x14ac:dyDescent="0.3">
      <c r="A24" s="40" t="s">
        <v>33</v>
      </c>
      <c r="B24" s="41"/>
      <c r="C24" s="6"/>
      <c r="D24" s="5">
        <v>144</v>
      </c>
      <c r="E24" s="30"/>
      <c r="F24" s="19"/>
      <c r="G24" s="42" t="s">
        <v>13</v>
      </c>
      <c r="H24" s="43"/>
      <c r="I24" s="5">
        <v>250</v>
      </c>
      <c r="J24" s="30"/>
      <c r="K24" s="42"/>
      <c r="L24" s="43"/>
      <c r="M24" s="5"/>
      <c r="N24" s="30"/>
    </row>
    <row r="25" spans="1:14" ht="23.45" customHeight="1" thickTop="1" thickBot="1" x14ac:dyDescent="0.3">
      <c r="A25" s="40" t="s">
        <v>13</v>
      </c>
      <c r="B25" s="41"/>
      <c r="C25" s="6"/>
      <c r="D25" s="5">
        <v>150</v>
      </c>
      <c r="E25" s="30"/>
      <c r="F25" s="19"/>
      <c r="G25" s="40" t="s">
        <v>14</v>
      </c>
      <c r="H25" s="41"/>
      <c r="I25" s="5">
        <v>251</v>
      </c>
      <c r="J25" s="30"/>
      <c r="K25" s="44"/>
      <c r="L25" s="45"/>
      <c r="M25" s="5"/>
      <c r="N25" s="30"/>
    </row>
    <row r="26" spans="1:14" ht="23.45" customHeight="1" thickTop="1" thickBot="1" x14ac:dyDescent="0.3">
      <c r="A26" s="40" t="s">
        <v>14</v>
      </c>
      <c r="B26" s="41"/>
      <c r="C26" s="6"/>
      <c r="D26" s="5">
        <v>151</v>
      </c>
      <c r="E26" s="30"/>
      <c r="F26" s="19"/>
      <c r="G26" s="40" t="s">
        <v>34</v>
      </c>
      <c r="H26" s="41"/>
      <c r="I26" s="5" t="s">
        <v>34</v>
      </c>
      <c r="J26" s="30"/>
      <c r="K26" s="44"/>
      <c r="L26" s="45"/>
      <c r="M26" s="5"/>
      <c r="N26" s="30"/>
    </row>
    <row r="27" spans="1:14" ht="23.45" customHeight="1" thickTop="1" thickBot="1" x14ac:dyDescent="0.3">
      <c r="A27" s="40" t="s">
        <v>34</v>
      </c>
      <c r="B27" s="41"/>
      <c r="C27" s="6"/>
      <c r="D27" s="5" t="s">
        <v>34</v>
      </c>
      <c r="E27" s="30"/>
      <c r="F27" s="19"/>
      <c r="G27" s="44"/>
      <c r="H27" s="45"/>
      <c r="I27" s="5" t="s">
        <v>34</v>
      </c>
      <c r="J27" s="30"/>
      <c r="K27" s="44"/>
      <c r="L27" s="45"/>
      <c r="M27" s="5"/>
      <c r="N27" s="30"/>
    </row>
    <row r="28" spans="1:14" ht="20.100000000000001" customHeight="1" thickTop="1" thickBot="1" x14ac:dyDescent="0.3">
      <c r="A28" s="40" t="s">
        <v>34</v>
      </c>
      <c r="B28" s="41"/>
      <c r="C28" s="6"/>
      <c r="D28" s="5" t="s">
        <v>34</v>
      </c>
      <c r="E28" s="30"/>
      <c r="F28" s="19"/>
      <c r="G28" s="44"/>
      <c r="H28" s="45"/>
      <c r="I28" s="5" t="s">
        <v>34</v>
      </c>
      <c r="J28" s="30"/>
      <c r="K28" s="44"/>
      <c r="L28" s="45"/>
      <c r="M28" s="5"/>
      <c r="N28" s="30"/>
    </row>
    <row r="29" spans="1:14" ht="20.100000000000001" customHeight="1" thickTop="1" thickBot="1" x14ac:dyDescent="0.3">
      <c r="A29" s="40" t="s">
        <v>34</v>
      </c>
      <c r="B29" s="41"/>
      <c r="C29" s="6"/>
      <c r="D29" s="5" t="s">
        <v>34</v>
      </c>
      <c r="E29" s="30"/>
      <c r="F29" s="19"/>
      <c r="G29" s="44"/>
      <c r="H29" s="45"/>
      <c r="I29" s="5" t="s">
        <v>34</v>
      </c>
      <c r="J29" s="30"/>
      <c r="K29" s="44"/>
      <c r="L29" s="45"/>
      <c r="M29" s="5"/>
      <c r="N29" s="30"/>
    </row>
    <row r="30" spans="1:14" ht="20.100000000000001" customHeight="1" thickTop="1" thickBot="1" x14ac:dyDescent="0.3">
      <c r="A30" s="40"/>
      <c r="B30" s="41"/>
      <c r="C30" s="6"/>
      <c r="D30" s="5" t="s">
        <v>34</v>
      </c>
      <c r="E30" s="30"/>
      <c r="F30" s="19"/>
      <c r="G30" s="44"/>
      <c r="H30" s="45"/>
      <c r="I30" s="5" t="s">
        <v>34</v>
      </c>
      <c r="J30" s="30"/>
      <c r="K30" s="44"/>
      <c r="L30" s="45"/>
      <c r="M30" s="5"/>
      <c r="N30" s="30"/>
    </row>
    <row r="31" spans="1:14" ht="20.100000000000001" customHeight="1" thickTop="1" thickBot="1" x14ac:dyDescent="0.3">
      <c r="A31" s="40"/>
      <c r="B31" s="41"/>
      <c r="C31" s="6"/>
      <c r="D31" s="5" t="s">
        <v>34</v>
      </c>
      <c r="E31" s="30"/>
      <c r="F31" s="19"/>
      <c r="G31" s="44"/>
      <c r="H31" s="45"/>
      <c r="I31" s="5" t="s">
        <v>34</v>
      </c>
      <c r="J31" s="30"/>
      <c r="K31" s="44"/>
      <c r="L31" s="45"/>
      <c r="M31" s="5"/>
      <c r="N31" s="30"/>
    </row>
    <row r="32" spans="1:14" ht="20.100000000000001" customHeight="1" thickTop="1" thickBot="1" x14ac:dyDescent="0.3">
      <c r="A32" s="40"/>
      <c r="B32" s="41"/>
      <c r="C32" s="6"/>
      <c r="D32" s="5" t="s">
        <v>34</v>
      </c>
      <c r="E32" s="30"/>
      <c r="F32" s="19"/>
      <c r="G32" s="44"/>
      <c r="H32" s="45"/>
      <c r="I32" s="5" t="s">
        <v>34</v>
      </c>
      <c r="J32" s="30"/>
      <c r="K32" s="44"/>
      <c r="L32" s="45"/>
      <c r="M32" s="5"/>
      <c r="N32" s="30"/>
    </row>
    <row r="33" spans="1:18" ht="20.100000000000001" customHeight="1" thickTop="1" thickBot="1" x14ac:dyDescent="0.3">
      <c r="A33" s="40"/>
      <c r="B33" s="41"/>
      <c r="C33" s="6"/>
      <c r="D33" s="5" t="s">
        <v>34</v>
      </c>
      <c r="E33" s="30"/>
      <c r="F33" s="19"/>
      <c r="G33" s="44"/>
      <c r="H33" s="45"/>
      <c r="I33" s="5" t="s">
        <v>34</v>
      </c>
      <c r="J33" s="30"/>
      <c r="K33" s="44"/>
      <c r="L33" s="45"/>
      <c r="M33" s="5"/>
      <c r="N33" s="30"/>
    </row>
    <row r="34" spans="1:18" ht="20.100000000000001" customHeight="1" thickTop="1" thickBot="1" x14ac:dyDescent="0.3">
      <c r="A34" s="40"/>
      <c r="B34" s="41"/>
      <c r="C34" s="6"/>
      <c r="D34" s="5" t="s">
        <v>34</v>
      </c>
      <c r="E34" s="30"/>
      <c r="F34" s="19"/>
      <c r="G34" s="44"/>
      <c r="H34" s="45"/>
      <c r="I34" s="5" t="s">
        <v>34</v>
      </c>
      <c r="J34" s="30"/>
      <c r="K34" s="44"/>
      <c r="L34" s="45"/>
      <c r="M34" s="5"/>
      <c r="N34" s="30"/>
      <c r="R34" s="35"/>
    </row>
    <row r="35" spans="1:18" ht="20.100000000000001" customHeight="1" thickTop="1" thickBot="1" x14ac:dyDescent="0.3">
      <c r="A35" s="40"/>
      <c r="B35" s="41"/>
      <c r="C35" s="6"/>
      <c r="D35" s="5" t="s">
        <v>34</v>
      </c>
      <c r="E35" s="30"/>
      <c r="F35" s="19"/>
      <c r="G35" s="44"/>
      <c r="H35" s="45"/>
      <c r="I35" s="5" t="s">
        <v>34</v>
      </c>
      <c r="J35" s="30"/>
      <c r="K35" s="44"/>
      <c r="L35" s="45"/>
      <c r="M35" s="5"/>
      <c r="N35" s="30"/>
    </row>
    <row r="36" spans="1:18" ht="20.100000000000001" customHeight="1" thickTop="1" thickBot="1" x14ac:dyDescent="0.3">
      <c r="A36" s="40"/>
      <c r="B36" s="41"/>
      <c r="C36" s="6"/>
      <c r="D36" s="5" t="s">
        <v>34</v>
      </c>
      <c r="E36" s="30"/>
      <c r="F36" s="19"/>
      <c r="G36" s="44"/>
      <c r="H36" s="45"/>
      <c r="I36" s="5" t="s">
        <v>34</v>
      </c>
      <c r="J36" s="30"/>
      <c r="K36" s="44"/>
      <c r="L36" s="45"/>
      <c r="M36" s="5"/>
      <c r="N36" s="30"/>
    </row>
    <row r="37" spans="1:18" ht="20.100000000000001" customHeight="1" thickTop="1" thickBot="1" x14ac:dyDescent="0.3">
      <c r="A37" s="40"/>
      <c r="B37" s="41"/>
      <c r="C37" s="6"/>
      <c r="D37" s="5" t="s">
        <v>34</v>
      </c>
      <c r="E37" s="30"/>
      <c r="F37" s="19"/>
      <c r="G37" s="44"/>
      <c r="H37" s="45"/>
      <c r="I37" s="5" t="s">
        <v>34</v>
      </c>
      <c r="J37" s="30"/>
      <c r="K37" s="44"/>
      <c r="L37" s="45"/>
      <c r="M37" s="5"/>
      <c r="N37" s="30"/>
    </row>
    <row r="38" spans="1:18" ht="20.100000000000001" customHeight="1" thickTop="1" thickBot="1" x14ac:dyDescent="0.3">
      <c r="A38" s="40"/>
      <c r="B38" s="41"/>
      <c r="C38" s="6"/>
      <c r="D38" s="5" t="s">
        <v>34</v>
      </c>
      <c r="E38" s="30"/>
      <c r="F38" s="19"/>
      <c r="G38" s="44"/>
      <c r="H38" s="45"/>
      <c r="I38" s="5" t="s">
        <v>34</v>
      </c>
      <c r="J38" s="30"/>
      <c r="K38" s="44"/>
      <c r="L38" s="45"/>
      <c r="M38" s="5"/>
      <c r="N38" s="30"/>
    </row>
    <row r="39" spans="1:18" ht="20.100000000000001" customHeight="1" thickTop="1" thickBot="1" x14ac:dyDescent="0.3">
      <c r="A39" s="40"/>
      <c r="B39" s="41"/>
      <c r="C39" s="6"/>
      <c r="D39" s="5" t="s">
        <v>34</v>
      </c>
      <c r="E39" s="30"/>
      <c r="F39" s="19"/>
      <c r="G39" s="44"/>
      <c r="H39" s="45"/>
      <c r="I39" s="5" t="s">
        <v>34</v>
      </c>
      <c r="J39" s="30"/>
      <c r="K39" s="44"/>
      <c r="L39" s="45"/>
      <c r="M39" s="5"/>
      <c r="N39" s="30"/>
    </row>
    <row r="40" spans="1:18" ht="20.100000000000001" customHeight="1" thickTop="1" thickBot="1" x14ac:dyDescent="0.3">
      <c r="A40" s="46" t="s">
        <v>18</v>
      </c>
      <c r="B40" s="47"/>
      <c r="C40" s="29">
        <v>0.45</v>
      </c>
      <c r="D40" s="5"/>
      <c r="E40" s="31">
        <f>SUM(E12:E39,N18,N19)*C40</f>
        <v>485.55</v>
      </c>
      <c r="F40" s="19"/>
      <c r="G40" s="44"/>
      <c r="H40" s="45"/>
      <c r="I40" s="5" t="s">
        <v>34</v>
      </c>
      <c r="J40" s="30"/>
      <c r="K40" s="44"/>
      <c r="L40" s="45"/>
      <c r="M40" s="5"/>
      <c r="N40" s="30"/>
    </row>
    <row r="41" spans="1:18" ht="20.100000000000001" customHeight="1" thickTop="1" thickBot="1" x14ac:dyDescent="0.25">
      <c r="A41" s="46" t="s">
        <v>18</v>
      </c>
      <c r="B41" s="47"/>
      <c r="C41" s="26">
        <v>7.6499999999999999E-2</v>
      </c>
      <c r="D41" s="8"/>
      <c r="E41" s="31">
        <f>SUM(E12:E39,N18,N19)*C41</f>
        <v>82.543499999999995</v>
      </c>
      <c r="F41" s="20"/>
      <c r="G41" s="48"/>
      <c r="H41" s="49"/>
      <c r="I41" s="9"/>
      <c r="J41" s="33"/>
      <c r="K41" s="48"/>
      <c r="L41" s="49"/>
      <c r="M41" s="9"/>
      <c r="N41" s="30"/>
    </row>
    <row r="42" spans="1:18" ht="20.100000000000001" customHeight="1" thickTop="1" x14ac:dyDescent="0.2">
      <c r="A42" s="64" t="s">
        <v>5</v>
      </c>
      <c r="B42" s="65"/>
      <c r="C42" s="65"/>
      <c r="D42" s="65"/>
      <c r="E42" s="65"/>
      <c r="F42" s="65"/>
      <c r="G42" s="65"/>
      <c r="H42" s="65"/>
      <c r="I42" s="65"/>
      <c r="J42" s="65"/>
      <c r="K42" s="66"/>
      <c r="L42" s="66"/>
      <c r="M42" s="66"/>
      <c r="N42" s="66"/>
    </row>
    <row r="43" spans="1:18" ht="20.100000000000001" customHeight="1" x14ac:dyDescent="0.2">
      <c r="A43" s="50" t="s">
        <v>41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2"/>
    </row>
    <row r="44" spans="1:18" ht="20.100000000000001" customHeight="1" x14ac:dyDescent="0.2">
      <c r="A44" s="36" t="s">
        <v>42</v>
      </c>
      <c r="B44" s="37"/>
      <c r="C44" s="37"/>
      <c r="D44" s="37"/>
      <c r="E44" s="37"/>
      <c r="F44" s="37"/>
      <c r="G44" s="37"/>
      <c r="H44" s="37"/>
      <c r="I44" s="37"/>
      <c r="J44" s="37"/>
      <c r="K44" s="38"/>
      <c r="L44" s="38"/>
      <c r="M44" s="38"/>
      <c r="N44" s="39"/>
    </row>
    <row r="45" spans="1:18" ht="20.100000000000001" customHeight="1" x14ac:dyDescent="0.2">
      <c r="A45" s="36"/>
      <c r="B45" s="37"/>
      <c r="C45" s="37"/>
      <c r="D45" s="37"/>
      <c r="E45" s="37"/>
      <c r="F45" s="37"/>
      <c r="G45" s="37"/>
      <c r="H45" s="37"/>
      <c r="I45" s="37"/>
      <c r="J45" s="37"/>
      <c r="K45" s="38"/>
      <c r="L45" s="38"/>
      <c r="M45" s="38"/>
      <c r="N45" s="39"/>
    </row>
    <row r="46" spans="1:18" ht="27.95" customHeight="1" x14ac:dyDescent="0.2">
      <c r="A46" s="36"/>
      <c r="B46" s="37"/>
      <c r="C46" s="37"/>
      <c r="D46" s="37"/>
      <c r="E46" s="37"/>
      <c r="F46" s="37"/>
      <c r="G46" s="37"/>
      <c r="H46" s="37"/>
      <c r="I46" s="37"/>
      <c r="J46" s="37"/>
      <c r="K46" s="60"/>
      <c r="L46" s="60"/>
      <c r="M46" s="60"/>
      <c r="N46" s="61"/>
    </row>
    <row r="47" spans="1:18" ht="15" x14ac:dyDescent="0.2">
      <c r="A47" s="16"/>
      <c r="B47" s="16"/>
      <c r="C47" s="3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</row>
    <row r="48" spans="1:18" x14ac:dyDescent="0.2">
      <c r="A48" s="3"/>
      <c r="B48" s="3"/>
      <c r="C48" s="3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spans="1:36" x14ac:dyDescent="0.2">
      <c r="A49" s="3"/>
      <c r="B49" s="3"/>
      <c r="C49" s="3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</row>
    <row r="50" spans="1:36" x14ac:dyDescent="0.2">
      <c r="A50" s="1"/>
      <c r="B50" s="1"/>
      <c r="C50" s="1"/>
    </row>
    <row r="51" spans="1:36" x14ac:dyDescent="0.2">
      <c r="A51" s="1"/>
      <c r="B51" s="1"/>
      <c r="C51" s="1"/>
    </row>
    <row r="52" spans="1:36" x14ac:dyDescent="0.2">
      <c r="A52" s="1"/>
      <c r="B52" s="1"/>
      <c r="C52" s="1"/>
    </row>
    <row r="53" spans="1:36" x14ac:dyDescent="0.2">
      <c r="A53" s="1"/>
      <c r="B53" s="1"/>
      <c r="C53" s="1"/>
    </row>
    <row r="54" spans="1:36" x14ac:dyDescent="0.2">
      <c r="A54" s="1"/>
      <c r="B54" s="1"/>
      <c r="C54" s="1"/>
    </row>
    <row r="55" spans="1:36" x14ac:dyDescent="0.2">
      <c r="A55" s="1"/>
      <c r="B55" s="1"/>
      <c r="C55" s="1"/>
    </row>
    <row r="56" spans="1:36" x14ac:dyDescent="0.2">
      <c r="A56" s="1"/>
      <c r="B56" s="1"/>
      <c r="C56" s="1"/>
    </row>
    <row r="57" spans="1:36" x14ac:dyDescent="0.2">
      <c r="A57" s="1"/>
      <c r="B57" s="1"/>
      <c r="C57" s="1"/>
    </row>
    <row r="58" spans="1:36" x14ac:dyDescent="0.2">
      <c r="A58" s="1"/>
      <c r="B58" s="1"/>
      <c r="C58" s="1"/>
    </row>
    <row r="59" spans="1:36" x14ac:dyDescent="0.2">
      <c r="A59" s="1"/>
      <c r="B59" s="1"/>
      <c r="C59" s="1"/>
    </row>
    <row r="60" spans="1:36" x14ac:dyDescent="0.2">
      <c r="A60" s="1"/>
      <c r="B60" s="1"/>
      <c r="C60" s="1"/>
    </row>
    <row r="61" spans="1:36" x14ac:dyDescent="0.2">
      <c r="A61" s="1"/>
      <c r="B61" s="1"/>
      <c r="C61" s="1"/>
    </row>
    <row r="62" spans="1:36" x14ac:dyDescent="0.2">
      <c r="A62" s="1"/>
      <c r="B62" s="1"/>
      <c r="C62" s="1"/>
    </row>
    <row r="63" spans="1:36" x14ac:dyDescent="0.2">
      <c r="A63" s="1"/>
      <c r="B63" s="1"/>
      <c r="C63" s="1"/>
    </row>
    <row r="64" spans="1:36" x14ac:dyDescent="0.2">
      <c r="A64" s="1"/>
      <c r="B64" s="1"/>
      <c r="C64" s="1"/>
    </row>
    <row r="65" spans="1:3" x14ac:dyDescent="0.2">
      <c r="A65" s="1"/>
      <c r="B65" s="1"/>
      <c r="C65" s="1"/>
    </row>
    <row r="66" spans="1:3" x14ac:dyDescent="0.2">
      <c r="A66" s="1"/>
      <c r="B66" s="1"/>
      <c r="C66" s="1"/>
    </row>
  </sheetData>
  <mergeCells count="110">
    <mergeCell ref="C4:E4"/>
    <mergeCell ref="G2:L3"/>
    <mergeCell ref="A4:B4"/>
    <mergeCell ref="K40:L40"/>
    <mergeCell ref="K35:L35"/>
    <mergeCell ref="K36:L36"/>
    <mergeCell ref="K31:L31"/>
    <mergeCell ref="K32:L32"/>
    <mergeCell ref="K33:L33"/>
    <mergeCell ref="C5:H5"/>
    <mergeCell ref="A24:B24"/>
    <mergeCell ref="G23:H23"/>
    <mergeCell ref="A20:B20"/>
    <mergeCell ref="A21:B21"/>
    <mergeCell ref="A22:B22"/>
    <mergeCell ref="K24:L24"/>
    <mergeCell ref="A40:B40"/>
    <mergeCell ref="A26:B26"/>
    <mergeCell ref="A27:B27"/>
    <mergeCell ref="A28:B28"/>
    <mergeCell ref="A29:B29"/>
    <mergeCell ref="A30:B30"/>
    <mergeCell ref="G21:H21"/>
    <mergeCell ref="G20:H20"/>
    <mergeCell ref="A46:N46"/>
    <mergeCell ref="A5:B5"/>
    <mergeCell ref="A6:B6"/>
    <mergeCell ref="A8:B8"/>
    <mergeCell ref="K41:L41"/>
    <mergeCell ref="A42:N42"/>
    <mergeCell ref="K20:L20"/>
    <mergeCell ref="K21:L21"/>
    <mergeCell ref="K22:L22"/>
    <mergeCell ref="K23:L23"/>
    <mergeCell ref="K39:L39"/>
    <mergeCell ref="K38:L38"/>
    <mergeCell ref="C6:H6"/>
    <mergeCell ref="C8:D8"/>
    <mergeCell ref="K34:L34"/>
    <mergeCell ref="K27:L27"/>
    <mergeCell ref="K28:L28"/>
    <mergeCell ref="K30:L30"/>
    <mergeCell ref="K37:L37"/>
    <mergeCell ref="K18:L18"/>
    <mergeCell ref="A12:B12"/>
    <mergeCell ref="A13:B13"/>
    <mergeCell ref="A14:B14"/>
    <mergeCell ref="A15:B15"/>
    <mergeCell ref="M2:N2"/>
    <mergeCell ref="G17:H17"/>
    <mergeCell ref="G18:H18"/>
    <mergeCell ref="K11:L11"/>
    <mergeCell ref="K12:L12"/>
    <mergeCell ref="A18:B18"/>
    <mergeCell ref="A19:B19"/>
    <mergeCell ref="A16:B16"/>
    <mergeCell ref="A17:B17"/>
    <mergeCell ref="G12:H12"/>
    <mergeCell ref="K19:L19"/>
    <mergeCell ref="A9:B9"/>
    <mergeCell ref="A10:B10"/>
    <mergeCell ref="A11:C11"/>
    <mergeCell ref="K13:L13"/>
    <mergeCell ref="K14:L14"/>
    <mergeCell ref="K15:L15"/>
    <mergeCell ref="K16:L16"/>
    <mergeCell ref="K17:L17"/>
    <mergeCell ref="G19:H19"/>
    <mergeCell ref="G11:H11"/>
    <mergeCell ref="G13:H13"/>
    <mergeCell ref="G14:H14"/>
    <mergeCell ref="G15:H15"/>
    <mergeCell ref="A25:B25"/>
    <mergeCell ref="K29:L29"/>
    <mergeCell ref="K25:L25"/>
    <mergeCell ref="K26:L26"/>
    <mergeCell ref="A23:B23"/>
    <mergeCell ref="G22:H22"/>
    <mergeCell ref="G25:H25"/>
    <mergeCell ref="A43:N43"/>
    <mergeCell ref="A44:N44"/>
    <mergeCell ref="G29:H29"/>
    <mergeCell ref="G32:H32"/>
    <mergeCell ref="G33:H33"/>
    <mergeCell ref="G35:H35"/>
    <mergeCell ref="G24:H24"/>
    <mergeCell ref="A45:N45"/>
    <mergeCell ref="A39:B39"/>
    <mergeCell ref="G16:H16"/>
    <mergeCell ref="A36:B36"/>
    <mergeCell ref="A37:B37"/>
    <mergeCell ref="A34:B34"/>
    <mergeCell ref="A35:B35"/>
    <mergeCell ref="G30:H30"/>
    <mergeCell ref="G36:H36"/>
    <mergeCell ref="A31:B31"/>
    <mergeCell ref="G31:H31"/>
    <mergeCell ref="A32:B32"/>
    <mergeCell ref="A33:B33"/>
    <mergeCell ref="A41:B41"/>
    <mergeCell ref="G38:H38"/>
    <mergeCell ref="G39:H39"/>
    <mergeCell ref="G40:H40"/>
    <mergeCell ref="G41:H41"/>
    <mergeCell ref="A38:B38"/>
    <mergeCell ref="G26:H26"/>
    <mergeCell ref="G27:H27"/>
    <mergeCell ref="G28:H28"/>
    <mergeCell ref="G37:H37"/>
    <mergeCell ref="G34:H34"/>
  </mergeCells>
  <phoneticPr fontId="0" type="noConversion"/>
  <printOptions horizontalCentered="1" verticalCentered="1"/>
  <pageMargins left="0.5" right="0.5" top="0.25" bottom="0" header="0" footer="0"/>
  <pageSetup scale="58" orientation="landscape" r:id="rId1"/>
  <headerFooter alignWithMargins="0">
    <oddFooter>&amp;L&amp;F&amp;R&amp;D</oddFooter>
  </headerFooter>
  <rowBreaks count="1" manualBreakCount="1">
    <brk id="46" max="1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Onewayplumbing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Richard Donelson</cp:lastModifiedBy>
  <cp:lastPrinted>2016-03-23T18:37:47Z</cp:lastPrinted>
  <dcterms:created xsi:type="dcterms:W3CDTF">2007-06-15T20:21:01Z</dcterms:created>
  <dcterms:modified xsi:type="dcterms:W3CDTF">2017-02-01T01:02:38Z</dcterms:modified>
</cp:coreProperties>
</file>