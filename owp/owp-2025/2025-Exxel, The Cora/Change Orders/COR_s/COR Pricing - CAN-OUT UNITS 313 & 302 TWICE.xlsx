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  <c r="J20" i="1"/>
  <c r="J21" i="1"/>
  <c r="J22" i="1"/>
  <c r="J23" i="1"/>
  <c r="J24" i="1"/>
  <c r="J25" i="1"/>
  <c r="J26" i="1"/>
  <c r="J27" i="1"/>
  <c r="G19" i="1" l="1"/>
  <c r="J19" i="1" s="1"/>
  <c r="G18" i="1"/>
  <c r="J18" i="1" s="1"/>
  <c r="J33" i="1" s="1"/>
  <c r="G17" i="1"/>
  <c r="J17" i="1" s="1"/>
  <c r="F31" i="1"/>
  <c r="F30" i="1"/>
  <c r="F29" i="1"/>
  <c r="L33" i="1"/>
  <c r="L34" i="1" l="1"/>
  <c r="L35" i="1" s="1"/>
  <c r="J34" i="1" l="1"/>
  <c r="J35" i="1" s="1"/>
  <c r="F34" i="1"/>
  <c r="F35" i="1" s="1"/>
  <c r="B37" i="1" l="1"/>
</calcChain>
</file>

<file path=xl/sharedStrings.xml><?xml version="1.0" encoding="utf-8"?>
<sst xmlns="http://schemas.openxmlformats.org/spreadsheetml/2006/main" count="53" uniqueCount="36">
  <si>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</si>
  <si>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</si>
  <si>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</si>
  <si>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</si>
  <si>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</si>
  <si>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</si>
  <si>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</si>
  <si>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</si>
  <si>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</si>
  <si>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</si>
  <si>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</si>
  <si>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</si>
  <si>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</si>
  <si>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</si>
  <si>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</si>
  <si>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Totals</t>
  </si>
  <si>
    <t>HRS</t>
  </si>
  <si>
    <t>Total this item</t>
  </si>
  <si>
    <t>Quan</t>
  </si>
  <si>
    <t>2025 CORA</t>
  </si>
  <si>
    <t>2" PROSET BLACK</t>
  </si>
  <si>
    <t>3" PROSET BLACK</t>
  </si>
  <si>
    <t>4" PROSET BLACK</t>
  </si>
  <si>
    <t>2" PROSET REGULAR BASE</t>
  </si>
  <si>
    <t>2" PROSET SELF SEAL BASE</t>
  </si>
  <si>
    <t>3" PROSET SELF SEAL BASE</t>
  </si>
  <si>
    <t>4" PROSET SELF SEAL BASE</t>
  </si>
  <si>
    <t>2" PROSET COUPLING CAPS</t>
  </si>
  <si>
    <t>3" PROSET COUPLING CAPS</t>
  </si>
  <si>
    <t>PROSET TUB BOX</t>
  </si>
  <si>
    <t>PROSET SHOWER BOX</t>
  </si>
  <si>
    <t>LABOR</t>
  </si>
  <si>
    <t>THADDEUS</t>
  </si>
  <si>
    <t>JOE</t>
  </si>
  <si>
    <t>TOMMY</t>
  </si>
  <si>
    <t>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</si>
</sst>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8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0" fontId="6" fillId="0" borderId="3" xfId="0" applyFont="1" applyBorder="1" applyAlignment="1">
      <alignment horizontal="left" vertical="top" indent="1"/>
    </xf>
    <xf numFmtId="6" fontId="4" fillId="0" borderId="0" xfId="1" applyNumberFormat="1" applyFont="1"/>
    <xf numFmtId="6" fontId="1" fillId="2" borderId="0" xfId="1" applyNumberFormat="1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 indent="1"/>
    </xf>
    <xf numFmtId="165" fontId="6" fillId="0" borderId="0" xfId="0" applyNumberFormat="1" applyFont="1" applyBorder="1" applyAlignment="1">
      <alignment vertical="top" wrapText="1"/>
    </xf>
    <xf numFmtId="0" fontId="6" fillId="0" borderId="0" xfId="0" applyFont="1" applyBorder="1" applyAlignment="1">
      <alignment horizontal="center" vertical="top" wrapText="1"/>
    </xf>
    <xf numFmtId="166" fontId="6" fillId="0" borderId="0" xfId="0" applyNumberFormat="1" applyFont="1" applyBorder="1" applyAlignment="1">
      <alignment vertical="top" wrapText="1"/>
    </xf>
    <xf numFmtId="164" fontId="6" fillId="0" borderId="0" xfId="0" applyNumberFormat="1" applyFont="1" applyBorder="1" applyAlignment="1">
      <alignment vertical="top" wrapText="1"/>
    </xf>
    <xf numFmtId="44" fontId="6" fillId="0" borderId="0" xfId="0" applyNumberFormat="1" applyFont="1" applyBorder="1" applyAlignment="1">
      <alignment vertical="top" wrapText="1"/>
    </xf>
    <xf numFmtId="168" fontId="6" fillId="0" borderId="3" xfId="0" applyNumberFormat="1" applyFont="1" applyBorder="1" applyAlignment="1">
      <alignment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CAN OUT UNITS 313 &amp; 302 WITH TWO DIFFERENT LAYOUTS, IN CASE THEY WANT TO SWITCH THEM FROM TYPE A TO TYPE B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tabSelected="1" zoomScale="130" zoomScaleNormal="130" workbookViewId="0">
      <selection activeCell="B20" sqref="B20"/>
    </sheetView>
  </sheetViews>
  <sheetFormatPr defaultRowHeight="12.75" x14ac:dyDescent="0.2"/>
  <cols>
    <col min="1" max="1" width="4.5703125" bestFit="1" customWidth="1"/>
    <col min="2" max="2" width="41.140625" customWidth="1"/>
    <col min="3" max="3" width="5.140625" customWidth="1"/>
    <col min="4" max="4" width="5.140625" bestFit="1" customWidth="1"/>
    <col min="5" max="5" width="8.28515625" bestFit="1" customWidth="1"/>
    <col min="6" max="6" width="10.140625" customWidth="1"/>
    <col min="7" max="7" width="5.140625" customWidth="1"/>
    <col min="8" max="8" width="5.140625" bestFit="1" customWidth="1"/>
    <col min="9" max="9" width="8.5703125" customWidth="1"/>
    <col min="10" max="10" width="9.42578125" customWidth="1"/>
    <col min="11" max="11" width="8" bestFit="1" customWidth="1"/>
    <col min="12" max="12" width="10.85546875" customWidth="1"/>
    <col min="13" max="13" width="11" customWidth="1"/>
    <col min="15" max="15" width="20.140625" customWidth="1"/>
    <col min="16" max="16" width="13.5703125" customWidth="1"/>
    <col min="17" max="17" width="11" customWidth="1"/>
    <col min="18" max="18" width="16.28515625" customWidth="1"/>
    <col min="20" max="21" width="0" hidden="1" customWidth="1"/>
    <col min="23" max="23" width="0" hidden="1" customWidth="1"/>
    <col min="26" max="26" width="31" customWidth="1"/>
  </cols>
  <sheetData>
    <row r="1" spans="1:12" x14ac:dyDescent="0.2">
      <c r="D1" s="1"/>
      <c r="H1" s="49" t="s">
        <v>12</v>
      </c>
      <c r="I1" s="58" t="s">
        <v>19</v>
      </c>
      <c r="J1" s="58"/>
      <c r="K1" s="58"/>
      <c r="L1" s="58"/>
    </row>
    <row r="2" spans="1:12" x14ac:dyDescent="0.2">
      <c r="D2" s="1"/>
      <c r="G2" s="31"/>
      <c r="H2" s="48" t="s">
        <v>11</v>
      </c>
      <c r="I2" s="59">
        <v>42649</v>
      </c>
      <c r="J2" s="58"/>
      <c r="K2" s="58"/>
      <c r="L2" s="58"/>
    </row>
    <row r="3" spans="1:12" x14ac:dyDescent="0.2">
      <c r="D3" s="1"/>
      <c r="G3" s="31"/>
      <c r="H3" s="48" t="s">
        <v>13</v>
      </c>
      <c r="I3" s="47"/>
      <c r="J3" s="32"/>
      <c r="K3" s="32"/>
      <c r="L3" s="32"/>
    </row>
    <row r="4" spans="1:12" ht="24" thickBot="1" x14ac:dyDescent="0.4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2" ht="4.5" customHeight="1" x14ac:dyDescent="0.2">
      <c r="A5" s="61" t="s">
        <v>10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12" ht="12.75" customHeight="1" x14ac:dyDescent="0.2">
      <c r="A6" s="64"/>
      <c r="B6" s="65"/>
      <c r="C6" s="65"/>
      <c r="D6" s="65"/>
      <c r="E6" s="65"/>
      <c r="F6" s="65"/>
      <c r="G6" s="65"/>
      <c r="H6" s="65"/>
      <c r="I6" s="65"/>
      <c r="J6" s="65"/>
      <c r="K6" s="65"/>
      <c r="L6" s="66"/>
    </row>
    <row r="7" spans="1:12" ht="4.5" customHeight="1" thickBot="1" x14ac:dyDescent="0.25">
      <c r="A7" s="67"/>
      <c r="B7" s="68"/>
      <c r="C7" s="68"/>
      <c r="D7" s="68"/>
      <c r="E7" s="68"/>
      <c r="F7" s="68"/>
      <c r="G7" s="68"/>
      <c r="H7" s="68"/>
      <c r="I7" s="68"/>
      <c r="J7" s="68"/>
      <c r="K7" s="68"/>
      <c r="L7" s="69"/>
    </row>
    <row r="8" spans="1:12" x14ac:dyDescent="0.2">
      <c r="A8" s="46"/>
      <c r="B8" s="44"/>
      <c r="C8" s="44"/>
      <c r="D8" s="45"/>
      <c r="E8" s="44"/>
      <c r="F8" s="44"/>
      <c r="G8" s="31"/>
      <c r="H8" s="43"/>
      <c r="I8" s="33"/>
      <c r="J8" s="32"/>
      <c r="K8" s="32"/>
      <c r="L8" s="42"/>
    </row>
    <row r="9" spans="1:12" x14ac:dyDescent="0.2">
      <c r="A9" s="46"/>
      <c r="B9" s="44"/>
      <c r="C9" s="44"/>
      <c r="D9" s="45"/>
      <c r="E9" s="44"/>
      <c r="F9" s="44"/>
      <c r="G9" s="31"/>
      <c r="H9" s="43"/>
      <c r="I9" s="33"/>
      <c r="J9" s="32"/>
      <c r="K9" s="32"/>
      <c r="L9" s="42"/>
    </row>
    <row r="10" spans="1:12" x14ac:dyDescent="0.2">
      <c r="A10" s="46"/>
      <c r="B10" s="44"/>
      <c r="C10" s="44"/>
      <c r="D10" s="45"/>
      <c r="E10" s="44"/>
      <c r="F10" s="44"/>
      <c r="G10" s="31"/>
      <c r="H10" s="43"/>
      <c r="I10" s="33"/>
      <c r="J10" s="32"/>
      <c r="K10" s="32"/>
      <c r="L10" s="42"/>
    </row>
    <row r="11" spans="1:12" ht="13.5" thickBot="1" x14ac:dyDescent="0.25">
      <c r="A11" s="41"/>
      <c r="B11" s="39"/>
      <c r="C11" s="39"/>
      <c r="D11" s="40"/>
      <c r="E11" s="39"/>
      <c r="F11" s="39"/>
      <c r="G11" s="38"/>
      <c r="H11" s="37"/>
      <c r="I11" s="36"/>
      <c r="J11" s="35"/>
      <c r="K11" s="35"/>
      <c r="L11" s="34"/>
    </row>
    <row r="12" spans="1:12" ht="6" customHeight="1" x14ac:dyDescent="0.2">
      <c r="D12" s="1"/>
      <c r="G12" s="31"/>
      <c r="H12" s="30"/>
      <c r="I12" s="33"/>
      <c r="J12" s="32"/>
      <c r="K12" s="32"/>
      <c r="L12" s="32"/>
    </row>
    <row r="13" spans="1:12" ht="6" customHeight="1" x14ac:dyDescent="0.2">
      <c r="D13" s="1"/>
      <c r="E13" s="31"/>
      <c r="F13" s="30"/>
      <c r="G13" s="29"/>
      <c r="H13" s="29"/>
      <c r="I13" s="29"/>
      <c r="J13" s="28"/>
    </row>
    <row r="15" spans="1:12" x14ac:dyDescent="0.2">
      <c r="A15" s="27"/>
      <c r="B15" s="26"/>
      <c r="C15" s="55" t="s">
        <v>9</v>
      </c>
      <c r="D15" s="56"/>
      <c r="E15" s="56"/>
      <c r="F15" s="57"/>
      <c r="G15" s="25" t="s">
        <v>8</v>
      </c>
      <c r="H15" s="24"/>
      <c r="I15" s="24"/>
      <c r="J15" s="23"/>
      <c r="K15" s="22" t="s">
        <v>7</v>
      </c>
      <c r="L15" s="21"/>
    </row>
    <row r="16" spans="1:12" x14ac:dyDescent="0.2">
      <c r="A16" s="20" t="s">
        <v>6</v>
      </c>
      <c r="B16" s="19" t="s">
        <v>5</v>
      </c>
      <c r="C16" s="17" t="s">
        <v>18</v>
      </c>
      <c r="D16" s="17" t="s">
        <v>3</v>
      </c>
      <c r="E16" s="17" t="s">
        <v>4</v>
      </c>
      <c r="F16" s="18" t="s">
        <v>2</v>
      </c>
      <c r="G16" s="17" t="s">
        <v>18</v>
      </c>
      <c r="H16" s="17" t="s">
        <v>3</v>
      </c>
      <c r="I16" s="17" t="s">
        <v>4</v>
      </c>
      <c r="J16" s="18" t="s">
        <v>2</v>
      </c>
      <c r="K16" s="17" t="s">
        <v>3</v>
      </c>
      <c r="L16" s="17" t="s">
        <v>2</v>
      </c>
    </row>
    <row r="17" spans="1:13" x14ac:dyDescent="0.2">
      <c r="A17" s="16"/>
      <c r="B17" s="50" t="s">
        <v>20</v>
      </c>
      <c r="C17" s="12"/>
      <c r="D17" s="15"/>
      <c r="E17" s="14"/>
      <c r="F17" s="13"/>
      <c r="G17" s="77">
        <f>140/12</f>
        <v>11.666666666666666</v>
      </c>
      <c r="H17" s="15" t="s">
        <v>35</v>
      </c>
      <c r="I17" s="14">
        <v>2.95</v>
      </c>
      <c r="J17" s="13">
        <f>G17*I17</f>
        <v>34.416666666666664</v>
      </c>
      <c r="K17" s="12"/>
      <c r="L17" s="11"/>
      <c r="M17" s="10"/>
    </row>
    <row r="18" spans="1:13" x14ac:dyDescent="0.2">
      <c r="A18" s="16"/>
      <c r="B18" s="50" t="s">
        <v>21</v>
      </c>
      <c r="C18" s="12"/>
      <c r="D18" s="15"/>
      <c r="E18" s="14"/>
      <c r="F18" s="13"/>
      <c r="G18" s="77">
        <f>28/12</f>
        <v>2.3333333333333335</v>
      </c>
      <c r="H18" s="15" t="s">
        <v>35</v>
      </c>
      <c r="I18" s="14">
        <v>4.37</v>
      </c>
      <c r="J18" s="13">
        <f t="shared" ref="J18:J27" si="0">G18*I18</f>
        <v>10.196666666666667</v>
      </c>
      <c r="K18" s="12"/>
      <c r="L18" s="11"/>
      <c r="M18" s="10"/>
    </row>
    <row r="19" spans="1:13" x14ac:dyDescent="0.2">
      <c r="A19" s="16"/>
      <c r="B19" s="50" t="s">
        <v>22</v>
      </c>
      <c r="C19" s="12"/>
      <c r="D19" s="15"/>
      <c r="E19" s="14"/>
      <c r="F19" s="13"/>
      <c r="G19" s="77">
        <f>14/12</f>
        <v>1.1666666666666667</v>
      </c>
      <c r="H19" s="15" t="s">
        <v>35</v>
      </c>
      <c r="I19" s="14">
        <v>6.25</v>
      </c>
      <c r="J19" s="13">
        <f t="shared" si="0"/>
        <v>7.291666666666667</v>
      </c>
      <c r="K19" s="12"/>
      <c r="L19" s="11"/>
      <c r="M19" s="10"/>
    </row>
    <row r="20" spans="1:13" x14ac:dyDescent="0.2">
      <c r="A20" s="16"/>
      <c r="B20" s="50" t="s">
        <v>23</v>
      </c>
      <c r="C20" s="12"/>
      <c r="D20" s="15"/>
      <c r="E20" s="14"/>
      <c r="F20" s="13"/>
      <c r="G20" s="12">
        <v>2</v>
      </c>
      <c r="H20" s="15" t="s">
        <v>14</v>
      </c>
      <c r="I20" s="14">
        <v>2.98</v>
      </c>
      <c r="J20" s="13">
        <f t="shared" si="0"/>
        <v>5.96</v>
      </c>
      <c r="K20" s="12"/>
      <c r="L20" s="11"/>
      <c r="M20" s="10"/>
    </row>
    <row r="21" spans="1:13" x14ac:dyDescent="0.2">
      <c r="A21" s="16"/>
      <c r="B21" s="50" t="s">
        <v>24</v>
      </c>
      <c r="C21" s="12"/>
      <c r="D21" s="15"/>
      <c r="E21" s="14"/>
      <c r="F21" s="13"/>
      <c r="G21" s="12">
        <v>8</v>
      </c>
      <c r="H21" s="15" t="s">
        <v>14</v>
      </c>
      <c r="I21" s="14">
        <v>8.5500000000000007</v>
      </c>
      <c r="J21" s="13">
        <f t="shared" si="0"/>
        <v>68.400000000000006</v>
      </c>
      <c r="K21" s="12"/>
      <c r="L21" s="11"/>
      <c r="M21" s="10"/>
    </row>
    <row r="22" spans="1:13" x14ac:dyDescent="0.2">
      <c r="A22" s="16"/>
      <c r="B22" s="50" t="s">
        <v>25</v>
      </c>
      <c r="C22" s="12"/>
      <c r="D22" s="15"/>
      <c r="E22" s="14"/>
      <c r="F22" s="13"/>
      <c r="G22" s="12">
        <v>2</v>
      </c>
      <c r="H22" s="15" t="s">
        <v>14</v>
      </c>
      <c r="I22" s="14">
        <v>16.45</v>
      </c>
      <c r="J22" s="13">
        <f t="shared" si="0"/>
        <v>32.9</v>
      </c>
      <c r="K22" s="12"/>
      <c r="L22" s="11"/>
      <c r="M22" s="10"/>
    </row>
    <row r="23" spans="1:13" x14ac:dyDescent="0.2">
      <c r="A23" s="16"/>
      <c r="B23" s="50" t="s">
        <v>26</v>
      </c>
      <c r="C23" s="12"/>
      <c r="D23" s="15"/>
      <c r="E23" s="14"/>
      <c r="F23" s="13"/>
      <c r="G23" s="12">
        <v>1</v>
      </c>
      <c r="H23" s="15" t="s">
        <v>14</v>
      </c>
      <c r="I23" s="14">
        <v>18.989999999999998</v>
      </c>
      <c r="J23" s="13">
        <f t="shared" si="0"/>
        <v>18.989999999999998</v>
      </c>
      <c r="K23" s="12"/>
      <c r="L23" s="11"/>
      <c r="M23" s="10"/>
    </row>
    <row r="24" spans="1:13" x14ac:dyDescent="0.2">
      <c r="A24" s="16"/>
      <c r="B24" s="50" t="s">
        <v>27</v>
      </c>
      <c r="C24" s="12"/>
      <c r="D24" s="15"/>
      <c r="E24" s="14"/>
      <c r="F24" s="13"/>
      <c r="G24" s="12">
        <v>9</v>
      </c>
      <c r="H24" s="15" t="s">
        <v>14</v>
      </c>
      <c r="I24" s="14">
        <v>3.08</v>
      </c>
      <c r="J24" s="13">
        <f t="shared" si="0"/>
        <v>27.72</v>
      </c>
      <c r="K24" s="12"/>
      <c r="L24" s="11"/>
      <c r="M24" s="10"/>
    </row>
    <row r="25" spans="1:13" x14ac:dyDescent="0.2">
      <c r="A25" s="16"/>
      <c r="B25" s="50" t="s">
        <v>28</v>
      </c>
      <c r="C25" s="12"/>
      <c r="D25" s="15"/>
      <c r="E25" s="14"/>
      <c r="F25" s="13"/>
      <c r="G25" s="12">
        <v>2</v>
      </c>
      <c r="H25" s="15" t="s">
        <v>14</v>
      </c>
      <c r="I25" s="14">
        <v>3.49</v>
      </c>
      <c r="J25" s="13">
        <f t="shared" si="0"/>
        <v>6.98</v>
      </c>
      <c r="K25" s="12"/>
      <c r="L25" s="11"/>
      <c r="M25" s="10"/>
    </row>
    <row r="26" spans="1:13" x14ac:dyDescent="0.2">
      <c r="A26" s="16"/>
      <c r="B26" s="50" t="s">
        <v>29</v>
      </c>
      <c r="C26" s="12"/>
      <c r="D26" s="15"/>
      <c r="E26" s="14"/>
      <c r="F26" s="13"/>
      <c r="G26" s="12">
        <v>2</v>
      </c>
      <c r="H26" s="15" t="s">
        <v>14</v>
      </c>
      <c r="I26" s="14">
        <v>7.65</v>
      </c>
      <c r="J26" s="13">
        <f t="shared" si="0"/>
        <v>15.3</v>
      </c>
      <c r="K26" s="12"/>
      <c r="L26" s="11"/>
      <c r="M26" s="10"/>
    </row>
    <row r="27" spans="1:13" x14ac:dyDescent="0.2">
      <c r="A27" s="16"/>
      <c r="B27" s="50" t="s">
        <v>30</v>
      </c>
      <c r="C27" s="12"/>
      <c r="D27" s="15"/>
      <c r="E27" s="14"/>
      <c r="F27" s="13"/>
      <c r="G27" s="12">
        <v>1</v>
      </c>
      <c r="H27" s="15" t="s">
        <v>14</v>
      </c>
      <c r="I27" s="14">
        <v>9.1300000000000008</v>
      </c>
      <c r="J27" s="13">
        <f t="shared" si="0"/>
        <v>9.1300000000000008</v>
      </c>
      <c r="K27" s="12"/>
      <c r="L27" s="11"/>
      <c r="M27" s="10"/>
    </row>
    <row r="28" spans="1:13" x14ac:dyDescent="0.2">
      <c r="A28" s="16"/>
      <c r="B28" s="50" t="s">
        <v>31</v>
      </c>
      <c r="C28" s="12"/>
      <c r="D28" s="15"/>
      <c r="E28" s="14"/>
      <c r="F28" s="13"/>
      <c r="G28" s="12"/>
      <c r="H28" s="15"/>
      <c r="I28" s="14"/>
      <c r="J28" s="13"/>
      <c r="K28" s="12"/>
      <c r="L28" s="11"/>
      <c r="M28" s="10"/>
    </row>
    <row r="29" spans="1:13" x14ac:dyDescent="0.2">
      <c r="A29" s="16"/>
      <c r="B29" s="52" t="s">
        <v>32</v>
      </c>
      <c r="C29" s="12">
        <v>4</v>
      </c>
      <c r="D29" s="15" t="s">
        <v>16</v>
      </c>
      <c r="E29" s="14">
        <v>85</v>
      </c>
      <c r="F29" s="13">
        <f>C29*E29</f>
        <v>340</v>
      </c>
      <c r="G29" s="12"/>
      <c r="H29" s="15"/>
      <c r="I29" s="14"/>
      <c r="J29" s="13"/>
      <c r="K29" s="12"/>
      <c r="L29" s="11"/>
      <c r="M29" s="10"/>
    </row>
    <row r="30" spans="1:13" x14ac:dyDescent="0.2">
      <c r="A30" s="16"/>
      <c r="B30" s="52" t="s">
        <v>34</v>
      </c>
      <c r="C30" s="12">
        <v>4</v>
      </c>
      <c r="D30" s="15" t="s">
        <v>16</v>
      </c>
      <c r="E30" s="14">
        <v>49</v>
      </c>
      <c r="F30" s="13">
        <f>C30*E30</f>
        <v>196</v>
      </c>
      <c r="G30" s="12"/>
      <c r="H30" s="15"/>
      <c r="I30" s="14"/>
      <c r="J30" s="13"/>
      <c r="K30" s="12"/>
      <c r="L30" s="11"/>
      <c r="M30" s="10"/>
    </row>
    <row r="31" spans="1:13" x14ac:dyDescent="0.2">
      <c r="A31" s="16"/>
      <c r="B31" s="52" t="s">
        <v>33</v>
      </c>
      <c r="C31" s="12">
        <v>3</v>
      </c>
      <c r="D31" s="15" t="s">
        <v>16</v>
      </c>
      <c r="E31" s="14">
        <v>85</v>
      </c>
      <c r="F31" s="13">
        <f t="shared" ref="F31" si="1">C31*E31</f>
        <v>255</v>
      </c>
      <c r="G31" s="12"/>
      <c r="H31" s="15"/>
      <c r="I31" s="14"/>
      <c r="J31" s="13"/>
      <c r="K31" s="12"/>
      <c r="L31" s="11"/>
      <c r="M31" s="10"/>
    </row>
    <row r="32" spans="1:13" ht="0.75" customHeight="1" x14ac:dyDescent="0.2">
      <c r="A32" s="70"/>
      <c r="B32" s="71"/>
      <c r="C32" s="72"/>
      <c r="D32" s="73"/>
      <c r="E32" s="74"/>
      <c r="F32" s="75"/>
      <c r="G32" s="72"/>
      <c r="H32" s="73"/>
      <c r="I32" s="74"/>
      <c r="J32" s="75"/>
      <c r="K32" s="72"/>
      <c r="L32" s="76"/>
      <c r="M32" s="10"/>
    </row>
    <row r="33" spans="2:12" x14ac:dyDescent="0.2">
      <c r="B33" s="3" t="s">
        <v>1</v>
      </c>
      <c r="D33" s="1"/>
      <c r="F33" s="10">
        <f>SUM(F16:F32)</f>
        <v>791</v>
      </c>
      <c r="G33" s="10"/>
      <c r="H33" s="10"/>
      <c r="I33" s="10"/>
      <c r="J33" s="10">
        <f>SUM(J16:J32)</f>
        <v>237.285</v>
      </c>
      <c r="K33" s="10"/>
      <c r="L33" s="10">
        <f>SUM(L16:L32)</f>
        <v>0</v>
      </c>
    </row>
    <row r="34" spans="2:12" x14ac:dyDescent="0.2">
      <c r="B34" s="8" t="s">
        <v>0</v>
      </c>
      <c r="D34" s="1"/>
      <c r="E34" s="9">
        <v>0.15</v>
      </c>
      <c r="F34" s="53">
        <f>+E34*F33</f>
        <v>118.64999999999999</v>
      </c>
      <c r="I34" s="9">
        <v>0.15</v>
      </c>
      <c r="J34" s="53">
        <f>+I34*J33</f>
        <v>35.592749999999995</v>
      </c>
      <c r="K34" s="9">
        <v>0.15</v>
      </c>
      <c r="L34" s="7">
        <f>+K34*L33</f>
        <v>0</v>
      </c>
    </row>
    <row r="35" spans="2:12" ht="13.5" thickBot="1" x14ac:dyDescent="0.25">
      <c r="B35" s="6" t="s">
        <v>15</v>
      </c>
      <c r="D35" s="1"/>
      <c r="F35" s="54">
        <f>F33+F34</f>
        <v>909.65</v>
      </c>
      <c r="G35" s="5"/>
      <c r="H35" s="5"/>
      <c r="I35" s="5"/>
      <c r="J35" s="54">
        <f>J33+J34</f>
        <v>272.87774999999999</v>
      </c>
      <c r="K35" s="5"/>
      <c r="L35" s="4">
        <f>L33+L34</f>
        <v>0</v>
      </c>
    </row>
    <row r="36" spans="2:12" x14ac:dyDescent="0.2">
      <c r="B36" s="2" t="s">
        <v>17</v>
      </c>
      <c r="D36" s="1"/>
    </row>
    <row r="37" spans="2:12" ht="13.5" thickBot="1" x14ac:dyDescent="0.25">
      <c r="B37" s="51">
        <f>F35+J35+L35</f>
        <v>1182.52775</v>
      </c>
      <c r="D37" s="1"/>
    </row>
  </sheetData>
  <mergeCells count="5">
    <mergeCell ref="C15:F15"/>
    <mergeCell ref="I1:L1"/>
    <mergeCell ref="I2:L2"/>
    <mergeCell ref="A4:L4"/>
    <mergeCell ref="A5:L7"/>
  </mergeCells>
  <pageMargins left="0.75" right="0.75" top="1" bottom="1" header="0.5" footer="0.5"/>
  <pageSetup scale="93"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2016-10-06T20:20:32Z</cp:lastPrinted>
  <dcterms:created xsi:type="dcterms:W3CDTF">2014-07-14T23:11:07Z</dcterms:created>
  <dcterms:modified xsi:type="dcterms:W3CDTF">2016-10-06T20:21:09Z</dcterms:modified>
</cp:coreProperties>
</file>