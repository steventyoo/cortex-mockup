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3020"/>
  </bookViews>
  <sheets>
    <sheet name="COR" sheetId="1" r:id="rId1"/>
  </sheets>
  <definedNames>
    <definedName name="_xlnm.Print_Area" localSheetId="0">COR!$A$1:$M$51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" i="1" l="1"/>
  <c r="G26" i="1"/>
  <c r="K25" i="1"/>
  <c r="G25" i="1"/>
  <c r="K24" i="1"/>
  <c r="G24" i="1"/>
  <c r="K23" i="1"/>
  <c r="G23" i="1"/>
  <c r="K22" i="1"/>
  <c r="G22" i="1"/>
  <c r="M28" i="1" l="1"/>
  <c r="K20" i="1" l="1"/>
  <c r="K21" i="1"/>
  <c r="G20" i="1" l="1"/>
  <c r="G27" i="1"/>
  <c r="K27" i="1" l="1"/>
  <c r="K28" i="1" s="1"/>
  <c r="G21" i="1" l="1"/>
  <c r="G28" i="1" s="1"/>
  <c r="M29" i="1" l="1"/>
  <c r="M30" i="1" s="1"/>
  <c r="G29" i="1" l="1"/>
  <c r="G30" i="1" s="1"/>
  <c r="K29" i="1"/>
  <c r="K30" i="1" s="1"/>
  <c r="C33" i="1" l="1"/>
</calcChain>
</file>

<file path=xl/sharedStrings.xml><?xml version="1.0" encoding="utf-8"?>
<sst xmlns="http://schemas.openxmlformats.org/spreadsheetml/2006/main" count="47" uniqueCount="34">
  <si>
    <t>Subtotal</t>
  </si>
  <si>
    <t>OH &amp; Profit</t>
  </si>
  <si>
    <t>Subtotals</t>
  </si>
  <si>
    <t>Total</t>
  </si>
  <si>
    <t>UOM</t>
  </si>
  <si>
    <t>Unit Cost</t>
  </si>
  <si>
    <t>Description</t>
  </si>
  <si>
    <t>Material/Equipment</t>
  </si>
  <si>
    <t>Labor</t>
  </si>
  <si>
    <t>HRS</t>
  </si>
  <si>
    <t>Quan</t>
  </si>
  <si>
    <t>TOTAL</t>
  </si>
  <si>
    <t>Change Order Request</t>
  </si>
  <si>
    <t>Exxel Pacific</t>
  </si>
  <si>
    <t>4220 Aurora Avenue N.</t>
  </si>
  <si>
    <t>Seattle, WA 98103</t>
  </si>
  <si>
    <t xml:space="preserve">Attn:    </t>
  </si>
  <si>
    <t>Re:</t>
  </si>
  <si>
    <t>Sincerely,</t>
  </si>
  <si>
    <t>Richard Donelson</t>
  </si>
  <si>
    <t>Project Manager / Estimator</t>
  </si>
  <si>
    <t>richd@owpllc.net</t>
  </si>
  <si>
    <t>425-591-4296 cell</t>
  </si>
  <si>
    <t>Sub Tier</t>
  </si>
  <si>
    <t>The Cora - Change Order Request #01 - Dog Wash Area Faucet &amp; Drain</t>
  </si>
  <si>
    <t>FD</t>
  </si>
  <si>
    <t>ea</t>
  </si>
  <si>
    <t>Wall hung faucet</t>
  </si>
  <si>
    <t>RI Mat</t>
  </si>
  <si>
    <t>LS</t>
  </si>
  <si>
    <t>Underground RI Labor</t>
  </si>
  <si>
    <t>Topout Labor</t>
  </si>
  <si>
    <t xml:space="preserve">Labor Adder </t>
  </si>
  <si>
    <t>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</si>
</sst>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164" formatCode="&quot;$&quot;#,##0;[Red]\(&quot;$&quot;#,##0\)"/>
    <numFmt numFmtId="165" formatCode="0_);[Red]\(0\)"/>
    <numFmt numFmtId="166" formatCode="&quot;$&quot;#,##0.00"/>
    <numFmt numFmtId="167" formatCode="&quot;$&quot;#,##0"/>
    <numFmt numFmtId="168" formatCode="[$-409]mmmm\ d\,\ yyyy;@"/>
  </numFmts>
  <fonts count="12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MS Sans Serif"/>
    </font>
    <font>
      <b/>
      <sz val="10"/>
      <color rgb="FFFF0000"/>
      <name val="Arial"/>
      <family val="2"/>
    </font>
    <font>
      <b/>
      <sz val="24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2"/>
      <name val="MS Sans Serif"/>
    </font>
    <font>
      <sz val="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3" fillId="0" borderId="0" xfId="1" applyFont="1" applyAlignment="1">
      <alignment horizontal="right"/>
    </xf>
    <xf numFmtId="0" fontId="3" fillId="0" borderId="0" xfId="2" applyFont="1" applyAlignment="1">
      <alignment vertical="center"/>
    </xf>
    <xf numFmtId="14" fontId="1" fillId="0" borderId="8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0" fillId="0" borderId="0" xfId="0" applyBorder="1"/>
    <xf numFmtId="0" fontId="5" fillId="0" borderId="0" xfId="0" applyFont="1"/>
    <xf numFmtId="6" fontId="1" fillId="2" borderId="1" xfId="1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1" fillId="0" borderId="0" xfId="2" applyFont="1" applyBorder="1" applyAlignment="1">
      <alignment horizontal="right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/>
    <xf numFmtId="9" fontId="6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0" applyFont="1" applyFill="1" applyAlignment="1">
      <alignment horizontal="right"/>
    </xf>
    <xf numFmtId="164" fontId="3" fillId="0" borderId="0" xfId="0" applyNumberFormat="1" applyFont="1" applyFill="1" applyBorder="1"/>
    <xf numFmtId="0" fontId="8" fillId="0" borderId="0" xfId="0" applyFont="1"/>
    <xf numFmtId="0" fontId="10" fillId="0" borderId="0" xfId="0" applyFont="1"/>
    <xf numFmtId="168" fontId="9" fillId="0" borderId="0" xfId="0" applyNumberFormat="1" applyFont="1" applyAlignment="1"/>
    <xf numFmtId="0" fontId="9" fillId="0" borderId="0" xfId="0" applyFont="1" applyAlignment="1"/>
    <xf numFmtId="165" fontId="11" fillId="0" borderId="3" xfId="0" applyNumberFormat="1" applyFont="1" applyBorder="1" applyAlignment="1">
      <alignment horizontal="right" vertical="top" wrapText="1"/>
    </xf>
    <xf numFmtId="0" fontId="11" fillId="0" borderId="3" xfId="0" applyFont="1" applyBorder="1" applyAlignment="1">
      <alignment horizontal="center" vertical="top" wrapText="1"/>
    </xf>
    <xf numFmtId="166" fontId="11" fillId="0" borderId="3" xfId="0" applyNumberFormat="1" applyFont="1" applyBorder="1" applyAlignment="1">
      <alignment horizontal="right" vertical="top" wrapText="1"/>
    </xf>
    <xf numFmtId="6" fontId="11" fillId="0" borderId="3" xfId="0" applyNumberFormat="1" applyFont="1" applyBorder="1" applyAlignment="1">
      <alignment vertical="top" wrapText="1"/>
    </xf>
    <xf numFmtId="165" fontId="11" fillId="0" borderId="3" xfId="0" applyNumberFormat="1" applyFont="1" applyBorder="1" applyAlignment="1">
      <alignment vertical="top" wrapText="1"/>
    </xf>
    <xf numFmtId="166" fontId="11" fillId="0" borderId="3" xfId="0" applyNumberFormat="1" applyFont="1" applyBorder="1" applyAlignment="1">
      <alignment vertical="top" wrapText="1"/>
    </xf>
    <xf numFmtId="0" fontId="4" fillId="0" borderId="4" xfId="0" applyFont="1" applyBorder="1" applyAlignment="1">
      <alignment horizontal="center"/>
    </xf>
    <xf numFmtId="167" fontId="4" fillId="0" borderId="4" xfId="0" applyNumberFormat="1" applyFont="1" applyBorder="1" applyAlignment="1">
      <alignment horizontal="center"/>
    </xf>
    <xf numFmtId="0" fontId="11" fillId="0" borderId="6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" fillId="0" borderId="0" xfId="2" applyFont="1" applyBorder="1" applyAlignment="1">
      <alignment horizontal="left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168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8" fontId="9" fillId="0" borderId="0" xfId="0" applyNumberFormat="1" applyFont="1" applyAlignment="1">
      <alignment horizontal="left" wrapText="1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13</xdr:col>
      <xdr:colOff>1</xdr:colOff>
      <xdr:row>0</xdr:row>
      <xdr:rowOff>60614</xdr:rowOff>
    </xdr:to>
    <xdr:pic>
      <xdr:nvPicPr>
        <xdr:cNvPr id="5" name="Picture 4" descr="bd21319_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6459682" cy="606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</xdr:col>
      <xdr:colOff>1648952</xdr:colOff>
      <xdr:row>37</xdr:row>
      <xdr:rowOff>146546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8765"/>
          <a:ext cx="2083435" cy="3416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chd@owpllc.net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tabSelected="1" view="pageLayout" zoomScale="110" zoomScaleNormal="130" zoomScalePageLayoutView="110" workbookViewId="0">
      <selection activeCell="E33" sqref="E33"/>
    </sheetView>
  </sheetViews>
  <sheetFormatPr defaultRowHeight="12.75" x14ac:dyDescent="0.2"/>
  <cols>
    <col min="1" max="1" width="4.140625" style="16" customWidth="1"/>
    <col min="2" max="2" width="2.140625" style="16" customWidth="1"/>
    <col min="3" max="3" width="27" style="16" customWidth="1"/>
    <col min="4" max="4" width="4.28515625" style="16" customWidth="1"/>
    <col min="5" max="5" width="4.140625" style="16" customWidth="1"/>
    <col min="6" max="6" width="7" style="16" customWidth="1"/>
    <col min="7" max="7" width="7.7109375" style="16" customWidth="1"/>
    <col min="8" max="8" width="4.28515625" style="16" customWidth="1"/>
    <col min="9" max="9" width="4.140625" style="16" customWidth="1"/>
    <col min="10" max="10" width="7" style="16" customWidth="1"/>
    <col min="11" max="11" width="7.7109375" style="16" customWidth="1"/>
    <col min="12" max="12" width="4" style="16" customWidth="1"/>
    <col min="13" max="13" width="7.7109375" style="16" customWidth="1"/>
    <col min="14" max="14" width="11" customWidth="1"/>
    <col min="16" max="16" width="13" customWidth="1"/>
  </cols>
  <sheetData>
    <row r="1" spans="1:14" ht="18.75" customHeight="1" x14ac:dyDescent="0.2">
      <c r="A1" s="14"/>
      <c r="B1" s="14"/>
      <c r="C1" s="14"/>
      <c r="D1" s="14"/>
      <c r="E1" s="15"/>
      <c r="F1" s="14"/>
      <c r="G1" s="14"/>
      <c r="H1" s="14"/>
      <c r="I1" s="13"/>
      <c r="J1" s="40"/>
      <c r="K1" s="40"/>
      <c r="L1" s="40"/>
      <c r="M1" s="40"/>
      <c r="N1" s="8"/>
    </row>
    <row r="2" spans="1:14" ht="12.75" customHeight="1" x14ac:dyDescent="0.2">
      <c r="A2" s="44" t="s">
        <v>12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8"/>
    </row>
    <row r="3" spans="1:14" x14ac:dyDescent="0.2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8"/>
    </row>
    <row r="5" spans="1:14" s="26" customFormat="1" ht="15.75" x14ac:dyDescent="0.25">
      <c r="A5" s="45"/>
      <c r="B5" s="45"/>
      <c r="C5" s="46"/>
      <c r="D5" s="46"/>
      <c r="E5" s="46"/>
      <c r="F5" s="46"/>
      <c r="G5" s="46"/>
      <c r="H5" s="46"/>
      <c r="I5" s="46"/>
      <c r="J5" s="46"/>
      <c r="K5" s="46"/>
      <c r="L5" s="25"/>
      <c r="M5" s="25"/>
    </row>
    <row r="6" spans="1:14" s="26" customFormat="1" ht="12.75" customHeight="1" x14ac:dyDescent="0.25">
      <c r="A6" s="27"/>
      <c r="B6" s="27"/>
      <c r="C6" s="28"/>
      <c r="D6" s="28"/>
      <c r="E6" s="28"/>
      <c r="F6" s="28"/>
      <c r="G6" s="28"/>
      <c r="H6" s="28"/>
      <c r="I6" s="28"/>
      <c r="J6" s="28"/>
      <c r="K6" s="28"/>
      <c r="L6" s="25"/>
      <c r="M6" s="25"/>
    </row>
    <row r="7" spans="1:14" s="26" customFormat="1" ht="15.75" x14ac:dyDescent="0.25">
      <c r="A7" s="45" t="s">
        <v>13</v>
      </c>
      <c r="B7" s="45"/>
      <c r="C7" s="46"/>
      <c r="D7" s="46"/>
      <c r="E7" s="46"/>
      <c r="F7" s="46"/>
      <c r="G7" s="46"/>
      <c r="H7" s="46"/>
      <c r="I7" s="46"/>
      <c r="J7" s="46"/>
      <c r="K7" s="46"/>
      <c r="L7" s="25"/>
      <c r="M7" s="25"/>
    </row>
    <row r="8" spans="1:14" s="26" customFormat="1" ht="15.75" x14ac:dyDescent="0.25">
      <c r="A8" s="45" t="s">
        <v>14</v>
      </c>
      <c r="B8" s="45"/>
      <c r="C8" s="46"/>
      <c r="D8" s="46"/>
      <c r="E8" s="46"/>
      <c r="F8" s="46"/>
      <c r="G8" s="46"/>
      <c r="H8" s="46"/>
      <c r="I8" s="46"/>
      <c r="J8" s="46"/>
      <c r="K8" s="46"/>
      <c r="L8" s="25"/>
      <c r="M8" s="25"/>
    </row>
    <row r="9" spans="1:14" s="26" customFormat="1" ht="15.75" x14ac:dyDescent="0.25">
      <c r="A9" s="45" t="s">
        <v>15</v>
      </c>
      <c r="B9" s="45"/>
      <c r="C9" s="46"/>
      <c r="D9" s="46"/>
      <c r="E9" s="46"/>
      <c r="F9" s="46"/>
      <c r="G9" s="46"/>
      <c r="H9" s="46"/>
      <c r="I9" s="46"/>
      <c r="J9" s="46"/>
      <c r="K9" s="46"/>
      <c r="L9" s="25"/>
      <c r="M9" s="25"/>
    </row>
    <row r="10" spans="1:14" s="26" customFormat="1" ht="15.75" x14ac:dyDescent="0.25">
      <c r="A10" s="27" t="s">
        <v>16</v>
      </c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5"/>
      <c r="M10" s="25"/>
    </row>
    <row r="11" spans="1:14" s="26" customFormat="1" ht="12.75" customHeight="1" x14ac:dyDescent="0.25">
      <c r="A11" s="27"/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5"/>
      <c r="M11" s="25"/>
    </row>
    <row r="12" spans="1:14" s="26" customFormat="1" ht="15.75" x14ac:dyDescent="0.25">
      <c r="A12" s="27" t="s">
        <v>17</v>
      </c>
      <c r="B12" s="27"/>
      <c r="C12" s="28" t="s">
        <v>24</v>
      </c>
      <c r="D12" s="28"/>
      <c r="E12" s="28"/>
      <c r="F12" s="28"/>
      <c r="G12" s="28"/>
      <c r="H12" s="28"/>
      <c r="I12" s="28"/>
      <c r="J12" s="28"/>
      <c r="K12" s="28"/>
      <c r="L12" s="25"/>
      <c r="M12" s="25"/>
    </row>
    <row r="13" spans="1:14" s="26" customFormat="1" ht="12.75" customHeight="1" x14ac:dyDescent="0.25">
      <c r="A13" s="27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5"/>
      <c r="M13" s="25"/>
    </row>
    <row r="14" spans="1:14" s="26" customFormat="1" ht="15.75" x14ac:dyDescent="0.25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5"/>
      <c r="M14" s="25"/>
    </row>
    <row r="15" spans="1:14" s="26" customFormat="1" ht="12.75" customHeight="1" x14ac:dyDescent="0.25">
      <c r="A15" s="27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5"/>
      <c r="M15" s="25"/>
    </row>
    <row r="16" spans="1:14" s="26" customFormat="1" ht="29.2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</row>
    <row r="17" spans="1:16" ht="7.5" customHeight="1" x14ac:dyDescent="0.2">
      <c r="E17" s="17"/>
      <c r="F17" s="7"/>
      <c r="G17" s="6"/>
      <c r="H17" s="5"/>
      <c r="I17" s="5"/>
      <c r="J17" s="5"/>
      <c r="K17" s="4"/>
    </row>
    <row r="18" spans="1:16" x14ac:dyDescent="0.2">
      <c r="A18" s="56"/>
      <c r="B18" s="57"/>
      <c r="C18" s="58"/>
      <c r="D18" s="41" t="s">
        <v>8</v>
      </c>
      <c r="E18" s="42"/>
      <c r="F18" s="42"/>
      <c r="G18" s="43"/>
      <c r="H18" s="50" t="s">
        <v>7</v>
      </c>
      <c r="I18" s="51"/>
      <c r="J18" s="51"/>
      <c r="K18" s="52"/>
      <c r="L18" s="48" t="s">
        <v>23</v>
      </c>
      <c r="M18" s="49"/>
    </row>
    <row r="19" spans="1:16" x14ac:dyDescent="0.2">
      <c r="A19" s="53" t="s">
        <v>6</v>
      </c>
      <c r="B19" s="54"/>
      <c r="C19" s="55"/>
      <c r="D19" s="35" t="s">
        <v>10</v>
      </c>
      <c r="E19" s="35" t="s">
        <v>4</v>
      </c>
      <c r="F19" s="35" t="s">
        <v>5</v>
      </c>
      <c r="G19" s="36" t="s">
        <v>3</v>
      </c>
      <c r="H19" s="35" t="s">
        <v>10</v>
      </c>
      <c r="I19" s="35" t="s">
        <v>4</v>
      </c>
      <c r="J19" s="35" t="s">
        <v>5</v>
      </c>
      <c r="K19" s="36" t="s">
        <v>3</v>
      </c>
      <c r="L19" s="35" t="s">
        <v>4</v>
      </c>
      <c r="M19" s="35" t="s">
        <v>3</v>
      </c>
    </row>
    <row r="20" spans="1:16" ht="12.75" customHeight="1" x14ac:dyDescent="0.2">
      <c r="A20" s="37" t="s">
        <v>25</v>
      </c>
      <c r="B20" s="38"/>
      <c r="C20" s="39"/>
      <c r="D20" s="29"/>
      <c r="E20" s="30"/>
      <c r="F20" s="31"/>
      <c r="G20" s="32">
        <f>D20*F20</f>
        <v>0</v>
      </c>
      <c r="H20" s="33">
        <v>1</v>
      </c>
      <c r="I20" s="30" t="s">
        <v>26</v>
      </c>
      <c r="J20" s="34">
        <v>150</v>
      </c>
      <c r="K20" s="32">
        <f t="shared" ref="K20:K21" si="0">H20*J20</f>
        <v>150</v>
      </c>
      <c r="L20" s="33"/>
      <c r="M20" s="32">
        <v>0</v>
      </c>
      <c r="N20" s="9"/>
      <c r="O20" s="9"/>
      <c r="P20" s="9"/>
    </row>
    <row r="21" spans="1:16" ht="12.75" customHeight="1" x14ac:dyDescent="0.2">
      <c r="A21" s="37" t="s">
        <v>27</v>
      </c>
      <c r="B21" s="38"/>
      <c r="C21" s="39"/>
      <c r="D21" s="29"/>
      <c r="E21" s="30" t="s">
        <v>9</v>
      </c>
      <c r="F21" s="31">
        <v>60.5</v>
      </c>
      <c r="G21" s="32">
        <f>D21*F21</f>
        <v>0</v>
      </c>
      <c r="H21" s="33">
        <v>1</v>
      </c>
      <c r="I21" s="30" t="s">
        <v>26</v>
      </c>
      <c r="J21" s="34">
        <v>400</v>
      </c>
      <c r="K21" s="32">
        <f t="shared" si="0"/>
        <v>400</v>
      </c>
      <c r="L21" s="33"/>
      <c r="M21" s="32">
        <v>0</v>
      </c>
      <c r="N21" s="9"/>
      <c r="O21" s="9"/>
      <c r="P21" s="9"/>
    </row>
    <row r="22" spans="1:16" ht="12.75" customHeight="1" x14ac:dyDescent="0.2">
      <c r="A22" s="37" t="s">
        <v>28</v>
      </c>
      <c r="B22" s="38"/>
      <c r="C22" s="39"/>
      <c r="D22" s="29"/>
      <c r="E22" s="30"/>
      <c r="F22" s="31"/>
      <c r="G22" s="32">
        <f>D22*F22</f>
        <v>0</v>
      </c>
      <c r="H22" s="33">
        <v>1</v>
      </c>
      <c r="I22" s="30" t="s">
        <v>29</v>
      </c>
      <c r="J22" s="34">
        <v>200</v>
      </c>
      <c r="K22" s="32">
        <f t="shared" ref="K22:K24" si="1">H22*J22</f>
        <v>200</v>
      </c>
      <c r="L22" s="33"/>
      <c r="M22" s="32">
        <v>0</v>
      </c>
      <c r="N22" s="9"/>
      <c r="O22" s="9"/>
      <c r="P22" s="9"/>
    </row>
    <row r="23" spans="1:16" ht="12.75" customHeight="1" x14ac:dyDescent="0.2">
      <c r="A23" s="37" t="s">
        <v>30</v>
      </c>
      <c r="B23" s="38"/>
      <c r="C23" s="39"/>
      <c r="D23" s="29">
        <v>4</v>
      </c>
      <c r="E23" s="30" t="s">
        <v>9</v>
      </c>
      <c r="F23" s="31">
        <v>60</v>
      </c>
      <c r="G23" s="32">
        <f>D23*F23</f>
        <v>240</v>
      </c>
      <c r="H23" s="33"/>
      <c r="I23" s="30"/>
      <c r="J23" s="34"/>
      <c r="K23" s="32">
        <f t="shared" si="1"/>
        <v>0</v>
      </c>
      <c r="L23" s="33"/>
      <c r="M23" s="32">
        <v>0</v>
      </c>
      <c r="N23" s="9"/>
      <c r="O23" s="9"/>
      <c r="P23" s="9"/>
    </row>
    <row r="24" spans="1:16" ht="12.75" customHeight="1" x14ac:dyDescent="0.2">
      <c r="A24" s="37" t="s">
        <v>31</v>
      </c>
      <c r="B24" s="38"/>
      <c r="C24" s="39"/>
      <c r="D24" s="29">
        <v>8</v>
      </c>
      <c r="E24" s="30" t="s">
        <v>9</v>
      </c>
      <c r="F24" s="31">
        <v>60</v>
      </c>
      <c r="G24" s="32">
        <f>D24*F24</f>
        <v>480</v>
      </c>
      <c r="H24" s="33"/>
      <c r="I24" s="30"/>
      <c r="J24" s="34"/>
      <c r="K24" s="32">
        <f t="shared" si="1"/>
        <v>0</v>
      </c>
      <c r="L24" s="33"/>
      <c r="M24" s="32">
        <v>0</v>
      </c>
      <c r="N24" s="9"/>
      <c r="O24" s="9"/>
      <c r="P24" s="9"/>
    </row>
    <row r="25" spans="1:16" ht="12.75" customHeight="1" x14ac:dyDescent="0.2">
      <c r="A25" s="37" t="s">
        <v>32</v>
      </c>
      <c r="B25" s="38"/>
      <c r="C25" s="39"/>
      <c r="D25" s="29">
        <v>1</v>
      </c>
      <c r="E25" s="30" t="s">
        <v>26</v>
      </c>
      <c r="F25" s="31">
        <v>370</v>
      </c>
      <c r="G25" s="32">
        <f>D25*F25</f>
        <v>370</v>
      </c>
      <c r="H25" s="33"/>
      <c r="I25" s="30"/>
      <c r="J25" s="34"/>
      <c r="K25" s="32">
        <f t="shared" ref="K25:K26" si="2">H25*J25</f>
        <v>0</v>
      </c>
      <c r="L25" s="33"/>
      <c r="M25" s="32">
        <v>0</v>
      </c>
      <c r="N25" s="9"/>
      <c r="O25" s="9"/>
      <c r="P25" s="9"/>
    </row>
    <row r="26" spans="1:16" ht="12.75" customHeight="1" x14ac:dyDescent="0.2">
      <c r="A26" s="37" t="s">
        <v>33</v>
      </c>
      <c r="B26" s="38"/>
      <c r="C26" s="39"/>
      <c r="D26" s="29"/>
      <c r="E26" s="30" t="s">
        <v>9</v>
      </c>
      <c r="F26" s="31">
        <v>60.5</v>
      </c>
      <c r="G26" s="32">
        <f>D26*F26</f>
        <v>0</v>
      </c>
      <c r="H26" s="33">
        <v>1</v>
      </c>
      <c r="I26" s="30" t="s">
        <v>26</v>
      </c>
      <c r="J26" s="34">
        <v>10</v>
      </c>
      <c r="K26" s="32">
        <f t="shared" si="2"/>
        <v>10</v>
      </c>
      <c r="L26" s="33"/>
      <c r="M26" s="32">
        <v>0</v>
      </c>
      <c r="N26" s="9"/>
      <c r="O26" s="9"/>
      <c r="P26" s="9"/>
    </row>
    <row r="27" spans="1:16" ht="12.75" customHeight="1" x14ac:dyDescent="0.2">
      <c r="A27" s="37"/>
      <c r="B27" s="38"/>
      <c r="C27" s="39"/>
      <c r="D27" s="29"/>
      <c r="E27" s="30" t="s">
        <v>9</v>
      </c>
      <c r="F27" s="31">
        <v>80</v>
      </c>
      <c r="G27" s="32">
        <f t="shared" ref="G27" si="3">D27*F27</f>
        <v>0</v>
      </c>
      <c r="H27" s="33"/>
      <c r="I27" s="30"/>
      <c r="J27" s="34"/>
      <c r="K27" s="32">
        <f t="shared" ref="K27" si="4">H27*J27</f>
        <v>0</v>
      </c>
      <c r="L27" s="33"/>
      <c r="M27" s="32">
        <v>0</v>
      </c>
      <c r="N27" s="9"/>
      <c r="O27" s="9"/>
      <c r="P27" s="9"/>
    </row>
    <row r="28" spans="1:16" x14ac:dyDescent="0.2">
      <c r="C28" s="2" t="s">
        <v>2</v>
      </c>
      <c r="E28" s="17"/>
      <c r="G28" s="18">
        <f>SUM(G20:G27)</f>
        <v>1090</v>
      </c>
      <c r="K28" s="18">
        <f>SUM(K20:K27)</f>
        <v>760</v>
      </c>
      <c r="M28" s="18">
        <f>SUM(M20:M27)</f>
        <v>0</v>
      </c>
    </row>
    <row r="29" spans="1:16" x14ac:dyDescent="0.2">
      <c r="C29" s="3" t="s">
        <v>1</v>
      </c>
      <c r="E29" s="17"/>
      <c r="F29" s="19">
        <v>0.15</v>
      </c>
      <c r="G29" s="11">
        <f>+F29*G28</f>
        <v>163.5</v>
      </c>
      <c r="J29" s="19">
        <v>0.15</v>
      </c>
      <c r="K29" s="11">
        <f>+J29*K28</f>
        <v>114</v>
      </c>
      <c r="L29" s="19">
        <v>0</v>
      </c>
      <c r="M29" s="11">
        <f>+L29*M28</f>
        <v>0</v>
      </c>
    </row>
    <row r="30" spans="1:16" x14ac:dyDescent="0.2">
      <c r="C30" s="2" t="s">
        <v>0</v>
      </c>
      <c r="E30" s="17"/>
      <c r="G30" s="12">
        <f>G28+G29</f>
        <v>1253.5</v>
      </c>
      <c r="H30" s="20"/>
      <c r="I30" s="20"/>
      <c r="J30" s="20"/>
      <c r="K30" s="12">
        <f>K28+K29</f>
        <v>874</v>
      </c>
      <c r="L30" s="20"/>
      <c r="M30" s="12">
        <f>M28+M29</f>
        <v>0</v>
      </c>
    </row>
    <row r="31" spans="1:16" ht="13.5" thickBot="1" x14ac:dyDescent="0.25">
      <c r="C31" s="2"/>
      <c r="E31" s="17"/>
      <c r="G31" s="21"/>
      <c r="H31" s="22"/>
      <c r="I31" s="22"/>
      <c r="J31" s="23"/>
      <c r="K31" s="21"/>
      <c r="L31" s="24"/>
      <c r="M31" s="21"/>
    </row>
    <row r="32" spans="1:16" x14ac:dyDescent="0.2">
      <c r="C32" s="1" t="s">
        <v>11</v>
      </c>
      <c r="E32" s="17"/>
    </row>
    <row r="33" spans="1:13" ht="13.5" thickBot="1" x14ac:dyDescent="0.25">
      <c r="C33" s="10">
        <f>G30+K30+M30</f>
        <v>2127.5</v>
      </c>
      <c r="E33" s="17"/>
    </row>
    <row r="36" spans="1:13" s="26" customFormat="1" ht="15.75" x14ac:dyDescent="0.25">
      <c r="A36" s="27" t="s">
        <v>18</v>
      </c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5"/>
      <c r="M36" s="25"/>
    </row>
    <row r="37" spans="1:13" s="26" customFormat="1" ht="15.75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s="26" customFormat="1" ht="15.75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s="26" customFormat="1" ht="15.75" x14ac:dyDescent="0.25">
      <c r="A39" s="27" t="s">
        <v>19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s="26" customFormat="1" ht="15.75" x14ac:dyDescent="0.25">
      <c r="A40" s="27" t="s">
        <v>20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s="26" customFormat="1" ht="15.75" x14ac:dyDescent="0.25">
      <c r="A41" s="27" t="s">
        <v>21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s="26" customFormat="1" ht="15.75" x14ac:dyDescent="0.25">
      <c r="A42" s="27" t="s">
        <v>22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</sheetData>
  <mergeCells count="20">
    <mergeCell ref="A23:C23"/>
    <mergeCell ref="A24:C24"/>
    <mergeCell ref="A25:C25"/>
    <mergeCell ref="A26:C26"/>
    <mergeCell ref="A27:C27"/>
    <mergeCell ref="J1:M1"/>
    <mergeCell ref="D18:G18"/>
    <mergeCell ref="A2:M3"/>
    <mergeCell ref="A5:K5"/>
    <mergeCell ref="A7:K7"/>
    <mergeCell ref="A8:K8"/>
    <mergeCell ref="A9:K9"/>
    <mergeCell ref="A16:M16"/>
    <mergeCell ref="L18:M18"/>
    <mergeCell ref="H18:K18"/>
    <mergeCell ref="A19:C19"/>
    <mergeCell ref="A18:C18"/>
    <mergeCell ref="A20:C20"/>
    <mergeCell ref="A21:C21"/>
    <mergeCell ref="A22:C22"/>
  </mergeCells>
  <hyperlinks>
    <hyperlink ref="A41" r:id="rId1"/>
  </hyperlinks>
  <pageMargins left="0.7" right="0.7" top="1.3" bottom="0.7" header="0.5" footer="0.3"/>
  <pageSetup orientation="portrait" horizontalDpi="4294967293" verticalDpi="4294967293" r:id="rId2"/>
  <headerFooter>
    <oddHeader xml:space="preserve">&amp;C&amp;G
</oddHeader>
    <oddFooter>&amp;L&amp;"Times New Roman,Regular"&amp;9 127-10th Street South, Suite 200, Kirkland, WA  98033
Contractor Registration # ONEWAWP895BU&amp;C&amp;"Times New Roman,Regular"&amp;9Page &amp;P of &amp;N&amp;R&amp;"Times New Roman,Regular"&amp;9(425) 968-8314 Phone
www.OneWayPlumbing.com</oddFooter>
  </headerFooter>
  <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COR</vt:lpstr>
      <vt:lpstr>COR!Print_Area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2016-02-03T00:34:06Z</cp:lastPrinted>
  <dcterms:created xsi:type="dcterms:W3CDTF">2014-07-14T23:11:07Z</dcterms:created>
  <dcterms:modified xsi:type="dcterms:W3CDTF">2016-03-07T16:16:51Z</dcterms:modified>
</cp:coreProperties>
</file>