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5-Exxel, The Cora\Change Orders\COR's\"/>
    </mc:Choice>
  </mc:AlternateContent>
  <bookViews>
    <workbookView xWindow="0" yWindow="0" windowWidth="28800" windowHeight="12435"/>
  </bookViews>
  <sheets>
    <sheet name="CGC BP " sheetId="1" r:id="rId1"/>
  </sheets>
  <definedNames>
    <definedName name="_xlnm.Print_Area" localSheetId="0">'CGC BP '!$A$1:$L$23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9" i="1" l="1"/>
  <c r="L58" i="1"/>
  <c r="J58" i="1"/>
  <c r="J60" i="1" s="1"/>
  <c r="J57" i="1"/>
  <c r="F56" i="1"/>
  <c r="F58" i="1" s="1"/>
  <c r="L37" i="1"/>
  <c r="L38" i="1" s="1"/>
  <c r="J36" i="1"/>
  <c r="J37" i="1" s="1"/>
  <c r="F35" i="1"/>
  <c r="F37" i="1" s="1"/>
  <c r="J16" i="1"/>
  <c r="F59" i="1" l="1"/>
  <c r="F60" i="1"/>
  <c r="B63" i="1" s="1"/>
  <c r="L60" i="1"/>
  <c r="L59" i="1"/>
  <c r="F38" i="1"/>
  <c r="F39" i="1"/>
  <c r="J38" i="1"/>
  <c r="J39" i="1" s="1"/>
  <c r="L39" i="1"/>
  <c r="F15" i="1"/>
  <c r="B42" i="1" l="1"/>
  <c r="J17" i="1"/>
  <c r="F17" i="1" l="1"/>
  <c r="L17" i="1"/>
  <c r="J18" i="1" l="1"/>
  <c r="J19" i="1" s="1"/>
  <c r="F18" i="1"/>
  <c r="F19" i="1" s="1"/>
  <c r="L18" i="1"/>
  <c r="L19" i="1" s="1"/>
  <c r="B22" i="1" l="1"/>
</calcChain>
</file>

<file path=xl/sharedStrings.xml><?xml version="1.0" encoding="utf-8"?>
<sst xmlns="http://schemas.openxmlformats.org/spreadsheetml/2006/main" count="76" uniqueCount="22">
  <si>
    <t>Subtotal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</si>
  <si>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</si>
  <si>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</si>
  <si>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</si>
  <si>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</si>
  <si>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</si>
  <si>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</si>
  <si>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</si>
  <si>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</si>
  <si>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</si>
  <si>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</si>
  <si>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</si>
  <si>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</si>
  <si>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</si>
  <si>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</si>
  <si>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HRS</t>
  </si>
  <si>
    <t>Quan</t>
  </si>
  <si>
    <t>TOTAL</t>
  </si>
  <si>
    <t>CORA</t>
  </si>
  <si>
    <t>LABOR</t>
  </si>
  <si>
    <t>MATERIAL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</si>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</sst>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0.0_);[Red]\(0.0\)"/>
    <numFmt numFmtId="168" formatCode="&quot;$&quot;#,##0"/>
  </numFmts>
  <fonts count="6" x14ac:knownFonts="1">
    <font>
      <sz val="10"/>
      <name val="MS Sans Serif"/>
    </font>
    <font>
      <b/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2" fillId="0" borderId="0" applyFont="0" applyFill="0" applyBorder="0" applyAlignment="0" applyProtection="0"/>
    <xf numFmtId="0" fontId="3" fillId="0" borderId="0"/>
  </cellStyleXfs>
  <cellXfs count="76">
    <xf numFmtId="0" fontId="0" fillId="0" borderId="0" xfId="0"/>
    <xf numFmtId="0" fontId="1" fillId="2" borderId="2" xfId="0" applyFont="1" applyFill="1" applyBorder="1"/>
    <xf numFmtId="0" fontId="1" fillId="0" borderId="0" xfId="0" applyFont="1" applyAlignment="1">
      <alignment horizontal="right"/>
    </xf>
    <xf numFmtId="8" fontId="1" fillId="2" borderId="0" xfId="1" applyFont="1" applyFill="1"/>
    <xf numFmtId="8" fontId="3" fillId="0" borderId="0" xfId="1" applyFont="1"/>
    <xf numFmtId="8" fontId="3" fillId="0" borderId="0" xfId="1" applyFont="1" applyAlignment="1">
      <alignment horizontal="right"/>
    </xf>
    <xf numFmtId="164" fontId="0" fillId="0" borderId="0" xfId="0" applyNumberFormat="1"/>
    <xf numFmtId="44" fontId="4" fillId="0" borderId="3" xfId="0" applyNumberFormat="1" applyFont="1" applyBorder="1" applyAlignment="1">
      <alignment vertical="top" wrapText="1"/>
    </xf>
    <xf numFmtId="165" fontId="4" fillId="0" borderId="3" xfId="0" applyNumberFormat="1" applyFont="1" applyBorder="1" applyAlignment="1">
      <alignment vertical="top" wrapText="1"/>
    </xf>
    <xf numFmtId="164" fontId="4" fillId="0" borderId="3" xfId="0" applyNumberFormat="1" applyFont="1" applyBorder="1" applyAlignment="1">
      <alignment vertical="top" wrapText="1"/>
    </xf>
    <xf numFmtId="166" fontId="4" fillId="0" borderId="3" xfId="0" applyNumberFormat="1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1" fillId="3" borderId="7" xfId="0" applyFont="1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3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3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3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1" fillId="0" borderId="15" xfId="2" applyFont="1" applyBorder="1" applyAlignment="1">
      <alignment horizontal="left"/>
    </xf>
    <xf numFmtId="0" fontId="3" fillId="0" borderId="0" xfId="2" applyFont="1" applyBorder="1" applyAlignment="1">
      <alignment horizontal="center"/>
    </xf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0" fillId="0" borderId="0" xfId="0" applyNumberFormat="1"/>
    <xf numFmtId="8" fontId="0" fillId="0" borderId="0" xfId="0" applyNumberFormat="1" applyFont="1"/>
    <xf numFmtId="0" fontId="4" fillId="0" borderId="3" xfId="0" applyFont="1" applyBorder="1" applyAlignment="1">
      <alignment horizontal="left" vertical="top"/>
    </xf>
    <xf numFmtId="38" fontId="1" fillId="2" borderId="1" xfId="0" applyNumberFormat="1" applyFont="1" applyFill="1" applyBorder="1"/>
    <xf numFmtId="6" fontId="3" fillId="0" borderId="0" xfId="1" applyNumberFormat="1" applyFont="1"/>
    <xf numFmtId="6" fontId="1" fillId="2" borderId="0" xfId="1" applyNumberFormat="1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6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14" xfId="0" applyFont="1" applyBorder="1"/>
    <xf numFmtId="0" fontId="3" fillId="0" borderId="13" xfId="0" applyFont="1" applyBorder="1"/>
    <xf numFmtId="0" fontId="3" fillId="0" borderId="13" xfId="0" applyFont="1" applyBorder="1" applyAlignment="1">
      <alignment horizontal="center"/>
    </xf>
    <xf numFmtId="0" fontId="3" fillId="0" borderId="10" xfId="0" applyFont="1" applyBorder="1"/>
    <xf numFmtId="0" fontId="3" fillId="0" borderId="9" xfId="0" applyFont="1" applyBorder="1"/>
    <xf numFmtId="0" fontId="3" fillId="4" borderId="7" xfId="0" applyFont="1" applyFill="1" applyBorder="1" applyAlignment="1">
      <alignment horizontal="centerContinuous"/>
    </xf>
    <xf numFmtId="168" fontId="3" fillId="4" borderId="7" xfId="0" applyNumberFormat="1" applyFont="1" applyFill="1" applyBorder="1" applyAlignment="1">
      <alignment horizontal="centerContinuous"/>
    </xf>
    <xf numFmtId="0" fontId="3" fillId="3" borderId="6" xfId="0" applyFont="1" applyFill="1" applyBorder="1" applyAlignment="1">
      <alignment horizontal="centerContinuous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8" fontId="3" fillId="0" borderId="4" xfId="0" applyNumberFormat="1" applyFont="1" applyBorder="1" applyAlignment="1">
      <alignment horizontal="center"/>
    </xf>
    <xf numFmtId="164" fontId="3" fillId="0" borderId="0" xfId="0" applyNumberFormat="1" applyFont="1"/>
    <xf numFmtId="9" fontId="5" fillId="0" borderId="0" xfId="0" applyNumberFormat="1" applyFont="1"/>
    <xf numFmtId="0" fontId="1" fillId="0" borderId="0" xfId="0" applyFont="1"/>
    <xf numFmtId="164" fontId="3" fillId="0" borderId="0" xfId="0" applyNumberFormat="1" applyFont="1" applyFill="1"/>
    <xf numFmtId="0" fontId="3" fillId="0" borderId="0" xfId="0" applyFont="1" applyFill="1"/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167" fontId="4" fillId="0" borderId="3" xfId="0" applyNumberFormat="1" applyFont="1" applyBorder="1" applyAlignment="1">
      <alignment vertical="top" wrapText="1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6" borderId="19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11</xdr:col>
      <xdr:colOff>904875</xdr:colOff>
      <xdr:row>9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en-US" sz="1100" b="0" i="0" baseline="0">
              <a:effectLst/>
              <a:latin typeface="+mn-lt"/>
              <a:ea typeface="+mn-ea"/>
              <a:cs typeface="+mn-cs"/>
            </a:rPr>
            <a:t>MOVE TOILET FLANGE IN AMENITY BATHROOM</a:t>
          </a:r>
        </a:p>
        <a:p>
          <a:pPr rtl="0"/>
          <a:endParaRPr lang="en-US">
            <a:effectLst/>
          </a:endParaRPr>
        </a:p>
        <a:p>
          <a:pPr rtl="0" fontAlgn="base"/>
          <a:endParaRPr lang="en-US"/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11</xdr:col>
      <xdr:colOff>904875</xdr:colOff>
      <xdr:row>29</xdr:row>
      <xdr:rowOff>142875</xdr:rowOff>
    </xdr:to>
    <xdr:sp macro="" textlink="">
      <xdr:nvSpPr>
        <xdr:cNvPr id="4" name="Text Box 2"/>
        <xdr:cNvSpPr txBox="1">
          <a:spLocks noChangeArrowheads="1"/>
        </xdr:cNvSpPr>
      </xdr:nvSpPr>
      <xdr:spPr bwMode="auto">
        <a:xfrm>
          <a:off x="0" y="787977"/>
          <a:ext cx="7495309" cy="63644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en-US" sz="1100" b="0" i="0" baseline="0">
              <a:effectLst/>
              <a:latin typeface="+mn-lt"/>
              <a:ea typeface="+mn-ea"/>
              <a:cs typeface="+mn-cs"/>
            </a:rPr>
            <a:t>REMOVE AND REINSTALL TUB</a:t>
          </a:r>
        </a:p>
        <a:p>
          <a:pPr rtl="0"/>
          <a:endParaRPr lang="en-US">
            <a:effectLst/>
          </a:endParaRPr>
        </a:p>
        <a:p>
          <a:pPr rtl="0" fontAlgn="base"/>
          <a:endParaRPr lang="en-US"/>
        </a:p>
      </xdr:txBody>
    </xdr:sp>
    <xdr:clientData/>
  </xdr:twoCellAnchor>
  <xdr:twoCellAnchor>
    <xdr:from>
      <xdr:col>0</xdr:col>
      <xdr:colOff>0</xdr:colOff>
      <xdr:row>47</xdr:row>
      <xdr:rowOff>0</xdr:rowOff>
    </xdr:from>
    <xdr:to>
      <xdr:col>11</xdr:col>
      <xdr:colOff>904875</xdr:colOff>
      <xdr:row>50</xdr:row>
      <xdr:rowOff>142875</xdr:rowOff>
    </xdr:to>
    <xdr:sp macro="" textlink="">
      <xdr:nvSpPr>
        <xdr:cNvPr id="5" name="Text Box 2"/>
        <xdr:cNvSpPr txBox="1">
          <a:spLocks noChangeArrowheads="1"/>
        </xdr:cNvSpPr>
      </xdr:nvSpPr>
      <xdr:spPr bwMode="auto">
        <a:xfrm>
          <a:off x="0" y="3818659"/>
          <a:ext cx="7495309" cy="63644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en-US" sz="1100" b="0" i="0" baseline="0">
              <a:effectLst/>
              <a:latin typeface="+mn-lt"/>
              <a:ea typeface="+mn-ea"/>
              <a:cs typeface="+mn-cs"/>
            </a:rPr>
            <a:t>INSULATION</a:t>
          </a:r>
        </a:p>
        <a:p>
          <a:pPr rtl="0"/>
          <a:endParaRPr lang="en-US">
            <a:effectLst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3"/>
  <sheetViews>
    <sheetView tabSelected="1" zoomScale="110" zoomScaleNormal="110" workbookViewId="0">
      <selection activeCell="J68" sqref="J68"/>
    </sheetView>
  </sheetViews>
  <sheetFormatPr defaultRowHeight="12.75" x14ac:dyDescent="0.2"/>
  <cols>
    <col min="1" max="1" width="4.5703125" style="35" bestFit="1" customWidth="1"/>
    <col min="2" max="2" width="33.5703125" style="35" customWidth="1"/>
    <col min="3" max="3" width="5.85546875" style="35" customWidth="1"/>
    <col min="4" max="4" width="5.140625" style="35" bestFit="1" customWidth="1"/>
    <col min="5" max="5" width="8.28515625" style="35" bestFit="1" customWidth="1"/>
    <col min="6" max="6" width="8.5703125" style="35" customWidth="1"/>
    <col min="7" max="7" width="5.7109375" style="35" customWidth="1"/>
    <col min="8" max="8" width="5.140625" style="35" bestFit="1" customWidth="1"/>
    <col min="9" max="9" width="8.5703125" style="35" customWidth="1"/>
    <col min="10" max="10" width="7.85546875" style="35" customWidth="1"/>
    <col min="11" max="11" width="8" style="35" bestFit="1" customWidth="1"/>
    <col min="12" max="12" width="10.85546875" style="35" customWidth="1"/>
    <col min="13" max="13" width="11" customWidth="1"/>
    <col min="15" max="15" width="13" customWidth="1"/>
  </cols>
  <sheetData>
    <row r="1" spans="1:15" x14ac:dyDescent="0.2">
      <c r="D1" s="36"/>
      <c r="H1" s="28" t="s">
        <v>13</v>
      </c>
      <c r="I1" s="62" t="s">
        <v>18</v>
      </c>
      <c r="J1" s="62"/>
      <c r="K1" s="62"/>
      <c r="L1" s="62"/>
    </row>
    <row r="2" spans="1:15" x14ac:dyDescent="0.2">
      <c r="D2" s="36"/>
      <c r="G2" s="18"/>
      <c r="H2" s="27" t="s">
        <v>12</v>
      </c>
      <c r="I2" s="63">
        <v>42888</v>
      </c>
      <c r="J2" s="62"/>
      <c r="K2" s="62"/>
      <c r="L2" s="62"/>
    </row>
    <row r="3" spans="1:15" ht="13.5" thickBot="1" x14ac:dyDescent="0.25">
      <c r="D3" s="36"/>
      <c r="G3" s="18"/>
      <c r="H3" s="27" t="s">
        <v>14</v>
      </c>
      <c r="I3" s="26"/>
      <c r="J3" s="57"/>
      <c r="K3" s="57"/>
      <c r="L3" s="57"/>
    </row>
    <row r="4" spans="1:15" ht="4.5" customHeight="1" x14ac:dyDescent="0.2">
      <c r="A4" s="64" t="s">
        <v>11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6"/>
    </row>
    <row r="5" spans="1:15" ht="12.75" customHeight="1" x14ac:dyDescent="0.2">
      <c r="A5" s="67"/>
      <c r="B5" s="68"/>
      <c r="C5" s="68"/>
      <c r="D5" s="68"/>
      <c r="E5" s="68"/>
      <c r="F5" s="68"/>
      <c r="G5" s="68"/>
      <c r="H5" s="68"/>
      <c r="I5" s="68"/>
      <c r="J5" s="68"/>
      <c r="K5" s="68"/>
      <c r="L5" s="69"/>
    </row>
    <row r="6" spans="1:15" ht="4.5" customHeight="1" thickBot="1" x14ac:dyDescent="0.25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2"/>
    </row>
    <row r="7" spans="1:15" x14ac:dyDescent="0.2">
      <c r="A7" s="37"/>
      <c r="B7" s="38"/>
      <c r="C7" s="38"/>
      <c r="D7" s="39"/>
      <c r="E7" s="38"/>
      <c r="F7" s="38"/>
      <c r="G7" s="18"/>
      <c r="H7" s="25"/>
      <c r="I7" s="58"/>
      <c r="J7" s="57"/>
      <c r="K7" s="57"/>
      <c r="L7" s="24"/>
    </row>
    <row r="8" spans="1:15" x14ac:dyDescent="0.2">
      <c r="A8" s="37"/>
      <c r="B8" s="38"/>
      <c r="C8" s="38"/>
      <c r="D8" s="39"/>
      <c r="E8" s="38"/>
      <c r="F8" s="38"/>
      <c r="G8" s="18"/>
      <c r="H8" s="25"/>
      <c r="I8" s="58"/>
      <c r="J8" s="57"/>
      <c r="K8" s="57"/>
      <c r="L8" s="24"/>
    </row>
    <row r="9" spans="1:15" x14ac:dyDescent="0.2">
      <c r="A9" s="37"/>
      <c r="B9" s="38"/>
      <c r="C9" s="38"/>
      <c r="D9" s="39"/>
      <c r="E9" s="38"/>
      <c r="F9" s="38"/>
      <c r="G9" s="18"/>
      <c r="H9" s="25"/>
      <c r="I9" s="58"/>
      <c r="J9" s="57"/>
      <c r="K9" s="57"/>
      <c r="L9" s="24"/>
    </row>
    <row r="10" spans="1:15" ht="13.5" thickBot="1" x14ac:dyDescent="0.25">
      <c r="A10" s="40"/>
      <c r="B10" s="41"/>
      <c r="C10" s="41"/>
      <c r="D10" s="42"/>
      <c r="E10" s="41"/>
      <c r="F10" s="41"/>
      <c r="G10" s="23"/>
      <c r="H10" s="22"/>
      <c r="I10" s="21"/>
      <c r="J10" s="20"/>
      <c r="K10" s="20"/>
      <c r="L10" s="19"/>
    </row>
    <row r="11" spans="1:15" ht="6" customHeight="1" x14ac:dyDescent="0.2">
      <c r="D11" s="36"/>
      <c r="E11" s="18"/>
      <c r="F11" s="17"/>
      <c r="G11" s="16"/>
      <c r="H11" s="16"/>
      <c r="I11" s="16"/>
      <c r="J11" s="15"/>
    </row>
    <row r="13" spans="1:15" x14ac:dyDescent="0.2">
      <c r="A13" s="43"/>
      <c r="B13" s="44"/>
      <c r="C13" s="73" t="s">
        <v>10</v>
      </c>
      <c r="D13" s="74"/>
      <c r="E13" s="74"/>
      <c r="F13" s="75"/>
      <c r="G13" s="14" t="s">
        <v>9</v>
      </c>
      <c r="H13" s="45"/>
      <c r="I13" s="45"/>
      <c r="J13" s="46"/>
      <c r="K13" s="13" t="s">
        <v>8</v>
      </c>
      <c r="L13" s="47"/>
    </row>
    <row r="14" spans="1:15" x14ac:dyDescent="0.2">
      <c r="A14" s="48" t="s">
        <v>7</v>
      </c>
      <c r="B14" s="49" t="s">
        <v>6</v>
      </c>
      <c r="C14" s="50" t="s">
        <v>16</v>
      </c>
      <c r="D14" s="50" t="s">
        <v>4</v>
      </c>
      <c r="E14" s="50" t="s">
        <v>5</v>
      </c>
      <c r="F14" s="51" t="s">
        <v>3</v>
      </c>
      <c r="G14" s="50" t="s">
        <v>16</v>
      </c>
      <c r="H14" s="50" t="s">
        <v>4</v>
      </c>
      <c r="I14" s="50" t="s">
        <v>5</v>
      </c>
      <c r="J14" s="51" t="s">
        <v>3</v>
      </c>
      <c r="K14" s="50" t="s">
        <v>4</v>
      </c>
      <c r="L14" s="50" t="s">
        <v>3</v>
      </c>
    </row>
    <row r="15" spans="1:15" x14ac:dyDescent="0.2">
      <c r="A15" s="12"/>
      <c r="B15" s="31" t="s">
        <v>19</v>
      </c>
      <c r="C15" s="59">
        <v>4</v>
      </c>
      <c r="D15" s="11" t="s">
        <v>15</v>
      </c>
      <c r="E15" s="10">
        <v>85</v>
      </c>
      <c r="F15" s="9">
        <f>C15*E15</f>
        <v>340</v>
      </c>
      <c r="G15" s="8"/>
      <c r="H15" s="11"/>
      <c r="I15" s="10"/>
      <c r="J15" s="9"/>
      <c r="K15" s="8"/>
      <c r="L15" s="7"/>
      <c r="M15" s="6"/>
      <c r="N15" s="29"/>
      <c r="O15" s="30"/>
    </row>
    <row r="16" spans="1:15" x14ac:dyDescent="0.2">
      <c r="A16" s="12"/>
      <c r="B16" s="31" t="s">
        <v>20</v>
      </c>
      <c r="C16" s="59"/>
      <c r="D16" s="11"/>
      <c r="E16" s="10"/>
      <c r="F16" s="9"/>
      <c r="G16" s="8">
        <v>1</v>
      </c>
      <c r="H16" s="11" t="s">
        <v>21</v>
      </c>
      <c r="I16" s="10">
        <v>100</v>
      </c>
      <c r="J16" s="9">
        <f>G16*I16</f>
        <v>100</v>
      </c>
      <c r="K16" s="8"/>
      <c r="L16" s="7"/>
      <c r="M16" s="6"/>
      <c r="N16" s="29"/>
      <c r="O16" s="30"/>
    </row>
    <row r="17" spans="1:12" x14ac:dyDescent="0.2">
      <c r="B17" s="2" t="s">
        <v>2</v>
      </c>
      <c r="D17" s="36"/>
      <c r="F17" s="52">
        <f>SUM(F15:F16)</f>
        <v>340</v>
      </c>
      <c r="J17" s="52">
        <f>SUM(J15:J16)</f>
        <v>100</v>
      </c>
      <c r="L17" s="52">
        <f>SUM(L15:L16)</f>
        <v>0</v>
      </c>
    </row>
    <row r="18" spans="1:12" x14ac:dyDescent="0.2">
      <c r="B18" s="5" t="s">
        <v>1</v>
      </c>
      <c r="D18" s="36"/>
      <c r="E18" s="53">
        <v>0.15</v>
      </c>
      <c r="F18" s="33">
        <f>+E18*F17</f>
        <v>51</v>
      </c>
      <c r="I18" s="53">
        <v>0.15</v>
      </c>
      <c r="J18" s="33">
        <f>+I18*J17</f>
        <v>15</v>
      </c>
      <c r="K18" s="53">
        <v>0.15</v>
      </c>
      <c r="L18" s="4">
        <f>+K18*L17</f>
        <v>0</v>
      </c>
    </row>
    <row r="19" spans="1:12" x14ac:dyDescent="0.2">
      <c r="B19" s="2" t="s">
        <v>0</v>
      </c>
      <c r="D19" s="36"/>
      <c r="F19" s="34">
        <f>F17+F18</f>
        <v>391</v>
      </c>
      <c r="G19" s="54"/>
      <c r="H19" s="54"/>
      <c r="I19" s="54"/>
      <c r="J19" s="34">
        <f>J17+J18</f>
        <v>115</v>
      </c>
      <c r="K19" s="54"/>
      <c r="L19" s="3">
        <f>L17+L18</f>
        <v>0</v>
      </c>
    </row>
    <row r="20" spans="1:12" ht="13.5" thickBot="1" x14ac:dyDescent="0.25">
      <c r="B20" s="2"/>
      <c r="D20" s="36"/>
      <c r="F20" s="55"/>
      <c r="G20" s="56"/>
      <c r="H20" s="56"/>
      <c r="I20" s="56"/>
      <c r="J20" s="55"/>
      <c r="K20" s="56"/>
      <c r="L20" s="55"/>
    </row>
    <row r="21" spans="1:12" x14ac:dyDescent="0.2">
      <c r="B21" s="1" t="s">
        <v>17</v>
      </c>
      <c r="D21" s="36"/>
    </row>
    <row r="22" spans="1:12" ht="13.5" thickBot="1" x14ac:dyDescent="0.25">
      <c r="B22" s="32">
        <f>F19+J19</f>
        <v>506</v>
      </c>
      <c r="D22" s="36"/>
    </row>
    <row r="23" spans="1:12" ht="13.5" thickBot="1" x14ac:dyDescent="0.25"/>
    <row r="24" spans="1:12" ht="4.5" customHeight="1" x14ac:dyDescent="0.2">
      <c r="A24" s="64" t="s">
        <v>11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6"/>
    </row>
    <row r="25" spans="1:12" ht="12.75" customHeight="1" x14ac:dyDescent="0.2">
      <c r="A25" s="67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9"/>
    </row>
    <row r="26" spans="1:12" ht="4.5" customHeight="1" thickBot="1" x14ac:dyDescent="0.25">
      <c r="A26" s="70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2"/>
    </row>
    <row r="27" spans="1:12" x14ac:dyDescent="0.2">
      <c r="A27" s="37"/>
      <c r="B27" s="38"/>
      <c r="C27" s="38"/>
      <c r="D27" s="39"/>
      <c r="E27" s="38"/>
      <c r="F27" s="38"/>
      <c r="G27" s="18"/>
      <c r="H27" s="25"/>
      <c r="I27" s="61"/>
      <c r="J27" s="60"/>
      <c r="K27" s="60"/>
      <c r="L27" s="24"/>
    </row>
    <row r="28" spans="1:12" x14ac:dyDescent="0.2">
      <c r="A28" s="37"/>
      <c r="B28" s="38"/>
      <c r="C28" s="38"/>
      <c r="D28" s="39"/>
      <c r="E28" s="38"/>
      <c r="F28" s="38"/>
      <c r="G28" s="18"/>
      <c r="H28" s="25"/>
      <c r="I28" s="61"/>
      <c r="J28" s="60"/>
      <c r="K28" s="60"/>
      <c r="L28" s="24"/>
    </row>
    <row r="29" spans="1:12" x14ac:dyDescent="0.2">
      <c r="A29" s="37"/>
      <c r="B29" s="38"/>
      <c r="C29" s="38"/>
      <c r="D29" s="39"/>
      <c r="E29" s="38"/>
      <c r="F29" s="38"/>
      <c r="G29" s="18"/>
      <c r="H29" s="25"/>
      <c r="I29" s="61"/>
      <c r="J29" s="60"/>
      <c r="K29" s="60"/>
      <c r="L29" s="24"/>
    </row>
    <row r="30" spans="1:12" ht="13.5" thickBot="1" x14ac:dyDescent="0.25">
      <c r="A30" s="40"/>
      <c r="B30" s="41"/>
      <c r="C30" s="41"/>
      <c r="D30" s="42"/>
      <c r="E30" s="41"/>
      <c r="F30" s="41"/>
      <c r="G30" s="23"/>
      <c r="H30" s="22"/>
      <c r="I30" s="21"/>
      <c r="J30" s="20"/>
      <c r="K30" s="20"/>
      <c r="L30" s="19"/>
    </row>
    <row r="31" spans="1:12" ht="6" customHeight="1" x14ac:dyDescent="0.2">
      <c r="D31" s="36"/>
      <c r="E31" s="18"/>
      <c r="F31" s="17"/>
      <c r="G31" s="16"/>
      <c r="H31" s="16"/>
      <c r="I31" s="16"/>
      <c r="J31" s="15"/>
    </row>
    <row r="33" spans="1:15" x14ac:dyDescent="0.2">
      <c r="A33" s="43"/>
      <c r="B33" s="44"/>
      <c r="C33" s="73" t="s">
        <v>10</v>
      </c>
      <c r="D33" s="74"/>
      <c r="E33" s="74"/>
      <c r="F33" s="75"/>
      <c r="G33" s="14" t="s">
        <v>9</v>
      </c>
      <c r="H33" s="45"/>
      <c r="I33" s="45"/>
      <c r="J33" s="46"/>
      <c r="K33" s="13" t="s">
        <v>8</v>
      </c>
      <c r="L33" s="47"/>
    </row>
    <row r="34" spans="1:15" x14ac:dyDescent="0.2">
      <c r="A34" s="48" t="s">
        <v>7</v>
      </c>
      <c r="B34" s="49" t="s">
        <v>6</v>
      </c>
      <c r="C34" s="50" t="s">
        <v>16</v>
      </c>
      <c r="D34" s="50" t="s">
        <v>4</v>
      </c>
      <c r="E34" s="50" t="s">
        <v>5</v>
      </c>
      <c r="F34" s="51" t="s">
        <v>3</v>
      </c>
      <c r="G34" s="50" t="s">
        <v>16</v>
      </c>
      <c r="H34" s="50" t="s">
        <v>4</v>
      </c>
      <c r="I34" s="50" t="s">
        <v>5</v>
      </c>
      <c r="J34" s="51" t="s">
        <v>3</v>
      </c>
      <c r="K34" s="50" t="s">
        <v>4</v>
      </c>
      <c r="L34" s="50" t="s">
        <v>3</v>
      </c>
    </row>
    <row r="35" spans="1:15" x14ac:dyDescent="0.2">
      <c r="A35" s="12"/>
      <c r="B35" s="31" t="s">
        <v>19</v>
      </c>
      <c r="C35" s="59">
        <v>8</v>
      </c>
      <c r="D35" s="11" t="s">
        <v>15</v>
      </c>
      <c r="E35" s="10">
        <v>85</v>
      </c>
      <c r="F35" s="9">
        <f>C35*E35</f>
        <v>680</v>
      </c>
      <c r="G35" s="8"/>
      <c r="H35" s="11"/>
      <c r="I35" s="10"/>
      <c r="J35" s="9"/>
      <c r="K35" s="8"/>
      <c r="L35" s="7"/>
      <c r="M35" s="6"/>
      <c r="N35" s="29"/>
      <c r="O35" s="30"/>
    </row>
    <row r="36" spans="1:15" x14ac:dyDescent="0.2">
      <c r="A36" s="12"/>
      <c r="B36" s="31" t="s">
        <v>20</v>
      </c>
      <c r="C36" s="59"/>
      <c r="D36" s="11"/>
      <c r="E36" s="10"/>
      <c r="F36" s="9"/>
      <c r="G36" s="8">
        <v>1</v>
      </c>
      <c r="H36" s="11" t="s">
        <v>21</v>
      </c>
      <c r="I36" s="10">
        <v>100</v>
      </c>
      <c r="J36" s="9">
        <f>G36*I36</f>
        <v>100</v>
      </c>
      <c r="K36" s="8"/>
      <c r="L36" s="7"/>
      <c r="M36" s="6"/>
      <c r="N36" s="29"/>
      <c r="O36" s="30"/>
    </row>
    <row r="37" spans="1:15" x14ac:dyDescent="0.2">
      <c r="B37" s="2" t="s">
        <v>2</v>
      </c>
      <c r="D37" s="36"/>
      <c r="F37" s="52">
        <f>SUM(F35:F36)</f>
        <v>680</v>
      </c>
      <c r="J37" s="52">
        <f>SUM(J35:J36)</f>
        <v>100</v>
      </c>
      <c r="L37" s="52">
        <f>SUM(L35:L36)</f>
        <v>0</v>
      </c>
    </row>
    <row r="38" spans="1:15" x14ac:dyDescent="0.2">
      <c r="B38" s="5" t="s">
        <v>1</v>
      </c>
      <c r="D38" s="36"/>
      <c r="E38" s="53">
        <v>0.15</v>
      </c>
      <c r="F38" s="33">
        <f>+E38*F37</f>
        <v>102</v>
      </c>
      <c r="I38" s="53">
        <v>0.15</v>
      </c>
      <c r="J38" s="33">
        <f>+I38*J37</f>
        <v>15</v>
      </c>
      <c r="K38" s="53">
        <v>0.15</v>
      </c>
      <c r="L38" s="4">
        <f>+K38*L37</f>
        <v>0</v>
      </c>
    </row>
    <row r="39" spans="1:15" x14ac:dyDescent="0.2">
      <c r="B39" s="2" t="s">
        <v>0</v>
      </c>
      <c r="D39" s="36"/>
      <c r="F39" s="34">
        <f>F37+F38</f>
        <v>782</v>
      </c>
      <c r="G39" s="54"/>
      <c r="H39" s="54"/>
      <c r="I39" s="54"/>
      <c r="J39" s="34">
        <f>J37+J38</f>
        <v>115</v>
      </c>
      <c r="K39" s="54"/>
      <c r="L39" s="3">
        <f>L37+L38</f>
        <v>0</v>
      </c>
    </row>
    <row r="40" spans="1:15" ht="13.5" thickBot="1" x14ac:dyDescent="0.25">
      <c r="B40" s="2"/>
      <c r="D40" s="36"/>
      <c r="F40" s="55"/>
      <c r="G40" s="56"/>
      <c r="H40" s="56"/>
      <c r="I40" s="56"/>
      <c r="J40" s="55"/>
      <c r="K40" s="56"/>
      <c r="L40" s="55"/>
    </row>
    <row r="41" spans="1:15" x14ac:dyDescent="0.2">
      <c r="B41" s="1" t="s">
        <v>17</v>
      </c>
      <c r="D41" s="36"/>
    </row>
    <row r="42" spans="1:15" ht="13.5" thickBot="1" x14ac:dyDescent="0.25">
      <c r="B42" s="32">
        <f>F39+J39</f>
        <v>897</v>
      </c>
      <c r="D42" s="36"/>
    </row>
    <row r="44" spans="1:15" ht="13.5" thickBot="1" x14ac:dyDescent="0.25"/>
    <row r="45" spans="1:15" ht="4.5" customHeight="1" x14ac:dyDescent="0.2">
      <c r="A45" s="64" t="s">
        <v>11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6"/>
    </row>
    <row r="46" spans="1:15" ht="12.75" customHeight="1" x14ac:dyDescent="0.2">
      <c r="A46" s="67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9"/>
    </row>
    <row r="47" spans="1:15" ht="4.5" customHeight="1" thickBot="1" x14ac:dyDescent="0.25">
      <c r="A47" s="70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2"/>
    </row>
    <row r="48" spans="1:15" x14ac:dyDescent="0.2">
      <c r="A48" s="37"/>
      <c r="B48" s="38"/>
      <c r="C48" s="38"/>
      <c r="D48" s="39"/>
      <c r="E48" s="38"/>
      <c r="F48" s="38"/>
      <c r="G48" s="18"/>
      <c r="H48" s="25"/>
      <c r="I48" s="61"/>
      <c r="J48" s="60"/>
      <c r="K48" s="60"/>
      <c r="L48" s="24"/>
    </row>
    <row r="49" spans="1:15" x14ac:dyDescent="0.2">
      <c r="A49" s="37"/>
      <c r="B49" s="38"/>
      <c r="C49" s="38"/>
      <c r="D49" s="39"/>
      <c r="E49" s="38"/>
      <c r="F49" s="38"/>
      <c r="G49" s="18"/>
      <c r="H49" s="25"/>
      <c r="I49" s="61"/>
      <c r="J49" s="60"/>
      <c r="K49" s="60"/>
      <c r="L49" s="24"/>
    </row>
    <row r="50" spans="1:15" x14ac:dyDescent="0.2">
      <c r="A50" s="37"/>
      <c r="B50" s="38"/>
      <c r="C50" s="38"/>
      <c r="D50" s="39"/>
      <c r="E50" s="38"/>
      <c r="F50" s="38"/>
      <c r="G50" s="18"/>
      <c r="H50" s="25"/>
      <c r="I50" s="61"/>
      <c r="J50" s="60"/>
      <c r="K50" s="60"/>
      <c r="L50" s="24"/>
    </row>
    <row r="51" spans="1:15" ht="13.5" thickBot="1" x14ac:dyDescent="0.25">
      <c r="A51" s="40"/>
      <c r="B51" s="41"/>
      <c r="C51" s="41"/>
      <c r="D51" s="42"/>
      <c r="E51" s="41"/>
      <c r="F51" s="41"/>
      <c r="G51" s="23"/>
      <c r="H51" s="22"/>
      <c r="I51" s="21"/>
      <c r="J51" s="20"/>
      <c r="K51" s="20"/>
      <c r="L51" s="19"/>
    </row>
    <row r="52" spans="1:15" ht="6" customHeight="1" x14ac:dyDescent="0.2">
      <c r="D52" s="36"/>
      <c r="E52" s="18"/>
      <c r="F52" s="17"/>
      <c r="G52" s="16"/>
      <c r="H52" s="16"/>
      <c r="I52" s="16"/>
      <c r="J52" s="15"/>
    </row>
    <row r="54" spans="1:15" x14ac:dyDescent="0.2">
      <c r="A54" s="43"/>
      <c r="B54" s="44"/>
      <c r="C54" s="73" t="s">
        <v>10</v>
      </c>
      <c r="D54" s="74"/>
      <c r="E54" s="74"/>
      <c r="F54" s="75"/>
      <c r="G54" s="14" t="s">
        <v>9</v>
      </c>
      <c r="H54" s="45"/>
      <c r="I54" s="45"/>
      <c r="J54" s="46"/>
      <c r="K54" s="13" t="s">
        <v>8</v>
      </c>
      <c r="L54" s="47"/>
    </row>
    <row r="55" spans="1:15" x14ac:dyDescent="0.2">
      <c r="A55" s="48" t="s">
        <v>7</v>
      </c>
      <c r="B55" s="49" t="s">
        <v>6</v>
      </c>
      <c r="C55" s="50" t="s">
        <v>16</v>
      </c>
      <c r="D55" s="50" t="s">
        <v>4</v>
      </c>
      <c r="E55" s="50" t="s">
        <v>5</v>
      </c>
      <c r="F55" s="51" t="s">
        <v>3</v>
      </c>
      <c r="G55" s="50" t="s">
        <v>16</v>
      </c>
      <c r="H55" s="50" t="s">
        <v>4</v>
      </c>
      <c r="I55" s="50" t="s">
        <v>5</v>
      </c>
      <c r="J55" s="51" t="s">
        <v>3</v>
      </c>
      <c r="K55" s="50" t="s">
        <v>4</v>
      </c>
      <c r="L55" s="50" t="s">
        <v>3</v>
      </c>
    </row>
    <row r="56" spans="1:15" x14ac:dyDescent="0.2">
      <c r="A56" s="12"/>
      <c r="B56" s="31" t="s">
        <v>19</v>
      </c>
      <c r="C56" s="59">
        <v>8</v>
      </c>
      <c r="D56" s="11" t="s">
        <v>15</v>
      </c>
      <c r="E56" s="10">
        <v>85</v>
      </c>
      <c r="F56" s="9">
        <f>C56*E56</f>
        <v>680</v>
      </c>
      <c r="G56" s="8"/>
      <c r="H56" s="11"/>
      <c r="I56" s="10"/>
      <c r="J56" s="9"/>
      <c r="K56" s="8"/>
      <c r="L56" s="7"/>
      <c r="M56" s="6"/>
      <c r="N56" s="29"/>
      <c r="O56" s="30"/>
    </row>
    <row r="57" spans="1:15" x14ac:dyDescent="0.2">
      <c r="A57" s="12"/>
      <c r="B57" s="31" t="s">
        <v>20</v>
      </c>
      <c r="C57" s="59"/>
      <c r="D57" s="11"/>
      <c r="E57" s="10"/>
      <c r="F57" s="9"/>
      <c r="G57" s="8">
        <v>1</v>
      </c>
      <c r="H57" s="11" t="s">
        <v>21</v>
      </c>
      <c r="I57" s="10">
        <v>100</v>
      </c>
      <c r="J57" s="9">
        <f>G57*I57</f>
        <v>100</v>
      </c>
      <c r="K57" s="8"/>
      <c r="L57" s="7"/>
      <c r="M57" s="6"/>
      <c r="N57" s="29"/>
      <c r="O57" s="30"/>
    </row>
    <row r="58" spans="1:15" x14ac:dyDescent="0.2">
      <c r="B58" s="2" t="s">
        <v>2</v>
      </c>
      <c r="D58" s="36"/>
      <c r="F58" s="52">
        <f>SUM(F56:F57)</f>
        <v>680</v>
      </c>
      <c r="J58" s="52">
        <f>SUM(J56:J57)</f>
        <v>100</v>
      </c>
      <c r="L58" s="52">
        <f>SUM(L56:L57)</f>
        <v>0</v>
      </c>
    </row>
    <row r="59" spans="1:15" x14ac:dyDescent="0.2">
      <c r="B59" s="5" t="s">
        <v>1</v>
      </c>
      <c r="D59" s="36"/>
      <c r="E59" s="53">
        <v>0.15</v>
      </c>
      <c r="F59" s="33">
        <f>+E59*F58</f>
        <v>102</v>
      </c>
      <c r="I59" s="53">
        <v>0.15</v>
      </c>
      <c r="J59" s="33">
        <f>+I59*J58</f>
        <v>15</v>
      </c>
      <c r="K59" s="53">
        <v>0.15</v>
      </c>
      <c r="L59" s="4">
        <f>+K59*L58</f>
        <v>0</v>
      </c>
    </row>
    <row r="60" spans="1:15" x14ac:dyDescent="0.2">
      <c r="B60" s="2" t="s">
        <v>0</v>
      </c>
      <c r="D60" s="36"/>
      <c r="F60" s="34">
        <f>F58+F59</f>
        <v>782</v>
      </c>
      <c r="G60" s="54"/>
      <c r="H60" s="54"/>
      <c r="I60" s="54"/>
      <c r="J60" s="34">
        <f>J58+J59</f>
        <v>115</v>
      </c>
      <c r="K60" s="54"/>
      <c r="L60" s="3">
        <f>L58+L59</f>
        <v>0</v>
      </c>
    </row>
    <row r="61" spans="1:15" ht="13.5" thickBot="1" x14ac:dyDescent="0.25">
      <c r="B61" s="2"/>
      <c r="D61" s="36"/>
      <c r="F61" s="55"/>
      <c r="G61" s="56"/>
      <c r="H61" s="56"/>
      <c r="I61" s="56"/>
      <c r="J61" s="55"/>
      <c r="K61" s="56"/>
      <c r="L61" s="55"/>
    </row>
    <row r="62" spans="1:15" x14ac:dyDescent="0.2">
      <c r="B62" s="1" t="s">
        <v>17</v>
      </c>
      <c r="D62" s="36"/>
    </row>
    <row r="63" spans="1:15" ht="13.5" thickBot="1" x14ac:dyDescent="0.25">
      <c r="B63" s="32">
        <f>F60+J60</f>
        <v>897</v>
      </c>
      <c r="D63" s="36"/>
    </row>
  </sheetData>
  <mergeCells count="8">
    <mergeCell ref="C33:F33"/>
    <mergeCell ref="A45:L47"/>
    <mergeCell ref="C54:F54"/>
    <mergeCell ref="I1:L1"/>
    <mergeCell ref="I2:L2"/>
    <mergeCell ref="A4:L6"/>
    <mergeCell ref="C13:F13"/>
    <mergeCell ref="A24:L26"/>
  </mergeCells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2017-02-21T00:28:02Z</cp:lastPrinted>
  <dcterms:created xsi:type="dcterms:W3CDTF">2014-07-14T23:11:07Z</dcterms:created>
  <dcterms:modified xsi:type="dcterms:W3CDTF">2017-06-02T22:59:34Z</dcterms:modified>
</cp:coreProperties>
</file>