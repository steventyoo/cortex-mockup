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S:\Job Books\# OWP LLC COMPLETED JOBS\2025-Exxel, The Cora\Change Orders\COR's\"/>
    </mc:Choice>
  </mc:AlternateContent>
  <xr:revisionPtr revIDLastSave="0" documentId="13_ncr:1_{5A9A36AD-7461-49DD-82A5-1E8C18B42F19}" xr6:coauthVersionLast="45" xr6:coauthVersionMax="45" xr10:uidLastSave="{00000000-0000-0000-0000-000000000000}"/>
  <bookViews>
    <workbookView xWindow="25800" yWindow="0" windowWidth="25800" windowHeight="21000" xr2:uid="{00000000-000D-0000-FFFF-FFFF00000000}"/>
  </bookViews>
  <sheets>
    <sheet name="CGC BP " sheetId="1" r:id="rId1"/>
  </sheets>
  <definedNames>
    <definedName name="_xlnm.Print_Area" localSheetId="0">'CGC BP '!$A$1:$L$25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J17" i="1"/>
  <c r="J18" i="1" l="1"/>
  <c r="F15" i="1" l="1"/>
  <c r="J19" i="1" l="1"/>
  <c r="F19" i="1" l="1"/>
  <c r="L19" i="1"/>
  <c r="J20" i="1" l="1"/>
  <c r="J21" i="1" s="1"/>
  <c r="F20" i="1"/>
  <c r="F21" i="1" s="1"/>
  <c r="L20" i="1"/>
  <c r="L21" i="1" s="1"/>
  <c r="B24" i="1" l="1"/>
  <c r="B27" i="1" s="1"/>
</calcChain>
</file>

<file path=xl/sharedStrings.xml><?xml version="1.0" encoding="utf-8"?>
<sst xmlns="http://schemas.openxmlformats.org/spreadsheetml/2006/main" count="31" uniqueCount="24">
  <si>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</si>
  <si>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</si>
  <si>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</si>
  <si>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</si>
  <si>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</si>
  <si>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</si>
  <si>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</si>
  <si>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</si>
  <si>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</si>
  <si>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</si>
  <si>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</si>
  <si>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</si>
  <si>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</si>
  <si>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</si>
  <si>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</si>
  <si>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</si>
  <si>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</si>
  <si>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</si>
  <si>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EA</t>
  </si>
  <si>
    <t>LABOR</t>
  </si>
  <si>
    <t>EXPANSION TANK</t>
  </si>
  <si>
    <t>MISCELLANEOUS PARTS, FITTINGS</t>
  </si>
  <si>
    <t>LOT</t>
  </si>
  <si>
    <t>BOBS TIME FOR TROUBLESHOOTING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</si>
</sst>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REPLACE EXPANSION TANKS	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zoomScale="110" zoomScaleNormal="110" workbookViewId="0">
      <selection activeCell="F25" sqref="F25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bestFit="1" customWidth="1"/>
    <col min="5" max="5" width="8.28515625" style="35" bestFit="1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0"/>
      <c r="J1" s="60"/>
      <c r="K1" s="60"/>
      <c r="L1" s="60"/>
    </row>
    <row r="2" spans="1:15" x14ac:dyDescent="0.2">
      <c r="D2" s="36"/>
      <c r="G2" s="18"/>
      <c r="H2" s="27" t="s">
        <v>12</v>
      </c>
      <c r="I2" s="61"/>
      <c r="J2" s="60"/>
      <c r="K2" s="60"/>
      <c r="L2" s="60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2" t="s">
        <v>11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5" ht="12.75" customHeight="1" x14ac:dyDescent="0.2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5" ht="4.5" customHeight="1" thickBo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71" t="s">
        <v>10</v>
      </c>
      <c r="D13" s="72"/>
      <c r="E13" s="72"/>
      <c r="F13" s="73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16</v>
      </c>
      <c r="D14" s="50" t="s">
        <v>4</v>
      </c>
      <c r="E14" s="50" t="s">
        <v>5</v>
      </c>
      <c r="F14" s="51" t="s">
        <v>3</v>
      </c>
      <c r="G14" s="50" t="s">
        <v>16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19</v>
      </c>
      <c r="C15" s="59">
        <v>16</v>
      </c>
      <c r="D15" s="11" t="s">
        <v>15</v>
      </c>
      <c r="E15" s="10">
        <v>85</v>
      </c>
      <c r="F15" s="9">
        <f>C15*E15</f>
        <v>1360</v>
      </c>
      <c r="G15" s="8"/>
      <c r="H15" s="11"/>
      <c r="I15" s="10"/>
      <c r="J15" s="9"/>
      <c r="K15" s="8"/>
      <c r="L15" s="7"/>
      <c r="M15" s="6"/>
      <c r="N15" s="29"/>
      <c r="O15" s="30"/>
    </row>
    <row r="16" spans="1:15" x14ac:dyDescent="0.2">
      <c r="A16" s="12"/>
      <c r="B16" s="31" t="s">
        <v>23</v>
      </c>
      <c r="C16" s="59">
        <v>1</v>
      </c>
      <c r="D16" s="11" t="s">
        <v>18</v>
      </c>
      <c r="E16" s="10">
        <v>575</v>
      </c>
      <c r="F16" s="9">
        <f>C16*E16</f>
        <v>575</v>
      </c>
      <c r="G16" s="8"/>
      <c r="H16" s="11"/>
      <c r="I16" s="10"/>
      <c r="J16" s="9"/>
      <c r="K16" s="8"/>
      <c r="L16" s="7"/>
      <c r="M16" s="6"/>
      <c r="N16" s="29"/>
      <c r="O16" s="30"/>
    </row>
    <row r="17" spans="1:15" x14ac:dyDescent="0.2">
      <c r="A17" s="12"/>
      <c r="B17" s="31" t="s">
        <v>20</v>
      </c>
      <c r="C17" s="59"/>
      <c r="D17" s="11"/>
      <c r="E17" s="10"/>
      <c r="F17" s="9"/>
      <c r="G17" s="8">
        <v>1</v>
      </c>
      <c r="H17" s="11" t="s">
        <v>18</v>
      </c>
      <c r="I17" s="10">
        <v>1400</v>
      </c>
      <c r="J17" s="9">
        <f>G17*I17</f>
        <v>1400</v>
      </c>
      <c r="K17" s="8"/>
      <c r="L17" s="7"/>
      <c r="M17" s="6"/>
      <c r="N17" s="29"/>
      <c r="O17" s="30"/>
    </row>
    <row r="18" spans="1:15" x14ac:dyDescent="0.2">
      <c r="A18" s="12"/>
      <c r="B18" s="31" t="s">
        <v>21</v>
      </c>
      <c r="C18" s="59"/>
      <c r="D18" s="11"/>
      <c r="E18" s="10"/>
      <c r="F18" s="9"/>
      <c r="G18" s="8">
        <v>1</v>
      </c>
      <c r="H18" s="11" t="s">
        <v>22</v>
      </c>
      <c r="I18" s="10">
        <v>300</v>
      </c>
      <c r="J18" s="9">
        <f>G18*I18</f>
        <v>300</v>
      </c>
      <c r="K18" s="8"/>
      <c r="L18" s="7"/>
      <c r="M18" s="6"/>
      <c r="N18" s="29"/>
      <c r="O18" s="30"/>
    </row>
    <row r="19" spans="1:15" x14ac:dyDescent="0.2">
      <c r="B19" s="2" t="s">
        <v>2</v>
      </c>
      <c r="D19" s="36"/>
      <c r="F19" s="52">
        <f>SUM(F15:F18)</f>
        <v>1935</v>
      </c>
      <c r="J19" s="52">
        <f>SUM(J15:J18)</f>
        <v>1700</v>
      </c>
      <c r="L19" s="52">
        <f>SUM(L15:L18)</f>
        <v>0</v>
      </c>
    </row>
    <row r="20" spans="1:15" x14ac:dyDescent="0.2">
      <c r="B20" s="5" t="s">
        <v>1</v>
      </c>
      <c r="D20" s="36"/>
      <c r="E20" s="53">
        <v>0.15</v>
      </c>
      <c r="F20" s="33">
        <f>+E20*F19</f>
        <v>290.25</v>
      </c>
      <c r="I20" s="53">
        <v>0.15</v>
      </c>
      <c r="J20" s="33">
        <f>+I20*J19</f>
        <v>255</v>
      </c>
      <c r="K20" s="53">
        <v>0.15</v>
      </c>
      <c r="L20" s="4">
        <f>+K20*L19</f>
        <v>0</v>
      </c>
    </row>
    <row r="21" spans="1:15" x14ac:dyDescent="0.2">
      <c r="B21" s="2" t="s">
        <v>0</v>
      </c>
      <c r="D21" s="36"/>
      <c r="F21" s="34">
        <f>F19+F20</f>
        <v>2225.25</v>
      </c>
      <c r="G21" s="54"/>
      <c r="H21" s="54"/>
      <c r="I21" s="54"/>
      <c r="J21" s="34">
        <f>J19+J20</f>
        <v>1955</v>
      </c>
      <c r="K21" s="54"/>
      <c r="L21" s="3">
        <f>L19+L20</f>
        <v>0</v>
      </c>
    </row>
    <row r="22" spans="1:15" ht="13.5" thickBot="1" x14ac:dyDescent="0.25">
      <c r="B22" s="2"/>
      <c r="D22" s="36"/>
      <c r="F22" s="55"/>
      <c r="G22" s="56"/>
      <c r="H22" s="56"/>
      <c r="I22" s="56"/>
      <c r="J22" s="55"/>
      <c r="K22" s="56"/>
      <c r="L22" s="55"/>
    </row>
    <row r="23" spans="1:15" x14ac:dyDescent="0.2">
      <c r="B23" s="1" t="s">
        <v>17</v>
      </c>
      <c r="D23" s="36"/>
    </row>
    <row r="24" spans="1:15" ht="13.5" thickBot="1" x14ac:dyDescent="0.25">
      <c r="B24" s="32">
        <f>F21+J21</f>
        <v>4180.25</v>
      </c>
      <c r="D24" s="36"/>
    </row>
    <row r="26" spans="1:15" x14ac:dyDescent="0.2">
      <c r="B26" s="35">
        <v>1.101</v>
      </c>
    </row>
    <row r="27" spans="1:15" x14ac:dyDescent="0.2">
      <c r="B27" s="35">
        <f>B24*B26</f>
        <v>4602.45525</v>
      </c>
    </row>
  </sheetData>
  <mergeCells count="4">
    <mergeCell ref="I1:L1"/>
    <mergeCell ref="I2:L2"/>
    <mergeCell ref="A4:L6"/>
    <mergeCell ref="C13:F13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2020-11-25T01:03:50Z</dcterms:modified>
</cp:coreProperties>
</file>