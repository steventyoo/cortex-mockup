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2435"/>
  </bookViews>
  <sheets>
    <sheet name="CGC BP " sheetId="1" r:id="rId1"/>
  </sheets>
  <definedNames>
    <definedName name="_xlnm.Print_Area" localSheetId="0">'CGC BP '!$A$1:$L$3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7" i="1"/>
  <c r="L19" i="1"/>
  <c r="L20" i="1" s="1"/>
  <c r="L21" i="1" s="1"/>
  <c r="F18" i="1"/>
  <c r="J17" i="1"/>
  <c r="F19" i="1" l="1"/>
  <c r="F20" i="1" s="1"/>
  <c r="J19" i="1"/>
  <c r="J20" i="1" s="1"/>
  <c r="J21" i="1" s="1"/>
  <c r="F21" i="1" l="1"/>
  <c r="B24" i="1"/>
</calcChain>
</file>

<file path=xl/sharedStrings.xml><?xml version="1.0" encoding="utf-8"?>
<sst xmlns="http://schemas.openxmlformats.org/spreadsheetml/2006/main" count="30" uniqueCount="23">
  <si>
    <t>Subtotal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</si>
  <si>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</si>
  <si>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</si>
  <si>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</si>
  <si>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</si>
  <si>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</si>
  <si>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</si>
  <si>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</si>
  <si>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</si>
  <si>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</si>
  <si>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</si>
  <si>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</si>
  <si>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</si>
  <si>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</si>
  <si>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</si>
  <si>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HRS</t>
  </si>
  <si>
    <t>Quan</t>
  </si>
  <si>
    <t>TOTAL</t>
  </si>
  <si>
    <t>SUPERVISION/COORDINATION</t>
  </si>
  <si>
    <t>CORA</t>
  </si>
  <si>
    <t>GAS PIPING &amp; FITTINGS</t>
  </si>
  <si>
    <t>LOT</t>
  </si>
  <si>
    <t>LABOR - 2 GUYS, 6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</si>
</sst>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0.0_);[Red]\(0.0\)"/>
    <numFmt numFmtId="168" formatCode="&quot;$&quot;#,##0"/>
  </numFmts>
  <fonts count="6" x14ac:knownFonts="1">
    <font>
      <sz val="10"/>
      <name val="MS Sans Serif"/>
    </font>
    <font>
      <b/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2" fillId="0" borderId="0" applyFont="0" applyFill="0" applyBorder="0" applyAlignment="0" applyProtection="0"/>
    <xf numFmtId="0" fontId="3" fillId="0" borderId="0"/>
  </cellStyleXfs>
  <cellXfs count="75">
    <xf numFmtId="0" fontId="0" fillId="0" borderId="0" xfId="0"/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8" fontId="3" fillId="0" borderId="0" xfId="1" applyFont="1"/>
    <xf numFmtId="8" fontId="3" fillId="0" borderId="0" xfId="1" applyFont="1" applyAlignment="1">
      <alignment horizontal="right"/>
    </xf>
    <xf numFmtId="164" fontId="0" fillId="0" borderId="0" xfId="0" applyNumberFormat="1"/>
    <xf numFmtId="44" fontId="4" fillId="0" borderId="3" xfId="0" applyNumberFormat="1" applyFont="1" applyBorder="1" applyAlignment="1">
      <alignment vertical="top" wrapText="1"/>
    </xf>
    <xf numFmtId="165" fontId="4" fillId="0" borderId="3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166" fontId="4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1" fillId="3" borderId="7" xfId="0" applyFont="1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3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3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3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1" fillId="0" borderId="15" xfId="2" applyFont="1" applyBorder="1" applyAlignment="1">
      <alignment horizontal="left"/>
    </xf>
    <xf numFmtId="0" fontId="3" fillId="0" borderId="0" xfId="2" applyFont="1" applyBorder="1" applyAlignment="1">
      <alignment horizontal="center"/>
    </xf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0" fillId="0" borderId="0" xfId="0" applyNumberFormat="1"/>
    <xf numFmtId="8" fontId="0" fillId="0" borderId="0" xfId="0" applyNumberFormat="1" applyFont="1"/>
    <xf numFmtId="0" fontId="4" fillId="0" borderId="3" xfId="0" applyFont="1" applyBorder="1" applyAlignment="1">
      <alignment horizontal="left" vertical="top"/>
    </xf>
    <xf numFmtId="38" fontId="1" fillId="2" borderId="1" xfId="0" applyNumberFormat="1" applyFont="1" applyFill="1" applyBorder="1"/>
    <xf numFmtId="6" fontId="3" fillId="0" borderId="0" xfId="1" applyNumberFormat="1" applyFont="1"/>
    <xf numFmtId="6" fontId="1" fillId="2" borderId="0" xfId="1" applyNumberFormat="1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6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4" xfId="0" applyFont="1" applyBorder="1"/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3" fillId="0" borderId="10" xfId="0" applyFont="1" applyBorder="1"/>
    <xf numFmtId="0" fontId="3" fillId="0" borderId="9" xfId="0" applyFont="1" applyBorder="1"/>
    <xf numFmtId="0" fontId="3" fillId="4" borderId="7" xfId="0" applyFont="1" applyFill="1" applyBorder="1" applyAlignment="1">
      <alignment horizontal="centerContinuous"/>
    </xf>
    <xf numFmtId="168" fontId="3" fillId="4" borderId="7" xfId="0" applyNumberFormat="1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Continuous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8" fontId="3" fillId="0" borderId="4" xfId="0" applyNumberFormat="1" applyFont="1" applyBorder="1" applyAlignment="1">
      <alignment horizontal="center"/>
    </xf>
    <xf numFmtId="164" fontId="3" fillId="0" borderId="0" xfId="0" applyNumberFormat="1" applyFont="1"/>
    <xf numFmtId="9" fontId="5" fillId="0" borderId="0" xfId="0" applyNumberFormat="1" applyFont="1"/>
    <xf numFmtId="0" fontId="1" fillId="0" borderId="0" xfId="0" applyFont="1"/>
    <xf numFmtId="164" fontId="3" fillId="0" borderId="0" xfId="0" applyNumberFormat="1" applyFont="1" applyFill="1"/>
    <xf numFmtId="0" fontId="3" fillId="0" borderId="0" xfId="0" applyFont="1" applyFill="1"/>
    <xf numFmtId="0" fontId="1" fillId="0" borderId="0" xfId="2" applyFont="1" applyBorder="1" applyAlignment="1">
      <alignment horizontal="left"/>
    </xf>
    <xf numFmtId="167" fontId="4" fillId="0" borderId="3" xfId="0" applyNumberFormat="1" applyFont="1" applyBorder="1" applyAlignment="1">
      <alignment vertical="top" wrapText="1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6" borderId="1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4" name="Text Box 2"/>
        <xdr:cNvSpPr txBox="1">
          <a:spLocks noChangeArrowheads="1"/>
        </xdr:cNvSpPr>
      </xdr:nvSpPr>
      <xdr:spPr bwMode="auto">
        <a:xfrm>
          <a:off x="0" y="787977"/>
          <a:ext cx="7495309" cy="63644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en-US" sz="1100" b="0" i="0" baseline="0">
              <a:effectLst/>
              <a:latin typeface="+mn-lt"/>
              <a:ea typeface="+mn-ea"/>
              <a:cs typeface="+mn-cs"/>
            </a:rPr>
            <a:t>install gas piping from outlet box to fireplace</a:t>
          </a:r>
        </a:p>
        <a:p>
          <a:pPr rtl="0"/>
          <a:endParaRPr lang="en-US">
            <a:effectLst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4"/>
  <sheetViews>
    <sheetView tabSelected="1" zoomScale="110" zoomScaleNormal="110" workbookViewId="0">
      <selection activeCell="H25" sqref="H25"/>
    </sheetView>
  </sheetViews>
  <sheetFormatPr defaultRowHeight="12.75" x14ac:dyDescent="0.2"/>
  <cols>
    <col min="1" max="1" width="4.5703125" style="35" bestFit="1" customWidth="1"/>
    <col min="2" max="2" width="33.5703125" style="35" customWidth="1"/>
    <col min="3" max="3" width="5.85546875" style="35" customWidth="1"/>
    <col min="4" max="4" width="5.140625" style="35" bestFit="1" customWidth="1"/>
    <col min="5" max="5" width="8.28515625" style="35" bestFit="1" customWidth="1"/>
    <col min="6" max="6" width="8.5703125" style="35" customWidth="1"/>
    <col min="7" max="7" width="5.7109375" style="35" customWidth="1"/>
    <col min="8" max="8" width="5.140625" style="35" bestFit="1" customWidth="1"/>
    <col min="9" max="9" width="8.5703125" style="35" customWidth="1"/>
    <col min="10" max="10" width="7.85546875" style="35" customWidth="1"/>
    <col min="11" max="11" width="8" style="35" bestFit="1" customWidth="1"/>
    <col min="12" max="12" width="10.85546875" style="35" customWidth="1"/>
    <col min="13" max="13" width="11" customWidth="1"/>
    <col min="15" max="15" width="13" customWidth="1"/>
  </cols>
  <sheetData>
    <row r="1" spans="1:15" x14ac:dyDescent="0.2">
      <c r="D1" s="36"/>
      <c r="H1" s="28" t="s">
        <v>13</v>
      </c>
      <c r="I1" s="64" t="s">
        <v>19</v>
      </c>
      <c r="J1" s="64"/>
      <c r="K1" s="64"/>
      <c r="L1" s="64"/>
    </row>
    <row r="2" spans="1:15" x14ac:dyDescent="0.2">
      <c r="D2" s="36"/>
      <c r="G2" s="18"/>
      <c r="H2" s="27" t="s">
        <v>12</v>
      </c>
      <c r="I2" s="65">
        <v>42893</v>
      </c>
      <c r="J2" s="64"/>
      <c r="K2" s="64"/>
      <c r="L2" s="64"/>
    </row>
    <row r="3" spans="1:15" x14ac:dyDescent="0.2">
      <c r="D3" s="36"/>
      <c r="G3" s="18"/>
      <c r="H3" s="27" t="s">
        <v>14</v>
      </c>
      <c r="I3" s="26"/>
      <c r="J3" s="57"/>
      <c r="K3" s="57"/>
      <c r="L3" s="57"/>
    </row>
    <row r="4" spans="1:15" ht="13.5" thickBot="1" x14ac:dyDescent="0.25"/>
    <row r="5" spans="1:15" ht="4.5" customHeight="1" x14ac:dyDescent="0.2">
      <c r="A5" s="66" t="s">
        <v>11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8"/>
    </row>
    <row r="6" spans="1:15" ht="12.75" customHeight="1" x14ac:dyDescent="0.2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1"/>
    </row>
    <row r="7" spans="1:15" ht="4.5" customHeight="1" thickBot="1" x14ac:dyDescent="0.25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4"/>
    </row>
    <row r="8" spans="1:15" x14ac:dyDescent="0.2">
      <c r="A8" s="37"/>
      <c r="B8" s="38"/>
      <c r="C8" s="38"/>
      <c r="D8" s="39"/>
      <c r="E8" s="38"/>
      <c r="F8" s="38"/>
      <c r="G8" s="18"/>
      <c r="H8" s="25"/>
      <c r="I8" s="60"/>
      <c r="J8" s="59"/>
      <c r="K8" s="59"/>
      <c r="L8" s="24"/>
    </row>
    <row r="9" spans="1:15" x14ac:dyDescent="0.2">
      <c r="A9" s="37"/>
      <c r="B9" s="38"/>
      <c r="C9" s="38"/>
      <c r="D9" s="39"/>
      <c r="E9" s="38"/>
      <c r="F9" s="38"/>
      <c r="G9" s="18"/>
      <c r="H9" s="25"/>
      <c r="I9" s="60"/>
      <c r="J9" s="59"/>
      <c r="K9" s="59"/>
      <c r="L9" s="24"/>
    </row>
    <row r="10" spans="1:15" x14ac:dyDescent="0.2">
      <c r="A10" s="37"/>
      <c r="B10" s="38"/>
      <c r="C10" s="38"/>
      <c r="D10" s="39"/>
      <c r="E10" s="38"/>
      <c r="F10" s="38"/>
      <c r="G10" s="18"/>
      <c r="H10" s="25"/>
      <c r="I10" s="60"/>
      <c r="J10" s="59"/>
      <c r="K10" s="59"/>
      <c r="L10" s="24"/>
    </row>
    <row r="11" spans="1:15" ht="13.5" thickBot="1" x14ac:dyDescent="0.25">
      <c r="A11" s="40"/>
      <c r="B11" s="41"/>
      <c r="C11" s="41"/>
      <c r="D11" s="42"/>
      <c r="E11" s="41"/>
      <c r="F11" s="41"/>
      <c r="G11" s="23"/>
      <c r="H11" s="22"/>
      <c r="I11" s="21"/>
      <c r="J11" s="20"/>
      <c r="K11" s="20"/>
      <c r="L11" s="19"/>
    </row>
    <row r="12" spans="1:15" ht="6" customHeight="1" x14ac:dyDescent="0.2">
      <c r="D12" s="36"/>
      <c r="E12" s="18"/>
      <c r="F12" s="17"/>
      <c r="G12" s="16"/>
      <c r="H12" s="16"/>
      <c r="I12" s="16"/>
      <c r="J12" s="15"/>
    </row>
    <row r="14" spans="1:15" x14ac:dyDescent="0.2">
      <c r="A14" s="43"/>
      <c r="B14" s="44"/>
      <c r="C14" s="61" t="s">
        <v>10</v>
      </c>
      <c r="D14" s="62"/>
      <c r="E14" s="62"/>
      <c r="F14" s="63"/>
      <c r="G14" s="14" t="s">
        <v>9</v>
      </c>
      <c r="H14" s="45"/>
      <c r="I14" s="45"/>
      <c r="J14" s="46"/>
      <c r="K14" s="13" t="s">
        <v>8</v>
      </c>
      <c r="L14" s="47"/>
    </row>
    <row r="15" spans="1:15" x14ac:dyDescent="0.2">
      <c r="A15" s="48" t="s">
        <v>7</v>
      </c>
      <c r="B15" s="49" t="s">
        <v>6</v>
      </c>
      <c r="C15" s="50" t="s">
        <v>16</v>
      </c>
      <c r="D15" s="50" t="s">
        <v>4</v>
      </c>
      <c r="E15" s="50" t="s">
        <v>5</v>
      </c>
      <c r="F15" s="51" t="s">
        <v>3</v>
      </c>
      <c r="G15" s="50" t="s">
        <v>16</v>
      </c>
      <c r="H15" s="50" t="s">
        <v>4</v>
      </c>
      <c r="I15" s="50" t="s">
        <v>5</v>
      </c>
      <c r="J15" s="51" t="s">
        <v>3</v>
      </c>
      <c r="K15" s="50" t="s">
        <v>4</v>
      </c>
      <c r="L15" s="50" t="s">
        <v>3</v>
      </c>
    </row>
    <row r="16" spans="1:15" x14ac:dyDescent="0.2">
      <c r="A16" s="12"/>
      <c r="B16" s="31" t="s">
        <v>22</v>
      </c>
      <c r="C16" s="58">
        <v>12</v>
      </c>
      <c r="D16" s="11" t="s">
        <v>15</v>
      </c>
      <c r="E16" s="10">
        <v>64</v>
      </c>
      <c r="F16" s="9">
        <f t="shared" ref="F16:F17" si="0">C16*E16</f>
        <v>768</v>
      </c>
      <c r="G16" s="8"/>
      <c r="H16" s="11"/>
      <c r="I16" s="10"/>
      <c r="J16" s="9"/>
      <c r="K16" s="8"/>
      <c r="L16" s="7"/>
      <c r="M16" s="6"/>
      <c r="N16" s="29"/>
      <c r="O16" s="30"/>
    </row>
    <row r="17" spans="1:15" x14ac:dyDescent="0.2">
      <c r="A17" s="12"/>
      <c r="B17" s="31" t="s">
        <v>20</v>
      </c>
      <c r="C17" s="58"/>
      <c r="D17" s="11"/>
      <c r="E17" s="10"/>
      <c r="F17" s="9">
        <f t="shared" si="0"/>
        <v>0</v>
      </c>
      <c r="G17" s="8">
        <v>1</v>
      </c>
      <c r="H17" s="11" t="s">
        <v>21</v>
      </c>
      <c r="I17" s="10">
        <v>250</v>
      </c>
      <c r="J17" s="9">
        <f t="shared" ref="J17" si="1">G17*I17</f>
        <v>250</v>
      </c>
      <c r="K17" s="8"/>
      <c r="L17" s="7"/>
      <c r="M17" s="6"/>
      <c r="N17" s="29"/>
      <c r="O17" s="30"/>
    </row>
    <row r="18" spans="1:15" x14ac:dyDescent="0.2">
      <c r="A18" s="12"/>
      <c r="B18" s="31" t="s">
        <v>18</v>
      </c>
      <c r="C18" s="58">
        <v>1</v>
      </c>
      <c r="D18" s="11" t="s">
        <v>15</v>
      </c>
      <c r="E18" s="10">
        <v>85</v>
      </c>
      <c r="F18" s="9">
        <f t="shared" ref="F18" si="2">C18*E18</f>
        <v>85</v>
      </c>
      <c r="G18" s="8"/>
      <c r="H18" s="11"/>
      <c r="I18" s="10"/>
      <c r="J18" s="9"/>
      <c r="K18" s="8"/>
      <c r="L18" s="7"/>
      <c r="M18" s="6"/>
      <c r="N18" s="29"/>
      <c r="O18" s="30"/>
    </row>
    <row r="19" spans="1:15" x14ac:dyDescent="0.2">
      <c r="B19" s="2" t="s">
        <v>2</v>
      </c>
      <c r="D19" s="36"/>
      <c r="F19" s="52">
        <f>SUM(F16:F18)</f>
        <v>853</v>
      </c>
      <c r="J19" s="52">
        <f>SUM(J16:J18)</f>
        <v>250</v>
      </c>
      <c r="L19" s="52">
        <f>SUM(L16:L18)</f>
        <v>0</v>
      </c>
    </row>
    <row r="20" spans="1:15" x14ac:dyDescent="0.2">
      <c r="B20" s="5" t="s">
        <v>1</v>
      </c>
      <c r="D20" s="36"/>
      <c r="E20" s="53">
        <v>0.15</v>
      </c>
      <c r="F20" s="33">
        <f>+E20*F19</f>
        <v>127.94999999999999</v>
      </c>
      <c r="I20" s="53">
        <v>0.15</v>
      </c>
      <c r="J20" s="33">
        <f>+I20*J19</f>
        <v>37.5</v>
      </c>
      <c r="K20" s="53">
        <v>0.15</v>
      </c>
      <c r="L20" s="4">
        <f>+K20*L19</f>
        <v>0</v>
      </c>
    </row>
    <row r="21" spans="1:15" x14ac:dyDescent="0.2">
      <c r="B21" s="2" t="s">
        <v>0</v>
      </c>
      <c r="D21" s="36"/>
      <c r="F21" s="34">
        <f>F19+F20</f>
        <v>980.95</v>
      </c>
      <c r="G21" s="54"/>
      <c r="H21" s="54"/>
      <c r="I21" s="54"/>
      <c r="J21" s="34">
        <f>J19+J20</f>
        <v>287.5</v>
      </c>
      <c r="K21" s="54"/>
      <c r="L21" s="3">
        <f>L19+L20</f>
        <v>0</v>
      </c>
    </row>
    <row r="22" spans="1:15" ht="13.5" thickBot="1" x14ac:dyDescent="0.25">
      <c r="B22" s="2"/>
      <c r="D22" s="36"/>
      <c r="F22" s="55"/>
      <c r="G22" s="56"/>
      <c r="H22" s="56"/>
      <c r="I22" s="56"/>
      <c r="J22" s="55"/>
      <c r="K22" s="56"/>
      <c r="L22" s="55"/>
    </row>
    <row r="23" spans="1:15" x14ac:dyDescent="0.2">
      <c r="B23" s="1" t="s">
        <v>17</v>
      </c>
      <c r="D23" s="36"/>
    </row>
    <row r="24" spans="1:15" ht="13.5" thickBot="1" x14ac:dyDescent="0.25">
      <c r="B24" s="32">
        <f>F21+J21</f>
        <v>1268.45</v>
      </c>
      <c r="D24" s="36"/>
    </row>
  </sheetData>
  <mergeCells count="4">
    <mergeCell ref="C14:F14"/>
    <mergeCell ref="I1:L1"/>
    <mergeCell ref="I2:L2"/>
    <mergeCell ref="A5:L7"/>
  </mergeCells>
  <pageMargins left="0.75" right="0.75" top="1" bottom="1" header="0.5" footer="0.5"/>
  <pageSetup scale="9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2015-05-14T15:37:37Z</cp:lastPrinted>
  <dcterms:created xsi:type="dcterms:W3CDTF">2014-07-14T23:11:07Z</dcterms:created>
  <dcterms:modified xsi:type="dcterms:W3CDTF">2017-06-07T20:09:43Z</dcterms:modified>
</cp:coreProperties>
</file>