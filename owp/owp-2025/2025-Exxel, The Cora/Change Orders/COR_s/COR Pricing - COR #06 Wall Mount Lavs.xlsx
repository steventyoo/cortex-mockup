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1" i="1" l="1"/>
  <c r="J17" i="1" l="1"/>
  <c r="F19" i="1"/>
  <c r="J16" i="1"/>
  <c r="J18" i="1"/>
  <c r="J15" i="1" l="1"/>
  <c r="F15" i="1"/>
  <c r="L21" i="1" l="1"/>
  <c r="J19" i="1" l="1"/>
  <c r="J21" i="1" s="1"/>
  <c r="J22" i="1" l="1"/>
  <c r="F18" i="1"/>
  <c r="F21" i="1" s="1"/>
  <c r="J23" i="1" l="1"/>
  <c r="F22" i="1"/>
  <c r="F23" i="1" s="1"/>
  <c r="L22" i="1"/>
  <c r="L23" i="1" s="1"/>
  <c r="B26" i="1" l="1"/>
</calcChain>
</file>

<file path=xl/sharedStrings.xml><?xml version="1.0" encoding="utf-8"?>
<sst xmlns="http://schemas.openxmlformats.org/spreadsheetml/2006/main" count="37" uniqueCount="26">
  <si>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</si>
  <si>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</si>
  <si>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</si>
  <si>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</si>
  <si>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</si>
  <si>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</si>
  <si>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</si>
  <si>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</si>
  <si>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</si>
  <si>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</si>
  <si>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</si>
  <si>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</si>
  <si>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</si>
  <si>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</si>
  <si>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</si>
  <si>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</si>
  <si>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</si>
  <si>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</si>
  <si>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EA</t>
  </si>
  <si>
    <t>Parsonage</t>
  </si>
  <si>
    <t>LOT</t>
  </si>
  <si>
    <t>WALL HUNG CARRIER</t>
  </si>
  <si>
    <t>FREIGHT</t>
  </si>
  <si>
    <t>HARDWARE FOR WALL HUNG CARRIER</t>
  </si>
  <si>
    <t>TOTO LT307</t>
  </si>
  <si>
    <t>TOTO LT221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</si>
</sst>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7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166" fontId="6" fillId="0" borderId="3" xfId="0" applyNumberFormat="1" applyFont="1" applyBorder="1" applyAlignment="1">
      <alignment horizontal="right" vertical="top" wrapText="1"/>
    </xf>
    <xf numFmtId="167" fontId="6" fillId="0" borderId="3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168" fontId="0" fillId="4" borderId="7" xfId="0" applyNumberForma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9" xfId="0" applyBorder="1"/>
    <xf numFmtId="0" fontId="0" fillId="0" borderId="10" xfId="0" applyBorder="1"/>
    <xf numFmtId="0" fontId="4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4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" fillId="0" borderId="15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6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167" fontId="6" fillId="0" borderId="3" xfId="0" applyNumberFormat="1" applyFont="1" applyBorder="1" applyAlignment="1">
      <alignment vertical="top" wrapText="1"/>
    </xf>
    <xf numFmtId="38" fontId="1" fillId="2" borderId="1" xfId="0" applyNumberFormat="1" applyFont="1" applyFill="1" applyBorder="1"/>
    <xf numFmtId="6" fontId="4" fillId="0" borderId="0" xfId="1" applyNumberFormat="1" applyFont="1"/>
    <xf numFmtId="6" fontId="1" fillId="2" borderId="0" xfId="1" applyNumberFormat="1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2" fillId="6" borderId="19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cHANGE TO WALL HUNG LAV IN BASEMENT OF HISTORIC HOUSE	</a:t>
          </a:r>
          <a:r>
            <a:rPr lang="en-US" sz="1100">
              <a:effectLst/>
              <a:latin typeface="+mn-lt"/>
              <a:ea typeface="+mn-ea"/>
              <a:cs typeface="+mn-cs"/>
            </a:rPr>
            <a:t>	</a:t>
          </a:r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6"/>
  <sheetViews>
    <sheetView tabSelected="1" zoomScale="110" zoomScaleNormal="110" workbookViewId="0">
      <selection activeCell="N21" sqref="N21"/>
    </sheetView>
  </sheetViews>
  <sheetFormatPr defaultRowHeight="12.75" x14ac:dyDescent="0.2"/>
  <cols>
    <col min="1" max="1" width="4.5703125" bestFit="1" customWidth="1"/>
    <col min="2" max="2" width="45.42578125" customWidth="1"/>
    <col min="3" max="3" width="5.85546875" customWidth="1"/>
    <col min="4" max="4" width="5.140625" bestFit="1" customWidth="1"/>
    <col min="5" max="5" width="8.28515625" bestFit="1" customWidth="1"/>
    <col min="6" max="6" width="8.5703125" customWidth="1"/>
    <col min="7" max="7" width="5.7109375" customWidth="1"/>
    <col min="8" max="8" width="5.140625" bestFit="1" customWidth="1"/>
    <col min="9" max="9" width="11.28515625" customWidth="1"/>
    <col min="10" max="10" width="7.85546875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3" t="s">
        <v>13</v>
      </c>
      <c r="I1" s="61" t="s">
        <v>19</v>
      </c>
      <c r="J1" s="61"/>
      <c r="K1" s="61"/>
      <c r="L1" s="61"/>
    </row>
    <row r="2" spans="1:15" x14ac:dyDescent="0.2">
      <c r="D2" s="1"/>
      <c r="G2" s="35"/>
      <c r="H2" s="52" t="s">
        <v>12</v>
      </c>
      <c r="I2" s="62">
        <v>42670</v>
      </c>
      <c r="J2" s="61"/>
      <c r="K2" s="61"/>
      <c r="L2" s="61"/>
    </row>
    <row r="3" spans="1:15" ht="13.5" thickBot="1" x14ac:dyDescent="0.25">
      <c r="D3" s="1"/>
      <c r="G3" s="35"/>
      <c r="H3" s="52" t="s">
        <v>14</v>
      </c>
      <c r="I3" s="51"/>
      <c r="J3" s="36"/>
      <c r="K3" s="36"/>
      <c r="L3" s="36"/>
    </row>
    <row r="4" spans="1:15" ht="4.5" customHeight="1" x14ac:dyDescent="0.2">
      <c r="A4" s="63" t="s">
        <v>11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5"/>
    </row>
    <row r="5" spans="1:15" ht="12.75" customHeight="1" x14ac:dyDescent="0.2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8"/>
    </row>
    <row r="6" spans="1:15" ht="4.5" customHeight="1" thickBot="1" x14ac:dyDescent="0.2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1"/>
    </row>
    <row r="7" spans="1:15" x14ac:dyDescent="0.2">
      <c r="A7" s="50"/>
      <c r="B7" s="48"/>
      <c r="C7" s="48"/>
      <c r="D7" s="49"/>
      <c r="E7" s="48"/>
      <c r="F7" s="48"/>
      <c r="G7" s="35"/>
      <c r="H7" s="47"/>
      <c r="I7" s="37"/>
      <c r="J7" s="36"/>
      <c r="K7" s="36"/>
      <c r="L7" s="46"/>
    </row>
    <row r="8" spans="1:15" x14ac:dyDescent="0.2">
      <c r="A8" s="50"/>
      <c r="B8" s="48"/>
      <c r="C8" s="48"/>
      <c r="D8" s="49"/>
      <c r="E8" s="48"/>
      <c r="F8" s="48"/>
      <c r="G8" s="35"/>
      <c r="H8" s="47"/>
      <c r="I8" s="37"/>
      <c r="J8" s="36"/>
      <c r="K8" s="36"/>
      <c r="L8" s="46"/>
    </row>
    <row r="9" spans="1:15" x14ac:dyDescent="0.2">
      <c r="A9" s="50"/>
      <c r="B9" s="48"/>
      <c r="C9" s="48"/>
      <c r="D9" s="49"/>
      <c r="E9" s="48"/>
      <c r="F9" s="48"/>
      <c r="G9" s="35"/>
      <c r="H9" s="47"/>
      <c r="I9" s="37"/>
      <c r="J9" s="36"/>
      <c r="K9" s="36"/>
      <c r="L9" s="46"/>
    </row>
    <row r="10" spans="1:15" ht="13.5" thickBot="1" x14ac:dyDescent="0.25">
      <c r="A10" s="45"/>
      <c r="B10" s="43"/>
      <c r="C10" s="43"/>
      <c r="D10" s="44"/>
      <c r="E10" s="43"/>
      <c r="F10" s="43"/>
      <c r="G10" s="42"/>
      <c r="H10" s="41"/>
      <c r="I10" s="40"/>
      <c r="J10" s="39"/>
      <c r="K10" s="39"/>
      <c r="L10" s="38"/>
    </row>
    <row r="11" spans="1:15" ht="6" customHeight="1" x14ac:dyDescent="0.2">
      <c r="D11" s="1"/>
      <c r="E11" s="35"/>
      <c r="F11" s="34"/>
      <c r="G11" s="33"/>
      <c r="H11" s="33"/>
      <c r="I11" s="33"/>
      <c r="J11" s="32"/>
    </row>
    <row r="13" spans="1:15" x14ac:dyDescent="0.2">
      <c r="A13" s="31"/>
      <c r="B13" s="30"/>
      <c r="C13" s="72" t="s">
        <v>10</v>
      </c>
      <c r="D13" s="73"/>
      <c r="E13" s="73"/>
      <c r="F13" s="74"/>
      <c r="G13" s="29" t="s">
        <v>9</v>
      </c>
      <c r="H13" s="28"/>
      <c r="I13" s="28"/>
      <c r="J13" s="27"/>
      <c r="K13" s="26" t="s">
        <v>8</v>
      </c>
      <c r="L13" s="25"/>
    </row>
    <row r="14" spans="1:15" x14ac:dyDescent="0.2">
      <c r="A14" s="24" t="s">
        <v>7</v>
      </c>
      <c r="B14" s="23" t="s">
        <v>6</v>
      </c>
      <c r="C14" s="21" t="s">
        <v>16</v>
      </c>
      <c r="D14" s="21" t="s">
        <v>4</v>
      </c>
      <c r="E14" s="21" t="s">
        <v>5</v>
      </c>
      <c r="F14" s="22" t="s">
        <v>3</v>
      </c>
      <c r="G14" s="21" t="s">
        <v>16</v>
      </c>
      <c r="H14" s="21" t="s">
        <v>4</v>
      </c>
      <c r="I14" s="21" t="s">
        <v>5</v>
      </c>
      <c r="J14" s="22" t="s">
        <v>3</v>
      </c>
      <c r="K14" s="21" t="s">
        <v>4</v>
      </c>
      <c r="L14" s="21" t="s">
        <v>3</v>
      </c>
    </row>
    <row r="15" spans="1:15" x14ac:dyDescent="0.2">
      <c r="A15" s="18"/>
      <c r="B15" s="56" t="s">
        <v>21</v>
      </c>
      <c r="C15" s="20">
        <v>4</v>
      </c>
      <c r="D15" s="17" t="s">
        <v>15</v>
      </c>
      <c r="E15" s="19">
        <v>60.5</v>
      </c>
      <c r="F15" s="15">
        <f>E15*C15</f>
        <v>242</v>
      </c>
      <c r="G15" s="14">
        <v>2</v>
      </c>
      <c r="H15" s="17" t="s">
        <v>18</v>
      </c>
      <c r="I15" s="16">
        <v>348</v>
      </c>
      <c r="J15" s="15">
        <f>G15*I15</f>
        <v>696</v>
      </c>
      <c r="K15" s="14"/>
      <c r="L15" s="13"/>
      <c r="M15" s="12"/>
      <c r="N15" s="54"/>
      <c r="O15" s="55"/>
    </row>
    <row r="16" spans="1:15" x14ac:dyDescent="0.2">
      <c r="A16" s="18"/>
      <c r="B16" s="56" t="s">
        <v>22</v>
      </c>
      <c r="C16" s="20"/>
      <c r="D16" s="17"/>
      <c r="E16" s="19"/>
      <c r="F16" s="15"/>
      <c r="G16" s="14">
        <v>1</v>
      </c>
      <c r="H16" s="17" t="s">
        <v>18</v>
      </c>
      <c r="I16" s="16">
        <v>75</v>
      </c>
      <c r="J16" s="15">
        <f t="shared" ref="J16:J18" si="0">G16*I16</f>
        <v>75</v>
      </c>
      <c r="K16" s="14"/>
      <c r="L16" s="13"/>
      <c r="M16" s="12"/>
      <c r="N16" s="54"/>
      <c r="O16" s="55"/>
    </row>
    <row r="17" spans="1:15" x14ac:dyDescent="0.2">
      <c r="A17" s="18"/>
      <c r="B17" s="56" t="s">
        <v>23</v>
      </c>
      <c r="C17" s="20"/>
      <c r="D17" s="17"/>
      <c r="E17" s="19"/>
      <c r="F17" s="15"/>
      <c r="G17" s="14">
        <v>1</v>
      </c>
      <c r="H17" s="17" t="s">
        <v>20</v>
      </c>
      <c r="I17" s="16">
        <v>30</v>
      </c>
      <c r="J17" s="15">
        <f t="shared" si="0"/>
        <v>30</v>
      </c>
      <c r="K17" s="14"/>
      <c r="L17" s="13"/>
      <c r="M17" s="12"/>
      <c r="N17" s="54"/>
      <c r="O17" s="55"/>
    </row>
    <row r="18" spans="1:15" x14ac:dyDescent="0.2">
      <c r="A18" s="18"/>
      <c r="B18" s="56" t="s">
        <v>24</v>
      </c>
      <c r="C18" s="20">
        <v>4</v>
      </c>
      <c r="D18" s="17" t="s">
        <v>15</v>
      </c>
      <c r="E18" s="19">
        <v>60.5</v>
      </c>
      <c r="F18" s="15">
        <f>E18*C18</f>
        <v>242</v>
      </c>
      <c r="G18" s="14">
        <v>2</v>
      </c>
      <c r="H18" s="17" t="s">
        <v>18</v>
      </c>
      <c r="I18" s="16">
        <v>83</v>
      </c>
      <c r="J18" s="15">
        <f t="shared" si="0"/>
        <v>166</v>
      </c>
      <c r="K18" s="14"/>
      <c r="L18" s="13"/>
      <c r="M18" s="12"/>
      <c r="N18" s="54"/>
      <c r="O18" s="55"/>
    </row>
    <row r="19" spans="1:15" x14ac:dyDescent="0.2">
      <c r="A19" s="18"/>
      <c r="B19" s="56" t="s">
        <v>25</v>
      </c>
      <c r="C19" s="57">
        <v>-2</v>
      </c>
      <c r="D19" s="17" t="s">
        <v>15</v>
      </c>
      <c r="E19" s="16">
        <v>60.5</v>
      </c>
      <c r="F19" s="15">
        <f>E19*C19</f>
        <v>-121</v>
      </c>
      <c r="G19" s="14">
        <v>-2</v>
      </c>
      <c r="H19" s="17" t="s">
        <v>18</v>
      </c>
      <c r="I19" s="16">
        <v>75</v>
      </c>
      <c r="J19" s="15">
        <f>G19*I19</f>
        <v>-150</v>
      </c>
      <c r="K19" s="14"/>
      <c r="L19" s="13"/>
      <c r="M19" s="12"/>
      <c r="N19" s="54"/>
      <c r="O19" s="55"/>
    </row>
    <row r="20" spans="1:15" x14ac:dyDescent="0.2">
      <c r="A20" s="18"/>
      <c r="B20" s="56"/>
      <c r="C20" s="57"/>
      <c r="D20" s="17"/>
      <c r="E20" s="16"/>
      <c r="F20" s="15"/>
      <c r="G20" s="14"/>
      <c r="H20" s="17"/>
      <c r="I20" s="16"/>
      <c r="J20" s="15"/>
      <c r="K20" s="14"/>
      <c r="L20" s="13"/>
      <c r="M20" s="12"/>
      <c r="N20" s="54"/>
      <c r="O20" s="55"/>
    </row>
    <row r="21" spans="1:15" x14ac:dyDescent="0.2">
      <c r="B21" s="5" t="s">
        <v>2</v>
      </c>
      <c r="D21" s="1"/>
      <c r="F21" s="12">
        <f>SUM(F15:F20)</f>
        <v>363</v>
      </c>
      <c r="J21" s="12">
        <f>SUM(J15:J20)</f>
        <v>817</v>
      </c>
      <c r="L21" s="12">
        <f>SUM(L18:L20)</f>
        <v>0</v>
      </c>
      <c r="M21" s="12">
        <f>SUM(F21:L21)</f>
        <v>1180</v>
      </c>
    </row>
    <row r="22" spans="1:15" x14ac:dyDescent="0.2">
      <c r="B22" s="10" t="s">
        <v>1</v>
      </c>
      <c r="D22" s="1"/>
      <c r="E22" s="11">
        <v>0.15</v>
      </c>
      <c r="F22" s="59">
        <f>+E22*F21</f>
        <v>54.449999999999996</v>
      </c>
      <c r="I22" s="11">
        <v>0.15</v>
      </c>
      <c r="J22" s="59">
        <f>+I22*J21</f>
        <v>122.55</v>
      </c>
      <c r="K22" s="11">
        <v>0.15</v>
      </c>
      <c r="L22" s="9">
        <f>+K22*L21</f>
        <v>0</v>
      </c>
    </row>
    <row r="23" spans="1:15" x14ac:dyDescent="0.2">
      <c r="B23" s="8" t="s">
        <v>0</v>
      </c>
      <c r="D23" s="1"/>
      <c r="F23" s="60">
        <f>F21+F22</f>
        <v>417.45</v>
      </c>
      <c r="G23" s="7"/>
      <c r="H23" s="7"/>
      <c r="I23" s="7"/>
      <c r="J23" s="60">
        <f>J21+J22</f>
        <v>939.55</v>
      </c>
      <c r="K23" s="7"/>
      <c r="L23" s="6">
        <f>L21+L22</f>
        <v>0</v>
      </c>
    </row>
    <row r="24" spans="1:15" ht="13.5" thickBot="1" x14ac:dyDescent="0.25">
      <c r="B24" s="5"/>
      <c r="D24" s="1"/>
      <c r="F24" s="3"/>
      <c r="G24" s="4"/>
      <c r="H24" s="4"/>
      <c r="I24" s="4"/>
      <c r="J24" s="3"/>
      <c r="K24" s="4"/>
      <c r="L24" s="3"/>
    </row>
    <row r="25" spans="1:15" x14ac:dyDescent="0.2">
      <c r="B25" s="2" t="s">
        <v>17</v>
      </c>
      <c r="D25" s="1"/>
    </row>
    <row r="26" spans="1:15" ht="13.5" thickBot="1" x14ac:dyDescent="0.25">
      <c r="B26" s="58">
        <f>F23+J23</f>
        <v>1357</v>
      </c>
      <c r="D26" s="1"/>
    </row>
  </sheetData>
  <mergeCells count="4">
    <mergeCell ref="I1:L1"/>
    <mergeCell ref="I2:L2"/>
    <mergeCell ref="A4:L6"/>
    <mergeCell ref="C13:F13"/>
  </mergeCells>
  <pageMargins left="0.75" right="0.75" top="1" bottom="1" header="0.5" footer="0.5"/>
  <pageSetup scale="9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2015-05-14T15:37:37Z</cp:lastPrinted>
  <dcterms:created xsi:type="dcterms:W3CDTF">2014-07-14T23:11:07Z</dcterms:created>
  <dcterms:modified xsi:type="dcterms:W3CDTF">2017-01-06T02:07:21Z</dcterms:modified>
</cp:coreProperties>
</file>