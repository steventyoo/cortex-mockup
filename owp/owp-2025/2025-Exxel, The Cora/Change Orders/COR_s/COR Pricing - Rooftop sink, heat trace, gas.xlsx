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5-Exxel, The Cora\Change Orders\COR's\"/>
    </mc:Choice>
  </mc:AlternateContent>
  <bookViews>
    <workbookView xWindow="0" yWindow="0" windowWidth="28800" windowHeight="12435"/>
  </bookViews>
  <sheets>
    <sheet name="CGC BP " sheetId="1" r:id="rId1"/>
  </sheets>
  <definedNames>
    <definedName name="_xlnm.Print_Area" localSheetId="0">'CGC BP '!$A$1:$L$32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7" i="1" l="1"/>
  <c r="F51" i="1" s="1"/>
  <c r="F52" i="1" s="1"/>
  <c r="F48" i="1"/>
  <c r="F49" i="1"/>
  <c r="L51" i="1"/>
  <c r="L52" i="1" s="1"/>
  <c r="L53" i="1" s="1"/>
  <c r="F50" i="1"/>
  <c r="J48" i="1"/>
  <c r="J46" i="1"/>
  <c r="J51" i="1" l="1"/>
  <c r="J52" i="1" s="1"/>
  <c r="J53" i="1" s="1"/>
  <c r="F53" i="1"/>
  <c r="J22" i="1"/>
  <c r="B56" i="1" l="1"/>
  <c r="F23" i="1"/>
  <c r="J21" i="1"/>
  <c r="J20" i="1"/>
  <c r="J19" i="1"/>
  <c r="J18" i="1"/>
  <c r="J17" i="1"/>
  <c r="J16" i="1"/>
  <c r="J15" i="1" l="1"/>
  <c r="J25" i="1" s="1"/>
  <c r="F24" i="1" l="1"/>
  <c r="F25" i="1" l="1"/>
  <c r="L25" i="1"/>
  <c r="J26" i="1" l="1"/>
  <c r="J27" i="1" s="1"/>
  <c r="F26" i="1"/>
  <c r="F27" i="1" s="1"/>
  <c r="L26" i="1"/>
  <c r="L27" i="1" s="1"/>
  <c r="B30" i="1" l="1"/>
</calcChain>
</file>

<file path=xl/sharedStrings.xml><?xml version="1.0" encoding="utf-8"?>
<sst xmlns="http://schemas.openxmlformats.org/spreadsheetml/2006/main" count="74" uniqueCount="37">
  <si>
    <t>Subtotal</t>
  </si>
  <si>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</si>
  <si>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</si>
  <si>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</si>
  <si>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</si>
  <si>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</si>
  <si>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</si>
  <si>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</si>
  <si>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</si>
  <si>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</si>
  <si>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</si>
  <si>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</si>
  <si>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</si>
  <si>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</si>
  <si>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</si>
  <si>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HRS</t>
  </si>
  <si>
    <t>Quan</t>
  </si>
  <si>
    <t>TOTAL</t>
  </si>
  <si>
    <t>EA</t>
  </si>
  <si>
    <t>HEAT TRACE WIRE</t>
  </si>
  <si>
    <t>LF</t>
  </si>
  <si>
    <t>POWER KIT/END SEAL</t>
  </si>
  <si>
    <t>MOUNTING BRACKET</t>
  </si>
  <si>
    <t>THERMOSTAT</t>
  </si>
  <si>
    <t>LABELS</t>
  </si>
  <si>
    <t>GLASS TAPE</t>
  </si>
  <si>
    <t>ROLL</t>
  </si>
  <si>
    <t>INSULATION</t>
  </si>
  <si>
    <t>WRAP INSULATION</t>
  </si>
  <si>
    <t>INSTALL LABOR</t>
  </si>
  <si>
    <t>SUPERVISION/COORDINATION</t>
  </si>
  <si>
    <t>CORA</t>
  </si>
  <si>
    <t>BOXES</t>
  </si>
  <si>
    <t>LABOR</t>
  </si>
  <si>
    <t>GAS PIPING &amp; FITTINGS</t>
  </si>
  <si>
    <t>LOT</t>
  </si>
  <si>
    <t>TRIM LABOR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</si>
</sst>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0.0_);[Red]\(0.0\)"/>
    <numFmt numFmtId="168" formatCode="&quot;$&quot;#,##0"/>
  </numFmts>
  <fonts count="6" x14ac:knownFonts="1">
    <font>
      <sz val="10"/>
      <name val="MS Sans Serif"/>
    </font>
    <font>
      <b/>
      <sz val="10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2" fillId="0" borderId="0" applyFont="0" applyFill="0" applyBorder="0" applyAlignment="0" applyProtection="0"/>
    <xf numFmtId="0" fontId="3" fillId="0" borderId="0"/>
  </cellStyleXfs>
  <cellXfs count="76">
    <xf numFmtId="0" fontId="0" fillId="0" borderId="0" xfId="0"/>
    <xf numFmtId="0" fontId="1" fillId="2" borderId="2" xfId="0" applyFont="1" applyFill="1" applyBorder="1"/>
    <xf numFmtId="0" fontId="1" fillId="0" borderId="0" xfId="0" applyFont="1" applyAlignment="1">
      <alignment horizontal="right"/>
    </xf>
    <xf numFmtId="8" fontId="1" fillId="2" borderId="0" xfId="1" applyFont="1" applyFill="1"/>
    <xf numFmtId="8" fontId="3" fillId="0" borderId="0" xfId="1" applyFont="1"/>
    <xf numFmtId="8" fontId="3" fillId="0" borderId="0" xfId="1" applyFont="1" applyAlignment="1">
      <alignment horizontal="right"/>
    </xf>
    <xf numFmtId="164" fontId="0" fillId="0" borderId="0" xfId="0" applyNumberFormat="1"/>
    <xf numFmtId="44" fontId="4" fillId="0" borderId="3" xfId="0" applyNumberFormat="1" applyFont="1" applyBorder="1" applyAlignment="1">
      <alignment vertical="top" wrapText="1"/>
    </xf>
    <xf numFmtId="165" fontId="4" fillId="0" borderId="3" xfId="0" applyNumberFormat="1" applyFont="1" applyBorder="1" applyAlignment="1">
      <alignment vertical="top" wrapText="1"/>
    </xf>
    <xf numFmtId="164" fontId="4" fillId="0" borderId="3" xfId="0" applyNumberFormat="1" applyFont="1" applyBorder="1" applyAlignment="1">
      <alignment vertical="top" wrapText="1"/>
    </xf>
    <xf numFmtId="166" fontId="4" fillId="0" borderId="3" xfId="0" applyNumberFormat="1" applyFont="1" applyBorder="1" applyAlignment="1">
      <alignment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vertical="top" wrapText="1"/>
    </xf>
    <xf numFmtId="0" fontId="1" fillId="3" borderId="7" xfId="0" applyFont="1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3" fillId="0" borderId="0" xfId="2" applyFont="1" applyAlignment="1">
      <alignment vertical="center"/>
    </xf>
    <xf numFmtId="14" fontId="1" fillId="0" borderId="11" xfId="2" applyNumberFormat="1" applyFont="1" applyFill="1" applyBorder="1" applyAlignment="1" applyProtection="1">
      <alignment horizontal="center" vertical="center"/>
    </xf>
    <xf numFmtId="0" fontId="3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12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14" fontId="1" fillId="0" borderId="13" xfId="2" applyNumberFormat="1" applyFont="1" applyBorder="1" applyAlignment="1">
      <alignment horizontal="left"/>
    </xf>
    <xf numFmtId="0" fontId="3" fillId="0" borderId="13" xfId="2" applyFont="1" applyBorder="1" applyAlignment="1">
      <alignment horizontal="center"/>
    </xf>
    <xf numFmtId="0" fontId="1" fillId="0" borderId="13" xfId="2" applyFont="1" applyBorder="1" applyAlignment="1">
      <alignment horizontal="left" vertical="center"/>
    </xf>
    <xf numFmtId="0" fontId="1" fillId="0" borderId="15" xfId="2" applyFont="1" applyBorder="1" applyAlignment="1">
      <alignment horizontal="left"/>
    </xf>
    <xf numFmtId="0" fontId="3" fillId="0" borderId="0" xfId="2" applyFont="1" applyBorder="1" applyAlignment="1">
      <alignment horizontal="center"/>
    </xf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8" fontId="0" fillId="0" borderId="0" xfId="0" applyNumberFormat="1"/>
    <xf numFmtId="8" fontId="0" fillId="0" borderId="0" xfId="0" applyNumberFormat="1" applyFont="1"/>
    <xf numFmtId="0" fontId="4" fillId="0" borderId="3" xfId="0" applyFont="1" applyBorder="1" applyAlignment="1">
      <alignment horizontal="left" vertical="top"/>
    </xf>
    <xf numFmtId="38" fontId="1" fillId="2" borderId="1" xfId="0" applyNumberFormat="1" applyFont="1" applyFill="1" applyBorder="1"/>
    <xf numFmtId="6" fontId="3" fillId="0" borderId="0" xfId="1" applyNumberFormat="1" applyFont="1"/>
    <xf numFmtId="6" fontId="1" fillId="2" borderId="0" xfId="1" applyNumberFormat="1" applyFont="1" applyFill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6" xfId="0" applyFont="1" applyBorder="1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14" xfId="0" applyFont="1" applyBorder="1"/>
    <xf numFmtId="0" fontId="3" fillId="0" borderId="13" xfId="0" applyFont="1" applyBorder="1"/>
    <xf numFmtId="0" fontId="3" fillId="0" borderId="13" xfId="0" applyFont="1" applyBorder="1" applyAlignment="1">
      <alignment horizontal="center"/>
    </xf>
    <xf numFmtId="0" fontId="3" fillId="0" borderId="10" xfId="0" applyFont="1" applyBorder="1"/>
    <xf numFmtId="0" fontId="3" fillId="0" borderId="9" xfId="0" applyFont="1" applyBorder="1"/>
    <xf numFmtId="0" fontId="3" fillId="4" borderId="7" xfId="0" applyFont="1" applyFill="1" applyBorder="1" applyAlignment="1">
      <alignment horizontal="centerContinuous"/>
    </xf>
    <xf numFmtId="168" fontId="3" fillId="4" borderId="7" xfId="0" applyNumberFormat="1" applyFont="1" applyFill="1" applyBorder="1" applyAlignment="1">
      <alignment horizontal="centerContinuous"/>
    </xf>
    <xf numFmtId="0" fontId="3" fillId="3" borderId="6" xfId="0" applyFont="1" applyFill="1" applyBorder="1" applyAlignment="1">
      <alignment horizontal="centerContinuous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68" fontId="3" fillId="0" borderId="4" xfId="0" applyNumberFormat="1" applyFont="1" applyBorder="1" applyAlignment="1">
      <alignment horizontal="center"/>
    </xf>
    <xf numFmtId="164" fontId="3" fillId="0" borderId="0" xfId="0" applyNumberFormat="1" applyFont="1"/>
    <xf numFmtId="9" fontId="5" fillId="0" borderId="0" xfId="0" applyNumberFormat="1" applyFont="1"/>
    <xf numFmtId="0" fontId="1" fillId="0" borderId="0" xfId="0" applyFont="1"/>
    <xf numFmtId="164" fontId="3" fillId="0" borderId="0" xfId="0" applyNumberFormat="1" applyFont="1" applyFill="1"/>
    <xf numFmtId="0" fontId="3" fillId="0" borderId="0" xfId="0" applyFont="1" applyFill="1"/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167" fontId="4" fillId="0" borderId="3" xfId="0" applyNumberFormat="1" applyFont="1" applyBorder="1" applyAlignment="1">
      <alignment vertical="top" wrapText="1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6" borderId="19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11</xdr:col>
      <xdr:colOff>904875</xdr:colOff>
      <xdr:row>9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en-US" sz="1100" b="0" i="0" baseline="0">
              <a:effectLst/>
              <a:latin typeface="+mn-lt"/>
              <a:ea typeface="+mn-ea"/>
              <a:cs typeface="+mn-cs"/>
            </a:rPr>
            <a:t>INSTALL HEAT TRACE ROOFTOP SINK</a:t>
          </a:r>
        </a:p>
        <a:p>
          <a:pPr rtl="0"/>
          <a:endParaRPr lang="en-US">
            <a:effectLst/>
          </a:endParaRPr>
        </a:p>
        <a:p>
          <a:pPr rtl="0" fontAlgn="base"/>
          <a:endParaRPr lang="en-US"/>
        </a:p>
      </xdr:txBody>
    </xdr:sp>
    <xdr:clientData/>
  </xdr:twoCellAnchor>
  <xdr:twoCellAnchor>
    <xdr:from>
      <xdr:col>0</xdr:col>
      <xdr:colOff>0</xdr:colOff>
      <xdr:row>37</xdr:row>
      <xdr:rowOff>0</xdr:rowOff>
    </xdr:from>
    <xdr:to>
      <xdr:col>11</xdr:col>
      <xdr:colOff>904875</xdr:colOff>
      <xdr:row>40</xdr:row>
      <xdr:rowOff>142875</xdr:rowOff>
    </xdr:to>
    <xdr:sp macro="" textlink="">
      <xdr:nvSpPr>
        <xdr:cNvPr id="4" name="Text Box 2"/>
        <xdr:cNvSpPr txBox="1">
          <a:spLocks noChangeArrowheads="1"/>
        </xdr:cNvSpPr>
      </xdr:nvSpPr>
      <xdr:spPr bwMode="auto">
        <a:xfrm>
          <a:off x="0" y="787977"/>
          <a:ext cx="7495309" cy="63644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en-US" sz="1100" b="0" i="0" baseline="0">
              <a:effectLst/>
              <a:latin typeface="+mn-lt"/>
              <a:ea typeface="+mn-ea"/>
              <a:cs typeface="+mn-cs"/>
            </a:rPr>
            <a:t>INSTALL ADDED GAS BOXES ON ROOF PER RFI-065.1</a:t>
          </a:r>
        </a:p>
        <a:p>
          <a:pPr rtl="0"/>
          <a:endParaRPr lang="en-US">
            <a:effectLst/>
          </a:endParaRP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6"/>
  <sheetViews>
    <sheetView tabSelected="1" topLeftCell="A16" zoomScale="110" zoomScaleNormal="110" workbookViewId="0">
      <selection activeCell="F58" sqref="F58"/>
    </sheetView>
  </sheetViews>
  <sheetFormatPr defaultRowHeight="12.75" x14ac:dyDescent="0.2"/>
  <cols>
    <col min="1" max="1" width="4.5703125" style="35" bestFit="1" customWidth="1"/>
    <col min="2" max="2" width="33.5703125" style="35" customWidth="1"/>
    <col min="3" max="3" width="5.85546875" style="35" customWidth="1"/>
    <col min="4" max="4" width="5.140625" style="35" bestFit="1" customWidth="1"/>
    <col min="5" max="5" width="8.28515625" style="35" bestFit="1" customWidth="1"/>
    <col min="6" max="6" width="8.5703125" style="35" customWidth="1"/>
    <col min="7" max="7" width="5.7109375" style="35" customWidth="1"/>
    <col min="8" max="8" width="5.140625" style="35" bestFit="1" customWidth="1"/>
    <col min="9" max="9" width="8.5703125" style="35" customWidth="1"/>
    <col min="10" max="10" width="7.85546875" style="35" customWidth="1"/>
    <col min="11" max="11" width="8" style="35" bestFit="1" customWidth="1"/>
    <col min="12" max="12" width="10.85546875" style="35" customWidth="1"/>
    <col min="13" max="13" width="11" customWidth="1"/>
    <col min="15" max="15" width="13" customWidth="1"/>
  </cols>
  <sheetData>
    <row r="1" spans="1:15" x14ac:dyDescent="0.2">
      <c r="D1" s="36"/>
      <c r="H1" s="28" t="s">
        <v>13</v>
      </c>
      <c r="I1" s="62" t="s">
        <v>31</v>
      </c>
      <c r="J1" s="62"/>
      <c r="K1" s="62"/>
      <c r="L1" s="62"/>
    </row>
    <row r="2" spans="1:15" x14ac:dyDescent="0.2">
      <c r="D2" s="36"/>
      <c r="G2" s="18"/>
      <c r="H2" s="27" t="s">
        <v>12</v>
      </c>
      <c r="I2" s="63">
        <v>42775</v>
      </c>
      <c r="J2" s="62"/>
      <c r="K2" s="62"/>
      <c r="L2" s="62"/>
    </row>
    <row r="3" spans="1:15" ht="13.5" thickBot="1" x14ac:dyDescent="0.25">
      <c r="D3" s="36"/>
      <c r="G3" s="18"/>
      <c r="H3" s="27" t="s">
        <v>14</v>
      </c>
      <c r="I3" s="26"/>
      <c r="J3" s="57"/>
      <c r="K3" s="57"/>
      <c r="L3" s="57"/>
    </row>
    <row r="4" spans="1:15" ht="4.5" customHeight="1" x14ac:dyDescent="0.2">
      <c r="A4" s="64" t="s">
        <v>11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6"/>
    </row>
    <row r="5" spans="1:15" ht="12.75" customHeight="1" x14ac:dyDescent="0.2">
      <c r="A5" s="67"/>
      <c r="B5" s="68"/>
      <c r="C5" s="68"/>
      <c r="D5" s="68"/>
      <c r="E5" s="68"/>
      <c r="F5" s="68"/>
      <c r="G5" s="68"/>
      <c r="H5" s="68"/>
      <c r="I5" s="68"/>
      <c r="J5" s="68"/>
      <c r="K5" s="68"/>
      <c r="L5" s="69"/>
    </row>
    <row r="6" spans="1:15" ht="4.5" customHeight="1" thickBot="1" x14ac:dyDescent="0.25">
      <c r="A6" s="70"/>
      <c r="B6" s="71"/>
      <c r="C6" s="71"/>
      <c r="D6" s="71"/>
      <c r="E6" s="71"/>
      <c r="F6" s="71"/>
      <c r="G6" s="71"/>
      <c r="H6" s="71"/>
      <c r="I6" s="71"/>
      <c r="J6" s="71"/>
      <c r="K6" s="71"/>
      <c r="L6" s="72"/>
    </row>
    <row r="7" spans="1:15" x14ac:dyDescent="0.2">
      <c r="A7" s="37"/>
      <c r="B7" s="38"/>
      <c r="C7" s="38"/>
      <c r="D7" s="39"/>
      <c r="E7" s="38"/>
      <c r="F7" s="38"/>
      <c r="G7" s="18"/>
      <c r="H7" s="25"/>
      <c r="I7" s="58"/>
      <c r="J7" s="57"/>
      <c r="K7" s="57"/>
      <c r="L7" s="24"/>
    </row>
    <row r="8" spans="1:15" x14ac:dyDescent="0.2">
      <c r="A8" s="37"/>
      <c r="B8" s="38"/>
      <c r="C8" s="38"/>
      <c r="D8" s="39"/>
      <c r="E8" s="38"/>
      <c r="F8" s="38"/>
      <c r="G8" s="18"/>
      <c r="H8" s="25"/>
      <c r="I8" s="58"/>
      <c r="J8" s="57"/>
      <c r="K8" s="57"/>
      <c r="L8" s="24"/>
    </row>
    <row r="9" spans="1:15" x14ac:dyDescent="0.2">
      <c r="A9" s="37"/>
      <c r="B9" s="38"/>
      <c r="C9" s="38"/>
      <c r="D9" s="39"/>
      <c r="E9" s="38"/>
      <c r="F9" s="38"/>
      <c r="G9" s="18"/>
      <c r="H9" s="25"/>
      <c r="I9" s="58"/>
      <c r="J9" s="57"/>
      <c r="K9" s="57"/>
      <c r="L9" s="24"/>
    </row>
    <row r="10" spans="1:15" ht="13.5" thickBot="1" x14ac:dyDescent="0.25">
      <c r="A10" s="40"/>
      <c r="B10" s="41"/>
      <c r="C10" s="41"/>
      <c r="D10" s="42"/>
      <c r="E10" s="41"/>
      <c r="F10" s="41"/>
      <c r="G10" s="23"/>
      <c r="H10" s="22"/>
      <c r="I10" s="21"/>
      <c r="J10" s="20"/>
      <c r="K10" s="20"/>
      <c r="L10" s="19"/>
    </row>
    <row r="11" spans="1:15" ht="6" customHeight="1" x14ac:dyDescent="0.2">
      <c r="D11" s="36"/>
      <c r="E11" s="18"/>
      <c r="F11" s="17"/>
      <c r="G11" s="16"/>
      <c r="H11" s="16"/>
      <c r="I11" s="16"/>
      <c r="J11" s="15"/>
    </row>
    <row r="13" spans="1:15" x14ac:dyDescent="0.2">
      <c r="A13" s="43"/>
      <c r="B13" s="44"/>
      <c r="C13" s="73" t="s">
        <v>10</v>
      </c>
      <c r="D13" s="74"/>
      <c r="E13" s="74"/>
      <c r="F13" s="75"/>
      <c r="G13" s="14" t="s">
        <v>9</v>
      </c>
      <c r="H13" s="45"/>
      <c r="I13" s="45"/>
      <c r="J13" s="46"/>
      <c r="K13" s="13" t="s">
        <v>8</v>
      </c>
      <c r="L13" s="47"/>
    </row>
    <row r="14" spans="1:15" x14ac:dyDescent="0.2">
      <c r="A14" s="48" t="s">
        <v>7</v>
      </c>
      <c r="B14" s="49" t="s">
        <v>6</v>
      </c>
      <c r="C14" s="50" t="s">
        <v>16</v>
      </c>
      <c r="D14" s="50" t="s">
        <v>4</v>
      </c>
      <c r="E14" s="50" t="s">
        <v>5</v>
      </c>
      <c r="F14" s="51" t="s">
        <v>3</v>
      </c>
      <c r="G14" s="50" t="s">
        <v>16</v>
      </c>
      <c r="H14" s="50" t="s">
        <v>4</v>
      </c>
      <c r="I14" s="50" t="s">
        <v>5</v>
      </c>
      <c r="J14" s="51" t="s">
        <v>3</v>
      </c>
      <c r="K14" s="50" t="s">
        <v>4</v>
      </c>
      <c r="L14" s="50" t="s">
        <v>3</v>
      </c>
    </row>
    <row r="15" spans="1:15" x14ac:dyDescent="0.2">
      <c r="A15" s="12"/>
      <c r="B15" s="31" t="s">
        <v>24</v>
      </c>
      <c r="C15" s="59"/>
      <c r="D15" s="11"/>
      <c r="E15" s="10"/>
      <c r="F15" s="9"/>
      <c r="G15" s="8">
        <v>8</v>
      </c>
      <c r="H15" s="11" t="s">
        <v>18</v>
      </c>
      <c r="I15" s="10">
        <v>8.5</v>
      </c>
      <c r="J15" s="9">
        <f t="shared" ref="J15:J16" si="0">G15*I15</f>
        <v>68</v>
      </c>
      <c r="K15" s="8"/>
      <c r="L15" s="7"/>
      <c r="M15" s="6"/>
      <c r="N15" s="29"/>
      <c r="O15" s="30"/>
    </row>
    <row r="16" spans="1:15" x14ac:dyDescent="0.2">
      <c r="A16" s="12"/>
      <c r="B16" s="31" t="s">
        <v>19</v>
      </c>
      <c r="C16" s="59"/>
      <c r="D16" s="11"/>
      <c r="E16" s="10"/>
      <c r="F16" s="9"/>
      <c r="G16" s="8">
        <v>30</v>
      </c>
      <c r="H16" s="11" t="s">
        <v>20</v>
      </c>
      <c r="I16" s="10">
        <v>7.9</v>
      </c>
      <c r="J16" s="9">
        <f t="shared" si="0"/>
        <v>237</v>
      </c>
      <c r="K16" s="8"/>
      <c r="L16" s="7"/>
      <c r="M16" s="6"/>
      <c r="N16" s="29"/>
      <c r="O16" s="30"/>
    </row>
    <row r="17" spans="1:15" x14ac:dyDescent="0.2">
      <c r="A17" s="12"/>
      <c r="B17" s="31" t="s">
        <v>21</v>
      </c>
      <c r="C17" s="59"/>
      <c r="D17" s="11"/>
      <c r="E17" s="10"/>
      <c r="F17" s="9"/>
      <c r="G17" s="8">
        <v>1</v>
      </c>
      <c r="H17" s="11" t="s">
        <v>18</v>
      </c>
      <c r="I17" s="10">
        <v>95.8</v>
      </c>
      <c r="J17" s="9">
        <f t="shared" ref="J17:J22" si="1">G17*I17</f>
        <v>95.8</v>
      </c>
      <c r="K17" s="8"/>
      <c r="L17" s="7"/>
      <c r="M17" s="6"/>
      <c r="N17" s="29"/>
      <c r="O17" s="30"/>
    </row>
    <row r="18" spans="1:15" x14ac:dyDescent="0.2">
      <c r="A18" s="12"/>
      <c r="B18" s="31" t="s">
        <v>22</v>
      </c>
      <c r="C18" s="59"/>
      <c r="D18" s="11"/>
      <c r="E18" s="10"/>
      <c r="F18" s="9"/>
      <c r="G18" s="8">
        <v>1</v>
      </c>
      <c r="H18" s="11" t="s">
        <v>18</v>
      </c>
      <c r="I18" s="10">
        <v>20.6</v>
      </c>
      <c r="J18" s="9">
        <f t="shared" si="1"/>
        <v>20.6</v>
      </c>
      <c r="K18" s="8"/>
      <c r="L18" s="7"/>
      <c r="M18" s="6"/>
      <c r="N18" s="29"/>
      <c r="O18" s="30"/>
    </row>
    <row r="19" spans="1:15" x14ac:dyDescent="0.2">
      <c r="A19" s="12"/>
      <c r="B19" s="31" t="s">
        <v>23</v>
      </c>
      <c r="C19" s="59"/>
      <c r="D19" s="11"/>
      <c r="E19" s="10"/>
      <c r="F19" s="9"/>
      <c r="G19" s="8">
        <v>1</v>
      </c>
      <c r="H19" s="11" t="s">
        <v>18</v>
      </c>
      <c r="I19" s="10">
        <v>160</v>
      </c>
      <c r="J19" s="9">
        <f t="shared" si="1"/>
        <v>160</v>
      </c>
      <c r="K19" s="8"/>
      <c r="L19" s="7"/>
      <c r="M19" s="6"/>
      <c r="N19" s="29"/>
      <c r="O19" s="30"/>
    </row>
    <row r="20" spans="1:15" x14ac:dyDescent="0.2">
      <c r="A20" s="12"/>
      <c r="B20" s="31" t="s">
        <v>25</v>
      </c>
      <c r="C20" s="59"/>
      <c r="D20" s="11"/>
      <c r="E20" s="10"/>
      <c r="F20" s="9"/>
      <c r="G20" s="8">
        <v>1</v>
      </c>
      <c r="H20" s="11" t="s">
        <v>26</v>
      </c>
      <c r="I20" s="10">
        <v>9.8000000000000007</v>
      </c>
      <c r="J20" s="9">
        <f t="shared" si="1"/>
        <v>9.8000000000000007</v>
      </c>
      <c r="K20" s="8"/>
      <c r="L20" s="7"/>
      <c r="M20" s="6"/>
      <c r="N20" s="29"/>
      <c r="O20" s="30"/>
    </row>
    <row r="21" spans="1:15" x14ac:dyDescent="0.2">
      <c r="A21" s="12"/>
      <c r="B21" s="31" t="s">
        <v>27</v>
      </c>
      <c r="C21" s="59"/>
      <c r="D21" s="11"/>
      <c r="E21" s="10"/>
      <c r="F21" s="9"/>
      <c r="G21" s="8">
        <v>30</v>
      </c>
      <c r="H21" s="11" t="s">
        <v>20</v>
      </c>
      <c r="I21" s="10">
        <v>3.5</v>
      </c>
      <c r="J21" s="9">
        <f t="shared" si="1"/>
        <v>105</v>
      </c>
      <c r="K21" s="8"/>
      <c r="L21" s="7"/>
      <c r="M21" s="6"/>
      <c r="N21" s="29"/>
      <c r="O21" s="30"/>
    </row>
    <row r="22" spans="1:15" x14ac:dyDescent="0.2">
      <c r="A22" s="12"/>
      <c r="B22" s="31" t="s">
        <v>28</v>
      </c>
      <c r="C22" s="59"/>
      <c r="D22" s="11"/>
      <c r="E22" s="10"/>
      <c r="F22" s="9"/>
      <c r="G22" s="8">
        <v>2</v>
      </c>
      <c r="H22" s="11" t="s">
        <v>18</v>
      </c>
      <c r="I22" s="10">
        <v>15</v>
      </c>
      <c r="J22" s="9">
        <f t="shared" si="1"/>
        <v>30</v>
      </c>
      <c r="K22" s="8"/>
      <c r="L22" s="7"/>
      <c r="M22" s="6"/>
      <c r="N22" s="29"/>
      <c r="O22" s="30"/>
    </row>
    <row r="23" spans="1:15" x14ac:dyDescent="0.2">
      <c r="A23" s="12"/>
      <c r="B23" s="31" t="s">
        <v>29</v>
      </c>
      <c r="C23" s="59">
        <v>8</v>
      </c>
      <c r="D23" s="11" t="s">
        <v>15</v>
      </c>
      <c r="E23" s="10">
        <v>64</v>
      </c>
      <c r="F23" s="9">
        <f t="shared" ref="F23:F24" si="2">C23*E23</f>
        <v>512</v>
      </c>
      <c r="G23" s="8"/>
      <c r="H23" s="11"/>
      <c r="I23" s="10"/>
      <c r="J23" s="9"/>
      <c r="K23" s="8"/>
      <c r="L23" s="7"/>
      <c r="M23" s="6"/>
      <c r="N23" s="29"/>
      <c r="O23" s="30"/>
    </row>
    <row r="24" spans="1:15" x14ac:dyDescent="0.2">
      <c r="A24" s="12"/>
      <c r="B24" s="31" t="s">
        <v>30</v>
      </c>
      <c r="C24" s="59">
        <v>2</v>
      </c>
      <c r="D24" s="11" t="s">
        <v>15</v>
      </c>
      <c r="E24" s="10">
        <v>85</v>
      </c>
      <c r="F24" s="9">
        <f t="shared" si="2"/>
        <v>170</v>
      </c>
      <c r="G24" s="8"/>
      <c r="H24" s="11"/>
      <c r="I24" s="10"/>
      <c r="J24" s="9"/>
      <c r="K24" s="8"/>
      <c r="L24" s="7"/>
      <c r="M24" s="6"/>
      <c r="N24" s="29"/>
      <c r="O24" s="30"/>
    </row>
    <row r="25" spans="1:15" x14ac:dyDescent="0.2">
      <c r="B25" s="2" t="s">
        <v>2</v>
      </c>
      <c r="D25" s="36"/>
      <c r="F25" s="52">
        <f>SUM(F15:F24)</f>
        <v>682</v>
      </c>
      <c r="J25" s="52">
        <f>SUM(J15:J24)</f>
        <v>726.2</v>
      </c>
      <c r="L25" s="52">
        <f>SUM(L15:L24)</f>
        <v>0</v>
      </c>
    </row>
    <row r="26" spans="1:15" x14ac:dyDescent="0.2">
      <c r="B26" s="5" t="s">
        <v>1</v>
      </c>
      <c r="D26" s="36"/>
      <c r="E26" s="53">
        <v>0.15</v>
      </c>
      <c r="F26" s="33">
        <f>+E26*F25</f>
        <v>102.3</v>
      </c>
      <c r="I26" s="53">
        <v>0.15</v>
      </c>
      <c r="J26" s="33">
        <f>+I26*J25</f>
        <v>108.93</v>
      </c>
      <c r="K26" s="53">
        <v>0.15</v>
      </c>
      <c r="L26" s="4">
        <f>+K26*L25</f>
        <v>0</v>
      </c>
    </row>
    <row r="27" spans="1:15" x14ac:dyDescent="0.2">
      <c r="B27" s="2" t="s">
        <v>0</v>
      </c>
      <c r="D27" s="36"/>
      <c r="F27" s="34">
        <f>F25+F26</f>
        <v>784.3</v>
      </c>
      <c r="G27" s="54"/>
      <c r="H27" s="54"/>
      <c r="I27" s="54"/>
      <c r="J27" s="34">
        <f>J25+J26</f>
        <v>835.13000000000011</v>
      </c>
      <c r="K27" s="54"/>
      <c r="L27" s="3">
        <f>L25+L26</f>
        <v>0</v>
      </c>
    </row>
    <row r="28" spans="1:15" ht="13.5" thickBot="1" x14ac:dyDescent="0.25">
      <c r="B28" s="2"/>
      <c r="D28" s="36"/>
      <c r="F28" s="55"/>
      <c r="G28" s="56"/>
      <c r="H28" s="56"/>
      <c r="I28" s="56"/>
      <c r="J28" s="55"/>
      <c r="K28" s="56"/>
      <c r="L28" s="55"/>
    </row>
    <row r="29" spans="1:15" x14ac:dyDescent="0.2">
      <c r="B29" s="1" t="s">
        <v>17</v>
      </c>
      <c r="D29" s="36"/>
    </row>
    <row r="30" spans="1:15" ht="13.5" thickBot="1" x14ac:dyDescent="0.25">
      <c r="B30" s="32">
        <f>F27+J27</f>
        <v>1619.43</v>
      </c>
      <c r="D30" s="36"/>
    </row>
    <row r="34" spans="1:15" ht="13.5" thickBot="1" x14ac:dyDescent="0.25"/>
    <row r="35" spans="1:15" ht="4.5" customHeight="1" x14ac:dyDescent="0.2">
      <c r="A35" s="64" t="s">
        <v>11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6"/>
    </row>
    <row r="36" spans="1:15" ht="12.75" customHeight="1" x14ac:dyDescent="0.2">
      <c r="A36" s="67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9"/>
    </row>
    <row r="37" spans="1:15" ht="4.5" customHeight="1" thickBot="1" x14ac:dyDescent="0.25">
      <c r="A37" s="70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2"/>
    </row>
    <row r="38" spans="1:15" x14ac:dyDescent="0.2">
      <c r="A38" s="37"/>
      <c r="B38" s="38"/>
      <c r="C38" s="38"/>
      <c r="D38" s="39"/>
      <c r="E38" s="38"/>
      <c r="F38" s="38"/>
      <c r="G38" s="18"/>
      <c r="H38" s="25"/>
      <c r="I38" s="61"/>
      <c r="J38" s="60"/>
      <c r="K38" s="60"/>
      <c r="L38" s="24"/>
    </row>
    <row r="39" spans="1:15" x14ac:dyDescent="0.2">
      <c r="A39" s="37"/>
      <c r="B39" s="38"/>
      <c r="C39" s="38"/>
      <c r="D39" s="39"/>
      <c r="E39" s="38"/>
      <c r="F39" s="38"/>
      <c r="G39" s="18"/>
      <c r="H39" s="25"/>
      <c r="I39" s="61"/>
      <c r="J39" s="60"/>
      <c r="K39" s="60"/>
      <c r="L39" s="24"/>
    </row>
    <row r="40" spans="1:15" x14ac:dyDescent="0.2">
      <c r="A40" s="37"/>
      <c r="B40" s="38"/>
      <c r="C40" s="38"/>
      <c r="D40" s="39"/>
      <c r="E40" s="38"/>
      <c r="F40" s="38"/>
      <c r="G40" s="18"/>
      <c r="H40" s="25"/>
      <c r="I40" s="61"/>
      <c r="J40" s="60"/>
      <c r="K40" s="60"/>
      <c r="L40" s="24"/>
    </row>
    <row r="41" spans="1:15" ht="13.5" thickBot="1" x14ac:dyDescent="0.25">
      <c r="A41" s="40"/>
      <c r="B41" s="41"/>
      <c r="C41" s="41"/>
      <c r="D41" s="42"/>
      <c r="E41" s="41"/>
      <c r="F41" s="41"/>
      <c r="G41" s="23"/>
      <c r="H41" s="22"/>
      <c r="I41" s="21"/>
      <c r="J41" s="20"/>
      <c r="K41" s="20"/>
      <c r="L41" s="19"/>
    </row>
    <row r="42" spans="1:15" ht="6" customHeight="1" x14ac:dyDescent="0.2">
      <c r="D42" s="36"/>
      <c r="E42" s="18"/>
      <c r="F42" s="17"/>
      <c r="G42" s="16"/>
      <c r="H42" s="16"/>
      <c r="I42" s="16"/>
      <c r="J42" s="15"/>
    </row>
    <row r="44" spans="1:15" x14ac:dyDescent="0.2">
      <c r="A44" s="43"/>
      <c r="B44" s="44"/>
      <c r="C44" s="73" t="s">
        <v>10</v>
      </c>
      <c r="D44" s="74"/>
      <c r="E44" s="74"/>
      <c r="F44" s="75"/>
      <c r="G44" s="14" t="s">
        <v>9</v>
      </c>
      <c r="H44" s="45"/>
      <c r="I44" s="45"/>
      <c r="J44" s="46"/>
      <c r="K44" s="13" t="s">
        <v>8</v>
      </c>
      <c r="L44" s="47"/>
    </row>
    <row r="45" spans="1:15" x14ac:dyDescent="0.2">
      <c r="A45" s="48" t="s">
        <v>7</v>
      </c>
      <c r="B45" s="49" t="s">
        <v>6</v>
      </c>
      <c r="C45" s="50" t="s">
        <v>16</v>
      </c>
      <c r="D45" s="50" t="s">
        <v>4</v>
      </c>
      <c r="E45" s="50" t="s">
        <v>5</v>
      </c>
      <c r="F45" s="51" t="s">
        <v>3</v>
      </c>
      <c r="G45" s="50" t="s">
        <v>16</v>
      </c>
      <c r="H45" s="50" t="s">
        <v>4</v>
      </c>
      <c r="I45" s="50" t="s">
        <v>5</v>
      </c>
      <c r="J45" s="51" t="s">
        <v>3</v>
      </c>
      <c r="K45" s="50" t="s">
        <v>4</v>
      </c>
      <c r="L45" s="50" t="s">
        <v>3</v>
      </c>
    </row>
    <row r="46" spans="1:15" x14ac:dyDescent="0.2">
      <c r="A46" s="12"/>
      <c r="B46" s="31" t="s">
        <v>32</v>
      </c>
      <c r="C46" s="59"/>
      <c r="D46" s="11"/>
      <c r="E46" s="10"/>
      <c r="F46" s="9"/>
      <c r="G46" s="8">
        <v>3</v>
      </c>
      <c r="H46" s="11" t="s">
        <v>18</v>
      </c>
      <c r="I46" s="10">
        <v>112.49299999999999</v>
      </c>
      <c r="J46" s="9">
        <f t="shared" ref="J46:J48" si="3">G46*I46</f>
        <v>337.47899999999998</v>
      </c>
      <c r="K46" s="8"/>
      <c r="L46" s="7"/>
      <c r="M46" s="6"/>
      <c r="N46" s="29"/>
      <c r="O46" s="30"/>
    </row>
    <row r="47" spans="1:15" x14ac:dyDescent="0.2">
      <c r="A47" s="12"/>
      <c r="B47" s="31" t="s">
        <v>33</v>
      </c>
      <c r="C47" s="59">
        <v>12</v>
      </c>
      <c r="D47" s="11" t="s">
        <v>15</v>
      </c>
      <c r="E47" s="10">
        <v>64</v>
      </c>
      <c r="F47" s="9">
        <f t="shared" ref="F47:F49" si="4">C47*E47</f>
        <v>768</v>
      </c>
      <c r="G47" s="8"/>
      <c r="H47" s="11"/>
      <c r="I47" s="10"/>
      <c r="J47" s="9"/>
      <c r="K47" s="8"/>
      <c r="L47" s="7"/>
      <c r="M47" s="6"/>
      <c r="N47" s="29"/>
      <c r="O47" s="30"/>
    </row>
    <row r="48" spans="1:15" x14ac:dyDescent="0.2">
      <c r="A48" s="12"/>
      <c r="B48" s="31" t="s">
        <v>34</v>
      </c>
      <c r="C48" s="59"/>
      <c r="D48" s="11"/>
      <c r="E48" s="10"/>
      <c r="F48" s="9">
        <f t="shared" si="4"/>
        <v>0</v>
      </c>
      <c r="G48" s="8">
        <v>1</v>
      </c>
      <c r="H48" s="11" t="s">
        <v>35</v>
      </c>
      <c r="I48" s="10">
        <v>250</v>
      </c>
      <c r="J48" s="9">
        <f t="shared" si="3"/>
        <v>250</v>
      </c>
      <c r="K48" s="8"/>
      <c r="L48" s="7"/>
      <c r="M48" s="6"/>
      <c r="N48" s="29"/>
      <c r="O48" s="30"/>
    </row>
    <row r="49" spans="1:15" x14ac:dyDescent="0.2">
      <c r="A49" s="12"/>
      <c r="B49" s="31" t="s">
        <v>36</v>
      </c>
      <c r="C49" s="59">
        <v>4</v>
      </c>
      <c r="D49" s="11" t="s">
        <v>15</v>
      </c>
      <c r="E49" s="10">
        <v>64</v>
      </c>
      <c r="F49" s="9">
        <f t="shared" si="4"/>
        <v>256</v>
      </c>
      <c r="G49" s="8"/>
      <c r="H49" s="11"/>
      <c r="I49" s="10"/>
      <c r="J49" s="9"/>
      <c r="K49" s="8"/>
      <c r="L49" s="7"/>
      <c r="M49" s="6"/>
      <c r="N49" s="29"/>
      <c r="O49" s="30"/>
    </row>
    <row r="50" spans="1:15" x14ac:dyDescent="0.2">
      <c r="A50" s="12"/>
      <c r="B50" s="31" t="s">
        <v>30</v>
      </c>
      <c r="C50" s="59">
        <v>2</v>
      </c>
      <c r="D50" s="11" t="s">
        <v>15</v>
      </c>
      <c r="E50" s="10">
        <v>85</v>
      </c>
      <c r="F50" s="9">
        <f t="shared" ref="F50" si="5">C50*E50</f>
        <v>170</v>
      </c>
      <c r="G50" s="8"/>
      <c r="H50" s="11"/>
      <c r="I50" s="10"/>
      <c r="J50" s="9"/>
      <c r="K50" s="8"/>
      <c r="L50" s="7"/>
      <c r="M50" s="6"/>
      <c r="N50" s="29"/>
      <c r="O50" s="30"/>
    </row>
    <row r="51" spans="1:15" x14ac:dyDescent="0.2">
      <c r="B51" s="2" t="s">
        <v>2</v>
      </c>
      <c r="D51" s="36"/>
      <c r="F51" s="52">
        <f>SUM(F46:F50)</f>
        <v>1194</v>
      </c>
      <c r="J51" s="52">
        <f>SUM(J46:J50)</f>
        <v>587.47900000000004</v>
      </c>
      <c r="L51" s="52">
        <f>SUM(L46:L50)</f>
        <v>0</v>
      </c>
    </row>
    <row r="52" spans="1:15" x14ac:dyDescent="0.2">
      <c r="B52" s="5" t="s">
        <v>1</v>
      </c>
      <c r="D52" s="36"/>
      <c r="E52" s="53">
        <v>0.15</v>
      </c>
      <c r="F52" s="33">
        <f>+E52*F51</f>
        <v>179.1</v>
      </c>
      <c r="I52" s="53">
        <v>0.15</v>
      </c>
      <c r="J52" s="33">
        <f>+I52*J51</f>
        <v>88.121850000000009</v>
      </c>
      <c r="K52" s="53">
        <v>0.15</v>
      </c>
      <c r="L52" s="4">
        <f>+K52*L51</f>
        <v>0</v>
      </c>
    </row>
    <row r="53" spans="1:15" x14ac:dyDescent="0.2">
      <c r="B53" s="2" t="s">
        <v>0</v>
      </c>
      <c r="D53" s="36"/>
      <c r="F53" s="34">
        <f>F51+F52</f>
        <v>1373.1</v>
      </c>
      <c r="G53" s="54"/>
      <c r="H53" s="54"/>
      <c r="I53" s="54"/>
      <c r="J53" s="34">
        <f>J51+J52</f>
        <v>675.60085000000004</v>
      </c>
      <c r="K53" s="54"/>
      <c r="L53" s="3">
        <f>L51+L52</f>
        <v>0</v>
      </c>
    </row>
    <row r="54" spans="1:15" ht="13.5" thickBot="1" x14ac:dyDescent="0.25">
      <c r="B54" s="2"/>
      <c r="D54" s="36"/>
      <c r="F54" s="55"/>
      <c r="G54" s="56"/>
      <c r="H54" s="56"/>
      <c r="I54" s="56"/>
      <c r="J54" s="55"/>
      <c r="K54" s="56"/>
      <c r="L54" s="55"/>
    </row>
    <row r="55" spans="1:15" x14ac:dyDescent="0.2">
      <c r="B55" s="1" t="s">
        <v>17</v>
      </c>
      <c r="D55" s="36"/>
    </row>
    <row r="56" spans="1:15" ht="13.5" thickBot="1" x14ac:dyDescent="0.25">
      <c r="B56" s="32">
        <f>F53+J53</f>
        <v>2048.7008500000002</v>
      </c>
      <c r="D56" s="36"/>
    </row>
  </sheetData>
  <mergeCells count="6">
    <mergeCell ref="C44:F44"/>
    <mergeCell ref="I1:L1"/>
    <mergeCell ref="I2:L2"/>
    <mergeCell ref="A4:L6"/>
    <mergeCell ref="C13:F13"/>
    <mergeCell ref="A35:L37"/>
  </mergeCells>
  <pageMargins left="0.75" right="0.75" top="1" bottom="1" header="0.5" footer="0.5"/>
  <pageSetup scale="9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CGC BP </vt:lpstr>
      <vt:lpstr>'CGC BP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2015-05-14T15:37:37Z</cp:lastPrinted>
  <dcterms:created xsi:type="dcterms:W3CDTF">2014-07-14T23:11:07Z</dcterms:created>
  <dcterms:modified xsi:type="dcterms:W3CDTF">2017-02-09T19:53:59Z</dcterms:modified>
</cp:coreProperties>
</file>