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L24" i="1" l="1"/>
  <c r="F21" i="1" l="1"/>
  <c r="F22" i="1"/>
  <c r="J20" i="1"/>
  <c r="J21" i="1"/>
  <c r="J24" i="1" l="1"/>
  <c r="F24" i="1"/>
  <c r="L25" i="1" l="1"/>
  <c r="L26" i="1" s="1"/>
  <c r="J25" i="1" l="1"/>
  <c r="J26" i="1" s="1"/>
  <c r="F25" i="1"/>
  <c r="F26" i="1" s="1"/>
  <c r="B28" i="1" l="1"/>
</calcChain>
</file>

<file path=xl/sharedStrings.xml><?xml version="1.0" encoding="utf-8"?>
<sst xmlns="http://schemas.openxmlformats.org/spreadsheetml/2006/main" count="35" uniqueCount="27">
  <si>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</si>
  <si>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</si>
  <si>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</si>
  <si>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</si>
  <si>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</si>
  <si>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</si>
  <si>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</si>
  <si>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</si>
  <si>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</si>
  <si>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</si>
  <si>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</si>
  <si>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</si>
  <si>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</si>
  <si>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</si>
  <si>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</si>
  <si>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</si>
  <si>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HRS</t>
  </si>
  <si>
    <t>Total this item</t>
  </si>
  <si>
    <t>Quan</t>
  </si>
  <si>
    <t>LF</t>
  </si>
  <si>
    <t>SUPERVISION</t>
  </si>
  <si>
    <t>LS</t>
  </si>
  <si>
    <t>CORA</t>
  </si>
  <si>
    <t>IMAGING &amp; CORE DRILLING COORDINATION</t>
  </si>
  <si>
    <t>IMAGING &amp; CORE DRILLING - 5EA CORE DRILLS WITH 5EA ADDITIONAL CORES TO GET THE DRAIN TO FIT DOWN IN THE CONCRETE</t>
  </si>
  <si>
    <t>WATTS FD33 DRAINS</t>
  </si>
  <si>
    <t>ADDITIONAL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</si>
</sst>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6" fontId="4" fillId="0" borderId="0" xfId="1" applyNumberFormat="1" applyFont="1"/>
    <xf numFmtId="6" fontId="1" fillId="2" borderId="0" xfId="1" applyNumberFormat="1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CHANGE TRENCH DRAINS TO AREA DRAINS AT GARAGE ENTRANCES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  <xdr:oneCellAnchor>
    <xdr:from>
      <xdr:col>25</xdr:col>
      <xdr:colOff>76201</xdr:colOff>
      <xdr:row>29</xdr:row>
      <xdr:rowOff>0</xdr:rowOff>
    </xdr:from>
    <xdr:ext cx="1676600" cy="158115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6" y="5476876"/>
          <a:ext cx="1676600" cy="1581150"/>
        </a:xfrm>
        <a:prstGeom prst="rect">
          <a:avLst/>
        </a:prstGeom>
      </xdr:spPr>
    </xdr:pic>
    <xdr:clientData/>
  </xdr:oneCellAnchor>
  <xdr:oneCellAnchor>
    <xdr:from>
      <xdr:col>25</xdr:col>
      <xdr:colOff>85726</xdr:colOff>
      <xdr:row>29</xdr:row>
      <xdr:rowOff>0</xdr:rowOff>
    </xdr:from>
    <xdr:ext cx="1638299" cy="156326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6" y="7105651"/>
          <a:ext cx="1638299" cy="1563262"/>
        </a:xfrm>
        <a:prstGeom prst="rect">
          <a:avLst/>
        </a:prstGeom>
      </xdr:spPr>
    </xdr:pic>
    <xdr:clientData/>
  </xdr:oneCellAnchor>
  <xdr:oneCellAnchor>
    <xdr:from>
      <xdr:col>25</xdr:col>
      <xdr:colOff>47624</xdr:colOff>
      <xdr:row>29</xdr:row>
      <xdr:rowOff>0</xdr:rowOff>
    </xdr:from>
    <xdr:ext cx="1253547" cy="159067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7574" y="8715375"/>
          <a:ext cx="1253547" cy="1590675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29</xdr:row>
      <xdr:rowOff>0</xdr:rowOff>
    </xdr:from>
    <xdr:ext cx="1866900" cy="1634654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7576" y="10344151"/>
          <a:ext cx="1866900" cy="1634654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29</xdr:row>
      <xdr:rowOff>0</xdr:rowOff>
    </xdr:from>
    <xdr:ext cx="1695450" cy="1583799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97576" y="11972925"/>
          <a:ext cx="1695450" cy="1583799"/>
        </a:xfrm>
        <a:prstGeom prst="rect">
          <a:avLst/>
        </a:prstGeom>
      </xdr:spPr>
    </xdr:pic>
    <xdr:clientData/>
  </xdr:oneCellAnchor>
  <xdr:oneCellAnchor>
    <xdr:from>
      <xdr:col>25</xdr:col>
      <xdr:colOff>38100</xdr:colOff>
      <xdr:row>29</xdr:row>
      <xdr:rowOff>0</xdr:rowOff>
    </xdr:from>
    <xdr:ext cx="1704975" cy="15926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88050" y="13601701"/>
          <a:ext cx="1704975" cy="1592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abSelected="1" zoomScale="130" zoomScaleNormal="130" workbookViewId="0">
      <selection activeCell="C19" sqref="C19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60" t="s">
        <v>22</v>
      </c>
      <c r="J1" s="60"/>
      <c r="K1" s="60"/>
      <c r="L1" s="60"/>
    </row>
    <row r="2" spans="1:12" x14ac:dyDescent="0.2">
      <c r="D2" s="1"/>
      <c r="G2" s="31"/>
      <c r="H2" s="48" t="s">
        <v>11</v>
      </c>
      <c r="I2" s="61">
        <v>42702</v>
      </c>
      <c r="J2" s="60"/>
      <c r="K2" s="60"/>
      <c r="L2" s="60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4.5" customHeight="1" x14ac:dyDescent="0.2">
      <c r="A5" s="63" t="s">
        <v>10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5"/>
    </row>
    <row r="6" spans="1:12" ht="12.75" customHeight="1" x14ac:dyDescent="0.2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ht="4.5" customHeight="1" thickBo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57" t="s">
        <v>9</v>
      </c>
      <c r="D15" s="58"/>
      <c r="E15" s="58"/>
      <c r="F15" s="59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18</v>
      </c>
      <c r="D16" s="17" t="s">
        <v>3</v>
      </c>
      <c r="E16" s="17" t="s">
        <v>4</v>
      </c>
      <c r="F16" s="18" t="s">
        <v>2</v>
      </c>
      <c r="G16" s="17" t="s">
        <v>18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0"/>
      <c r="C17" s="12"/>
      <c r="D17" s="15"/>
      <c r="E17" s="14"/>
      <c r="F17" s="13"/>
      <c r="G17" s="12"/>
      <c r="H17" s="15"/>
      <c r="I17" s="14"/>
      <c r="J17" s="13"/>
      <c r="K17" s="12"/>
      <c r="L17" s="11"/>
      <c r="M17" s="10"/>
    </row>
    <row r="18" spans="1:13" x14ac:dyDescent="0.2">
      <c r="A18" s="16"/>
      <c r="B18" s="50" t="s">
        <v>23</v>
      </c>
      <c r="C18" s="52">
        <v>2</v>
      </c>
      <c r="D18" s="15" t="s">
        <v>16</v>
      </c>
      <c r="E18" s="14">
        <v>80</v>
      </c>
      <c r="F18" s="13">
        <f t="shared" ref="F18" si="0">E18*C18</f>
        <v>160</v>
      </c>
      <c r="G18" s="12"/>
      <c r="H18" s="15"/>
      <c r="I18" s="14"/>
      <c r="J18" s="13"/>
      <c r="K18" s="12"/>
      <c r="L18" s="11"/>
      <c r="M18" s="10"/>
    </row>
    <row r="19" spans="1:13" ht="33.75" x14ac:dyDescent="0.2">
      <c r="A19" s="16"/>
      <c r="B19" s="72" t="s">
        <v>24</v>
      </c>
      <c r="C19" s="52"/>
      <c r="D19" s="15"/>
      <c r="E19" s="14"/>
      <c r="F19" s="13"/>
      <c r="G19" s="12"/>
      <c r="H19" s="15"/>
      <c r="I19" s="14"/>
      <c r="J19" s="13"/>
      <c r="K19" s="12" t="s">
        <v>21</v>
      </c>
      <c r="L19" s="11">
        <v>1500</v>
      </c>
      <c r="M19" s="10"/>
    </row>
    <row r="20" spans="1:13" x14ac:dyDescent="0.2">
      <c r="A20" s="16"/>
      <c r="B20" s="50" t="s">
        <v>25</v>
      </c>
      <c r="C20" s="52"/>
      <c r="D20" s="15"/>
      <c r="E20" s="14"/>
      <c r="F20" s="13"/>
      <c r="G20" s="12">
        <v>5</v>
      </c>
      <c r="H20" s="15" t="s">
        <v>14</v>
      </c>
      <c r="I20" s="14">
        <v>85</v>
      </c>
      <c r="J20" s="13">
        <f t="shared" ref="J20:J21" si="1">G20*I20</f>
        <v>425</v>
      </c>
      <c r="K20" s="12"/>
      <c r="L20" s="11"/>
      <c r="M20" s="10"/>
    </row>
    <row r="21" spans="1:13" x14ac:dyDescent="0.2">
      <c r="A21" s="16"/>
      <c r="B21" s="50" t="s">
        <v>26</v>
      </c>
      <c r="C21" s="12">
        <v>3</v>
      </c>
      <c r="D21" s="15" t="s">
        <v>16</v>
      </c>
      <c r="E21" s="14">
        <v>60.5</v>
      </c>
      <c r="F21" s="13">
        <f t="shared" ref="F21:F22" si="2">E21*C21</f>
        <v>181.5</v>
      </c>
      <c r="G21" s="12">
        <v>30</v>
      </c>
      <c r="H21" s="15" t="s">
        <v>19</v>
      </c>
      <c r="I21" s="14">
        <v>1.85</v>
      </c>
      <c r="J21" s="13">
        <f t="shared" si="1"/>
        <v>55.5</v>
      </c>
      <c r="K21" s="12"/>
      <c r="L21" s="11"/>
      <c r="M21" s="10"/>
    </row>
    <row r="22" spans="1:13" x14ac:dyDescent="0.2">
      <c r="A22" s="16"/>
      <c r="B22" s="50" t="s">
        <v>20</v>
      </c>
      <c r="C22" s="12">
        <v>2</v>
      </c>
      <c r="D22" s="15" t="s">
        <v>16</v>
      </c>
      <c r="E22" s="14">
        <v>80</v>
      </c>
      <c r="F22" s="13">
        <f t="shared" si="2"/>
        <v>160</v>
      </c>
      <c r="G22" s="12"/>
      <c r="H22" s="15"/>
      <c r="I22" s="14"/>
      <c r="J22" s="13"/>
      <c r="K22" s="12"/>
      <c r="L22" s="11"/>
      <c r="M22" s="10"/>
    </row>
    <row r="23" spans="1:13" x14ac:dyDescent="0.2">
      <c r="A23" s="16"/>
      <c r="B23" s="50"/>
      <c r="C23" s="53"/>
      <c r="D23" s="15"/>
      <c r="E23" s="54"/>
      <c r="F23" s="13"/>
      <c r="G23" s="12"/>
      <c r="H23" s="15"/>
      <c r="I23" s="14"/>
      <c r="J23" s="13"/>
      <c r="K23" s="12"/>
      <c r="L23" s="11"/>
      <c r="M23" s="10"/>
    </row>
    <row r="24" spans="1:13" x14ac:dyDescent="0.2">
      <c r="B24" s="3" t="s">
        <v>1</v>
      </c>
      <c r="D24" s="1"/>
      <c r="F24" s="10">
        <f>SUM(F17:F23)</f>
        <v>501.5</v>
      </c>
      <c r="J24" s="10">
        <f>SUM(J17:J23)</f>
        <v>480.5</v>
      </c>
      <c r="L24" s="10">
        <f>SUM(L17:L23)</f>
        <v>1500</v>
      </c>
    </row>
    <row r="25" spans="1:13" x14ac:dyDescent="0.2">
      <c r="B25" s="8" t="s">
        <v>0</v>
      </c>
      <c r="D25" s="1"/>
      <c r="E25" s="9">
        <v>0.15</v>
      </c>
      <c r="F25" s="55">
        <f>+E25*F24</f>
        <v>75.224999999999994</v>
      </c>
      <c r="I25" s="9">
        <v>0.15</v>
      </c>
      <c r="J25" s="55">
        <f>+I25*J24</f>
        <v>72.075000000000003</v>
      </c>
      <c r="K25" s="9">
        <v>0.15</v>
      </c>
      <c r="L25" s="7">
        <f>+K25*L24</f>
        <v>225</v>
      </c>
    </row>
    <row r="26" spans="1:13" ht="13.5" thickBot="1" x14ac:dyDescent="0.25">
      <c r="B26" s="6" t="s">
        <v>15</v>
      </c>
      <c r="D26" s="1"/>
      <c r="F26" s="56">
        <f>F24+F25</f>
        <v>576.72500000000002</v>
      </c>
      <c r="G26" s="5"/>
      <c r="H26" s="5"/>
      <c r="I26" s="5"/>
      <c r="J26" s="56">
        <f>J24+J25</f>
        <v>552.57500000000005</v>
      </c>
      <c r="K26" s="5"/>
      <c r="L26" s="4">
        <f>L24+L25</f>
        <v>1725</v>
      </c>
    </row>
    <row r="27" spans="1:13" x14ac:dyDescent="0.2">
      <c r="B27" s="2" t="s">
        <v>17</v>
      </c>
      <c r="D27" s="1"/>
    </row>
    <row r="28" spans="1:13" ht="13.5" thickBot="1" x14ac:dyDescent="0.25">
      <c r="B28" s="51">
        <f>F26+J26+L26</f>
        <v>2854.3</v>
      </c>
      <c r="D28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2016-11-28T23:00:56Z</dcterms:modified>
</cp:coreProperties>
</file>