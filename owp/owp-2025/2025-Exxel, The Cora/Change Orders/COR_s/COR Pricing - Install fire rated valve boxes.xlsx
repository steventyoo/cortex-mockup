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F21" i="1" s="1"/>
  <c r="J23" i="1"/>
  <c r="F22" i="1"/>
  <c r="C22" i="1"/>
  <c r="F24" i="1"/>
  <c r="C24" i="1"/>
  <c r="J25" i="1"/>
  <c r="C20" i="1"/>
  <c r="F20" i="1" s="1"/>
  <c r="F19" i="1"/>
  <c r="F28" i="1" l="1"/>
  <c r="J18" i="1"/>
  <c r="J17" i="1"/>
  <c r="L28" i="1"/>
  <c r="J28" i="1" l="1"/>
  <c r="L29" i="1"/>
  <c r="L30" i="1" s="1"/>
  <c r="J29" i="1" l="1"/>
  <c r="J30" i="1" s="1"/>
  <c r="F29" i="1"/>
  <c r="F30" i="1" s="1"/>
  <c r="B32" i="1" l="1"/>
</calcChain>
</file>

<file path=xl/sharedStrings.xml><?xml version="1.0" encoding="utf-8"?>
<sst xmlns="http://schemas.openxmlformats.org/spreadsheetml/2006/main" count="42" uniqueCount="31">
  <si>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</si>
  <si>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</si>
  <si>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</si>
  <si>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</si>
  <si>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</si>
  <si>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</si>
  <si>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</si>
  <si>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</si>
  <si>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</si>
  <si>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</si>
  <si>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</si>
  <si>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</si>
  <si>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</si>
  <si>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</si>
  <si>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</si>
  <si>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</si>
  <si>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HRS</t>
  </si>
  <si>
    <t>Total this item</t>
  </si>
  <si>
    <t>Quan</t>
  </si>
  <si>
    <t>2025 CORA</t>
  </si>
  <si>
    <t>FRPS ENCLOSURES</t>
  </si>
  <si>
    <t>FREIGHT</t>
  </si>
  <si>
    <t>SUPERVISION, INSPECTION MANAGEMENT</t>
  </si>
  <si>
    <t>BOX PREFAB - INSTALL INTUMESCENT PADS AND VALVE - .5 HRS/BOX</t>
  </si>
  <si>
    <t>CONSUMABLES - WOOD, NAILS, SCREWS, ETC</t>
  </si>
  <si>
    <t>LOT</t>
  </si>
  <si>
    <t>QC - .25/BOX</t>
  </si>
  <si>
    <t>INSTALL FIRECAULKING - .5 HR/BOX</t>
  </si>
  <si>
    <t>FIRECAULKING MATERIAL</t>
  </si>
  <si>
    <t>TUBE</t>
  </si>
  <si>
    <t>BOX INSTALL - MODIFY FRAMING &amp; INSTALL BLOCKING FOR BOX, INSTALL BOX - 2 HR/BOX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</si>
</sst>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0" fontId="6" fillId="0" borderId="3" xfId="0" applyFont="1" applyBorder="1" applyAlignment="1">
      <alignment horizontal="left" vertical="top" indent="1"/>
    </xf>
    <xf numFmtId="6" fontId="4" fillId="0" borderId="0" xfId="1" applyNumberFormat="1" applyFont="1"/>
    <xf numFmtId="6" fontId="1" fillId="2" borderId="0" xfId="1" applyNumberFormat="1" applyFont="1" applyFill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 indent="1"/>
    </xf>
    <xf numFmtId="165" fontId="6" fillId="0" borderId="0" xfId="0" applyNumberFormat="1" applyFont="1" applyBorder="1" applyAlignment="1">
      <alignment vertical="top" wrapText="1"/>
    </xf>
    <xf numFmtId="0" fontId="6" fillId="0" borderId="0" xfId="0" applyFont="1" applyBorder="1" applyAlignment="1">
      <alignment horizontal="center" vertical="top" wrapText="1"/>
    </xf>
    <xf numFmtId="166" fontId="6" fillId="0" borderId="0" xfId="0" applyNumberFormat="1" applyFont="1" applyBorder="1" applyAlignment="1">
      <alignment vertical="top" wrapText="1"/>
    </xf>
    <xf numFmtId="164" fontId="6" fillId="0" borderId="0" xfId="0" applyNumberFormat="1" applyFont="1" applyBorder="1" applyAlignment="1">
      <alignment vertical="top" wrapText="1"/>
    </xf>
    <xf numFmtId="44" fontId="6" fillId="0" borderId="0" xfId="0" applyNumberFormat="1" applyFont="1" applyBorder="1" applyAlignment="1">
      <alignment vertical="top" wrapText="1"/>
    </xf>
    <xf numFmtId="168" fontId="6" fillId="0" borderId="3" xfId="0" applyNumberFormat="1" applyFont="1" applyBorder="1" applyAlignment="1">
      <alignment vertical="top" wrapText="1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INSTALL UL LISTED BOXES FOR SHOWER VALVES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zoomScale="130" zoomScaleNormal="130" workbookViewId="0">
      <selection activeCell="F23" sqref="F23"/>
    </sheetView>
  </sheetViews>
  <sheetFormatPr defaultRowHeight="12.75" x14ac:dyDescent="0.2"/>
  <cols>
    <col min="1" max="1" width="4.5703125" bestFit="1" customWidth="1"/>
    <col min="2" max="2" width="42.8554687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7" max="17" width="11" customWidth="1"/>
    <col min="18" max="18" width="16.28515625" customWidth="1"/>
    <col min="20" max="21" width="0" hidden="1" customWidth="1"/>
    <col min="23" max="23" width="0" hidden="1" customWidth="1"/>
    <col min="26" max="26" width="31" customWidth="1"/>
  </cols>
  <sheetData>
    <row r="1" spans="1:12" x14ac:dyDescent="0.2">
      <c r="D1" s="1"/>
      <c r="H1" s="49" t="s">
        <v>12</v>
      </c>
      <c r="I1" s="66" t="s">
        <v>19</v>
      </c>
      <c r="J1" s="66"/>
      <c r="K1" s="66"/>
      <c r="L1" s="66"/>
    </row>
    <row r="2" spans="1:12" x14ac:dyDescent="0.2">
      <c r="D2" s="1"/>
      <c r="G2" s="31"/>
      <c r="H2" s="48" t="s">
        <v>11</v>
      </c>
      <c r="I2" s="67">
        <v>42669</v>
      </c>
      <c r="J2" s="66"/>
      <c r="K2" s="66"/>
      <c r="L2" s="66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4.5" customHeight="1" x14ac:dyDescent="0.2">
      <c r="A5" s="69" t="s">
        <v>10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</row>
    <row r="6" spans="1:12" ht="12.75" customHeight="1" x14ac:dyDescent="0.2">
      <c r="A6" s="72"/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</row>
    <row r="7" spans="1:12" ht="4.5" customHeight="1" thickBot="1" x14ac:dyDescent="0.2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63" t="s">
        <v>9</v>
      </c>
      <c r="D15" s="64"/>
      <c r="E15" s="64"/>
      <c r="F15" s="65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18</v>
      </c>
      <c r="D16" s="17" t="s">
        <v>3</v>
      </c>
      <c r="E16" s="17" t="s">
        <v>4</v>
      </c>
      <c r="F16" s="18" t="s">
        <v>2</v>
      </c>
      <c r="G16" s="17" t="s">
        <v>18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78" t="s">
        <v>20</v>
      </c>
      <c r="C17" s="12"/>
      <c r="D17" s="15"/>
      <c r="E17" s="14"/>
      <c r="F17" s="13"/>
      <c r="G17" s="62">
        <v>20</v>
      </c>
      <c r="H17" s="15" t="s">
        <v>14</v>
      </c>
      <c r="I17" s="14">
        <v>73</v>
      </c>
      <c r="J17" s="13">
        <f>G17*I17</f>
        <v>1460</v>
      </c>
      <c r="K17" s="12"/>
      <c r="L17" s="11"/>
      <c r="M17" s="10"/>
    </row>
    <row r="18" spans="1:13" x14ac:dyDescent="0.2">
      <c r="A18" s="16"/>
      <c r="B18" s="78" t="s">
        <v>21</v>
      </c>
      <c r="C18" s="12"/>
      <c r="D18" s="15"/>
      <c r="E18" s="14"/>
      <c r="F18" s="13"/>
      <c r="G18" s="62">
        <v>1</v>
      </c>
      <c r="H18" s="15" t="s">
        <v>14</v>
      </c>
      <c r="I18" s="14">
        <v>125</v>
      </c>
      <c r="J18" s="13">
        <f t="shared" ref="J18" si="0">G18*I18</f>
        <v>125</v>
      </c>
      <c r="K18" s="12"/>
      <c r="L18" s="11"/>
      <c r="M18" s="10"/>
    </row>
    <row r="19" spans="1:13" x14ac:dyDescent="0.2">
      <c r="A19" s="16"/>
      <c r="B19" s="78" t="s">
        <v>22</v>
      </c>
      <c r="C19" s="12">
        <v>16</v>
      </c>
      <c r="D19" s="15" t="s">
        <v>16</v>
      </c>
      <c r="E19" s="14">
        <v>85</v>
      </c>
      <c r="F19" s="13">
        <f>C19*E19</f>
        <v>1360</v>
      </c>
      <c r="G19" s="62"/>
      <c r="H19" s="15"/>
      <c r="I19" s="14"/>
      <c r="J19" s="13"/>
      <c r="K19" s="12"/>
      <c r="L19" s="11"/>
      <c r="M19" s="10"/>
    </row>
    <row r="20" spans="1:13" ht="22.5" x14ac:dyDescent="0.2">
      <c r="A20" s="16"/>
      <c r="B20" s="78" t="s">
        <v>23</v>
      </c>
      <c r="C20" s="12">
        <f>20*0.55</f>
        <v>11</v>
      </c>
      <c r="D20" s="15" t="s">
        <v>16</v>
      </c>
      <c r="E20" s="14">
        <v>64</v>
      </c>
      <c r="F20" s="13">
        <f t="shared" ref="F20:F24" si="1">C20*E20</f>
        <v>704</v>
      </c>
      <c r="G20" s="12"/>
      <c r="H20" s="15"/>
      <c r="I20" s="14"/>
      <c r="J20" s="13"/>
      <c r="K20" s="12"/>
      <c r="L20" s="11"/>
      <c r="M20" s="10"/>
    </row>
    <row r="21" spans="1:13" ht="22.5" x14ac:dyDescent="0.2">
      <c r="A21" s="16"/>
      <c r="B21" s="78" t="s">
        <v>30</v>
      </c>
      <c r="C21" s="12">
        <f>20*2</f>
        <v>40</v>
      </c>
      <c r="D21" s="15" t="s">
        <v>16</v>
      </c>
      <c r="E21" s="14">
        <v>64</v>
      </c>
      <c r="F21" s="13">
        <f t="shared" si="1"/>
        <v>2560</v>
      </c>
      <c r="G21" s="12"/>
      <c r="H21" s="15"/>
      <c r="I21" s="14"/>
      <c r="J21" s="13"/>
      <c r="K21" s="12"/>
      <c r="L21" s="11"/>
      <c r="M21" s="10"/>
    </row>
    <row r="22" spans="1:13" x14ac:dyDescent="0.2">
      <c r="A22" s="16"/>
      <c r="B22" s="78" t="s">
        <v>27</v>
      </c>
      <c r="C22" s="12">
        <f>20*0.5</f>
        <v>10</v>
      </c>
      <c r="D22" s="15" t="s">
        <v>16</v>
      </c>
      <c r="E22" s="14">
        <v>64</v>
      </c>
      <c r="F22" s="13">
        <f t="shared" si="1"/>
        <v>640</v>
      </c>
      <c r="G22" s="12"/>
      <c r="H22" s="15"/>
      <c r="I22" s="14"/>
      <c r="J22" s="13"/>
      <c r="K22" s="12"/>
      <c r="L22" s="11"/>
      <c r="M22" s="10"/>
    </row>
    <row r="23" spans="1:13" x14ac:dyDescent="0.2">
      <c r="A23" s="16"/>
      <c r="B23" s="78" t="s">
        <v>28</v>
      </c>
      <c r="C23" s="12"/>
      <c r="D23" s="15"/>
      <c r="E23" s="14"/>
      <c r="F23" s="13"/>
      <c r="G23" s="12">
        <v>10</v>
      </c>
      <c r="H23" s="15" t="s">
        <v>29</v>
      </c>
      <c r="I23" s="14">
        <v>11.13</v>
      </c>
      <c r="J23" s="13">
        <f t="shared" ref="J23:J24" si="2">G23*I23</f>
        <v>111.30000000000001</v>
      </c>
      <c r="K23" s="12"/>
      <c r="L23" s="11"/>
      <c r="M23" s="10"/>
    </row>
    <row r="24" spans="1:13" x14ac:dyDescent="0.2">
      <c r="A24" s="16"/>
      <c r="B24" s="78" t="s">
        <v>26</v>
      </c>
      <c r="C24" s="12">
        <f>20*0.25</f>
        <v>5</v>
      </c>
      <c r="D24" s="15" t="s">
        <v>16</v>
      </c>
      <c r="E24" s="14">
        <v>64</v>
      </c>
      <c r="F24" s="13">
        <f t="shared" si="1"/>
        <v>320</v>
      </c>
      <c r="G24" s="12"/>
      <c r="H24" s="15"/>
      <c r="I24" s="14"/>
      <c r="J24" s="13"/>
      <c r="K24" s="12"/>
      <c r="L24" s="11"/>
      <c r="M24" s="10"/>
    </row>
    <row r="25" spans="1:13" x14ac:dyDescent="0.2">
      <c r="A25" s="16"/>
      <c r="B25" s="50" t="s">
        <v>24</v>
      </c>
      <c r="C25" s="12"/>
      <c r="D25" s="15"/>
      <c r="E25" s="14"/>
      <c r="F25" s="13"/>
      <c r="G25" s="12">
        <v>1</v>
      </c>
      <c r="H25" s="15" t="s">
        <v>25</v>
      </c>
      <c r="I25" s="14">
        <v>150</v>
      </c>
      <c r="J25" s="13">
        <f>G25*I25</f>
        <v>150</v>
      </c>
      <c r="K25" s="12"/>
      <c r="L25" s="11"/>
      <c r="M25" s="10"/>
    </row>
    <row r="26" spans="1:13" x14ac:dyDescent="0.2">
      <c r="A26" s="16"/>
      <c r="B26" s="52"/>
      <c r="C26" s="12"/>
      <c r="D26" s="15"/>
      <c r="E26" s="14"/>
      <c r="F26" s="13"/>
      <c r="G26" s="12"/>
      <c r="H26" s="15"/>
      <c r="I26" s="14"/>
      <c r="J26" s="13"/>
      <c r="K26" s="12"/>
      <c r="L26" s="11"/>
      <c r="M26" s="10"/>
    </row>
    <row r="27" spans="1:13" ht="0.75" customHeight="1" x14ac:dyDescent="0.2">
      <c r="A27" s="55"/>
      <c r="B27" s="56"/>
      <c r="C27" s="57"/>
      <c r="D27" s="58"/>
      <c r="E27" s="59"/>
      <c r="F27" s="60"/>
      <c r="G27" s="57"/>
      <c r="H27" s="58"/>
      <c r="I27" s="59"/>
      <c r="J27" s="60"/>
      <c r="K27" s="57"/>
      <c r="L27" s="61"/>
      <c r="M27" s="10"/>
    </row>
    <row r="28" spans="1:13" x14ac:dyDescent="0.2">
      <c r="B28" s="3" t="s">
        <v>1</v>
      </c>
      <c r="D28" s="1"/>
      <c r="F28" s="10">
        <f>SUM(F16:F27)</f>
        <v>5584</v>
      </c>
      <c r="G28" s="10"/>
      <c r="H28" s="10"/>
      <c r="I28" s="10"/>
      <c r="J28" s="10">
        <f>SUM(J16:J27)</f>
        <v>1846.3</v>
      </c>
      <c r="K28" s="10"/>
      <c r="L28" s="10">
        <f>SUM(L16:L27)</f>
        <v>0</v>
      </c>
    </row>
    <row r="29" spans="1:13" x14ac:dyDescent="0.2">
      <c r="B29" s="8" t="s">
        <v>0</v>
      </c>
      <c r="D29" s="1"/>
      <c r="E29" s="9">
        <v>0.15</v>
      </c>
      <c r="F29" s="53">
        <f>+E29*F28</f>
        <v>837.6</v>
      </c>
      <c r="I29" s="9">
        <v>0.15</v>
      </c>
      <c r="J29" s="53">
        <f>+I29*J28</f>
        <v>276.94499999999999</v>
      </c>
      <c r="K29" s="9">
        <v>0.15</v>
      </c>
      <c r="L29" s="7">
        <f>+K29*L28</f>
        <v>0</v>
      </c>
    </row>
    <row r="30" spans="1:13" ht="13.5" thickBot="1" x14ac:dyDescent="0.25">
      <c r="B30" s="6" t="s">
        <v>15</v>
      </c>
      <c r="D30" s="1"/>
      <c r="F30" s="54">
        <f>F28+F29</f>
        <v>6421.6</v>
      </c>
      <c r="G30" s="5"/>
      <c r="H30" s="5"/>
      <c r="I30" s="5"/>
      <c r="J30" s="54">
        <f>J28+J29</f>
        <v>2123.2449999999999</v>
      </c>
      <c r="K30" s="5"/>
      <c r="L30" s="4">
        <f>L28+L29</f>
        <v>0</v>
      </c>
    </row>
    <row r="31" spans="1:13" x14ac:dyDescent="0.2">
      <c r="B31" s="2" t="s">
        <v>17</v>
      </c>
      <c r="D31" s="1"/>
    </row>
    <row r="32" spans="1:13" ht="13.5" thickBot="1" x14ac:dyDescent="0.25">
      <c r="B32" s="51">
        <f>F30+J30+L30</f>
        <v>8544.8450000000012</v>
      </c>
      <c r="D32" s="1"/>
    </row>
  </sheetData>
  <mergeCells count="5">
    <mergeCell ref="C15:F15"/>
    <mergeCell ref="I1:L1"/>
    <mergeCell ref="I2:L2"/>
    <mergeCell ref="A4:L4"/>
    <mergeCell ref="A5:L7"/>
  </mergeCells>
  <pageMargins left="0.75" right="0.75" top="1" bottom="1" header="0.5" footer="0.5"/>
  <pageSetup scale="93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2016-10-06T20:20:32Z</cp:lastPrinted>
  <dcterms:created xsi:type="dcterms:W3CDTF">2014-07-14T23:11:07Z</dcterms:created>
  <dcterms:modified xsi:type="dcterms:W3CDTF">2016-10-26T17:59:21Z</dcterms:modified>
</cp:coreProperties>
</file>