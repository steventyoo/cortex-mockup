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1" l="1"/>
  <c r="J21" i="1"/>
  <c r="J20" i="1"/>
  <c r="F17" i="1" l="1"/>
  <c r="F31" i="1" l="1"/>
  <c r="F18" i="1"/>
  <c r="F30" i="1"/>
  <c r="F28" i="1" l="1"/>
  <c r="F29" i="1"/>
  <c r="J27" i="1"/>
  <c r="J23" i="1"/>
  <c r="J24" i="1"/>
  <c r="J25" i="1"/>
  <c r="J26" i="1"/>
  <c r="J22" i="1" l="1"/>
  <c r="J34" i="1" s="1"/>
  <c r="L34" i="1" l="1"/>
  <c r="F32" i="1" l="1"/>
  <c r="F33" i="1"/>
  <c r="K34" i="1"/>
  <c r="F19" i="1" l="1"/>
  <c r="F16" i="1" l="1"/>
  <c r="F34" i="1" s="1"/>
  <c r="L35" i="1" l="1"/>
  <c r="L36" i="1" l="1"/>
  <c r="F35" i="1" l="1"/>
  <c r="F36" i="1" s="1"/>
  <c r="J35" i="1" l="1"/>
  <c r="J36" i="1" l="1"/>
  <c r="B39" i="1" s="1"/>
</calcChain>
</file>

<file path=xl/sharedStrings.xml><?xml version="1.0" encoding="utf-8"?>
<sst xmlns="http://schemas.openxmlformats.org/spreadsheetml/2006/main" count="62" uniqueCount="42">
  <si>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</si>
  <si>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</si>
  <si>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</si>
  <si>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</si>
  <si>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</si>
  <si>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</si>
  <si>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</si>
  <si>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</si>
  <si>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</si>
  <si>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</si>
  <si>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</si>
  <si>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</si>
  <si>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</si>
  <si>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</si>
  <si>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</si>
  <si>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</si>
  <si>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</si>
  <si>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HRS</t>
  </si>
  <si>
    <t>Material</t>
  </si>
  <si>
    <t>LS</t>
  </si>
  <si>
    <t>AS-BUILTING</t>
  </si>
  <si>
    <t>SUPERVISION</t>
  </si>
  <si>
    <t>EA</t>
  </si>
  <si>
    <t>LAYOUT/COORDINATE WITH OTHER SUBS</t>
  </si>
  <si>
    <t>LF</t>
  </si>
  <si>
    <t>HARDWARE, MISCELLANEOUS</t>
  </si>
  <si>
    <t>POUR WATCH</t>
  </si>
  <si>
    <t>WRAP/PROTECT TRENCH DRAIN FOR POUR</t>
  </si>
  <si>
    <t>REMOVE PROTECTION, CLEAN CONCRETE</t>
  </si>
  <si>
    <t>TRENCH DRAINS</t>
  </si>
  <si>
    <t>PIPE/FITTINGS/COUPLINGS/GLUE/ETC</t>
  </si>
  <si>
    <t>SUBMITTALS/PRICING/ORDERING MATERIAL</t>
  </si>
  <si>
    <t>CORA</t>
  </si>
  <si>
    <t>CLIP EARS OFF SIDE OF TRENCH DRAIN</t>
  </si>
  <si>
    <t>INSTALL TRENCH DRAIN BODY (2 GUYS, 6 HRS)</t>
  </si>
  <si>
    <t>NDS DS-091N DURA SLOPE 4' SECTIONS</t>
  </si>
  <si>
    <t>NDS DS-1234 SCREW PACKS</t>
  </si>
  <si>
    <t>NDS DS-224 END CAPS</t>
  </si>
  <si>
    <t>NDS DS-2265 STAINLESS STEEL GRATE, 2' SECTIONS</t>
  </si>
  <si>
    <t>NDS DS-227 UNIVERSAL END OUTLET</t>
  </si>
  <si>
    <t>INSTALL TRENCH DRAIN COVERS</t>
  </si>
  <si>
    <t>3"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</si>
</sst>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 TO INSTALL TRENCH DRAINS AT WEST ENTRIES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tabSelected="1" zoomScale="130" zoomScaleNormal="130" workbookViewId="0">
      <selection activeCell="I32" sqref="I32"/>
    </sheetView>
  </sheetViews>
  <sheetFormatPr defaultRowHeight="12.75" x14ac:dyDescent="0.2"/>
  <cols>
    <col min="1" max="1" width="4.5703125" bestFit="1" customWidth="1"/>
    <col min="2" max="2" width="38.855468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0" t="s">
        <v>13</v>
      </c>
      <c r="I1" s="61" t="s">
        <v>32</v>
      </c>
      <c r="J1" s="61"/>
      <c r="K1" s="61"/>
      <c r="L1" s="61"/>
    </row>
    <row r="2" spans="1:15" x14ac:dyDescent="0.2">
      <c r="D2" s="1"/>
      <c r="G2" s="32"/>
      <c r="H2" s="49" t="s">
        <v>12</v>
      </c>
      <c r="I2" s="62">
        <v>42762</v>
      </c>
      <c r="J2" s="61"/>
      <c r="K2" s="61"/>
      <c r="L2" s="61"/>
    </row>
    <row r="3" spans="1:15" x14ac:dyDescent="0.2">
      <c r="D3" s="1"/>
      <c r="G3" s="32"/>
      <c r="H3" s="49" t="s">
        <v>14</v>
      </c>
      <c r="I3" s="48" t="s">
        <v>29</v>
      </c>
      <c r="J3" s="33"/>
      <c r="K3" s="33"/>
      <c r="L3" s="33"/>
    </row>
    <row r="4" spans="1:15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5" ht="4.5" customHeight="1" x14ac:dyDescent="0.2">
      <c r="A5" s="64" t="s">
        <v>11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5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5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5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5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5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5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5" ht="6" customHeight="1" x14ac:dyDescent="0.2">
      <c r="D12" s="1"/>
      <c r="G12" s="32"/>
      <c r="H12" s="31"/>
      <c r="I12" s="34"/>
      <c r="J12" s="33"/>
      <c r="K12" s="33"/>
      <c r="L12" s="33"/>
    </row>
    <row r="13" spans="1:15" ht="6" customHeight="1" x14ac:dyDescent="0.2">
      <c r="D13" s="1"/>
      <c r="E13" s="32"/>
      <c r="F13" s="31"/>
      <c r="G13" s="30"/>
      <c r="H13" s="30"/>
      <c r="I13" s="30"/>
      <c r="J13" s="29"/>
    </row>
    <row r="14" spans="1:15" x14ac:dyDescent="0.2">
      <c r="A14" s="28"/>
      <c r="B14" s="27"/>
      <c r="C14" s="60" t="s">
        <v>10</v>
      </c>
      <c r="D14" s="60"/>
      <c r="E14" s="60"/>
      <c r="F14" s="60"/>
      <c r="G14" s="26" t="s">
        <v>9</v>
      </c>
      <c r="H14" s="25"/>
      <c r="I14" s="25"/>
      <c r="J14" s="58" t="s">
        <v>18</v>
      </c>
      <c r="K14" s="24" t="s">
        <v>8</v>
      </c>
      <c r="L14" s="23"/>
    </row>
    <row r="15" spans="1:15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15" x14ac:dyDescent="0.2">
      <c r="A16" s="18"/>
      <c r="B16" s="52" t="s">
        <v>23</v>
      </c>
      <c r="C16" s="14">
        <v>4</v>
      </c>
      <c r="D16" s="17" t="s">
        <v>17</v>
      </c>
      <c r="E16" s="16">
        <v>80</v>
      </c>
      <c r="F16" s="15">
        <f t="shared" ref="F16:F33" si="0">C16*E16</f>
        <v>320</v>
      </c>
      <c r="G16" s="14"/>
      <c r="H16" s="17"/>
      <c r="I16" s="16"/>
      <c r="J16" s="15"/>
      <c r="K16" s="14"/>
      <c r="L16" s="13"/>
      <c r="M16" s="12"/>
      <c r="O16" s="51"/>
    </row>
    <row r="17" spans="1:15" x14ac:dyDescent="0.2">
      <c r="A17" s="18"/>
      <c r="B17" s="52" t="s">
        <v>31</v>
      </c>
      <c r="C17" s="14">
        <v>2</v>
      </c>
      <c r="D17" s="17" t="s">
        <v>17</v>
      </c>
      <c r="E17" s="16">
        <v>95</v>
      </c>
      <c r="F17" s="15">
        <f t="shared" si="0"/>
        <v>190</v>
      </c>
      <c r="G17" s="14"/>
      <c r="H17" s="17"/>
      <c r="I17" s="16"/>
      <c r="J17" s="15"/>
      <c r="K17" s="14"/>
      <c r="L17" s="13"/>
      <c r="M17" s="12"/>
      <c r="O17" s="51"/>
    </row>
    <row r="18" spans="1:15" x14ac:dyDescent="0.2">
      <c r="A18" s="18"/>
      <c r="B18" s="52" t="s">
        <v>33</v>
      </c>
      <c r="C18" s="14">
        <v>1</v>
      </c>
      <c r="D18" s="17" t="s">
        <v>17</v>
      </c>
      <c r="E18" s="16">
        <v>64</v>
      </c>
      <c r="F18" s="15">
        <f t="shared" si="0"/>
        <v>64</v>
      </c>
      <c r="G18" s="14"/>
      <c r="H18" s="17"/>
      <c r="I18" s="16"/>
      <c r="J18" s="15"/>
      <c r="K18" s="14"/>
      <c r="L18" s="13"/>
      <c r="M18" s="12"/>
      <c r="O18" s="51"/>
    </row>
    <row r="19" spans="1:15" x14ac:dyDescent="0.2">
      <c r="A19" s="18"/>
      <c r="B19" s="59" t="s">
        <v>34</v>
      </c>
      <c r="C19" s="14">
        <v>12</v>
      </c>
      <c r="D19" s="17" t="s">
        <v>17</v>
      </c>
      <c r="E19" s="16">
        <v>64</v>
      </c>
      <c r="F19" s="15">
        <f t="shared" si="0"/>
        <v>768</v>
      </c>
      <c r="G19" s="14"/>
      <c r="H19" s="17"/>
      <c r="I19" s="16"/>
      <c r="J19" s="15"/>
      <c r="K19" s="14"/>
      <c r="L19" s="13"/>
      <c r="M19" s="12"/>
      <c r="O19" s="51"/>
    </row>
    <row r="20" spans="1:15" x14ac:dyDescent="0.2">
      <c r="A20" s="18"/>
      <c r="B20" s="59" t="s">
        <v>41</v>
      </c>
      <c r="C20" s="14"/>
      <c r="D20" s="17"/>
      <c r="E20" s="16"/>
      <c r="F20" s="15"/>
      <c r="G20" s="14">
        <v>12</v>
      </c>
      <c r="H20" s="17" t="s">
        <v>24</v>
      </c>
      <c r="I20" s="16">
        <v>1.33</v>
      </c>
      <c r="J20" s="15">
        <f>G20*I20</f>
        <v>15.96</v>
      </c>
      <c r="K20" s="14"/>
      <c r="L20" s="13"/>
      <c r="M20" s="12"/>
      <c r="O20" s="51"/>
    </row>
    <row r="21" spans="1:15" x14ac:dyDescent="0.2">
      <c r="A21" s="18"/>
      <c r="B21" s="59" t="s">
        <v>30</v>
      </c>
      <c r="C21" s="14"/>
      <c r="D21" s="17"/>
      <c r="E21" s="16"/>
      <c r="F21" s="15"/>
      <c r="G21" s="14">
        <v>1</v>
      </c>
      <c r="H21" s="17" t="s">
        <v>19</v>
      </c>
      <c r="I21" s="16">
        <v>100</v>
      </c>
      <c r="J21" s="15">
        <f>G21*I21</f>
        <v>100</v>
      </c>
      <c r="K21" s="14"/>
      <c r="L21" s="13"/>
      <c r="M21" s="12"/>
      <c r="O21" s="51"/>
    </row>
    <row r="22" spans="1:15" x14ac:dyDescent="0.2">
      <c r="A22" s="18"/>
      <c r="B22" s="59" t="s">
        <v>35</v>
      </c>
      <c r="C22" s="14"/>
      <c r="D22" s="17"/>
      <c r="E22" s="16"/>
      <c r="F22" s="15"/>
      <c r="G22" s="14">
        <v>16</v>
      </c>
      <c r="H22" s="17" t="s">
        <v>22</v>
      </c>
      <c r="I22" s="16">
        <v>75</v>
      </c>
      <c r="J22" s="15">
        <f>G22*I22</f>
        <v>1200</v>
      </c>
      <c r="K22" s="14"/>
      <c r="L22" s="13"/>
      <c r="M22" s="12"/>
      <c r="O22" s="51"/>
    </row>
    <row r="23" spans="1:15" x14ac:dyDescent="0.2">
      <c r="A23" s="18"/>
      <c r="B23" s="59" t="s">
        <v>36</v>
      </c>
      <c r="C23" s="14"/>
      <c r="D23" s="17"/>
      <c r="E23" s="16"/>
      <c r="F23" s="15"/>
      <c r="G23" s="14">
        <v>16</v>
      </c>
      <c r="H23" s="17" t="s">
        <v>22</v>
      </c>
      <c r="I23" s="16">
        <v>4.9400000000000004</v>
      </c>
      <c r="J23" s="15">
        <f t="shared" ref="J23:J26" si="1">G23*I23</f>
        <v>79.040000000000006</v>
      </c>
      <c r="K23" s="14"/>
      <c r="L23" s="13"/>
      <c r="M23" s="12"/>
      <c r="O23" s="51"/>
    </row>
    <row r="24" spans="1:15" x14ac:dyDescent="0.2">
      <c r="A24" s="18"/>
      <c r="B24" s="59" t="s">
        <v>37</v>
      </c>
      <c r="C24" s="14"/>
      <c r="D24" s="17"/>
      <c r="E24" s="16"/>
      <c r="F24" s="15"/>
      <c r="G24" s="14">
        <v>16</v>
      </c>
      <c r="H24" s="17" t="s">
        <v>22</v>
      </c>
      <c r="I24" s="16">
        <v>12.38</v>
      </c>
      <c r="J24" s="15">
        <f t="shared" si="1"/>
        <v>198.08</v>
      </c>
      <c r="K24" s="14"/>
      <c r="L24" s="13"/>
      <c r="M24" s="12"/>
      <c r="O24" s="51"/>
    </row>
    <row r="25" spans="1:15" ht="22.5" x14ac:dyDescent="0.2">
      <c r="A25" s="18"/>
      <c r="B25" s="59" t="s">
        <v>38</v>
      </c>
      <c r="C25" s="14"/>
      <c r="D25" s="17"/>
      <c r="E25" s="16"/>
      <c r="F25" s="15"/>
      <c r="G25" s="14">
        <v>32</v>
      </c>
      <c r="H25" s="17" t="s">
        <v>22</v>
      </c>
      <c r="I25" s="16">
        <v>73.66</v>
      </c>
      <c r="J25" s="15">
        <f t="shared" si="1"/>
        <v>2357.12</v>
      </c>
      <c r="K25" s="14"/>
      <c r="L25" s="13"/>
      <c r="M25" s="12"/>
      <c r="O25" s="51"/>
    </row>
    <row r="26" spans="1:15" x14ac:dyDescent="0.2">
      <c r="A26" s="18"/>
      <c r="B26" s="59" t="s">
        <v>39</v>
      </c>
      <c r="C26" s="14"/>
      <c r="D26" s="17"/>
      <c r="E26" s="16"/>
      <c r="F26" s="15"/>
      <c r="G26" s="14">
        <v>4</v>
      </c>
      <c r="H26" s="17" t="s">
        <v>22</v>
      </c>
      <c r="I26" s="16">
        <v>12.15</v>
      </c>
      <c r="J26" s="15">
        <f t="shared" si="1"/>
        <v>48.6</v>
      </c>
      <c r="K26" s="14"/>
      <c r="L26" s="13"/>
      <c r="M26" s="12"/>
      <c r="O26" s="51"/>
    </row>
    <row r="27" spans="1:15" x14ac:dyDescent="0.2">
      <c r="A27" s="18"/>
      <c r="B27" s="59" t="s">
        <v>25</v>
      </c>
      <c r="C27" s="14"/>
      <c r="D27" s="17"/>
      <c r="E27" s="16"/>
      <c r="F27" s="15"/>
      <c r="G27" s="14">
        <v>1</v>
      </c>
      <c r="H27" s="17" t="s">
        <v>19</v>
      </c>
      <c r="I27" s="16">
        <v>200</v>
      </c>
      <c r="J27" s="15">
        <f>G27*I27</f>
        <v>200</v>
      </c>
      <c r="K27" s="14"/>
      <c r="L27" s="13"/>
      <c r="M27" s="12"/>
      <c r="O27" s="51"/>
    </row>
    <row r="28" spans="1:15" x14ac:dyDescent="0.2">
      <c r="A28" s="18"/>
      <c r="B28" s="59" t="s">
        <v>27</v>
      </c>
      <c r="C28" s="14">
        <v>2</v>
      </c>
      <c r="D28" s="17" t="s">
        <v>17</v>
      </c>
      <c r="E28" s="16">
        <v>64</v>
      </c>
      <c r="F28" s="15">
        <f>C28*E28</f>
        <v>128</v>
      </c>
      <c r="G28" s="14"/>
      <c r="H28" s="17"/>
      <c r="I28" s="16"/>
      <c r="J28" s="15"/>
      <c r="K28" s="14"/>
      <c r="L28" s="13"/>
      <c r="M28" s="12"/>
      <c r="O28" s="51"/>
    </row>
    <row r="29" spans="1:15" x14ac:dyDescent="0.2">
      <c r="A29" s="18"/>
      <c r="B29" s="59" t="s">
        <v>26</v>
      </c>
      <c r="C29" s="14">
        <v>3</v>
      </c>
      <c r="D29" s="17" t="s">
        <v>17</v>
      </c>
      <c r="E29" s="16">
        <v>64</v>
      </c>
      <c r="F29" s="15">
        <f>C29*E29</f>
        <v>192</v>
      </c>
      <c r="G29" s="14"/>
      <c r="H29" s="17"/>
      <c r="I29" s="16"/>
      <c r="J29" s="15"/>
      <c r="K29" s="14"/>
      <c r="L29" s="13"/>
      <c r="M29" s="12"/>
      <c r="O29" s="51"/>
    </row>
    <row r="30" spans="1:15" x14ac:dyDescent="0.2">
      <c r="A30" s="18"/>
      <c r="B30" s="59" t="s">
        <v>28</v>
      </c>
      <c r="C30" s="14">
        <v>4</v>
      </c>
      <c r="D30" s="17" t="s">
        <v>17</v>
      </c>
      <c r="E30" s="16">
        <v>64</v>
      </c>
      <c r="F30" s="15">
        <f>C30*E30</f>
        <v>256</v>
      </c>
      <c r="G30" s="14"/>
      <c r="H30" s="17"/>
      <c r="I30" s="16"/>
      <c r="J30" s="15"/>
      <c r="K30" s="14"/>
      <c r="L30" s="13"/>
      <c r="M30" s="12"/>
      <c r="O30" s="51"/>
    </row>
    <row r="31" spans="1:15" x14ac:dyDescent="0.2">
      <c r="A31" s="18"/>
      <c r="B31" s="59" t="s">
        <v>40</v>
      </c>
      <c r="C31" s="14">
        <v>4</v>
      </c>
      <c r="D31" s="17" t="s">
        <v>17</v>
      </c>
      <c r="E31" s="16">
        <v>64</v>
      </c>
      <c r="F31" s="15">
        <f t="shared" si="0"/>
        <v>256</v>
      </c>
      <c r="G31" s="14"/>
      <c r="H31" s="17"/>
      <c r="I31" s="16"/>
      <c r="J31" s="15"/>
      <c r="K31" s="14"/>
      <c r="L31" s="13"/>
      <c r="M31" s="12"/>
      <c r="O31" s="51"/>
    </row>
    <row r="32" spans="1:15" x14ac:dyDescent="0.2">
      <c r="A32" s="18"/>
      <c r="B32" s="52" t="s">
        <v>21</v>
      </c>
      <c r="C32" s="14">
        <v>4</v>
      </c>
      <c r="D32" s="17" t="s">
        <v>17</v>
      </c>
      <c r="E32" s="16">
        <v>80</v>
      </c>
      <c r="F32" s="15">
        <f t="shared" si="0"/>
        <v>320</v>
      </c>
      <c r="G32" s="14"/>
      <c r="H32" s="17"/>
      <c r="I32" s="16"/>
      <c r="J32" s="15"/>
      <c r="K32" s="14"/>
      <c r="L32" s="13"/>
      <c r="M32" s="12"/>
      <c r="O32" s="51"/>
    </row>
    <row r="33" spans="1:15" x14ac:dyDescent="0.2">
      <c r="A33" s="18"/>
      <c r="B33" s="52" t="s">
        <v>20</v>
      </c>
      <c r="C33" s="14">
        <v>2</v>
      </c>
      <c r="D33" s="17" t="s">
        <v>17</v>
      </c>
      <c r="E33" s="16">
        <v>80</v>
      </c>
      <c r="F33" s="15">
        <f t="shared" si="0"/>
        <v>160</v>
      </c>
      <c r="G33" s="14"/>
      <c r="H33" s="17"/>
      <c r="I33" s="16"/>
      <c r="J33" s="15"/>
      <c r="K33" s="14"/>
      <c r="L33" s="13"/>
      <c r="M33" s="12"/>
      <c r="O33" s="51"/>
    </row>
    <row r="34" spans="1:15" x14ac:dyDescent="0.2">
      <c r="B34" s="5" t="s">
        <v>2</v>
      </c>
      <c r="D34" s="1"/>
      <c r="F34" s="12">
        <f>SUM(F16:F33)</f>
        <v>2654</v>
      </c>
      <c r="G34" s="12"/>
      <c r="H34" s="12"/>
      <c r="I34" s="12"/>
      <c r="J34" s="12">
        <f>SUM(J16:J33)</f>
        <v>4198.7999999999993</v>
      </c>
      <c r="K34" s="12">
        <f>SUM(K16:K33)</f>
        <v>0</v>
      </c>
      <c r="L34" s="12">
        <f>SUM(L16:L33)</f>
        <v>0</v>
      </c>
      <c r="M34">
        <f>SUM(E34:L34)</f>
        <v>6852.7999999999993</v>
      </c>
    </row>
    <row r="35" spans="1:15" x14ac:dyDescent="0.2">
      <c r="B35" s="10" t="s">
        <v>1</v>
      </c>
      <c r="D35" s="1"/>
      <c r="E35" s="11">
        <v>0.15</v>
      </c>
      <c r="F35" s="53">
        <f>+E35*F34</f>
        <v>398.09999999999997</v>
      </c>
      <c r="I35" s="11">
        <v>0.15</v>
      </c>
      <c r="J35" s="55">
        <f>+I35*J34</f>
        <v>629.81999999999982</v>
      </c>
      <c r="K35" s="11">
        <v>0.15</v>
      </c>
      <c r="L35" s="53">
        <f>+K35*L34</f>
        <v>0</v>
      </c>
    </row>
    <row r="36" spans="1:15" x14ac:dyDescent="0.2">
      <c r="B36" s="9" t="s">
        <v>15</v>
      </c>
      <c r="D36" s="1"/>
      <c r="F36" s="54">
        <f>F34+F35</f>
        <v>3052.1</v>
      </c>
      <c r="G36" s="8"/>
      <c r="H36" s="8"/>
      <c r="I36" s="8"/>
      <c r="J36" s="56">
        <f>J34+J35</f>
        <v>4828.619999999999</v>
      </c>
      <c r="K36" s="8"/>
      <c r="L36" s="54">
        <f>L34+L35</f>
        <v>0</v>
      </c>
    </row>
    <row r="37" spans="1:15" ht="13.5" thickBot="1" x14ac:dyDescent="0.25">
      <c r="B37" s="5"/>
      <c r="D37" s="1"/>
      <c r="F37" s="3"/>
      <c r="G37" s="4"/>
      <c r="H37" s="4"/>
      <c r="I37" s="7"/>
      <c r="J37" s="3"/>
      <c r="K37" s="6"/>
      <c r="L37" s="3"/>
    </row>
    <row r="38" spans="1:15" x14ac:dyDescent="0.2">
      <c r="B38" s="2" t="s">
        <v>0</v>
      </c>
      <c r="D38" s="1"/>
    </row>
    <row r="39" spans="1:15" ht="13.5" thickBot="1" x14ac:dyDescent="0.25">
      <c r="B39" s="57">
        <f>F36+J36+L36</f>
        <v>7880.7199999999993</v>
      </c>
      <c r="D39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73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2016-05-20T15:40:33Z</cp:lastPrinted>
  <dcterms:created xsi:type="dcterms:W3CDTF">2014-07-14T23:11:07Z</dcterms:created>
  <dcterms:modified xsi:type="dcterms:W3CDTF">2017-01-27T17:40:58Z</dcterms:modified>
</cp:coreProperties>
</file>