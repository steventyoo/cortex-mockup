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5-Exxel, The Cora\Change Orders\COR's\"/>
    </mc:Choice>
  </mc:AlternateContent>
  <bookViews>
    <workbookView xWindow="0" yWindow="0" windowWidth="28800" windowHeight="12435"/>
  </bookViews>
  <sheets>
    <sheet name="CGC BP " sheetId="1" r:id="rId1"/>
  </sheets>
  <definedNames>
    <definedName name="_xlnm.Print_Area" localSheetId="0">'CGC BP '!$A$1:$L$24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1" l="1"/>
  <c r="F44" i="1" l="1"/>
  <c r="F45" i="1" s="1"/>
  <c r="L43" i="1"/>
  <c r="L44" i="1" s="1"/>
  <c r="F43" i="1"/>
  <c r="J41" i="1"/>
  <c r="J43" i="1" s="1"/>
  <c r="L31" i="1"/>
  <c r="F31" i="1"/>
  <c r="J29" i="1"/>
  <c r="J17" i="1"/>
  <c r="J44" i="1" l="1"/>
  <c r="J45" i="1" s="1"/>
  <c r="B48" i="1" s="1"/>
  <c r="L45" i="1"/>
  <c r="J31" i="1"/>
  <c r="J32" i="1" s="1"/>
  <c r="J33" i="1" s="1"/>
  <c r="F32" i="1"/>
  <c r="F33" i="1" s="1"/>
  <c r="L32" i="1"/>
  <c r="L33" i="1" s="1"/>
  <c r="B36" i="1" l="1"/>
  <c r="J16" i="1"/>
  <c r="J18" i="1" s="1"/>
  <c r="F18" i="1" l="1"/>
  <c r="L18" i="1"/>
  <c r="J19" i="1" l="1"/>
  <c r="J20" i="1" s="1"/>
  <c r="F19" i="1"/>
  <c r="F20" i="1" s="1"/>
  <c r="L19" i="1"/>
  <c r="L20" i="1" s="1"/>
  <c r="B23" i="1" l="1"/>
</calcChain>
</file>

<file path=xl/sharedStrings.xml><?xml version="1.0" encoding="utf-8"?>
<sst xmlns="http://schemas.openxmlformats.org/spreadsheetml/2006/main" count="74" uniqueCount="25">
  <si>
    <t>Subtotal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</si>
  <si>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</si>
  <si>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</si>
  <si>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</si>
  <si>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</si>
  <si>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</si>
  <si>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</si>
  <si>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</si>
  <si>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</si>
  <si>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</si>
  <si>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</si>
  <si>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</si>
  <si>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</si>
  <si>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</si>
  <si>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</si>
  <si>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Quan</t>
  </si>
  <si>
    <t>TOTAL</t>
  </si>
  <si>
    <t>EA</t>
  </si>
  <si>
    <t>CORA</t>
  </si>
  <si>
    <t>KOHLER K-3894-4-NA</t>
  </si>
  <si>
    <t>LENOVA PC-SS-ORI-S15 (LOBBY L1)</t>
  </si>
  <si>
    <t>ELKAY ELUHAD211550 (AMENITY L2)</t>
  </si>
  <si>
    <t>ACTIVITY ROOM</t>
  </si>
  <si>
    <t>LOBBY KITCHENETTE</t>
  </si>
  <si>
    <t>LABOR TO INSTALL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</si>
</sst>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7" x14ac:knownFonts="1">
    <font>
      <sz val="10"/>
      <name val="MS Sans Serif"/>
    </font>
    <font>
      <b/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2" fillId="0" borderId="0" applyFont="0" applyFill="0" applyBorder="0" applyAlignment="0" applyProtection="0"/>
    <xf numFmtId="0" fontId="3" fillId="0" borderId="0"/>
  </cellStyleXfs>
  <cellXfs count="75">
    <xf numFmtId="0" fontId="0" fillId="0" borderId="0" xfId="0"/>
    <xf numFmtId="0" fontId="1" fillId="2" borderId="2" xfId="0" applyFont="1" applyFill="1" applyBorder="1"/>
    <xf numFmtId="0" fontId="1" fillId="0" borderId="0" xfId="0" applyFont="1" applyAlignment="1">
      <alignment horizontal="right"/>
    </xf>
    <xf numFmtId="8" fontId="1" fillId="2" borderId="0" xfId="1" applyFont="1" applyFill="1"/>
    <xf numFmtId="8" fontId="3" fillId="0" borderId="0" xfId="1" applyFont="1"/>
    <xf numFmtId="8" fontId="3" fillId="0" borderId="0" xfId="1" applyFont="1" applyAlignment="1">
      <alignment horizontal="right"/>
    </xf>
    <xf numFmtId="164" fontId="0" fillId="0" borderId="0" xfId="0" applyNumberFormat="1"/>
    <xf numFmtId="44" fontId="4" fillId="0" borderId="3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6" fontId="4" fillId="0" borderId="3" xfId="0" applyNumberFormat="1" applyFont="1" applyBorder="1" applyAlignment="1">
      <alignment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vertical="top" wrapText="1"/>
    </xf>
    <xf numFmtId="0" fontId="1" fillId="3" borderId="7" xfId="0" applyFont="1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3" fillId="0" borderId="0" xfId="2" applyFont="1" applyAlignment="1">
      <alignment vertical="center"/>
    </xf>
    <xf numFmtId="14" fontId="1" fillId="0" borderId="11" xfId="2" applyNumberFormat="1" applyFont="1" applyFill="1" applyBorder="1" applyAlignment="1" applyProtection="1">
      <alignment horizontal="center" vertical="center"/>
    </xf>
    <xf numFmtId="0" fontId="3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12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14" fontId="1" fillId="0" borderId="13" xfId="2" applyNumberFormat="1" applyFont="1" applyBorder="1" applyAlignment="1">
      <alignment horizontal="left"/>
    </xf>
    <xf numFmtId="0" fontId="3" fillId="0" borderId="13" xfId="2" applyFont="1" applyBorder="1" applyAlignment="1">
      <alignment horizontal="center"/>
    </xf>
    <xf numFmtId="0" fontId="1" fillId="0" borderId="13" xfId="2" applyFont="1" applyBorder="1" applyAlignment="1">
      <alignment horizontal="left" vertical="center"/>
    </xf>
    <xf numFmtId="0" fontId="1" fillId="0" borderId="15" xfId="2" applyFont="1" applyBorder="1" applyAlignment="1">
      <alignment horizontal="left"/>
    </xf>
    <xf numFmtId="0" fontId="3" fillId="0" borderId="0" xfId="2" applyFont="1" applyBorder="1" applyAlignment="1">
      <alignment horizontal="center"/>
    </xf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0" fillId="0" borderId="0" xfId="0" applyNumberFormat="1"/>
    <xf numFmtId="8" fontId="0" fillId="0" borderId="0" xfId="0" applyNumberFormat="1" applyFont="1"/>
    <xf numFmtId="0" fontId="4" fillId="0" borderId="3" xfId="0" applyFont="1" applyBorder="1" applyAlignment="1">
      <alignment horizontal="left" vertical="top"/>
    </xf>
    <xf numFmtId="38" fontId="1" fillId="2" borderId="1" xfId="0" applyNumberFormat="1" applyFont="1" applyFill="1" applyBorder="1"/>
    <xf numFmtId="6" fontId="3" fillId="0" borderId="0" xfId="1" applyNumberFormat="1" applyFont="1"/>
    <xf numFmtId="6" fontId="1" fillId="2" borderId="0" xfId="1" applyNumberFormat="1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6" xfId="0" applyFont="1" applyBorder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14" xfId="0" applyFont="1" applyBorder="1"/>
    <xf numFmtId="0" fontId="3" fillId="0" borderId="13" xfId="0" applyFont="1" applyBorder="1"/>
    <xf numFmtId="0" fontId="3" fillId="0" borderId="13" xfId="0" applyFont="1" applyBorder="1" applyAlignment="1">
      <alignment horizontal="center"/>
    </xf>
    <xf numFmtId="0" fontId="3" fillId="0" borderId="10" xfId="0" applyFont="1" applyBorder="1"/>
    <xf numFmtId="0" fontId="3" fillId="0" borderId="9" xfId="0" applyFont="1" applyBorder="1"/>
    <xf numFmtId="0" fontId="3" fillId="4" borderId="7" xfId="0" applyFont="1" applyFill="1" applyBorder="1" applyAlignment="1">
      <alignment horizontal="centerContinuous"/>
    </xf>
    <xf numFmtId="168" fontId="3" fillId="4" borderId="7" xfId="0" applyNumberFormat="1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Continuous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8" fontId="3" fillId="0" borderId="4" xfId="0" applyNumberFormat="1" applyFont="1" applyBorder="1" applyAlignment="1">
      <alignment horizontal="center"/>
    </xf>
    <xf numFmtId="164" fontId="3" fillId="0" borderId="0" xfId="0" applyNumberFormat="1" applyFont="1"/>
    <xf numFmtId="9" fontId="5" fillId="0" borderId="0" xfId="0" applyNumberFormat="1" applyFont="1"/>
    <xf numFmtId="0" fontId="1" fillId="0" borderId="0" xfId="0" applyFont="1"/>
    <xf numFmtId="164" fontId="3" fillId="0" borderId="0" xfId="0" applyNumberFormat="1" applyFont="1" applyFill="1"/>
    <xf numFmtId="0" fontId="3" fillId="0" borderId="0" xfId="0" applyFont="1" applyFill="1"/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167" fontId="4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left" vertical="top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6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11</xdr:col>
      <xdr:colOff>904875</xdr:colOff>
      <xdr:row>9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en-US" sz="1100" b="0" i="0" baseline="0">
              <a:effectLst/>
              <a:latin typeface="+mn-lt"/>
              <a:ea typeface="+mn-ea"/>
              <a:cs typeface="+mn-cs"/>
            </a:rPr>
            <a:t>ALTERNATE SINK IN LOBBY KITCHENETTE AND L2 AMENITY SPACE</a:t>
          </a:r>
        </a:p>
        <a:p>
          <a:pPr rtl="0"/>
          <a:endParaRPr lang="en-US">
            <a:effectLst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8"/>
  <sheetViews>
    <sheetView tabSelected="1" zoomScale="110" zoomScaleNormal="110" workbookViewId="0">
      <selection activeCell="G38" sqref="G38"/>
    </sheetView>
  </sheetViews>
  <sheetFormatPr defaultRowHeight="12.75" x14ac:dyDescent="0.2"/>
  <cols>
    <col min="1" max="1" width="4.5703125" style="35" bestFit="1" customWidth="1"/>
    <col min="2" max="2" width="33.5703125" style="35" customWidth="1"/>
    <col min="3" max="3" width="5.85546875" style="35" hidden="1" customWidth="1"/>
    <col min="4" max="4" width="5.140625" style="35" hidden="1" customWidth="1"/>
    <col min="5" max="5" width="8.28515625" style="35" hidden="1" customWidth="1"/>
    <col min="6" max="6" width="8.5703125" style="35" hidden="1" customWidth="1"/>
    <col min="7" max="7" width="5.7109375" style="35" customWidth="1"/>
    <col min="8" max="8" width="5.140625" style="35" bestFit="1" customWidth="1"/>
    <col min="9" max="9" width="8.5703125" style="35" customWidth="1"/>
    <col min="10" max="10" width="7.85546875" style="35" customWidth="1"/>
    <col min="11" max="11" width="8" style="35" bestFit="1" customWidth="1"/>
    <col min="12" max="12" width="10.85546875" style="35" customWidth="1"/>
    <col min="13" max="13" width="11" customWidth="1"/>
    <col min="15" max="15" width="13" customWidth="1"/>
  </cols>
  <sheetData>
    <row r="1" spans="1:15" x14ac:dyDescent="0.2">
      <c r="D1" s="36"/>
      <c r="H1" s="28" t="s">
        <v>13</v>
      </c>
      <c r="I1" s="64" t="s">
        <v>18</v>
      </c>
      <c r="J1" s="64"/>
      <c r="K1" s="64"/>
      <c r="L1" s="64"/>
    </row>
    <row r="2" spans="1:15" x14ac:dyDescent="0.2">
      <c r="D2" s="36"/>
      <c r="G2" s="18"/>
      <c r="H2" s="27" t="s">
        <v>12</v>
      </c>
      <c r="I2" s="65">
        <v>42838</v>
      </c>
      <c r="J2" s="64"/>
      <c r="K2" s="64"/>
      <c r="L2" s="64"/>
    </row>
    <row r="3" spans="1:15" ht="13.5" thickBot="1" x14ac:dyDescent="0.25">
      <c r="D3" s="36"/>
      <c r="G3" s="18"/>
      <c r="H3" s="27" t="s">
        <v>14</v>
      </c>
      <c r="I3" s="26"/>
      <c r="J3" s="57"/>
      <c r="K3" s="57"/>
      <c r="L3" s="57"/>
    </row>
    <row r="4" spans="1:15" ht="4.5" customHeight="1" x14ac:dyDescent="0.2">
      <c r="A4" s="66" t="s">
        <v>11</v>
      </c>
      <c r="B4" s="67"/>
      <c r="C4" s="67"/>
      <c r="D4" s="67"/>
      <c r="E4" s="67"/>
      <c r="F4" s="67"/>
      <c r="G4" s="67"/>
      <c r="H4" s="67"/>
      <c r="I4" s="67"/>
      <c r="J4" s="67"/>
      <c r="K4" s="67"/>
      <c r="L4" s="68"/>
    </row>
    <row r="5" spans="1:15" ht="12.75" customHeight="1" x14ac:dyDescent="0.2">
      <c r="A5" s="69"/>
      <c r="B5" s="70"/>
      <c r="C5" s="70"/>
      <c r="D5" s="70"/>
      <c r="E5" s="70"/>
      <c r="F5" s="70"/>
      <c r="G5" s="70"/>
      <c r="H5" s="70"/>
      <c r="I5" s="70"/>
      <c r="J5" s="70"/>
      <c r="K5" s="70"/>
      <c r="L5" s="71"/>
    </row>
    <row r="6" spans="1:15" ht="4.5" customHeight="1" thickBot="1" x14ac:dyDescent="0.25">
      <c r="A6" s="72"/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</row>
    <row r="7" spans="1:15" x14ac:dyDescent="0.2">
      <c r="A7" s="37"/>
      <c r="B7" s="38"/>
      <c r="C7" s="38"/>
      <c r="D7" s="39"/>
      <c r="E7" s="38"/>
      <c r="F7" s="38"/>
      <c r="G7" s="18"/>
      <c r="H7" s="25"/>
      <c r="I7" s="58"/>
      <c r="J7" s="57"/>
      <c r="K7" s="57"/>
      <c r="L7" s="24"/>
    </row>
    <row r="8" spans="1:15" x14ac:dyDescent="0.2">
      <c r="A8" s="37"/>
      <c r="B8" s="38"/>
      <c r="C8" s="38"/>
      <c r="D8" s="39"/>
      <c r="E8" s="38"/>
      <c r="F8" s="38"/>
      <c r="G8" s="18"/>
      <c r="H8" s="25"/>
      <c r="I8" s="58"/>
      <c r="J8" s="57"/>
      <c r="K8" s="57"/>
      <c r="L8" s="24"/>
    </row>
    <row r="9" spans="1:15" x14ac:dyDescent="0.2">
      <c r="A9" s="37"/>
      <c r="B9" s="38"/>
      <c r="C9" s="38"/>
      <c r="D9" s="39"/>
      <c r="E9" s="38"/>
      <c r="F9" s="38"/>
      <c r="G9" s="18"/>
      <c r="H9" s="25"/>
      <c r="I9" s="58"/>
      <c r="J9" s="57"/>
      <c r="K9" s="57"/>
      <c r="L9" s="24"/>
    </row>
    <row r="10" spans="1:15" ht="13.5" thickBot="1" x14ac:dyDescent="0.25">
      <c r="A10" s="40"/>
      <c r="B10" s="41"/>
      <c r="C10" s="41"/>
      <c r="D10" s="42"/>
      <c r="E10" s="41"/>
      <c r="F10" s="41"/>
      <c r="G10" s="23"/>
      <c r="H10" s="22"/>
      <c r="I10" s="21"/>
      <c r="J10" s="20"/>
      <c r="K10" s="20"/>
      <c r="L10" s="19"/>
    </row>
    <row r="11" spans="1:15" ht="6" customHeight="1" x14ac:dyDescent="0.2">
      <c r="D11" s="36"/>
      <c r="E11" s="18"/>
      <c r="F11" s="17"/>
      <c r="G11" s="16"/>
      <c r="H11" s="16"/>
      <c r="I11" s="16"/>
      <c r="J11" s="15"/>
    </row>
    <row r="13" spans="1:15" x14ac:dyDescent="0.2">
      <c r="A13" s="43"/>
      <c r="B13" s="44"/>
      <c r="C13" s="61" t="s">
        <v>10</v>
      </c>
      <c r="D13" s="62"/>
      <c r="E13" s="62"/>
      <c r="F13" s="63"/>
      <c r="G13" s="14" t="s">
        <v>9</v>
      </c>
      <c r="H13" s="45"/>
      <c r="I13" s="45"/>
      <c r="J13" s="46"/>
      <c r="K13" s="13" t="s">
        <v>8</v>
      </c>
      <c r="L13" s="47"/>
    </row>
    <row r="14" spans="1:15" x14ac:dyDescent="0.2">
      <c r="A14" s="48" t="s">
        <v>7</v>
      </c>
      <c r="B14" s="49" t="s">
        <v>6</v>
      </c>
      <c r="C14" s="50" t="s">
        <v>15</v>
      </c>
      <c r="D14" s="50" t="s">
        <v>4</v>
      </c>
      <c r="E14" s="50" t="s">
        <v>5</v>
      </c>
      <c r="F14" s="51" t="s">
        <v>3</v>
      </c>
      <c r="G14" s="50" t="s">
        <v>15</v>
      </c>
      <c r="H14" s="50" t="s">
        <v>4</v>
      </c>
      <c r="I14" s="50" t="s">
        <v>5</v>
      </c>
      <c r="J14" s="51" t="s">
        <v>3</v>
      </c>
      <c r="K14" s="50" t="s">
        <v>4</v>
      </c>
      <c r="L14" s="50" t="s">
        <v>3</v>
      </c>
    </row>
    <row r="15" spans="1:15" x14ac:dyDescent="0.2">
      <c r="A15" s="12"/>
      <c r="B15" s="60" t="s">
        <v>22</v>
      </c>
      <c r="C15" s="59"/>
      <c r="D15" s="11"/>
      <c r="E15" s="10"/>
      <c r="F15" s="9"/>
      <c r="G15" s="8"/>
      <c r="H15" s="11"/>
      <c r="I15" s="10"/>
      <c r="J15" s="9"/>
      <c r="K15" s="8"/>
      <c r="L15" s="7"/>
      <c r="M15" s="6"/>
      <c r="N15" s="29"/>
      <c r="O15" s="30"/>
    </row>
    <row r="16" spans="1:15" x14ac:dyDescent="0.2">
      <c r="A16" s="12"/>
      <c r="B16" s="31" t="s">
        <v>21</v>
      </c>
      <c r="C16" s="59"/>
      <c r="D16" s="11"/>
      <c r="E16" s="10"/>
      <c r="F16" s="9"/>
      <c r="G16" s="8">
        <v>-1</v>
      </c>
      <c r="H16" s="11" t="s">
        <v>17</v>
      </c>
      <c r="I16" s="10">
        <v>182.63</v>
      </c>
      <c r="J16" s="9">
        <f t="shared" ref="J16" si="0">G16*I16</f>
        <v>-182.63</v>
      </c>
      <c r="K16" s="8"/>
      <c r="L16" s="7"/>
      <c r="M16" s="6"/>
      <c r="N16" s="29"/>
      <c r="O16" s="30"/>
    </row>
    <row r="17" spans="1:15" x14ac:dyDescent="0.2">
      <c r="A17" s="12"/>
      <c r="B17" s="31" t="s">
        <v>19</v>
      </c>
      <c r="C17" s="59"/>
      <c r="D17" s="11"/>
      <c r="E17" s="10"/>
      <c r="F17" s="9"/>
      <c r="G17" s="8">
        <v>1</v>
      </c>
      <c r="H17" s="11" t="s">
        <v>17</v>
      </c>
      <c r="I17" s="10">
        <v>340.72500000000002</v>
      </c>
      <c r="J17" s="9">
        <f t="shared" ref="J17" si="1">G17*I17</f>
        <v>340.72500000000002</v>
      </c>
      <c r="K17" s="8"/>
      <c r="L17" s="7"/>
      <c r="M17" s="6"/>
      <c r="N17" s="29"/>
      <c r="O17" s="30"/>
    </row>
    <row r="18" spans="1:15" x14ac:dyDescent="0.2">
      <c r="B18" s="2" t="s">
        <v>2</v>
      </c>
      <c r="D18" s="36"/>
      <c r="F18" s="52">
        <f>SUM(F16:F16)</f>
        <v>0</v>
      </c>
      <c r="J18" s="52">
        <f>SUM(J16:J17)</f>
        <v>158.09500000000003</v>
      </c>
      <c r="L18" s="52">
        <f>SUM(L16:L16)</f>
        <v>0</v>
      </c>
    </row>
    <row r="19" spans="1:15" x14ac:dyDescent="0.2">
      <c r="B19" s="5" t="s">
        <v>1</v>
      </c>
      <c r="D19" s="36"/>
      <c r="E19" s="53">
        <v>0.15</v>
      </c>
      <c r="F19" s="33">
        <f>+E19*F18</f>
        <v>0</v>
      </c>
      <c r="I19" s="53">
        <v>0.15</v>
      </c>
      <c r="J19" s="33">
        <f>+I19*J18</f>
        <v>23.714250000000003</v>
      </c>
      <c r="K19" s="53">
        <v>0.15</v>
      </c>
      <c r="L19" s="4">
        <f>+K19*L18</f>
        <v>0</v>
      </c>
    </row>
    <row r="20" spans="1:15" x14ac:dyDescent="0.2">
      <c r="B20" s="2" t="s">
        <v>0</v>
      </c>
      <c r="D20" s="36"/>
      <c r="F20" s="34">
        <f>F18+F19</f>
        <v>0</v>
      </c>
      <c r="G20" s="54"/>
      <c r="H20" s="54"/>
      <c r="I20" s="54"/>
      <c r="J20" s="34">
        <f>J18+J19</f>
        <v>181.80925000000002</v>
      </c>
      <c r="K20" s="54"/>
      <c r="L20" s="3">
        <f>L18+L19</f>
        <v>0</v>
      </c>
    </row>
    <row r="21" spans="1:15" ht="13.5" thickBot="1" x14ac:dyDescent="0.25">
      <c r="B21" s="2"/>
      <c r="D21" s="36"/>
      <c r="F21" s="55"/>
      <c r="G21" s="56"/>
      <c r="H21" s="56"/>
      <c r="I21" s="56"/>
      <c r="J21" s="55"/>
      <c r="K21" s="56"/>
      <c r="L21" s="55"/>
    </row>
    <row r="22" spans="1:15" x14ac:dyDescent="0.2">
      <c r="B22" s="1" t="s">
        <v>16</v>
      </c>
      <c r="D22" s="36"/>
    </row>
    <row r="23" spans="1:15" ht="13.5" thickBot="1" x14ac:dyDescent="0.25">
      <c r="B23" s="32">
        <f>F20+J20</f>
        <v>181.80925000000002</v>
      </c>
      <c r="D23" s="36"/>
    </row>
    <row r="26" spans="1:15" x14ac:dyDescent="0.2">
      <c r="A26" s="43"/>
      <c r="B26" s="44"/>
      <c r="C26" s="61" t="s">
        <v>10</v>
      </c>
      <c r="D26" s="62"/>
      <c r="E26" s="62"/>
      <c r="F26" s="63"/>
      <c r="G26" s="14" t="s">
        <v>9</v>
      </c>
      <c r="H26" s="45"/>
      <c r="I26" s="45"/>
      <c r="J26" s="46"/>
      <c r="K26" s="13" t="s">
        <v>8</v>
      </c>
      <c r="L26" s="47"/>
    </row>
    <row r="27" spans="1:15" x14ac:dyDescent="0.2">
      <c r="A27" s="48" t="s">
        <v>7</v>
      </c>
      <c r="B27" s="49" t="s">
        <v>6</v>
      </c>
      <c r="C27" s="50" t="s">
        <v>15</v>
      </c>
      <c r="D27" s="50" t="s">
        <v>4</v>
      </c>
      <c r="E27" s="50" t="s">
        <v>5</v>
      </c>
      <c r="F27" s="51" t="s">
        <v>3</v>
      </c>
      <c r="G27" s="50" t="s">
        <v>15</v>
      </c>
      <c r="H27" s="50" t="s">
        <v>4</v>
      </c>
      <c r="I27" s="50" t="s">
        <v>5</v>
      </c>
      <c r="J27" s="51" t="s">
        <v>3</v>
      </c>
      <c r="K27" s="50" t="s">
        <v>4</v>
      </c>
      <c r="L27" s="50" t="s">
        <v>3</v>
      </c>
    </row>
    <row r="28" spans="1:15" x14ac:dyDescent="0.2">
      <c r="A28" s="12"/>
      <c r="B28" s="60" t="s">
        <v>23</v>
      </c>
      <c r="C28" s="59"/>
      <c r="D28" s="11"/>
      <c r="E28" s="10"/>
      <c r="F28" s="9"/>
      <c r="G28" s="8"/>
      <c r="H28" s="11"/>
      <c r="I28" s="10"/>
      <c r="J28" s="9"/>
      <c r="K28" s="8"/>
      <c r="L28" s="7"/>
      <c r="M28" s="6"/>
      <c r="N28" s="29"/>
      <c r="O28" s="30"/>
    </row>
    <row r="29" spans="1:15" x14ac:dyDescent="0.2">
      <c r="A29" s="12"/>
      <c r="B29" s="31" t="s">
        <v>20</v>
      </c>
      <c r="C29" s="59"/>
      <c r="D29" s="11"/>
      <c r="E29" s="10"/>
      <c r="F29" s="9"/>
      <c r="G29" s="8">
        <v>-1</v>
      </c>
      <c r="H29" s="11" t="s">
        <v>17</v>
      </c>
      <c r="I29" s="10">
        <v>125.01</v>
      </c>
      <c r="J29" s="9">
        <f t="shared" ref="J29:J30" si="2">G29*I29</f>
        <v>-125.01</v>
      </c>
      <c r="K29" s="8"/>
      <c r="L29" s="7"/>
      <c r="M29" s="6"/>
      <c r="N29" s="29"/>
      <c r="O29" s="30"/>
    </row>
    <row r="30" spans="1:15" x14ac:dyDescent="0.2">
      <c r="A30" s="12"/>
      <c r="B30" s="31" t="s">
        <v>19</v>
      </c>
      <c r="C30" s="59"/>
      <c r="D30" s="11"/>
      <c r="E30" s="10"/>
      <c r="F30" s="9"/>
      <c r="G30" s="8">
        <v>1</v>
      </c>
      <c r="H30" s="11" t="s">
        <v>17</v>
      </c>
      <c r="I30" s="10">
        <v>340.72500000000002</v>
      </c>
      <c r="J30" s="9">
        <f t="shared" si="2"/>
        <v>340.72500000000002</v>
      </c>
      <c r="K30" s="8"/>
      <c r="L30" s="7"/>
      <c r="M30" s="6"/>
      <c r="N30" s="29"/>
      <c r="O30" s="30"/>
    </row>
    <row r="31" spans="1:15" x14ac:dyDescent="0.2">
      <c r="B31" s="2" t="s">
        <v>2</v>
      </c>
      <c r="D31" s="36"/>
      <c r="F31" s="52">
        <f>SUM(F29:F29)</f>
        <v>0</v>
      </c>
      <c r="J31" s="52">
        <f>SUM(J29:J30)</f>
        <v>215.71500000000003</v>
      </c>
      <c r="L31" s="52">
        <f>SUM(L29:L29)</f>
        <v>0</v>
      </c>
    </row>
    <row r="32" spans="1:15" x14ac:dyDescent="0.2">
      <c r="B32" s="5" t="s">
        <v>1</v>
      </c>
      <c r="D32" s="36"/>
      <c r="E32" s="53">
        <v>0.15</v>
      </c>
      <c r="F32" s="33">
        <f>+E32*F31</f>
        <v>0</v>
      </c>
      <c r="I32" s="53">
        <v>0.15</v>
      </c>
      <c r="J32" s="33">
        <f>+I32*J31</f>
        <v>32.357250000000001</v>
      </c>
      <c r="K32" s="53">
        <v>0.15</v>
      </c>
      <c r="L32" s="4">
        <f>+K32*L31</f>
        <v>0</v>
      </c>
    </row>
    <row r="33" spans="1:15" x14ac:dyDescent="0.2">
      <c r="B33" s="2" t="s">
        <v>0</v>
      </c>
      <c r="D33" s="36"/>
      <c r="F33" s="34">
        <f>F31+F32</f>
        <v>0</v>
      </c>
      <c r="G33" s="54"/>
      <c r="H33" s="54"/>
      <c r="I33" s="54"/>
      <c r="J33" s="34">
        <f>J31+J32</f>
        <v>248.07225000000003</v>
      </c>
      <c r="K33" s="54"/>
      <c r="L33" s="3">
        <f>L31+L32</f>
        <v>0</v>
      </c>
    </row>
    <row r="34" spans="1:15" ht="13.5" thickBot="1" x14ac:dyDescent="0.25">
      <c r="B34" s="2"/>
      <c r="D34" s="36"/>
      <c r="F34" s="55"/>
      <c r="G34" s="56"/>
      <c r="H34" s="56"/>
      <c r="I34" s="56"/>
      <c r="J34" s="55"/>
      <c r="K34" s="56"/>
      <c r="L34" s="55"/>
    </row>
    <row r="35" spans="1:15" x14ac:dyDescent="0.2">
      <c r="B35" s="1" t="s">
        <v>16</v>
      </c>
      <c r="D35" s="36"/>
    </row>
    <row r="36" spans="1:15" ht="13.5" thickBot="1" x14ac:dyDescent="0.25">
      <c r="B36" s="32">
        <f>F33+J33</f>
        <v>248.07225000000003</v>
      </c>
      <c r="D36" s="36"/>
    </row>
    <row r="39" spans="1:15" x14ac:dyDescent="0.2">
      <c r="A39" s="43"/>
      <c r="B39" s="44"/>
      <c r="C39" s="61" t="s">
        <v>10</v>
      </c>
      <c r="D39" s="62"/>
      <c r="E39" s="62"/>
      <c r="F39" s="63"/>
      <c r="G39" s="14" t="s">
        <v>9</v>
      </c>
      <c r="H39" s="45"/>
      <c r="I39" s="45"/>
      <c r="J39" s="46"/>
      <c r="K39" s="13" t="s">
        <v>8</v>
      </c>
      <c r="L39" s="47"/>
    </row>
    <row r="40" spans="1:15" x14ac:dyDescent="0.2">
      <c r="A40" s="48" t="s">
        <v>7</v>
      </c>
      <c r="B40" s="49" t="s">
        <v>6</v>
      </c>
      <c r="C40" s="50" t="s">
        <v>15</v>
      </c>
      <c r="D40" s="50" t="s">
        <v>4</v>
      </c>
      <c r="E40" s="50" t="s">
        <v>5</v>
      </c>
      <c r="F40" s="51" t="s">
        <v>3</v>
      </c>
      <c r="G40" s="50" t="s">
        <v>15</v>
      </c>
      <c r="H40" s="50" t="s">
        <v>4</v>
      </c>
      <c r="I40" s="50" t="s">
        <v>5</v>
      </c>
      <c r="J40" s="51" t="s">
        <v>3</v>
      </c>
      <c r="K40" s="50" t="s">
        <v>4</v>
      </c>
      <c r="L40" s="50" t="s">
        <v>3</v>
      </c>
    </row>
    <row r="41" spans="1:15" x14ac:dyDescent="0.2">
      <c r="A41" s="12"/>
      <c r="B41" s="31" t="s">
        <v>24</v>
      </c>
      <c r="C41" s="59"/>
      <c r="D41" s="11"/>
      <c r="E41" s="10"/>
      <c r="F41" s="9"/>
      <c r="G41" s="8">
        <v>8</v>
      </c>
      <c r="H41" s="11" t="s">
        <v>17</v>
      </c>
      <c r="I41" s="10">
        <v>85</v>
      </c>
      <c r="J41" s="9">
        <f t="shared" ref="J41" si="3">G41*I41</f>
        <v>680</v>
      </c>
      <c r="K41" s="8"/>
      <c r="L41" s="7"/>
      <c r="M41" s="6"/>
      <c r="N41" s="29"/>
      <c r="O41" s="30"/>
    </row>
    <row r="42" spans="1:15" x14ac:dyDescent="0.2">
      <c r="A42" s="12"/>
      <c r="B42" s="31"/>
      <c r="C42" s="59"/>
      <c r="D42" s="11"/>
      <c r="E42" s="10"/>
      <c r="F42" s="9"/>
      <c r="G42" s="8"/>
      <c r="H42" s="11"/>
      <c r="I42" s="10"/>
      <c r="J42" s="9"/>
      <c r="K42" s="8"/>
      <c r="L42" s="7"/>
      <c r="M42" s="6"/>
      <c r="N42" s="29"/>
      <c r="O42" s="30"/>
    </row>
    <row r="43" spans="1:15" x14ac:dyDescent="0.2">
      <c r="B43" s="2" t="s">
        <v>2</v>
      </c>
      <c r="D43" s="36"/>
      <c r="F43" s="52">
        <f>SUM(F41:F41)</f>
        <v>0</v>
      </c>
      <c r="J43" s="52">
        <f>SUM(J41:J42)</f>
        <v>680</v>
      </c>
      <c r="L43" s="52">
        <f>SUM(L41:L41)</f>
        <v>0</v>
      </c>
    </row>
    <row r="44" spans="1:15" x14ac:dyDescent="0.2">
      <c r="B44" s="5" t="s">
        <v>1</v>
      </c>
      <c r="D44" s="36"/>
      <c r="E44" s="53">
        <v>0.15</v>
      </c>
      <c r="F44" s="33">
        <f>+E44*F43</f>
        <v>0</v>
      </c>
      <c r="I44" s="53">
        <v>0.15</v>
      </c>
      <c r="J44" s="33">
        <f>+I44*J43</f>
        <v>102</v>
      </c>
      <c r="K44" s="53">
        <v>0.15</v>
      </c>
      <c r="L44" s="4">
        <f>+K44*L43</f>
        <v>0</v>
      </c>
    </row>
    <row r="45" spans="1:15" x14ac:dyDescent="0.2">
      <c r="B45" s="2" t="s">
        <v>0</v>
      </c>
      <c r="D45" s="36"/>
      <c r="F45" s="34">
        <f>F43+F44</f>
        <v>0</v>
      </c>
      <c r="G45" s="54"/>
      <c r="H45" s="54"/>
      <c r="I45" s="54"/>
      <c r="J45" s="34">
        <f>J43+J44</f>
        <v>782</v>
      </c>
      <c r="K45" s="54"/>
      <c r="L45" s="3">
        <f>L43+L44</f>
        <v>0</v>
      </c>
    </row>
    <row r="46" spans="1:15" ht="13.5" thickBot="1" x14ac:dyDescent="0.25">
      <c r="B46" s="2"/>
      <c r="D46" s="36"/>
      <c r="F46" s="55"/>
      <c r="G46" s="56"/>
      <c r="H46" s="56"/>
      <c r="I46" s="56"/>
      <c r="J46" s="55"/>
      <c r="K46" s="56"/>
      <c r="L46" s="55"/>
    </row>
    <row r="47" spans="1:15" x14ac:dyDescent="0.2">
      <c r="B47" s="1" t="s">
        <v>16</v>
      </c>
      <c r="D47" s="36"/>
    </row>
    <row r="48" spans="1:15" ht="13.5" thickBot="1" x14ac:dyDescent="0.25">
      <c r="B48" s="32">
        <f>F45+J45</f>
        <v>782</v>
      </c>
      <c r="D48" s="36"/>
    </row>
  </sheetData>
  <mergeCells count="6">
    <mergeCell ref="C39:F39"/>
    <mergeCell ref="I1:L1"/>
    <mergeCell ref="I2:L2"/>
    <mergeCell ref="A4:L6"/>
    <mergeCell ref="C13:F13"/>
    <mergeCell ref="C26:F26"/>
  </mergeCells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2017-02-21T00:28:02Z</cp:lastPrinted>
  <dcterms:created xsi:type="dcterms:W3CDTF">2014-07-14T23:11:07Z</dcterms:created>
  <dcterms:modified xsi:type="dcterms:W3CDTF">2017-04-25T15:08:01Z</dcterms:modified>
</cp:coreProperties>
</file>