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" i="1" l="1"/>
  <c r="J26" i="1"/>
  <c r="J25" i="1"/>
  <c r="J22" i="1" l="1"/>
  <c r="F19" i="1" l="1"/>
  <c r="F20" i="1"/>
  <c r="F21" i="1"/>
  <c r="F24" i="1"/>
  <c r="F28" i="1"/>
  <c r="J19" i="1"/>
  <c r="J20" i="1"/>
  <c r="J21" i="1"/>
  <c r="J29" i="1" s="1"/>
  <c r="J23" i="1"/>
  <c r="J24" i="1"/>
  <c r="F29" i="1" l="1"/>
  <c r="F18" i="1"/>
  <c r="L30" i="1" l="1"/>
  <c r="L31" i="1" s="1"/>
  <c r="J30" i="1" l="1"/>
  <c r="J31" i="1" s="1"/>
  <c r="F30" i="1"/>
  <c r="F31" i="1" s="1"/>
  <c r="B33" i="1" l="1"/>
</calcChain>
</file>

<file path=xl/sharedStrings.xml><?xml version="1.0" encoding="utf-8"?>
<sst xmlns="http://schemas.openxmlformats.org/spreadsheetml/2006/main" count="47" uniqueCount="33">
  <si>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</si>
  <si>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</si>
  <si>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</si>
  <si>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</si>
  <si>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</si>
  <si>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</si>
  <si>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</si>
  <si>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</si>
  <si>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</si>
  <si>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</si>
  <si>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</si>
  <si>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</si>
  <si>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</si>
  <si>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</si>
  <si>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</si>
  <si>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LOT</t>
  </si>
  <si>
    <t>Totals</t>
  </si>
  <si>
    <t>HRS</t>
  </si>
  <si>
    <t>Total this item</t>
  </si>
  <si>
    <t>Quan</t>
  </si>
  <si>
    <t>LAYOUT WASTE/VENT/WATER PIPING</t>
  </si>
  <si>
    <t>INSTALL NEW WASTE/VENT LINES</t>
  </si>
  <si>
    <t>LF</t>
  </si>
  <si>
    <t>FITTINGS/HANGERS/WALL SUPPORTS</t>
  </si>
  <si>
    <t>SUPERVISION</t>
  </si>
  <si>
    <t>LS</t>
  </si>
  <si>
    <t>INSTALL NEW WATER LINE</t>
  </si>
  <si>
    <t>CORA</t>
  </si>
  <si>
    <t>IMAGING &amp; CORE DRILLING</t>
  </si>
  <si>
    <t>SHUTOFFS</t>
  </si>
  <si>
    <t>TRIM LABOR</t>
  </si>
  <si>
    <t>ELKAY ELUHAD211550 SINK</t>
  </si>
  <si>
    <t>DELTA 9959-CZ-DST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</si>
</sst>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8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168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6" fontId="4" fillId="0" borderId="0" xfId="1" applyNumberFormat="1" applyFont="1"/>
    <xf numFmtId="6" fontId="1" fillId="2" borderId="0" xfId="1" applyNumberFormat="1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SINK TO AMENITY LOUNGE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  <xdr:oneCellAnchor>
    <xdr:from>
      <xdr:col>25</xdr:col>
      <xdr:colOff>76201</xdr:colOff>
      <xdr:row>34</xdr:row>
      <xdr:rowOff>0</xdr:rowOff>
    </xdr:from>
    <xdr:ext cx="1676600" cy="158115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6" y="5476876"/>
          <a:ext cx="1676600" cy="1581150"/>
        </a:xfrm>
        <a:prstGeom prst="rect">
          <a:avLst/>
        </a:prstGeom>
      </xdr:spPr>
    </xdr:pic>
    <xdr:clientData/>
  </xdr:oneCellAnchor>
  <xdr:oneCellAnchor>
    <xdr:from>
      <xdr:col>25</xdr:col>
      <xdr:colOff>85726</xdr:colOff>
      <xdr:row>34</xdr:row>
      <xdr:rowOff>0</xdr:rowOff>
    </xdr:from>
    <xdr:ext cx="1638299" cy="156326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5676" y="7105651"/>
          <a:ext cx="1638299" cy="1563262"/>
        </a:xfrm>
        <a:prstGeom prst="rect">
          <a:avLst/>
        </a:prstGeom>
      </xdr:spPr>
    </xdr:pic>
    <xdr:clientData/>
  </xdr:oneCellAnchor>
  <xdr:oneCellAnchor>
    <xdr:from>
      <xdr:col>25</xdr:col>
      <xdr:colOff>47624</xdr:colOff>
      <xdr:row>34</xdr:row>
      <xdr:rowOff>0</xdr:rowOff>
    </xdr:from>
    <xdr:ext cx="1253547" cy="1590675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97574" y="8715375"/>
          <a:ext cx="1253547" cy="1590675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34</xdr:row>
      <xdr:rowOff>0</xdr:rowOff>
    </xdr:from>
    <xdr:ext cx="1866900" cy="1634654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97576" y="10344151"/>
          <a:ext cx="1866900" cy="1634654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34</xdr:row>
      <xdr:rowOff>0</xdr:rowOff>
    </xdr:from>
    <xdr:ext cx="1695450" cy="1583799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97576" y="11972925"/>
          <a:ext cx="1695450" cy="1583799"/>
        </a:xfrm>
        <a:prstGeom prst="rect">
          <a:avLst/>
        </a:prstGeom>
      </xdr:spPr>
    </xdr:pic>
    <xdr:clientData/>
  </xdr:oneCellAnchor>
  <xdr:oneCellAnchor>
    <xdr:from>
      <xdr:col>25</xdr:col>
      <xdr:colOff>38100</xdr:colOff>
      <xdr:row>34</xdr:row>
      <xdr:rowOff>0</xdr:rowOff>
    </xdr:from>
    <xdr:ext cx="1704975" cy="1592696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88050" y="13601701"/>
          <a:ext cx="1704975" cy="15926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zoomScale="130" zoomScaleNormal="130" workbookViewId="0">
      <selection activeCell="D22" sqref="D22"/>
    </sheetView>
  </sheetViews>
  <sheetFormatPr defaultRowHeight="12.75" x14ac:dyDescent="0.2"/>
  <cols>
    <col min="1" max="1" width="4.5703125" bestFit="1" customWidth="1"/>
    <col min="2" max="2" width="41.140625" customWidth="1"/>
    <col min="3" max="3" width="5.140625" customWidth="1"/>
    <col min="4" max="4" width="5.140625" bestFit="1" customWidth="1"/>
    <col min="5" max="5" width="8.28515625" bestFit="1" customWidth="1"/>
    <col min="6" max="6" width="10.140625" customWidth="1"/>
    <col min="7" max="7" width="5.140625" customWidth="1"/>
    <col min="8" max="8" width="5.140625" bestFit="1" customWidth="1"/>
    <col min="9" max="9" width="8.5703125" customWidth="1"/>
    <col min="10" max="10" width="9.42578125" customWidth="1"/>
    <col min="11" max="11" width="8" bestFit="1" customWidth="1"/>
    <col min="12" max="12" width="10.85546875" customWidth="1"/>
    <col min="13" max="13" width="11" customWidth="1"/>
    <col min="15" max="15" width="20.140625" customWidth="1"/>
    <col min="16" max="16" width="13.5703125" customWidth="1"/>
    <col min="17" max="17" width="11" customWidth="1"/>
    <col min="18" max="18" width="16.28515625" customWidth="1"/>
    <col min="20" max="21" width="0" hidden="1" customWidth="1"/>
    <col min="23" max="23" width="0" hidden="1" customWidth="1"/>
    <col min="26" max="26" width="31" customWidth="1"/>
  </cols>
  <sheetData>
    <row r="1" spans="1:12" x14ac:dyDescent="0.2">
      <c r="D1" s="1"/>
      <c r="H1" s="49" t="s">
        <v>12</v>
      </c>
      <c r="I1" s="60" t="s">
        <v>27</v>
      </c>
      <c r="J1" s="60"/>
      <c r="K1" s="60"/>
      <c r="L1" s="60"/>
    </row>
    <row r="2" spans="1:12" x14ac:dyDescent="0.2">
      <c r="D2" s="1"/>
      <c r="G2" s="31"/>
      <c r="H2" s="48" t="s">
        <v>11</v>
      </c>
      <c r="I2" s="61">
        <v>42674</v>
      </c>
      <c r="J2" s="60"/>
      <c r="K2" s="60"/>
      <c r="L2" s="60"/>
    </row>
    <row r="3" spans="1:12" x14ac:dyDescent="0.2">
      <c r="D3" s="1"/>
      <c r="G3" s="31"/>
      <c r="H3" s="48" t="s">
        <v>13</v>
      </c>
      <c r="I3" s="47"/>
      <c r="J3" s="32"/>
      <c r="K3" s="32"/>
      <c r="L3" s="32"/>
    </row>
    <row r="4" spans="1:12" ht="24" thickBot="1" x14ac:dyDescent="0.4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ht="4.5" customHeight="1" x14ac:dyDescent="0.2">
      <c r="A5" s="63" t="s">
        <v>10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5"/>
    </row>
    <row r="6" spans="1:12" ht="12.75" customHeight="1" x14ac:dyDescent="0.2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1:12" ht="4.5" customHeight="1" thickBo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1"/>
    </row>
    <row r="8" spans="1:12" x14ac:dyDescent="0.2">
      <c r="A8" s="46"/>
      <c r="B8" s="44"/>
      <c r="C8" s="44"/>
      <c r="D8" s="45"/>
      <c r="E8" s="44"/>
      <c r="F8" s="44"/>
      <c r="G8" s="31"/>
      <c r="H8" s="43"/>
      <c r="I8" s="33"/>
      <c r="J8" s="32"/>
      <c r="K8" s="32"/>
      <c r="L8" s="42"/>
    </row>
    <row r="9" spans="1:12" x14ac:dyDescent="0.2">
      <c r="A9" s="46"/>
      <c r="B9" s="44"/>
      <c r="C9" s="44"/>
      <c r="D9" s="45"/>
      <c r="E9" s="44"/>
      <c r="F9" s="44"/>
      <c r="G9" s="31"/>
      <c r="H9" s="43"/>
      <c r="I9" s="33"/>
      <c r="J9" s="32"/>
      <c r="K9" s="32"/>
      <c r="L9" s="42"/>
    </row>
    <row r="10" spans="1:12" x14ac:dyDescent="0.2">
      <c r="A10" s="46"/>
      <c r="B10" s="44"/>
      <c r="C10" s="44"/>
      <c r="D10" s="45"/>
      <c r="E10" s="44"/>
      <c r="F10" s="44"/>
      <c r="G10" s="31"/>
      <c r="H10" s="43"/>
      <c r="I10" s="33"/>
      <c r="J10" s="32"/>
      <c r="K10" s="32"/>
      <c r="L10" s="42"/>
    </row>
    <row r="11" spans="1:12" ht="13.5" thickBot="1" x14ac:dyDescent="0.25">
      <c r="A11" s="41"/>
      <c r="B11" s="39"/>
      <c r="C11" s="39"/>
      <c r="D11" s="40"/>
      <c r="E11" s="39"/>
      <c r="F11" s="39"/>
      <c r="G11" s="38"/>
      <c r="H11" s="37"/>
      <c r="I11" s="36"/>
      <c r="J11" s="35"/>
      <c r="K11" s="35"/>
      <c r="L11" s="34"/>
    </row>
    <row r="12" spans="1:12" ht="6" customHeight="1" x14ac:dyDescent="0.2">
      <c r="D12" s="1"/>
      <c r="G12" s="31"/>
      <c r="H12" s="30"/>
      <c r="I12" s="33"/>
      <c r="J12" s="32"/>
      <c r="K12" s="32"/>
      <c r="L12" s="32"/>
    </row>
    <row r="13" spans="1:12" ht="6" customHeight="1" x14ac:dyDescent="0.2">
      <c r="D13" s="1"/>
      <c r="E13" s="31"/>
      <c r="F13" s="30"/>
      <c r="G13" s="29"/>
      <c r="H13" s="29"/>
      <c r="I13" s="29"/>
      <c r="J13" s="28"/>
    </row>
    <row r="15" spans="1:12" x14ac:dyDescent="0.2">
      <c r="A15" s="27"/>
      <c r="B15" s="26"/>
      <c r="C15" s="57" t="s">
        <v>9</v>
      </c>
      <c r="D15" s="58"/>
      <c r="E15" s="58"/>
      <c r="F15" s="59"/>
      <c r="G15" s="25" t="s">
        <v>8</v>
      </c>
      <c r="H15" s="24"/>
      <c r="I15" s="24"/>
      <c r="J15" s="23"/>
      <c r="K15" s="22" t="s">
        <v>7</v>
      </c>
      <c r="L15" s="21"/>
    </row>
    <row r="16" spans="1:12" x14ac:dyDescent="0.2">
      <c r="A16" s="20" t="s">
        <v>6</v>
      </c>
      <c r="B16" s="19" t="s">
        <v>5</v>
      </c>
      <c r="C16" s="17" t="s">
        <v>19</v>
      </c>
      <c r="D16" s="17" t="s">
        <v>3</v>
      </c>
      <c r="E16" s="17" t="s">
        <v>4</v>
      </c>
      <c r="F16" s="18" t="s">
        <v>2</v>
      </c>
      <c r="G16" s="17" t="s">
        <v>19</v>
      </c>
      <c r="H16" s="17" t="s">
        <v>3</v>
      </c>
      <c r="I16" s="17" t="s">
        <v>4</v>
      </c>
      <c r="J16" s="18" t="s">
        <v>2</v>
      </c>
      <c r="K16" s="17" t="s">
        <v>3</v>
      </c>
      <c r="L16" s="17" t="s">
        <v>2</v>
      </c>
    </row>
    <row r="17" spans="1:13" x14ac:dyDescent="0.2">
      <c r="A17" s="16"/>
      <c r="B17" s="50"/>
      <c r="C17" s="12"/>
      <c r="D17" s="15"/>
      <c r="E17" s="14"/>
      <c r="F17" s="13"/>
      <c r="G17" s="12"/>
      <c r="H17" s="15"/>
      <c r="I17" s="14"/>
      <c r="J17" s="13"/>
      <c r="K17" s="12"/>
      <c r="L17" s="11"/>
      <c r="M17" s="10"/>
    </row>
    <row r="18" spans="1:13" x14ac:dyDescent="0.2">
      <c r="A18" s="16"/>
      <c r="B18" s="50" t="s">
        <v>28</v>
      </c>
      <c r="C18" s="52">
        <v>1</v>
      </c>
      <c r="D18" s="15" t="s">
        <v>17</v>
      </c>
      <c r="E18" s="14">
        <v>80</v>
      </c>
      <c r="F18" s="13">
        <f t="shared" ref="F18:F28" si="0">E18*C18</f>
        <v>80</v>
      </c>
      <c r="G18" s="12"/>
      <c r="H18" s="15"/>
      <c r="I18" s="14"/>
      <c r="J18" s="13"/>
      <c r="K18" s="12" t="s">
        <v>25</v>
      </c>
      <c r="L18" s="11">
        <v>350</v>
      </c>
      <c r="M18" s="10"/>
    </row>
    <row r="19" spans="1:13" x14ac:dyDescent="0.2">
      <c r="A19" s="16"/>
      <c r="B19" s="50" t="s">
        <v>20</v>
      </c>
      <c r="C19" s="52">
        <v>1</v>
      </c>
      <c r="D19" s="15" t="s">
        <v>17</v>
      </c>
      <c r="E19" s="14">
        <v>80</v>
      </c>
      <c r="F19" s="13">
        <f t="shared" si="0"/>
        <v>80</v>
      </c>
      <c r="G19" s="12"/>
      <c r="H19" s="15"/>
      <c r="I19" s="14"/>
      <c r="J19" s="13">
        <f t="shared" ref="J19:J26" si="1">G19*I19</f>
        <v>0</v>
      </c>
      <c r="K19" s="12"/>
      <c r="L19" s="11"/>
      <c r="M19" s="10"/>
    </row>
    <row r="20" spans="1:13" x14ac:dyDescent="0.2">
      <c r="A20" s="16"/>
      <c r="B20" s="50" t="s">
        <v>21</v>
      </c>
      <c r="C20" s="12">
        <v>3</v>
      </c>
      <c r="D20" s="15" t="s">
        <v>17</v>
      </c>
      <c r="E20" s="14">
        <v>60.5</v>
      </c>
      <c r="F20" s="13">
        <f t="shared" si="0"/>
        <v>181.5</v>
      </c>
      <c r="G20" s="12">
        <v>45</v>
      </c>
      <c r="H20" s="15" t="s">
        <v>22</v>
      </c>
      <c r="I20" s="14">
        <v>1.85</v>
      </c>
      <c r="J20" s="13">
        <f t="shared" si="1"/>
        <v>83.25</v>
      </c>
      <c r="K20" s="12"/>
      <c r="L20" s="11"/>
      <c r="M20" s="10"/>
    </row>
    <row r="21" spans="1:13" x14ac:dyDescent="0.2">
      <c r="A21" s="16"/>
      <c r="B21" s="50" t="s">
        <v>26</v>
      </c>
      <c r="C21" s="12">
        <v>1</v>
      </c>
      <c r="D21" s="15" t="s">
        <v>17</v>
      </c>
      <c r="E21" s="14">
        <v>60.5</v>
      </c>
      <c r="F21" s="13">
        <f t="shared" si="0"/>
        <v>60.5</v>
      </c>
      <c r="G21" s="12">
        <v>15</v>
      </c>
      <c r="H21" s="15" t="s">
        <v>22</v>
      </c>
      <c r="I21" s="14">
        <v>0.5</v>
      </c>
      <c r="J21" s="13">
        <f t="shared" si="1"/>
        <v>7.5</v>
      </c>
      <c r="K21" s="12"/>
      <c r="L21" s="11"/>
      <c r="M21" s="10"/>
    </row>
    <row r="22" spans="1:13" x14ac:dyDescent="0.2">
      <c r="A22" s="16"/>
      <c r="B22" s="50" t="s">
        <v>29</v>
      </c>
      <c r="C22" s="12"/>
      <c r="D22" s="15"/>
      <c r="E22" s="14"/>
      <c r="F22" s="13"/>
      <c r="G22" s="12">
        <v>2</v>
      </c>
      <c r="H22" s="15" t="s">
        <v>14</v>
      </c>
      <c r="I22" s="14">
        <v>15</v>
      </c>
      <c r="J22" s="13">
        <f t="shared" si="1"/>
        <v>30</v>
      </c>
      <c r="K22" s="12"/>
      <c r="L22" s="11"/>
      <c r="M22" s="10"/>
    </row>
    <row r="23" spans="1:13" x14ac:dyDescent="0.2">
      <c r="A23" s="16"/>
      <c r="B23" s="50" t="s">
        <v>23</v>
      </c>
      <c r="C23" s="12"/>
      <c r="D23" s="15"/>
      <c r="E23" s="14"/>
      <c r="F23" s="13"/>
      <c r="G23" s="12">
        <v>1</v>
      </c>
      <c r="H23" s="15" t="s">
        <v>15</v>
      </c>
      <c r="I23" s="14">
        <v>75</v>
      </c>
      <c r="J23" s="13">
        <f t="shared" si="1"/>
        <v>75</v>
      </c>
      <c r="K23" s="12"/>
      <c r="L23" s="11"/>
      <c r="M23" s="10"/>
    </row>
    <row r="24" spans="1:13" x14ac:dyDescent="0.2">
      <c r="A24" s="16"/>
      <c r="B24" s="50" t="s">
        <v>30</v>
      </c>
      <c r="C24" s="12">
        <v>1</v>
      </c>
      <c r="D24" s="15" t="s">
        <v>17</v>
      </c>
      <c r="E24" s="14">
        <v>60.5</v>
      </c>
      <c r="F24" s="13">
        <f t="shared" si="0"/>
        <v>60.5</v>
      </c>
      <c r="G24" s="12"/>
      <c r="H24" s="15"/>
      <c r="I24" s="14"/>
      <c r="J24" s="13">
        <f t="shared" si="1"/>
        <v>0</v>
      </c>
      <c r="K24" s="12"/>
      <c r="L24" s="11"/>
      <c r="M24" s="10"/>
    </row>
    <row r="25" spans="1:13" x14ac:dyDescent="0.2">
      <c r="A25" s="16"/>
      <c r="B25" s="50" t="s">
        <v>31</v>
      </c>
      <c r="C25" s="12"/>
      <c r="D25" s="15"/>
      <c r="E25" s="14"/>
      <c r="F25" s="13"/>
      <c r="G25" s="12">
        <v>1</v>
      </c>
      <c r="H25" s="15" t="s">
        <v>14</v>
      </c>
      <c r="I25" s="14">
        <v>200</v>
      </c>
      <c r="J25" s="13">
        <f t="shared" si="1"/>
        <v>200</v>
      </c>
      <c r="K25" s="12"/>
      <c r="L25" s="11"/>
      <c r="M25" s="10"/>
    </row>
    <row r="26" spans="1:13" x14ac:dyDescent="0.2">
      <c r="A26" s="16"/>
      <c r="B26" s="50" t="s">
        <v>32</v>
      </c>
      <c r="C26" s="12"/>
      <c r="D26" s="15"/>
      <c r="E26" s="14"/>
      <c r="F26" s="13"/>
      <c r="G26" s="12">
        <v>1</v>
      </c>
      <c r="H26" s="15" t="s">
        <v>14</v>
      </c>
      <c r="I26" s="14">
        <v>275</v>
      </c>
      <c r="J26" s="13">
        <f t="shared" si="1"/>
        <v>275</v>
      </c>
      <c r="K26" s="12"/>
      <c r="L26" s="11"/>
      <c r="M26" s="10"/>
    </row>
    <row r="27" spans="1:13" x14ac:dyDescent="0.2">
      <c r="A27" s="16"/>
      <c r="B27" s="50"/>
      <c r="C27" s="12"/>
      <c r="D27" s="15"/>
      <c r="E27" s="14"/>
      <c r="F27" s="13"/>
      <c r="G27" s="12"/>
      <c r="H27" s="15"/>
      <c r="I27" s="14"/>
      <c r="J27" s="13"/>
      <c r="K27" s="12"/>
      <c r="L27" s="11"/>
      <c r="M27" s="10"/>
    </row>
    <row r="28" spans="1:13" x14ac:dyDescent="0.2">
      <c r="A28" s="16"/>
      <c r="B28" s="50" t="s">
        <v>24</v>
      </c>
      <c r="C28" s="53">
        <v>1</v>
      </c>
      <c r="D28" s="15" t="s">
        <v>17</v>
      </c>
      <c r="E28" s="54">
        <v>80</v>
      </c>
      <c r="F28" s="13">
        <f t="shared" si="0"/>
        <v>80</v>
      </c>
      <c r="G28" s="12"/>
      <c r="H28" s="15"/>
      <c r="I28" s="14"/>
      <c r="J28" s="13"/>
      <c r="K28" s="12"/>
      <c r="L28" s="11"/>
      <c r="M28" s="10"/>
    </row>
    <row r="29" spans="1:13" x14ac:dyDescent="0.2">
      <c r="B29" s="3" t="s">
        <v>1</v>
      </c>
      <c r="D29" s="1"/>
      <c r="F29" s="10">
        <f>SUM(F17:F28)</f>
        <v>542.5</v>
      </c>
      <c r="J29" s="10">
        <f>SUM(J17:J28)</f>
        <v>670.75</v>
      </c>
      <c r="L29" s="10">
        <f>SUM(L17:L28)</f>
        <v>350</v>
      </c>
    </row>
    <row r="30" spans="1:13" x14ac:dyDescent="0.2">
      <c r="B30" s="8" t="s">
        <v>0</v>
      </c>
      <c r="D30" s="1"/>
      <c r="E30" s="9">
        <v>0.15</v>
      </c>
      <c r="F30" s="55">
        <f>+E30*F29</f>
        <v>81.375</v>
      </c>
      <c r="I30" s="9">
        <v>0.15</v>
      </c>
      <c r="J30" s="55">
        <f>+I30*J29</f>
        <v>100.6125</v>
      </c>
      <c r="K30" s="9">
        <v>0.15</v>
      </c>
      <c r="L30" s="7">
        <f>+K30*L29</f>
        <v>52.5</v>
      </c>
    </row>
    <row r="31" spans="1:13" ht="13.5" thickBot="1" x14ac:dyDescent="0.25">
      <c r="B31" s="6" t="s">
        <v>16</v>
      </c>
      <c r="D31" s="1"/>
      <c r="F31" s="56">
        <f>F29+F30</f>
        <v>623.875</v>
      </c>
      <c r="G31" s="5"/>
      <c r="H31" s="5"/>
      <c r="I31" s="5"/>
      <c r="J31" s="56">
        <f>J29+J30</f>
        <v>771.36249999999995</v>
      </c>
      <c r="K31" s="5"/>
      <c r="L31" s="4">
        <f>L29+L30</f>
        <v>402.5</v>
      </c>
    </row>
    <row r="32" spans="1:13" x14ac:dyDescent="0.2">
      <c r="B32" s="2" t="s">
        <v>18</v>
      </c>
      <c r="D32" s="1"/>
    </row>
    <row r="33" spans="2:4" ht="13.5" thickBot="1" x14ac:dyDescent="0.25">
      <c r="B33" s="51">
        <f>F31+J31+L31</f>
        <v>1797.7375</v>
      </c>
      <c r="D33" s="1"/>
    </row>
  </sheetData>
  <mergeCells count="5">
    <mergeCell ref="C15:F15"/>
    <mergeCell ref="I1:L1"/>
    <mergeCell ref="I2:L2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2016-10-31T23:05:23Z</dcterms:modified>
</cp:coreProperties>
</file>