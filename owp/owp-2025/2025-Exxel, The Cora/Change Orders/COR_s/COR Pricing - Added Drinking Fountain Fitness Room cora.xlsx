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2" i="1" l="1"/>
  <c r="T41" i="1"/>
  <c r="T36" i="1" l="1"/>
  <c r="U36" i="1" s="1"/>
  <c r="W36" i="1" s="1"/>
  <c r="U42" i="1"/>
  <c r="W42" i="1" s="1"/>
  <c r="U41" i="1"/>
  <c r="W41" i="1" s="1"/>
  <c r="U39" i="1"/>
  <c r="W39" i="1" s="1"/>
  <c r="U38" i="1"/>
  <c r="W38" i="1" s="1"/>
  <c r="U37" i="1"/>
  <c r="W37" i="1" s="1"/>
  <c r="F25" i="1"/>
  <c r="J25" i="1"/>
  <c r="F23" i="1"/>
  <c r="J21" i="1"/>
  <c r="J20" i="1"/>
  <c r="F18" i="1"/>
  <c r="F24" i="1"/>
  <c r="F28" i="1"/>
  <c r="F27" i="1"/>
  <c r="F26" i="1"/>
  <c r="J22" i="1"/>
  <c r="F21" i="1"/>
  <c r="F20" i="1"/>
  <c r="F19" i="1"/>
  <c r="F29" i="1" l="1"/>
  <c r="J29" i="1"/>
  <c r="L29" i="1" l="1"/>
  <c r="L30" i="1" s="1"/>
  <c r="L31" i="1" s="1"/>
  <c r="J30" i="1" l="1"/>
  <c r="J31" i="1" s="1"/>
  <c r="F30" i="1"/>
  <c r="F31" i="1" s="1"/>
  <c r="B33" i="1" s="1"/>
</calcChain>
</file>

<file path=xl/sharedStrings.xml><?xml version="1.0" encoding="utf-8"?>
<sst xmlns="http://schemas.openxmlformats.org/spreadsheetml/2006/main" count="87" uniqueCount="52">
  <si>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</si>
  <si>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</si>
  <si>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</si>
  <si>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</si>
  <si>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</si>
  <si>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</si>
  <si>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</si>
  <si>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</si>
  <si>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</si>
  <si>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</si>
  <si>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</si>
  <si>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</si>
  <si>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</si>
  <si>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</si>
  <si>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</si>
  <si>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LOT</t>
  </si>
  <si>
    <t>Totals</t>
  </si>
  <si>
    <t>HRS</t>
  </si>
  <si>
    <t>Total this item</t>
  </si>
  <si>
    <t>DRINKING FOUNTAIN/BOTTLE FILLER IN FITNESS ROOM</t>
  </si>
  <si>
    <t>Quan</t>
  </si>
  <si>
    <t>2015 Rooster</t>
  </si>
  <si>
    <t>LAYOUT WASTE/VENT/WATER PIPING</t>
  </si>
  <si>
    <t>INSTALL NEW WASTE/VENT LINES</t>
  </si>
  <si>
    <t>INSTALL NEW WATER LINES</t>
  </si>
  <si>
    <t>LF</t>
  </si>
  <si>
    <t>FITTINGS/HANGERS/WALL SUPPORTS</t>
  </si>
  <si>
    <t>CLEANUP</t>
  </si>
  <si>
    <t>SUPERVISION</t>
  </si>
  <si>
    <t>AS-BUILTS</t>
  </si>
  <si>
    <t>COORDINATE WITH IMAGING/CORE DRILLER</t>
  </si>
  <si>
    <t>OH&amp;P</t>
  </si>
  <si>
    <t>TOTAL</t>
  </si>
  <si>
    <t>IN-WALL BLOCKING AND MOUNTING FRAME</t>
  </si>
  <si>
    <t>TRIM/STARTUP/TEST LABOR</t>
  </si>
  <si>
    <t>PERMIT</t>
  </si>
  <si>
    <t>LS</t>
  </si>
  <si>
    <t>LZSTL8WSS3K Filtered EZH2O® Bottle Filling Station with Versatile Bi-Level ADA Cooler</t>
  </si>
  <si>
    <t>EZWS-SFGRN8K EZH2O® Bottle Filling Station with SwirlFlo® Green Single Refrigerated Fountain</t>
  </si>
  <si>
    <t>Subtotal</t>
  </si>
  <si>
    <t>LZS8WSS2K Filtered EZH2O® Bottle Filling Station with Single ADA Cooler</t>
  </si>
  <si>
    <t>EZSTL8LC Versatile Wall Mount Bi-Level ADA Cooler</t>
  </si>
  <si>
    <t>LZWSM8K Filtered EZH2O® Bottle Filling Station In-Wall WITH CHILLER</t>
  </si>
  <si>
    <t>Yes</t>
  </si>
  <si>
    <t>Chilled?</t>
  </si>
  <si>
    <t>Other</t>
  </si>
  <si>
    <t>No</t>
  </si>
  <si>
    <t>LZWSMDK Filtered EZH2O® Bottle Filling Station In-Wall WITHOUT CHILLER</t>
  </si>
  <si>
    <t>12" Wall cavity needed, frame needed</t>
  </si>
  <si>
    <t>Frame needed</t>
  </si>
  <si>
    <t>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</si>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</sst>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  <numFmt numFmtId="169" formatCode="_(&quot;$&quot;* #,##0_);_(&quot;$&quot;* \(#,##0\);_(&quot;$&quot;* &quot;-&quot;??_);_(@_)"/>
  </numFmts>
  <fonts count="11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sz val="10"/>
      <name val="MS Sans Serif"/>
    </font>
    <font>
      <b/>
      <sz val="8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8" fontId="3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0" fontId="6" fillId="0" borderId="3" xfId="0" applyFont="1" applyBorder="1" applyAlignment="1">
      <alignment horizontal="left" vertical="top" indent="1"/>
    </xf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9" fontId="6" fillId="0" borderId="3" xfId="3" applyFont="1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9" fontId="9" fillId="7" borderId="3" xfId="0" applyNumberFormat="1" applyFont="1" applyFill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166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9" fontId="4" fillId="0" borderId="3" xfId="3" applyFont="1" applyBorder="1" applyAlignment="1">
      <alignment vertical="top" wrapText="1"/>
    </xf>
    <xf numFmtId="169" fontId="1" fillId="7" borderId="3" xfId="0" applyNumberFormat="1" applyFont="1" applyFill="1" applyBorder="1" applyAlignment="1">
      <alignment vertical="top" wrapText="1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167" fontId="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10" fillId="0" borderId="3" xfId="0" applyFont="1" applyBorder="1" applyAlignment="1">
      <alignment vertical="top" wrapText="1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</cellXfs>
  <cellStyles count="4">
    <cellStyle name="Currency" xfId="1" builtinId="4"/>
    <cellStyle name="Normal" xfId="0" builtinId="0"/>
    <cellStyle name="Normal_Lake Hills RF 033 8.06.04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drinking fountain at fitness room.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23</xdr:col>
      <xdr:colOff>76201</xdr:colOff>
      <xdr:row>35</xdr:row>
      <xdr:rowOff>19051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23</xdr:col>
      <xdr:colOff>85726</xdr:colOff>
      <xdr:row>36</xdr:row>
      <xdr:rowOff>19051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23</xdr:col>
      <xdr:colOff>47624</xdr:colOff>
      <xdr:row>37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23</xdr:col>
      <xdr:colOff>47626</xdr:colOff>
      <xdr:row>38</xdr:row>
      <xdr:rowOff>1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twoCellAnchor editAs="oneCell">
    <xdr:from>
      <xdr:col>23</xdr:col>
      <xdr:colOff>0</xdr:colOff>
      <xdr:row>40</xdr:row>
      <xdr:rowOff>0</xdr:rowOff>
    </xdr:from>
    <xdr:to>
      <xdr:col>23</xdr:col>
      <xdr:colOff>783980</xdr:colOff>
      <xdr:row>41</xdr:row>
      <xdr:rowOff>16645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50712" y="12096750"/>
          <a:ext cx="783980" cy="164322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783979</xdr:colOff>
      <xdr:row>41</xdr:row>
      <xdr:rowOff>1669939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50712" y="13723327"/>
          <a:ext cx="783979" cy="1669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2"/>
  <sheetViews>
    <sheetView tabSelected="1" topLeftCell="I40" zoomScale="130" zoomScaleNormal="130" workbookViewId="0">
      <selection activeCell="O40" sqref="O40:X42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8" max="19" width="0" hidden="1" customWidth="1"/>
    <col min="21" max="21" width="0" hidden="1" customWidth="1"/>
    <col min="24" max="24" width="31" customWidth="1"/>
  </cols>
  <sheetData>
    <row r="1" spans="1:12" x14ac:dyDescent="0.2">
      <c r="D1" s="1"/>
      <c r="H1" s="49" t="s">
        <v>12</v>
      </c>
      <c r="I1" s="77" t="s">
        <v>21</v>
      </c>
      <c r="J1" s="77"/>
      <c r="K1" s="77"/>
      <c r="L1" s="77"/>
    </row>
    <row r="2" spans="1:12" x14ac:dyDescent="0.2">
      <c r="D2" s="1"/>
      <c r="G2" s="31"/>
      <c r="H2" s="48" t="s">
        <v>11</v>
      </c>
      <c r="I2" s="78">
        <v>41946</v>
      </c>
      <c r="J2" s="77"/>
      <c r="K2" s="77"/>
      <c r="L2" s="77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4.5" customHeight="1" x14ac:dyDescent="0.2">
      <c r="A5" s="80" t="s">
        <v>10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12.75" customHeight="1" x14ac:dyDescent="0.2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5"/>
    </row>
    <row r="7" spans="1:12" ht="4.5" customHeight="1" thickBot="1" x14ac:dyDescent="0.25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8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74" t="s">
        <v>9</v>
      </c>
      <c r="D15" s="75"/>
      <c r="E15" s="75"/>
      <c r="F15" s="76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20</v>
      </c>
      <c r="D16" s="17" t="s">
        <v>3</v>
      </c>
      <c r="E16" s="17" t="s">
        <v>4</v>
      </c>
      <c r="F16" s="18" t="s">
        <v>2</v>
      </c>
      <c r="G16" s="17" t="s">
        <v>20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1" t="s">
        <v>19</v>
      </c>
      <c r="C17" s="12"/>
      <c r="D17" s="15"/>
      <c r="E17" s="14"/>
      <c r="F17" s="13"/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3" t="s">
        <v>30</v>
      </c>
      <c r="C18" s="12">
        <v>1</v>
      </c>
      <c r="D18" s="15" t="s">
        <v>17</v>
      </c>
      <c r="E18" s="14">
        <v>75</v>
      </c>
      <c r="F18" s="13">
        <f t="shared" ref="F18:F23" si="0">E18*C18</f>
        <v>75</v>
      </c>
      <c r="G18" s="12"/>
      <c r="H18" s="15"/>
      <c r="I18" s="14"/>
      <c r="J18" s="13"/>
      <c r="K18" s="12"/>
      <c r="L18" s="11"/>
      <c r="M18" s="10"/>
    </row>
    <row r="19" spans="1:13" x14ac:dyDescent="0.2">
      <c r="A19" s="16"/>
      <c r="B19" s="53" t="s">
        <v>22</v>
      </c>
      <c r="C19" s="54">
        <v>1.5</v>
      </c>
      <c r="D19" s="15" t="s">
        <v>17</v>
      </c>
      <c r="E19" s="14">
        <v>75</v>
      </c>
      <c r="F19" s="13">
        <f t="shared" si="0"/>
        <v>112.5</v>
      </c>
      <c r="G19" s="12"/>
      <c r="H19" s="15"/>
      <c r="I19" s="14"/>
      <c r="J19" s="13"/>
      <c r="K19" s="12"/>
      <c r="L19" s="11"/>
      <c r="M19" s="10"/>
    </row>
    <row r="20" spans="1:13" x14ac:dyDescent="0.2">
      <c r="A20" s="16"/>
      <c r="B20" s="53" t="s">
        <v>23</v>
      </c>
      <c r="C20" s="12">
        <v>2</v>
      </c>
      <c r="D20" s="15" t="s">
        <v>17</v>
      </c>
      <c r="E20" s="14">
        <v>75</v>
      </c>
      <c r="F20" s="13">
        <f t="shared" si="0"/>
        <v>150</v>
      </c>
      <c r="G20" s="12">
        <v>25</v>
      </c>
      <c r="H20" s="15" t="s">
        <v>25</v>
      </c>
      <c r="I20" s="14">
        <v>0.85</v>
      </c>
      <c r="J20" s="13">
        <f t="shared" ref="J20:J21" si="1">G20*I20</f>
        <v>21.25</v>
      </c>
      <c r="K20" s="12"/>
      <c r="L20" s="11"/>
      <c r="M20" s="10"/>
    </row>
    <row r="21" spans="1:13" x14ac:dyDescent="0.2">
      <c r="A21" s="16"/>
      <c r="B21" s="53" t="s">
        <v>24</v>
      </c>
      <c r="C21" s="12">
        <v>2</v>
      </c>
      <c r="D21" s="15" t="s">
        <v>17</v>
      </c>
      <c r="E21" s="14">
        <v>75</v>
      </c>
      <c r="F21" s="13">
        <f t="shared" si="0"/>
        <v>150</v>
      </c>
      <c r="G21" s="12">
        <v>25</v>
      </c>
      <c r="H21" s="15" t="s">
        <v>25</v>
      </c>
      <c r="I21" s="14">
        <v>0.5</v>
      </c>
      <c r="J21" s="13">
        <f t="shared" si="1"/>
        <v>12.5</v>
      </c>
      <c r="K21" s="12"/>
      <c r="L21" s="11"/>
      <c r="M21" s="10"/>
    </row>
    <row r="22" spans="1:13" x14ac:dyDescent="0.2">
      <c r="A22" s="16"/>
      <c r="B22" s="53" t="s">
        <v>26</v>
      </c>
      <c r="C22" s="12"/>
      <c r="D22" s="15"/>
      <c r="E22" s="14"/>
      <c r="F22" s="13"/>
      <c r="G22" s="12">
        <v>1</v>
      </c>
      <c r="H22" s="15" t="s">
        <v>15</v>
      </c>
      <c r="I22" s="14">
        <v>136</v>
      </c>
      <c r="J22" s="13">
        <f t="shared" ref="J22" si="2">G22*I22</f>
        <v>136</v>
      </c>
      <c r="K22" s="12"/>
      <c r="L22" s="11"/>
      <c r="M22" s="10"/>
    </row>
    <row r="23" spans="1:13" x14ac:dyDescent="0.2">
      <c r="A23" s="16"/>
      <c r="B23" s="53" t="s">
        <v>33</v>
      </c>
      <c r="C23" s="12">
        <v>3</v>
      </c>
      <c r="D23" s="15" t="s">
        <v>17</v>
      </c>
      <c r="E23" s="14">
        <v>75</v>
      </c>
      <c r="F23" s="13">
        <f t="shared" si="0"/>
        <v>225</v>
      </c>
      <c r="G23" s="12"/>
      <c r="H23" s="15"/>
      <c r="I23" s="14"/>
      <c r="J23" s="13"/>
      <c r="K23" s="12"/>
      <c r="L23" s="11"/>
      <c r="M23" s="10"/>
    </row>
    <row r="24" spans="1:13" x14ac:dyDescent="0.2">
      <c r="A24" s="16"/>
      <c r="B24" s="53" t="s">
        <v>34</v>
      </c>
      <c r="C24" s="12">
        <v>3</v>
      </c>
      <c r="D24" s="15" t="s">
        <v>17</v>
      </c>
      <c r="E24" s="14">
        <v>75</v>
      </c>
      <c r="F24" s="13">
        <f t="shared" ref="F24:F25" si="3">E24*C24</f>
        <v>225</v>
      </c>
      <c r="G24" s="12"/>
      <c r="H24" s="15"/>
      <c r="I24" s="14"/>
      <c r="J24" s="13"/>
      <c r="K24" s="12"/>
      <c r="L24" s="11"/>
      <c r="M24" s="10"/>
    </row>
    <row r="25" spans="1:13" x14ac:dyDescent="0.2">
      <c r="A25" s="16"/>
      <c r="B25" s="51" t="s">
        <v>35</v>
      </c>
      <c r="C25" s="54">
        <v>0.25</v>
      </c>
      <c r="D25" s="15" t="s">
        <v>17</v>
      </c>
      <c r="E25" s="14">
        <v>80</v>
      </c>
      <c r="F25" s="13">
        <f t="shared" si="3"/>
        <v>20</v>
      </c>
      <c r="G25" s="12">
        <v>1</v>
      </c>
      <c r="H25" s="15" t="s">
        <v>36</v>
      </c>
      <c r="I25" s="14">
        <v>15</v>
      </c>
      <c r="J25" s="13">
        <f>G25*I25</f>
        <v>15</v>
      </c>
      <c r="K25" s="12"/>
      <c r="L25" s="11"/>
      <c r="M25" s="10"/>
    </row>
    <row r="26" spans="1:13" x14ac:dyDescent="0.2">
      <c r="A26" s="16"/>
      <c r="B26" s="51" t="s">
        <v>27</v>
      </c>
      <c r="C26" s="54">
        <v>0.5</v>
      </c>
      <c r="D26" s="15" t="s">
        <v>17</v>
      </c>
      <c r="E26" s="14">
        <v>46</v>
      </c>
      <c r="F26" s="13">
        <f>E26*C26</f>
        <v>23</v>
      </c>
      <c r="G26" s="12"/>
      <c r="H26" s="15"/>
      <c r="I26" s="14"/>
      <c r="J26" s="13"/>
      <c r="K26" s="12"/>
      <c r="L26" s="11"/>
      <c r="M26" s="10"/>
    </row>
    <row r="27" spans="1:13" x14ac:dyDescent="0.2">
      <c r="A27" s="16"/>
      <c r="B27" s="51" t="s">
        <v>28</v>
      </c>
      <c r="C27" s="55">
        <v>2</v>
      </c>
      <c r="D27" s="15" t="s">
        <v>17</v>
      </c>
      <c r="E27" s="56">
        <v>75</v>
      </c>
      <c r="F27" s="13">
        <f>E27*C27</f>
        <v>150</v>
      </c>
      <c r="G27" s="12"/>
      <c r="H27" s="15"/>
      <c r="I27" s="14"/>
      <c r="J27" s="13"/>
      <c r="K27" s="12"/>
      <c r="L27" s="11"/>
      <c r="M27" s="10"/>
    </row>
    <row r="28" spans="1:13" x14ac:dyDescent="0.2">
      <c r="A28" s="16"/>
      <c r="B28" s="51" t="s">
        <v>29</v>
      </c>
      <c r="C28" s="55">
        <v>1</v>
      </c>
      <c r="D28" s="15" t="s">
        <v>17</v>
      </c>
      <c r="E28" s="56">
        <v>75</v>
      </c>
      <c r="F28" s="13">
        <f>E28*C28</f>
        <v>75</v>
      </c>
      <c r="G28" s="12"/>
      <c r="H28" s="15"/>
      <c r="I28" s="14"/>
      <c r="J28" s="13"/>
      <c r="K28" s="12"/>
      <c r="L28" s="11"/>
      <c r="M28" s="10"/>
    </row>
    <row r="29" spans="1:13" x14ac:dyDescent="0.2">
      <c r="B29" s="3" t="s">
        <v>1</v>
      </c>
      <c r="D29" s="1"/>
      <c r="F29" s="10">
        <f>SUM(F17:F28)</f>
        <v>1205.5</v>
      </c>
      <c r="J29" s="10">
        <f>SUM(J17:J28)</f>
        <v>184.75</v>
      </c>
      <c r="L29" s="10">
        <f>SUM(L17:L28)</f>
        <v>0</v>
      </c>
    </row>
    <row r="30" spans="1:13" x14ac:dyDescent="0.2">
      <c r="B30" s="8" t="s">
        <v>0</v>
      </c>
      <c r="D30" s="1"/>
      <c r="E30" s="9">
        <v>0.15</v>
      </c>
      <c r="F30" s="7">
        <f>+E30*F29</f>
        <v>180.82499999999999</v>
      </c>
      <c r="I30" s="9">
        <v>0.15</v>
      </c>
      <c r="J30" s="7">
        <f>+I30*J29</f>
        <v>27.712499999999999</v>
      </c>
      <c r="K30" s="9">
        <v>0.15</v>
      </c>
      <c r="L30" s="7">
        <f>+K30*L29</f>
        <v>0</v>
      </c>
    </row>
    <row r="31" spans="1:13" ht="13.5" thickBot="1" x14ac:dyDescent="0.25">
      <c r="B31" s="6" t="s">
        <v>16</v>
      </c>
      <c r="D31" s="1"/>
      <c r="F31" s="4">
        <f>F29+F30</f>
        <v>1386.325</v>
      </c>
      <c r="G31" s="5"/>
      <c r="H31" s="5"/>
      <c r="I31" s="5"/>
      <c r="J31" s="4">
        <f>J29+J30</f>
        <v>212.46250000000001</v>
      </c>
      <c r="K31" s="5"/>
      <c r="L31" s="4">
        <f>L29+L30</f>
        <v>0</v>
      </c>
    </row>
    <row r="32" spans="1:13" x14ac:dyDescent="0.2">
      <c r="B32" s="2" t="s">
        <v>18</v>
      </c>
      <c r="D32" s="1"/>
    </row>
    <row r="33" spans="1:26" ht="13.5" thickBot="1" x14ac:dyDescent="0.25">
      <c r="B33" s="52">
        <f>F31+J31+L31</f>
        <v>1598.7875000000001</v>
      </c>
      <c r="D33" s="1"/>
    </row>
    <row r="35" spans="1:26" x14ac:dyDescent="0.2">
      <c r="A35" s="58"/>
      <c r="B35" s="58"/>
      <c r="C35" s="58"/>
      <c r="D35" s="58"/>
      <c r="E35" s="58"/>
      <c r="F35" s="58"/>
      <c r="G35" s="59"/>
      <c r="H35" s="59"/>
      <c r="I35" s="59"/>
      <c r="J35" s="60"/>
      <c r="K35" s="58"/>
      <c r="L35" s="58"/>
      <c r="O35" s="68"/>
      <c r="P35" s="68" t="s">
        <v>44</v>
      </c>
      <c r="Q35" s="68" t="s">
        <v>45</v>
      </c>
      <c r="R35" s="69" t="s">
        <v>20</v>
      </c>
      <c r="S35" s="69" t="s">
        <v>3</v>
      </c>
      <c r="T35" s="69" t="s">
        <v>4</v>
      </c>
      <c r="U35" s="70" t="s">
        <v>39</v>
      </c>
      <c r="V35" s="68" t="s">
        <v>31</v>
      </c>
      <c r="W35" s="68" t="s">
        <v>32</v>
      </c>
    </row>
    <row r="36" spans="1:26" ht="128.25" customHeight="1" x14ac:dyDescent="0.2">
      <c r="A36" s="89"/>
      <c r="B36" s="90"/>
      <c r="C36" s="90"/>
      <c r="D36" s="90"/>
      <c r="E36" s="90"/>
      <c r="F36" s="91"/>
      <c r="G36" s="12"/>
      <c r="H36" s="15"/>
      <c r="I36" s="14"/>
      <c r="J36" s="13"/>
      <c r="K36" s="57"/>
      <c r="L36" s="61"/>
      <c r="M36" s="10"/>
      <c r="O36" s="71" t="s">
        <v>38</v>
      </c>
      <c r="P36" s="72" t="s">
        <v>43</v>
      </c>
      <c r="Q36" s="73" t="s">
        <v>48</v>
      </c>
      <c r="R36" s="62">
        <v>1</v>
      </c>
      <c r="S36" s="63" t="s">
        <v>14</v>
      </c>
      <c r="T36" s="64">
        <f>2684.24+247</f>
        <v>2931.24</v>
      </c>
      <c r="U36" s="65">
        <f t="shared" ref="U36:U42" si="4">R36*T36</f>
        <v>2931.24</v>
      </c>
      <c r="V36" s="66">
        <v>0.15</v>
      </c>
      <c r="W36" s="67">
        <f>U36+U36*V36</f>
        <v>3370.9259999999999</v>
      </c>
      <c r="X36" s="10"/>
      <c r="Z36" s="50"/>
    </row>
    <row r="37" spans="1:26" ht="128.25" customHeight="1" x14ac:dyDescent="0.2">
      <c r="A37" s="89"/>
      <c r="B37" s="90"/>
      <c r="C37" s="90"/>
      <c r="D37" s="90"/>
      <c r="E37" s="90"/>
      <c r="F37" s="91"/>
      <c r="G37" s="12"/>
      <c r="H37" s="15"/>
      <c r="I37" s="14"/>
      <c r="J37" s="13"/>
      <c r="K37" s="57"/>
      <c r="L37" s="61"/>
      <c r="M37" s="10"/>
      <c r="O37" s="71" t="s">
        <v>37</v>
      </c>
      <c r="P37" s="72" t="s">
        <v>43</v>
      </c>
      <c r="Q37" s="72"/>
      <c r="R37" s="62">
        <v>1</v>
      </c>
      <c r="S37" s="63" t="s">
        <v>14</v>
      </c>
      <c r="T37" s="64">
        <v>1263.8900000000001</v>
      </c>
      <c r="U37" s="65">
        <f t="shared" si="4"/>
        <v>1263.8900000000001</v>
      </c>
      <c r="V37" s="66">
        <v>0.15</v>
      </c>
      <c r="W37" s="67">
        <f>U37+U37*V37</f>
        <v>1453.4735000000001</v>
      </c>
      <c r="X37" s="10"/>
      <c r="Z37" s="50"/>
    </row>
    <row r="38" spans="1:26" ht="128.25" customHeight="1" x14ac:dyDescent="0.2">
      <c r="A38" s="89"/>
      <c r="B38" s="90"/>
      <c r="C38" s="90"/>
      <c r="D38" s="90"/>
      <c r="E38" s="90"/>
      <c r="F38" s="91"/>
      <c r="G38" s="12"/>
      <c r="H38" s="15"/>
      <c r="I38" s="14"/>
      <c r="J38" s="13"/>
      <c r="K38" s="57"/>
      <c r="L38" s="61"/>
      <c r="M38" s="10"/>
      <c r="O38" s="71" t="s">
        <v>40</v>
      </c>
      <c r="P38" s="72" t="s">
        <v>43</v>
      </c>
      <c r="Q38" s="72"/>
      <c r="R38" s="62">
        <v>1</v>
      </c>
      <c r="S38" s="63" t="s">
        <v>14</v>
      </c>
      <c r="T38" s="64">
        <v>888.33</v>
      </c>
      <c r="U38" s="65">
        <f t="shared" si="4"/>
        <v>888.33</v>
      </c>
      <c r="V38" s="66">
        <v>0.15</v>
      </c>
      <c r="W38" s="67">
        <f>U38+U38*V38</f>
        <v>1021.5795000000001</v>
      </c>
      <c r="X38" s="10"/>
      <c r="Z38" s="50"/>
    </row>
    <row r="39" spans="1:26" ht="128.25" customHeight="1" x14ac:dyDescent="0.2">
      <c r="A39" s="89"/>
      <c r="B39" s="90"/>
      <c r="C39" s="90"/>
      <c r="D39" s="90"/>
      <c r="E39" s="90"/>
      <c r="F39" s="91"/>
      <c r="G39" s="12"/>
      <c r="H39" s="15"/>
      <c r="I39" s="14"/>
      <c r="J39" s="13"/>
      <c r="K39" s="57"/>
      <c r="L39" s="61"/>
      <c r="M39" s="10"/>
      <c r="O39" s="71" t="s">
        <v>41</v>
      </c>
      <c r="P39" s="72" t="s">
        <v>43</v>
      </c>
      <c r="Q39" s="72"/>
      <c r="R39" s="62">
        <v>1</v>
      </c>
      <c r="S39" s="63" t="s">
        <v>14</v>
      </c>
      <c r="T39" s="64">
        <v>625</v>
      </c>
      <c r="U39" s="65">
        <f t="shared" si="4"/>
        <v>625</v>
      </c>
      <c r="V39" s="66">
        <v>0.15</v>
      </c>
      <c r="W39" s="67">
        <f>U39+U39*V39</f>
        <v>718.75</v>
      </c>
      <c r="X39" s="10"/>
      <c r="Z39" s="50"/>
    </row>
    <row r="40" spans="1:26" x14ac:dyDescent="0.2">
      <c r="A40" s="58"/>
      <c r="B40" s="58"/>
      <c r="C40" s="58"/>
      <c r="D40" s="58"/>
      <c r="E40" s="58"/>
      <c r="F40" s="58"/>
      <c r="G40" s="59"/>
      <c r="H40" s="59"/>
      <c r="I40" s="59"/>
      <c r="J40" s="60"/>
      <c r="K40" s="58"/>
      <c r="L40" s="58"/>
      <c r="O40" s="68"/>
      <c r="P40" s="68" t="s">
        <v>44</v>
      </c>
      <c r="Q40" s="68" t="s">
        <v>51</v>
      </c>
      <c r="R40" s="69" t="s">
        <v>20</v>
      </c>
      <c r="S40" s="69" t="s">
        <v>3</v>
      </c>
      <c r="T40" s="69" t="s">
        <v>50</v>
      </c>
      <c r="U40" s="70" t="s">
        <v>39</v>
      </c>
      <c r="V40" s="68" t="s">
        <v>31</v>
      </c>
      <c r="W40" s="68" t="s">
        <v>32</v>
      </c>
    </row>
    <row r="41" spans="1:26" ht="128.25" customHeight="1" x14ac:dyDescent="0.2">
      <c r="A41" s="89"/>
      <c r="B41" s="90"/>
      <c r="C41" s="90"/>
      <c r="D41" s="90"/>
      <c r="E41" s="90"/>
      <c r="F41" s="91"/>
      <c r="G41" s="12"/>
      <c r="H41" s="15"/>
      <c r="I41" s="14"/>
      <c r="J41" s="13"/>
      <c r="K41" s="57"/>
      <c r="L41" s="61"/>
      <c r="M41" s="10"/>
      <c r="O41" s="71" t="s">
        <v>42</v>
      </c>
      <c r="P41" s="72" t="s">
        <v>43</v>
      </c>
      <c r="Q41" s="73" t="s">
        <v>48</v>
      </c>
      <c r="R41" s="62">
        <v>1</v>
      </c>
      <c r="S41" s="63" t="s">
        <v>14</v>
      </c>
      <c r="T41" s="64">
        <f>1380+247+800</f>
        <v>2427</v>
      </c>
      <c r="U41" s="65">
        <f t="shared" si="4"/>
        <v>2427</v>
      </c>
      <c r="V41" s="66">
        <v>0.15</v>
      </c>
      <c r="W41" s="67">
        <f t="shared" ref="W41:W42" si="5">U41+U41*V41</f>
        <v>2791.05</v>
      </c>
      <c r="X41" s="10"/>
      <c r="Z41" s="50"/>
    </row>
    <row r="42" spans="1:26" ht="134.25" customHeight="1" x14ac:dyDescent="0.2">
      <c r="A42" s="89"/>
      <c r="B42" s="90"/>
      <c r="C42" s="90"/>
      <c r="D42" s="90"/>
      <c r="E42" s="90"/>
      <c r="F42" s="91"/>
      <c r="G42" s="12"/>
      <c r="H42" s="15"/>
      <c r="I42" s="14"/>
      <c r="J42" s="13"/>
      <c r="K42" s="57"/>
      <c r="L42" s="61"/>
      <c r="M42" s="10"/>
      <c r="O42" s="71" t="s">
        <v>47</v>
      </c>
      <c r="P42" s="72" t="s">
        <v>46</v>
      </c>
      <c r="Q42" s="73" t="s">
        <v>49</v>
      </c>
      <c r="R42" s="62">
        <v>1</v>
      </c>
      <c r="S42" s="63" t="s">
        <v>14</v>
      </c>
      <c r="T42" s="64">
        <f>860+247+900</f>
        <v>2007</v>
      </c>
      <c r="U42" s="65">
        <f t="shared" si="4"/>
        <v>2007</v>
      </c>
      <c r="V42" s="66">
        <v>0.15</v>
      </c>
      <c r="W42" s="67">
        <f t="shared" si="5"/>
        <v>2308.0500000000002</v>
      </c>
      <c r="X42" s="10"/>
      <c r="Z42" s="50"/>
    </row>
  </sheetData>
  <mergeCells count="11">
    <mergeCell ref="A42:F42"/>
    <mergeCell ref="A36:F36"/>
    <mergeCell ref="A37:F37"/>
    <mergeCell ref="A38:F38"/>
    <mergeCell ref="A39:F39"/>
    <mergeCell ref="A41:F41"/>
    <mergeCell ref="C15:F15"/>
    <mergeCell ref="I1:L1"/>
    <mergeCell ref="I2:L2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CGC BP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2016-10-07T22:11:22Z</dcterms:modified>
</cp:coreProperties>
</file>