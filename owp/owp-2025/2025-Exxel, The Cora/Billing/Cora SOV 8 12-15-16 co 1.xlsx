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<sst xmlns="http://schemas.openxmlformats.org/spreadsheetml/2006/main" count="176" uniqueCount="112">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</sst>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20" zoomScale="120" zoomScaleNormal="100" zoomScaleSheetLayoutView="120" workbookViewId="0">
      <selection activeCell="H88" sqref="H88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8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42719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42734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211200</v>
      </c>
      <c r="F11" s="36">
        <f>SUM(F12:F66)</f>
        <v>424100</v>
      </c>
      <c r="G11" s="36"/>
      <c r="H11" s="36">
        <f>SUM(H12:H66)</f>
        <v>635300</v>
      </c>
      <c r="I11" s="12">
        <f>H11/D11</f>
        <v>0.53870940388365984</v>
      </c>
      <c r="J11" s="43">
        <f>SUM(J12:J66)</f>
        <v>544000</v>
      </c>
      <c r="K11" s="27">
        <f>SUM(K12:K66)</f>
        <v>31765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12000</v>
      </c>
      <c r="G20" s="41"/>
      <c r="H20" s="40">
        <v>12000</v>
      </c>
      <c r="I20" s="16">
        <f t="shared" si="1"/>
        <v>0.43636363636363634</v>
      </c>
      <c r="J20" s="46">
        <f t="shared" si="2"/>
        <v>15500</v>
      </c>
      <c r="K20" s="28">
        <f t="shared" si="3"/>
        <v>600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>
        <v>4000</v>
      </c>
      <c r="F22" s="39">
        <f t="shared" si="0"/>
        <v>10000</v>
      </c>
      <c r="G22" s="41"/>
      <c r="H22" s="40">
        <v>14000</v>
      </c>
      <c r="I22" s="16">
        <f t="shared" si="1"/>
        <v>0.85889570552147243</v>
      </c>
      <c r="J22" s="46">
        <f t="shared" si="2"/>
        <v>2300</v>
      </c>
      <c r="K22" s="28">
        <f t="shared" si="3"/>
        <v>700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>
        <v>10000</v>
      </c>
      <c r="F25" s="39">
        <f t="shared" si="0"/>
        <v>39500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>
        <v>9500</v>
      </c>
      <c r="F27" s="39">
        <f t="shared" si="4"/>
        <v>9500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>
        <v>4300</v>
      </c>
      <c r="F28" s="39">
        <f t="shared" si="4"/>
        <v>38700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>
        <v>8500</v>
      </c>
      <c r="F29" s="39">
        <f t="shared" si="4"/>
        <v>33900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3000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>
        <v>12000</v>
      </c>
      <c r="F33" s="39">
        <f>H33-E33</f>
        <v>96000</v>
      </c>
      <c r="G33" s="41"/>
      <c r="H33" s="40">
        <v>108000</v>
      </c>
      <c r="I33" s="16">
        <f>H33/D33</f>
        <v>0.90075062552126772</v>
      </c>
      <c r="J33" s="46">
        <f>D33-H33</f>
        <v>11900</v>
      </c>
      <c r="K33" s="28">
        <f>0.05*H33</f>
        <v>5400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10200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108000</v>
      </c>
      <c r="G36" s="41"/>
      <c r="H36" s="40">
        <v>108000</v>
      </c>
      <c r="I36" s="16">
        <f t="shared" si="1"/>
        <v>0.90075062552126772</v>
      </c>
      <c r="J36" s="46">
        <f t="shared" si="2"/>
        <v>11900</v>
      </c>
      <c r="K36" s="28">
        <f t="shared" si="3"/>
        <v>5400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10200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48000</v>
      </c>
      <c r="G39" s="41"/>
      <c r="H39" s="40">
        <v>48000</v>
      </c>
      <c r="I39" s="16">
        <f t="shared" si="1"/>
        <v>0.40033361134278567</v>
      </c>
      <c r="J39" s="46">
        <f t="shared" si="2"/>
        <v>71900</v>
      </c>
      <c r="K39" s="28">
        <f t="shared" si="3"/>
        <v>2400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5100</v>
      </c>
      <c r="G40" s="41"/>
      <c r="H40" s="40">
        <v>5100</v>
      </c>
      <c r="I40" s="16">
        <f t="shared" si="1"/>
        <v>0.5</v>
      </c>
      <c r="J40" s="46">
        <f t="shared" si="2"/>
        <v>5100</v>
      </c>
      <c r="K40" s="28">
        <f t="shared" si="3"/>
        <v>255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211200</v>
      </c>
      <c r="F67" s="38">
        <f t="shared" si="16"/>
        <v>424100</v>
      </c>
      <c r="G67" s="38">
        <f t="shared" si="16"/>
        <v>0</v>
      </c>
      <c r="H67" s="38">
        <f t="shared" si="16"/>
        <v>635300</v>
      </c>
      <c r="I67" s="38" t="e">
        <f t="shared" si="16"/>
        <v>#DIV/0!</v>
      </c>
      <c r="J67" s="46">
        <f>D67-H67</f>
        <v>544000</v>
      </c>
      <c r="K67" s="38">
        <f>SUM(K13:K66)</f>
        <v>30215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111</v>
      </c>
      <c r="C69" s="18"/>
      <c r="D69" s="38">
        <v>700</v>
      </c>
      <c r="E69" s="38"/>
      <c r="F69" s="39">
        <f t="shared" ref="F69:F86" si="17">H69-E69</f>
        <v>0</v>
      </c>
      <c r="G69" s="35"/>
      <c r="H69" s="40">
        <v>0</v>
      </c>
      <c r="I69" s="16">
        <f t="shared" ref="I69:I86" si="18">H69/D69</f>
        <v>0</v>
      </c>
      <c r="J69" s="46">
        <f t="shared" si="14"/>
        <v>700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700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1180000</v>
      </c>
      <c r="E87" s="38">
        <f t="shared" si="24"/>
        <v>211200</v>
      </c>
      <c r="F87" s="38">
        <f t="shared" si="24"/>
        <v>424100</v>
      </c>
      <c r="G87" s="38">
        <f t="shared" si="24"/>
        <v>0</v>
      </c>
      <c r="H87" s="38">
        <f t="shared" si="24"/>
        <v>635300</v>
      </c>
      <c r="I87" s="12">
        <f>H87/D87</f>
        <v>0.53838983050847455</v>
      </c>
      <c r="J87" s="46">
        <f t="shared" si="14"/>
        <v>544700</v>
      </c>
      <c r="K87" s="38">
        <f>SUM(K67:K86)</f>
        <v>30215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2016-08-19T15:50:53Z</cp:lastPrinted>
  <dcterms:created xsi:type="dcterms:W3CDTF">2001-02-05T15:33:02Z</dcterms:created>
  <dcterms:modified xsi:type="dcterms:W3CDTF">2016-12-15T18:40:51Z</dcterms:modified>
</cp:coreProperties>
</file>