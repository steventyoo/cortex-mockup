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5-Exxel, The Cora\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MailAutoSig" localSheetId="0">'Schedule of V. Backup'!$A$36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Backup'!$A$1:$K$87</definedName>
    <definedName name="_xlnm.Print_Area">#REF!</definedName>
    <definedName name="PRINT_AREA_MI">#REF!</definedName>
    <definedName name="_xlnm.Print_Titles" localSheetId="0">'Schedule of V. Backup'!$1:$9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K32" i="6" l="1"/>
  <c r="J32" i="6"/>
  <c r="I32" i="6"/>
  <c r="F32" i="6"/>
  <c r="F84" i="6" l="1"/>
  <c r="K84" i="6"/>
  <c r="I84" i="6"/>
  <c r="J84" i="6"/>
  <c r="A86" i="6" l="1"/>
  <c r="F45" i="6" l="1"/>
  <c r="E11" i="6" l="1"/>
  <c r="H11" i="6" l="1"/>
  <c r="K12" i="6" l="1"/>
  <c r="K13" i="6"/>
  <c r="K77" i="6"/>
  <c r="J77" i="6"/>
  <c r="I77" i="6"/>
  <c r="F77" i="6"/>
  <c r="K76" i="6"/>
  <c r="J76" i="6"/>
  <c r="I76" i="6"/>
  <c r="F76" i="6"/>
  <c r="K75" i="6"/>
  <c r="J75" i="6"/>
  <c r="I75" i="6"/>
  <c r="F75" i="6"/>
  <c r="K74" i="6"/>
  <c r="J74" i="6"/>
  <c r="I74" i="6"/>
  <c r="F74" i="6"/>
  <c r="K73" i="6"/>
  <c r="J73" i="6"/>
  <c r="I73" i="6"/>
  <c r="F73" i="6"/>
  <c r="K72" i="6"/>
  <c r="J72" i="6"/>
  <c r="I72" i="6"/>
  <c r="F72" i="6"/>
  <c r="K71" i="6"/>
  <c r="J71" i="6"/>
  <c r="I71" i="6"/>
  <c r="F71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F82" i="6"/>
  <c r="I82" i="6"/>
  <c r="J82" i="6"/>
  <c r="K82" i="6"/>
  <c r="F83" i="6"/>
  <c r="I83" i="6"/>
  <c r="J83" i="6"/>
  <c r="K83" i="6"/>
  <c r="K33" i="6"/>
  <c r="J33" i="6"/>
  <c r="I33" i="6"/>
  <c r="F33" i="6"/>
  <c r="K59" i="6"/>
  <c r="J59" i="6"/>
  <c r="I59" i="6"/>
  <c r="F59" i="6"/>
  <c r="K58" i="6"/>
  <c r="J58" i="6"/>
  <c r="I58" i="6"/>
  <c r="F58" i="6"/>
  <c r="K38" i="6"/>
  <c r="J38" i="6"/>
  <c r="I38" i="6"/>
  <c r="F38" i="6"/>
  <c r="K37" i="6"/>
  <c r="J37" i="6"/>
  <c r="I37" i="6"/>
  <c r="F37" i="6"/>
  <c r="F36" i="6"/>
  <c r="I36" i="6"/>
  <c r="J36" i="6"/>
  <c r="K36" i="6"/>
  <c r="F39" i="6"/>
  <c r="I39" i="6"/>
  <c r="J39" i="6"/>
  <c r="K39" i="6"/>
  <c r="D11" i="6"/>
  <c r="E67" i="6"/>
  <c r="E87" i="6" s="1"/>
  <c r="D67" i="6"/>
  <c r="D87" i="6" s="1"/>
  <c r="F12" i="6"/>
  <c r="I12" i="6"/>
  <c r="J12" i="6"/>
  <c r="F13" i="6"/>
  <c r="I13" i="6"/>
  <c r="J13" i="6"/>
  <c r="F14" i="6"/>
  <c r="I14" i="6"/>
  <c r="J14" i="6"/>
  <c r="K14" i="6"/>
  <c r="F15" i="6"/>
  <c r="I15" i="6"/>
  <c r="J15" i="6"/>
  <c r="K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9" i="6"/>
  <c r="I29" i="6"/>
  <c r="J29" i="6"/>
  <c r="K29" i="6"/>
  <c r="F30" i="6"/>
  <c r="I30" i="6"/>
  <c r="J30" i="6"/>
  <c r="K30" i="6"/>
  <c r="F31" i="6"/>
  <c r="I31" i="6"/>
  <c r="J31" i="6"/>
  <c r="K31" i="6"/>
  <c r="F34" i="6"/>
  <c r="I34" i="6"/>
  <c r="J34" i="6"/>
  <c r="K34" i="6"/>
  <c r="F35" i="6"/>
  <c r="I35" i="6"/>
  <c r="J35" i="6"/>
  <c r="K35" i="6"/>
  <c r="F27" i="6"/>
  <c r="I27" i="6"/>
  <c r="J27" i="6"/>
  <c r="K27" i="6"/>
  <c r="F28" i="6"/>
  <c r="I28" i="6"/>
  <c r="J28" i="6"/>
  <c r="K28" i="6"/>
  <c r="F26" i="6"/>
  <c r="I26" i="6"/>
  <c r="J26" i="6"/>
  <c r="K26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F65" i="6"/>
  <c r="I65" i="6"/>
  <c r="J65" i="6"/>
  <c r="K65" i="6"/>
  <c r="F66" i="6"/>
  <c r="I66" i="6"/>
  <c r="J66" i="6"/>
  <c r="K66" i="6"/>
  <c r="G67" i="6"/>
  <c r="G87" i="6" s="1"/>
  <c r="H67" i="6"/>
  <c r="H87" i="6" s="1"/>
  <c r="F69" i="6"/>
  <c r="I69" i="6"/>
  <c r="J69" i="6"/>
  <c r="K69" i="6"/>
  <c r="F70" i="6"/>
  <c r="I70" i="6"/>
  <c r="J70" i="6"/>
  <c r="K70" i="6"/>
  <c r="F85" i="6"/>
  <c r="I85" i="6"/>
  <c r="J85" i="6"/>
  <c r="K85" i="6"/>
  <c r="F86" i="6"/>
  <c r="I86" i="6"/>
  <c r="J86" i="6"/>
  <c r="K86" i="6"/>
  <c r="I87" i="6" l="1"/>
  <c r="J87" i="6"/>
  <c r="F11" i="6"/>
  <c r="I67" i="6"/>
  <c r="K67" i="6"/>
  <c r="K87" i="6" s="1"/>
  <c r="J67" i="6"/>
  <c r="I11" i="6"/>
  <c r="J11" i="6"/>
  <c r="K11" i="6"/>
  <c r="F67" i="6"/>
  <c r="F87" i="6" s="1"/>
</calcChain>
</file>

<file path=xl/sharedStrings.xml><?xml version="1.0" encoding="utf-8"?>
<sst xmlns="http://schemas.openxmlformats.org/spreadsheetml/2006/main" count="175" uniqueCount="111">
  <si>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</si>
  <si>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</si>
  <si>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</si>
  <si>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</si>
  <si>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</si>
  <si>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</si>
  <si>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</si>
  <si>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</si>
  <si>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</si>
  <si>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</si>
  <si>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</si>
  <si>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</si>
  <si>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</si>
  <si>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</si>
  <si>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</si>
  <si>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</si>
  <si>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</si>
  <si>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</si>
  <si>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</si>
  <si>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</si>
  <si>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</si>
  <si>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</si>
  <si>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</si>
  <si>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</si>
  <si>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</si>
  <si>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</si>
  <si>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</si>
  <si>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</si>
  <si>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</si>
  <si>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</si>
  <si>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</si>
  <si>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</si>
  <si>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</si>
  <si>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</si>
  <si>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</si>
  <si>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</si>
  <si>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</si>
  <si>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</si>
  <si>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</si>
  <si>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</si>
  <si>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</si>
  <si>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</si>
  <si>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</si>
  <si>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</si>
  <si>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</si>
  <si>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SEATTLE</t>
  </si>
  <si>
    <t>roughin plumbing in units at level 1 west</t>
  </si>
  <si>
    <t>P1 parking</t>
  </si>
  <si>
    <t xml:space="preserve">stock and install sump pump for foundation/storm drain </t>
  </si>
  <si>
    <t>stock and install sump pump for garage floor drainage</t>
  </si>
  <si>
    <t>L2 water mains</t>
  </si>
  <si>
    <t>CO#2</t>
  </si>
  <si>
    <t>CO#3</t>
  </si>
  <si>
    <t>CO#4</t>
  </si>
  <si>
    <t>CO#5</t>
  </si>
  <si>
    <t>CO#6</t>
  </si>
  <si>
    <t>CO#7</t>
  </si>
  <si>
    <t>CO#1</t>
  </si>
  <si>
    <t>CO#8</t>
  </si>
  <si>
    <t>CO#9</t>
  </si>
  <si>
    <t>CO#10</t>
  </si>
  <si>
    <t>CO#11</t>
  </si>
  <si>
    <t>CO#12</t>
  </si>
  <si>
    <t>CO#13</t>
  </si>
  <si>
    <t>CO#14</t>
  </si>
  <si>
    <t>CO#15</t>
  </si>
  <si>
    <t>CO#16</t>
  </si>
  <si>
    <t>CO#17</t>
  </si>
  <si>
    <t>plumbing design and engineering</t>
  </si>
  <si>
    <t>plumbing permits</t>
  </si>
  <si>
    <t xml:space="preserve">underground drain &amp; foundation piping and structures </t>
  </si>
  <si>
    <t>L1 PT deck</t>
  </si>
  <si>
    <t>gas piping house main</t>
  </si>
  <si>
    <t>L2</t>
  </si>
  <si>
    <t xml:space="preserve">install fiberglass tubs </t>
  </si>
  <si>
    <t xml:space="preserve">stock fiberglass tubs </t>
  </si>
  <si>
    <t xml:space="preserve">roughin plumbing </t>
  </si>
  <si>
    <t>L3</t>
  </si>
  <si>
    <t>L4</t>
  </si>
  <si>
    <t>L5</t>
  </si>
  <si>
    <t>L6</t>
  </si>
  <si>
    <t>install toilets, lavs and sinks</t>
  </si>
  <si>
    <t>L1 trim</t>
  </si>
  <si>
    <t>L2 trim</t>
  </si>
  <si>
    <t>L3 trim</t>
  </si>
  <si>
    <t>L4 trim</t>
  </si>
  <si>
    <t>L5 trim</t>
  </si>
  <si>
    <t>L6 trim</t>
  </si>
  <si>
    <t>hot, cold and return main water lines</t>
  </si>
  <si>
    <t xml:space="preserve">install fiberglass tubs in units </t>
  </si>
  <si>
    <t xml:space="preserve">stock fiberglass tubs in units </t>
  </si>
  <si>
    <t xml:space="preserve">waste, vent and drain piping </t>
  </si>
  <si>
    <t xml:space="preserve">canout, sleeve, loop water piping </t>
  </si>
  <si>
    <t>The Cora Apartments</t>
  </si>
  <si>
    <t xml:space="preserve"> P1 underground</t>
  </si>
  <si>
    <t>P1 sump pumps</t>
  </si>
  <si>
    <t>stock water heaters and mechanical equipment</t>
  </si>
  <si>
    <t>P1 boiler room</t>
  </si>
  <si>
    <t>P1 mech water room</t>
  </si>
  <si>
    <t>install pressure pump and backflow devices</t>
  </si>
  <si>
    <t>stock pressure pump and backflow devices</t>
  </si>
  <si>
    <t>install water heaters and mechanical equipment</t>
  </si>
  <si>
    <t>L1 parking</t>
  </si>
  <si>
    <t>L2 PT deck</t>
  </si>
  <si>
    <t>L2parking</t>
  </si>
  <si>
    <t>L7</t>
  </si>
  <si>
    <t>L7 trim</t>
  </si>
  <si>
    <t>gas piping</t>
  </si>
  <si>
    <t>L3 PT deck</t>
  </si>
  <si>
    <t>L1 units/amenity</t>
  </si>
  <si>
    <t>L2 units/amenity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</si>
</sst>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4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5" fillId="0" borderId="7" xfId="3" quotePrefix="1" applyFont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4" fillId="0" borderId="21" xfId="3" applyFont="1" applyBorder="1"/>
    <xf numFmtId="0" fontId="5" fillId="0" borderId="21" xfId="3" applyFont="1" applyBorder="1" applyAlignment="1">
      <alignment horizontal="center"/>
    </xf>
    <xf numFmtId="4" fontId="5" fillId="0" borderId="21" xfId="3" applyNumberFormat="1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4" fillId="0" borderId="24" xfId="3" applyNumberFormat="1" applyFont="1" applyBorder="1"/>
    <xf numFmtId="0" fontId="5" fillId="0" borderId="25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8" fillId="0" borderId="7" xfId="3" applyFont="1" applyFill="1" applyBorder="1"/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4" fontId="5" fillId="0" borderId="0" xfId="3" applyNumberFormat="1" applyFont="1" applyAlignment="1">
      <alignment horizontal="center" vertical="center"/>
    </xf>
    <xf numFmtId="0" fontId="9" fillId="0" borderId="7" xfId="3" quotePrefix="1" applyFont="1" applyFill="1" applyBorder="1" applyAlignment="1">
      <alignment horizontal="left" vertical="center"/>
    </xf>
    <xf numFmtId="0" fontId="9" fillId="0" borderId="7" xfId="3" applyFont="1" applyFill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4" fontId="5" fillId="0" borderId="8" xfId="3" applyNumberFormat="1" applyFont="1" applyFill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" fillId="0" borderId="0" xfId="3" applyFont="1"/>
    <xf numFmtId="0" fontId="5" fillId="0" borderId="8" xfId="3" quotePrefix="1" applyFont="1" applyBorder="1" applyAlignment="1">
      <alignment horizontal="center" vertical="center"/>
    </xf>
    <xf numFmtId="0" fontId="11" fillId="0" borderId="8" xfId="3" applyFont="1" applyFill="1" applyBorder="1" applyAlignment="1">
      <alignment horizontal="center" vertical="center"/>
    </xf>
    <xf numFmtId="0" fontId="12" fillId="0" borderId="8" xfId="3" applyFont="1" applyFill="1" applyBorder="1" applyAlignment="1">
      <alignment horizontal="center" vertical="center"/>
    </xf>
    <xf numFmtId="0" fontId="5" fillId="0" borderId="8" xfId="3" quotePrefix="1" applyFont="1" applyFill="1" applyBorder="1" applyAlignment="1">
      <alignment horizontal="left" vertical="center"/>
    </xf>
    <xf numFmtId="0" fontId="8" fillId="0" borderId="7" xfId="3" applyFont="1" applyBorder="1" applyAlignment="1">
      <alignment horizontal="left" vertical="center"/>
    </xf>
    <xf numFmtId="0" fontId="8" fillId="0" borderId="7" xfId="3" applyFont="1" applyFill="1" applyBorder="1" applyAlignment="1">
      <alignment horizontal="left" vertical="center"/>
    </xf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6" xfId="3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9" xfId="3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6"/>
  <sheetViews>
    <sheetView tabSelected="1" view="pageBreakPreview" zoomScale="120" zoomScaleNormal="100" zoomScaleSheetLayoutView="120" workbookViewId="0">
      <selection activeCell="H21" sqref="H21"/>
    </sheetView>
  </sheetViews>
  <sheetFormatPr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23.25" x14ac:dyDescent="0.35">
      <c r="A1" s="47" t="s">
        <v>39</v>
      </c>
      <c r="I1" s="2"/>
    </row>
    <row r="2" spans="1:11" x14ac:dyDescent="0.2">
      <c r="A2" s="3" t="s">
        <v>44</v>
      </c>
      <c r="B2" s="67" t="s">
        <v>93</v>
      </c>
      <c r="F2" s="29" t="s">
        <v>7</v>
      </c>
      <c r="G2" s="29"/>
      <c r="H2" s="58">
        <v>3</v>
      </c>
      <c r="I2" s="2"/>
      <c r="J2" s="44"/>
    </row>
    <row r="3" spans="1:11" x14ac:dyDescent="0.2">
      <c r="A3" s="3" t="s">
        <v>43</v>
      </c>
      <c r="B3" s="1" t="s">
        <v>45</v>
      </c>
      <c r="F3" s="29" t="s">
        <v>22</v>
      </c>
      <c r="G3" s="29"/>
      <c r="H3" s="59">
        <v>42571</v>
      </c>
      <c r="I3" s="2"/>
      <c r="J3" s="44"/>
    </row>
    <row r="4" spans="1:11" x14ac:dyDescent="0.2">
      <c r="A4" s="3" t="s">
        <v>8</v>
      </c>
      <c r="E4" s="22" t="s">
        <v>9</v>
      </c>
      <c r="F4" s="29" t="s">
        <v>0</v>
      </c>
      <c r="G4" s="29"/>
      <c r="H4" s="59">
        <v>42582</v>
      </c>
      <c r="I4" s="2"/>
    </row>
    <row r="5" spans="1:11" ht="13.5" thickBot="1" x14ac:dyDescent="0.25">
      <c r="A5" s="3"/>
      <c r="F5" s="29"/>
      <c r="G5" s="29"/>
      <c r="H5" s="60"/>
      <c r="I5" s="2"/>
    </row>
    <row r="6" spans="1:11" ht="14.25" thickTop="1" thickBot="1" x14ac:dyDescent="0.25">
      <c r="A6" s="49" t="s">
        <v>24</v>
      </c>
      <c r="B6" s="49" t="s">
        <v>25</v>
      </c>
      <c r="C6" s="48"/>
      <c r="D6" s="50" t="s">
        <v>23</v>
      </c>
      <c r="E6" s="50" t="s">
        <v>26</v>
      </c>
      <c r="F6" s="50" t="s">
        <v>27</v>
      </c>
      <c r="G6" s="51" t="s">
        <v>28</v>
      </c>
      <c r="H6" s="78" t="s">
        <v>29</v>
      </c>
      <c r="I6" s="79"/>
      <c r="J6" s="50" t="s">
        <v>30</v>
      </c>
      <c r="K6" s="50" t="s">
        <v>31</v>
      </c>
    </row>
    <row r="7" spans="1:11" ht="14.25" thickTop="1" thickBot="1" x14ac:dyDescent="0.25">
      <c r="A7" s="4" t="s">
        <v>41</v>
      </c>
      <c r="B7" s="5" t="s">
        <v>10</v>
      </c>
      <c r="C7" s="5" t="s">
        <v>11</v>
      </c>
      <c r="D7" s="30" t="s">
        <v>12</v>
      </c>
      <c r="E7" s="76" t="s">
        <v>32</v>
      </c>
      <c r="F7" s="77"/>
      <c r="G7" s="54" t="s">
        <v>6</v>
      </c>
      <c r="H7" s="30" t="s">
        <v>18</v>
      </c>
      <c r="I7" s="6" t="s">
        <v>13</v>
      </c>
      <c r="J7" s="23" t="s">
        <v>2</v>
      </c>
      <c r="K7" s="23" t="s">
        <v>3</v>
      </c>
    </row>
    <row r="8" spans="1:11" x14ac:dyDescent="0.2">
      <c r="A8" s="7" t="s">
        <v>42</v>
      </c>
      <c r="B8" s="8"/>
      <c r="C8" s="8" t="s">
        <v>15</v>
      </c>
      <c r="D8" s="31" t="s">
        <v>19</v>
      </c>
      <c r="E8" s="31" t="s">
        <v>33</v>
      </c>
      <c r="F8" s="24" t="s">
        <v>14</v>
      </c>
      <c r="G8" s="52" t="s">
        <v>6</v>
      </c>
      <c r="H8" s="31" t="s">
        <v>1</v>
      </c>
      <c r="I8" s="9" t="s">
        <v>16</v>
      </c>
      <c r="J8" s="24" t="s">
        <v>5</v>
      </c>
      <c r="K8" s="56">
        <v>0.05</v>
      </c>
    </row>
    <row r="9" spans="1:11" ht="13.5" thickBot="1" x14ac:dyDescent="0.25">
      <c r="A9" s="7" t="s">
        <v>40</v>
      </c>
      <c r="B9" s="8"/>
      <c r="C9" s="8"/>
      <c r="D9" s="31"/>
      <c r="E9" s="31" t="s">
        <v>38</v>
      </c>
      <c r="F9" s="24" t="s">
        <v>34</v>
      </c>
      <c r="G9" s="52"/>
      <c r="H9" s="31" t="s">
        <v>4</v>
      </c>
      <c r="I9" s="21"/>
      <c r="J9" s="24"/>
      <c r="K9" s="25"/>
    </row>
    <row r="10" spans="1:11" x14ac:dyDescent="0.2">
      <c r="A10" s="10"/>
      <c r="B10" s="11"/>
      <c r="C10" s="11"/>
      <c r="D10" s="32"/>
      <c r="E10" s="32"/>
      <c r="F10" s="33"/>
      <c r="G10" s="53"/>
      <c r="H10" s="32"/>
      <c r="I10" s="20"/>
      <c r="J10" s="45"/>
      <c r="K10" s="26"/>
    </row>
    <row r="11" spans="1:11" ht="15" x14ac:dyDescent="0.25">
      <c r="A11" s="55" t="s">
        <v>35</v>
      </c>
      <c r="B11" s="13" t="s">
        <v>36</v>
      </c>
      <c r="C11" s="14"/>
      <c r="D11" s="34">
        <f>SUM(D12:D66)</f>
        <v>1179300</v>
      </c>
      <c r="E11" s="35">
        <f>SUM(E12:E66)</f>
        <v>74900</v>
      </c>
      <c r="F11" s="36">
        <f>SUM(F12:F66)</f>
        <v>20000</v>
      </c>
      <c r="G11" s="36"/>
      <c r="H11" s="36">
        <f>SUM(H12:H66)</f>
        <v>94900</v>
      </c>
      <c r="I11" s="12">
        <f>H11/D11</f>
        <v>8.0471466123971852E-2</v>
      </c>
      <c r="J11" s="43">
        <f>SUM(J12:J66)</f>
        <v>1084400</v>
      </c>
      <c r="K11" s="27">
        <f>SUM(K12:K66)</f>
        <v>4745</v>
      </c>
    </row>
    <row r="12" spans="1:11" x14ac:dyDescent="0.2">
      <c r="A12" s="68"/>
      <c r="B12" s="72" t="s">
        <v>68</v>
      </c>
      <c r="C12" s="14"/>
      <c r="D12" s="37">
        <v>31000</v>
      </c>
      <c r="E12" s="38">
        <v>31000</v>
      </c>
      <c r="F12" s="39">
        <f t="shared" ref="F12:F57" si="0">H12-E12</f>
        <v>0</v>
      </c>
      <c r="G12" s="42"/>
      <c r="H12" s="40">
        <v>31000</v>
      </c>
      <c r="I12" s="16">
        <f t="shared" ref="I12:I57" si="1">H12/D12</f>
        <v>1</v>
      </c>
      <c r="J12" s="46">
        <f>D12-H12</f>
        <v>0</v>
      </c>
      <c r="K12" s="28">
        <f>0.05*H12</f>
        <v>1550</v>
      </c>
    </row>
    <row r="13" spans="1:11" ht="13.5" x14ac:dyDescent="0.2">
      <c r="A13" s="69"/>
      <c r="B13" s="73" t="s">
        <v>69</v>
      </c>
      <c r="C13" s="15" t="s">
        <v>37</v>
      </c>
      <c r="D13" s="37">
        <v>7900</v>
      </c>
      <c r="E13" s="38">
        <v>7900</v>
      </c>
      <c r="F13" s="39">
        <f t="shared" si="0"/>
        <v>0</v>
      </c>
      <c r="G13" s="41"/>
      <c r="H13" s="40">
        <v>7900</v>
      </c>
      <c r="I13" s="16">
        <f t="shared" si="1"/>
        <v>1</v>
      </c>
      <c r="J13" s="46">
        <f t="shared" ref="J13:J57" si="2">D13-H13</f>
        <v>0</v>
      </c>
      <c r="K13" s="28">
        <f>0.05*H13</f>
        <v>395</v>
      </c>
    </row>
    <row r="14" spans="1:11" x14ac:dyDescent="0.2">
      <c r="A14" s="70" t="s">
        <v>94</v>
      </c>
      <c r="B14" s="73" t="s">
        <v>70</v>
      </c>
      <c r="C14" s="15" t="s">
        <v>37</v>
      </c>
      <c r="D14" s="37">
        <v>56000</v>
      </c>
      <c r="E14" s="38">
        <v>36000</v>
      </c>
      <c r="F14" s="39">
        <f t="shared" si="0"/>
        <v>20000</v>
      </c>
      <c r="G14" s="41"/>
      <c r="H14" s="40">
        <v>56000</v>
      </c>
      <c r="I14" s="16">
        <f t="shared" si="1"/>
        <v>1</v>
      </c>
      <c r="J14" s="46">
        <f t="shared" si="2"/>
        <v>0</v>
      </c>
      <c r="K14" s="28">
        <f t="shared" ref="K14:K57" si="3">0.05*H14</f>
        <v>2800</v>
      </c>
    </row>
    <row r="15" spans="1:11" ht="13.5" x14ac:dyDescent="0.2">
      <c r="A15" s="69" t="s">
        <v>95</v>
      </c>
      <c r="B15" s="73" t="s">
        <v>48</v>
      </c>
      <c r="C15" s="15" t="s">
        <v>37</v>
      </c>
      <c r="D15" s="38">
        <v>8100</v>
      </c>
      <c r="E15" s="38"/>
      <c r="F15" s="39">
        <f t="shared" si="0"/>
        <v>0</v>
      </c>
      <c r="G15" s="41"/>
      <c r="H15" s="40">
        <v>0</v>
      </c>
      <c r="I15" s="16">
        <f t="shared" si="1"/>
        <v>0</v>
      </c>
      <c r="J15" s="46">
        <f t="shared" si="2"/>
        <v>8100</v>
      </c>
      <c r="K15" s="28">
        <f t="shared" si="3"/>
        <v>0</v>
      </c>
    </row>
    <row r="16" spans="1:11" ht="13.5" x14ac:dyDescent="0.2">
      <c r="A16" s="69" t="s">
        <v>95</v>
      </c>
      <c r="B16" s="73" t="s">
        <v>49</v>
      </c>
      <c r="C16" s="15"/>
      <c r="D16" s="37">
        <v>8100</v>
      </c>
      <c r="E16" s="38"/>
      <c r="F16" s="39">
        <f t="shared" si="0"/>
        <v>0</v>
      </c>
      <c r="G16" s="41"/>
      <c r="H16" s="40">
        <v>0</v>
      </c>
      <c r="I16" s="16">
        <f t="shared" si="1"/>
        <v>0</v>
      </c>
      <c r="J16" s="46">
        <f t="shared" si="2"/>
        <v>8100</v>
      </c>
      <c r="K16" s="28">
        <f t="shared" si="3"/>
        <v>0</v>
      </c>
    </row>
    <row r="17" spans="1:11" ht="13.5" x14ac:dyDescent="0.2">
      <c r="A17" s="69" t="s">
        <v>47</v>
      </c>
      <c r="B17" s="73" t="s">
        <v>91</v>
      </c>
      <c r="C17" s="15"/>
      <c r="D17" s="37">
        <v>23800</v>
      </c>
      <c r="E17" s="38"/>
      <c r="F17" s="39">
        <f t="shared" si="0"/>
        <v>0</v>
      </c>
      <c r="G17" s="41"/>
      <c r="H17" s="40">
        <v>0</v>
      </c>
      <c r="I17" s="16">
        <f t="shared" si="1"/>
        <v>0</v>
      </c>
      <c r="J17" s="46">
        <f t="shared" si="2"/>
        <v>23800</v>
      </c>
      <c r="K17" s="28">
        <f t="shared" si="3"/>
        <v>0</v>
      </c>
    </row>
    <row r="18" spans="1:11" ht="13.5" x14ac:dyDescent="0.2">
      <c r="A18" s="69" t="s">
        <v>97</v>
      </c>
      <c r="B18" s="73" t="s">
        <v>96</v>
      </c>
      <c r="C18" s="15" t="s">
        <v>37</v>
      </c>
      <c r="D18" s="38">
        <v>30300</v>
      </c>
      <c r="E18" s="38"/>
      <c r="F18" s="39">
        <f t="shared" si="0"/>
        <v>0</v>
      </c>
      <c r="G18" s="41"/>
      <c r="H18" s="40">
        <v>0</v>
      </c>
      <c r="I18" s="16">
        <f t="shared" si="1"/>
        <v>0</v>
      </c>
      <c r="J18" s="46">
        <f t="shared" si="2"/>
        <v>30300</v>
      </c>
      <c r="K18" s="28">
        <f t="shared" si="3"/>
        <v>0</v>
      </c>
    </row>
    <row r="19" spans="1:11" ht="13.5" x14ac:dyDescent="0.2">
      <c r="A19" s="69" t="s">
        <v>97</v>
      </c>
      <c r="B19" s="73" t="s">
        <v>101</v>
      </c>
      <c r="C19" s="15" t="s">
        <v>37</v>
      </c>
      <c r="D19" s="38">
        <v>22900</v>
      </c>
      <c r="E19" s="38"/>
      <c r="F19" s="39">
        <f t="shared" si="0"/>
        <v>0</v>
      </c>
      <c r="G19" s="41"/>
      <c r="H19" s="40">
        <v>0</v>
      </c>
      <c r="I19" s="16">
        <f t="shared" si="1"/>
        <v>0</v>
      </c>
      <c r="J19" s="46">
        <f t="shared" si="2"/>
        <v>22900</v>
      </c>
      <c r="K19" s="28">
        <f t="shared" si="3"/>
        <v>0</v>
      </c>
    </row>
    <row r="20" spans="1:11" ht="13.5" x14ac:dyDescent="0.2">
      <c r="A20" s="69" t="s">
        <v>98</v>
      </c>
      <c r="B20" s="73" t="s">
        <v>100</v>
      </c>
      <c r="C20" s="15" t="s">
        <v>37</v>
      </c>
      <c r="D20" s="38">
        <v>27500</v>
      </c>
      <c r="E20" s="38"/>
      <c r="F20" s="39">
        <f t="shared" si="0"/>
        <v>0</v>
      </c>
      <c r="G20" s="41"/>
      <c r="H20" s="40">
        <v>0</v>
      </c>
      <c r="I20" s="16">
        <f t="shared" si="1"/>
        <v>0</v>
      </c>
      <c r="J20" s="46">
        <f t="shared" si="2"/>
        <v>27500</v>
      </c>
      <c r="K20" s="28">
        <f t="shared" si="3"/>
        <v>0</v>
      </c>
    </row>
    <row r="21" spans="1:11" ht="13.5" x14ac:dyDescent="0.2">
      <c r="A21" s="69" t="s">
        <v>98</v>
      </c>
      <c r="B21" s="73" t="s">
        <v>99</v>
      </c>
      <c r="C21" s="15"/>
      <c r="D21" s="38">
        <v>14600</v>
      </c>
      <c r="E21" s="38"/>
      <c r="F21" s="39">
        <f t="shared" si="0"/>
        <v>0</v>
      </c>
      <c r="G21" s="41"/>
      <c r="H21" s="40">
        <v>0</v>
      </c>
      <c r="I21" s="16">
        <f t="shared" si="1"/>
        <v>0</v>
      </c>
      <c r="J21" s="46">
        <f t="shared" si="2"/>
        <v>14600</v>
      </c>
      <c r="K21" s="28">
        <f t="shared" si="3"/>
        <v>0</v>
      </c>
    </row>
    <row r="22" spans="1:11" ht="13.5" x14ac:dyDescent="0.2">
      <c r="A22" s="69" t="s">
        <v>107</v>
      </c>
      <c r="B22" s="73" t="s">
        <v>72</v>
      </c>
      <c r="C22" s="15"/>
      <c r="D22" s="38">
        <v>16300</v>
      </c>
      <c r="E22" s="38"/>
      <c r="F22" s="39">
        <f t="shared" si="0"/>
        <v>0</v>
      </c>
      <c r="G22" s="41"/>
      <c r="H22" s="40">
        <v>0</v>
      </c>
      <c r="I22" s="16">
        <f t="shared" si="1"/>
        <v>0</v>
      </c>
      <c r="J22" s="46">
        <f t="shared" si="2"/>
        <v>16300</v>
      </c>
      <c r="K22" s="28">
        <f t="shared" si="3"/>
        <v>0</v>
      </c>
    </row>
    <row r="23" spans="1:11" ht="13.5" x14ac:dyDescent="0.2">
      <c r="A23" s="69" t="s">
        <v>71</v>
      </c>
      <c r="B23" s="73" t="s">
        <v>92</v>
      </c>
      <c r="C23" s="15" t="s">
        <v>37</v>
      </c>
      <c r="D23" s="37">
        <v>6000</v>
      </c>
      <c r="E23" s="38"/>
      <c r="F23" s="39">
        <f t="shared" si="0"/>
        <v>0</v>
      </c>
      <c r="G23" s="41"/>
      <c r="H23" s="40">
        <v>0</v>
      </c>
      <c r="I23" s="16">
        <f t="shared" si="1"/>
        <v>0</v>
      </c>
      <c r="J23" s="46">
        <f t="shared" si="2"/>
        <v>6000</v>
      </c>
      <c r="K23" s="28">
        <f t="shared" si="3"/>
        <v>0</v>
      </c>
    </row>
    <row r="24" spans="1:11" ht="13.5" x14ac:dyDescent="0.2">
      <c r="A24" s="69" t="s">
        <v>102</v>
      </c>
      <c r="B24" s="73" t="s">
        <v>91</v>
      </c>
      <c r="C24" s="15" t="s">
        <v>37</v>
      </c>
      <c r="D24" s="38">
        <v>20200</v>
      </c>
      <c r="E24" s="38"/>
      <c r="F24" s="39">
        <f t="shared" si="0"/>
        <v>0</v>
      </c>
      <c r="G24" s="41"/>
      <c r="H24" s="40">
        <v>0</v>
      </c>
      <c r="I24" s="16">
        <f t="shared" si="1"/>
        <v>0</v>
      </c>
      <c r="J24" s="46">
        <f t="shared" si="2"/>
        <v>20200</v>
      </c>
      <c r="K24" s="28">
        <f t="shared" si="3"/>
        <v>0</v>
      </c>
    </row>
    <row r="25" spans="1:11" ht="13.5" x14ac:dyDescent="0.2">
      <c r="A25" s="69" t="s">
        <v>109</v>
      </c>
      <c r="B25" s="73" t="s">
        <v>91</v>
      </c>
      <c r="C25" s="15" t="s">
        <v>37</v>
      </c>
      <c r="D25" s="38">
        <v>49500</v>
      </c>
      <c r="E25" s="38"/>
      <c r="F25" s="39">
        <f t="shared" si="0"/>
        <v>0</v>
      </c>
      <c r="G25" s="41"/>
      <c r="H25" s="40">
        <v>0</v>
      </c>
      <c r="I25" s="16">
        <f t="shared" si="1"/>
        <v>0</v>
      </c>
      <c r="J25" s="46">
        <f t="shared" si="2"/>
        <v>49500</v>
      </c>
      <c r="K25" s="28">
        <f t="shared" si="3"/>
        <v>0</v>
      </c>
    </row>
    <row r="26" spans="1:11" ht="13.5" x14ac:dyDescent="0.2">
      <c r="A26" s="69" t="s">
        <v>103</v>
      </c>
      <c r="B26" s="73" t="s">
        <v>92</v>
      </c>
      <c r="C26" s="15"/>
      <c r="D26" s="38">
        <v>6000</v>
      </c>
      <c r="E26" s="38"/>
      <c r="F26" s="39">
        <f t="shared" ref="F26:F30" si="4">H26-E26</f>
        <v>0</v>
      </c>
      <c r="G26" s="41"/>
      <c r="H26" s="40">
        <v>0</v>
      </c>
      <c r="I26" s="16">
        <f t="shared" ref="I26:I30" si="5">H26/D26</f>
        <v>0</v>
      </c>
      <c r="J26" s="46">
        <f t="shared" ref="J26:J30" si="6">D26-H26</f>
        <v>6000</v>
      </c>
      <c r="K26" s="28">
        <f t="shared" ref="K26:K30" si="7">0.05*H26</f>
        <v>0</v>
      </c>
    </row>
    <row r="27" spans="1:11" ht="13.5" x14ac:dyDescent="0.2">
      <c r="A27" s="69" t="s">
        <v>104</v>
      </c>
      <c r="B27" s="73" t="s">
        <v>91</v>
      </c>
      <c r="C27" s="15"/>
      <c r="D27" s="38">
        <v>19000</v>
      </c>
      <c r="E27" s="38"/>
      <c r="F27" s="39">
        <f t="shared" si="4"/>
        <v>0</v>
      </c>
      <c r="G27" s="41"/>
      <c r="H27" s="40">
        <v>0</v>
      </c>
      <c r="I27" s="16">
        <f t="shared" si="5"/>
        <v>0</v>
      </c>
      <c r="J27" s="46">
        <f t="shared" si="6"/>
        <v>19000</v>
      </c>
      <c r="K27" s="28">
        <f t="shared" si="7"/>
        <v>0</v>
      </c>
    </row>
    <row r="28" spans="1:11" ht="13.5" x14ac:dyDescent="0.2">
      <c r="A28" s="69" t="s">
        <v>50</v>
      </c>
      <c r="B28" s="73" t="s">
        <v>88</v>
      </c>
      <c r="C28" s="15" t="s">
        <v>37</v>
      </c>
      <c r="D28" s="38">
        <v>43000</v>
      </c>
      <c r="E28" s="38"/>
      <c r="F28" s="39">
        <f t="shared" si="4"/>
        <v>0</v>
      </c>
      <c r="G28" s="41"/>
      <c r="H28" s="40">
        <v>0</v>
      </c>
      <c r="I28" s="16">
        <f t="shared" si="5"/>
        <v>0</v>
      </c>
      <c r="J28" s="46">
        <f t="shared" si="6"/>
        <v>43000</v>
      </c>
      <c r="K28" s="28">
        <f t="shared" si="7"/>
        <v>0</v>
      </c>
    </row>
    <row r="29" spans="1:11" ht="13.5" x14ac:dyDescent="0.2">
      <c r="A29" s="69" t="s">
        <v>110</v>
      </c>
      <c r="B29" s="73" t="s">
        <v>91</v>
      </c>
      <c r="C29" s="15"/>
      <c r="D29" s="38">
        <v>42400</v>
      </c>
      <c r="E29" s="38"/>
      <c r="F29" s="39">
        <f t="shared" si="4"/>
        <v>0</v>
      </c>
      <c r="G29" s="41"/>
      <c r="H29" s="40">
        <v>0</v>
      </c>
      <c r="I29" s="16">
        <f t="shared" si="5"/>
        <v>0</v>
      </c>
      <c r="J29" s="46">
        <f t="shared" si="6"/>
        <v>42400</v>
      </c>
      <c r="K29" s="28">
        <f t="shared" si="7"/>
        <v>0</v>
      </c>
    </row>
    <row r="30" spans="1:11" ht="13.5" x14ac:dyDescent="0.2">
      <c r="A30" s="69" t="s">
        <v>73</v>
      </c>
      <c r="B30" s="73" t="s">
        <v>90</v>
      </c>
      <c r="C30" s="15" t="s">
        <v>37</v>
      </c>
      <c r="D30" s="38">
        <v>3000</v>
      </c>
      <c r="E30" s="38"/>
      <c r="F30" s="39">
        <f t="shared" si="4"/>
        <v>0</v>
      </c>
      <c r="G30" s="41"/>
      <c r="H30" s="40">
        <v>0</v>
      </c>
      <c r="I30" s="16">
        <f t="shared" si="5"/>
        <v>0</v>
      </c>
      <c r="J30" s="46">
        <f t="shared" si="6"/>
        <v>3000</v>
      </c>
      <c r="K30" s="28">
        <f t="shared" si="7"/>
        <v>0</v>
      </c>
    </row>
    <row r="31" spans="1:11" ht="13.5" x14ac:dyDescent="0.2">
      <c r="A31" s="69" t="s">
        <v>73</v>
      </c>
      <c r="B31" s="73" t="s">
        <v>89</v>
      </c>
      <c r="C31" s="15" t="s">
        <v>37</v>
      </c>
      <c r="D31" s="38">
        <v>850</v>
      </c>
      <c r="E31" s="38"/>
      <c r="F31" s="39">
        <f t="shared" si="0"/>
        <v>0</v>
      </c>
      <c r="G31" s="41"/>
      <c r="H31" s="40">
        <v>0</v>
      </c>
      <c r="I31" s="16">
        <f t="shared" si="1"/>
        <v>0</v>
      </c>
      <c r="J31" s="46">
        <f t="shared" si="2"/>
        <v>850</v>
      </c>
      <c r="K31" s="28">
        <f t="shared" si="3"/>
        <v>0</v>
      </c>
    </row>
    <row r="32" spans="1:11" ht="13.5" x14ac:dyDescent="0.2">
      <c r="A32" s="69" t="s">
        <v>108</v>
      </c>
      <c r="B32" s="73" t="s">
        <v>92</v>
      </c>
      <c r="C32" s="15" t="s">
        <v>37</v>
      </c>
      <c r="D32" s="37">
        <v>12000</v>
      </c>
      <c r="E32" s="38"/>
      <c r="F32" s="39">
        <f t="shared" ref="F32" si="8">H32-E32</f>
        <v>0</v>
      </c>
      <c r="G32" s="41"/>
      <c r="H32" s="40">
        <v>0</v>
      </c>
      <c r="I32" s="16">
        <f t="shared" ref="I32" si="9">H32/D32</f>
        <v>0</v>
      </c>
      <c r="J32" s="46">
        <f t="shared" ref="J32" si="10">D32-H32</f>
        <v>12000</v>
      </c>
      <c r="K32" s="28">
        <f t="shared" ref="K32" si="11">0.05*H32</f>
        <v>0</v>
      </c>
    </row>
    <row r="33" spans="1:11" ht="13.5" x14ac:dyDescent="0.2">
      <c r="A33" s="69" t="s">
        <v>77</v>
      </c>
      <c r="B33" s="73" t="s">
        <v>76</v>
      </c>
      <c r="C33" s="15" t="s">
        <v>37</v>
      </c>
      <c r="D33" s="38">
        <v>119900</v>
      </c>
      <c r="E33" s="38"/>
      <c r="F33" s="39">
        <f>H33-E33</f>
        <v>0</v>
      </c>
      <c r="G33" s="41"/>
      <c r="H33" s="40">
        <v>0</v>
      </c>
      <c r="I33" s="16">
        <f>H33/D33</f>
        <v>0</v>
      </c>
      <c r="J33" s="46">
        <f>D33-H33</f>
        <v>119900</v>
      </c>
      <c r="K33" s="28">
        <f>0.05*H33</f>
        <v>0</v>
      </c>
    </row>
    <row r="34" spans="1:11" ht="13.5" x14ac:dyDescent="0.2">
      <c r="A34" s="69" t="s">
        <v>77</v>
      </c>
      <c r="B34" s="73" t="s">
        <v>75</v>
      </c>
      <c r="C34" s="15" t="s">
        <v>37</v>
      </c>
      <c r="D34" s="38">
        <v>10200</v>
      </c>
      <c r="E34" s="38"/>
      <c r="F34" s="39">
        <f t="shared" si="0"/>
        <v>0</v>
      </c>
      <c r="G34" s="41"/>
      <c r="H34" s="40">
        <v>0</v>
      </c>
      <c r="I34" s="16">
        <f t="shared" si="1"/>
        <v>0</v>
      </c>
      <c r="J34" s="46">
        <f t="shared" si="2"/>
        <v>10200</v>
      </c>
      <c r="K34" s="28">
        <f t="shared" si="3"/>
        <v>0</v>
      </c>
    </row>
    <row r="35" spans="1:11" ht="13.5" x14ac:dyDescent="0.2">
      <c r="A35" s="69" t="s">
        <v>77</v>
      </c>
      <c r="B35" s="73" t="s">
        <v>74</v>
      </c>
      <c r="C35" s="15" t="s">
        <v>37</v>
      </c>
      <c r="D35" s="38">
        <v>2900</v>
      </c>
      <c r="E35" s="38"/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2900</v>
      </c>
      <c r="K35" s="28">
        <f t="shared" si="3"/>
        <v>0</v>
      </c>
    </row>
    <row r="36" spans="1:11" ht="13.5" x14ac:dyDescent="0.2">
      <c r="A36" s="69" t="s">
        <v>78</v>
      </c>
      <c r="B36" s="73" t="s">
        <v>76</v>
      </c>
      <c r="C36" s="57" t="s">
        <v>46</v>
      </c>
      <c r="D36" s="38">
        <v>119900</v>
      </c>
      <c r="E36" s="38"/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119900</v>
      </c>
      <c r="K36" s="28">
        <f t="shared" si="3"/>
        <v>0</v>
      </c>
    </row>
    <row r="37" spans="1:11" ht="13.5" x14ac:dyDescent="0.2">
      <c r="A37" s="69" t="s">
        <v>78</v>
      </c>
      <c r="B37" s="73" t="s">
        <v>75</v>
      </c>
      <c r="C37" s="15"/>
      <c r="D37" s="38">
        <v>10200</v>
      </c>
      <c r="E37" s="38"/>
      <c r="F37" s="39">
        <f>H37-E37</f>
        <v>0</v>
      </c>
      <c r="G37" s="41"/>
      <c r="H37" s="40">
        <v>0</v>
      </c>
      <c r="I37" s="16">
        <f>H37/D37</f>
        <v>0</v>
      </c>
      <c r="J37" s="46">
        <f>D37-H37</f>
        <v>10200</v>
      </c>
      <c r="K37" s="28">
        <f>0.05*H37</f>
        <v>0</v>
      </c>
    </row>
    <row r="38" spans="1:11" ht="13.5" x14ac:dyDescent="0.2">
      <c r="A38" s="69" t="s">
        <v>78</v>
      </c>
      <c r="B38" s="73" t="s">
        <v>74</v>
      </c>
      <c r="C38" s="15"/>
      <c r="D38" s="38">
        <v>2900</v>
      </c>
      <c r="E38" s="38"/>
      <c r="F38" s="39">
        <f>H38-E38</f>
        <v>0</v>
      </c>
      <c r="G38" s="41"/>
      <c r="H38" s="40">
        <v>0</v>
      </c>
      <c r="I38" s="16">
        <f>H38/D38</f>
        <v>0</v>
      </c>
      <c r="J38" s="46">
        <f>D38-H38</f>
        <v>2900</v>
      </c>
      <c r="K38" s="28">
        <f>0.05*H38</f>
        <v>0</v>
      </c>
    </row>
    <row r="39" spans="1:11" ht="13.5" x14ac:dyDescent="0.2">
      <c r="A39" s="69" t="s">
        <v>79</v>
      </c>
      <c r="B39" s="73" t="s">
        <v>76</v>
      </c>
      <c r="C39" s="15"/>
      <c r="D39" s="38">
        <v>119900</v>
      </c>
      <c r="E39" s="38"/>
      <c r="F39" s="39">
        <f t="shared" si="0"/>
        <v>0</v>
      </c>
      <c r="G39" s="41"/>
      <c r="H39" s="40">
        <v>0</v>
      </c>
      <c r="I39" s="16">
        <f t="shared" si="1"/>
        <v>0</v>
      </c>
      <c r="J39" s="46">
        <f t="shared" si="2"/>
        <v>119900</v>
      </c>
      <c r="K39" s="28">
        <f t="shared" si="3"/>
        <v>0</v>
      </c>
    </row>
    <row r="40" spans="1:11" ht="13.5" x14ac:dyDescent="0.2">
      <c r="A40" s="69" t="s">
        <v>79</v>
      </c>
      <c r="B40" s="73" t="s">
        <v>75</v>
      </c>
      <c r="C40" s="15"/>
      <c r="D40" s="38">
        <v>10200</v>
      </c>
      <c r="E40" s="38"/>
      <c r="F40" s="39">
        <f t="shared" si="0"/>
        <v>0</v>
      </c>
      <c r="G40" s="41"/>
      <c r="H40" s="40">
        <v>0</v>
      </c>
      <c r="I40" s="16">
        <f t="shared" si="1"/>
        <v>0</v>
      </c>
      <c r="J40" s="46">
        <f t="shared" si="2"/>
        <v>10200</v>
      </c>
      <c r="K40" s="28">
        <f t="shared" si="3"/>
        <v>0</v>
      </c>
    </row>
    <row r="41" spans="1:11" ht="13.5" x14ac:dyDescent="0.2">
      <c r="A41" s="69" t="s">
        <v>79</v>
      </c>
      <c r="B41" s="73" t="s">
        <v>74</v>
      </c>
      <c r="C41" s="15"/>
      <c r="D41" s="38">
        <v>2900</v>
      </c>
      <c r="E41" s="38"/>
      <c r="F41" s="39">
        <f t="shared" si="0"/>
        <v>0</v>
      </c>
      <c r="G41" s="41"/>
      <c r="H41" s="40">
        <v>0</v>
      </c>
      <c r="I41" s="16">
        <f t="shared" si="1"/>
        <v>0</v>
      </c>
      <c r="J41" s="46">
        <f t="shared" si="2"/>
        <v>2900</v>
      </c>
      <c r="K41" s="28">
        <f t="shared" si="3"/>
        <v>0</v>
      </c>
    </row>
    <row r="42" spans="1:11" ht="13.5" x14ac:dyDescent="0.2">
      <c r="A42" s="69" t="s">
        <v>80</v>
      </c>
      <c r="B42" s="73" t="s">
        <v>76</v>
      </c>
      <c r="C42" s="15"/>
      <c r="D42" s="38">
        <v>119900</v>
      </c>
      <c r="E42" s="38"/>
      <c r="F42" s="39">
        <f t="shared" si="0"/>
        <v>0</v>
      </c>
      <c r="G42" s="41"/>
      <c r="H42" s="40">
        <v>0</v>
      </c>
      <c r="I42" s="16">
        <f t="shared" si="1"/>
        <v>0</v>
      </c>
      <c r="J42" s="46">
        <f t="shared" si="2"/>
        <v>119900</v>
      </c>
      <c r="K42" s="28">
        <f t="shared" si="3"/>
        <v>0</v>
      </c>
    </row>
    <row r="43" spans="1:11" ht="13.5" x14ac:dyDescent="0.2">
      <c r="A43" s="69" t="s">
        <v>80</v>
      </c>
      <c r="B43" s="73" t="s">
        <v>75</v>
      </c>
      <c r="C43" s="15"/>
      <c r="D43" s="38">
        <v>10200</v>
      </c>
      <c r="E43" s="38"/>
      <c r="F43" s="39">
        <f t="shared" si="0"/>
        <v>0</v>
      </c>
      <c r="G43" s="41"/>
      <c r="H43" s="40">
        <v>0</v>
      </c>
      <c r="I43" s="16">
        <f t="shared" si="1"/>
        <v>0</v>
      </c>
      <c r="J43" s="46">
        <f t="shared" si="2"/>
        <v>10200</v>
      </c>
      <c r="K43" s="28">
        <f t="shared" si="3"/>
        <v>0</v>
      </c>
    </row>
    <row r="44" spans="1:11" ht="13.5" x14ac:dyDescent="0.2">
      <c r="A44" s="69" t="s">
        <v>80</v>
      </c>
      <c r="B44" s="73" t="s">
        <v>74</v>
      </c>
      <c r="C44" s="15"/>
      <c r="D44" s="38">
        <v>2900</v>
      </c>
      <c r="E44" s="38"/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2900</v>
      </c>
      <c r="K44" s="28">
        <f t="shared" si="3"/>
        <v>0</v>
      </c>
    </row>
    <row r="45" spans="1:11" ht="13.5" x14ac:dyDescent="0.2">
      <c r="A45" s="69" t="s">
        <v>105</v>
      </c>
      <c r="B45" s="73" t="s">
        <v>76</v>
      </c>
      <c r="C45" s="15"/>
      <c r="D45" s="38">
        <v>91550</v>
      </c>
      <c r="E45" s="38"/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91550</v>
      </c>
      <c r="K45" s="28">
        <f t="shared" si="3"/>
        <v>0</v>
      </c>
    </row>
    <row r="46" spans="1:11" ht="13.5" x14ac:dyDescent="0.2">
      <c r="A46" s="69" t="s">
        <v>105</v>
      </c>
      <c r="B46" s="73" t="s">
        <v>75</v>
      </c>
      <c r="C46" s="15"/>
      <c r="D46" s="38">
        <v>10200</v>
      </c>
      <c r="E46" s="38"/>
      <c r="F46" s="39">
        <f t="shared" si="0"/>
        <v>0</v>
      </c>
      <c r="G46" s="41"/>
      <c r="H46" s="40">
        <v>0</v>
      </c>
      <c r="I46" s="16">
        <f t="shared" si="1"/>
        <v>0</v>
      </c>
      <c r="J46" s="46">
        <f t="shared" si="2"/>
        <v>10200</v>
      </c>
      <c r="K46" s="28">
        <f t="shared" si="3"/>
        <v>0</v>
      </c>
    </row>
    <row r="47" spans="1:11" ht="13.5" x14ac:dyDescent="0.2">
      <c r="A47" s="69" t="s">
        <v>105</v>
      </c>
      <c r="B47" s="73" t="s">
        <v>74</v>
      </c>
      <c r="C47" s="15"/>
      <c r="D47" s="38">
        <v>2900</v>
      </c>
      <c r="E47" s="38"/>
      <c r="F47" s="39">
        <f t="shared" si="0"/>
        <v>0</v>
      </c>
      <c r="G47" s="41"/>
      <c r="H47" s="40">
        <v>0</v>
      </c>
      <c r="I47" s="16">
        <f t="shared" si="1"/>
        <v>0</v>
      </c>
      <c r="J47" s="46">
        <f t="shared" si="2"/>
        <v>2900</v>
      </c>
      <c r="K47" s="28">
        <f t="shared" si="3"/>
        <v>0</v>
      </c>
    </row>
    <row r="48" spans="1:11" ht="13.5" x14ac:dyDescent="0.2">
      <c r="A48" s="69" t="s">
        <v>82</v>
      </c>
      <c r="B48" s="73" t="s">
        <v>81</v>
      </c>
      <c r="C48" s="15"/>
      <c r="D48" s="38">
        <v>3100</v>
      </c>
      <c r="E48" s="38"/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3100</v>
      </c>
      <c r="K48" s="28">
        <f t="shared" si="3"/>
        <v>0</v>
      </c>
    </row>
    <row r="49" spans="1:11" ht="13.5" x14ac:dyDescent="0.2">
      <c r="A49" s="69" t="s">
        <v>83</v>
      </c>
      <c r="B49" s="73" t="s">
        <v>81</v>
      </c>
      <c r="C49" s="15"/>
      <c r="D49" s="38">
        <v>5600</v>
      </c>
      <c r="E49" s="38"/>
      <c r="F49" s="39">
        <f t="shared" si="0"/>
        <v>0</v>
      </c>
      <c r="G49" s="41"/>
      <c r="H49" s="40">
        <v>0</v>
      </c>
      <c r="I49" s="16">
        <f t="shared" si="1"/>
        <v>0</v>
      </c>
      <c r="J49" s="46">
        <f t="shared" si="2"/>
        <v>5600</v>
      </c>
      <c r="K49" s="28">
        <f t="shared" si="3"/>
        <v>0</v>
      </c>
    </row>
    <row r="50" spans="1:11" ht="13.5" x14ac:dyDescent="0.2">
      <c r="A50" s="69" t="s">
        <v>84</v>
      </c>
      <c r="B50" s="73" t="s">
        <v>81</v>
      </c>
      <c r="C50" s="15"/>
      <c r="D50" s="38">
        <v>17100</v>
      </c>
      <c r="E50" s="38"/>
      <c r="F50" s="39">
        <f t="shared" si="0"/>
        <v>0</v>
      </c>
      <c r="G50" s="41"/>
      <c r="H50" s="40">
        <v>0</v>
      </c>
      <c r="I50" s="16">
        <f t="shared" si="1"/>
        <v>0</v>
      </c>
      <c r="J50" s="46">
        <f t="shared" si="2"/>
        <v>17100</v>
      </c>
      <c r="K50" s="28">
        <f t="shared" si="3"/>
        <v>0</v>
      </c>
    </row>
    <row r="51" spans="1:11" ht="13.5" x14ac:dyDescent="0.2">
      <c r="A51" s="69" t="s">
        <v>85</v>
      </c>
      <c r="B51" s="73" t="s">
        <v>81</v>
      </c>
      <c r="C51" s="15"/>
      <c r="D51" s="38">
        <v>17100</v>
      </c>
      <c r="E51" s="38"/>
      <c r="F51" s="39">
        <f t="shared" si="0"/>
        <v>0</v>
      </c>
      <c r="G51" s="41"/>
      <c r="H51" s="40">
        <v>0</v>
      </c>
      <c r="I51" s="16">
        <f t="shared" si="1"/>
        <v>0</v>
      </c>
      <c r="J51" s="46">
        <f t="shared" si="2"/>
        <v>17100</v>
      </c>
      <c r="K51" s="28">
        <f t="shared" si="3"/>
        <v>0</v>
      </c>
    </row>
    <row r="52" spans="1:11" ht="13.5" x14ac:dyDescent="0.2">
      <c r="A52" s="69" t="s">
        <v>86</v>
      </c>
      <c r="B52" s="73" t="s">
        <v>81</v>
      </c>
      <c r="C52" s="15"/>
      <c r="D52" s="38">
        <v>17100</v>
      </c>
      <c r="E52" s="38"/>
      <c r="F52" s="39">
        <f t="shared" si="0"/>
        <v>0</v>
      </c>
      <c r="G52" s="41"/>
      <c r="H52" s="40">
        <v>0</v>
      </c>
      <c r="I52" s="16">
        <f t="shared" si="1"/>
        <v>0</v>
      </c>
      <c r="J52" s="46">
        <f t="shared" si="2"/>
        <v>17100</v>
      </c>
      <c r="K52" s="28">
        <f t="shared" si="3"/>
        <v>0</v>
      </c>
    </row>
    <row r="53" spans="1:11" ht="13.5" x14ac:dyDescent="0.2">
      <c r="A53" s="69" t="s">
        <v>87</v>
      </c>
      <c r="B53" s="73" t="s">
        <v>81</v>
      </c>
      <c r="C53" s="15"/>
      <c r="D53" s="38">
        <v>17100</v>
      </c>
      <c r="E53" s="38"/>
      <c r="F53" s="39">
        <f t="shared" si="0"/>
        <v>0</v>
      </c>
      <c r="G53" s="41"/>
      <c r="H53" s="40">
        <v>0</v>
      </c>
      <c r="I53" s="16">
        <f t="shared" si="1"/>
        <v>0</v>
      </c>
      <c r="J53" s="46">
        <f t="shared" si="2"/>
        <v>17100</v>
      </c>
      <c r="K53" s="28">
        <f t="shared" si="3"/>
        <v>0</v>
      </c>
    </row>
    <row r="54" spans="1:11" ht="13.5" x14ac:dyDescent="0.2">
      <c r="A54" s="69" t="s">
        <v>106</v>
      </c>
      <c r="B54" s="73" t="s">
        <v>81</v>
      </c>
      <c r="C54" s="15"/>
      <c r="D54" s="38">
        <v>17100</v>
      </c>
      <c r="E54" s="38"/>
      <c r="F54" s="39">
        <f t="shared" si="0"/>
        <v>0</v>
      </c>
      <c r="G54" s="41"/>
      <c r="H54" s="40">
        <v>0</v>
      </c>
      <c r="I54" s="16">
        <f t="shared" si="1"/>
        <v>0</v>
      </c>
      <c r="J54" s="46">
        <f t="shared" si="2"/>
        <v>17100</v>
      </c>
      <c r="K54" s="28">
        <f t="shared" si="3"/>
        <v>0</v>
      </c>
    </row>
    <row r="55" spans="1:11" ht="13.5" hidden="1" x14ac:dyDescent="0.2">
      <c r="A55" s="69"/>
      <c r="B55" s="73"/>
      <c r="C55" s="15"/>
      <c r="D55" s="38">
        <v>0</v>
      </c>
      <c r="E55" s="38"/>
      <c r="F55" s="39">
        <f t="shared" si="0"/>
        <v>0</v>
      </c>
      <c r="G55" s="41"/>
      <c r="H55" s="40">
        <v>0</v>
      </c>
      <c r="I55" s="16" t="e">
        <f t="shared" si="1"/>
        <v>#DIV/0!</v>
      </c>
      <c r="J55" s="46">
        <f t="shared" si="2"/>
        <v>0</v>
      </c>
      <c r="K55" s="28">
        <f t="shared" si="3"/>
        <v>0</v>
      </c>
    </row>
    <row r="56" spans="1:11" ht="13.5" hidden="1" x14ac:dyDescent="0.2">
      <c r="A56" s="69"/>
      <c r="B56" s="73"/>
      <c r="C56" s="15"/>
      <c r="D56" s="38">
        <v>0</v>
      </c>
      <c r="E56" s="38"/>
      <c r="F56" s="39">
        <f t="shared" si="0"/>
        <v>0</v>
      </c>
      <c r="G56" s="41"/>
      <c r="H56" s="40">
        <v>0</v>
      </c>
      <c r="I56" s="16" t="e">
        <f t="shared" si="1"/>
        <v>#DIV/0!</v>
      </c>
      <c r="J56" s="46">
        <f t="shared" si="2"/>
        <v>0</v>
      </c>
      <c r="K56" s="28">
        <f t="shared" si="3"/>
        <v>0</v>
      </c>
    </row>
    <row r="57" spans="1:11" ht="13.5" hidden="1" x14ac:dyDescent="0.2">
      <c r="A57" s="69" t="s">
        <v>106</v>
      </c>
      <c r="B57" s="57"/>
      <c r="C57" s="15"/>
      <c r="D57" s="38">
        <v>0</v>
      </c>
      <c r="E57" s="38"/>
      <c r="F57" s="39">
        <f t="shared" si="0"/>
        <v>0</v>
      </c>
      <c r="G57" s="41"/>
      <c r="H57" s="40">
        <v>0</v>
      </c>
      <c r="I57" s="16" t="e">
        <f t="shared" si="1"/>
        <v>#DIV/0!</v>
      </c>
      <c r="J57" s="46">
        <f t="shared" si="2"/>
        <v>0</v>
      </c>
      <c r="K57" s="28">
        <f t="shared" si="3"/>
        <v>0</v>
      </c>
    </row>
    <row r="58" spans="1:11" ht="13.5" hidden="1" x14ac:dyDescent="0.2">
      <c r="A58" s="69" t="s">
        <v>106</v>
      </c>
      <c r="B58" s="57"/>
      <c r="C58" s="15"/>
      <c r="D58" s="38">
        <v>0</v>
      </c>
      <c r="E58" s="38"/>
      <c r="F58" s="39">
        <f>H58-E58</f>
        <v>0</v>
      </c>
      <c r="G58" s="41"/>
      <c r="H58" s="40">
        <v>0</v>
      </c>
      <c r="I58" s="16" t="e">
        <f>H58/D58</f>
        <v>#DIV/0!</v>
      </c>
      <c r="J58" s="46">
        <f>D58-H58</f>
        <v>0</v>
      </c>
      <c r="K58" s="28">
        <f>0.05*H58</f>
        <v>0</v>
      </c>
    </row>
    <row r="59" spans="1:11" ht="13.5" hidden="1" x14ac:dyDescent="0.2">
      <c r="A59" s="69" t="s">
        <v>106</v>
      </c>
      <c r="B59" s="57"/>
      <c r="C59" s="15"/>
      <c r="D59" s="38">
        <v>0</v>
      </c>
      <c r="E59" s="38"/>
      <c r="F59" s="39">
        <f>H59-E59</f>
        <v>0</v>
      </c>
      <c r="G59" s="41"/>
      <c r="H59" s="40">
        <v>0</v>
      </c>
      <c r="I59" s="16" t="e">
        <f>H59/D59</f>
        <v>#DIV/0!</v>
      </c>
      <c r="J59" s="46">
        <f>D59-H59</f>
        <v>0</v>
      </c>
      <c r="K59" s="28">
        <f>0.05*H59</f>
        <v>0</v>
      </c>
    </row>
    <row r="60" spans="1:11" ht="13.5" hidden="1" x14ac:dyDescent="0.2">
      <c r="A60" s="69" t="s">
        <v>106</v>
      </c>
      <c r="B60" s="57"/>
      <c r="C60" s="15"/>
      <c r="D60" s="38">
        <v>0</v>
      </c>
      <c r="E60" s="38"/>
      <c r="F60" s="39">
        <f t="shared" ref="F60:F66" si="12">H60-E60</f>
        <v>0</v>
      </c>
      <c r="G60" s="41"/>
      <c r="H60" s="40">
        <v>0</v>
      </c>
      <c r="I60" s="16" t="e">
        <f t="shared" ref="I60:I66" si="13">H60/D60</f>
        <v>#DIV/0!</v>
      </c>
      <c r="J60" s="46">
        <f t="shared" ref="J60:J87" si="14">D60-H60</f>
        <v>0</v>
      </c>
      <c r="K60" s="28">
        <f t="shared" ref="K60:K66" si="15">0.05*H60</f>
        <v>0</v>
      </c>
    </row>
    <row r="61" spans="1:11" ht="13.5" hidden="1" x14ac:dyDescent="0.2">
      <c r="A61" s="69" t="s">
        <v>106</v>
      </c>
      <c r="B61" s="57"/>
      <c r="C61" s="15"/>
      <c r="D61" s="38">
        <v>0</v>
      </c>
      <c r="E61" s="38"/>
      <c r="F61" s="39">
        <f t="shared" si="12"/>
        <v>0</v>
      </c>
      <c r="G61" s="41"/>
      <c r="H61" s="40">
        <v>0</v>
      </c>
      <c r="I61" s="16" t="e">
        <f t="shared" si="13"/>
        <v>#DIV/0!</v>
      </c>
      <c r="J61" s="46">
        <f t="shared" si="14"/>
        <v>0</v>
      </c>
      <c r="K61" s="28">
        <f t="shared" si="15"/>
        <v>0</v>
      </c>
    </row>
    <row r="62" spans="1:11" ht="13.5" hidden="1" x14ac:dyDescent="0.2">
      <c r="A62" s="69" t="s">
        <v>106</v>
      </c>
      <c r="B62" s="57"/>
      <c r="C62" s="15"/>
      <c r="D62" s="38">
        <v>0</v>
      </c>
      <c r="E62" s="38"/>
      <c r="F62" s="39">
        <f t="shared" si="12"/>
        <v>0</v>
      </c>
      <c r="G62" s="41"/>
      <c r="H62" s="40">
        <v>0</v>
      </c>
      <c r="I62" s="16" t="e">
        <f t="shared" si="13"/>
        <v>#DIV/0!</v>
      </c>
      <c r="J62" s="46">
        <f t="shared" si="14"/>
        <v>0</v>
      </c>
      <c r="K62" s="28">
        <f t="shared" si="15"/>
        <v>0</v>
      </c>
    </row>
    <row r="63" spans="1:11" ht="13.5" hidden="1" x14ac:dyDescent="0.2">
      <c r="A63" s="69" t="s">
        <v>106</v>
      </c>
      <c r="B63" s="57"/>
      <c r="C63" s="15"/>
      <c r="D63" s="38">
        <v>0</v>
      </c>
      <c r="E63" s="38"/>
      <c r="F63" s="39">
        <f t="shared" si="12"/>
        <v>0</v>
      </c>
      <c r="G63" s="41"/>
      <c r="H63" s="40">
        <v>0</v>
      </c>
      <c r="I63" s="16" t="e">
        <f t="shared" si="13"/>
        <v>#DIV/0!</v>
      </c>
      <c r="J63" s="46">
        <f t="shared" si="14"/>
        <v>0</v>
      </c>
      <c r="K63" s="28">
        <f t="shared" si="15"/>
        <v>0</v>
      </c>
    </row>
    <row r="64" spans="1:11" ht="13.5" hidden="1" x14ac:dyDescent="0.2">
      <c r="A64" s="69" t="s">
        <v>106</v>
      </c>
      <c r="B64" s="57"/>
      <c r="C64" s="15"/>
      <c r="D64" s="38">
        <v>0</v>
      </c>
      <c r="E64" s="38"/>
      <c r="F64" s="39">
        <f t="shared" si="12"/>
        <v>0</v>
      </c>
      <c r="G64" s="41"/>
      <c r="H64" s="40">
        <v>0</v>
      </c>
      <c r="I64" s="16" t="e">
        <f t="shared" si="13"/>
        <v>#DIV/0!</v>
      </c>
      <c r="J64" s="46">
        <f t="shared" si="14"/>
        <v>0</v>
      </c>
      <c r="K64" s="28">
        <f t="shared" si="15"/>
        <v>0</v>
      </c>
    </row>
    <row r="65" spans="1:11" ht="13.5" hidden="1" x14ac:dyDescent="0.2">
      <c r="A65" s="69" t="s">
        <v>106</v>
      </c>
      <c r="B65" s="57"/>
      <c r="C65" s="15"/>
      <c r="D65" s="38">
        <v>0</v>
      </c>
      <c r="E65" s="38"/>
      <c r="F65" s="39">
        <f t="shared" si="12"/>
        <v>0</v>
      </c>
      <c r="G65" s="41"/>
      <c r="H65" s="40">
        <v>0</v>
      </c>
      <c r="I65" s="16" t="e">
        <f t="shared" si="13"/>
        <v>#DIV/0!</v>
      </c>
      <c r="J65" s="46">
        <f t="shared" si="14"/>
        <v>0</v>
      </c>
      <c r="K65" s="28">
        <f t="shared" si="15"/>
        <v>0</v>
      </c>
    </row>
    <row r="66" spans="1:11" ht="13.5" hidden="1" x14ac:dyDescent="0.2">
      <c r="A66" s="69" t="s">
        <v>106</v>
      </c>
      <c r="B66" s="57"/>
      <c r="C66" s="15"/>
      <c r="D66" s="38">
        <v>0</v>
      </c>
      <c r="E66" s="38"/>
      <c r="F66" s="39">
        <f t="shared" si="12"/>
        <v>0</v>
      </c>
      <c r="G66" s="41"/>
      <c r="H66" s="40">
        <v>0</v>
      </c>
      <c r="I66" s="16" t="e">
        <f t="shared" si="13"/>
        <v>#DIV/0!</v>
      </c>
      <c r="J66" s="46">
        <f t="shared" si="14"/>
        <v>0</v>
      </c>
      <c r="K66" s="28">
        <f t="shared" si="15"/>
        <v>0</v>
      </c>
    </row>
    <row r="67" spans="1:11" ht="15" x14ac:dyDescent="0.25">
      <c r="A67" s="80" t="s">
        <v>20</v>
      </c>
      <c r="B67" s="81"/>
      <c r="C67" s="15"/>
      <c r="D67" s="38">
        <f t="shared" ref="D67:I67" si="16">SUM(D12:D66)</f>
        <v>1179300</v>
      </c>
      <c r="E67" s="38">
        <f t="shared" si="16"/>
        <v>74900</v>
      </c>
      <c r="F67" s="38">
        <f t="shared" si="16"/>
        <v>20000</v>
      </c>
      <c r="G67" s="38">
        <f t="shared" si="16"/>
        <v>0</v>
      </c>
      <c r="H67" s="38">
        <f t="shared" si="16"/>
        <v>94900</v>
      </c>
      <c r="I67" s="38" t="e">
        <f t="shared" si="16"/>
        <v>#DIV/0!</v>
      </c>
      <c r="J67" s="46">
        <f>D67-H67</f>
        <v>1084400</v>
      </c>
      <c r="K67" s="38">
        <f>SUM(K13:K66)</f>
        <v>3195</v>
      </c>
    </row>
    <row r="68" spans="1:11" ht="20.100000000000001" customHeight="1" x14ac:dyDescent="0.2">
      <c r="A68" s="17"/>
      <c r="B68" s="14" t="s">
        <v>17</v>
      </c>
      <c r="C68" s="15"/>
      <c r="D68" s="38"/>
      <c r="E68" s="38"/>
      <c r="F68" s="39"/>
      <c r="G68" s="41"/>
      <c r="H68" s="40"/>
      <c r="I68" s="16"/>
      <c r="J68" s="46"/>
      <c r="K68" s="28"/>
    </row>
    <row r="69" spans="1:11" x14ac:dyDescent="0.2">
      <c r="A69" s="71" t="s">
        <v>57</v>
      </c>
      <c r="B69" s="61"/>
      <c r="C69" s="18"/>
      <c r="D69" s="38">
        <v>0</v>
      </c>
      <c r="E69" s="38"/>
      <c r="F69" s="39">
        <f t="shared" ref="F69:F86" si="17">H69-E69</f>
        <v>0</v>
      </c>
      <c r="G69" s="35"/>
      <c r="H69" s="40">
        <v>0</v>
      </c>
      <c r="I69" s="16" t="e">
        <f t="shared" ref="I69:I86" si="18">H69/D69</f>
        <v>#DIV/0!</v>
      </c>
      <c r="J69" s="46">
        <f t="shared" si="14"/>
        <v>0</v>
      </c>
      <c r="K69" s="28">
        <f t="shared" ref="K69:K86" si="19">0.05*H69</f>
        <v>0</v>
      </c>
    </row>
    <row r="70" spans="1:11" x14ac:dyDescent="0.2">
      <c r="A70" s="71" t="s">
        <v>51</v>
      </c>
      <c r="B70" s="62"/>
      <c r="C70" s="15"/>
      <c r="D70" s="38">
        <v>0</v>
      </c>
      <c r="E70" s="38"/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4"/>
        <v>0</v>
      </c>
      <c r="K70" s="28">
        <f t="shared" si="19"/>
        <v>0</v>
      </c>
    </row>
    <row r="71" spans="1:11" ht="12" customHeight="1" x14ac:dyDescent="0.2">
      <c r="A71" s="71" t="s">
        <v>52</v>
      </c>
      <c r="B71" s="63"/>
      <c r="C71" s="15"/>
      <c r="D71" s="38">
        <v>0</v>
      </c>
      <c r="E71" s="38"/>
      <c r="F71" s="39">
        <f t="shared" ref="F71:F77" si="20">H71-E71</f>
        <v>0</v>
      </c>
      <c r="G71" s="41"/>
      <c r="H71" s="40">
        <v>0</v>
      </c>
      <c r="I71" s="16" t="e">
        <f t="shared" ref="I71:I77" si="21">H71/D71</f>
        <v>#DIV/0!</v>
      </c>
      <c r="J71" s="46">
        <f t="shared" ref="J71:J77" si="22">D71-H71</f>
        <v>0</v>
      </c>
      <c r="K71" s="28">
        <f t="shared" ref="K71:K77" si="23">0.05*H71</f>
        <v>0</v>
      </c>
    </row>
    <row r="72" spans="1:11" ht="12" customHeight="1" x14ac:dyDescent="0.2">
      <c r="A72" s="71" t="s">
        <v>53</v>
      </c>
      <c r="B72" s="64"/>
      <c r="C72" s="15"/>
      <c r="D72" s="38">
        <v>0</v>
      </c>
      <c r="E72" s="38"/>
      <c r="F72" s="39">
        <f t="shared" si="20"/>
        <v>0</v>
      </c>
      <c r="G72" s="42"/>
      <c r="H72" s="40">
        <v>0</v>
      </c>
      <c r="I72" s="16" t="e">
        <f t="shared" si="21"/>
        <v>#DIV/0!</v>
      </c>
      <c r="J72" s="46">
        <f t="shared" si="22"/>
        <v>0</v>
      </c>
      <c r="K72" s="28">
        <f t="shared" si="23"/>
        <v>0</v>
      </c>
    </row>
    <row r="73" spans="1:11" ht="12" customHeight="1" x14ac:dyDescent="0.2">
      <c r="A73" s="71" t="s">
        <v>54</v>
      </c>
      <c r="B73" s="63"/>
      <c r="C73" s="15"/>
      <c r="D73" s="38">
        <v>0</v>
      </c>
      <c r="E73" s="38"/>
      <c r="F73" s="39">
        <f t="shared" si="20"/>
        <v>0</v>
      </c>
      <c r="G73" s="41"/>
      <c r="H73" s="40">
        <v>0</v>
      </c>
      <c r="I73" s="16" t="e">
        <f t="shared" si="21"/>
        <v>#DIV/0!</v>
      </c>
      <c r="J73" s="46">
        <f t="shared" si="22"/>
        <v>0</v>
      </c>
      <c r="K73" s="28">
        <f t="shared" si="23"/>
        <v>0</v>
      </c>
    </row>
    <row r="74" spans="1:11" ht="12" customHeight="1" x14ac:dyDescent="0.2">
      <c r="A74" s="71" t="s">
        <v>55</v>
      </c>
      <c r="B74" s="63"/>
      <c r="C74" s="15"/>
      <c r="D74" s="38">
        <v>0</v>
      </c>
      <c r="E74" s="38"/>
      <c r="F74" s="39">
        <f t="shared" si="20"/>
        <v>0</v>
      </c>
      <c r="G74" s="41"/>
      <c r="H74" s="40">
        <v>0</v>
      </c>
      <c r="I74" s="16" t="e">
        <f t="shared" si="21"/>
        <v>#DIV/0!</v>
      </c>
      <c r="J74" s="46">
        <f t="shared" si="22"/>
        <v>0</v>
      </c>
      <c r="K74" s="28">
        <f t="shared" si="23"/>
        <v>0</v>
      </c>
    </row>
    <row r="75" spans="1:11" ht="12" customHeight="1" x14ac:dyDescent="0.2">
      <c r="A75" s="71" t="s">
        <v>56</v>
      </c>
      <c r="B75" s="64"/>
      <c r="C75" s="15"/>
      <c r="D75" s="38">
        <v>0</v>
      </c>
      <c r="E75" s="38"/>
      <c r="F75" s="39">
        <f t="shared" si="20"/>
        <v>0</v>
      </c>
      <c r="G75" s="42"/>
      <c r="H75" s="40">
        <v>0</v>
      </c>
      <c r="I75" s="16" t="e">
        <f t="shared" si="21"/>
        <v>#DIV/0!</v>
      </c>
      <c r="J75" s="46">
        <f t="shared" si="22"/>
        <v>0</v>
      </c>
      <c r="K75" s="28">
        <f t="shared" si="23"/>
        <v>0</v>
      </c>
    </row>
    <row r="76" spans="1:11" ht="12" customHeight="1" x14ac:dyDescent="0.2">
      <c r="A76" s="71" t="s">
        <v>58</v>
      </c>
      <c r="B76" s="63"/>
      <c r="C76" s="15"/>
      <c r="D76" s="38">
        <v>0</v>
      </c>
      <c r="E76" s="38"/>
      <c r="F76" s="39">
        <f t="shared" si="20"/>
        <v>0</v>
      </c>
      <c r="G76" s="41"/>
      <c r="H76" s="40">
        <v>0</v>
      </c>
      <c r="I76" s="16" t="e">
        <f t="shared" si="21"/>
        <v>#DIV/0!</v>
      </c>
      <c r="J76" s="46">
        <f t="shared" si="22"/>
        <v>0</v>
      </c>
      <c r="K76" s="28">
        <f t="shared" si="23"/>
        <v>0</v>
      </c>
    </row>
    <row r="77" spans="1:11" ht="12" customHeight="1" x14ac:dyDescent="0.2">
      <c r="A77" s="71" t="s">
        <v>59</v>
      </c>
      <c r="B77" s="66"/>
      <c r="C77" s="15"/>
      <c r="D77" s="38">
        <v>0</v>
      </c>
      <c r="E77" s="38"/>
      <c r="F77" s="39">
        <f t="shared" si="20"/>
        <v>0</v>
      </c>
      <c r="G77" s="41"/>
      <c r="H77" s="40">
        <v>0</v>
      </c>
      <c r="I77" s="16" t="e">
        <f t="shared" si="21"/>
        <v>#DIV/0!</v>
      </c>
      <c r="J77" s="46">
        <f t="shared" si="22"/>
        <v>0</v>
      </c>
      <c r="K77" s="28">
        <f t="shared" si="23"/>
        <v>0</v>
      </c>
    </row>
    <row r="78" spans="1:11" ht="12" customHeight="1" x14ac:dyDescent="0.2">
      <c r="A78" s="71" t="s">
        <v>60</v>
      </c>
      <c r="B78" s="63"/>
      <c r="C78" s="15"/>
      <c r="D78" s="38">
        <v>0</v>
      </c>
      <c r="E78" s="38"/>
      <c r="F78" s="39">
        <f t="shared" si="17"/>
        <v>0</v>
      </c>
      <c r="G78" s="41"/>
      <c r="H78" s="40">
        <v>0</v>
      </c>
      <c r="I78" s="16" t="e">
        <f t="shared" si="18"/>
        <v>#DIV/0!</v>
      </c>
      <c r="J78" s="46">
        <f t="shared" si="14"/>
        <v>0</v>
      </c>
      <c r="K78" s="28">
        <f t="shared" si="19"/>
        <v>0</v>
      </c>
    </row>
    <row r="79" spans="1:11" ht="12" customHeight="1" x14ac:dyDescent="0.2">
      <c r="A79" s="71" t="s">
        <v>61</v>
      </c>
      <c r="B79" s="64"/>
      <c r="C79" s="15"/>
      <c r="D79" s="38">
        <v>0</v>
      </c>
      <c r="E79" s="38"/>
      <c r="F79" s="39">
        <f t="shared" si="17"/>
        <v>0</v>
      </c>
      <c r="G79" s="42"/>
      <c r="H79" s="40">
        <v>0</v>
      </c>
      <c r="I79" s="16" t="e">
        <f t="shared" si="18"/>
        <v>#DIV/0!</v>
      </c>
      <c r="J79" s="46">
        <f t="shared" si="14"/>
        <v>0</v>
      </c>
      <c r="K79" s="28">
        <f t="shared" si="19"/>
        <v>0</v>
      </c>
    </row>
    <row r="80" spans="1:11" ht="12" customHeight="1" x14ac:dyDescent="0.2">
      <c r="A80" s="71" t="s">
        <v>62</v>
      </c>
      <c r="B80" s="63"/>
      <c r="C80" s="15"/>
      <c r="D80" s="38">
        <v>0</v>
      </c>
      <c r="E80" s="38"/>
      <c r="F80" s="39">
        <f t="shared" si="17"/>
        <v>0</v>
      </c>
      <c r="G80" s="41"/>
      <c r="H80" s="40">
        <v>0</v>
      </c>
      <c r="I80" s="16" t="e">
        <f t="shared" si="18"/>
        <v>#DIV/0!</v>
      </c>
      <c r="J80" s="46">
        <f t="shared" si="14"/>
        <v>0</v>
      </c>
      <c r="K80" s="28">
        <f t="shared" si="19"/>
        <v>0</v>
      </c>
    </row>
    <row r="81" spans="1:11" ht="12" customHeight="1" x14ac:dyDescent="0.2">
      <c r="A81" s="71" t="s">
        <v>63</v>
      </c>
      <c r="B81" s="63"/>
      <c r="C81" s="15"/>
      <c r="D81" s="38">
        <v>0</v>
      </c>
      <c r="E81" s="38"/>
      <c r="F81" s="39">
        <f t="shared" si="17"/>
        <v>0</v>
      </c>
      <c r="G81" s="41"/>
      <c r="H81" s="40">
        <v>0</v>
      </c>
      <c r="I81" s="16" t="e">
        <f t="shared" si="18"/>
        <v>#DIV/0!</v>
      </c>
      <c r="J81" s="46">
        <f t="shared" si="14"/>
        <v>0</v>
      </c>
      <c r="K81" s="28">
        <f t="shared" si="19"/>
        <v>0</v>
      </c>
    </row>
    <row r="82" spans="1:11" ht="12" customHeight="1" x14ac:dyDescent="0.2">
      <c r="A82" s="71" t="s">
        <v>64</v>
      </c>
      <c r="B82" s="64"/>
      <c r="C82" s="15"/>
      <c r="D82" s="38">
        <v>0</v>
      </c>
      <c r="E82" s="38"/>
      <c r="F82" s="39">
        <f t="shared" si="17"/>
        <v>0</v>
      </c>
      <c r="G82" s="42"/>
      <c r="H82" s="40">
        <v>0</v>
      </c>
      <c r="I82" s="16" t="e">
        <f t="shared" si="18"/>
        <v>#DIV/0!</v>
      </c>
      <c r="J82" s="46">
        <f t="shared" si="14"/>
        <v>0</v>
      </c>
      <c r="K82" s="28">
        <f t="shared" si="19"/>
        <v>0</v>
      </c>
    </row>
    <row r="83" spans="1:11" ht="12" customHeight="1" x14ac:dyDescent="0.2">
      <c r="A83" s="71" t="s">
        <v>65</v>
      </c>
      <c r="B83" s="63"/>
      <c r="C83" s="15"/>
      <c r="D83" s="38">
        <v>0</v>
      </c>
      <c r="E83" s="38"/>
      <c r="F83" s="39">
        <f t="shared" si="17"/>
        <v>0</v>
      </c>
      <c r="G83" s="41"/>
      <c r="H83" s="40">
        <v>0</v>
      </c>
      <c r="I83" s="16" t="e">
        <f t="shared" si="18"/>
        <v>#DIV/0!</v>
      </c>
      <c r="J83" s="46">
        <f t="shared" si="14"/>
        <v>0</v>
      </c>
      <c r="K83" s="28">
        <f t="shared" si="19"/>
        <v>0</v>
      </c>
    </row>
    <row r="84" spans="1:11" ht="12" customHeight="1" x14ac:dyDescent="0.2">
      <c r="A84" s="71" t="s">
        <v>66</v>
      </c>
      <c r="B84" s="63"/>
      <c r="C84" s="15"/>
      <c r="D84" s="38">
        <v>0</v>
      </c>
      <c r="E84" s="38"/>
      <c r="F84" s="39">
        <f t="shared" si="17"/>
        <v>0</v>
      </c>
      <c r="G84" s="41"/>
      <c r="H84" s="40">
        <v>0</v>
      </c>
      <c r="I84" s="16" t="e">
        <f t="shared" si="18"/>
        <v>#DIV/0!</v>
      </c>
      <c r="J84" s="46">
        <f t="shared" si="14"/>
        <v>0</v>
      </c>
      <c r="K84" s="28">
        <f t="shared" si="19"/>
        <v>0</v>
      </c>
    </row>
    <row r="85" spans="1:11" ht="12" customHeight="1" x14ac:dyDescent="0.2">
      <c r="A85" s="71" t="s">
        <v>67</v>
      </c>
      <c r="B85" s="67"/>
      <c r="C85" s="15"/>
      <c r="D85" s="38">
        <v>0</v>
      </c>
      <c r="E85" s="38"/>
      <c r="F85" s="39">
        <f t="shared" si="17"/>
        <v>0</v>
      </c>
      <c r="G85" s="41"/>
      <c r="H85" s="40">
        <v>0</v>
      </c>
      <c r="I85" s="16" t="e">
        <f t="shared" si="18"/>
        <v>#DIV/0!</v>
      </c>
      <c r="J85" s="46">
        <f t="shared" si="14"/>
        <v>0</v>
      </c>
      <c r="K85" s="28">
        <f t="shared" si="19"/>
        <v>0</v>
      </c>
    </row>
    <row r="86" spans="1:11" x14ac:dyDescent="0.2">
      <c r="A86" s="65">
        <f>SUM(D69:D86)</f>
        <v>0</v>
      </c>
      <c r="B86" s="62"/>
      <c r="C86" s="15"/>
      <c r="D86" s="38">
        <v>0</v>
      </c>
      <c r="E86" s="38"/>
      <c r="F86" s="39">
        <f t="shared" si="17"/>
        <v>0</v>
      </c>
      <c r="G86" s="41"/>
      <c r="H86" s="40">
        <v>0</v>
      </c>
      <c r="I86" s="16" t="e">
        <f t="shared" si="18"/>
        <v>#DIV/0!</v>
      </c>
      <c r="J86" s="46">
        <f t="shared" si="14"/>
        <v>0</v>
      </c>
      <c r="K86" s="28">
        <f t="shared" si="19"/>
        <v>0</v>
      </c>
    </row>
    <row r="87" spans="1:11" ht="15" x14ac:dyDescent="0.25">
      <c r="A87" s="74" t="s">
        <v>21</v>
      </c>
      <c r="B87" s="75"/>
      <c r="C87" s="75"/>
      <c r="D87" s="38">
        <f t="shared" ref="D87:H87" si="24">SUM(D67:D86)</f>
        <v>1179300</v>
      </c>
      <c r="E87" s="38">
        <f t="shared" si="24"/>
        <v>74900</v>
      </c>
      <c r="F87" s="38">
        <f t="shared" si="24"/>
        <v>20000</v>
      </c>
      <c r="G87" s="38">
        <f t="shared" si="24"/>
        <v>0</v>
      </c>
      <c r="H87" s="38">
        <f t="shared" si="24"/>
        <v>94900</v>
      </c>
      <c r="I87" s="12">
        <f>H87/D87</f>
        <v>8.0471466123971852E-2</v>
      </c>
      <c r="J87" s="46">
        <f t="shared" si="14"/>
        <v>1084400</v>
      </c>
      <c r="K87" s="38">
        <f>SUM(K67:K86)</f>
        <v>3195</v>
      </c>
    </row>
    <row r="88" spans="1:11" x14ac:dyDescent="0.2">
      <c r="I88" s="2"/>
    </row>
    <row r="89" spans="1:11" x14ac:dyDescent="0.2">
      <c r="I89" s="2"/>
    </row>
    <row r="90" spans="1:11" x14ac:dyDescent="0.2">
      <c r="C90" s="19"/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  <row r="432" spans="9:9" x14ac:dyDescent="0.2">
      <c r="I432" s="2"/>
    </row>
    <row r="433" spans="9:9" x14ac:dyDescent="0.2">
      <c r="I433" s="2"/>
    </row>
    <row r="434" spans="9:9" x14ac:dyDescent="0.2">
      <c r="I434" s="2"/>
    </row>
    <row r="435" spans="9:9" x14ac:dyDescent="0.2">
      <c r="I435" s="2"/>
    </row>
    <row r="436" spans="9:9" x14ac:dyDescent="0.2">
      <c r="I436" s="2"/>
    </row>
  </sheetData>
  <mergeCells count="4">
    <mergeCell ref="A87:C87"/>
    <mergeCell ref="E7:F7"/>
    <mergeCell ref="H6:I6"/>
    <mergeCell ref="A67:B67"/>
  </mergeCells>
  <phoneticPr fontId="7" type="noConversion"/>
  <printOptions horizontalCentered="1" verticalCentered="1"/>
  <pageMargins left="0" right="0" top="0" bottom="0" header="0" footer="0"/>
  <pageSetup scale="75" fitToHeight="0" orientation="landscape" r:id="rId1"/>
  <headerFooter alignWithMargins="0">
    <oddHeader>&amp;LExxel Pacific&amp;CThe Cora</oddHeader>
  </headerFooter>
  <rowBreaks count="1" manualBreakCount="1">
    <brk id="67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Schedule of V. Backup</vt:lpstr>
      <vt:lpstr>'Schedule of V. Backup'!_MailAutoSig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2016-02-18T21:10:06Z</cp:lastPrinted>
  <dcterms:created xsi:type="dcterms:W3CDTF">2001-02-05T15:33:02Z</dcterms:created>
  <dcterms:modified xsi:type="dcterms:W3CDTF">2016-07-20T14:50:29Z</dcterms:modified>
</cp:coreProperties>
</file>