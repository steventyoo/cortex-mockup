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<sst xmlns="http://schemas.openxmlformats.org/spreadsheetml/2006/main" count="175" uniqueCount="111">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</sst>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zoomScale="120" zoomScaleNormal="100" zoomScaleSheetLayoutView="120" workbookViewId="0">
      <selection activeCell="B28" sqref="B28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5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42632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42643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106900</v>
      </c>
      <c r="F11" s="36">
        <f>SUM(F12:F66)</f>
        <v>29850</v>
      </c>
      <c r="G11" s="36"/>
      <c r="H11" s="36">
        <f>SUM(H12:H66)</f>
        <v>136750</v>
      </c>
      <c r="I11" s="12">
        <f>H11/D11</f>
        <v>0.11595861952005428</v>
      </c>
      <c r="J11" s="43">
        <f>SUM(J12:J66)</f>
        <v>1042550</v>
      </c>
      <c r="K11" s="27">
        <f>SUM(K12:K66)</f>
        <v>6837.5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/>
      <c r="F17" s="39">
        <f t="shared" si="0"/>
        <v>17850</v>
      </c>
      <c r="G17" s="41"/>
      <c r="H17" s="40">
        <v>17850</v>
      </c>
      <c r="I17" s="16">
        <f t="shared" si="1"/>
        <v>0.75</v>
      </c>
      <c r="J17" s="46">
        <f t="shared" si="2"/>
        <v>5950</v>
      </c>
      <c r="K17" s="28">
        <f t="shared" si="3"/>
        <v>892.5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0</v>
      </c>
      <c r="G20" s="41"/>
      <c r="H20" s="40">
        <v>0</v>
      </c>
      <c r="I20" s="16">
        <f t="shared" si="1"/>
        <v>0</v>
      </c>
      <c r="J20" s="46">
        <f t="shared" si="2"/>
        <v>27500</v>
      </c>
      <c r="K20" s="28">
        <f t="shared" si="3"/>
        <v>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/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16300</v>
      </c>
      <c r="K22" s="28">
        <f t="shared" si="3"/>
        <v>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/>
      <c r="F24" s="39">
        <f t="shared" si="0"/>
        <v>0</v>
      </c>
      <c r="G24" s="41"/>
      <c r="H24" s="40">
        <v>0</v>
      </c>
      <c r="I24" s="16">
        <f t="shared" si="1"/>
        <v>0</v>
      </c>
      <c r="J24" s="46">
        <f t="shared" si="2"/>
        <v>20200</v>
      </c>
      <c r="K24" s="28">
        <f t="shared" si="3"/>
        <v>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/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49500</v>
      </c>
      <c r="K25" s="28">
        <f t="shared" si="3"/>
        <v>0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/>
      <c r="F27" s="39">
        <f t="shared" si="4"/>
        <v>0</v>
      </c>
      <c r="G27" s="41"/>
      <c r="H27" s="40">
        <v>0</v>
      </c>
      <c r="I27" s="16">
        <f t="shared" si="5"/>
        <v>0</v>
      </c>
      <c r="J27" s="46">
        <f t="shared" si="6"/>
        <v>19000</v>
      </c>
      <c r="K27" s="28">
        <f t="shared" si="7"/>
        <v>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/>
      <c r="F28" s="39">
        <f t="shared" si="4"/>
        <v>0</v>
      </c>
      <c r="G28" s="41"/>
      <c r="H28" s="40">
        <v>0</v>
      </c>
      <c r="I28" s="16">
        <f t="shared" si="5"/>
        <v>0</v>
      </c>
      <c r="J28" s="46">
        <f t="shared" si="6"/>
        <v>43000</v>
      </c>
      <c r="K28" s="28">
        <f t="shared" si="7"/>
        <v>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/>
      <c r="F29" s="39">
        <f t="shared" si="4"/>
        <v>0</v>
      </c>
      <c r="G29" s="41"/>
      <c r="H29" s="40">
        <v>0</v>
      </c>
      <c r="I29" s="16">
        <f t="shared" si="5"/>
        <v>0</v>
      </c>
      <c r="J29" s="46">
        <f t="shared" si="6"/>
        <v>42400</v>
      </c>
      <c r="K29" s="28">
        <f t="shared" si="7"/>
        <v>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0</v>
      </c>
      <c r="G30" s="41"/>
      <c r="H30" s="40">
        <v>0</v>
      </c>
      <c r="I30" s="16">
        <f t="shared" si="5"/>
        <v>0</v>
      </c>
      <c r="J30" s="46">
        <f t="shared" si="6"/>
        <v>3000</v>
      </c>
      <c r="K30" s="28">
        <f t="shared" si="7"/>
        <v>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/>
      <c r="F32" s="39">
        <f t="shared" ref="F32" si="8">H32-E32</f>
        <v>12000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/>
      <c r="F33" s="39">
        <f>H33-E33</f>
        <v>0</v>
      </c>
      <c r="G33" s="41"/>
      <c r="H33" s="40">
        <v>0</v>
      </c>
      <c r="I33" s="16">
        <f>H33/D33</f>
        <v>0</v>
      </c>
      <c r="J33" s="46">
        <f>D33-H33</f>
        <v>119900</v>
      </c>
      <c r="K33" s="28">
        <f>0.05*H33</f>
        <v>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10200</v>
      </c>
      <c r="K34" s="28">
        <f t="shared" si="3"/>
        <v>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119900</v>
      </c>
      <c r="K36" s="28">
        <f t="shared" si="3"/>
        <v>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0</v>
      </c>
      <c r="G37" s="41"/>
      <c r="H37" s="40">
        <v>0</v>
      </c>
      <c r="I37" s="16">
        <f>H37/D37</f>
        <v>0</v>
      </c>
      <c r="J37" s="46">
        <f>D37-H37</f>
        <v>10200</v>
      </c>
      <c r="K37" s="28">
        <f>0.05*H37</f>
        <v>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0</v>
      </c>
      <c r="G39" s="41"/>
      <c r="H39" s="40">
        <v>0</v>
      </c>
      <c r="I39" s="16">
        <f t="shared" si="1"/>
        <v>0</v>
      </c>
      <c r="J39" s="46">
        <f t="shared" si="2"/>
        <v>119900</v>
      </c>
      <c r="K39" s="28">
        <f t="shared" si="3"/>
        <v>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0</v>
      </c>
      <c r="G40" s="41"/>
      <c r="H40" s="40">
        <v>0</v>
      </c>
      <c r="I40" s="16">
        <f t="shared" si="1"/>
        <v>0</v>
      </c>
      <c r="J40" s="46">
        <f t="shared" si="2"/>
        <v>10200</v>
      </c>
      <c r="K40" s="28">
        <f t="shared" si="3"/>
        <v>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106900</v>
      </c>
      <c r="F67" s="38">
        <f t="shared" si="16"/>
        <v>29850</v>
      </c>
      <c r="G67" s="38">
        <f t="shared" si="16"/>
        <v>0</v>
      </c>
      <c r="H67" s="38">
        <f t="shared" si="16"/>
        <v>136750</v>
      </c>
      <c r="I67" s="38" t="e">
        <f t="shared" si="16"/>
        <v>#DIV/0!</v>
      </c>
      <c r="J67" s="46">
        <f>D67-H67</f>
        <v>1042550</v>
      </c>
      <c r="K67" s="38">
        <f>SUM(K13:K66)</f>
        <v>5287.5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/>
      <c r="C69" s="18"/>
      <c r="D69" s="38">
        <v>0</v>
      </c>
      <c r="E69" s="38"/>
      <c r="F69" s="39">
        <f t="shared" ref="F69:F86" si="17">H69-E69</f>
        <v>0</v>
      </c>
      <c r="G69" s="35"/>
      <c r="H69" s="40">
        <v>0</v>
      </c>
      <c r="I69" s="16" t="e">
        <f t="shared" ref="I69:I86" si="18">H69/D69</f>
        <v>#DIV/0!</v>
      </c>
      <c r="J69" s="46">
        <f t="shared" si="14"/>
        <v>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1179300</v>
      </c>
      <c r="E87" s="38">
        <f t="shared" si="24"/>
        <v>106900</v>
      </c>
      <c r="F87" s="38">
        <f t="shared" si="24"/>
        <v>29850</v>
      </c>
      <c r="G87" s="38">
        <f t="shared" si="24"/>
        <v>0</v>
      </c>
      <c r="H87" s="38">
        <f t="shared" si="24"/>
        <v>136750</v>
      </c>
      <c r="I87" s="12">
        <f>H87/D87</f>
        <v>0.11595861952005428</v>
      </c>
      <c r="J87" s="46">
        <f t="shared" si="14"/>
        <v>1042550</v>
      </c>
      <c r="K87" s="38">
        <f>SUM(K67:K86)</f>
        <v>5287.5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2016-08-19T15:50:53Z</cp:lastPrinted>
  <dcterms:created xsi:type="dcterms:W3CDTF">2001-02-05T15:33:02Z</dcterms:created>
  <dcterms:modified xsi:type="dcterms:W3CDTF">2016-09-19T17:04:55Z</dcterms:modified>
</cp:coreProperties>
</file>