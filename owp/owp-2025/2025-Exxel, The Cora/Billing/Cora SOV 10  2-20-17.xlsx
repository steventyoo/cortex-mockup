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<sst xmlns="http://schemas.openxmlformats.org/spreadsheetml/2006/main" count="178" uniqueCount="114">
  <si>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</si>
  <si>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</si>
  <si>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</si>
  <si>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</si>
  <si>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</si>
  <si>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</si>
  <si>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</si>
  <si>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</si>
  <si>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</si>
  <si>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</si>
  <si>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</si>
  <si>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</si>
  <si>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</si>
  <si>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</si>
  <si>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</si>
  <si>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</si>
  <si>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</si>
  <si>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</si>
  <si>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</si>
  <si>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</si>
  <si>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</si>
  <si>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</si>
  <si>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</si>
  <si>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</si>
  <si>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</si>
  <si>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</si>
  <si>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</si>
  <si>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</si>
  <si>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</si>
  <si>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</si>
  <si>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</si>
  <si>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</si>
  <si>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</si>
  <si>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</si>
  <si>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</si>
  <si>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</si>
  <si>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</si>
  <si>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</si>
  <si>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</si>
  <si>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</si>
  <si>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</si>
  <si>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</si>
  <si>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</si>
  <si>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</si>
  <si>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</si>
  <si>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</si>
  <si>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</si>
  <si>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</si>
  <si>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</si>
  <si>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</si>
  <si>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</si>
  <si>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</si>
  <si>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</si>
  <si>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</si>
  <si>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</si>
  <si>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</si>
  <si>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</si>
  <si>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</si>
  <si>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</si>
  <si>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</si>
  <si>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</si>
  <si>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</si>
  <si>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</si>
  <si>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</si>
  <si>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</si>
  <si>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</si>
  <si>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</si>
  <si>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</si>
  <si>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</si>
  <si>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</si>
  <si>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</si>
  <si>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</si>
  <si>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</si>
  <si>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</si>
  <si>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</si>
  <si>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</si>
  <si>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</si>
  <si>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</si>
  <si>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</si>
  <si>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</si>
  <si>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</si>
  <si>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</si>
  <si>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</si>
  <si>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</si>
  <si>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</si>
  <si>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</si>
  <si>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</si>
  <si>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</si>
  <si>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</si>
  <si>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</si>
  <si>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</si>
  <si>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</si>
  <si>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</si>
  <si>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</si>
  <si>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</si>
  <si>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</si>
  <si>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</si>
  <si>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</si>
  <si>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</si>
  <si>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</si>
  <si>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</si>
  <si>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</si>
  <si>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</si>
  <si>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</si>
  <si>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</si>
  <si>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</si>
  <si>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</si>
  <si>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</si>
  <si>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</si>
  <si>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</si>
  <si>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</si>
  <si>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</si>
  <si>
    <t>added costs per COR 04,05,06</t>
  </si>
  <si>
    <t>added exterior trench drains on 1st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</si>
</sst>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zoomScale="110" zoomScaleNormal="100" zoomScaleSheetLayoutView="110" workbookViewId="0">
      <selection activeCell="H70" sqref="H70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10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42786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42794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911175</v>
      </c>
      <c r="F11" s="36">
        <f>SUM(F12:F66)</f>
        <v>107775</v>
      </c>
      <c r="G11" s="36"/>
      <c r="H11" s="36">
        <f>SUM(H12:H66)</f>
        <v>1018950</v>
      </c>
      <c r="I11" s="12">
        <f>H11/D11</f>
        <v>0.86402950903078102</v>
      </c>
      <c r="J11" s="43">
        <f>SUM(J12:J66)</f>
        <v>160350</v>
      </c>
      <c r="K11" s="27">
        <f>SUM(K12:K66)</f>
        <v>50947.5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30300</v>
      </c>
      <c r="G18" s="41"/>
      <c r="H18" s="40">
        <v>30300</v>
      </c>
      <c r="I18" s="16">
        <f t="shared" si="1"/>
        <v>1</v>
      </c>
      <c r="J18" s="46">
        <f t="shared" si="2"/>
        <v>0</v>
      </c>
      <c r="K18" s="28">
        <f t="shared" si="3"/>
        <v>1515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>
        <v>12000</v>
      </c>
      <c r="F20" s="39">
        <f t="shared" si="0"/>
        <v>15500</v>
      </c>
      <c r="G20" s="41"/>
      <c r="H20" s="40">
        <v>27500</v>
      </c>
      <c r="I20" s="16">
        <f t="shared" si="1"/>
        <v>1</v>
      </c>
      <c r="J20" s="46">
        <f t="shared" si="2"/>
        <v>0</v>
      </c>
      <c r="K20" s="28">
        <f t="shared" si="3"/>
        <v>1375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>
        <v>15000</v>
      </c>
      <c r="F22" s="39">
        <f t="shared" si="0"/>
        <v>1300</v>
      </c>
      <c r="G22" s="41"/>
      <c r="H22" s="40">
        <v>16300</v>
      </c>
      <c r="I22" s="16">
        <f t="shared" si="1"/>
        <v>1</v>
      </c>
      <c r="J22" s="46">
        <f t="shared" si="2"/>
        <v>0</v>
      </c>
      <c r="K22" s="28">
        <f t="shared" si="3"/>
        <v>815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>
        <v>119900</v>
      </c>
      <c r="F33" s="39">
        <f>H33-E33</f>
        <v>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>
        <v>119900</v>
      </c>
      <c r="F36" s="39">
        <f t="shared" si="0"/>
        <v>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>
        <v>119900</v>
      </c>
      <c r="F39" s="39">
        <f t="shared" si="0"/>
        <v>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>
        <v>10200</v>
      </c>
      <c r="F40" s="39">
        <f t="shared" si="0"/>
        <v>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>
        <v>107900</v>
      </c>
      <c r="F42" s="39">
        <f t="shared" si="0"/>
        <v>12000</v>
      </c>
      <c r="G42" s="41"/>
      <c r="H42" s="40">
        <v>119900</v>
      </c>
      <c r="I42" s="16">
        <f t="shared" si="1"/>
        <v>1</v>
      </c>
      <c r="J42" s="46">
        <f t="shared" si="2"/>
        <v>0</v>
      </c>
      <c r="K42" s="28">
        <f t="shared" si="3"/>
        <v>5995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>
        <v>10200</v>
      </c>
      <c r="F43" s="39">
        <f t="shared" si="0"/>
        <v>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>
        <v>45775</v>
      </c>
      <c r="F45" s="39">
        <f t="shared" si="0"/>
        <v>45775</v>
      </c>
      <c r="G45" s="41"/>
      <c r="H45" s="40">
        <v>91550</v>
      </c>
      <c r="I45" s="16">
        <f t="shared" si="1"/>
        <v>1</v>
      </c>
      <c r="J45" s="46">
        <f t="shared" si="2"/>
        <v>0</v>
      </c>
      <c r="K45" s="28">
        <f t="shared" si="3"/>
        <v>4577.5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>
        <v>10200</v>
      </c>
      <c r="F46" s="39">
        <f t="shared" si="0"/>
        <v>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2900</v>
      </c>
      <c r="G47" s="41"/>
      <c r="H47" s="40">
        <v>2900</v>
      </c>
      <c r="I47" s="16">
        <f t="shared" si="1"/>
        <v>1</v>
      </c>
      <c r="J47" s="46">
        <f t="shared" si="2"/>
        <v>0</v>
      </c>
      <c r="K47" s="28">
        <f t="shared" si="3"/>
        <v>145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911175</v>
      </c>
      <c r="F67" s="38">
        <f t="shared" si="16"/>
        <v>107775</v>
      </c>
      <c r="G67" s="38">
        <f t="shared" si="16"/>
        <v>0</v>
      </c>
      <c r="H67" s="38">
        <f t="shared" si="16"/>
        <v>1018950</v>
      </c>
      <c r="I67" s="38" t="e">
        <f t="shared" si="16"/>
        <v>#DIV/0!</v>
      </c>
      <c r="J67" s="46">
        <f>D67-H67</f>
        <v>160350</v>
      </c>
      <c r="K67" s="38">
        <f>SUM(K13:K66)</f>
        <v>49397.5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111</v>
      </c>
      <c r="C69" s="18"/>
      <c r="D69" s="38">
        <v>700</v>
      </c>
      <c r="E69" s="38"/>
      <c r="F69" s="39">
        <f t="shared" ref="F69:F86" si="17">H69-E69</f>
        <v>0</v>
      </c>
      <c r="G69" s="35"/>
      <c r="H69" s="40">
        <v>0</v>
      </c>
      <c r="I69" s="16">
        <f t="shared" ref="I69:I86" si="18">H69/D69</f>
        <v>0</v>
      </c>
      <c r="J69" s="46">
        <f t="shared" si="14"/>
        <v>700</v>
      </c>
      <c r="K69" s="28">
        <f t="shared" ref="K69:K86" si="19">0.05*H69</f>
        <v>0</v>
      </c>
    </row>
    <row r="70" spans="1:11" x14ac:dyDescent="0.2">
      <c r="A70" s="71" t="s">
        <v>51</v>
      </c>
      <c r="B70" s="62" t="s">
        <v>112</v>
      </c>
      <c r="C70" s="15"/>
      <c r="D70" s="38">
        <v>4390</v>
      </c>
      <c r="E70" s="38"/>
      <c r="F70" s="39">
        <f t="shared" si="17"/>
        <v>0</v>
      </c>
      <c r="G70" s="41"/>
      <c r="H70" s="40">
        <v>0</v>
      </c>
      <c r="I70" s="16">
        <f t="shared" si="18"/>
        <v>0</v>
      </c>
      <c r="J70" s="46">
        <f t="shared" si="14"/>
        <v>4390</v>
      </c>
      <c r="K70" s="28">
        <f t="shared" si="19"/>
        <v>0</v>
      </c>
    </row>
    <row r="71" spans="1:11" ht="12" customHeight="1" x14ac:dyDescent="0.2">
      <c r="A71" s="71" t="s">
        <v>52</v>
      </c>
      <c r="B71" s="63" t="s">
        <v>113</v>
      </c>
      <c r="C71" s="15"/>
      <c r="D71" s="38">
        <v>7881</v>
      </c>
      <c r="E71" s="38"/>
      <c r="F71" s="39">
        <f t="shared" ref="F71:F77" si="20">H71-E71</f>
        <v>0</v>
      </c>
      <c r="G71" s="41"/>
      <c r="H71" s="40">
        <v>0</v>
      </c>
      <c r="I71" s="16">
        <f t="shared" ref="I71:I77" si="21">H71/D71</f>
        <v>0</v>
      </c>
      <c r="J71" s="46">
        <f t="shared" ref="J71:J77" si="22">D71-H71</f>
        <v>7881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12971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1192271</v>
      </c>
      <c r="E87" s="38">
        <f t="shared" si="24"/>
        <v>911175</v>
      </c>
      <c r="F87" s="38">
        <f t="shared" si="24"/>
        <v>107775</v>
      </c>
      <c r="G87" s="38">
        <f t="shared" si="24"/>
        <v>0</v>
      </c>
      <c r="H87" s="38">
        <f t="shared" si="24"/>
        <v>1018950</v>
      </c>
      <c r="I87" s="12">
        <f>H87/D87</f>
        <v>0.85462952634090739</v>
      </c>
      <c r="J87" s="46">
        <f t="shared" si="14"/>
        <v>173321</v>
      </c>
      <c r="K87" s="38">
        <f>SUM(K67:K86)</f>
        <v>49397.5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2017-02-20T16:43:00Z</cp:lastPrinted>
  <dcterms:created xsi:type="dcterms:W3CDTF">2001-02-05T15:33:02Z</dcterms:created>
  <dcterms:modified xsi:type="dcterms:W3CDTF">2017-02-20T16:43:36Z</dcterms:modified>
</cp:coreProperties>
</file>