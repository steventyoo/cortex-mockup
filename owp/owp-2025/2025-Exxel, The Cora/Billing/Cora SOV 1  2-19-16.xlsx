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<sst xmlns="http://schemas.openxmlformats.org/spreadsheetml/2006/main" count="175" uniqueCount="111">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</sst>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zoomScale="120" zoomScaleNormal="100" zoomScaleSheetLayoutView="120" workbookViewId="0">
      <selection activeCell="G16" sqref="G16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1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42419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42429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0</v>
      </c>
      <c r="F11" s="36">
        <f>SUM(F12:F66)</f>
        <v>31000</v>
      </c>
      <c r="G11" s="36"/>
      <c r="H11" s="36">
        <f>SUM(H12:H66)</f>
        <v>31000</v>
      </c>
      <c r="I11" s="12">
        <f>H11/D11</f>
        <v>2.6286780293394388E-2</v>
      </c>
      <c r="J11" s="43">
        <f>SUM(J12:J66)</f>
        <v>1148300</v>
      </c>
      <c r="K11" s="27">
        <f>SUM(K12:K66)</f>
        <v>1550</v>
      </c>
    </row>
    <row r="12" spans="1:11" x14ac:dyDescent="0.2">
      <c r="A12" s="68"/>
      <c r="B12" s="72" t="s">
        <v>68</v>
      </c>
      <c r="C12" s="14"/>
      <c r="D12" s="37">
        <v>31000</v>
      </c>
      <c r="E12" s="38"/>
      <c r="F12" s="39">
        <f t="shared" ref="F12:F57" si="0">H12-E12</f>
        <v>31000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/>
      <c r="F13" s="39">
        <f t="shared" si="0"/>
        <v>0</v>
      </c>
      <c r="G13" s="41"/>
      <c r="H13" s="40">
        <v>0</v>
      </c>
      <c r="I13" s="16">
        <f t="shared" si="1"/>
        <v>0</v>
      </c>
      <c r="J13" s="46">
        <f t="shared" ref="J13:J57" si="2">D13-H13</f>
        <v>7900</v>
      </c>
      <c r="K13" s="28">
        <f>0.05*H13</f>
        <v>0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/>
      <c r="F14" s="39">
        <f t="shared" si="0"/>
        <v>0</v>
      </c>
      <c r="G14" s="41"/>
      <c r="H14" s="40">
        <v>0</v>
      </c>
      <c r="I14" s="16">
        <f t="shared" si="1"/>
        <v>0</v>
      </c>
      <c r="J14" s="46">
        <f t="shared" si="2"/>
        <v>56000</v>
      </c>
      <c r="K14" s="28">
        <f t="shared" ref="K14:K57" si="3">0.05*H14</f>
        <v>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/>
      <c r="F17" s="39">
        <f t="shared" si="0"/>
        <v>0</v>
      </c>
      <c r="G17" s="41"/>
      <c r="H17" s="40">
        <v>0</v>
      </c>
      <c r="I17" s="16">
        <f t="shared" si="1"/>
        <v>0</v>
      </c>
      <c r="J17" s="46">
        <f t="shared" si="2"/>
        <v>23800</v>
      </c>
      <c r="K17" s="28">
        <f t="shared" si="3"/>
        <v>0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30300</v>
      </c>
      <c r="K18" s="28">
        <f t="shared" si="3"/>
        <v>0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/>
      <c r="F20" s="39">
        <f t="shared" si="0"/>
        <v>0</v>
      </c>
      <c r="G20" s="41"/>
      <c r="H20" s="40">
        <v>0</v>
      </c>
      <c r="I20" s="16">
        <f t="shared" si="1"/>
        <v>0</v>
      </c>
      <c r="J20" s="46">
        <f t="shared" si="2"/>
        <v>27500</v>
      </c>
      <c r="K20" s="28">
        <f t="shared" si="3"/>
        <v>0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/>
      <c r="F22" s="39">
        <f t="shared" si="0"/>
        <v>0</v>
      </c>
      <c r="G22" s="41"/>
      <c r="H22" s="40">
        <v>0</v>
      </c>
      <c r="I22" s="16">
        <f t="shared" si="1"/>
        <v>0</v>
      </c>
      <c r="J22" s="46">
        <f t="shared" si="2"/>
        <v>16300</v>
      </c>
      <c r="K22" s="28">
        <f t="shared" si="3"/>
        <v>0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/>
      <c r="F23" s="39">
        <f t="shared" si="0"/>
        <v>0</v>
      </c>
      <c r="G23" s="41"/>
      <c r="H23" s="40">
        <v>0</v>
      </c>
      <c r="I23" s="16">
        <f t="shared" si="1"/>
        <v>0</v>
      </c>
      <c r="J23" s="46">
        <f t="shared" si="2"/>
        <v>6000</v>
      </c>
      <c r="K23" s="28">
        <f t="shared" si="3"/>
        <v>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/>
      <c r="F24" s="39">
        <f t="shared" si="0"/>
        <v>0</v>
      </c>
      <c r="G24" s="41"/>
      <c r="H24" s="40">
        <v>0</v>
      </c>
      <c r="I24" s="16">
        <f t="shared" si="1"/>
        <v>0</v>
      </c>
      <c r="J24" s="46">
        <f t="shared" si="2"/>
        <v>20200</v>
      </c>
      <c r="K24" s="28">
        <f t="shared" si="3"/>
        <v>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/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49500</v>
      </c>
      <c r="K25" s="28">
        <f t="shared" si="3"/>
        <v>0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/>
      <c r="F26" s="39">
        <f t="shared" ref="F26:F30" si="4">H26-E26</f>
        <v>0</v>
      </c>
      <c r="G26" s="41"/>
      <c r="H26" s="40">
        <v>0</v>
      </c>
      <c r="I26" s="16">
        <f t="shared" ref="I26:I30" si="5">H26/D26</f>
        <v>0</v>
      </c>
      <c r="J26" s="46">
        <f t="shared" ref="J26:J30" si="6">D26-H26</f>
        <v>6000</v>
      </c>
      <c r="K26" s="28">
        <f t="shared" ref="K26:K30" si="7">0.05*H26</f>
        <v>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/>
      <c r="F27" s="39">
        <f t="shared" si="4"/>
        <v>0</v>
      </c>
      <c r="G27" s="41"/>
      <c r="H27" s="40">
        <v>0</v>
      </c>
      <c r="I27" s="16">
        <f t="shared" si="5"/>
        <v>0</v>
      </c>
      <c r="J27" s="46">
        <f t="shared" si="6"/>
        <v>19000</v>
      </c>
      <c r="K27" s="28">
        <f t="shared" si="7"/>
        <v>0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/>
      <c r="F28" s="39">
        <f t="shared" si="4"/>
        <v>0</v>
      </c>
      <c r="G28" s="41"/>
      <c r="H28" s="40">
        <v>0</v>
      </c>
      <c r="I28" s="16">
        <f t="shared" si="5"/>
        <v>0</v>
      </c>
      <c r="J28" s="46">
        <f t="shared" si="6"/>
        <v>43000</v>
      </c>
      <c r="K28" s="28">
        <f t="shared" si="7"/>
        <v>0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/>
      <c r="F29" s="39">
        <f t="shared" si="4"/>
        <v>0</v>
      </c>
      <c r="G29" s="41"/>
      <c r="H29" s="40">
        <v>0</v>
      </c>
      <c r="I29" s="16">
        <f t="shared" si="5"/>
        <v>0</v>
      </c>
      <c r="J29" s="46">
        <f t="shared" si="6"/>
        <v>42400</v>
      </c>
      <c r="K29" s="28">
        <f t="shared" si="7"/>
        <v>0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/>
      <c r="F30" s="39">
        <f t="shared" si="4"/>
        <v>0</v>
      </c>
      <c r="G30" s="41"/>
      <c r="H30" s="40">
        <v>0</v>
      </c>
      <c r="I30" s="16">
        <f t="shared" si="5"/>
        <v>0</v>
      </c>
      <c r="J30" s="46">
        <f t="shared" si="6"/>
        <v>3000</v>
      </c>
      <c r="K30" s="28">
        <f t="shared" si="7"/>
        <v>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/>
      <c r="F32" s="39">
        <f t="shared" ref="F32" si="8">H32-E32</f>
        <v>0</v>
      </c>
      <c r="G32" s="41"/>
      <c r="H32" s="40">
        <v>0</v>
      </c>
      <c r="I32" s="16">
        <f t="shared" ref="I32" si="9">H32/D32</f>
        <v>0</v>
      </c>
      <c r="J32" s="46">
        <f t="shared" ref="J32" si="10">D32-H32</f>
        <v>12000</v>
      </c>
      <c r="K32" s="28">
        <f t="shared" ref="K32" si="11">0.05*H32</f>
        <v>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/>
      <c r="F33" s="39">
        <f>H33-E33</f>
        <v>0</v>
      </c>
      <c r="G33" s="41"/>
      <c r="H33" s="40">
        <v>0</v>
      </c>
      <c r="I33" s="16">
        <f>H33/D33</f>
        <v>0</v>
      </c>
      <c r="J33" s="46">
        <f>D33-H33</f>
        <v>119900</v>
      </c>
      <c r="K33" s="28">
        <f>0.05*H33</f>
        <v>0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/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10200</v>
      </c>
      <c r="K34" s="28">
        <f t="shared" si="3"/>
        <v>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/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119900</v>
      </c>
      <c r="K36" s="28">
        <f t="shared" si="3"/>
        <v>0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/>
      <c r="F37" s="39">
        <f>H37-E37</f>
        <v>0</v>
      </c>
      <c r="G37" s="41"/>
      <c r="H37" s="40">
        <v>0</v>
      </c>
      <c r="I37" s="16">
        <f>H37/D37</f>
        <v>0</v>
      </c>
      <c r="J37" s="46">
        <f>D37-H37</f>
        <v>10200</v>
      </c>
      <c r="K37" s="28">
        <f>0.05*H37</f>
        <v>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/>
      <c r="F39" s="39">
        <f t="shared" si="0"/>
        <v>0</v>
      </c>
      <c r="G39" s="41"/>
      <c r="H39" s="40">
        <v>0</v>
      </c>
      <c r="I39" s="16">
        <f t="shared" si="1"/>
        <v>0</v>
      </c>
      <c r="J39" s="46">
        <f t="shared" si="2"/>
        <v>119900</v>
      </c>
      <c r="K39" s="28">
        <f t="shared" si="3"/>
        <v>0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/>
      <c r="F40" s="39">
        <f t="shared" si="0"/>
        <v>0</v>
      </c>
      <c r="G40" s="41"/>
      <c r="H40" s="40">
        <v>0</v>
      </c>
      <c r="I40" s="16">
        <f t="shared" si="1"/>
        <v>0</v>
      </c>
      <c r="J40" s="46">
        <f t="shared" si="2"/>
        <v>10200</v>
      </c>
      <c r="K40" s="28">
        <f t="shared" si="3"/>
        <v>0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/>
      <c r="F42" s="39">
        <f t="shared" si="0"/>
        <v>0</v>
      </c>
      <c r="G42" s="41"/>
      <c r="H42" s="40">
        <v>0</v>
      </c>
      <c r="I42" s="16">
        <f t="shared" si="1"/>
        <v>0</v>
      </c>
      <c r="J42" s="46">
        <f t="shared" si="2"/>
        <v>119900</v>
      </c>
      <c r="K42" s="28">
        <f t="shared" si="3"/>
        <v>0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/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10200</v>
      </c>
      <c r="K43" s="28">
        <f t="shared" si="3"/>
        <v>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/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91550</v>
      </c>
      <c r="K45" s="28">
        <f t="shared" si="3"/>
        <v>0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/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10200</v>
      </c>
      <c r="K46" s="28">
        <f t="shared" si="3"/>
        <v>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2900</v>
      </c>
      <c r="K47" s="28">
        <f t="shared" si="3"/>
        <v>0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0</v>
      </c>
      <c r="F67" s="38">
        <f t="shared" si="16"/>
        <v>31000</v>
      </c>
      <c r="G67" s="38">
        <f t="shared" si="16"/>
        <v>0</v>
      </c>
      <c r="H67" s="38">
        <f t="shared" si="16"/>
        <v>31000</v>
      </c>
      <c r="I67" s="38" t="e">
        <f t="shared" si="16"/>
        <v>#DIV/0!</v>
      </c>
      <c r="J67" s="46">
        <f>D67-H67</f>
        <v>1148300</v>
      </c>
      <c r="K67" s="38">
        <f>SUM(K13:K66)</f>
        <v>0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/>
      <c r="C69" s="18"/>
      <c r="D69" s="38">
        <v>0</v>
      </c>
      <c r="E69" s="38"/>
      <c r="F69" s="39">
        <f t="shared" ref="F69:F86" si="17">H69-E69</f>
        <v>0</v>
      </c>
      <c r="G69" s="35"/>
      <c r="H69" s="40">
        <v>0</v>
      </c>
      <c r="I69" s="16" t="e">
        <f t="shared" ref="I69:I86" si="18">H69/D69</f>
        <v>#DIV/0!</v>
      </c>
      <c r="J69" s="46">
        <f t="shared" si="14"/>
        <v>0</v>
      </c>
      <c r="K69" s="28">
        <f t="shared" ref="K69:K86" si="19">0.05*H69</f>
        <v>0</v>
      </c>
    </row>
    <row r="70" spans="1:11" x14ac:dyDescent="0.2">
      <c r="A70" s="71" t="s">
        <v>51</v>
      </c>
      <c r="B70" s="62"/>
      <c r="C70" s="15"/>
      <c r="D70" s="38">
        <v>0</v>
      </c>
      <c r="E70" s="38"/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4"/>
        <v>0</v>
      </c>
      <c r="K70" s="28">
        <f t="shared" si="19"/>
        <v>0</v>
      </c>
    </row>
    <row r="71" spans="1:11" ht="12" customHeight="1" x14ac:dyDescent="0.2">
      <c r="A71" s="71" t="s">
        <v>52</v>
      </c>
      <c r="B71" s="63"/>
      <c r="C71" s="15"/>
      <c r="D71" s="38">
        <v>0</v>
      </c>
      <c r="E71" s="38"/>
      <c r="F71" s="39">
        <f t="shared" ref="F71:F77" si="20">H71-E71</f>
        <v>0</v>
      </c>
      <c r="G71" s="41"/>
      <c r="H71" s="40">
        <v>0</v>
      </c>
      <c r="I71" s="16" t="e">
        <f t="shared" ref="I71:I77" si="21">H71/D71</f>
        <v>#DIV/0!</v>
      </c>
      <c r="J71" s="46">
        <f t="shared" ref="J71:J77" si="22">D71-H71</f>
        <v>0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0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1179300</v>
      </c>
      <c r="E87" s="38">
        <f t="shared" si="24"/>
        <v>0</v>
      </c>
      <c r="F87" s="38">
        <f t="shared" si="24"/>
        <v>31000</v>
      </c>
      <c r="G87" s="38">
        <f t="shared" si="24"/>
        <v>0</v>
      </c>
      <c r="H87" s="38">
        <f t="shared" si="24"/>
        <v>31000</v>
      </c>
      <c r="I87" s="12">
        <f>H87/D87</f>
        <v>2.6286780293394388E-2</v>
      </c>
      <c r="J87" s="46">
        <f t="shared" si="14"/>
        <v>1148300</v>
      </c>
      <c r="K87" s="38">
        <f>SUM(K67:K86)</f>
        <v>0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2016-02-18T21:10:06Z</cp:lastPrinted>
  <dcterms:created xsi:type="dcterms:W3CDTF">2001-02-05T15:33:02Z</dcterms:created>
  <dcterms:modified xsi:type="dcterms:W3CDTF">2016-02-19T16:35:15Z</dcterms:modified>
</cp:coreProperties>
</file>