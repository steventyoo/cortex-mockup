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F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<sst xmlns="http://schemas.openxmlformats.org/spreadsheetml/2006/main" count="175" uniqueCount="111">
  <si>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</si>
  <si>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</si>
  <si>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</si>
  <si>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</si>
  <si>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</si>
  <si>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</si>
  <si>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</si>
  <si>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</si>
  <si>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</si>
  <si>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</si>
  <si>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</si>
  <si>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</si>
  <si>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</si>
  <si>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</si>
  <si>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</si>
  <si>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</si>
  <si>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</si>
  <si>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</si>
  <si>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</si>
  <si>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</si>
  <si>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</si>
  <si>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</si>
  <si>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</si>
  <si>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</si>
  <si>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</si>
  <si>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</si>
  <si>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</si>
  <si>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</si>
  <si>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</si>
  <si>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</si>
  <si>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</si>
  <si>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</si>
  <si>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</si>
  <si>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</si>
  <si>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</si>
  <si>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</si>
  <si>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</si>
  <si>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</si>
  <si>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</si>
  <si>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</si>
  <si>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</si>
  <si>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</si>
  <si>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</si>
  <si>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</si>
  <si>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</si>
  <si>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</si>
  <si>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</si>
  <si>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</si>
  <si>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</si>
  <si>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</si>
  <si>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</si>
  <si>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</si>
  <si>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</si>
  <si>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</si>
  <si>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</si>
  <si>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</si>
  <si>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</si>
  <si>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</si>
  <si>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</si>
  <si>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</si>
  <si>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</si>
  <si>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CO#11</t>
  </si>
  <si>
    <t>CO#12</t>
  </si>
  <si>
    <t>CO#13</t>
  </si>
  <si>
    <t>CO#14</t>
  </si>
  <si>
    <t>CO#15</t>
  </si>
  <si>
    <t>CO#16</t>
  </si>
  <si>
    <t>CO#17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</si>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</sst>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zoomScale="120" zoomScaleNormal="100" zoomScaleSheetLayoutView="120" workbookViewId="0">
      <selection activeCell="H34" sqref="H34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93</v>
      </c>
      <c r="F2" s="29" t="s">
        <v>7</v>
      </c>
      <c r="G2" s="29"/>
      <c r="H2" s="58">
        <v>6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42663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42674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136750</v>
      </c>
      <c r="F11" s="36">
        <f>SUM(F12:F66)</f>
        <v>19950</v>
      </c>
      <c r="G11" s="36"/>
      <c r="H11" s="36">
        <f>SUM(H12:H66)</f>
        <v>156700</v>
      </c>
      <c r="I11" s="12">
        <f>H11/D11</f>
        <v>0.1328754345798355</v>
      </c>
      <c r="J11" s="43">
        <f>SUM(J12:J66)</f>
        <v>1022600</v>
      </c>
      <c r="K11" s="27">
        <f>SUM(K12:K66)</f>
        <v>7835</v>
      </c>
    </row>
    <row r="12" spans="1:11" x14ac:dyDescent="0.2">
      <c r="A12" s="68"/>
      <c r="B12" s="72" t="s">
        <v>68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69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94</v>
      </c>
      <c r="B14" s="73" t="s">
        <v>70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95</v>
      </c>
      <c r="B15" s="73" t="s">
        <v>48</v>
      </c>
      <c r="C15" s="15" t="s">
        <v>37</v>
      </c>
      <c r="D15" s="38">
        <v>8100</v>
      </c>
      <c r="E15" s="38"/>
      <c r="F15" s="39">
        <f t="shared" si="0"/>
        <v>0</v>
      </c>
      <c r="G15" s="41"/>
      <c r="H15" s="40">
        <v>0</v>
      </c>
      <c r="I15" s="16">
        <f t="shared" si="1"/>
        <v>0</v>
      </c>
      <c r="J15" s="46">
        <f t="shared" si="2"/>
        <v>8100</v>
      </c>
      <c r="K15" s="28">
        <f t="shared" si="3"/>
        <v>0</v>
      </c>
    </row>
    <row r="16" spans="1:11" ht="13.5" x14ac:dyDescent="0.2">
      <c r="A16" s="69" t="s">
        <v>95</v>
      </c>
      <c r="B16" s="73" t="s">
        <v>49</v>
      </c>
      <c r="C16" s="15"/>
      <c r="D16" s="37">
        <v>8100</v>
      </c>
      <c r="E16" s="38"/>
      <c r="F16" s="39">
        <f t="shared" si="0"/>
        <v>0</v>
      </c>
      <c r="G16" s="41"/>
      <c r="H16" s="40">
        <v>0</v>
      </c>
      <c r="I16" s="16">
        <f t="shared" si="1"/>
        <v>0</v>
      </c>
      <c r="J16" s="46">
        <f t="shared" si="2"/>
        <v>8100</v>
      </c>
      <c r="K16" s="28">
        <f t="shared" si="3"/>
        <v>0</v>
      </c>
    </row>
    <row r="17" spans="1:11" ht="13.5" x14ac:dyDescent="0.2">
      <c r="A17" s="69" t="s">
        <v>47</v>
      </c>
      <c r="B17" s="73" t="s">
        <v>91</v>
      </c>
      <c r="C17" s="15"/>
      <c r="D17" s="37">
        <v>23800</v>
      </c>
      <c r="E17" s="38">
        <v>17850</v>
      </c>
      <c r="F17" s="39">
        <f t="shared" si="0"/>
        <v>5950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97</v>
      </c>
      <c r="B18" s="73" t="s">
        <v>96</v>
      </c>
      <c r="C18" s="15" t="s">
        <v>37</v>
      </c>
      <c r="D18" s="38">
        <v>30300</v>
      </c>
      <c r="E18" s="38"/>
      <c r="F18" s="39">
        <f t="shared" si="0"/>
        <v>0</v>
      </c>
      <c r="G18" s="41"/>
      <c r="H18" s="40">
        <v>0</v>
      </c>
      <c r="I18" s="16">
        <f t="shared" si="1"/>
        <v>0</v>
      </c>
      <c r="J18" s="46">
        <f t="shared" si="2"/>
        <v>30300</v>
      </c>
      <c r="K18" s="28">
        <f t="shared" si="3"/>
        <v>0</v>
      </c>
    </row>
    <row r="19" spans="1:11" ht="13.5" x14ac:dyDescent="0.2">
      <c r="A19" s="69" t="s">
        <v>97</v>
      </c>
      <c r="B19" s="73" t="s">
        <v>101</v>
      </c>
      <c r="C19" s="15" t="s">
        <v>37</v>
      </c>
      <c r="D19" s="38">
        <v>22900</v>
      </c>
      <c r="E19" s="38"/>
      <c r="F19" s="39">
        <f t="shared" si="0"/>
        <v>0</v>
      </c>
      <c r="G19" s="41"/>
      <c r="H19" s="40">
        <v>0</v>
      </c>
      <c r="I19" s="16">
        <f t="shared" si="1"/>
        <v>0</v>
      </c>
      <c r="J19" s="46">
        <f t="shared" si="2"/>
        <v>22900</v>
      </c>
      <c r="K19" s="28">
        <f t="shared" si="3"/>
        <v>0</v>
      </c>
    </row>
    <row r="20" spans="1:11" ht="13.5" x14ac:dyDescent="0.2">
      <c r="A20" s="69" t="s">
        <v>98</v>
      </c>
      <c r="B20" s="73" t="s">
        <v>100</v>
      </c>
      <c r="C20" s="15" t="s">
        <v>37</v>
      </c>
      <c r="D20" s="38">
        <v>27500</v>
      </c>
      <c r="E20" s="38"/>
      <c r="F20" s="39">
        <f t="shared" si="0"/>
        <v>0</v>
      </c>
      <c r="G20" s="41"/>
      <c r="H20" s="40">
        <v>0</v>
      </c>
      <c r="I20" s="16">
        <f t="shared" si="1"/>
        <v>0</v>
      </c>
      <c r="J20" s="46">
        <f t="shared" si="2"/>
        <v>27500</v>
      </c>
      <c r="K20" s="28">
        <f t="shared" si="3"/>
        <v>0</v>
      </c>
    </row>
    <row r="21" spans="1:11" ht="13.5" x14ac:dyDescent="0.2">
      <c r="A21" s="69" t="s">
        <v>98</v>
      </c>
      <c r="B21" s="73" t="s">
        <v>99</v>
      </c>
      <c r="C21" s="15"/>
      <c r="D21" s="38">
        <v>14600</v>
      </c>
      <c r="E21" s="38"/>
      <c r="F21" s="39">
        <f t="shared" si="0"/>
        <v>0</v>
      </c>
      <c r="G21" s="41"/>
      <c r="H21" s="40">
        <v>0</v>
      </c>
      <c r="I21" s="16">
        <f t="shared" si="1"/>
        <v>0</v>
      </c>
      <c r="J21" s="46">
        <f t="shared" si="2"/>
        <v>14600</v>
      </c>
      <c r="K21" s="28">
        <f t="shared" si="3"/>
        <v>0</v>
      </c>
    </row>
    <row r="22" spans="1:11" ht="13.5" x14ac:dyDescent="0.2">
      <c r="A22" s="69" t="s">
        <v>107</v>
      </c>
      <c r="B22" s="73" t="s">
        <v>72</v>
      </c>
      <c r="C22" s="15"/>
      <c r="D22" s="38">
        <v>16300</v>
      </c>
      <c r="E22" s="38"/>
      <c r="F22" s="39">
        <f t="shared" si="0"/>
        <v>4000</v>
      </c>
      <c r="G22" s="41"/>
      <c r="H22" s="40">
        <v>4000</v>
      </c>
      <c r="I22" s="16">
        <f t="shared" si="1"/>
        <v>0.24539877300613497</v>
      </c>
      <c r="J22" s="46">
        <f t="shared" si="2"/>
        <v>12300</v>
      </c>
      <c r="K22" s="28">
        <f t="shared" si="3"/>
        <v>200</v>
      </c>
    </row>
    <row r="23" spans="1:11" ht="13.5" x14ac:dyDescent="0.2">
      <c r="A23" s="69" t="s">
        <v>71</v>
      </c>
      <c r="B23" s="73" t="s">
        <v>92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102</v>
      </c>
      <c r="B24" s="73" t="s">
        <v>91</v>
      </c>
      <c r="C24" s="15" t="s">
        <v>37</v>
      </c>
      <c r="D24" s="38">
        <v>20200</v>
      </c>
      <c r="E24" s="38"/>
      <c r="F24" s="39">
        <f t="shared" si="0"/>
        <v>10000</v>
      </c>
      <c r="G24" s="41"/>
      <c r="H24" s="40">
        <v>10000</v>
      </c>
      <c r="I24" s="16">
        <f t="shared" si="1"/>
        <v>0.49504950495049505</v>
      </c>
      <c r="J24" s="46">
        <f t="shared" si="2"/>
        <v>10200</v>
      </c>
      <c r="K24" s="28">
        <f t="shared" si="3"/>
        <v>500</v>
      </c>
    </row>
    <row r="25" spans="1:11" ht="13.5" x14ac:dyDescent="0.2">
      <c r="A25" s="69" t="s">
        <v>109</v>
      </c>
      <c r="B25" s="73" t="s">
        <v>91</v>
      </c>
      <c r="C25" s="15" t="s">
        <v>37</v>
      </c>
      <c r="D25" s="38">
        <v>49500</v>
      </c>
      <c r="E25" s="38"/>
      <c r="F25" s="39">
        <f t="shared" si="0"/>
        <v>0</v>
      </c>
      <c r="G25" s="41"/>
      <c r="H25" s="40">
        <v>0</v>
      </c>
      <c r="I25" s="16">
        <f t="shared" si="1"/>
        <v>0</v>
      </c>
      <c r="J25" s="46">
        <f t="shared" si="2"/>
        <v>49500</v>
      </c>
      <c r="K25" s="28">
        <f t="shared" si="3"/>
        <v>0</v>
      </c>
    </row>
    <row r="26" spans="1:11" ht="13.5" x14ac:dyDescent="0.2">
      <c r="A26" s="69" t="s">
        <v>103</v>
      </c>
      <c r="B26" s="73" t="s">
        <v>92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104</v>
      </c>
      <c r="B27" s="73" t="s">
        <v>91</v>
      </c>
      <c r="C27" s="15"/>
      <c r="D27" s="38">
        <v>19000</v>
      </c>
      <c r="E27" s="38"/>
      <c r="F27" s="39">
        <f t="shared" si="4"/>
        <v>0</v>
      </c>
      <c r="G27" s="41"/>
      <c r="H27" s="40">
        <v>0</v>
      </c>
      <c r="I27" s="16">
        <f t="shared" si="5"/>
        <v>0</v>
      </c>
      <c r="J27" s="46">
        <f t="shared" si="6"/>
        <v>19000</v>
      </c>
      <c r="K27" s="28">
        <f t="shared" si="7"/>
        <v>0</v>
      </c>
    </row>
    <row r="28" spans="1:11" ht="13.5" x14ac:dyDescent="0.2">
      <c r="A28" s="69" t="s">
        <v>50</v>
      </c>
      <c r="B28" s="73" t="s">
        <v>88</v>
      </c>
      <c r="C28" s="15" t="s">
        <v>37</v>
      </c>
      <c r="D28" s="38">
        <v>43000</v>
      </c>
      <c r="E28" s="38"/>
      <c r="F28" s="39">
        <f t="shared" si="4"/>
        <v>0</v>
      </c>
      <c r="G28" s="41"/>
      <c r="H28" s="40">
        <v>0</v>
      </c>
      <c r="I28" s="16">
        <f t="shared" si="5"/>
        <v>0</v>
      </c>
      <c r="J28" s="46">
        <f t="shared" si="6"/>
        <v>43000</v>
      </c>
      <c r="K28" s="28">
        <f t="shared" si="7"/>
        <v>0</v>
      </c>
    </row>
    <row r="29" spans="1:11" ht="13.5" x14ac:dyDescent="0.2">
      <c r="A29" s="69" t="s">
        <v>110</v>
      </c>
      <c r="B29" s="73" t="s">
        <v>91</v>
      </c>
      <c r="C29" s="15"/>
      <c r="D29" s="38">
        <v>42400</v>
      </c>
      <c r="E29" s="38"/>
      <c r="F29" s="39">
        <f t="shared" si="4"/>
        <v>0</v>
      </c>
      <c r="G29" s="41"/>
      <c r="H29" s="40">
        <v>0</v>
      </c>
      <c r="I29" s="16">
        <f t="shared" si="5"/>
        <v>0</v>
      </c>
      <c r="J29" s="46">
        <f t="shared" si="6"/>
        <v>42400</v>
      </c>
      <c r="K29" s="28">
        <f t="shared" si="7"/>
        <v>0</v>
      </c>
    </row>
    <row r="30" spans="1:11" ht="13.5" x14ac:dyDescent="0.2">
      <c r="A30" s="69" t="s">
        <v>73</v>
      </c>
      <c r="B30" s="73" t="s">
        <v>90</v>
      </c>
      <c r="C30" s="15" t="s">
        <v>37</v>
      </c>
      <c r="D30" s="38">
        <v>3000</v>
      </c>
      <c r="E30" s="38"/>
      <c r="F30" s="39">
        <f t="shared" si="4"/>
        <v>0</v>
      </c>
      <c r="G30" s="41"/>
      <c r="H30" s="40">
        <v>0</v>
      </c>
      <c r="I30" s="16">
        <f t="shared" si="5"/>
        <v>0</v>
      </c>
      <c r="J30" s="46">
        <f t="shared" si="6"/>
        <v>3000</v>
      </c>
      <c r="K30" s="28">
        <f t="shared" si="7"/>
        <v>0</v>
      </c>
    </row>
    <row r="31" spans="1:11" ht="13.5" x14ac:dyDescent="0.2">
      <c r="A31" s="69" t="s">
        <v>73</v>
      </c>
      <c r="B31" s="73" t="s">
        <v>89</v>
      </c>
      <c r="C31" s="15" t="s">
        <v>37</v>
      </c>
      <c r="D31" s="38">
        <v>850</v>
      </c>
      <c r="E31" s="38"/>
      <c r="F31" s="39">
        <f t="shared" si="0"/>
        <v>0</v>
      </c>
      <c r="G31" s="41"/>
      <c r="H31" s="40">
        <v>0</v>
      </c>
      <c r="I31" s="16">
        <f t="shared" si="1"/>
        <v>0</v>
      </c>
      <c r="J31" s="46">
        <f t="shared" si="2"/>
        <v>850</v>
      </c>
      <c r="K31" s="28">
        <f t="shared" si="3"/>
        <v>0</v>
      </c>
    </row>
    <row r="32" spans="1:11" ht="13.5" x14ac:dyDescent="0.2">
      <c r="A32" s="69" t="s">
        <v>108</v>
      </c>
      <c r="B32" s="73" t="s">
        <v>92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77</v>
      </c>
      <c r="B33" s="73" t="s">
        <v>76</v>
      </c>
      <c r="C33" s="15" t="s">
        <v>37</v>
      </c>
      <c r="D33" s="38">
        <v>119900</v>
      </c>
      <c r="E33" s="38"/>
      <c r="F33" s="39">
        <f>H33-E33</f>
        <v>0</v>
      </c>
      <c r="G33" s="41"/>
      <c r="H33" s="40">
        <v>0</v>
      </c>
      <c r="I33" s="16">
        <f>H33/D33</f>
        <v>0</v>
      </c>
      <c r="J33" s="46">
        <f>D33-H33</f>
        <v>119900</v>
      </c>
      <c r="K33" s="28">
        <f>0.05*H33</f>
        <v>0</v>
      </c>
    </row>
    <row r="34" spans="1:11" ht="13.5" x14ac:dyDescent="0.2">
      <c r="A34" s="69" t="s">
        <v>77</v>
      </c>
      <c r="B34" s="73" t="s">
        <v>75</v>
      </c>
      <c r="C34" s="15" t="s">
        <v>37</v>
      </c>
      <c r="D34" s="38">
        <v>10200</v>
      </c>
      <c r="E34" s="38"/>
      <c r="F34" s="39">
        <f t="shared" si="0"/>
        <v>0</v>
      </c>
      <c r="G34" s="41"/>
      <c r="H34" s="40">
        <v>0</v>
      </c>
      <c r="I34" s="16">
        <f t="shared" si="1"/>
        <v>0</v>
      </c>
      <c r="J34" s="46">
        <f t="shared" si="2"/>
        <v>10200</v>
      </c>
      <c r="K34" s="28">
        <f t="shared" si="3"/>
        <v>0</v>
      </c>
    </row>
    <row r="35" spans="1:11" ht="13.5" x14ac:dyDescent="0.2">
      <c r="A35" s="69" t="s">
        <v>77</v>
      </c>
      <c r="B35" s="73" t="s">
        <v>74</v>
      </c>
      <c r="C35" s="15" t="s">
        <v>37</v>
      </c>
      <c r="D35" s="38">
        <v>2900</v>
      </c>
      <c r="E35" s="38"/>
      <c r="F35" s="39">
        <f t="shared" si="0"/>
        <v>0</v>
      </c>
      <c r="G35" s="41"/>
      <c r="H35" s="40">
        <v>0</v>
      </c>
      <c r="I35" s="16">
        <f t="shared" si="1"/>
        <v>0</v>
      </c>
      <c r="J35" s="46">
        <f t="shared" si="2"/>
        <v>2900</v>
      </c>
      <c r="K35" s="28">
        <f t="shared" si="3"/>
        <v>0</v>
      </c>
    </row>
    <row r="36" spans="1:11" ht="13.5" x14ac:dyDescent="0.2">
      <c r="A36" s="69" t="s">
        <v>78</v>
      </c>
      <c r="B36" s="73" t="s">
        <v>76</v>
      </c>
      <c r="C36" s="57" t="s">
        <v>46</v>
      </c>
      <c r="D36" s="38">
        <v>119900</v>
      </c>
      <c r="E36" s="38"/>
      <c r="F36" s="39">
        <f t="shared" si="0"/>
        <v>0</v>
      </c>
      <c r="G36" s="41"/>
      <c r="H36" s="40">
        <v>0</v>
      </c>
      <c r="I36" s="16">
        <f t="shared" si="1"/>
        <v>0</v>
      </c>
      <c r="J36" s="46">
        <f t="shared" si="2"/>
        <v>119900</v>
      </c>
      <c r="K36" s="28">
        <f t="shared" si="3"/>
        <v>0</v>
      </c>
    </row>
    <row r="37" spans="1:11" ht="13.5" x14ac:dyDescent="0.2">
      <c r="A37" s="69" t="s">
        <v>78</v>
      </c>
      <c r="B37" s="73" t="s">
        <v>75</v>
      </c>
      <c r="C37" s="15"/>
      <c r="D37" s="38">
        <v>10200</v>
      </c>
      <c r="E37" s="38"/>
      <c r="F37" s="39">
        <f>H37-E37</f>
        <v>0</v>
      </c>
      <c r="G37" s="41"/>
      <c r="H37" s="40">
        <v>0</v>
      </c>
      <c r="I37" s="16">
        <f>H37/D37</f>
        <v>0</v>
      </c>
      <c r="J37" s="46">
        <f>D37-H37</f>
        <v>10200</v>
      </c>
      <c r="K37" s="28">
        <f>0.05*H37</f>
        <v>0</v>
      </c>
    </row>
    <row r="38" spans="1:11" ht="13.5" x14ac:dyDescent="0.2">
      <c r="A38" s="69" t="s">
        <v>78</v>
      </c>
      <c r="B38" s="73" t="s">
        <v>74</v>
      </c>
      <c r="C38" s="15"/>
      <c r="D38" s="38">
        <v>2900</v>
      </c>
      <c r="E38" s="38"/>
      <c r="F38" s="39">
        <f>H38-E38</f>
        <v>0</v>
      </c>
      <c r="G38" s="41"/>
      <c r="H38" s="40">
        <v>0</v>
      </c>
      <c r="I38" s="16">
        <f>H38/D38</f>
        <v>0</v>
      </c>
      <c r="J38" s="46">
        <f>D38-H38</f>
        <v>2900</v>
      </c>
      <c r="K38" s="28">
        <f>0.05*H38</f>
        <v>0</v>
      </c>
    </row>
    <row r="39" spans="1:11" ht="13.5" x14ac:dyDescent="0.2">
      <c r="A39" s="69" t="s">
        <v>79</v>
      </c>
      <c r="B39" s="73" t="s">
        <v>76</v>
      </c>
      <c r="C39" s="15"/>
      <c r="D39" s="38">
        <v>119900</v>
      </c>
      <c r="E39" s="38"/>
      <c r="F39" s="39">
        <f t="shared" si="0"/>
        <v>0</v>
      </c>
      <c r="G39" s="41"/>
      <c r="H39" s="40">
        <v>0</v>
      </c>
      <c r="I39" s="16">
        <f t="shared" si="1"/>
        <v>0</v>
      </c>
      <c r="J39" s="46">
        <f t="shared" si="2"/>
        <v>119900</v>
      </c>
      <c r="K39" s="28">
        <f t="shared" si="3"/>
        <v>0</v>
      </c>
    </row>
    <row r="40" spans="1:11" ht="13.5" x14ac:dyDescent="0.2">
      <c r="A40" s="69" t="s">
        <v>79</v>
      </c>
      <c r="B40" s="73" t="s">
        <v>75</v>
      </c>
      <c r="C40" s="15"/>
      <c r="D40" s="38">
        <v>10200</v>
      </c>
      <c r="E40" s="38"/>
      <c r="F40" s="39">
        <f t="shared" si="0"/>
        <v>0</v>
      </c>
      <c r="G40" s="41"/>
      <c r="H40" s="40">
        <v>0</v>
      </c>
      <c r="I40" s="16">
        <f t="shared" si="1"/>
        <v>0</v>
      </c>
      <c r="J40" s="46">
        <f t="shared" si="2"/>
        <v>10200</v>
      </c>
      <c r="K40" s="28">
        <f t="shared" si="3"/>
        <v>0</v>
      </c>
    </row>
    <row r="41" spans="1:11" ht="13.5" x14ac:dyDescent="0.2">
      <c r="A41" s="69" t="s">
        <v>79</v>
      </c>
      <c r="B41" s="73" t="s">
        <v>74</v>
      </c>
      <c r="C41" s="15"/>
      <c r="D41" s="38">
        <v>2900</v>
      </c>
      <c r="E41" s="38"/>
      <c r="F41" s="39">
        <f t="shared" si="0"/>
        <v>0</v>
      </c>
      <c r="G41" s="41"/>
      <c r="H41" s="40">
        <v>0</v>
      </c>
      <c r="I41" s="16">
        <f t="shared" si="1"/>
        <v>0</v>
      </c>
      <c r="J41" s="46">
        <f t="shared" si="2"/>
        <v>2900</v>
      </c>
      <c r="K41" s="28">
        <f t="shared" si="3"/>
        <v>0</v>
      </c>
    </row>
    <row r="42" spans="1:11" ht="13.5" x14ac:dyDescent="0.2">
      <c r="A42" s="69" t="s">
        <v>80</v>
      </c>
      <c r="B42" s="73" t="s">
        <v>76</v>
      </c>
      <c r="C42" s="15"/>
      <c r="D42" s="38">
        <v>119900</v>
      </c>
      <c r="E42" s="38"/>
      <c r="F42" s="39">
        <f t="shared" si="0"/>
        <v>0</v>
      </c>
      <c r="G42" s="41"/>
      <c r="H42" s="40">
        <v>0</v>
      </c>
      <c r="I42" s="16">
        <f t="shared" si="1"/>
        <v>0</v>
      </c>
      <c r="J42" s="46">
        <f t="shared" si="2"/>
        <v>119900</v>
      </c>
      <c r="K42" s="28">
        <f t="shared" si="3"/>
        <v>0</v>
      </c>
    </row>
    <row r="43" spans="1:11" ht="13.5" x14ac:dyDescent="0.2">
      <c r="A43" s="69" t="s">
        <v>80</v>
      </c>
      <c r="B43" s="73" t="s">
        <v>75</v>
      </c>
      <c r="C43" s="15"/>
      <c r="D43" s="38">
        <v>10200</v>
      </c>
      <c r="E43" s="38"/>
      <c r="F43" s="39">
        <f t="shared" si="0"/>
        <v>0</v>
      </c>
      <c r="G43" s="41"/>
      <c r="H43" s="40">
        <v>0</v>
      </c>
      <c r="I43" s="16">
        <f t="shared" si="1"/>
        <v>0</v>
      </c>
      <c r="J43" s="46">
        <f t="shared" si="2"/>
        <v>10200</v>
      </c>
      <c r="K43" s="28">
        <f t="shared" si="3"/>
        <v>0</v>
      </c>
    </row>
    <row r="44" spans="1:11" ht="13.5" x14ac:dyDescent="0.2">
      <c r="A44" s="69" t="s">
        <v>80</v>
      </c>
      <c r="B44" s="73" t="s">
        <v>74</v>
      </c>
      <c r="C44" s="15"/>
      <c r="D44" s="38">
        <v>2900</v>
      </c>
      <c r="E44" s="38"/>
      <c r="F44" s="39">
        <f t="shared" si="0"/>
        <v>0</v>
      </c>
      <c r="G44" s="41"/>
      <c r="H44" s="40">
        <v>0</v>
      </c>
      <c r="I44" s="16">
        <f t="shared" si="1"/>
        <v>0</v>
      </c>
      <c r="J44" s="46">
        <f t="shared" si="2"/>
        <v>2900</v>
      </c>
      <c r="K44" s="28">
        <f t="shared" si="3"/>
        <v>0</v>
      </c>
    </row>
    <row r="45" spans="1:11" ht="13.5" x14ac:dyDescent="0.2">
      <c r="A45" s="69" t="s">
        <v>105</v>
      </c>
      <c r="B45" s="73" t="s">
        <v>76</v>
      </c>
      <c r="C45" s="15"/>
      <c r="D45" s="38">
        <v>91550</v>
      </c>
      <c r="E45" s="38"/>
      <c r="F45" s="39">
        <f t="shared" si="0"/>
        <v>0</v>
      </c>
      <c r="G45" s="41"/>
      <c r="H45" s="40">
        <v>0</v>
      </c>
      <c r="I45" s="16">
        <f t="shared" si="1"/>
        <v>0</v>
      </c>
      <c r="J45" s="46">
        <f t="shared" si="2"/>
        <v>91550</v>
      </c>
      <c r="K45" s="28">
        <f t="shared" si="3"/>
        <v>0</v>
      </c>
    </row>
    <row r="46" spans="1:11" ht="13.5" x14ac:dyDescent="0.2">
      <c r="A46" s="69" t="s">
        <v>105</v>
      </c>
      <c r="B46" s="73" t="s">
        <v>75</v>
      </c>
      <c r="C46" s="15"/>
      <c r="D46" s="38">
        <v>10200</v>
      </c>
      <c r="E46" s="38"/>
      <c r="F46" s="39">
        <f t="shared" si="0"/>
        <v>0</v>
      </c>
      <c r="G46" s="41"/>
      <c r="H46" s="40">
        <v>0</v>
      </c>
      <c r="I46" s="16">
        <f t="shared" si="1"/>
        <v>0</v>
      </c>
      <c r="J46" s="46">
        <f t="shared" si="2"/>
        <v>10200</v>
      </c>
      <c r="K46" s="28">
        <f t="shared" si="3"/>
        <v>0</v>
      </c>
    </row>
    <row r="47" spans="1:11" ht="13.5" x14ac:dyDescent="0.2">
      <c r="A47" s="69" t="s">
        <v>105</v>
      </c>
      <c r="B47" s="73" t="s">
        <v>74</v>
      </c>
      <c r="C47" s="15"/>
      <c r="D47" s="38">
        <v>2900</v>
      </c>
      <c r="E47" s="38"/>
      <c r="F47" s="39">
        <f t="shared" si="0"/>
        <v>0</v>
      </c>
      <c r="G47" s="41"/>
      <c r="H47" s="40">
        <v>0</v>
      </c>
      <c r="I47" s="16">
        <f t="shared" si="1"/>
        <v>0</v>
      </c>
      <c r="J47" s="46">
        <f t="shared" si="2"/>
        <v>2900</v>
      </c>
      <c r="K47" s="28">
        <f t="shared" si="3"/>
        <v>0</v>
      </c>
    </row>
    <row r="48" spans="1:11" ht="13.5" x14ac:dyDescent="0.2">
      <c r="A48" s="69" t="s">
        <v>82</v>
      </c>
      <c r="B48" s="73" t="s">
        <v>81</v>
      </c>
      <c r="C48" s="15"/>
      <c r="D48" s="38">
        <v>3100</v>
      </c>
      <c r="E48" s="38"/>
      <c r="F48" s="39">
        <f t="shared" si="0"/>
        <v>0</v>
      </c>
      <c r="G48" s="41"/>
      <c r="H48" s="40">
        <v>0</v>
      </c>
      <c r="I48" s="16">
        <f t="shared" si="1"/>
        <v>0</v>
      </c>
      <c r="J48" s="46">
        <f t="shared" si="2"/>
        <v>3100</v>
      </c>
      <c r="K48" s="28">
        <f t="shared" si="3"/>
        <v>0</v>
      </c>
    </row>
    <row r="49" spans="1:11" ht="13.5" x14ac:dyDescent="0.2">
      <c r="A49" s="69" t="s">
        <v>83</v>
      </c>
      <c r="B49" s="73" t="s">
        <v>81</v>
      </c>
      <c r="C49" s="15"/>
      <c r="D49" s="38">
        <v>5600</v>
      </c>
      <c r="E49" s="38"/>
      <c r="F49" s="39">
        <f t="shared" si="0"/>
        <v>0</v>
      </c>
      <c r="G49" s="41"/>
      <c r="H49" s="40">
        <v>0</v>
      </c>
      <c r="I49" s="16">
        <f t="shared" si="1"/>
        <v>0</v>
      </c>
      <c r="J49" s="46">
        <f t="shared" si="2"/>
        <v>5600</v>
      </c>
      <c r="K49" s="28">
        <f t="shared" si="3"/>
        <v>0</v>
      </c>
    </row>
    <row r="50" spans="1:11" ht="13.5" x14ac:dyDescent="0.2">
      <c r="A50" s="69" t="s">
        <v>84</v>
      </c>
      <c r="B50" s="73" t="s">
        <v>81</v>
      </c>
      <c r="C50" s="15"/>
      <c r="D50" s="38">
        <v>17100</v>
      </c>
      <c r="E50" s="38"/>
      <c r="F50" s="39">
        <f t="shared" si="0"/>
        <v>0</v>
      </c>
      <c r="G50" s="41"/>
      <c r="H50" s="40">
        <v>0</v>
      </c>
      <c r="I50" s="16">
        <f t="shared" si="1"/>
        <v>0</v>
      </c>
      <c r="J50" s="46">
        <f t="shared" si="2"/>
        <v>17100</v>
      </c>
      <c r="K50" s="28">
        <f t="shared" si="3"/>
        <v>0</v>
      </c>
    </row>
    <row r="51" spans="1:11" ht="13.5" x14ac:dyDescent="0.2">
      <c r="A51" s="69" t="s">
        <v>85</v>
      </c>
      <c r="B51" s="73" t="s">
        <v>81</v>
      </c>
      <c r="C51" s="15"/>
      <c r="D51" s="38">
        <v>17100</v>
      </c>
      <c r="E51" s="38"/>
      <c r="F51" s="39">
        <f t="shared" si="0"/>
        <v>0</v>
      </c>
      <c r="G51" s="41"/>
      <c r="H51" s="40">
        <v>0</v>
      </c>
      <c r="I51" s="16">
        <f t="shared" si="1"/>
        <v>0</v>
      </c>
      <c r="J51" s="46">
        <f t="shared" si="2"/>
        <v>17100</v>
      </c>
      <c r="K51" s="28">
        <f t="shared" si="3"/>
        <v>0</v>
      </c>
    </row>
    <row r="52" spans="1:11" ht="13.5" x14ac:dyDescent="0.2">
      <c r="A52" s="69" t="s">
        <v>86</v>
      </c>
      <c r="B52" s="73" t="s">
        <v>81</v>
      </c>
      <c r="C52" s="15"/>
      <c r="D52" s="38">
        <v>17100</v>
      </c>
      <c r="E52" s="38"/>
      <c r="F52" s="39">
        <f t="shared" si="0"/>
        <v>0</v>
      </c>
      <c r="G52" s="41"/>
      <c r="H52" s="40">
        <v>0</v>
      </c>
      <c r="I52" s="16">
        <f t="shared" si="1"/>
        <v>0</v>
      </c>
      <c r="J52" s="46">
        <f t="shared" si="2"/>
        <v>17100</v>
      </c>
      <c r="K52" s="28">
        <f t="shared" si="3"/>
        <v>0</v>
      </c>
    </row>
    <row r="53" spans="1:11" ht="13.5" x14ac:dyDescent="0.2">
      <c r="A53" s="69" t="s">
        <v>87</v>
      </c>
      <c r="B53" s="73" t="s">
        <v>81</v>
      </c>
      <c r="C53" s="15"/>
      <c r="D53" s="38">
        <v>17100</v>
      </c>
      <c r="E53" s="38"/>
      <c r="F53" s="39">
        <f t="shared" si="0"/>
        <v>0</v>
      </c>
      <c r="G53" s="41"/>
      <c r="H53" s="40">
        <v>0</v>
      </c>
      <c r="I53" s="16">
        <f t="shared" si="1"/>
        <v>0</v>
      </c>
      <c r="J53" s="46">
        <f t="shared" si="2"/>
        <v>17100</v>
      </c>
      <c r="K53" s="28">
        <f t="shared" si="3"/>
        <v>0</v>
      </c>
    </row>
    <row r="54" spans="1:11" ht="13.5" x14ac:dyDescent="0.2">
      <c r="A54" s="69" t="s">
        <v>106</v>
      </c>
      <c r="B54" s="73" t="s">
        <v>81</v>
      </c>
      <c r="C54" s="15"/>
      <c r="D54" s="38">
        <v>17100</v>
      </c>
      <c r="E54" s="38"/>
      <c r="F54" s="39">
        <f t="shared" si="0"/>
        <v>0</v>
      </c>
      <c r="G54" s="41"/>
      <c r="H54" s="40">
        <v>0</v>
      </c>
      <c r="I54" s="16">
        <f t="shared" si="1"/>
        <v>0</v>
      </c>
      <c r="J54" s="46">
        <f t="shared" si="2"/>
        <v>17100</v>
      </c>
      <c r="K54" s="28">
        <f t="shared" si="3"/>
        <v>0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106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106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106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106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106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106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106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106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106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106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136750</v>
      </c>
      <c r="F67" s="38">
        <f t="shared" si="16"/>
        <v>19950</v>
      </c>
      <c r="G67" s="38">
        <f t="shared" si="16"/>
        <v>0</v>
      </c>
      <c r="H67" s="38">
        <f t="shared" si="16"/>
        <v>156700</v>
      </c>
      <c r="I67" s="38" t="e">
        <f t="shared" si="16"/>
        <v>#DIV/0!</v>
      </c>
      <c r="J67" s="46">
        <f>D67-H67</f>
        <v>1022600</v>
      </c>
      <c r="K67" s="38">
        <f>SUM(K13:K66)</f>
        <v>6285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/>
      <c r="C69" s="18"/>
      <c r="D69" s="38">
        <v>0</v>
      </c>
      <c r="E69" s="38"/>
      <c r="F69" s="39">
        <f t="shared" ref="F69:F86" si="17">H69-E69</f>
        <v>0</v>
      </c>
      <c r="G69" s="35"/>
      <c r="H69" s="40">
        <v>0</v>
      </c>
      <c r="I69" s="16" t="e">
        <f t="shared" ref="I69:I86" si="18">H69/D69</f>
        <v>#DIV/0!</v>
      </c>
      <c r="J69" s="46">
        <f t="shared" si="14"/>
        <v>0</v>
      </c>
      <c r="K69" s="28">
        <f t="shared" ref="K69:K86" si="19">0.05*H69</f>
        <v>0</v>
      </c>
    </row>
    <row r="70" spans="1:11" x14ac:dyDescent="0.2">
      <c r="A70" s="71" t="s">
        <v>51</v>
      </c>
      <c r="B70" s="62"/>
      <c r="C70" s="15"/>
      <c r="D70" s="38">
        <v>0</v>
      </c>
      <c r="E70" s="38"/>
      <c r="F70" s="39">
        <f t="shared" si="17"/>
        <v>0</v>
      </c>
      <c r="G70" s="41"/>
      <c r="H70" s="40">
        <v>0</v>
      </c>
      <c r="I70" s="16" t="e">
        <f t="shared" si="18"/>
        <v>#DIV/0!</v>
      </c>
      <c r="J70" s="46">
        <f t="shared" si="14"/>
        <v>0</v>
      </c>
      <c r="K70" s="28">
        <f t="shared" si="19"/>
        <v>0</v>
      </c>
    </row>
    <row r="71" spans="1:11" ht="12" customHeight="1" x14ac:dyDescent="0.2">
      <c r="A71" s="71" t="s">
        <v>52</v>
      </c>
      <c r="B71" s="63"/>
      <c r="C71" s="15"/>
      <c r="D71" s="38">
        <v>0</v>
      </c>
      <c r="E71" s="38"/>
      <c r="F71" s="39">
        <f t="shared" ref="F71:F77" si="20">H71-E71</f>
        <v>0</v>
      </c>
      <c r="G71" s="41"/>
      <c r="H71" s="40">
        <v>0</v>
      </c>
      <c r="I71" s="16" t="e">
        <f t="shared" ref="I71:I77" si="21">H71/D71</f>
        <v>#DIV/0!</v>
      </c>
      <c r="J71" s="46">
        <f t="shared" ref="J71:J77" si="22">D71-H71</f>
        <v>0</v>
      </c>
      <c r="K71" s="28">
        <f t="shared" ref="K71:K77" si="23">0.05*H71</f>
        <v>0</v>
      </c>
    </row>
    <row r="72" spans="1:11" ht="12" customHeight="1" x14ac:dyDescent="0.2">
      <c r="A72" s="71" t="s">
        <v>53</v>
      </c>
      <c r="B72" s="64"/>
      <c r="C72" s="15"/>
      <c r="D72" s="38">
        <v>0</v>
      </c>
      <c r="E72" s="38"/>
      <c r="F72" s="39">
        <f t="shared" si="20"/>
        <v>0</v>
      </c>
      <c r="G72" s="42"/>
      <c r="H72" s="40">
        <v>0</v>
      </c>
      <c r="I72" s="16" t="e">
        <f t="shared" si="21"/>
        <v>#DIV/0!</v>
      </c>
      <c r="J72" s="46">
        <f t="shared" si="22"/>
        <v>0</v>
      </c>
      <c r="K72" s="28">
        <f t="shared" si="23"/>
        <v>0</v>
      </c>
    </row>
    <row r="73" spans="1:11" ht="12" customHeight="1" x14ac:dyDescent="0.2">
      <c r="A73" s="71" t="s">
        <v>54</v>
      </c>
      <c r="B73" s="63"/>
      <c r="C73" s="15"/>
      <c r="D73" s="38">
        <v>0</v>
      </c>
      <c r="E73" s="38"/>
      <c r="F73" s="39">
        <f t="shared" si="20"/>
        <v>0</v>
      </c>
      <c r="G73" s="41"/>
      <c r="H73" s="40">
        <v>0</v>
      </c>
      <c r="I73" s="16" t="e">
        <f t="shared" si="21"/>
        <v>#DIV/0!</v>
      </c>
      <c r="J73" s="46">
        <f t="shared" si="22"/>
        <v>0</v>
      </c>
      <c r="K73" s="28">
        <f t="shared" si="23"/>
        <v>0</v>
      </c>
    </row>
    <row r="74" spans="1:11" ht="12" customHeight="1" x14ac:dyDescent="0.2">
      <c r="A74" s="71" t="s">
        <v>55</v>
      </c>
      <c r="B74" s="63"/>
      <c r="C74" s="15"/>
      <c r="D74" s="38">
        <v>0</v>
      </c>
      <c r="E74" s="38"/>
      <c r="F74" s="39">
        <f t="shared" si="20"/>
        <v>0</v>
      </c>
      <c r="G74" s="41"/>
      <c r="H74" s="40">
        <v>0</v>
      </c>
      <c r="I74" s="16" t="e">
        <f t="shared" si="21"/>
        <v>#DIV/0!</v>
      </c>
      <c r="J74" s="46">
        <f t="shared" si="22"/>
        <v>0</v>
      </c>
      <c r="K74" s="28">
        <f t="shared" si="23"/>
        <v>0</v>
      </c>
    </row>
    <row r="75" spans="1:11" ht="12" customHeight="1" x14ac:dyDescent="0.2">
      <c r="A75" s="71" t="s">
        <v>56</v>
      </c>
      <c r="B75" s="64"/>
      <c r="C75" s="15"/>
      <c r="D75" s="38">
        <v>0</v>
      </c>
      <c r="E75" s="38"/>
      <c r="F75" s="39">
        <f t="shared" si="20"/>
        <v>0</v>
      </c>
      <c r="G75" s="42"/>
      <c r="H75" s="40">
        <v>0</v>
      </c>
      <c r="I75" s="16" t="e">
        <f t="shared" si="21"/>
        <v>#DIV/0!</v>
      </c>
      <c r="J75" s="46">
        <f t="shared" si="22"/>
        <v>0</v>
      </c>
      <c r="K75" s="28">
        <f t="shared" si="23"/>
        <v>0</v>
      </c>
    </row>
    <row r="76" spans="1:11" ht="12" customHeight="1" x14ac:dyDescent="0.2">
      <c r="A76" s="71" t="s">
        <v>58</v>
      </c>
      <c r="B76" s="63"/>
      <c r="C76" s="15"/>
      <c r="D76" s="38">
        <v>0</v>
      </c>
      <c r="E76" s="38"/>
      <c r="F76" s="39">
        <f t="shared" si="20"/>
        <v>0</v>
      </c>
      <c r="G76" s="41"/>
      <c r="H76" s="40">
        <v>0</v>
      </c>
      <c r="I76" s="16" t="e">
        <f t="shared" si="21"/>
        <v>#DIV/0!</v>
      </c>
      <c r="J76" s="46">
        <f t="shared" si="22"/>
        <v>0</v>
      </c>
      <c r="K76" s="28">
        <f t="shared" si="23"/>
        <v>0</v>
      </c>
    </row>
    <row r="77" spans="1:11" ht="12" customHeight="1" x14ac:dyDescent="0.2">
      <c r="A77" s="71" t="s">
        <v>59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60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61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62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63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 t="s">
        <v>64</v>
      </c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 t="s">
        <v>65</v>
      </c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 t="s">
        <v>66</v>
      </c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 t="s">
        <v>67</v>
      </c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0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1179300</v>
      </c>
      <c r="E87" s="38">
        <f t="shared" si="24"/>
        <v>136750</v>
      </c>
      <c r="F87" s="38">
        <f t="shared" si="24"/>
        <v>19950</v>
      </c>
      <c r="G87" s="38">
        <f t="shared" si="24"/>
        <v>0</v>
      </c>
      <c r="H87" s="38">
        <f t="shared" si="24"/>
        <v>156700</v>
      </c>
      <c r="I87" s="12">
        <f>H87/D87</f>
        <v>0.1328754345798355</v>
      </c>
      <c r="J87" s="46">
        <f t="shared" si="14"/>
        <v>1022600</v>
      </c>
      <c r="K87" s="38">
        <f>SUM(K67:K86)</f>
        <v>6285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2016-08-19T15:50:53Z</cp:lastPrinted>
  <dcterms:created xsi:type="dcterms:W3CDTF">2001-02-05T15:33:02Z</dcterms:created>
  <dcterms:modified xsi:type="dcterms:W3CDTF">2016-10-19T17:47:18Z</dcterms:modified>
</cp:coreProperties>
</file>