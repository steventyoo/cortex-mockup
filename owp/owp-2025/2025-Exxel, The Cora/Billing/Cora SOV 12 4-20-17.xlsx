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<sst xmlns="http://schemas.openxmlformats.org/spreadsheetml/2006/main" count="179" uniqueCount="112">
  <si>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</si>
  <si>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</si>
  <si>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</si>
  <si>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</si>
  <si>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</si>
  <si>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</si>
  <si>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</si>
  <si>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</si>
  <si>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</si>
  <si>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</si>
  <si>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</si>
  <si>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</si>
  <si>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</si>
  <si>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</si>
  <si>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</si>
  <si>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</si>
  <si>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</si>
  <si>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</si>
  <si>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</si>
  <si>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</si>
  <si>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</si>
  <si>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</si>
  <si>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</si>
  <si>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</si>
  <si>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</si>
  <si>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</si>
  <si>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</si>
  <si>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</si>
  <si>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</si>
  <si>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</si>
  <si>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</si>
  <si>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</si>
  <si>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</si>
  <si>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</si>
  <si>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</si>
  <si>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</si>
  <si>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</si>
  <si>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</si>
  <si>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</si>
  <si>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</si>
  <si>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</si>
  <si>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</si>
  <si>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</si>
  <si>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</si>
  <si>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</si>
  <si>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</si>
  <si>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</si>
  <si>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</si>
  <si>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</si>
  <si>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</si>
  <si>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</si>
  <si>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</si>
  <si>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</si>
  <si>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</si>
  <si>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</si>
  <si>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</si>
  <si>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</si>
  <si>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</si>
  <si>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</si>
  <si>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</si>
  <si>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</si>
  <si>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</si>
  <si>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</si>
  <si>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</si>
  <si>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</si>
  <si>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</si>
  <si>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</si>
  <si>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</si>
  <si>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</si>
  <si>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</si>
  <si>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</si>
  <si>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</si>
  <si>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</si>
  <si>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</si>
  <si>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</si>
  <si>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</si>
  <si>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</si>
  <si>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</si>
  <si>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</si>
  <si>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</si>
  <si>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</si>
  <si>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</si>
  <si>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</si>
  <si>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</si>
  <si>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</si>
  <si>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</si>
  <si>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</si>
  <si>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</si>
  <si>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</si>
  <si>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</si>
  <si>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</si>
  <si>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</si>
  <si>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</si>
  <si>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</si>
  <si>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</si>
  <si>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</si>
  <si>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</si>
  <si>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</si>
  <si>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</si>
  <si>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</si>
  <si>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</si>
  <si>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</si>
  <si>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</si>
  <si>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</si>
  <si>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</si>
  <si>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</si>
  <si>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</si>
  <si>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</si>
  <si>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</si>
  <si>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</si>
  <si>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</si>
  <si>
    <t>credit for residential lav substitute Toto to Lenova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</si>
</sst>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37" zoomScale="110" zoomScaleNormal="100" zoomScaleSheetLayoutView="110" workbookViewId="0">
      <selection activeCell="B76" sqref="B76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12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42845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42855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1040160</v>
      </c>
      <c r="F11" s="36">
        <f>SUM(F12:F66)</f>
        <v>81840</v>
      </c>
      <c r="G11" s="36"/>
      <c r="H11" s="36">
        <f>SUM(H12:H66)</f>
        <v>1122000</v>
      </c>
      <c r="I11" s="12">
        <f>H11/D11</f>
        <v>0.95141185448995169</v>
      </c>
      <c r="J11" s="43">
        <f>SUM(J12:J66)</f>
        <v>57300</v>
      </c>
      <c r="K11" s="27">
        <f>SUM(K12:K66)</f>
        <v>56100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6000</v>
      </c>
      <c r="G15" s="41"/>
      <c r="H15" s="40">
        <v>6000</v>
      </c>
      <c r="I15" s="16">
        <f t="shared" si="1"/>
        <v>0.7407407407407407</v>
      </c>
      <c r="J15" s="46">
        <f t="shared" si="2"/>
        <v>2100</v>
      </c>
      <c r="K15" s="28">
        <f t="shared" si="3"/>
        <v>300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/>
      <c r="F16" s="39">
        <f t="shared" si="0"/>
        <v>6000</v>
      </c>
      <c r="G16" s="41"/>
      <c r="H16" s="40">
        <v>6000</v>
      </c>
      <c r="I16" s="16">
        <f t="shared" si="1"/>
        <v>0.7407407407407407</v>
      </c>
      <c r="J16" s="46">
        <f t="shared" si="2"/>
        <v>2100</v>
      </c>
      <c r="K16" s="28">
        <f t="shared" si="3"/>
        <v>300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/>
      <c r="F19" s="39">
        <f t="shared" si="0"/>
        <v>22900</v>
      </c>
      <c r="G19" s="41"/>
      <c r="H19" s="40">
        <v>22900</v>
      </c>
      <c r="I19" s="16">
        <f t="shared" si="1"/>
        <v>1</v>
      </c>
      <c r="J19" s="46">
        <f t="shared" si="2"/>
        <v>0</v>
      </c>
      <c r="K19" s="28">
        <f t="shared" si="3"/>
        <v>1145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>
        <v>8760</v>
      </c>
      <c r="F21" s="39">
        <f t="shared" si="0"/>
        <v>5840</v>
      </c>
      <c r="G21" s="41"/>
      <c r="H21" s="40">
        <v>14600</v>
      </c>
      <c r="I21" s="16">
        <f t="shared" si="1"/>
        <v>1</v>
      </c>
      <c r="J21" s="46">
        <f t="shared" si="2"/>
        <v>0</v>
      </c>
      <c r="K21" s="28">
        <f t="shared" si="3"/>
        <v>730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>
        <v>850</v>
      </c>
      <c r="F31" s="39">
        <f t="shared" si="0"/>
        <v>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>
        <v>2900</v>
      </c>
      <c r="F35" s="39">
        <f t="shared" si="0"/>
        <v>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>
        <v>2900</v>
      </c>
      <c r="F38" s="39">
        <f>H38-E38</f>
        <v>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>
        <v>2900</v>
      </c>
      <c r="F41" s="39">
        <f t="shared" si="0"/>
        <v>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>
        <v>2900</v>
      </c>
      <c r="F44" s="39">
        <f t="shared" si="0"/>
        <v>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/>
      <c r="F52" s="39">
        <f t="shared" si="0"/>
        <v>10300</v>
      </c>
      <c r="G52" s="41"/>
      <c r="H52" s="40">
        <v>10300</v>
      </c>
      <c r="I52" s="16">
        <f t="shared" si="1"/>
        <v>0.60233918128654973</v>
      </c>
      <c r="J52" s="46">
        <f t="shared" si="2"/>
        <v>6800</v>
      </c>
      <c r="K52" s="28">
        <f t="shared" si="3"/>
        <v>515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/>
      <c r="F53" s="39">
        <f t="shared" si="0"/>
        <v>13700</v>
      </c>
      <c r="G53" s="41"/>
      <c r="H53" s="40">
        <v>13700</v>
      </c>
      <c r="I53" s="16">
        <f t="shared" si="1"/>
        <v>0.80116959064327486</v>
      </c>
      <c r="J53" s="46">
        <f t="shared" si="2"/>
        <v>3400</v>
      </c>
      <c r="K53" s="28">
        <f t="shared" si="3"/>
        <v>685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/>
      <c r="F54" s="39">
        <f t="shared" si="0"/>
        <v>17100</v>
      </c>
      <c r="G54" s="41"/>
      <c r="H54" s="40">
        <v>17100</v>
      </c>
      <c r="I54" s="16">
        <f t="shared" si="1"/>
        <v>1</v>
      </c>
      <c r="J54" s="46">
        <f t="shared" si="2"/>
        <v>0</v>
      </c>
      <c r="K54" s="28">
        <f t="shared" si="3"/>
        <v>855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1040160</v>
      </c>
      <c r="F67" s="38">
        <f t="shared" si="16"/>
        <v>81840</v>
      </c>
      <c r="G67" s="38">
        <f t="shared" si="16"/>
        <v>0</v>
      </c>
      <c r="H67" s="38">
        <f t="shared" si="16"/>
        <v>1122000</v>
      </c>
      <c r="I67" s="38" t="e">
        <f t="shared" si="16"/>
        <v>#DIV/0!</v>
      </c>
      <c r="J67" s="46">
        <f>D67-H67</f>
        <v>57300</v>
      </c>
      <c r="K67" s="38">
        <f>SUM(K13:K66)</f>
        <v>54550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>
        <v>700</v>
      </c>
      <c r="F69" s="39">
        <f t="shared" ref="F69:F86" si="17">H69-E69</f>
        <v>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>
        <v>3033</v>
      </c>
      <c r="F70" s="39">
        <f t="shared" si="17"/>
        <v>0</v>
      </c>
      <c r="G70" s="41"/>
      <c r="H70" s="40">
        <v>3033</v>
      </c>
      <c r="I70" s="16">
        <f t="shared" si="18"/>
        <v>0.69088838268792707</v>
      </c>
      <c r="J70" s="46">
        <f t="shared" si="14"/>
        <v>1357</v>
      </c>
      <c r="K70" s="28">
        <f t="shared" si="19"/>
        <v>151.65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/>
      <c r="F71" s="39">
        <f t="shared" ref="F71:F77" si="20">H71-E71</f>
        <v>0</v>
      </c>
      <c r="G71" s="41"/>
      <c r="H71" s="40">
        <v>0</v>
      </c>
      <c r="I71" s="16">
        <f t="shared" ref="I71:I77" si="21">H71/D71</f>
        <v>0</v>
      </c>
      <c r="J71" s="46">
        <f t="shared" ref="J71:J77" si="22">D71-H71</f>
        <v>7881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>
        <v>650</v>
      </c>
      <c r="F72" s="39">
        <f t="shared" si="20"/>
        <v>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>
        <v>1605</v>
      </c>
      <c r="F73" s="39">
        <f t="shared" si="20"/>
        <v>0</v>
      </c>
      <c r="G73" s="41"/>
      <c r="H73" s="40">
        <v>1605</v>
      </c>
      <c r="I73" s="16">
        <f t="shared" si="21"/>
        <v>0.75</v>
      </c>
      <c r="J73" s="46">
        <f t="shared" si="22"/>
        <v>535</v>
      </c>
      <c r="K73" s="28">
        <f t="shared" si="23"/>
        <v>80.25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>
        <v>607</v>
      </c>
      <c r="F74" s="39">
        <f t="shared" si="20"/>
        <v>0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>
        <v>5120</v>
      </c>
      <c r="F75" s="39">
        <f t="shared" si="20"/>
        <v>0</v>
      </c>
      <c r="G75" s="42"/>
      <c r="H75" s="40">
        <v>5120</v>
      </c>
      <c r="I75" s="16">
        <f t="shared" si="21"/>
        <v>0.91103202846975084</v>
      </c>
      <c r="J75" s="46">
        <f t="shared" si="22"/>
        <v>500</v>
      </c>
      <c r="K75" s="28">
        <f t="shared" si="23"/>
        <v>256</v>
      </c>
    </row>
    <row r="76" spans="1:11" ht="12" customHeight="1" x14ac:dyDescent="0.2">
      <c r="A76" s="71" t="s">
        <v>54</v>
      </c>
      <c r="B76" s="63" t="s">
        <v>111</v>
      </c>
      <c r="C76" s="15"/>
      <c r="D76" s="38">
        <v>-1971</v>
      </c>
      <c r="E76" s="38"/>
      <c r="F76" s="39">
        <f t="shared" si="20"/>
        <v>-1971</v>
      </c>
      <c r="G76" s="41"/>
      <c r="H76" s="40">
        <v>-1971</v>
      </c>
      <c r="I76" s="16">
        <f t="shared" si="21"/>
        <v>1</v>
      </c>
      <c r="J76" s="46">
        <f t="shared" si="22"/>
        <v>0</v>
      </c>
      <c r="K76" s="28">
        <f t="shared" si="23"/>
        <v>-98.550000000000011</v>
      </c>
    </row>
    <row r="77" spans="1:11" ht="12" customHeight="1" x14ac:dyDescent="0.2">
      <c r="A77" s="71" t="s">
        <v>55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20017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1199317</v>
      </c>
      <c r="E87" s="38">
        <f t="shared" si="24"/>
        <v>1051875</v>
      </c>
      <c r="F87" s="38">
        <f t="shared" si="24"/>
        <v>79869</v>
      </c>
      <c r="G87" s="38">
        <f t="shared" si="24"/>
        <v>0</v>
      </c>
      <c r="H87" s="38">
        <f t="shared" si="24"/>
        <v>1131744</v>
      </c>
      <c r="I87" s="12">
        <f>H87/D87</f>
        <v>0.94365709816503895</v>
      </c>
      <c r="J87" s="46">
        <f t="shared" si="14"/>
        <v>67573</v>
      </c>
      <c r="K87" s="38">
        <f>SUM(K67:K86)</f>
        <v>55037.2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2017-02-20T16:43:00Z</cp:lastPrinted>
  <dcterms:created xsi:type="dcterms:W3CDTF">2001-02-05T15:33:02Z</dcterms:created>
  <dcterms:modified xsi:type="dcterms:W3CDTF">2017-04-20T15:55:48Z</dcterms:modified>
</cp:coreProperties>
</file>