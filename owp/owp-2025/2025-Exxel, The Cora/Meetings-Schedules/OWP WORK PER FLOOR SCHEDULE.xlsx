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19 W Harrison\Meetings-Schedules\"/>
    </mc:Choice>
  </mc:AlternateContent>
  <bookViews>
    <workbookView xWindow="0" yWindow="0" windowWidth="28800" windowHeight="12435"/>
  </bookViews>
  <sheets>
    <sheet name="FRAMING PRODUCTION HOURS" sheetId="1" r:id="rId1"/>
  </sheets>
  <definedNames>
    <definedName name="_xlnm.Print_Area" localSheetId="0">'FRAMING PRODUCTION HOURS'!$A$1:$D$45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38" i="1"/>
  <c r="C29" i="1"/>
  <c r="D33" i="1"/>
  <c r="D34" i="1"/>
  <c r="D35" i="1"/>
  <c r="D36" i="1"/>
  <c r="D37" i="1"/>
  <c r="C31" i="1"/>
  <c r="D31" i="1" s="1"/>
  <c r="C30" i="1"/>
  <c r="B17" i="1"/>
  <c r="C17" i="1" s="1"/>
  <c r="B16" i="1"/>
  <c r="C16" i="1" s="1"/>
  <c r="C15" i="1"/>
  <c r="D15" i="1" s="1"/>
  <c r="C14" i="1"/>
  <c r="D14" i="1" s="1"/>
  <c r="C11" i="1"/>
  <c r="D11" i="1" s="1"/>
  <c r="C10" i="1"/>
  <c r="D10" i="1" s="1"/>
  <c r="C9" i="1"/>
  <c r="D9" i="1" s="1"/>
  <c r="C8" i="1"/>
  <c r="D8" i="1" s="1"/>
  <c r="D7" i="1"/>
  <c r="D6" i="1"/>
  <c r="C3" i="1"/>
  <c r="D3" i="1" s="1"/>
  <c r="D30" i="1" l="1"/>
  <c r="C28" i="1"/>
  <c r="D28" i="1" s="1"/>
  <c r="C32" i="1"/>
  <c r="D32" i="1" s="1"/>
  <c r="C12" i="1"/>
  <c r="D12" i="1" s="1"/>
  <c r="D29" i="1"/>
  <c r="C4" i="1"/>
  <c r="D4" i="1" s="1"/>
  <c r="C13" i="1"/>
  <c r="D13" i="1" s="1"/>
  <c r="C5" i="1"/>
  <c r="D5" i="1" s="1"/>
  <c r="D24" i="1" l="1"/>
  <c r="D23" i="1"/>
  <c r="D22" i="1"/>
  <c r="D21" i="1"/>
  <c r="D20" i="1"/>
  <c r="D40" i="1" l="1"/>
  <c r="D43" i="1"/>
  <c r="D41" i="1"/>
  <c r="D44" i="1"/>
  <c r="D42" i="1"/>
</calcChain>
</file>

<file path=xl/sharedStrings.xml><?xml version="1.0" encoding="utf-8"?>
<sst xmlns="http://schemas.openxmlformats.org/spreadsheetml/2006/main" count="51" uniqueCount="38">
  <si>
    <t xml:space="preserve">HOURS PER </t>
  </si>
  <si>
    <t xml:space="preserve">UNITS PER </t>
  </si>
  <si>
    <t>TOTAL HOURS</t>
  </si>
  <si>
    <t>UNIT</t>
  </si>
  <si>
    <t>FLOOR</t>
  </si>
  <si>
    <t>PER FLOOR</t>
  </si>
  <si>
    <t>SUPERVISION</t>
  </si>
  <si>
    <t>LAYOUT AND MARK WASTE/STORM</t>
  </si>
  <si>
    <t>LAYOUT AND MARK WATER</t>
  </si>
  <si>
    <t>DRILL OUT 1 BATH UNIT</t>
  </si>
  <si>
    <t>DRILL OUT 2 BATH UNIT</t>
  </si>
  <si>
    <t>WASTE/STORM 1 BATH UNIT</t>
  </si>
  <si>
    <t>WASTE/STORM 2 BATH UNIT</t>
  </si>
  <si>
    <t>WATER 1 BATH UNIT</t>
  </si>
  <si>
    <t>WATER 2 BATH UNIT</t>
  </si>
  <si>
    <t>WATER MAIN TO UNIT SHUT OFFS</t>
  </si>
  <si>
    <t>LABOR TO CLEAN, STOCK MATERIAL</t>
  </si>
  <si>
    <t>TESTING AND INSPECTIONS</t>
  </si>
  <si>
    <t>NAIL PLATE, QC, FIRESTOPPING, MISC.</t>
  </si>
  <si>
    <t>TOTAL HOURS, 1 BATH</t>
  </si>
  <si>
    <t>TOTAL HOURS, 2 BATH</t>
  </si>
  <si>
    <t>GAS TO ROOF &amp; APPLIANCES</t>
  </si>
  <si>
    <t>BOILER VENTING TO ROOF</t>
  </si>
  <si>
    <t>HOSEBIBS</t>
  </si>
  <si>
    <t>IRRIGATION</t>
  </si>
  <si>
    <t>DECK DRAINS</t>
  </si>
  <si>
    <t>TOTAL RI HOURS</t>
  </si>
  <si>
    <t>Crew days, 18 man crew</t>
  </si>
  <si>
    <t>Crew days, 15 man crew</t>
  </si>
  <si>
    <t>Crew days, 12 man crew</t>
  </si>
  <si>
    <t>Crew days, 10 man crew</t>
  </si>
  <si>
    <t>Crew days, 8 man crew</t>
  </si>
  <si>
    <t xml:space="preserve">SET VALVES 1 BATH UNIT </t>
  </si>
  <si>
    <t xml:space="preserve">SET VALVES 2 BATH UNIT </t>
  </si>
  <si>
    <t xml:space="preserve">SET TUBS 1 BATH UNIT </t>
  </si>
  <si>
    <t xml:space="preserve">SET TUBS 2 BATH UNIT </t>
  </si>
  <si>
    <t>L3 UP</t>
  </si>
  <si>
    <t>L3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</si>
</sst>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/>
    <xf numFmtId="0" fontId="3" fillId="2" borderId="1" xfId="1" applyFont="1" applyFill="1" applyBorder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Fill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0" borderId="4" xfId="1" applyFont="1" applyBorder="1" applyAlignment="1">
      <alignment horizontal="right"/>
    </xf>
    <xf numFmtId="0" fontId="2" fillId="0" borderId="4" xfId="1" applyFont="1" applyBorder="1" applyAlignment="1">
      <alignment horizontal="center"/>
    </xf>
    <xf numFmtId="0" fontId="3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view="pageBreakPreview" zoomScale="80" zoomScaleNormal="100" zoomScaleSheetLayoutView="80" workbookViewId="0">
      <selection activeCell="A30" sqref="A30"/>
    </sheetView>
  </sheetViews>
  <sheetFormatPr defaultRowHeight="12.75" x14ac:dyDescent="0.2"/>
  <cols>
    <col min="1" max="1" width="49.5703125" style="2" customWidth="1"/>
    <col min="2" max="3" width="14.85546875" style="2" customWidth="1"/>
    <col min="4" max="4" width="17.85546875" style="2" customWidth="1"/>
    <col min="5" max="16384" width="9.140625" style="2"/>
  </cols>
  <sheetData>
    <row r="1" spans="1:4" ht="17.25" customHeight="1" x14ac:dyDescent="0.25">
      <c r="A1" s="1" t="s">
        <v>36</v>
      </c>
      <c r="B1" s="1" t="s">
        <v>0</v>
      </c>
      <c r="C1" s="1" t="s">
        <v>1</v>
      </c>
      <c r="D1" s="1" t="s">
        <v>2</v>
      </c>
    </row>
    <row r="2" spans="1:4" ht="17.25" customHeight="1" x14ac:dyDescent="0.25">
      <c r="A2" s="3"/>
      <c r="B2" s="1" t="s">
        <v>3</v>
      </c>
      <c r="C2" s="1" t="s">
        <v>4</v>
      </c>
      <c r="D2" s="1" t="s">
        <v>5</v>
      </c>
    </row>
    <row r="3" spans="1:4" ht="17.25" customHeight="1" x14ac:dyDescent="0.25">
      <c r="A3" s="4" t="s">
        <v>6</v>
      </c>
      <c r="B3" s="5">
        <v>5</v>
      </c>
      <c r="C3" s="5">
        <f>C6+C7</f>
        <v>14</v>
      </c>
      <c r="D3" s="6">
        <f t="shared" ref="D3:D15" si="0">B3*C3</f>
        <v>70</v>
      </c>
    </row>
    <row r="4" spans="1:4" ht="17.25" customHeight="1" x14ac:dyDescent="0.25">
      <c r="A4" s="4" t="s">
        <v>7</v>
      </c>
      <c r="B4" s="5">
        <v>3</v>
      </c>
      <c r="C4" s="5">
        <f>SUM(C3)</f>
        <v>14</v>
      </c>
      <c r="D4" s="6">
        <f t="shared" si="0"/>
        <v>42</v>
      </c>
    </row>
    <row r="5" spans="1:4" ht="17.25" customHeight="1" x14ac:dyDescent="0.25">
      <c r="A5" s="4" t="s">
        <v>8</v>
      </c>
      <c r="B5" s="5">
        <v>2</v>
      </c>
      <c r="C5" s="5">
        <f>SUM(C3)</f>
        <v>14</v>
      </c>
      <c r="D5" s="6">
        <f t="shared" si="0"/>
        <v>28</v>
      </c>
    </row>
    <row r="6" spans="1:4" ht="17.25" customHeight="1" x14ac:dyDescent="0.25">
      <c r="A6" s="4" t="s">
        <v>9</v>
      </c>
      <c r="B6" s="5">
        <v>6</v>
      </c>
      <c r="C6" s="5">
        <v>11</v>
      </c>
      <c r="D6" s="6">
        <f t="shared" si="0"/>
        <v>66</v>
      </c>
    </row>
    <row r="7" spans="1:4" ht="17.25" customHeight="1" x14ac:dyDescent="0.25">
      <c r="A7" s="4" t="s">
        <v>10</v>
      </c>
      <c r="B7" s="5">
        <v>10</v>
      </c>
      <c r="C7" s="5">
        <v>3</v>
      </c>
      <c r="D7" s="6">
        <f t="shared" si="0"/>
        <v>30</v>
      </c>
    </row>
    <row r="8" spans="1:4" ht="17.25" customHeight="1" x14ac:dyDescent="0.25">
      <c r="A8" s="4" t="s">
        <v>11</v>
      </c>
      <c r="B8" s="5">
        <v>9</v>
      </c>
      <c r="C8" s="5">
        <f>SUM(C6)</f>
        <v>11</v>
      </c>
      <c r="D8" s="6">
        <f t="shared" si="0"/>
        <v>99</v>
      </c>
    </row>
    <row r="9" spans="1:4" ht="17.25" customHeight="1" x14ac:dyDescent="0.25">
      <c r="A9" s="4" t="s">
        <v>12</v>
      </c>
      <c r="B9" s="5">
        <v>14</v>
      </c>
      <c r="C9" s="5">
        <f>SUM(C7)</f>
        <v>3</v>
      </c>
      <c r="D9" s="6">
        <f t="shared" si="0"/>
        <v>42</v>
      </c>
    </row>
    <row r="10" spans="1:4" ht="17.25" customHeight="1" x14ac:dyDescent="0.25">
      <c r="A10" s="4" t="s">
        <v>13</v>
      </c>
      <c r="B10" s="5">
        <v>9</v>
      </c>
      <c r="C10" s="5">
        <f>SUM(C6)</f>
        <v>11</v>
      </c>
      <c r="D10" s="6">
        <f t="shared" si="0"/>
        <v>99</v>
      </c>
    </row>
    <row r="11" spans="1:4" ht="17.25" customHeight="1" x14ac:dyDescent="0.25">
      <c r="A11" s="4" t="s">
        <v>14</v>
      </c>
      <c r="B11" s="5">
        <v>13</v>
      </c>
      <c r="C11" s="5">
        <f>SUM(C7)</f>
        <v>3</v>
      </c>
      <c r="D11" s="6">
        <f t="shared" si="0"/>
        <v>39</v>
      </c>
    </row>
    <row r="12" spans="1:4" ht="17.25" customHeight="1" x14ac:dyDescent="0.25">
      <c r="A12" s="4" t="s">
        <v>15</v>
      </c>
      <c r="B12" s="5">
        <v>7</v>
      </c>
      <c r="C12" s="5">
        <f>SUM(C3)</f>
        <v>14</v>
      </c>
      <c r="D12" s="6">
        <f t="shared" si="0"/>
        <v>98</v>
      </c>
    </row>
    <row r="13" spans="1:4" ht="17.25" customHeight="1" x14ac:dyDescent="0.25">
      <c r="A13" s="4" t="s">
        <v>16</v>
      </c>
      <c r="B13" s="5">
        <v>5</v>
      </c>
      <c r="C13" s="5">
        <f>SUM(C3)</f>
        <v>14</v>
      </c>
      <c r="D13" s="6">
        <f t="shared" si="0"/>
        <v>70</v>
      </c>
    </row>
    <row r="14" spans="1:4" ht="17.25" customHeight="1" x14ac:dyDescent="0.25">
      <c r="A14" s="4" t="s">
        <v>32</v>
      </c>
      <c r="B14" s="5">
        <v>1</v>
      </c>
      <c r="C14" s="5">
        <f>SUM(C6)</f>
        <v>11</v>
      </c>
      <c r="D14" s="6">
        <f t="shared" si="0"/>
        <v>11</v>
      </c>
    </row>
    <row r="15" spans="1:4" ht="17.25" customHeight="1" x14ac:dyDescent="0.25">
      <c r="A15" s="4" t="s">
        <v>33</v>
      </c>
      <c r="B15" s="5">
        <v>2</v>
      </c>
      <c r="C15" s="5">
        <f>SUM(C7)</f>
        <v>3</v>
      </c>
      <c r="D15" s="6">
        <f t="shared" si="0"/>
        <v>6</v>
      </c>
    </row>
    <row r="16" spans="1:4" ht="17.25" customHeight="1" x14ac:dyDescent="0.25">
      <c r="A16" s="7" t="s">
        <v>19</v>
      </c>
      <c r="B16" s="5">
        <f>B3+B4+B5+B6+B8+B10+B12+B13+B29+B32+B14</f>
        <v>55</v>
      </c>
      <c r="C16" s="5">
        <f>C6*B16</f>
        <v>605</v>
      </c>
      <c r="D16" s="6"/>
    </row>
    <row r="17" spans="1:4" ht="17.25" customHeight="1" x14ac:dyDescent="0.25">
      <c r="A17" s="7" t="s">
        <v>20</v>
      </c>
      <c r="B17" s="5">
        <f>B3+B4+B5+B7+B9+B11+B12+B13+B29+B32+B15</f>
        <v>69</v>
      </c>
      <c r="C17" s="5">
        <f>C7*B17</f>
        <v>207</v>
      </c>
      <c r="D17" s="5"/>
    </row>
    <row r="18" spans="1:4" ht="17.25" customHeight="1" x14ac:dyDescent="0.25">
      <c r="A18" s="8"/>
      <c r="B18" s="9" t="s">
        <v>26</v>
      </c>
      <c r="C18" s="9"/>
      <c r="D18" s="6">
        <f>SUM(D3:D15)</f>
        <v>700</v>
      </c>
    </row>
    <row r="19" spans="1:4" ht="17.25" customHeight="1" x14ac:dyDescent="0.25">
      <c r="A19" s="8"/>
      <c r="B19" s="10"/>
      <c r="C19" s="11"/>
      <c r="D19" s="6"/>
    </row>
    <row r="20" spans="1:4" ht="17.25" customHeight="1" x14ac:dyDescent="0.25">
      <c r="A20" s="8"/>
      <c r="B20" s="10" t="s">
        <v>27</v>
      </c>
      <c r="C20" s="11"/>
      <c r="D20" s="12">
        <f>D18/8/18</f>
        <v>4.8611111111111107</v>
      </c>
    </row>
    <row r="21" spans="1:4" ht="17.25" customHeight="1" x14ac:dyDescent="0.25">
      <c r="A21" s="8"/>
      <c r="B21" s="10" t="s">
        <v>28</v>
      </c>
      <c r="C21" s="11"/>
      <c r="D21" s="12">
        <f>D18/8/15</f>
        <v>5.833333333333333</v>
      </c>
    </row>
    <row r="22" spans="1:4" ht="17.25" customHeight="1" x14ac:dyDescent="0.25">
      <c r="A22" s="8"/>
      <c r="B22" s="10" t="s">
        <v>29</v>
      </c>
      <c r="C22" s="11"/>
      <c r="D22" s="12">
        <f>D18/8/12</f>
        <v>7.291666666666667</v>
      </c>
    </row>
    <row r="23" spans="1:4" ht="17.25" customHeight="1" x14ac:dyDescent="0.25">
      <c r="A23" s="8"/>
      <c r="B23" s="10" t="s">
        <v>30</v>
      </c>
      <c r="C23" s="11"/>
      <c r="D23" s="12">
        <f>D18/8/10</f>
        <v>8.75</v>
      </c>
    </row>
    <row r="24" spans="1:4" ht="17.25" customHeight="1" x14ac:dyDescent="0.25">
      <c r="A24" s="8"/>
      <c r="B24" s="10" t="s">
        <v>31</v>
      </c>
      <c r="C24" s="11"/>
      <c r="D24" s="12">
        <f>D18/8/8</f>
        <v>10.9375</v>
      </c>
    </row>
    <row r="25" spans="1:4" ht="17.25" customHeight="1" x14ac:dyDescent="0.25">
      <c r="A25" s="8"/>
      <c r="B25" s="10"/>
      <c r="C25" s="11"/>
      <c r="D25" s="6"/>
    </row>
    <row r="26" spans="1:4" ht="17.25" customHeight="1" x14ac:dyDescent="0.25">
      <c r="A26" s="1" t="s">
        <v>37</v>
      </c>
      <c r="B26" s="1" t="s">
        <v>0</v>
      </c>
      <c r="C26" s="1" t="s">
        <v>1</v>
      </c>
      <c r="D26" s="1" t="s">
        <v>2</v>
      </c>
    </row>
    <row r="27" spans="1:4" ht="17.25" customHeight="1" x14ac:dyDescent="0.25">
      <c r="A27" s="3"/>
      <c r="B27" s="1" t="s">
        <v>3</v>
      </c>
      <c r="C27" s="1" t="s">
        <v>4</v>
      </c>
      <c r="D27" s="1" t="s">
        <v>5</v>
      </c>
    </row>
    <row r="28" spans="1:4" ht="17.25" customHeight="1" x14ac:dyDescent="0.25">
      <c r="A28" s="4" t="s">
        <v>6</v>
      </c>
      <c r="B28" s="5">
        <v>1</v>
      </c>
      <c r="C28" s="5">
        <f>C3</f>
        <v>14</v>
      </c>
      <c r="D28" s="6">
        <f t="shared" ref="D28" si="1">B28*C28</f>
        <v>14</v>
      </c>
    </row>
    <row r="29" spans="1:4" ht="17.25" customHeight="1" x14ac:dyDescent="0.25">
      <c r="A29" s="4" t="s">
        <v>17</v>
      </c>
      <c r="B29" s="5">
        <v>4</v>
      </c>
      <c r="C29" s="5">
        <f>SUM(C3)</f>
        <v>14</v>
      </c>
      <c r="D29" s="6">
        <f>B29*C29</f>
        <v>56</v>
      </c>
    </row>
    <row r="30" spans="1:4" ht="17.25" customHeight="1" x14ac:dyDescent="0.25">
      <c r="A30" s="4" t="s">
        <v>34</v>
      </c>
      <c r="B30" s="5">
        <v>3</v>
      </c>
      <c r="C30" s="5">
        <f>C6</f>
        <v>11</v>
      </c>
      <c r="D30" s="6">
        <f t="shared" ref="D30:D31" si="2">B30*C30</f>
        <v>33</v>
      </c>
    </row>
    <row r="31" spans="1:4" ht="17.25" customHeight="1" x14ac:dyDescent="0.25">
      <c r="A31" s="4" t="s">
        <v>35</v>
      </c>
      <c r="B31" s="5">
        <v>5</v>
      </c>
      <c r="C31" s="5">
        <f>C7</f>
        <v>3</v>
      </c>
      <c r="D31" s="6">
        <f t="shared" si="2"/>
        <v>15</v>
      </c>
    </row>
    <row r="32" spans="1:4" ht="17.25" customHeight="1" x14ac:dyDescent="0.25">
      <c r="A32" s="4" t="s">
        <v>18</v>
      </c>
      <c r="B32" s="5">
        <v>4</v>
      </c>
      <c r="C32" s="5">
        <f>C3</f>
        <v>14</v>
      </c>
      <c r="D32" s="6">
        <f>B32*C32</f>
        <v>56</v>
      </c>
    </row>
    <row r="33" spans="1:4" ht="17.25" customHeight="1" x14ac:dyDescent="0.25">
      <c r="A33" s="4" t="s">
        <v>21</v>
      </c>
      <c r="B33" s="5">
        <v>5</v>
      </c>
      <c r="C33" s="5">
        <v>2</v>
      </c>
      <c r="D33" s="6">
        <f t="shared" ref="D33:D37" si="3">B33*C33</f>
        <v>10</v>
      </c>
    </row>
    <row r="34" spans="1:4" ht="17.25" customHeight="1" x14ac:dyDescent="0.25">
      <c r="A34" s="4" t="s">
        <v>22</v>
      </c>
      <c r="B34" s="5">
        <v>0</v>
      </c>
      <c r="C34" s="5">
        <v>0</v>
      </c>
      <c r="D34" s="6">
        <f t="shared" si="3"/>
        <v>0</v>
      </c>
    </row>
    <row r="35" spans="1:4" ht="17.25" customHeight="1" x14ac:dyDescent="0.25">
      <c r="A35" s="4" t="s">
        <v>23</v>
      </c>
      <c r="B35" s="5">
        <v>5</v>
      </c>
      <c r="C35" s="5">
        <v>1</v>
      </c>
      <c r="D35" s="6">
        <f t="shared" si="3"/>
        <v>5</v>
      </c>
    </row>
    <row r="36" spans="1:4" ht="17.25" customHeight="1" x14ac:dyDescent="0.25">
      <c r="A36" s="4" t="s">
        <v>24</v>
      </c>
      <c r="B36" s="5">
        <v>5</v>
      </c>
      <c r="C36" s="5">
        <v>2</v>
      </c>
      <c r="D36" s="6">
        <f t="shared" si="3"/>
        <v>10</v>
      </c>
    </row>
    <row r="37" spans="1:4" ht="17.25" customHeight="1" x14ac:dyDescent="0.25">
      <c r="A37" s="4" t="s">
        <v>25</v>
      </c>
      <c r="B37" s="5"/>
      <c r="C37" s="5"/>
      <c r="D37" s="6">
        <f t="shared" si="3"/>
        <v>0</v>
      </c>
    </row>
    <row r="38" spans="1:4" ht="17.25" customHeight="1" x14ac:dyDescent="0.25">
      <c r="A38" s="8"/>
      <c r="B38" s="10" t="s">
        <v>2</v>
      </c>
      <c r="C38" s="11"/>
      <c r="D38" s="6">
        <f>SUM(D28:D37)</f>
        <v>199</v>
      </c>
    </row>
    <row r="39" spans="1:4" ht="17.25" customHeight="1" x14ac:dyDescent="0.25">
      <c r="A39" s="8"/>
      <c r="B39" s="10"/>
      <c r="C39" s="11"/>
      <c r="D39" s="6"/>
    </row>
    <row r="40" spans="1:4" ht="17.25" customHeight="1" x14ac:dyDescent="0.25">
      <c r="A40" s="8"/>
      <c r="B40" s="10" t="s">
        <v>27</v>
      </c>
      <c r="C40" s="11"/>
      <c r="D40" s="12">
        <f>D38/8/18</f>
        <v>1.3819444444444444</v>
      </c>
    </row>
    <row r="41" spans="1:4" ht="17.25" customHeight="1" x14ac:dyDescent="0.25">
      <c r="A41" s="8"/>
      <c r="B41" s="10" t="s">
        <v>28</v>
      </c>
      <c r="C41" s="11"/>
      <c r="D41" s="12">
        <f>D38/8/15</f>
        <v>1.6583333333333334</v>
      </c>
    </row>
    <row r="42" spans="1:4" ht="17.25" customHeight="1" x14ac:dyDescent="0.25">
      <c r="A42" s="8"/>
      <c r="B42" s="10" t="s">
        <v>29</v>
      </c>
      <c r="C42" s="11"/>
      <c r="D42" s="12">
        <f>D38/8/12</f>
        <v>2.0729166666666665</v>
      </c>
    </row>
    <row r="43" spans="1:4" ht="17.25" customHeight="1" x14ac:dyDescent="0.25">
      <c r="A43" s="8"/>
      <c r="B43" s="10" t="s">
        <v>30</v>
      </c>
      <c r="C43" s="11"/>
      <c r="D43" s="12">
        <f>D38/8/10</f>
        <v>2.4874999999999998</v>
      </c>
    </row>
    <row r="44" spans="1:4" ht="17.25" customHeight="1" x14ac:dyDescent="0.25">
      <c r="A44" s="8"/>
      <c r="B44" s="10" t="s">
        <v>31</v>
      </c>
      <c r="C44" s="11"/>
      <c r="D44" s="12">
        <f>D38/8/8</f>
        <v>3.109375</v>
      </c>
    </row>
    <row r="45" spans="1:4" ht="17.25" customHeight="1" x14ac:dyDescent="0.25">
      <c r="A45" s="8"/>
      <c r="B45" s="10"/>
      <c r="C45" s="11"/>
      <c r="D45" s="6"/>
    </row>
    <row r="46" spans="1:4" ht="17.25" customHeight="1" x14ac:dyDescent="0.25">
      <c r="A46" s="13"/>
      <c r="B46" s="14"/>
      <c r="C46" s="14"/>
      <c r="D46" s="14"/>
    </row>
    <row r="47" spans="1:4" ht="17.25" customHeight="1" x14ac:dyDescent="0.2">
      <c r="A47" s="15"/>
      <c r="B47" s="15"/>
      <c r="C47" s="15"/>
      <c r="D47" s="15"/>
    </row>
    <row r="48" spans="1:4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</sheetData>
  <mergeCells count="16">
    <mergeCell ref="B22:C22"/>
    <mergeCell ref="B23:C23"/>
    <mergeCell ref="B24:C24"/>
    <mergeCell ref="B25:C25"/>
    <mergeCell ref="B18:C18"/>
    <mergeCell ref="B45:C45"/>
    <mergeCell ref="B19:C19"/>
    <mergeCell ref="B20:C20"/>
    <mergeCell ref="B21:C21"/>
    <mergeCell ref="B42:C42"/>
    <mergeCell ref="B43:C43"/>
    <mergeCell ref="B44:C44"/>
    <mergeCell ref="B40:C40"/>
    <mergeCell ref="B41:C41"/>
    <mergeCell ref="B39:C39"/>
    <mergeCell ref="B38:C38"/>
  </mergeCells>
  <printOptions horizontalCentered="1" verticalCentered="1"/>
  <pageMargins left="0.5" right="0.5" top="0.5" bottom="0.5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FRAMING PRODUCTION HOURS</vt:lpstr>
      <vt:lpstr>'FRAMING PRODUCTION HOURS'!Print_Area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dcterms:created xsi:type="dcterms:W3CDTF">2015-12-23T20:29:54Z</dcterms:created>
  <dcterms:modified xsi:type="dcterms:W3CDTF">2015-12-23T21:33:32Z</dcterms:modified>
</cp:coreProperties>
</file>