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<sst xmlns="http://schemas.openxmlformats.org/spreadsheetml/2006/main" count="1591" uniqueCount="723">
  <si>
    <t xml:space="preserve">Job #2045 · GRE Construction Notch Apartments (Newcastle)</t>
  </si>
  <si>
    <t xml:space="preserve">Cortex JCR v2  •  GRE (customer 2045SH)  •  13800 Newcastle Golf Club Road, Newcastle, WA 98059  •  Owner: Newcastle II LLC</t>
  </si>
  <si>
    <t xml:space="preserve">PROJECT OVERVIEW</t>
  </si>
  <si>
    <t xml:space="preserve">Project Job #</t>
  </si>
  <si>
    <t xml:space="preserve">2045</t>
  </si>
  <si>
    <t xml:space="preserve">2045 Job Detail Report.pdf (Sage Timberline, 04/03/2026)</t>
  </si>
  <si>
    <t xml:space="preserve">Project Name (Sage)</t>
  </si>
  <si>
    <t xml:space="preserve">GRE Notch Apartments</t>
  </si>
  <si>
    <t xml:space="preserve">Project Description</t>
  </si>
  <si>
    <t xml:space="preserve">Notch Apartments — 187-unit 7-story midrise multi-family (4 Type A ADA), Seattle</t>
  </si>
  <si>
    <t xml:space="preserve">OWP Project List with Schedule - UPDATED 04-01-26.xlsx + contract</t>
  </si>
  <si>
    <t xml:space="preserve">General Contractor</t>
  </si>
  <si>
    <t xml:space="preserve">GRE</t>
  </si>
  <si>
    <t xml:space="preserve">OWP Project List with Schedule - UPDATED 04-01-26.xlsx</t>
  </si>
  <si>
    <t xml:space="preserve">Customer Code (Sage)</t>
  </si>
  <si>
    <t xml:space="preserve">2045SH</t>
  </si>
  <si>
    <t xml:space="preserve">Owner / Developer</t>
  </si>
  <si>
    <t xml:space="preserve">Newcastle II LLC</t>
  </si>
  <si>
    <t xml:space="preserve">GC PM</t>
  </si>
  <si>
    <t xml:space="preserve">Eric Bentler</t>
  </si>
  <si>
    <t xml:space="preserve">2045-Shelter Holdings subcontract 7927 + Boren &amp; Spruce CO docs</t>
  </si>
  <si>
    <t xml:space="preserve">GC Superintendent</t>
  </si>
  <si>
    <t xml:space="preserve">Victor Vo</t>
  </si>
  <si>
    <t xml:space="preserve">GC PE</t>
  </si>
  <si>
    <t xml:space="preserve">N/A</t>
  </si>
  <si>
    <t xml:space="preserve">OWP Signatory</t>
  </si>
  <si>
    <t xml:space="preserve">Mike Donelson (OWP per Subcontractor Work Order 7927, 10/02/2017; miked@owpllc.net / 425.968.8314)</t>
  </si>
  <si>
    <t xml:space="preserve">Jobsite Location</t>
  </si>
  <si>
    <t xml:space="preserve">13800 Newcastle Golf Club Road, Newcastle, WA 98059</t>
  </si>
  <si>
    <t xml:space="preserve">Insurance</t>
  </si>
  <si>
    <t xml:space="preserve">Not Wrap</t>
  </si>
  <si>
    <t xml:space="preserve">Fixture Schedule</t>
  </si>
  <si>
    <t xml:space="preserve">1804 fixtures total (656 unit + 98 retail/common)</t>
  </si>
  <si>
    <t xml:space="preserve">Submittal Table of Contents + Plumbing Scope</t>
  </si>
  <si>
    <t xml:space="preserve">Architect</t>
  </si>
  <si>
    <t xml:space="preserve">TBD — per Plans (Franklin Notch Apartments folder references Franklin Engineering MEP)</t>
  </si>
  <si>
    <t xml:space="preserve">Notch Apartments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</si>
  <si>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</si>
  <si>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</si>
  <si>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</si>
  <si>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</si>
  <si>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</si>
  <si>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2017-09 start → 2019-12 (27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</si>
  <si>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</si>
  <si>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</si>
  <si>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</si>
  <si>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</si>
  <si>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</si>
  <si>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$1,898,200.00 + ($212,005.00) COs (11.17%)</t>
  </si>
  <si>
    <t xml:space="preserve">46.1% margin</t>
  </si>
  <si>
    <t xml:space="preserve">53.9% of revenue</t>
  </si>
  <si>
    <t xml:space="preserve">39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</si>
  <si>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</si>
  <si>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</si>
  <si>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187-unit mixed-use (102 Type B + 6 Type A/ADA) at 13800 Newcastle Golf Club Road, Newcastle, WA 98059, 7-story midrise multi-family (Type 1A podium + Type VA above).</t>
  </si>
  <si>
    <t xml:space="preserve">GC: GRE (2045SH); Owner: Newcastle II LLC.</t>
  </si>
  <si>
    <t xml:space="preserve">Insurance: Not Wrap (retail-adjacent residential).</t>
  </si>
  <si>
    <t xml:space="preserve">Project team: Eric Bentler (GC PM) · Victor Vo (GC Sup) · TBD — per Plans (Franklin Notch Apartments folder references Franklin Engineering MEP) (Architect) · Mike Donelson (OWP per Subcontractor Work Order 7927, 10/02/2017; miked@owpllc.net / 425.968.8314) (OWP signatory).</t>
  </si>
  <si>
    <t xml:space="preserve">SOURCES</t>
  </si>
  <si>
    <t xml:space="preserve">Canonical financial source: 2045 Job Detail Report.pdf (Sage Timberline, 04/03/2026)</t>
  </si>
  <si>
    <t xml:space="preserve">Job totals (JDR footer): Revenue $2,110,205.00 / Expenses $1,138,172.00 / Net $972,033.00 / Retainage $105,510.25</t>
  </si>
  <si>
    <t xml:space="preserve">Source breakdown (derived): PR $615,682.10 · AP $460,396.87 · GL $62,093.03</t>
  </si>
  <si>
    <t xml:space="preserve">Contract: Lump Sum $1,898,200.00 → $2,110,205.00</t>
  </si>
  <si>
    <t xml:space="preserve">Change Orders (executed): $212,005.00 net across 7 COs (CO log in enriched meta)</t>
  </si>
  <si>
    <t xml:space="preserve">Project Team: Eric Bentler (PM) · Victor Vo (Sup) · TBD — per Plans (Franklin Notch Apartments folder references Franklin Engineering MEP) · Newcastle II LLC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</si>
  <si>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</si>
  <si>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</si>
  <si>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</si>
  <si>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</si>
  <si>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</si>
  <si>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</si>
  <si>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</si>
  <si>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</si>
  <si>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</si>
  <si>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</si>
  <si>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</si>
  <si>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</si>
  <si>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</si>
  <si>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25 cost codes from JDR. Contract $1,898,200 → $2,110,205.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</si>
  <si>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</si>
  <si>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</si>
  <si>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</si>
  <si>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</si>
  <si>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</si>
  <si>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</si>
  <si>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</si>
  <si>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</si>
  <si>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</si>
  <si>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</si>
  <si>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</si>
  <si>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</si>
  <si>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</si>
  <si>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</si>
  <si>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</si>
  <si>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</si>
  <si>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</si>
  <si>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</si>
  <si>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</si>
  <si>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</si>
  <si>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</si>
  <si>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</si>
  <si>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</si>
  <si>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</si>
  <si>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</si>
  <si>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</si>
  <si>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</si>
  <si>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</si>
  <si>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</si>
  <si>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</si>
  <si>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</si>
  <si>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</si>
  <si>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</si>
  <si>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</si>
  <si>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</si>
  <si>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</si>
  <si>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</si>
  <si>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</si>
  <si>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</si>
  <si>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</si>
  <si>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</si>
  <si>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</si>
  <si>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</si>
  <si>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</si>
  <si>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</si>
  <si>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</si>
  <si>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</si>
  <si>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</si>
  <si>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</si>
  <si>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</si>
  <si>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</si>
  <si>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</si>
  <si>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</si>
  <si>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</si>
  <si>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</si>
  <si>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</si>
  <si>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</si>
  <si>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</si>
  <si>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</si>
  <si>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</si>
  <si>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</si>
  <si>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</si>
  <si>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</si>
  <si>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</si>
  <si>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</si>
  <si>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</si>
  <si>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</si>
  <si>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</si>
  <si>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100,101,110,111,112,120,130,141,142</t>
  </si>
  <si>
    <t xml:space="preserve">Material</t>
  </si>
  <si>
    <t xml:space="preserve">210,211,212,220,230,240,241,242,243</t>
  </si>
  <si>
    <t xml:space="preserve">Overhead</t>
  </si>
  <si>
    <t xml:space="preserve">600,601,602,607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</si>
  <si>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</si>
  <si>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</si>
  <si>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</si>
  <si>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</si>
  <si>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</si>
  <si>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</si>
  <si>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</si>
  <si>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</si>
  <si>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1231KS</t>
  </si>
  <si>
    <t xml:space="preserve">Keller Supply Company</t>
  </si>
  <si>
    <t xml:space="preserve">Plumbing / Supplies</t>
  </si>
  <si>
    <t xml:space="preserve">1380RS</t>
  </si>
  <si>
    <t xml:space="preserve">Rosen Supply Kirkland</t>
  </si>
  <si>
    <t xml:space="preserve">1175FE</t>
  </si>
  <si>
    <t xml:space="preserve">Ferguson Enterprises, Inc. #3007</t>
  </si>
  <si>
    <t xml:space="preserve">1130CS</t>
  </si>
  <si>
    <t xml:space="preserve">Consolidated Supply Co.</t>
  </si>
  <si>
    <t xml:space="preserve">5560CH</t>
  </si>
  <si>
    <t xml:space="preserve">California Hydronics Corp</t>
  </si>
  <si>
    <t xml:space="preserve">1625FE</t>
  </si>
  <si>
    <t xml:space="preserve">Franklin Engineering</t>
  </si>
  <si>
    <t xml:space="preserve">Engineering (601)</t>
  </si>
  <si>
    <t xml:space="preserve">2713AR</t>
  </si>
  <si>
    <t xml:space="preserve">Ahern Rentals</t>
  </si>
  <si>
    <t xml:space="preserve">Uncategorized</t>
  </si>
  <si>
    <t xml:space="preserve">2045RS</t>
  </si>
  <si>
    <t xml:space="preserve">Rosen Supply Company, Inc. $Notch</t>
  </si>
  <si>
    <t xml:space="preserve">1609QC</t>
  </si>
  <si>
    <t xml:space="preserve">Quality Concrete Products, Inc. $32</t>
  </si>
  <si>
    <t xml:space="preserve">3181SC</t>
  </si>
  <si>
    <t xml:space="preserve">Scan2Core, Inc.</t>
  </si>
  <si>
    <t xml:space="preserve">7423OC</t>
  </si>
  <si>
    <t xml:space="preserve">Old Castle Infrastructure, Inc.</t>
  </si>
  <si>
    <t xml:space="preserve">3018TR</t>
  </si>
  <si>
    <t xml:space="preserve">Travelers</t>
  </si>
  <si>
    <t xml:space="preserve">5621HD</t>
  </si>
  <si>
    <t xml:space="preserve">Core &amp; Main LP $HD Supply Waterworks</t>
  </si>
  <si>
    <t xml:space="preserve">1234CO</t>
  </si>
  <si>
    <t xml:space="preserve">Capital One Credit Card</t>
  </si>
  <si>
    <t xml:space="preserve">Credit Card (mixed)</t>
  </si>
  <si>
    <t xml:space="preserve">1421RA</t>
  </si>
  <si>
    <t xml:space="preserve">R.A. Brown Backflow Testing</t>
  </si>
  <si>
    <t xml:space="preserve">Testing subcontractor</t>
  </si>
  <si>
    <t xml:space="preserve">1799AW</t>
  </si>
  <si>
    <t xml:space="preserve">AllWest Underground, Inc.</t>
  </si>
  <si>
    <t xml:space="preserve">1978FC</t>
  </si>
  <si>
    <t xml:space="preserve">Fastenal Company</t>
  </si>
  <si>
    <t xml:space="preserve">Crew &amp; Labor — Worker Roster</t>
  </si>
  <si>
    <t xml:space="preserve">All 39 unique payroll workers. OWP signatory: Mike Donelson (OWP per Subcontractor Work Order 7927, 10/02/2017; miked@owpllc.net / 425.968.8314).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</si>
  <si>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</si>
  <si>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</si>
  <si>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</si>
  <si>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</si>
  <si>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</si>
  <si>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</si>
  <si>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EI74</t>
  </si>
  <si>
    <t xml:space="preserve">Eisenhauer, Tommy J</t>
  </si>
  <si>
    <t xml:space="preserve">GE71</t>
  </si>
  <si>
    <t xml:space="preserve">Gerard, Mitchell J</t>
  </si>
  <si>
    <t xml:space="preserve">DR04</t>
  </si>
  <si>
    <t xml:space="preserve">Draves, Steven W</t>
  </si>
  <si>
    <t xml:space="preserve">RI84</t>
  </si>
  <si>
    <t xml:space="preserve">Rivera, Eli P</t>
  </si>
  <si>
    <t xml:space="preserve">HU05</t>
  </si>
  <si>
    <t xml:space="preserve">Hubbard, Justin A</t>
  </si>
  <si>
    <t xml:space="preserve">PO73</t>
  </si>
  <si>
    <t xml:space="preserve">Portillo Soriano, Walter A</t>
  </si>
  <si>
    <t xml:space="preserve">GA46</t>
  </si>
  <si>
    <t xml:space="preserve">Galdamez, Dagoberto A</t>
  </si>
  <si>
    <t xml:space="preserve">LO87</t>
  </si>
  <si>
    <t xml:space="preserve">Lovo, German G</t>
  </si>
  <si>
    <t xml:space="preserve">RO06</t>
  </si>
  <si>
    <t xml:space="preserve">Roberts, Lake A</t>
  </si>
  <si>
    <t xml:space="preserve">DE45</t>
  </si>
  <si>
    <t xml:space="preserve">de la Torre, Kevin A</t>
  </si>
  <si>
    <t xml:space="preserve">CH20</t>
  </si>
  <si>
    <t xml:space="preserve">Chevez, Herson G</t>
  </si>
  <si>
    <t xml:space="preserve">QU35</t>
  </si>
  <si>
    <t xml:space="preserve">Quintanilla, Esteban R</t>
  </si>
  <si>
    <t xml:space="preserve">LI49</t>
  </si>
  <si>
    <t xml:space="preserve">Lima Romero, Melvin A</t>
  </si>
  <si>
    <t xml:space="preserve">ST02</t>
  </si>
  <si>
    <t xml:space="preserve">Stahlschmidt, John P</t>
  </si>
  <si>
    <t xml:space="preserve">SE64</t>
  </si>
  <si>
    <t xml:space="preserve">Sepulveda Gonzalez, Alfredo</t>
  </si>
  <si>
    <t xml:space="preserve">GE69</t>
  </si>
  <si>
    <t xml:space="preserve">Gerard, Jeffrey S</t>
  </si>
  <si>
    <t xml:space="preserve">CR77</t>
  </si>
  <si>
    <t xml:space="preserve">Cruz Gonzalez, Julio C</t>
  </si>
  <si>
    <t xml:space="preserve">KI55</t>
  </si>
  <si>
    <t xml:space="preserve">Kinssies, Jr, John E</t>
  </si>
  <si>
    <t xml:space="preserve">VA98</t>
  </si>
  <si>
    <t xml:space="preserve">Vazquez Popoca, Jose N</t>
  </si>
  <si>
    <t xml:space="preserve">GE70</t>
  </si>
  <si>
    <t xml:space="preserve">Gerard, Jordan E</t>
  </si>
  <si>
    <t xml:space="preserve">SA54</t>
  </si>
  <si>
    <t xml:space="preserve">Sanders, Allen O</t>
  </si>
  <si>
    <t xml:space="preserve">CR87</t>
  </si>
  <si>
    <t xml:space="preserve">Cruz Reyes, Jose</t>
  </si>
  <si>
    <t xml:space="preserve">TR60</t>
  </si>
  <si>
    <t xml:space="preserve">Trower-Kelly, Fidel D</t>
  </si>
  <si>
    <t xml:space="preserve">BE54</t>
  </si>
  <si>
    <t xml:space="preserve">Benites Portillo, Marvin E</t>
  </si>
  <si>
    <t xml:space="preserve">GU17</t>
  </si>
  <si>
    <t xml:space="preserve">Guerrero, Ali A</t>
  </si>
  <si>
    <t xml:space="preserve">SE71</t>
  </si>
  <si>
    <t xml:space="preserve">Serrano, Jeremiah G</t>
  </si>
  <si>
    <t xml:space="preserve">TH59</t>
  </si>
  <si>
    <t xml:space="preserve">Thompson, Harley J</t>
  </si>
  <si>
    <t xml:space="preserve">DO56</t>
  </si>
  <si>
    <t xml:space="preserve">Donelson, Richard T</t>
  </si>
  <si>
    <t xml:space="preserve">GA70</t>
  </si>
  <si>
    <t xml:space="preserve">Garcia, Jordan X</t>
  </si>
  <si>
    <t xml:space="preserve">CO69</t>
  </si>
  <si>
    <t xml:space="preserve">Cornejo Orellana, Carlos E</t>
  </si>
  <si>
    <t xml:space="preserve">MC09</t>
  </si>
  <si>
    <t xml:space="preserve">McCabe, Thomas C</t>
  </si>
  <si>
    <t xml:space="preserve">MU70</t>
  </si>
  <si>
    <t xml:space="preserve">Murphy, Darray E</t>
  </si>
  <si>
    <t xml:space="preserve">EL33</t>
  </si>
  <si>
    <t xml:space="preserve">Eliassen, Cory H</t>
  </si>
  <si>
    <t xml:space="preserve">HU06</t>
  </si>
  <si>
    <t xml:space="preserve">Hubbard, Robert W</t>
  </si>
  <si>
    <t xml:space="preserve">ES09</t>
  </si>
  <si>
    <t xml:space="preserve">Escalante Escobar, Boanerge</t>
  </si>
  <si>
    <t xml:space="preserve">BA70</t>
  </si>
  <si>
    <t xml:space="preserve">Barnhart, Joseph N</t>
  </si>
  <si>
    <t xml:space="preserve">GA83</t>
  </si>
  <si>
    <t xml:space="preserve">Gauthier, Dillon R</t>
  </si>
  <si>
    <t xml:space="preserve">HU04</t>
  </si>
  <si>
    <t xml:space="preserve">Hubbard, Dustin R</t>
  </si>
  <si>
    <t xml:space="preserve">BE45</t>
  </si>
  <si>
    <t xml:space="preserve">Belcher, Jacob T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</si>
  <si>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</si>
  <si>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</si>
  <si>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</si>
  <si>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</si>
  <si>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</si>
  <si>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</si>
  <si>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</si>
  <si>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</si>
  <si>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</si>
  <si>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</si>
  <si>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</si>
  <si>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</si>
  <si>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</si>
  <si>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</si>
  <si>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</si>
  <si>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EI74 Eisenhauer, Tommy J (2043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</si>
  <si>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</si>
  <si>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</si>
  <si>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</si>
  <si>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</si>
  <si>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</si>
  <si>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</si>
  <si>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</si>
  <si>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</si>
  <si>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</si>
  <si>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</si>
  <si>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187 units (1804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</si>
  <si>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</si>
  <si>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</si>
  <si>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</si>
  <si>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</si>
  <si>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</si>
  <si>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</si>
  <si>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</si>
  <si>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</si>
  <si>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</si>
  <si>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</si>
  <si>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</si>
  <si>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</si>
  <si>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</si>
  <si>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</si>
  <si>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</si>
  <si>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</si>
  <si>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</si>
  <si>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</si>
  <si>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</si>
  <si>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</si>
  <si>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</si>
  <si>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</si>
  <si>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(187)</t>
  </si>
  <si>
    <t xml:space="preserve">USD</t>
  </si>
  <si>
    <t xml:space="preserve">187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</si>
  <si>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</si>
  <si>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</si>
  <si>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</si>
  <si>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</si>
  <si>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</si>
  <si>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</si>
  <si>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1804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</si>
  <si>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</si>
  <si>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</si>
  <si>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</si>
  <si>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</si>
  <si>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</si>
  <si>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</si>
  <si>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</si>
  <si>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</si>
  <si>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</si>
  <si>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2017-10-02</t>
  </si>
  <si>
    <t xml:space="preserve">Lump Sum Subcontract</t>
  </si>
  <si>
    <t xml:space="preserve">Closed</t>
  </si>
  <si>
    <t xml:space="preserve">Notch Apartments plumbing (187 units, 7 stories) — per Div 22</t>
  </si>
  <si>
    <t xml:space="preserve">CO-NET</t>
  </si>
  <si>
    <t xml:space="preserve">—</t>
  </si>
  <si>
    <t xml:space="preserve">Change Orders (executed, 7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</si>
  <si>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</si>
  <si>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</si>
  <si>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</si>
  <si>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</si>
  <si>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301 invoices to GRE. Retainage $105,510.25.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</si>
  <si>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</si>
  <si>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</si>
  <si>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</si>
  <si>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</si>
  <si>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549</t>
  </si>
  <si>
    <t xml:space="preserve">01/18/19</t>
  </si>
  <si>
    <t xml:space="preserve">565</t>
  </si>
  <si>
    <t xml:space="preserve">02/20/19</t>
  </si>
  <si>
    <t xml:space="preserve">685</t>
  </si>
  <si>
    <t xml:space="preserve">03/20/19</t>
  </si>
  <si>
    <t xml:space="preserve">608</t>
  </si>
  <si>
    <t xml:space="preserve">04/19/19</t>
  </si>
  <si>
    <t xml:space="preserve">550</t>
  </si>
  <si>
    <t xml:space="preserve">04/20/18</t>
  </si>
  <si>
    <t xml:space="preserve">509</t>
  </si>
  <si>
    <t xml:space="preserve">05/20/19</t>
  </si>
  <si>
    <t xml:space="preserve">610</t>
  </si>
  <si>
    <t xml:space="preserve">06/19/19</t>
  </si>
  <si>
    <t xml:space="preserve">675</t>
  </si>
  <si>
    <t xml:space="preserve">06/20/18</t>
  </si>
  <si>
    <t xml:space="preserve">07/19/19</t>
  </si>
  <si>
    <t xml:space="preserve">528</t>
  </si>
  <si>
    <t xml:space="preserve">07/20/18</t>
  </si>
  <si>
    <t xml:space="preserve">593</t>
  </si>
  <si>
    <t xml:space="preserve">08/20/18</t>
  </si>
  <si>
    <t xml:space="preserve">138</t>
  </si>
  <si>
    <t xml:space="preserve">139</t>
  </si>
  <si>
    <t xml:space="preserve">748</t>
  </si>
  <si>
    <t xml:space="preserve">08/20/19</t>
  </si>
  <si>
    <t xml:space="preserve">564</t>
  </si>
  <si>
    <t xml:space="preserve">09/20/19</t>
  </si>
  <si>
    <t xml:space="preserve">536</t>
  </si>
  <si>
    <t xml:space="preserve">10/18/19</t>
  </si>
  <si>
    <t xml:space="preserve">531</t>
  </si>
  <si>
    <t xml:space="preserve">10/19/18</t>
  </si>
  <si>
    <t xml:space="preserve">530</t>
  </si>
  <si>
    <t xml:space="preserve">11/16/18</t>
  </si>
  <si>
    <t xml:space="preserve">171</t>
  </si>
  <si>
    <t xml:space="preserve">12/11/18</t>
  </si>
  <si>
    <t xml:space="preserve">481</t>
  </si>
  <si>
    <t xml:space="preserve">12/13/19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</si>
  <si>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</si>
  <si>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</si>
  <si>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</si>
  <si>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</si>
  <si>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</si>
  <si>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</si>
  <si>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</si>
  <si>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</si>
  <si>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$972,033.00 on $2,110,205.00 revenue = 46.1% gross margin.</t>
  </si>
  <si>
    <t xml:space="preserve">Verified</t>
  </si>
  <si>
    <t xml:space="preserve">CONTRACT CHANGE</t>
  </si>
  <si>
    <t xml:space="preserve">Original $1,898,200.00 → final $2,110,205.00 = $+212,005.00 net (11.17%) across 7 executed COs.</t>
  </si>
  <si>
    <t xml:space="preserve">2045 Job Detail Report.pdf (Sage Timberline, 04/03/2026) + CO log</t>
  </si>
  <si>
    <t xml:space="preserve">LABOR PROFILE</t>
  </si>
  <si>
    <t xml:space="preserve">Labor cost $404,811.73 (19.2% of rev) across 14,775 hrs and 39 workers. Blended wage $27.40/hr.</t>
  </si>
  <si>
    <t xml:space="preserve">VENDOR CONCENTRATION</t>
  </si>
  <si>
    <t xml:space="preserve">Top 5 AP vendors: ~$425,125.48 (92% of AP). Top vendor: Keller Supply Company ($161,465.23).</t>
  </si>
  <si>
    <t xml:space="preserve">RETAINAGE</t>
  </si>
  <si>
    <t xml:space="preserve">Retainage $105,510.25 — outstanding as of report date.</t>
  </si>
  <si>
    <t xml:space="preserve">ROUGH-IN SHARE</t>
  </si>
  <si>
    <t xml:space="preserve">Code 120 Roughin Labor = 8,560 hrs (59% of labor hours).</t>
  </si>
  <si>
    <t xml:space="preserve">TOP COST CODE</t>
  </si>
  <si>
    <t xml:space="preserve">Largest actual cost: 230 Finish Material = $293,213.41</t>
  </si>
  <si>
    <t xml:space="preserve">WORKER CONCENTRATION</t>
  </si>
  <si>
    <t xml:space="preserve">Top worker Eisenhauer, Tommy J = 2,043 hrs (14% of total).</t>
  </si>
  <si>
    <t xml:space="preserve">INSURANCE</t>
  </si>
  <si>
    <t xml:space="preserve">Not Wrap — retail-adjacent mixed-use.</t>
  </si>
  <si>
    <t xml:space="preserve">SCOPE CONTEXT</t>
  </si>
  <si>
    <t xml:space="preserve">Notch Apartments — 187-unit 7-story midrise (68 standard + 4 Type A ADA) + P1/P2 parking at 13800 Newcastle Golf Club Road, Newcastle, WA 98059.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</si>
  <si>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</si>
  <si>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</si>
  <si>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</si>
  <si>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</si>
  <si>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</si>
  <si>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</si>
  <si>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</si>
  <si>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</si>
  <si>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</si>
  <si>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</si>
  <si>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</si>
  <si>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</si>
  <si>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GRE Construction Notch Apartments (Newcastle)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</si>
  <si>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</si>
  <si>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</si>
  <si>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</si>
  <si>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</si>
  <si>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</si>
  <si>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</si>
  <si>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</si>
  <si>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Mid-rise multi-family apartments (187 residential units: 179 Type B + 8 Type A ADA) with L1 lobby/lounge + L2 leasing office + rooftop deck amenity. Post-tension deck construction with Hydroflame sleeves.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</si>
  <si>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</si>
  <si>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</si>
  <si>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</si>
  <si>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</si>
  <si>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</si>
  <si>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</si>
  <si>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</si>
  <si>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</si>
  <si>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</si>
  <si>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</si>
  <si>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</si>
  <si>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2017-09</t>
  </si>
  <si>
    <t xml:space="preserve">Work End</t>
  </si>
  <si>
    <t xml:space="preserve">end_date</t>
  </si>
  <si>
    <t xml:space="preserve">2019-12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</si>
  <si>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</si>
  <si>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</si>
  <si>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</si>
  <si>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</si>
  <si>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</si>
  <si>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</si>
  <si>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</si>
  <si>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</si>
  <si>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</si>
  <si>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</si>
  <si>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</si>
  <si>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</si>
  <si>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</si>
  <si>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</si>
  <si>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</si>
  <si>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7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</si>
  <si>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</si>
  <si>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</si>
  <si>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</si>
  <si>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</si>
  <si>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</si>
  <si>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</si>
  <si>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</si>
  <si>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</si>
  <si>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</si>
  <si>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</si>
  <si>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</si>
  <si>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</si>
  <si>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</si>
  <si>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</si>
  <si>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</si>
  <si>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</si>
  <si>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</si>
  <si>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</si>
  <si>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</si>
  <si>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</si>
  <si>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</si>
  <si>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</si>
  <si>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</si>
  <si>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</si>
  <si>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</si>
  <si>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</si>
  <si>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</si>
  <si>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</si>
  <si>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</si>
  <si>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</si>
  <si>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</si>
  <si>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</si>
  <si>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</si>
  <si>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</si>
  <si>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</si>
  <si>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</si>
  <si>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</si>
  <si>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</si>
  <si>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</si>
  <si>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</si>
  <si>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</si>
  <si>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</si>
  <si>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</si>
  <si>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</si>
  <si>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</si>
  <si>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</si>
  <si>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</si>
  <si>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</si>
  <si>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</si>
  <si>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</si>
  <si>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</si>
  <si>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</si>
  <si>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</si>
  <si>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</si>
  <si>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</si>
  <si>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</si>
  <si>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</si>
  <si>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</si>
  <si>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</si>
  <si>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</si>
  <si>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</si>
  <si>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</si>
  <si>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</si>
  <si>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</si>
  <si>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</si>
  <si>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</si>
  <si>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</si>
  <si>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</si>
  <si>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</si>
  <si>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</si>
  <si>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</si>
  <si>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</si>
  <si>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</si>
  <si>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</si>
  <si>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</si>
  <si>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</si>
  <si>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</si>
  <si>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</si>
  <si>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</si>
  <si>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</si>
  <si>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</si>
  <si>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</si>
  <si>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</si>
  <si>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</si>
  <si>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</si>
  <si>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</si>
  <si>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</si>
  <si>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</si>
  <si>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</si>
  <si>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</si>
  <si>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</si>
  <si>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</si>
  <si>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</si>
  <si>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</si>
  <si>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</si>
  <si>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</si>
  <si>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7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</si>
  <si>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</si>
  <si>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</si>
  <si>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</si>
  <si>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</si>
  <si>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</si>
  <si>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</si>
  <si>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$1,898,200.00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</si>
  <si>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</si>
  <si>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</si>
  <si>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</si>
  <si>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</si>
  <si>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</si>
  <si>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</si>
  <si>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</si>
  <si>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</si>
  <si>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</si>
  <si>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$105,510.25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</si>
  <si>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</si>
  <si>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</si>
  <si>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</si>
  <si>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</si>
  <si>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</si>
  <si>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</si>
  <si>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</si>
  <si>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</si>
  <si>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</si>
  <si>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$1,898,200 → $2,110,205 (7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</si>
  <si>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</si>
  <si>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</si>
  <si>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</si>
  <si>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</si>
  <si>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17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</si>
  <si>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</si>
  <si>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</si>
  <si>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</si>
  <si>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</si>
  <si>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</si>
  <si>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</si>
  <si>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</si>
  <si>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</si>
  <si>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</si>
  <si>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</si>
  <si>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</si>
  <si>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</si>
  <si>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</si>
  <si>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</si>
  <si>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</si>
  <si>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</si>
  <si>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</si>
  <si>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</si>
  <si>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</si>
  <si>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</si>
  <si>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</si>
  <si>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</si>
  <si>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</si>
  <si>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</si>
  <si>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</si>
  <si>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</si>
  <si>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</si>
  <si>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11.17%</t>
  </si>
  <si>
    <t xml:space="preserve">±10%</t>
  </si>
  <si>
    <t xml:space="preserve">WATCH</t>
  </si>
  <si>
    <t xml:space="preserve">+11.17% net (7 COs)</t>
  </si>
  <si>
    <t xml:space="preserve">&lt;30%</t>
  </si>
  <si>
    <t xml:space="preserve">HEALTHY</t>
  </si>
  <si>
    <t xml:space="preserve">19.2%</t>
  </si>
  <si>
    <t xml:space="preserve">GL Overhead % of Revenue</t>
  </si>
  <si>
    <t xml:space="preserve">&lt;5%</t>
  </si>
  <si>
    <t xml:space="preserve">2.9%</t>
  </si>
  <si>
    <t xml:space="preserve">Vendor Concentration (Top 5)</t>
  </si>
  <si>
    <t xml:space="preserve">&lt;95%</t>
  </si>
  <si>
    <t xml:space="preserve">Top 5 = 92% of AP</t>
  </si>
  <si>
    <t xml:space="preserve">Retainage %</t>
  </si>
  <si>
    <t xml:space="preserve">&lt;10%</t>
  </si>
  <si>
    <t xml:space="preserve">5.0%</t>
  </si>
  <si>
    <t xml:space="preserve">&gt;30%</t>
  </si>
  <si>
    <t xml:space="preserve">46.1%</t>
  </si>
  <si>
    <t xml:space="preserve">Labor Hrs Total</t>
  </si>
  <si>
    <t xml:space="preserve">varies</t>
  </si>
  <si>
    <t xml:space="preserve">INFO</t>
  </si>
  <si>
    <t xml:space="preserve">14,775 hrs, 39 workers</t>
  </si>
  <si>
    <t xml:space="preserve">Worker Concentration (top 1)</t>
  </si>
  <si>
    <t xml:space="preserve">&lt;25%</t>
  </si>
  <si>
    <t xml:space="preserve">13.8% (Eisenhauer, Tommy J)</t>
  </si>
  <si>
    <t xml:space="preserve">Rough-in Labor Share</t>
  </si>
  <si>
    <t xml:space="preserve">40-65%</t>
  </si>
  <si>
    <t xml:space="preserve">59%</t>
  </si>
  <si>
    <t xml:space="preserve">Retainage Legacy</t>
  </si>
  <si>
    <t xml:space="preserve">OUTSTANDING</t>
  </si>
  <si>
    <t xml:space="preserve">&lt;90 days post-closeout</t>
  </si>
  <si>
    <t xml:space="preserve">$105,510.25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</si>
  <si>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</si>
  <si>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</si>
  <si>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</si>
  <si>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</si>
  <si>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</si>
  <si>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</si>
  <si>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</si>
  <si>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</si>
  <si>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</si>
  <si>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</si>
  <si>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$11,285/unit rev, $5,198/unit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</si>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</sst>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187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2110205</v>
      </c>
      <c r="D25" s="9" t="n">
        <v>972033</v>
      </c>
      <c r="F25" s="9" t="n">
        <v>1138172</v>
      </c>
      <c r="H25" s="10" t="n">
        <v>14775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12640</v>
      </c>
      <c r="E6" s="15" t="n">
        <v>13040</v>
      </c>
      <c r="F6" s="9" t="n">
        <v>9511.5</v>
      </c>
      <c r="G6" s="16" t="n">
        <f aca="false">F6-E6</f>
        <v>-3528.5</v>
      </c>
      <c r="H6" s="17" t="n">
        <f aca="false">IF(E6=0,"",F6/E6)</f>
        <v>0.729409509202454</v>
      </c>
      <c r="I6" s="10" t="n">
        <v>183.5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19750</v>
      </c>
      <c r="E7" s="15" t="n">
        <v>20150</v>
      </c>
      <c r="F7" s="9" t="n">
        <v>13778</v>
      </c>
      <c r="G7" s="16" t="n">
        <f aca="false">F7-E7</f>
        <v>-6372</v>
      </c>
      <c r="H7" s="17" t="n">
        <f aca="false">IF(E7=0,"",F7/E7)</f>
        <v>0.683771712158809</v>
      </c>
      <c r="I7" s="10" t="n">
        <v>254.5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23250</v>
      </c>
      <c r="E8" s="15" t="n">
        <v>44430</v>
      </c>
      <c r="F8" s="9" t="n">
        <v>31316</v>
      </c>
      <c r="G8" s="16" t="n">
        <f aca="false">F8-E8</f>
        <v>-13114</v>
      </c>
      <c r="H8" s="17" t="n">
        <f aca="false">IF(E8=0,"",F8/E8)</f>
        <v>0.704839072698627</v>
      </c>
      <c r="I8" s="10" t="n">
        <v>1098</v>
      </c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31020</v>
      </c>
      <c r="E9" s="15" t="n">
        <v>42943</v>
      </c>
      <c r="F9" s="9" t="n">
        <v>24709.25</v>
      </c>
      <c r="G9" s="16" t="n">
        <f aca="false">F9-E9</f>
        <v>-18233.75</v>
      </c>
      <c r="H9" s="17" t="n">
        <f aca="false">IF(E9=0,"",F9/E9)</f>
        <v>0.575396455766947</v>
      </c>
      <c r="I9" s="10" t="n">
        <v>937.5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5250</v>
      </c>
      <c r="E10" s="15" t="n">
        <v>6120</v>
      </c>
      <c r="F10" s="9" t="n">
        <v>5231</v>
      </c>
      <c r="G10" s="16" t="n">
        <f aca="false">F10-E10</f>
        <v>-889</v>
      </c>
      <c r="H10" s="17" t="n">
        <f aca="false">IF(E10=0,"",F10/E10)</f>
        <v>0.854738562091503</v>
      </c>
      <c r="I10" s="10" t="n">
        <v>155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342805</v>
      </c>
      <c r="E11" s="15" t="n">
        <v>360476</v>
      </c>
      <c r="F11" s="9" t="n">
        <v>227602.48</v>
      </c>
      <c r="G11" s="16" t="n">
        <f aca="false">F11-E11</f>
        <v>-132873.52</v>
      </c>
      <c r="H11" s="17" t="n">
        <f aca="false">IF(E11=0,"",F11/E11)</f>
        <v>0.631394267579534</v>
      </c>
      <c r="I11" s="10" t="n">
        <v>8560.5</v>
      </c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70680</v>
      </c>
      <c r="E12" s="15" t="n">
        <v>71030</v>
      </c>
      <c r="F12" s="9" t="n">
        <v>67247</v>
      </c>
      <c r="G12" s="16" t="n">
        <f aca="false">F12-E12</f>
        <v>-3783</v>
      </c>
      <c r="H12" s="17" t="n">
        <f aca="false">IF(E12=0,"",F12/E12)</f>
        <v>0.946740813740673</v>
      </c>
      <c r="I12" s="10" t="n">
        <v>2528.5</v>
      </c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23050</v>
      </c>
      <c r="E13" s="15" t="n">
        <v>29480</v>
      </c>
      <c r="F13" s="9" t="n">
        <v>21040.5</v>
      </c>
      <c r="G13" s="16" t="n">
        <f aca="false">F13-E13</f>
        <v>-8439.5</v>
      </c>
      <c r="H13" s="17" t="n">
        <f aca="false">IF(E13=0,"",F13/E13)</f>
        <v>0.713721166892809</v>
      </c>
      <c r="I13" s="10" t="n">
        <v>698.5</v>
      </c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5250</v>
      </c>
      <c r="E14" s="15" t="n">
        <v>8250</v>
      </c>
      <c r="F14" s="9" t="n">
        <v>4376</v>
      </c>
      <c r="G14" s="16" t="n">
        <f aca="false">F14-E14</f>
        <v>-3874</v>
      </c>
      <c r="H14" s="17" t="n">
        <f aca="false">IF(E14=0,"",F14/E14)</f>
        <v>0.530424242424243</v>
      </c>
      <c r="I14" s="10" t="n">
        <v>125</v>
      </c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15530</v>
      </c>
      <c r="E15" s="15" t="n">
        <v>29830</v>
      </c>
      <c r="F15" s="9" t="n">
        <v>14535.79</v>
      </c>
      <c r="G15" s="16" t="n">
        <f aca="false">F15-E15</f>
        <v>-15294.21</v>
      </c>
      <c r="H15" s="17" t="n">
        <f aca="false">IF(E15=0,"",F15/E15)</f>
        <v>0.487287629902782</v>
      </c>
      <c r="I15" s="11"/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30440</v>
      </c>
      <c r="E16" s="15" t="n">
        <v>34850</v>
      </c>
      <c r="F16" s="9" t="n">
        <v>15918.41</v>
      </c>
      <c r="G16" s="16" t="n">
        <f aca="false">F16-E16</f>
        <v>-18931.59</v>
      </c>
      <c r="H16" s="17" t="n">
        <f aca="false">IF(E16=0,"",F16/E16)</f>
        <v>0.456769296987088</v>
      </c>
      <c r="I16" s="11"/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4500</v>
      </c>
      <c r="E17" s="15" t="n">
        <v>5718</v>
      </c>
      <c r="F17" s="9" t="n">
        <v>4323.42</v>
      </c>
      <c r="G17" s="16" t="n">
        <f aca="false">F17-E17</f>
        <v>-1394.58</v>
      </c>
      <c r="H17" s="17" t="n">
        <f aca="false">IF(E17=0,"",F17/E17)</f>
        <v>0.75610703043022</v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153390</v>
      </c>
      <c r="E18" s="15" t="n">
        <v>158260</v>
      </c>
      <c r="F18" s="9" t="n">
        <v>97191</v>
      </c>
      <c r="G18" s="16" t="n">
        <f aca="false">F18-E18</f>
        <v>-61069</v>
      </c>
      <c r="H18" s="17" t="n">
        <f aca="false">IF(E18=0,"",F18/E18)</f>
        <v>0.614122330342474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274850</v>
      </c>
      <c r="E19" s="15" t="n">
        <v>325525</v>
      </c>
      <c r="F19" s="9" t="n">
        <v>293213.41</v>
      </c>
      <c r="G19" s="16" t="n">
        <f aca="false">F19-E19</f>
        <v>-32311.59</v>
      </c>
      <c r="H19" s="17" t="n">
        <f aca="false">IF(E19=0,"",F19/E19)</f>
        <v>0.900740066047155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0</v>
      </c>
      <c r="E20" s="15" t="n">
        <v>0</v>
      </c>
      <c r="F20" s="9" t="n">
        <v>63.72</v>
      </c>
      <c r="G20" s="16" t="n">
        <f aca="false">F20-E20</f>
        <v>63.72</v>
      </c>
      <c r="H20" s="17" t="str">
        <f aca="false">IF(E20=0,"",F20/E20)</f>
        <v/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34700</v>
      </c>
      <c r="E21" s="15" t="n">
        <v>44525</v>
      </c>
      <c r="F21" s="9" t="n">
        <v>65243.62</v>
      </c>
      <c r="G21" s="16" t="n">
        <f aca="false">F21-E21</f>
        <v>20718.62</v>
      </c>
      <c r="H21" s="17" t="n">
        <f aca="false">IF(E21=0,"",F21/E21)</f>
        <v>1.46532554744526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7000</v>
      </c>
      <c r="E22" s="15" t="n">
        <v>10000</v>
      </c>
      <c r="F22" s="9" t="n">
        <v>7101</v>
      </c>
      <c r="G22" s="16" t="n">
        <f aca="false">F22-E22</f>
        <v>-2899</v>
      </c>
      <c r="H22" s="17" t="n">
        <f aca="false">IF(E22=0,"",F22/E22)</f>
        <v>0.7101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0</v>
      </c>
      <c r="E23" s="15" t="n">
        <v>0</v>
      </c>
      <c r="F23" s="9" t="n">
        <v>0</v>
      </c>
      <c r="G23" s="16" t="n">
        <f aca="false">F23-E23</f>
        <v>0</v>
      </c>
      <c r="H23" s="17" t="str">
        <f aca="false">IF(E23=0,"",F23/E23)</f>
        <v/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500</v>
      </c>
      <c r="E24" s="15" t="n">
        <v>500</v>
      </c>
      <c r="F24" s="9" t="n">
        <v>3412</v>
      </c>
      <c r="G24" s="16" t="n">
        <f aca="false">F24-E24</f>
        <v>2912</v>
      </c>
      <c r="H24" s="17" t="n">
        <f aca="false">IF(E24=0,"",F24/E24)</f>
        <v>6.824</v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25000</v>
      </c>
      <c r="E25" s="15" t="n">
        <v>25000</v>
      </c>
      <c r="F25" s="9" t="n">
        <v>16078.25</v>
      </c>
      <c r="G25" s="16" t="n">
        <f aca="false">F25-E25</f>
        <v>-8921.75</v>
      </c>
      <c r="H25" s="17" t="n">
        <f aca="false">IF(E25=0,"",F25/E25)</f>
        <v>0.64313</v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3500</v>
      </c>
      <c r="E26" s="15" t="n">
        <v>3800</v>
      </c>
      <c r="F26" s="9" t="n">
        <v>4998.15</v>
      </c>
      <c r="G26" s="16" t="n">
        <f aca="false">F26-E26</f>
        <v>1198.15</v>
      </c>
      <c r="H26" s="17" t="n">
        <f aca="false">IF(E26=0,"",F26/E26)</f>
        <v>1.31530263157895</v>
      </c>
      <c r="I26" s="11"/>
      <c r="J26" s="11" t="s">
        <v>5</v>
      </c>
    </row>
    <row r="27" customFormat="false" ht="15" hidden="false" customHeight="false" outlineLevel="0" collapsed="false">
      <c r="B27" s="11" t="s">
        <v>130</v>
      </c>
      <c r="C27" s="11" t="s">
        <v>131</v>
      </c>
      <c r="D27" s="15" t="n">
        <v>1000</v>
      </c>
      <c r="E27" s="15" t="n">
        <v>1000</v>
      </c>
      <c r="F27" s="9" t="n">
        <v>652.9</v>
      </c>
      <c r="G27" s="16" t="n">
        <f aca="false">F27-E27</f>
        <v>-347.1</v>
      </c>
      <c r="H27" s="17" t="n">
        <f aca="false">IF(E27=0,"",F27/E27)</f>
        <v>0.6529</v>
      </c>
      <c r="I27" s="11"/>
      <c r="J27" s="11" t="s">
        <v>5</v>
      </c>
    </row>
    <row r="28" customFormat="false" ht="15" hidden="false" customHeight="false" outlineLevel="0" collapsed="false">
      <c r="B28" s="11" t="s">
        <v>132</v>
      </c>
      <c r="C28" s="11" t="s">
        <v>133</v>
      </c>
      <c r="D28" s="15" t="n">
        <v>242030.68</v>
      </c>
      <c r="E28" s="15" t="n">
        <v>269409.24</v>
      </c>
      <c r="F28" s="9" t="n">
        <v>179641.55</v>
      </c>
      <c r="G28" s="16" t="n">
        <f aca="false">F28-E28</f>
        <v>-89767.69</v>
      </c>
      <c r="H28" s="17" t="n">
        <f aca="false">IF(E28=0,"",F28/E28)</f>
        <v>0.666798028159688</v>
      </c>
      <c r="I28" s="11"/>
      <c r="J28" s="11" t="s">
        <v>5</v>
      </c>
    </row>
    <row r="29" customFormat="false" ht="15" hidden="false" customHeight="false" outlineLevel="0" collapsed="false">
      <c r="B29" s="11" t="s">
        <v>134</v>
      </c>
      <c r="C29" s="11" t="s">
        <v>135</v>
      </c>
      <c r="D29" s="15" t="n">
        <v>40827.67</v>
      </c>
      <c r="E29" s="15" t="n">
        <v>45587.82</v>
      </c>
      <c r="F29" s="9" t="n">
        <v>30987.05</v>
      </c>
      <c r="G29" s="16" t="n">
        <f aca="false">F29-E29</f>
        <v>-14600.77</v>
      </c>
      <c r="H29" s="17" t="n">
        <f aca="false">IF(E29=0,"",F29/E29)</f>
        <v>0.679722127533188</v>
      </c>
      <c r="I29" s="11"/>
      <c r="J29" s="11" t="s">
        <v>5</v>
      </c>
    </row>
    <row r="30" customFormat="false" ht="15" hidden="false" customHeight="false" outlineLevel="0" collapsed="false">
      <c r="B30" s="11" t="s">
        <v>136</v>
      </c>
      <c r="C30" s="11" t="s">
        <v>137</v>
      </c>
      <c r="D30" s="15" t="n">
        <v>-1898200</v>
      </c>
      <c r="E30" s="15" t="n">
        <v>-2110205</v>
      </c>
      <c r="F30" s="9" t="n">
        <v>-2110205</v>
      </c>
      <c r="G30" s="16" t="n">
        <f aca="false">F30-E30</f>
        <v>0</v>
      </c>
      <c r="H30" s="17" t="n">
        <f aca="false">IF(E30=0,"",F30/E30)</f>
        <v>1</v>
      </c>
      <c r="I30" s="11"/>
      <c r="J30" s="11" t="s">
        <v>5</v>
      </c>
    </row>
    <row r="31" customFormat="false" ht="15" hidden="false" customHeight="false" outlineLevel="0" collapsed="false">
      <c r="B31" s="18" t="s">
        <v>138</v>
      </c>
      <c r="D31" s="19" t="n">
        <f aca="false">SUM(D6:D30)</f>
        <v>-531236.65</v>
      </c>
      <c r="E31" s="19" t="n">
        <f aca="false">SUM(E6:E30)</f>
        <v>-560280.94</v>
      </c>
      <c r="F31" s="20" t="n">
        <f aca="false">SUM(F6:F30)</f>
        <v>-972033</v>
      </c>
      <c r="G31" s="16" t="n">
        <f aca="false">F31-E31</f>
        <v>-411752.06</v>
      </c>
      <c r="I31" s="21" t="n">
        <f aca="false">SUM(I6:I30)</f>
        <v>14541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139</v>
      </c>
    </row>
    <row r="3" customFormat="false" ht="21.75" hidden="false" customHeight="true" outlineLevel="0" collapsed="false">
      <c r="B3" s="2" t="s">
        <v>140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141</v>
      </c>
      <c r="C5" s="3" t="s">
        <v>142</v>
      </c>
      <c r="D5" s="3" t="s">
        <v>143</v>
      </c>
      <c r="E5" s="3" t="s">
        <v>144</v>
      </c>
      <c r="F5" s="3" t="s">
        <v>145</v>
      </c>
      <c r="G5" s="3" t="s">
        <v>87</v>
      </c>
    </row>
    <row r="6" customFormat="false" ht="15" hidden="false" customHeight="false" outlineLevel="0" collapsed="false">
      <c r="B6" s="11" t="s">
        <v>146</v>
      </c>
      <c r="C6" s="11" t="s">
        <v>147</v>
      </c>
      <c r="D6" s="9" t="n">
        <v>404811.73</v>
      </c>
      <c r="E6" s="17" t="n">
        <f aca="false">D6/$D$11</f>
        <v>0.355668326052653</v>
      </c>
      <c r="F6" s="17" t="n">
        <f aca="false">D6/2110205</f>
        <v>0.191835262450805</v>
      </c>
      <c r="G6" s="11" t="s">
        <v>5</v>
      </c>
    </row>
    <row r="7" customFormat="false" ht="15" hidden="false" customHeight="false" outlineLevel="0" collapsed="false">
      <c r="B7" s="11" t="s">
        <v>148</v>
      </c>
      <c r="C7" s="11" t="s">
        <v>149</v>
      </c>
      <c r="D7" s="9" t="n">
        <v>497590.37</v>
      </c>
      <c r="E7" s="17" t="n">
        <f aca="false">D7/$D$11</f>
        <v>0.437183808774069</v>
      </c>
      <c r="F7" s="17" t="n">
        <f aca="false">D7/2110205</f>
        <v>0.235801910240948</v>
      </c>
      <c r="G7" s="11" t="s">
        <v>5</v>
      </c>
    </row>
    <row r="8" customFormat="false" ht="15" hidden="false" customHeight="false" outlineLevel="0" collapsed="false">
      <c r="B8" s="11" t="s">
        <v>150</v>
      </c>
      <c r="C8" s="11" t="s">
        <v>151</v>
      </c>
      <c r="D8" s="9" t="n">
        <v>25141.3</v>
      </c>
      <c r="E8" s="17" t="n">
        <f aca="false">D8/$D$11</f>
        <v>0.022089192143191</v>
      </c>
      <c r="F8" s="17" t="n">
        <f aca="false">D8/2110205</f>
        <v>0.011914150520921</v>
      </c>
      <c r="G8" s="11" t="s">
        <v>5</v>
      </c>
    </row>
    <row r="9" customFormat="false" ht="15" hidden="false" customHeight="false" outlineLevel="0" collapsed="false">
      <c r="B9" s="11" t="s">
        <v>133</v>
      </c>
      <c r="C9" s="11" t="s">
        <v>132</v>
      </c>
      <c r="D9" s="9" t="n">
        <v>179641.55</v>
      </c>
      <c r="E9" s="17" t="n">
        <f aca="false">D9/$D$11</f>
        <v>0.157833394249727</v>
      </c>
      <c r="F9" s="17" t="n">
        <f aca="false">D9/2110205</f>
        <v>0.0851299044405638</v>
      </c>
      <c r="G9" s="11" t="s">
        <v>5</v>
      </c>
    </row>
    <row r="10" customFormat="false" ht="15" hidden="false" customHeight="false" outlineLevel="0" collapsed="false">
      <c r="B10" s="11" t="s">
        <v>135</v>
      </c>
      <c r="C10" s="11" t="s">
        <v>134</v>
      </c>
      <c r="D10" s="9" t="n">
        <v>30987.05</v>
      </c>
      <c r="E10" s="17" t="n">
        <f aca="false">D10/$D$11</f>
        <v>0.0272252787803601</v>
      </c>
      <c r="F10" s="17" t="n">
        <f aca="false">D10/2110205</f>
        <v>0.0146843790058312</v>
      </c>
      <c r="G10" s="11" t="s">
        <v>5</v>
      </c>
    </row>
    <row r="11" customFormat="false" ht="15" hidden="false" customHeight="false" outlineLevel="0" collapsed="false">
      <c r="B11" s="18" t="s">
        <v>152</v>
      </c>
      <c r="D11" s="20" t="n">
        <f aca="false">SUM(D6:D10)</f>
        <v>1138172</v>
      </c>
      <c r="E11" s="17" t="n">
        <v>1</v>
      </c>
      <c r="F11" s="17" t="n">
        <f aca="false">D11/2110205</f>
        <v>0.539365606659069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153</v>
      </c>
    </row>
    <row r="3" customFormat="false" ht="21.75" hidden="false" customHeight="true" outlineLevel="0" collapsed="false">
      <c r="B3" s="2" t="s">
        <v>154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155</v>
      </c>
      <c r="C5" s="3" t="s">
        <v>156</v>
      </c>
      <c r="D5" s="3" t="s">
        <v>157</v>
      </c>
      <c r="E5" s="3" t="s">
        <v>158</v>
      </c>
      <c r="F5" s="3" t="s">
        <v>159</v>
      </c>
      <c r="G5" s="3" t="s">
        <v>87</v>
      </c>
    </row>
    <row r="6" customFormat="false" ht="15" hidden="false" customHeight="false" outlineLevel="0" collapsed="false">
      <c r="B6" s="11" t="s">
        <v>160</v>
      </c>
      <c r="C6" s="11" t="s">
        <v>161</v>
      </c>
      <c r="D6" s="9" t="n">
        <v>161465.23</v>
      </c>
      <c r="E6" s="22" t="n">
        <v>40</v>
      </c>
      <c r="F6" s="11" t="s">
        <v>162</v>
      </c>
      <c r="G6" s="11" t="s">
        <v>5</v>
      </c>
    </row>
    <row r="7" customFormat="false" ht="15" hidden="false" customHeight="false" outlineLevel="0" collapsed="false">
      <c r="B7" s="11" t="s">
        <v>163</v>
      </c>
      <c r="C7" s="11" t="s">
        <v>164</v>
      </c>
      <c r="D7" s="9" t="n">
        <v>90006.18</v>
      </c>
      <c r="E7" s="22" t="n">
        <v>133</v>
      </c>
      <c r="F7" s="11" t="s">
        <v>162</v>
      </c>
      <c r="G7" s="11" t="s">
        <v>5</v>
      </c>
    </row>
    <row r="8" customFormat="false" ht="15" hidden="false" customHeight="false" outlineLevel="0" collapsed="false">
      <c r="B8" s="11" t="s">
        <v>165</v>
      </c>
      <c r="C8" s="11" t="s">
        <v>166</v>
      </c>
      <c r="D8" s="9" t="n">
        <v>88591.11</v>
      </c>
      <c r="E8" s="22" t="n">
        <v>46</v>
      </c>
      <c r="F8" s="11" t="s">
        <v>162</v>
      </c>
      <c r="G8" s="11" t="s">
        <v>5</v>
      </c>
    </row>
    <row r="9" customFormat="false" ht="15" hidden="false" customHeight="false" outlineLevel="0" collapsed="false">
      <c r="B9" s="11" t="s">
        <v>167</v>
      </c>
      <c r="C9" s="11" t="s">
        <v>168</v>
      </c>
      <c r="D9" s="9" t="n">
        <v>53281.96</v>
      </c>
      <c r="E9" s="22" t="n">
        <v>41</v>
      </c>
      <c r="F9" s="11" t="s">
        <v>162</v>
      </c>
      <c r="G9" s="11" t="s">
        <v>5</v>
      </c>
    </row>
    <row r="10" customFormat="false" ht="15" hidden="false" customHeight="false" outlineLevel="0" collapsed="false">
      <c r="B10" s="11" t="s">
        <v>169</v>
      </c>
      <c r="C10" s="11" t="s">
        <v>170</v>
      </c>
      <c r="D10" s="9" t="n">
        <v>31781</v>
      </c>
      <c r="E10" s="22" t="n">
        <v>7</v>
      </c>
      <c r="F10" s="11" t="s">
        <v>162</v>
      </c>
      <c r="G10" s="11" t="s">
        <v>5</v>
      </c>
    </row>
    <row r="11" customFormat="false" ht="15" hidden="false" customHeight="false" outlineLevel="0" collapsed="false">
      <c r="B11" s="11" t="s">
        <v>171</v>
      </c>
      <c r="C11" s="11" t="s">
        <v>172</v>
      </c>
      <c r="D11" s="9" t="n">
        <v>16078.25</v>
      </c>
      <c r="E11" s="22" t="n">
        <v>4</v>
      </c>
      <c r="F11" s="11" t="s">
        <v>173</v>
      </c>
      <c r="G11" s="11" t="s">
        <v>5</v>
      </c>
    </row>
    <row r="12" customFormat="false" ht="15" hidden="false" customHeight="false" outlineLevel="0" collapsed="false">
      <c r="B12" s="11" t="s">
        <v>174</v>
      </c>
      <c r="C12" s="11" t="s">
        <v>175</v>
      </c>
      <c r="D12" s="9" t="n">
        <v>4798.91</v>
      </c>
      <c r="E12" s="22" t="n">
        <v>11</v>
      </c>
      <c r="F12" s="11" t="s">
        <v>176</v>
      </c>
      <c r="G12" s="11" t="s">
        <v>5</v>
      </c>
    </row>
    <row r="13" customFormat="false" ht="15" hidden="false" customHeight="false" outlineLevel="0" collapsed="false">
      <c r="B13" s="11" t="s">
        <v>177</v>
      </c>
      <c r="C13" s="11" t="s">
        <v>178</v>
      </c>
      <c r="D13" s="9" t="n">
        <v>4412.58</v>
      </c>
      <c r="E13" s="22" t="n">
        <v>2</v>
      </c>
      <c r="F13" s="11" t="s">
        <v>162</v>
      </c>
      <c r="G13" s="11" t="s">
        <v>5</v>
      </c>
    </row>
    <row r="14" customFormat="false" ht="15" hidden="false" customHeight="false" outlineLevel="0" collapsed="false">
      <c r="B14" s="11" t="s">
        <v>179</v>
      </c>
      <c r="C14" s="11" t="s">
        <v>180</v>
      </c>
      <c r="D14" s="9" t="n">
        <v>3186</v>
      </c>
      <c r="E14" s="22" t="n">
        <v>1</v>
      </c>
      <c r="F14" s="11" t="s">
        <v>176</v>
      </c>
      <c r="G14" s="11" t="s">
        <v>5</v>
      </c>
    </row>
    <row r="15" customFormat="false" ht="15" hidden="false" customHeight="false" outlineLevel="0" collapsed="false">
      <c r="B15" s="11" t="s">
        <v>181</v>
      </c>
      <c r="C15" s="11" t="s">
        <v>182</v>
      </c>
      <c r="D15" s="9" t="n">
        <v>3162</v>
      </c>
      <c r="E15" s="22" t="n">
        <v>5</v>
      </c>
      <c r="F15" s="11" t="s">
        <v>176</v>
      </c>
      <c r="G15" s="11" t="s">
        <v>5</v>
      </c>
    </row>
    <row r="16" customFormat="false" ht="15" hidden="false" customHeight="false" outlineLevel="0" collapsed="false">
      <c r="B16" s="11" t="s">
        <v>183</v>
      </c>
      <c r="C16" s="11" t="s">
        <v>184</v>
      </c>
      <c r="D16" s="9" t="n">
        <v>1971</v>
      </c>
      <c r="E16" s="22" t="n">
        <v>1</v>
      </c>
      <c r="F16" s="11" t="s">
        <v>176</v>
      </c>
      <c r="G16" s="11" t="s">
        <v>5</v>
      </c>
    </row>
    <row r="17" customFormat="false" ht="15" hidden="false" customHeight="false" outlineLevel="0" collapsed="false">
      <c r="B17" s="11" t="s">
        <v>185</v>
      </c>
      <c r="C17" s="11" t="s">
        <v>186</v>
      </c>
      <c r="D17" s="9" t="n">
        <v>445</v>
      </c>
      <c r="E17" s="22" t="n">
        <v>1</v>
      </c>
      <c r="F17" s="11" t="s">
        <v>176</v>
      </c>
      <c r="G17" s="11" t="s">
        <v>5</v>
      </c>
    </row>
    <row r="18" customFormat="false" ht="15" hidden="false" customHeight="false" outlineLevel="0" collapsed="false">
      <c r="B18" s="11" t="s">
        <v>187</v>
      </c>
      <c r="C18" s="11" t="s">
        <v>188</v>
      </c>
      <c r="D18" s="9" t="n">
        <v>357.8</v>
      </c>
      <c r="E18" s="22" t="n">
        <v>2</v>
      </c>
      <c r="F18" s="11" t="s">
        <v>162</v>
      </c>
      <c r="G18" s="11" t="s">
        <v>5</v>
      </c>
    </row>
    <row r="19" customFormat="false" ht="15" hidden="false" customHeight="false" outlineLevel="0" collapsed="false">
      <c r="B19" s="11" t="s">
        <v>189</v>
      </c>
      <c r="C19" s="11" t="s">
        <v>190</v>
      </c>
      <c r="D19" s="9" t="n">
        <v>322.95</v>
      </c>
      <c r="E19" s="22" t="n">
        <v>6</v>
      </c>
      <c r="F19" s="11" t="s">
        <v>191</v>
      </c>
      <c r="G19" s="11" t="s">
        <v>5</v>
      </c>
    </row>
    <row r="20" customFormat="false" ht="15" hidden="false" customHeight="false" outlineLevel="0" collapsed="false">
      <c r="B20" s="11" t="s">
        <v>192</v>
      </c>
      <c r="C20" s="11" t="s">
        <v>193</v>
      </c>
      <c r="D20" s="9" t="n">
        <v>250</v>
      </c>
      <c r="E20" s="22" t="n">
        <v>2</v>
      </c>
      <c r="F20" s="11" t="s">
        <v>194</v>
      </c>
      <c r="G20" s="11" t="s">
        <v>5</v>
      </c>
    </row>
    <row r="21" customFormat="false" ht="15" hidden="false" customHeight="false" outlineLevel="0" collapsed="false">
      <c r="B21" s="11" t="s">
        <v>195</v>
      </c>
      <c r="C21" s="11" t="s">
        <v>196</v>
      </c>
      <c r="D21" s="9" t="n">
        <v>199.24</v>
      </c>
      <c r="E21" s="22" t="n">
        <v>1</v>
      </c>
      <c r="F21" s="11" t="s">
        <v>176</v>
      </c>
      <c r="G21" s="11" t="s">
        <v>5</v>
      </c>
    </row>
    <row r="22" customFormat="false" ht="15" hidden="false" customHeight="false" outlineLevel="0" collapsed="false">
      <c r="B22" s="11" t="s">
        <v>197</v>
      </c>
      <c r="C22" s="11" t="s">
        <v>198</v>
      </c>
      <c r="D22" s="9" t="n">
        <v>87.66</v>
      </c>
      <c r="E22" s="22" t="n">
        <v>1</v>
      </c>
      <c r="F22" s="11" t="s">
        <v>176</v>
      </c>
      <c r="G22" s="11" t="s">
        <v>5</v>
      </c>
    </row>
    <row r="23" customFormat="false" ht="15" hidden="false" customHeight="false" outlineLevel="0" collapsed="false">
      <c r="B23" s="18" t="s">
        <v>138</v>
      </c>
      <c r="D23" s="20" t="n">
        <f aca="false">SUM(D6:D22)</f>
        <v>460396.87</v>
      </c>
      <c r="E23" s="23" t="n">
        <f aca="false">SUM(E6:E22)</f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199</v>
      </c>
    </row>
    <row r="3" customFormat="false" ht="21.75" hidden="false" customHeight="true" outlineLevel="0" collapsed="false">
      <c r="B3" s="2" t="s">
        <v>200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201</v>
      </c>
      <c r="C5" s="3" t="s">
        <v>202</v>
      </c>
      <c r="D5" s="3" t="s">
        <v>203</v>
      </c>
      <c r="E5" s="3" t="s">
        <v>204</v>
      </c>
      <c r="F5" s="3" t="s">
        <v>205</v>
      </c>
      <c r="G5" s="3" t="s">
        <v>206</v>
      </c>
      <c r="H5" s="3" t="s">
        <v>87</v>
      </c>
    </row>
    <row r="6" customFormat="false" ht="15" hidden="false" customHeight="false" outlineLevel="0" collapsed="false">
      <c r="B6" s="11" t="s">
        <v>207</v>
      </c>
      <c r="C6" s="11" t="s">
        <v>208</v>
      </c>
      <c r="D6" s="10" t="n">
        <v>2043</v>
      </c>
      <c r="E6" s="9" t="n">
        <v>51043.75</v>
      </c>
      <c r="F6" s="20" t="n">
        <f aca="false">IF(D6=0,0,E6/D6)</f>
        <v>24.9847038668625</v>
      </c>
      <c r="G6" s="22" t="n">
        <v>53</v>
      </c>
      <c r="H6" s="11" t="s">
        <v>5</v>
      </c>
    </row>
    <row r="7" customFormat="false" ht="15" hidden="false" customHeight="false" outlineLevel="0" collapsed="false">
      <c r="B7" s="11" t="s">
        <v>209</v>
      </c>
      <c r="C7" s="11" t="s">
        <v>210</v>
      </c>
      <c r="D7" s="10" t="n">
        <v>1516.5</v>
      </c>
      <c r="E7" s="9" t="n">
        <v>57589</v>
      </c>
      <c r="F7" s="20" t="n">
        <f aca="false">IF(D7=0,0,E7/D7)</f>
        <v>37.9749423013518</v>
      </c>
      <c r="G7" s="22" t="n">
        <v>42</v>
      </c>
      <c r="H7" s="11" t="s">
        <v>5</v>
      </c>
    </row>
    <row r="8" customFormat="false" ht="15" hidden="false" customHeight="false" outlineLevel="0" collapsed="false">
      <c r="B8" s="11" t="s">
        <v>211</v>
      </c>
      <c r="C8" s="11" t="s">
        <v>212</v>
      </c>
      <c r="D8" s="10" t="n">
        <v>1165</v>
      </c>
      <c r="E8" s="9" t="n">
        <v>30787.5</v>
      </c>
      <c r="F8" s="20" t="n">
        <f aca="false">IF(D8=0,0,E8/D8)</f>
        <v>26.4270386266094</v>
      </c>
      <c r="G8" s="22" t="n">
        <v>31</v>
      </c>
      <c r="H8" s="11" t="s">
        <v>5</v>
      </c>
    </row>
    <row r="9" customFormat="false" ht="15" hidden="false" customHeight="false" outlineLevel="0" collapsed="false">
      <c r="B9" s="11" t="s">
        <v>213</v>
      </c>
      <c r="C9" s="11" t="s">
        <v>214</v>
      </c>
      <c r="D9" s="10" t="n">
        <v>1130</v>
      </c>
      <c r="E9" s="9" t="n">
        <v>32087</v>
      </c>
      <c r="F9" s="20" t="n">
        <f aca="false">IF(D9=0,0,E9/D9)</f>
        <v>28.3955752212389</v>
      </c>
      <c r="G9" s="22" t="n">
        <v>31</v>
      </c>
      <c r="H9" s="11" t="s">
        <v>5</v>
      </c>
    </row>
    <row r="10" customFormat="false" ht="15" hidden="false" customHeight="false" outlineLevel="0" collapsed="false">
      <c r="B10" s="11" t="s">
        <v>215</v>
      </c>
      <c r="C10" s="11" t="s">
        <v>216</v>
      </c>
      <c r="D10" s="10" t="n">
        <v>901.5</v>
      </c>
      <c r="E10" s="9" t="n">
        <v>22348</v>
      </c>
      <c r="F10" s="20" t="n">
        <f aca="false">IF(D10=0,0,E10/D10)</f>
        <v>24.789794786467</v>
      </c>
      <c r="G10" s="22" t="n">
        <v>25</v>
      </c>
      <c r="H10" s="11" t="s">
        <v>5</v>
      </c>
    </row>
    <row r="11" customFormat="false" ht="15" hidden="false" customHeight="false" outlineLevel="0" collapsed="false">
      <c r="B11" s="11" t="s">
        <v>217</v>
      </c>
      <c r="C11" s="11" t="s">
        <v>218</v>
      </c>
      <c r="D11" s="10" t="n">
        <v>804</v>
      </c>
      <c r="E11" s="9" t="n">
        <v>16376</v>
      </c>
      <c r="F11" s="20" t="n">
        <f aca="false">IF(D11=0,0,E11/D11)</f>
        <v>20.3681592039801</v>
      </c>
      <c r="G11" s="22" t="n">
        <v>22</v>
      </c>
      <c r="H11" s="11" t="s">
        <v>5</v>
      </c>
    </row>
    <row r="12" customFormat="false" ht="15" hidden="false" customHeight="false" outlineLevel="0" collapsed="false">
      <c r="B12" s="11" t="s">
        <v>219</v>
      </c>
      <c r="C12" s="11" t="s">
        <v>220</v>
      </c>
      <c r="D12" s="10" t="n">
        <v>702.5</v>
      </c>
      <c r="E12" s="9" t="n">
        <v>19101.5</v>
      </c>
      <c r="F12" s="20" t="n">
        <f aca="false">IF(D12=0,0,E12/D12)</f>
        <v>27.1907473309609</v>
      </c>
      <c r="G12" s="22" t="n">
        <v>19</v>
      </c>
      <c r="H12" s="11" t="s">
        <v>5</v>
      </c>
    </row>
    <row r="13" customFormat="false" ht="15" hidden="false" customHeight="false" outlineLevel="0" collapsed="false">
      <c r="B13" s="11" t="s">
        <v>221</v>
      </c>
      <c r="C13" s="11" t="s">
        <v>222</v>
      </c>
      <c r="D13" s="10" t="n">
        <v>645</v>
      </c>
      <c r="E13" s="9" t="n">
        <v>16039.5</v>
      </c>
      <c r="F13" s="20" t="n">
        <f aca="false">IF(D13=0,0,E13/D13)</f>
        <v>24.8674418604651</v>
      </c>
      <c r="G13" s="22" t="n">
        <v>24</v>
      </c>
      <c r="H13" s="11" t="s">
        <v>5</v>
      </c>
    </row>
    <row r="14" customFormat="false" ht="15" hidden="false" customHeight="false" outlineLevel="0" collapsed="false">
      <c r="B14" s="11" t="s">
        <v>223</v>
      </c>
      <c r="C14" s="11" t="s">
        <v>224</v>
      </c>
      <c r="D14" s="10" t="n">
        <v>521.5</v>
      </c>
      <c r="E14" s="9" t="n">
        <v>8915.5</v>
      </c>
      <c r="F14" s="20" t="n">
        <f aca="false">IF(D14=0,0,E14/D14)</f>
        <v>17.0958772770853</v>
      </c>
      <c r="G14" s="22" t="n">
        <v>16</v>
      </c>
      <c r="H14" s="11" t="s">
        <v>5</v>
      </c>
    </row>
    <row r="15" customFormat="false" ht="15" hidden="false" customHeight="false" outlineLevel="0" collapsed="false">
      <c r="B15" s="11" t="s">
        <v>225</v>
      </c>
      <c r="C15" s="11" t="s">
        <v>226</v>
      </c>
      <c r="D15" s="10" t="n">
        <v>516.5</v>
      </c>
      <c r="E15" s="9" t="n">
        <v>8776.5</v>
      </c>
      <c r="F15" s="20" t="n">
        <f aca="false">IF(D15=0,0,E15/D15)</f>
        <v>16.9922555663117</v>
      </c>
      <c r="G15" s="22" t="n">
        <v>13</v>
      </c>
      <c r="H15" s="11" t="s">
        <v>5</v>
      </c>
    </row>
    <row r="16" customFormat="false" ht="15" hidden="false" customHeight="false" outlineLevel="0" collapsed="false">
      <c r="B16" s="11" t="s">
        <v>227</v>
      </c>
      <c r="C16" s="11" t="s">
        <v>228</v>
      </c>
      <c r="D16" s="10" t="n">
        <v>468.5</v>
      </c>
      <c r="E16" s="9" t="n">
        <v>9494</v>
      </c>
      <c r="F16" s="20" t="n">
        <f aca="false">IF(D16=0,0,E16/D16)</f>
        <v>20.264674493063</v>
      </c>
      <c r="G16" s="22" t="n">
        <v>13</v>
      </c>
      <c r="H16" s="11" t="s">
        <v>5</v>
      </c>
    </row>
    <row r="17" customFormat="false" ht="15" hidden="false" customHeight="false" outlineLevel="0" collapsed="false">
      <c r="B17" s="11" t="s">
        <v>229</v>
      </c>
      <c r="C17" s="11" t="s">
        <v>230</v>
      </c>
      <c r="D17" s="10" t="n">
        <v>442.5</v>
      </c>
      <c r="E17" s="9" t="n">
        <v>18652.5</v>
      </c>
      <c r="F17" s="20" t="n">
        <f aca="false">IF(D17=0,0,E17/D17)</f>
        <v>42.1525423728814</v>
      </c>
      <c r="G17" s="22" t="n">
        <v>27</v>
      </c>
      <c r="H17" s="11" t="s">
        <v>5</v>
      </c>
    </row>
    <row r="18" customFormat="false" ht="15" hidden="false" customHeight="false" outlineLevel="0" collapsed="false">
      <c r="B18" s="11" t="s">
        <v>231</v>
      </c>
      <c r="C18" s="11" t="s">
        <v>232</v>
      </c>
      <c r="D18" s="10" t="n">
        <v>405.5</v>
      </c>
      <c r="E18" s="9" t="n">
        <v>13480.5</v>
      </c>
      <c r="F18" s="20" t="n">
        <f aca="false">IF(D18=0,0,E18/D18)</f>
        <v>33.2441430332922</v>
      </c>
      <c r="G18" s="22" t="n">
        <v>11</v>
      </c>
      <c r="H18" s="11" t="s">
        <v>5</v>
      </c>
    </row>
    <row r="19" customFormat="false" ht="15" hidden="false" customHeight="false" outlineLevel="0" collapsed="false">
      <c r="B19" s="11" t="s">
        <v>233</v>
      </c>
      <c r="C19" s="11" t="s">
        <v>234</v>
      </c>
      <c r="D19" s="10" t="n">
        <v>398</v>
      </c>
      <c r="E19" s="9" t="n">
        <v>7562</v>
      </c>
      <c r="F19" s="20" t="n">
        <f aca="false">IF(D19=0,0,E19/D19)</f>
        <v>19</v>
      </c>
      <c r="G19" s="22" t="n">
        <v>15</v>
      </c>
      <c r="H19" s="11" t="s">
        <v>5</v>
      </c>
    </row>
    <row r="20" customFormat="false" ht="15" hidden="false" customHeight="false" outlineLevel="0" collapsed="false">
      <c r="B20" s="11" t="s">
        <v>235</v>
      </c>
      <c r="C20" s="11" t="s">
        <v>236</v>
      </c>
      <c r="D20" s="10" t="n">
        <v>381.5</v>
      </c>
      <c r="E20" s="9" t="n">
        <v>12222.75</v>
      </c>
      <c r="F20" s="20" t="n">
        <f aca="false">IF(D20=0,0,E20/D20)</f>
        <v>32.0386631716907</v>
      </c>
      <c r="G20" s="22" t="n">
        <v>13</v>
      </c>
      <c r="H20" s="11" t="s">
        <v>5</v>
      </c>
    </row>
    <row r="21" customFormat="false" ht="15" hidden="false" customHeight="false" outlineLevel="0" collapsed="false">
      <c r="B21" s="11" t="s">
        <v>237</v>
      </c>
      <c r="C21" s="11" t="s">
        <v>238</v>
      </c>
      <c r="D21" s="10" t="n">
        <v>341</v>
      </c>
      <c r="E21" s="9" t="n">
        <v>17439.5</v>
      </c>
      <c r="F21" s="20" t="n">
        <f aca="false">IF(D21=0,0,E21/D21)</f>
        <v>51.1422287390029</v>
      </c>
      <c r="G21" s="22" t="n">
        <v>90</v>
      </c>
      <c r="H21" s="11" t="s">
        <v>5</v>
      </c>
    </row>
    <row r="22" customFormat="false" ht="15" hidden="false" customHeight="false" outlineLevel="0" collapsed="false">
      <c r="B22" s="11" t="s">
        <v>239</v>
      </c>
      <c r="C22" s="11" t="s">
        <v>240</v>
      </c>
      <c r="D22" s="10" t="n">
        <v>296.5</v>
      </c>
      <c r="E22" s="9" t="n">
        <v>6497.5</v>
      </c>
      <c r="F22" s="20" t="n">
        <f aca="false">IF(D22=0,0,E22/D22)</f>
        <v>21.9139966273187</v>
      </c>
      <c r="G22" s="22" t="n">
        <v>13</v>
      </c>
      <c r="H22" s="11" t="s">
        <v>5</v>
      </c>
    </row>
    <row r="23" customFormat="false" ht="15" hidden="false" customHeight="false" outlineLevel="0" collapsed="false">
      <c r="B23" s="11" t="s">
        <v>241</v>
      </c>
      <c r="C23" s="11" t="s">
        <v>242</v>
      </c>
      <c r="D23" s="10" t="n">
        <v>295.5</v>
      </c>
      <c r="E23" s="9" t="n">
        <v>9392.5</v>
      </c>
      <c r="F23" s="20" t="n">
        <f aca="false">IF(D23=0,0,E23/D23)</f>
        <v>31.7851099830795</v>
      </c>
      <c r="G23" s="22" t="n">
        <v>13</v>
      </c>
      <c r="H23" s="11" t="s">
        <v>5</v>
      </c>
    </row>
    <row r="24" customFormat="false" ht="15" hidden="false" customHeight="false" outlineLevel="0" collapsed="false">
      <c r="B24" s="11" t="s">
        <v>243</v>
      </c>
      <c r="C24" s="11" t="s">
        <v>244</v>
      </c>
      <c r="D24" s="10" t="n">
        <v>205.5</v>
      </c>
      <c r="E24" s="9" t="n">
        <v>3360</v>
      </c>
      <c r="F24" s="20" t="n">
        <f aca="false">IF(D24=0,0,E24/D24)</f>
        <v>16.3503649635037</v>
      </c>
      <c r="G24" s="22" t="n">
        <v>9</v>
      </c>
      <c r="H24" s="11" t="s">
        <v>5</v>
      </c>
    </row>
    <row r="25" customFormat="false" ht="15" hidden="false" customHeight="false" outlineLevel="0" collapsed="false">
      <c r="B25" s="11" t="s">
        <v>245</v>
      </c>
      <c r="C25" s="11" t="s">
        <v>246</v>
      </c>
      <c r="D25" s="10" t="n">
        <v>170</v>
      </c>
      <c r="E25" s="9" t="n">
        <v>6120</v>
      </c>
      <c r="F25" s="20" t="n">
        <f aca="false">IF(D25=0,0,E25/D25)</f>
        <v>36</v>
      </c>
      <c r="G25" s="22" t="n">
        <v>8</v>
      </c>
      <c r="H25" s="11" t="s">
        <v>5</v>
      </c>
    </row>
    <row r="26" customFormat="false" ht="15" hidden="false" customHeight="false" outlineLevel="0" collapsed="false">
      <c r="B26" s="11" t="s">
        <v>247</v>
      </c>
      <c r="C26" s="11" t="s">
        <v>248</v>
      </c>
      <c r="D26" s="10" t="n">
        <v>167</v>
      </c>
      <c r="E26" s="9" t="n">
        <v>8302</v>
      </c>
      <c r="F26" s="20" t="n">
        <f aca="false">IF(D26=0,0,E26/D26)</f>
        <v>49.7125748502994</v>
      </c>
      <c r="G26" s="22" t="n">
        <v>28</v>
      </c>
      <c r="H26" s="11" t="s">
        <v>5</v>
      </c>
    </row>
    <row r="27" customFormat="false" ht="15" hidden="false" customHeight="false" outlineLevel="0" collapsed="false">
      <c r="B27" s="11" t="s">
        <v>249</v>
      </c>
      <c r="C27" s="11" t="s">
        <v>250</v>
      </c>
      <c r="D27" s="10" t="n">
        <v>160</v>
      </c>
      <c r="E27" s="9" t="n">
        <v>4640</v>
      </c>
      <c r="F27" s="20" t="n">
        <f aca="false">IF(D27=0,0,E27/D27)</f>
        <v>29</v>
      </c>
      <c r="G27" s="22" t="n">
        <v>6</v>
      </c>
      <c r="H27" s="11" t="s">
        <v>5</v>
      </c>
    </row>
    <row r="28" customFormat="false" ht="15" hidden="false" customHeight="false" outlineLevel="0" collapsed="false">
      <c r="B28" s="11" t="s">
        <v>251</v>
      </c>
      <c r="C28" s="11" t="s">
        <v>252</v>
      </c>
      <c r="D28" s="10" t="n">
        <v>149.5</v>
      </c>
      <c r="E28" s="9" t="n">
        <v>2691</v>
      </c>
      <c r="F28" s="20" t="n">
        <f aca="false">IF(D28=0,0,E28/D28)</f>
        <v>18</v>
      </c>
      <c r="G28" s="22" t="n">
        <v>6</v>
      </c>
      <c r="H28" s="11" t="s">
        <v>5</v>
      </c>
    </row>
    <row r="29" customFormat="false" ht="15" hidden="false" customHeight="false" outlineLevel="0" collapsed="false">
      <c r="B29" s="11" t="s">
        <v>253</v>
      </c>
      <c r="C29" s="11" t="s">
        <v>254</v>
      </c>
      <c r="D29" s="10" t="n">
        <v>133</v>
      </c>
      <c r="E29" s="9" t="n">
        <v>2992</v>
      </c>
      <c r="F29" s="20" t="n">
        <f aca="false">IF(D29=0,0,E29/D29)</f>
        <v>22.4962406015038</v>
      </c>
      <c r="G29" s="22" t="n">
        <v>6</v>
      </c>
      <c r="H29" s="11" t="s">
        <v>5</v>
      </c>
    </row>
    <row r="30" customFormat="false" ht="15" hidden="false" customHeight="false" outlineLevel="0" collapsed="false">
      <c r="B30" s="11" t="s">
        <v>255</v>
      </c>
      <c r="C30" s="11" t="s">
        <v>256</v>
      </c>
      <c r="D30" s="10" t="n">
        <v>108</v>
      </c>
      <c r="E30" s="9" t="n">
        <v>1836</v>
      </c>
      <c r="F30" s="20" t="n">
        <f aca="false">IF(D30=0,0,E30/D30)</f>
        <v>17</v>
      </c>
      <c r="G30" s="22" t="n">
        <v>6</v>
      </c>
      <c r="H30" s="11" t="s">
        <v>5</v>
      </c>
    </row>
    <row r="31" customFormat="false" ht="15" hidden="false" customHeight="false" outlineLevel="0" collapsed="false">
      <c r="B31" s="11" t="s">
        <v>257</v>
      </c>
      <c r="C31" s="11" t="s">
        <v>258</v>
      </c>
      <c r="D31" s="10" t="n">
        <v>105.5</v>
      </c>
      <c r="E31" s="9" t="n">
        <v>1688</v>
      </c>
      <c r="F31" s="20" t="n">
        <f aca="false">IF(D31=0,0,E31/D31)</f>
        <v>16</v>
      </c>
      <c r="G31" s="22" t="n">
        <v>4</v>
      </c>
      <c r="H31" s="11" t="s">
        <v>5</v>
      </c>
    </row>
    <row r="32" customFormat="false" ht="15" hidden="false" customHeight="false" outlineLevel="0" collapsed="false">
      <c r="B32" s="11" t="s">
        <v>259</v>
      </c>
      <c r="C32" s="11" t="s">
        <v>260</v>
      </c>
      <c r="D32" s="10" t="n">
        <v>98</v>
      </c>
      <c r="E32" s="9" t="n">
        <v>1616</v>
      </c>
      <c r="F32" s="20" t="n">
        <f aca="false">IF(D32=0,0,E32/D32)</f>
        <v>16.4897959183673</v>
      </c>
      <c r="G32" s="22" t="n">
        <v>3</v>
      </c>
      <c r="H32" s="11" t="s">
        <v>5</v>
      </c>
    </row>
    <row r="33" customFormat="false" ht="15" hidden="false" customHeight="false" outlineLevel="0" collapsed="false">
      <c r="B33" s="11" t="s">
        <v>261</v>
      </c>
      <c r="C33" s="11" t="s">
        <v>262</v>
      </c>
      <c r="D33" s="10" t="n">
        <v>97</v>
      </c>
      <c r="E33" s="9" t="n">
        <v>5850</v>
      </c>
      <c r="F33" s="20" t="n">
        <f aca="false">IF(D33=0,0,E33/D33)</f>
        <v>60.3092783505155</v>
      </c>
      <c r="G33" s="22" t="n">
        <v>49</v>
      </c>
      <c r="H33" s="11" t="s">
        <v>5</v>
      </c>
    </row>
    <row r="34" customFormat="false" ht="15" hidden="false" customHeight="false" outlineLevel="0" collapsed="false">
      <c r="B34" s="11" t="s">
        <v>263</v>
      </c>
      <c r="C34" s="11" t="s">
        <v>264</v>
      </c>
      <c r="D34" s="10" t="n">
        <v>88</v>
      </c>
      <c r="E34" s="9" t="n">
        <v>288</v>
      </c>
      <c r="F34" s="20" t="n">
        <f aca="false">IF(D34=0,0,E34/D34)</f>
        <v>3.27272727272727</v>
      </c>
      <c r="G34" s="22" t="n">
        <v>2</v>
      </c>
      <c r="H34" s="11" t="s">
        <v>5</v>
      </c>
    </row>
    <row r="35" customFormat="false" ht="15" hidden="false" customHeight="false" outlineLevel="0" collapsed="false">
      <c r="B35" s="11" t="s">
        <v>265</v>
      </c>
      <c r="C35" s="11" t="s">
        <v>266</v>
      </c>
      <c r="D35" s="10" t="n">
        <v>75</v>
      </c>
      <c r="E35" s="9" t="n">
        <v>1425</v>
      </c>
      <c r="F35" s="20" t="n">
        <f aca="false">IF(D35=0,0,E35/D35)</f>
        <v>19</v>
      </c>
      <c r="G35" s="22" t="n">
        <v>5</v>
      </c>
      <c r="H35" s="11" t="s">
        <v>5</v>
      </c>
    </row>
    <row r="36" customFormat="false" ht="15" hidden="false" customHeight="false" outlineLevel="0" collapsed="false">
      <c r="B36" s="11" t="s">
        <v>267</v>
      </c>
      <c r="C36" s="11" t="s">
        <v>268</v>
      </c>
      <c r="D36" s="10" t="n">
        <v>66</v>
      </c>
      <c r="E36" s="9" t="n">
        <v>2352</v>
      </c>
      <c r="F36" s="20" t="n">
        <f aca="false">IF(D36=0,0,E36/D36)</f>
        <v>35.6363636363636</v>
      </c>
      <c r="G36" s="22" t="n">
        <v>3</v>
      </c>
      <c r="H36" s="11" t="s">
        <v>5</v>
      </c>
    </row>
    <row r="37" customFormat="false" ht="15" hidden="false" customHeight="false" outlineLevel="0" collapsed="false">
      <c r="B37" s="11" t="s">
        <v>269</v>
      </c>
      <c r="C37" s="11" t="s">
        <v>270</v>
      </c>
      <c r="D37" s="10" t="n">
        <v>63</v>
      </c>
      <c r="E37" s="9" t="n">
        <v>1134</v>
      </c>
      <c r="F37" s="20" t="n">
        <f aca="false">IF(D37=0,0,E37/D37)</f>
        <v>18</v>
      </c>
      <c r="G37" s="22" t="n">
        <v>2</v>
      </c>
      <c r="H37" s="11" t="s">
        <v>5</v>
      </c>
    </row>
    <row r="38" customFormat="false" ht="15" hidden="false" customHeight="false" outlineLevel="0" collapsed="false">
      <c r="B38" s="11" t="s">
        <v>271</v>
      </c>
      <c r="C38" s="11" t="s">
        <v>272</v>
      </c>
      <c r="D38" s="10" t="n">
        <v>30</v>
      </c>
      <c r="E38" s="9" t="n">
        <v>810</v>
      </c>
      <c r="F38" s="20" t="n">
        <f aca="false">IF(D38=0,0,E38/D38)</f>
        <v>27</v>
      </c>
      <c r="G38" s="22" t="n">
        <v>3</v>
      </c>
      <c r="H38" s="11" t="s">
        <v>5</v>
      </c>
    </row>
    <row r="39" customFormat="false" ht="15" hidden="false" customHeight="false" outlineLevel="0" collapsed="false">
      <c r="B39" s="11" t="s">
        <v>273</v>
      </c>
      <c r="C39" s="11" t="s">
        <v>274</v>
      </c>
      <c r="D39" s="10" t="n">
        <v>30</v>
      </c>
      <c r="E39" s="9" t="n">
        <v>1507</v>
      </c>
      <c r="F39" s="20" t="n">
        <f aca="false">IF(D39=0,0,E39/D39)</f>
        <v>50.2333333333333</v>
      </c>
      <c r="G39" s="22" t="n">
        <v>12</v>
      </c>
      <c r="H39" s="11" t="s">
        <v>5</v>
      </c>
    </row>
    <row r="40" customFormat="false" ht="15" hidden="false" customHeight="false" outlineLevel="0" collapsed="false">
      <c r="B40" s="11" t="s">
        <v>275</v>
      </c>
      <c r="C40" s="11" t="s">
        <v>276</v>
      </c>
      <c r="D40" s="10" t="n">
        <v>20</v>
      </c>
      <c r="E40" s="9" t="n">
        <v>360</v>
      </c>
      <c r="F40" s="20" t="n">
        <f aca="false">IF(D40=0,0,E40/D40)</f>
        <v>18</v>
      </c>
      <c r="G40" s="22" t="n">
        <v>2</v>
      </c>
      <c r="H40" s="11" t="s">
        <v>5</v>
      </c>
    </row>
    <row r="41" customFormat="false" ht="15" hidden="false" customHeight="false" outlineLevel="0" collapsed="false">
      <c r="B41" s="11" t="s">
        <v>277</v>
      </c>
      <c r="C41" s="11" t="s">
        <v>278</v>
      </c>
      <c r="D41" s="10" t="n">
        <v>20</v>
      </c>
      <c r="E41" s="9" t="n">
        <v>0</v>
      </c>
      <c r="F41" s="20" t="n">
        <f aca="false">IF(D41=0,0,E41/D41)</f>
        <v>0</v>
      </c>
      <c r="G41" s="22" t="n">
        <v>2</v>
      </c>
      <c r="H41" s="11" t="s">
        <v>5</v>
      </c>
    </row>
    <row r="42" customFormat="false" ht="15" hidden="false" customHeight="false" outlineLevel="0" collapsed="false">
      <c r="B42" s="11" t="s">
        <v>279</v>
      </c>
      <c r="C42" s="11" t="s">
        <v>280</v>
      </c>
      <c r="D42" s="10" t="n">
        <v>8</v>
      </c>
      <c r="E42" s="9" t="n">
        <v>136</v>
      </c>
      <c r="F42" s="20" t="n">
        <f aca="false">IF(D42=0,0,E42/D42)</f>
        <v>17</v>
      </c>
      <c r="G42" s="22" t="n">
        <v>1</v>
      </c>
      <c r="H42" s="11" t="s">
        <v>5</v>
      </c>
    </row>
    <row r="43" customFormat="false" ht="15" hidden="false" customHeight="false" outlineLevel="0" collapsed="false">
      <c r="B43" s="11" t="s">
        <v>281</v>
      </c>
      <c r="C43" s="11" t="s">
        <v>282</v>
      </c>
      <c r="D43" s="10" t="n">
        <v>5</v>
      </c>
      <c r="E43" s="9" t="n">
        <v>105</v>
      </c>
      <c r="F43" s="20" t="n">
        <f aca="false">IF(D43=0,0,E43/D43)</f>
        <v>21</v>
      </c>
      <c r="G43" s="22" t="n">
        <v>2</v>
      </c>
      <c r="H43" s="11" t="s">
        <v>5</v>
      </c>
    </row>
    <row r="44" customFormat="false" ht="15" hidden="false" customHeight="false" outlineLevel="0" collapsed="false">
      <c r="B44" s="11" t="s">
        <v>283</v>
      </c>
      <c r="C44" s="11" t="s">
        <v>284</v>
      </c>
      <c r="D44" s="10" t="n">
        <v>2</v>
      </c>
      <c r="E44" s="9" t="n">
        <v>36</v>
      </c>
      <c r="F44" s="20" t="n">
        <f aca="false">IF(D44=0,0,E44/D44)</f>
        <v>18</v>
      </c>
      <c r="G44" s="22" t="n">
        <v>1</v>
      </c>
      <c r="H44" s="11" t="s">
        <v>5</v>
      </c>
    </row>
    <row r="45" customFormat="false" ht="15" hidden="false" customHeight="false" outlineLevel="0" collapsed="false">
      <c r="B45" s="18" t="s">
        <v>138</v>
      </c>
      <c r="D45" s="21" t="n">
        <f aca="false">SUM(D6:D44)</f>
        <v>14775</v>
      </c>
      <c r="E45" s="20" t="n">
        <f aca="false">SUM(E6:E44)</f>
        <v>405053.5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285</v>
      </c>
    </row>
    <row r="3" customFormat="false" ht="21.75" hidden="false" customHeight="true" outlineLevel="0" collapsed="false">
      <c r="B3" s="2" t="s">
        <v>286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287</v>
      </c>
    </row>
    <row r="6" customFormat="false" ht="15" hidden="false" customHeight="false" outlineLevel="0" collapsed="false">
      <c r="B6" s="3" t="s">
        <v>288</v>
      </c>
      <c r="C6" s="3" t="s">
        <v>289</v>
      </c>
      <c r="D6" s="3" t="s">
        <v>290</v>
      </c>
      <c r="E6" s="3" t="s">
        <v>87</v>
      </c>
    </row>
    <row r="7" customFormat="false" ht="15" hidden="false" customHeight="false" outlineLevel="0" collapsed="false">
      <c r="B7" s="11" t="s">
        <v>291</v>
      </c>
      <c r="C7" s="10" t="n">
        <v>39</v>
      </c>
      <c r="D7" s="11" t="s">
        <v>292</v>
      </c>
      <c r="E7" s="11" t="s">
        <v>5</v>
      </c>
    </row>
    <row r="8" customFormat="false" ht="15" hidden="false" customHeight="false" outlineLevel="0" collapsed="false">
      <c r="B8" s="11" t="s">
        <v>293</v>
      </c>
      <c r="C8" s="10" t="n">
        <v>14775</v>
      </c>
      <c r="D8" s="11" t="s">
        <v>294</v>
      </c>
      <c r="E8" s="11" t="s">
        <v>5</v>
      </c>
    </row>
    <row r="9" customFormat="false" ht="15" hidden="false" customHeight="false" outlineLevel="0" collapsed="false">
      <c r="B9" s="11" t="s">
        <v>295</v>
      </c>
      <c r="C9" s="10" t="n">
        <v>405053.5</v>
      </c>
      <c r="D9" s="11" t="s">
        <v>294</v>
      </c>
      <c r="E9" s="11" t="s">
        <v>5</v>
      </c>
    </row>
    <row r="10" customFormat="false" ht="15" hidden="false" customHeight="false" outlineLevel="0" collapsed="false">
      <c r="B10" s="11" t="s">
        <v>296</v>
      </c>
      <c r="C10" s="9" t="n">
        <v>27.4147884940778</v>
      </c>
      <c r="D10" s="11" t="s">
        <v>297</v>
      </c>
      <c r="E10" s="11" t="s">
        <v>298</v>
      </c>
    </row>
    <row r="11" customFormat="false" ht="15" hidden="false" customHeight="false" outlineLevel="0" collapsed="false">
      <c r="B11" s="11" t="s">
        <v>299</v>
      </c>
      <c r="C11" s="24" t="n">
        <v>0.138274111675127</v>
      </c>
      <c r="D11" s="11" t="s">
        <v>300</v>
      </c>
      <c r="E11" s="11" t="s">
        <v>298</v>
      </c>
    </row>
    <row r="12" customFormat="false" ht="15" hidden="false" customHeight="false" outlineLevel="0" collapsed="false">
      <c r="B12" s="11" t="s">
        <v>301</v>
      </c>
      <c r="C12" s="24" t="n">
        <v>0.457258883248731</v>
      </c>
      <c r="D12" s="11" t="s">
        <v>302</v>
      </c>
      <c r="E12" s="11" t="s">
        <v>298</v>
      </c>
    </row>
    <row r="13" customFormat="false" ht="15" hidden="false" customHeight="false" outlineLevel="0" collapsed="false">
      <c r="B13" s="11" t="s">
        <v>303</v>
      </c>
      <c r="C13" s="9" t="n">
        <v>60.3092783505155</v>
      </c>
      <c r="D13" s="11" t="s">
        <v>304</v>
      </c>
      <c r="E13" s="11" t="s">
        <v>298</v>
      </c>
    </row>
    <row r="14" customFormat="false" ht="15" hidden="false" customHeight="false" outlineLevel="0" collapsed="false">
      <c r="B14" s="11" t="s">
        <v>305</v>
      </c>
      <c r="C14" s="9" t="n">
        <v>0</v>
      </c>
      <c r="D14" s="11" t="s">
        <v>304</v>
      </c>
      <c r="E14" s="11" t="s">
        <v>298</v>
      </c>
    </row>
    <row r="15" customFormat="false" ht="15" hidden="false" customHeight="false" outlineLevel="0" collapsed="false">
      <c r="B15" s="11" t="s">
        <v>306</v>
      </c>
      <c r="C15" s="10" t="n">
        <v>378.846153846154</v>
      </c>
      <c r="D15" s="11" t="s">
        <v>307</v>
      </c>
      <c r="E15" s="11" t="s">
        <v>298</v>
      </c>
    </row>
    <row r="16" customFormat="false" ht="15" hidden="false" customHeight="false" outlineLevel="0" collapsed="false">
      <c r="B16" s="11" t="s">
        <v>308</v>
      </c>
      <c r="C16" s="10" t="n">
        <v>16.1794871794872</v>
      </c>
      <c r="D16" s="11" t="s">
        <v>309</v>
      </c>
      <c r="E16" s="11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310</v>
      </c>
    </row>
    <row r="3" customFormat="false" ht="21.75" hidden="false" customHeight="true" outlineLevel="0" collapsed="false">
      <c r="B3" s="2" t="s">
        <v>311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288</v>
      </c>
      <c r="C5" s="3" t="s">
        <v>289</v>
      </c>
      <c r="D5" s="3" t="s">
        <v>312</v>
      </c>
      <c r="E5" s="3" t="s">
        <v>313</v>
      </c>
    </row>
    <row r="6" customFormat="false" ht="15" hidden="false" customHeight="false" outlineLevel="0" collapsed="false">
      <c r="B6" s="11" t="s">
        <v>314</v>
      </c>
      <c r="C6" s="9" t="n">
        <v>142.822673434856</v>
      </c>
      <c r="D6" s="11" t="s">
        <v>315</v>
      </c>
    </row>
    <row r="7" customFormat="false" ht="15" hidden="false" customHeight="false" outlineLevel="0" collapsed="false">
      <c r="B7" s="11" t="s">
        <v>316</v>
      </c>
      <c r="C7" s="9" t="n">
        <v>65.7890355329949</v>
      </c>
      <c r="D7" s="11" t="s">
        <v>315</v>
      </c>
    </row>
    <row r="8" customFormat="false" ht="15" hidden="false" customHeight="false" outlineLevel="0" collapsed="false">
      <c r="B8" s="11" t="s">
        <v>317</v>
      </c>
      <c r="C8" s="9" t="n">
        <v>27.3984250423012</v>
      </c>
      <c r="D8" s="11" t="s">
        <v>315</v>
      </c>
      <c r="E8" s="11" t="s">
        <v>318</v>
      </c>
    </row>
    <row r="9" customFormat="false" ht="15" hidden="false" customHeight="false" outlineLevel="0" collapsed="false">
      <c r="B9" s="11" t="s">
        <v>319</v>
      </c>
      <c r="C9" s="9" t="n">
        <v>55.9263</v>
      </c>
      <c r="D9" s="11" t="s">
        <v>315</v>
      </c>
      <c r="E9" s="11" t="s">
        <v>320</v>
      </c>
    </row>
    <row r="10" customFormat="false" ht="15" hidden="false" customHeight="false" outlineLevel="0" collapsed="false">
      <c r="B10" s="11" t="s">
        <v>321</v>
      </c>
      <c r="C10" s="25" t="n">
        <v>1.3421</v>
      </c>
      <c r="D10" s="11" t="s">
        <v>322</v>
      </c>
      <c r="E10" s="11" t="s">
        <v>323</v>
      </c>
    </row>
    <row r="11" customFormat="false" ht="15" hidden="false" customHeight="false" outlineLevel="0" collapsed="false">
      <c r="B11" s="11" t="s">
        <v>324</v>
      </c>
      <c r="C11" s="10" t="n">
        <v>8560.5</v>
      </c>
      <c r="D11" s="11" t="s">
        <v>325</v>
      </c>
    </row>
    <row r="12" customFormat="false" ht="15" hidden="false" customHeight="false" outlineLevel="0" collapsed="false">
      <c r="B12" s="11" t="s">
        <v>326</v>
      </c>
      <c r="C12" s="10" t="n">
        <v>2528.5</v>
      </c>
      <c r="D12" s="11" t="s">
        <v>325</v>
      </c>
    </row>
    <row r="13" customFormat="false" ht="15" hidden="false" customHeight="false" outlineLevel="0" collapsed="false">
      <c r="B13" s="11" t="s">
        <v>327</v>
      </c>
      <c r="C13" s="26" t="n">
        <v>0.588714668867341</v>
      </c>
      <c r="D13" s="11" t="s">
        <v>328</v>
      </c>
    </row>
    <row r="14" customFormat="false" ht="15" hidden="false" customHeight="false" outlineLevel="0" collapsed="false">
      <c r="B14" s="11" t="s">
        <v>329</v>
      </c>
      <c r="C14" s="26" t="n">
        <v>0.460634393340931</v>
      </c>
      <c r="D14" s="11" t="s">
        <v>328</v>
      </c>
    </row>
    <row r="15" customFormat="false" ht="15" hidden="false" customHeight="false" outlineLevel="0" collapsed="false">
      <c r="B15" s="11" t="s">
        <v>330</v>
      </c>
      <c r="C15" s="26" t="n">
        <v>0.191835262450805</v>
      </c>
      <c r="D15" s="11" t="s">
        <v>328</v>
      </c>
    </row>
    <row r="16" customFormat="false" ht="15" hidden="false" customHeight="false" outlineLevel="0" collapsed="false">
      <c r="B16" s="11" t="s">
        <v>331</v>
      </c>
      <c r="C16" s="26" t="n">
        <v>0.235801910240948</v>
      </c>
      <c r="D16" s="11" t="s">
        <v>328</v>
      </c>
    </row>
    <row r="17" customFormat="false" ht="15" hidden="false" customHeight="false" outlineLevel="0" collapsed="false">
      <c r="B17" s="11" t="s">
        <v>332</v>
      </c>
      <c r="C17" s="26" t="n">
        <v>0.539365606659069</v>
      </c>
      <c r="D17" s="11" t="s">
        <v>328</v>
      </c>
      <c r="E17" s="11" t="s">
        <v>333</v>
      </c>
    </row>
    <row r="18" customFormat="false" ht="15" hidden="false" customHeight="false" outlineLevel="0" collapsed="false">
      <c r="B18" s="11" t="s">
        <v>334</v>
      </c>
      <c r="C18" s="9" t="n">
        <v>11284.5187165775</v>
      </c>
      <c r="D18" s="11" t="s">
        <v>335</v>
      </c>
      <c r="E18" s="11" t="s">
        <v>336</v>
      </c>
    </row>
    <row r="19" customFormat="false" ht="15" hidden="false" customHeight="false" outlineLevel="0" collapsed="false">
      <c r="B19" s="11" t="s">
        <v>337</v>
      </c>
      <c r="C19" s="10" t="n">
        <v>79.0106951871658</v>
      </c>
      <c r="D19" s="11" t="s">
        <v>325</v>
      </c>
    </row>
    <row r="20" customFormat="false" ht="15" hidden="false" customHeight="false" outlineLevel="0" collapsed="false">
      <c r="B20" s="11" t="s">
        <v>338</v>
      </c>
      <c r="C20" s="9" t="n">
        <v>2164.76860962567</v>
      </c>
      <c r="D20" s="11" t="s">
        <v>335</v>
      </c>
    </row>
    <row r="21" customFormat="false" ht="15" hidden="false" customHeight="false" outlineLevel="0" collapsed="false">
      <c r="B21" s="11" t="s">
        <v>339</v>
      </c>
      <c r="C21" s="9" t="n">
        <v>2660.91106951872</v>
      </c>
      <c r="D21" s="11" t="s">
        <v>335</v>
      </c>
    </row>
    <row r="22" customFormat="false" ht="15" hidden="false" customHeight="false" outlineLevel="0" collapsed="false">
      <c r="B22" s="11" t="s">
        <v>340</v>
      </c>
      <c r="C22" s="9" t="n">
        <v>6086.48128342246</v>
      </c>
      <c r="D22" s="11" t="s">
        <v>335</v>
      </c>
    </row>
    <row r="23" customFormat="false" ht="15" hidden="false" customHeight="false" outlineLevel="0" collapsed="false">
      <c r="B23" s="11" t="s">
        <v>341</v>
      </c>
      <c r="C23" s="10" t="n">
        <v>45.7780748663102</v>
      </c>
      <c r="D23" s="11" t="s">
        <v>325</v>
      </c>
    </row>
    <row r="24" customFormat="false" ht="15" hidden="false" customHeight="false" outlineLevel="0" collapsed="false">
      <c r="B24" s="11" t="s">
        <v>342</v>
      </c>
      <c r="C24" s="9" t="n">
        <v>1169.7366962306</v>
      </c>
      <c r="D24" s="11" t="s">
        <v>335</v>
      </c>
      <c r="E24" s="11" t="s">
        <v>343</v>
      </c>
    </row>
    <row r="25" customFormat="false" ht="15" hidden="false" customHeight="false" outlineLevel="0" collapsed="false">
      <c r="B25" s="11" t="s">
        <v>344</v>
      </c>
      <c r="C25" s="10" t="n">
        <v>8.19013303769401</v>
      </c>
      <c r="D25" s="11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345</v>
      </c>
    </row>
    <row r="3" customFormat="false" ht="21.75" hidden="false" customHeight="true" outlineLevel="0" collapsed="false">
      <c r="B3" s="2" t="s">
        <v>346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347</v>
      </c>
      <c r="C5" s="3" t="s">
        <v>348</v>
      </c>
      <c r="D5" s="3" t="s">
        <v>349</v>
      </c>
      <c r="E5" s="3" t="s">
        <v>350</v>
      </c>
      <c r="F5" s="3" t="s">
        <v>67</v>
      </c>
      <c r="G5" s="3" t="s">
        <v>80</v>
      </c>
      <c r="H5" s="3" t="s">
        <v>351</v>
      </c>
      <c r="I5" s="3" t="s">
        <v>87</v>
      </c>
    </row>
    <row r="6" customFormat="false" ht="15" hidden="false" customHeight="false" outlineLevel="0" collapsed="false">
      <c r="B6" s="11" t="s">
        <v>352</v>
      </c>
      <c r="C6" s="11" t="s">
        <v>353</v>
      </c>
      <c r="D6" s="11" t="s">
        <v>12</v>
      </c>
      <c r="E6" s="11" t="s">
        <v>354</v>
      </c>
      <c r="F6" s="11" t="s">
        <v>355</v>
      </c>
      <c r="G6" s="11" t="s">
        <v>356</v>
      </c>
      <c r="H6" s="9" t="n">
        <v>1898200</v>
      </c>
      <c r="I6" s="11" t="s">
        <v>20</v>
      </c>
    </row>
    <row r="7" customFormat="false" ht="15" hidden="false" customHeight="false" outlineLevel="0" collapsed="false">
      <c r="B7" s="11" t="s">
        <v>357</v>
      </c>
      <c r="C7" s="11" t="s">
        <v>358</v>
      </c>
      <c r="D7" s="11" t="s">
        <v>12</v>
      </c>
      <c r="E7" s="11" t="s">
        <v>359</v>
      </c>
      <c r="F7" s="11" t="s">
        <v>360</v>
      </c>
      <c r="G7" s="11" t="s">
        <v>361</v>
      </c>
      <c r="H7" s="9" t="n">
        <v>212005</v>
      </c>
      <c r="I7" s="11" t="s">
        <v>5</v>
      </c>
    </row>
    <row r="8" customFormat="false" ht="15" hidden="false" customHeight="false" outlineLevel="0" collapsed="false">
      <c r="B8" s="18" t="s">
        <v>362</v>
      </c>
      <c r="H8" s="20" t="n">
        <f aca="false">SUM(H6:H7)</f>
        <v>2110205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363</v>
      </c>
    </row>
    <row r="3" customFormat="false" ht="21.75" hidden="false" customHeight="true" outlineLevel="0" collapsed="false">
      <c r="B3" s="2" t="s">
        <v>364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365</v>
      </c>
      <c r="C5" s="3" t="s">
        <v>348</v>
      </c>
      <c r="D5" s="3" t="s">
        <v>366</v>
      </c>
      <c r="E5" s="3" t="s">
        <v>367</v>
      </c>
      <c r="F5" s="3" t="s">
        <v>368</v>
      </c>
      <c r="G5" s="3" t="s">
        <v>87</v>
      </c>
    </row>
    <row r="6" customFormat="false" ht="15" hidden="false" customHeight="false" outlineLevel="0" collapsed="false">
      <c r="B6" s="11" t="s">
        <v>369</v>
      </c>
      <c r="C6" s="11" t="s">
        <v>370</v>
      </c>
      <c r="D6" s="27" t="n">
        <v>-245200</v>
      </c>
      <c r="E6" s="27" t="n">
        <v>-12260</v>
      </c>
      <c r="F6" s="22" t="n">
        <v>5</v>
      </c>
      <c r="G6" s="11" t="s">
        <v>5</v>
      </c>
    </row>
    <row r="7" customFormat="false" ht="15" hidden="false" customHeight="false" outlineLevel="0" collapsed="false">
      <c r="B7" s="11" t="s">
        <v>371</v>
      </c>
      <c r="C7" s="11" t="s">
        <v>372</v>
      </c>
      <c r="D7" s="27" t="n">
        <v>-147750</v>
      </c>
      <c r="E7" s="27" t="n">
        <v>-7387.5</v>
      </c>
      <c r="F7" s="22" t="n">
        <v>5</v>
      </c>
      <c r="G7" s="11" t="s">
        <v>5</v>
      </c>
    </row>
    <row r="8" customFormat="false" ht="15" hidden="false" customHeight="false" outlineLevel="0" collapsed="false">
      <c r="B8" s="11" t="s">
        <v>373</v>
      </c>
      <c r="C8" s="11" t="s">
        <v>374</v>
      </c>
      <c r="D8" s="27" t="n">
        <v>-169690</v>
      </c>
      <c r="E8" s="27" t="n">
        <v>-8484.5</v>
      </c>
      <c r="F8" s="22" t="n">
        <v>6</v>
      </c>
      <c r="G8" s="11" t="s">
        <v>5</v>
      </c>
    </row>
    <row r="9" customFormat="false" ht="15" hidden="false" customHeight="false" outlineLevel="0" collapsed="false">
      <c r="B9" s="11" t="s">
        <v>375</v>
      </c>
      <c r="C9" s="11" t="s">
        <v>376</v>
      </c>
      <c r="D9" s="27" t="n">
        <v>-122860</v>
      </c>
      <c r="E9" s="27" t="n">
        <v>-6143</v>
      </c>
      <c r="F9" s="22" t="n">
        <v>4</v>
      </c>
      <c r="G9" s="11" t="s">
        <v>5</v>
      </c>
    </row>
    <row r="10" customFormat="false" ht="15" hidden="false" customHeight="false" outlineLevel="0" collapsed="false">
      <c r="B10" s="11" t="s">
        <v>377</v>
      </c>
      <c r="C10" s="11" t="s">
        <v>378</v>
      </c>
      <c r="D10" s="27" t="n">
        <v>-14000</v>
      </c>
      <c r="E10" s="27" t="n">
        <v>-700</v>
      </c>
      <c r="F10" s="22" t="n">
        <v>1</v>
      </c>
      <c r="G10" s="11" t="s">
        <v>5</v>
      </c>
    </row>
    <row r="11" customFormat="false" ht="15" hidden="false" customHeight="false" outlineLevel="0" collapsed="false">
      <c r="B11" s="11" t="s">
        <v>379</v>
      </c>
      <c r="C11" s="11" t="s">
        <v>380</v>
      </c>
      <c r="D11" s="27" t="n">
        <v>-37212</v>
      </c>
      <c r="E11" s="27" t="n">
        <v>-1860.6</v>
      </c>
      <c r="F11" s="22" t="n">
        <v>7</v>
      </c>
      <c r="G11" s="11" t="s">
        <v>5</v>
      </c>
    </row>
    <row r="12" customFormat="false" ht="15" hidden="false" customHeight="false" outlineLevel="0" collapsed="false">
      <c r="B12" s="11" t="s">
        <v>381</v>
      </c>
      <c r="C12" s="11" t="s">
        <v>382</v>
      </c>
      <c r="D12" s="27" t="n">
        <v>-125540</v>
      </c>
      <c r="E12" s="27" t="n">
        <v>-6277</v>
      </c>
      <c r="F12" s="22" t="n">
        <v>4</v>
      </c>
      <c r="G12" s="11" t="s">
        <v>5</v>
      </c>
    </row>
    <row r="13" customFormat="false" ht="15" hidden="false" customHeight="false" outlineLevel="0" collapsed="false">
      <c r="B13" s="11" t="s">
        <v>383</v>
      </c>
      <c r="C13" s="11" t="s">
        <v>384</v>
      </c>
      <c r="D13" s="27" t="n">
        <v>-17300</v>
      </c>
      <c r="E13" s="27" t="n">
        <v>-865</v>
      </c>
      <c r="F13" s="22" t="n">
        <v>2</v>
      </c>
      <c r="G13" s="11" t="s">
        <v>5</v>
      </c>
    </row>
    <row r="14" customFormat="false" ht="15" hidden="false" customHeight="false" outlineLevel="0" collapsed="false">
      <c r="B14" s="11" t="s">
        <v>124</v>
      </c>
      <c r="C14" s="11" t="s">
        <v>385</v>
      </c>
      <c r="D14" s="27" t="n">
        <v>-24865</v>
      </c>
      <c r="E14" s="27" t="n">
        <v>-1243.25</v>
      </c>
      <c r="F14" s="22" t="n">
        <v>2</v>
      </c>
      <c r="G14" s="11" t="s">
        <v>5</v>
      </c>
    </row>
    <row r="15" customFormat="false" ht="15" hidden="false" customHeight="false" outlineLevel="0" collapsed="false">
      <c r="B15" s="11" t="s">
        <v>386</v>
      </c>
      <c r="C15" s="11" t="s">
        <v>387</v>
      </c>
      <c r="D15" s="27" t="n">
        <v>-43550</v>
      </c>
      <c r="E15" s="27" t="n">
        <v>-2177.5</v>
      </c>
      <c r="F15" s="22" t="n">
        <v>2</v>
      </c>
      <c r="G15" s="11" t="s">
        <v>5</v>
      </c>
    </row>
    <row r="16" customFormat="false" ht="15" hidden="false" customHeight="false" outlineLevel="0" collapsed="false">
      <c r="B16" s="11" t="s">
        <v>388</v>
      </c>
      <c r="C16" s="11" t="s">
        <v>389</v>
      </c>
      <c r="D16" s="27" t="n">
        <v>-221395</v>
      </c>
      <c r="E16" s="27" t="n">
        <v>-11069.75</v>
      </c>
      <c r="F16" s="22" t="n">
        <v>7</v>
      </c>
      <c r="G16" s="11" t="s">
        <v>5</v>
      </c>
    </row>
    <row r="17" customFormat="false" ht="15" hidden="false" customHeight="false" outlineLevel="0" collapsed="false">
      <c r="B17" s="11" t="s">
        <v>390</v>
      </c>
      <c r="C17" s="11" t="s">
        <v>389</v>
      </c>
      <c r="D17" s="27" t="n">
        <v>221395</v>
      </c>
      <c r="E17" s="27" t="n">
        <v>11069.75</v>
      </c>
      <c r="F17" s="22" t="n">
        <v>7</v>
      </c>
      <c r="G17" s="11" t="s">
        <v>5</v>
      </c>
    </row>
    <row r="18" customFormat="false" ht="15" hidden="false" customHeight="false" outlineLevel="0" collapsed="false">
      <c r="B18" s="11" t="s">
        <v>391</v>
      </c>
      <c r="C18" s="11" t="s">
        <v>389</v>
      </c>
      <c r="D18" s="27" t="n">
        <v>-192395</v>
      </c>
      <c r="E18" s="27" t="n">
        <v>-9619.75</v>
      </c>
      <c r="F18" s="22" t="n">
        <v>6</v>
      </c>
      <c r="G18" s="11" t="s">
        <v>5</v>
      </c>
    </row>
    <row r="19" customFormat="false" ht="15" hidden="false" customHeight="false" outlineLevel="0" collapsed="false">
      <c r="B19" s="11" t="s">
        <v>392</v>
      </c>
      <c r="C19" s="11" t="s">
        <v>393</v>
      </c>
      <c r="D19" s="27" t="n">
        <v>-113935</v>
      </c>
      <c r="E19" s="27" t="n">
        <v>-5696.75</v>
      </c>
      <c r="F19" s="22" t="n">
        <v>3</v>
      </c>
      <c r="G19" s="11" t="s">
        <v>5</v>
      </c>
    </row>
    <row r="20" customFormat="false" ht="15" hidden="false" customHeight="false" outlineLevel="0" collapsed="false">
      <c r="B20" s="11" t="s">
        <v>394</v>
      </c>
      <c r="C20" s="11" t="s">
        <v>395</v>
      </c>
      <c r="D20" s="27" t="n">
        <v>-36303</v>
      </c>
      <c r="E20" s="27" t="n">
        <v>-1815.15</v>
      </c>
      <c r="F20" s="22" t="n">
        <v>3</v>
      </c>
      <c r="G20" s="11" t="s">
        <v>5</v>
      </c>
    </row>
    <row r="21" customFormat="false" ht="15" hidden="false" customHeight="false" outlineLevel="0" collapsed="false">
      <c r="B21" s="11" t="s">
        <v>396</v>
      </c>
      <c r="C21" s="11" t="s">
        <v>397</v>
      </c>
      <c r="D21" s="27" t="n">
        <v>-4265</v>
      </c>
      <c r="E21" s="27" t="n">
        <v>-213.25</v>
      </c>
      <c r="F21" s="22" t="n">
        <v>3</v>
      </c>
      <c r="G21" s="11" t="s">
        <v>5</v>
      </c>
    </row>
    <row r="22" customFormat="false" ht="15" hidden="false" customHeight="false" outlineLevel="0" collapsed="false">
      <c r="B22" s="11" t="s">
        <v>398</v>
      </c>
      <c r="C22" s="11" t="s">
        <v>399</v>
      </c>
      <c r="D22" s="27" t="n">
        <v>-143255</v>
      </c>
      <c r="E22" s="27" t="n">
        <v>-7162.75</v>
      </c>
      <c r="F22" s="22" t="n">
        <v>3</v>
      </c>
      <c r="G22" s="11" t="s">
        <v>5</v>
      </c>
    </row>
    <row r="23" customFormat="false" ht="15" hidden="false" customHeight="false" outlineLevel="0" collapsed="false">
      <c r="B23" s="11" t="s">
        <v>400</v>
      </c>
      <c r="C23" s="11" t="s">
        <v>401</v>
      </c>
      <c r="D23" s="27" t="n">
        <v>-212655</v>
      </c>
      <c r="E23" s="27" t="n">
        <v>-10632.75</v>
      </c>
      <c r="F23" s="22" t="n">
        <v>6</v>
      </c>
      <c r="G23" s="11" t="s">
        <v>5</v>
      </c>
    </row>
    <row r="24" customFormat="false" ht="15" hidden="false" customHeight="false" outlineLevel="0" collapsed="false">
      <c r="B24" s="11" t="s">
        <v>402</v>
      </c>
      <c r="C24" s="11" t="s">
        <v>403</v>
      </c>
      <c r="D24" s="27" t="n">
        <v>-399120</v>
      </c>
      <c r="E24" s="27" t="n">
        <v>-19956</v>
      </c>
      <c r="F24" s="22" t="n">
        <v>7</v>
      </c>
      <c r="G24" s="11" t="s">
        <v>5</v>
      </c>
    </row>
    <row r="25" customFormat="false" ht="15" hidden="false" customHeight="false" outlineLevel="0" collapsed="false">
      <c r="B25" s="11" t="s">
        <v>404</v>
      </c>
      <c r="C25" s="11" t="s">
        <v>405</v>
      </c>
      <c r="D25" s="27" t="n">
        <v>-60310</v>
      </c>
      <c r="E25" s="27" t="n">
        <v>-3015.5</v>
      </c>
      <c r="F25" s="22" t="n">
        <v>2</v>
      </c>
      <c r="G25" s="11" t="s">
        <v>5</v>
      </c>
    </row>
    <row r="26" customFormat="false" ht="15" hidden="false" customHeight="false" outlineLevel="0" collapsed="false">
      <c r="B26" s="18" t="s">
        <v>406</v>
      </c>
      <c r="D26" s="16" t="n">
        <f aca="false">SUM(D6:D25)</f>
        <v>-2110205</v>
      </c>
      <c r="E26" s="16" t="n">
        <f aca="false">SUM(E6:E25)</f>
        <v>-105510.25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407</v>
      </c>
    </row>
    <row r="3" customFormat="false" ht="21.75" hidden="false" customHeight="true" outlineLevel="0" collapsed="false">
      <c r="B3" s="2" t="s">
        <v>408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409</v>
      </c>
      <c r="C5" s="3" t="s">
        <v>410</v>
      </c>
      <c r="D5" s="3" t="s">
        <v>411</v>
      </c>
      <c r="E5" s="3" t="s">
        <v>412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413</v>
      </c>
      <c r="D6" s="11" t="s">
        <v>414</v>
      </c>
      <c r="E6" s="13" t="s">
        <v>415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416</v>
      </c>
      <c r="D7" s="11" t="s">
        <v>417</v>
      </c>
      <c r="E7" s="13" t="s">
        <v>415</v>
      </c>
      <c r="F7" s="11" t="s">
        <v>418</v>
      </c>
    </row>
    <row r="8" customFormat="false" ht="15" hidden="false" customHeight="false" outlineLevel="0" collapsed="false">
      <c r="B8" s="11" t="n">
        <v>3</v>
      </c>
      <c r="C8" s="11" t="s">
        <v>419</v>
      </c>
      <c r="D8" s="11" t="s">
        <v>420</v>
      </c>
      <c r="E8" s="13" t="s">
        <v>415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421</v>
      </c>
      <c r="D9" s="11" t="s">
        <v>422</v>
      </c>
      <c r="E9" s="13" t="s">
        <v>415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423</v>
      </c>
      <c r="D10" s="11" t="s">
        <v>424</v>
      </c>
      <c r="E10" s="13" t="s">
        <v>415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425</v>
      </c>
      <c r="D11" s="11" t="s">
        <v>426</v>
      </c>
      <c r="E11" s="13" t="s">
        <v>415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427</v>
      </c>
      <c r="D12" s="11" t="s">
        <v>428</v>
      </c>
      <c r="E12" s="13" t="s">
        <v>415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429</v>
      </c>
      <c r="D13" s="11" t="s">
        <v>430</v>
      </c>
      <c r="E13" s="13" t="s">
        <v>415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431</v>
      </c>
      <c r="D14" s="11" t="s">
        <v>432</v>
      </c>
      <c r="E14" s="13" t="s">
        <v>415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433</v>
      </c>
      <c r="D15" s="11" t="s">
        <v>434</v>
      </c>
      <c r="E15" s="13" t="s">
        <v>415</v>
      </c>
      <c r="F15" s="11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436</v>
      </c>
    </row>
    <row r="3" customFormat="false" ht="21.75" hidden="false" customHeight="true" outlineLevel="0" collapsed="false">
      <c r="B3" s="2" t="s">
        <v>437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438</v>
      </c>
      <c r="C5" s="3" t="s">
        <v>439</v>
      </c>
      <c r="D5" s="3" t="s">
        <v>289</v>
      </c>
      <c r="E5" s="3" t="s">
        <v>141</v>
      </c>
      <c r="F5" s="3" t="s">
        <v>290</v>
      </c>
      <c r="G5" s="3" t="s">
        <v>412</v>
      </c>
      <c r="H5" s="3" t="s">
        <v>440</v>
      </c>
    </row>
    <row r="6" customFormat="false" ht="15" hidden="false" customHeight="false" outlineLevel="0" collapsed="false">
      <c r="B6" s="11" t="s">
        <v>441</v>
      </c>
      <c r="C6" s="11" t="s">
        <v>442</v>
      </c>
      <c r="D6" s="11" t="s">
        <v>4</v>
      </c>
      <c r="E6" s="11" t="s">
        <v>443</v>
      </c>
      <c r="F6" s="11" t="s">
        <v>444</v>
      </c>
      <c r="G6" s="13" t="s">
        <v>415</v>
      </c>
      <c r="H6" s="11" t="s">
        <v>5</v>
      </c>
    </row>
    <row r="7" customFormat="false" ht="15" hidden="false" customHeight="false" outlineLevel="0" collapsed="false">
      <c r="B7" s="11" t="s">
        <v>445</v>
      </c>
      <c r="C7" s="11" t="s">
        <v>446</v>
      </c>
      <c r="D7" s="11" t="s">
        <v>447</v>
      </c>
      <c r="E7" s="11" t="s">
        <v>443</v>
      </c>
      <c r="F7" s="11"/>
      <c r="G7" s="13" t="s">
        <v>415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448</v>
      </c>
      <c r="D8" s="11" t="s">
        <v>12</v>
      </c>
      <c r="E8" s="11" t="s">
        <v>443</v>
      </c>
      <c r="F8" s="11"/>
      <c r="G8" s="13" t="s">
        <v>415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449</v>
      </c>
      <c r="D9" s="11" t="s">
        <v>17</v>
      </c>
      <c r="E9" s="11" t="s">
        <v>443</v>
      </c>
      <c r="F9" s="11"/>
      <c r="G9" s="13" t="s">
        <v>415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450</v>
      </c>
      <c r="D10" s="11" t="s">
        <v>35</v>
      </c>
      <c r="E10" s="11" t="s">
        <v>443</v>
      </c>
      <c r="F10" s="11"/>
      <c r="G10" s="13" t="s">
        <v>415</v>
      </c>
      <c r="H10" s="11" t="s">
        <v>36</v>
      </c>
    </row>
    <row r="11" customFormat="false" ht="15" hidden="false" customHeight="false" outlineLevel="0" collapsed="false">
      <c r="B11" s="11" t="s">
        <v>451</v>
      </c>
      <c r="C11" s="11" t="s">
        <v>452</v>
      </c>
      <c r="D11" s="11" t="s">
        <v>28</v>
      </c>
      <c r="E11" s="11" t="s">
        <v>443</v>
      </c>
      <c r="F11" s="11"/>
      <c r="G11" s="13" t="s">
        <v>415</v>
      </c>
      <c r="H11" s="11" t="s">
        <v>13</v>
      </c>
    </row>
    <row r="12" customFormat="false" ht="15" hidden="false" customHeight="false" outlineLevel="0" collapsed="false">
      <c r="B12" s="11" t="s">
        <v>453</v>
      </c>
      <c r="C12" s="11" t="s">
        <v>454</v>
      </c>
      <c r="D12" s="11" t="s">
        <v>455</v>
      </c>
      <c r="E12" s="11" t="s">
        <v>443</v>
      </c>
      <c r="F12" s="11"/>
      <c r="G12" s="13" t="s">
        <v>415</v>
      </c>
      <c r="H12" s="11" t="s">
        <v>456</v>
      </c>
    </row>
    <row r="13" customFormat="false" ht="15" hidden="false" customHeight="false" outlineLevel="0" collapsed="false">
      <c r="B13" s="11" t="s">
        <v>457</v>
      </c>
      <c r="C13" s="11" t="s">
        <v>458</v>
      </c>
      <c r="D13" s="11" t="s">
        <v>30</v>
      </c>
      <c r="E13" s="11" t="s">
        <v>443</v>
      </c>
      <c r="F13" s="11"/>
      <c r="G13" s="13" t="s">
        <v>415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459</v>
      </c>
      <c r="D14" s="11" t="s">
        <v>19</v>
      </c>
      <c r="E14" s="11" t="s">
        <v>443</v>
      </c>
      <c r="F14" s="11"/>
      <c r="G14" s="13" t="s">
        <v>415</v>
      </c>
      <c r="H14" s="11" t="s">
        <v>20</v>
      </c>
    </row>
    <row r="15" customFormat="false" ht="15" hidden="false" customHeight="false" outlineLevel="0" collapsed="false">
      <c r="B15" s="11" t="s">
        <v>460</v>
      </c>
      <c r="C15" s="11" t="s">
        <v>461</v>
      </c>
      <c r="D15" s="11" t="s">
        <v>22</v>
      </c>
      <c r="E15" s="11" t="s">
        <v>443</v>
      </c>
      <c r="F15" s="11"/>
      <c r="G15" s="13" t="s">
        <v>415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462</v>
      </c>
      <c r="D16" s="11" t="s">
        <v>26</v>
      </c>
      <c r="E16" s="11" t="s">
        <v>443</v>
      </c>
      <c r="F16" s="11"/>
      <c r="G16" s="13" t="s">
        <v>415</v>
      </c>
      <c r="H16" s="11" t="s">
        <v>20</v>
      </c>
    </row>
    <row r="17" customFormat="false" ht="15" hidden="false" customHeight="false" outlineLevel="0" collapsed="false">
      <c r="B17" s="11" t="s">
        <v>463</v>
      </c>
      <c r="C17" s="11" t="s">
        <v>464</v>
      </c>
      <c r="D17" s="11" t="s">
        <v>353</v>
      </c>
      <c r="E17" s="11" t="s">
        <v>443</v>
      </c>
      <c r="F17" s="11"/>
      <c r="G17" s="13" t="s">
        <v>415</v>
      </c>
      <c r="H17" s="11" t="s">
        <v>20</v>
      </c>
    </row>
    <row r="18" customFormat="false" ht="15" hidden="false" customHeight="false" outlineLevel="0" collapsed="false">
      <c r="B18" s="11" t="s">
        <v>465</v>
      </c>
      <c r="C18" s="11" t="s">
        <v>466</v>
      </c>
      <c r="D18" s="11" t="s">
        <v>467</v>
      </c>
      <c r="E18" s="11" t="s">
        <v>443</v>
      </c>
      <c r="F18" s="11"/>
      <c r="G18" s="13" t="s">
        <v>415</v>
      </c>
      <c r="H18" s="11" t="s">
        <v>5</v>
      </c>
    </row>
    <row r="19" customFormat="false" ht="15" hidden="false" customHeight="false" outlineLevel="0" collapsed="false">
      <c r="B19" s="11" t="s">
        <v>468</v>
      </c>
      <c r="C19" s="11" t="s">
        <v>469</v>
      </c>
      <c r="D19" s="11" t="s">
        <v>470</v>
      </c>
      <c r="E19" s="11" t="s">
        <v>443</v>
      </c>
      <c r="F19" s="11"/>
      <c r="G19" s="13" t="s">
        <v>415</v>
      </c>
      <c r="H19" s="11" t="s">
        <v>5</v>
      </c>
    </row>
    <row r="20" customFormat="false" ht="15" hidden="false" customHeight="false" outlineLevel="0" collapsed="false">
      <c r="B20" s="11" t="s">
        <v>471</v>
      </c>
      <c r="C20" s="11" t="s">
        <v>472</v>
      </c>
      <c r="D20" s="22" t="n">
        <v>27</v>
      </c>
      <c r="E20" s="11" t="s">
        <v>443</v>
      </c>
      <c r="F20" s="11"/>
      <c r="G20" s="13" t="s">
        <v>415</v>
      </c>
      <c r="H20" s="11" t="s">
        <v>298</v>
      </c>
    </row>
    <row r="21" customFormat="false" ht="15" hidden="false" customHeight="false" outlineLevel="0" collapsed="false">
      <c r="B21" s="11" t="s">
        <v>39</v>
      </c>
      <c r="C21" s="11" t="s">
        <v>473</v>
      </c>
      <c r="D21" s="22" t="n">
        <v>187</v>
      </c>
      <c r="E21" s="11" t="s">
        <v>443</v>
      </c>
      <c r="F21" s="11" t="s">
        <v>474</v>
      </c>
      <c r="G21" s="13" t="s">
        <v>415</v>
      </c>
      <c r="H21" s="11" t="s">
        <v>475</v>
      </c>
    </row>
    <row r="22" customFormat="false" ht="15" hidden="false" customHeight="false" outlineLevel="0" collapsed="false">
      <c r="B22" s="11" t="s">
        <v>476</v>
      </c>
      <c r="C22" s="11" t="s">
        <v>477</v>
      </c>
      <c r="D22" s="22" t="n">
        <v>1804</v>
      </c>
      <c r="E22" s="11" t="s">
        <v>443</v>
      </c>
      <c r="F22" s="11" t="s">
        <v>478</v>
      </c>
      <c r="G22" s="13" t="s">
        <v>415</v>
      </c>
      <c r="H22" s="11" t="s">
        <v>475</v>
      </c>
    </row>
    <row r="23" customFormat="false" ht="15" hidden="false" customHeight="false" outlineLevel="0" collapsed="false">
      <c r="B23" s="11" t="s">
        <v>479</v>
      </c>
      <c r="C23" s="11" t="s">
        <v>480</v>
      </c>
      <c r="D23" s="9" t="n">
        <v>1898200</v>
      </c>
      <c r="E23" s="11" t="s">
        <v>481</v>
      </c>
      <c r="F23" s="11"/>
      <c r="G23" s="13" t="s">
        <v>415</v>
      </c>
      <c r="H23" s="11" t="s">
        <v>13</v>
      </c>
    </row>
    <row r="24" customFormat="false" ht="15" hidden="false" customHeight="false" outlineLevel="0" collapsed="false">
      <c r="B24" s="11" t="s">
        <v>482</v>
      </c>
      <c r="C24" s="11" t="s">
        <v>483</v>
      </c>
      <c r="D24" s="9" t="n">
        <v>2110205</v>
      </c>
      <c r="E24" s="11" t="s">
        <v>481</v>
      </c>
      <c r="F24" s="11"/>
      <c r="G24" s="13" t="s">
        <v>415</v>
      </c>
      <c r="H24" s="11" t="s">
        <v>13</v>
      </c>
    </row>
    <row r="25" customFormat="false" ht="15" hidden="false" customHeight="false" outlineLevel="0" collapsed="false">
      <c r="B25" s="11" t="s">
        <v>484</v>
      </c>
      <c r="C25" s="11" t="s">
        <v>485</v>
      </c>
      <c r="D25" s="9" t="n">
        <v>212005</v>
      </c>
      <c r="E25" s="11" t="s">
        <v>481</v>
      </c>
      <c r="F25" s="11" t="s">
        <v>486</v>
      </c>
      <c r="G25" s="13" t="s">
        <v>415</v>
      </c>
      <c r="H25" s="11" t="s">
        <v>418</v>
      </c>
    </row>
    <row r="26" customFormat="false" ht="15" hidden="false" customHeight="false" outlineLevel="0" collapsed="false">
      <c r="B26" s="11" t="s">
        <v>487</v>
      </c>
      <c r="C26" s="11" t="s">
        <v>488</v>
      </c>
      <c r="D26" s="26" t="n">
        <v>0.111687388051839</v>
      </c>
      <c r="E26" s="11" t="s">
        <v>481</v>
      </c>
      <c r="F26" s="11"/>
      <c r="G26" s="13" t="s">
        <v>415</v>
      </c>
      <c r="H26" s="11" t="s">
        <v>298</v>
      </c>
    </row>
    <row r="27" customFormat="false" ht="15" hidden="false" customHeight="false" outlineLevel="0" collapsed="false">
      <c r="B27" s="11" t="s">
        <v>489</v>
      </c>
      <c r="C27" s="11" t="s">
        <v>490</v>
      </c>
      <c r="D27" s="9" t="n">
        <v>2110205</v>
      </c>
      <c r="E27" s="11" t="s">
        <v>481</v>
      </c>
      <c r="F27" s="11" t="s">
        <v>491</v>
      </c>
      <c r="G27" s="13" t="s">
        <v>415</v>
      </c>
      <c r="H27" s="11" t="s">
        <v>5</v>
      </c>
    </row>
    <row r="28" customFormat="false" ht="15" hidden="false" customHeight="false" outlineLevel="0" collapsed="false">
      <c r="B28" s="11" t="s">
        <v>492</v>
      </c>
      <c r="C28" s="11" t="s">
        <v>493</v>
      </c>
      <c r="D28" s="9" t="n">
        <v>1138172</v>
      </c>
      <c r="E28" s="11" t="s">
        <v>481</v>
      </c>
      <c r="F28" s="11" t="s">
        <v>494</v>
      </c>
      <c r="G28" s="13" t="s">
        <v>415</v>
      </c>
      <c r="H28" s="11" t="s">
        <v>5</v>
      </c>
    </row>
    <row r="29" customFormat="false" ht="15" hidden="false" customHeight="false" outlineLevel="0" collapsed="false">
      <c r="B29" s="11" t="s">
        <v>495</v>
      </c>
      <c r="C29" s="11" t="s">
        <v>496</v>
      </c>
      <c r="D29" s="9" t="n">
        <v>972033</v>
      </c>
      <c r="E29" s="11" t="s">
        <v>481</v>
      </c>
      <c r="F29" s="11" t="s">
        <v>497</v>
      </c>
      <c r="G29" s="13" t="s">
        <v>415</v>
      </c>
      <c r="H29" s="11" t="s">
        <v>5</v>
      </c>
    </row>
    <row r="30" customFormat="false" ht="15" hidden="false" customHeight="false" outlineLevel="0" collapsed="false">
      <c r="B30" s="11" t="s">
        <v>329</v>
      </c>
      <c r="C30" s="11" t="s">
        <v>498</v>
      </c>
      <c r="D30" s="26" t="n">
        <v>0.460634393340931</v>
      </c>
      <c r="E30" s="11" t="s">
        <v>481</v>
      </c>
      <c r="F30" s="11"/>
      <c r="G30" s="13" t="s">
        <v>415</v>
      </c>
      <c r="H30" s="11" t="s">
        <v>298</v>
      </c>
    </row>
    <row r="31" customFormat="false" ht="15" hidden="false" customHeight="false" outlineLevel="0" collapsed="false">
      <c r="B31" s="11" t="s">
        <v>499</v>
      </c>
      <c r="C31" s="11" t="s">
        <v>500</v>
      </c>
      <c r="D31" s="9" t="n">
        <v>105510.25</v>
      </c>
      <c r="E31" s="11" t="s">
        <v>481</v>
      </c>
      <c r="F31" s="11" t="s">
        <v>501</v>
      </c>
      <c r="G31" s="13" t="s">
        <v>415</v>
      </c>
      <c r="H31" s="11" t="s">
        <v>5</v>
      </c>
    </row>
    <row r="32" customFormat="false" ht="15" hidden="false" customHeight="false" outlineLevel="0" collapsed="false">
      <c r="B32" s="11" t="s">
        <v>502</v>
      </c>
      <c r="C32" s="11" t="s">
        <v>503</v>
      </c>
      <c r="D32" s="26" t="n">
        <v>0.05</v>
      </c>
      <c r="E32" s="11" t="s">
        <v>481</v>
      </c>
      <c r="F32" s="11"/>
      <c r="G32" s="13" t="s">
        <v>415</v>
      </c>
      <c r="H32" s="11" t="s">
        <v>298</v>
      </c>
    </row>
    <row r="33" customFormat="false" ht="15" hidden="false" customHeight="false" outlineLevel="0" collapsed="false">
      <c r="B33" s="11" t="s">
        <v>504</v>
      </c>
      <c r="C33" s="11" t="s">
        <v>505</v>
      </c>
      <c r="D33" s="9" t="n">
        <v>404811.73</v>
      </c>
      <c r="E33" s="11" t="s">
        <v>146</v>
      </c>
      <c r="F33" s="11" t="s">
        <v>506</v>
      </c>
      <c r="G33" s="13" t="s">
        <v>415</v>
      </c>
      <c r="H33" s="11" t="s">
        <v>5</v>
      </c>
    </row>
    <row r="34" customFormat="false" ht="15" hidden="false" customHeight="false" outlineLevel="0" collapsed="false">
      <c r="B34" s="11" t="s">
        <v>507</v>
      </c>
      <c r="C34" s="11" t="s">
        <v>508</v>
      </c>
      <c r="D34" s="9" t="n">
        <v>497590.37</v>
      </c>
      <c r="E34" s="11" t="s">
        <v>148</v>
      </c>
      <c r="F34" s="11" t="s">
        <v>509</v>
      </c>
      <c r="G34" s="13" t="s">
        <v>415</v>
      </c>
      <c r="H34" s="11" t="s">
        <v>5</v>
      </c>
    </row>
    <row r="35" customFormat="false" ht="15" hidden="false" customHeight="false" outlineLevel="0" collapsed="false">
      <c r="B35" s="11" t="s">
        <v>510</v>
      </c>
      <c r="C35" s="11" t="s">
        <v>511</v>
      </c>
      <c r="D35" s="9" t="n">
        <v>25141.3</v>
      </c>
      <c r="E35" s="11" t="s">
        <v>481</v>
      </c>
      <c r="F35" s="11" t="s">
        <v>512</v>
      </c>
      <c r="G35" s="13" t="s">
        <v>415</v>
      </c>
      <c r="H35" s="11" t="s">
        <v>5</v>
      </c>
    </row>
    <row r="36" customFormat="false" ht="15" hidden="false" customHeight="false" outlineLevel="0" collapsed="false">
      <c r="B36" s="11" t="s">
        <v>513</v>
      </c>
      <c r="C36" s="11" t="s">
        <v>514</v>
      </c>
      <c r="D36" s="9" t="n">
        <v>179641.55</v>
      </c>
      <c r="E36" s="11" t="s">
        <v>146</v>
      </c>
      <c r="F36" s="11" t="s">
        <v>515</v>
      </c>
      <c r="G36" s="13" t="s">
        <v>415</v>
      </c>
      <c r="H36" s="11" t="s">
        <v>5</v>
      </c>
    </row>
    <row r="37" customFormat="false" ht="15" hidden="false" customHeight="false" outlineLevel="0" collapsed="false">
      <c r="B37" s="11" t="s">
        <v>516</v>
      </c>
      <c r="C37" s="11" t="s">
        <v>517</v>
      </c>
      <c r="D37" s="9" t="n">
        <v>30987.05</v>
      </c>
      <c r="E37" s="11" t="s">
        <v>146</v>
      </c>
      <c r="F37" s="11" t="s">
        <v>518</v>
      </c>
      <c r="G37" s="13" t="s">
        <v>415</v>
      </c>
      <c r="H37" s="11" t="s">
        <v>5</v>
      </c>
    </row>
    <row r="38" customFormat="false" ht="15" hidden="false" customHeight="false" outlineLevel="0" collapsed="false">
      <c r="B38" s="11" t="s">
        <v>293</v>
      </c>
      <c r="C38" s="11" t="s">
        <v>519</v>
      </c>
      <c r="D38" s="10" t="n">
        <v>14775</v>
      </c>
      <c r="E38" s="11" t="s">
        <v>146</v>
      </c>
      <c r="F38" s="11" t="s">
        <v>520</v>
      </c>
      <c r="G38" s="13" t="s">
        <v>415</v>
      </c>
      <c r="H38" s="11" t="s">
        <v>5</v>
      </c>
    </row>
    <row r="39" customFormat="false" ht="15" hidden="false" customHeight="false" outlineLevel="0" collapsed="false">
      <c r="B39" s="11" t="s">
        <v>291</v>
      </c>
      <c r="C39" s="11" t="s">
        <v>521</v>
      </c>
      <c r="D39" s="22" t="n">
        <v>39</v>
      </c>
      <c r="E39" s="11" t="s">
        <v>146</v>
      </c>
      <c r="F39" s="11" t="s">
        <v>522</v>
      </c>
      <c r="G39" s="13" t="s">
        <v>415</v>
      </c>
      <c r="H39" s="11" t="s">
        <v>5</v>
      </c>
    </row>
    <row r="40" customFormat="false" ht="15" hidden="false" customHeight="false" outlineLevel="0" collapsed="false">
      <c r="B40" s="11" t="s">
        <v>523</v>
      </c>
      <c r="C40" s="11" t="s">
        <v>524</v>
      </c>
      <c r="D40" s="9" t="n">
        <v>27.3984250423012</v>
      </c>
      <c r="E40" s="11" t="s">
        <v>146</v>
      </c>
      <c r="F40" s="11"/>
      <c r="G40" s="13" t="s">
        <v>415</v>
      </c>
      <c r="H40" s="11" t="s">
        <v>298</v>
      </c>
    </row>
    <row r="41" customFormat="false" ht="15" hidden="false" customHeight="false" outlineLevel="0" collapsed="false">
      <c r="B41" s="11" t="s">
        <v>525</v>
      </c>
      <c r="C41" s="11" t="s">
        <v>526</v>
      </c>
      <c r="D41" s="9" t="n">
        <v>55.9263</v>
      </c>
      <c r="E41" s="11" t="s">
        <v>146</v>
      </c>
      <c r="F41" s="11"/>
      <c r="G41" s="13" t="s">
        <v>415</v>
      </c>
      <c r="H41" s="11" t="s">
        <v>298</v>
      </c>
    </row>
    <row r="42" customFormat="false" ht="15" hidden="false" customHeight="false" outlineLevel="0" collapsed="false">
      <c r="B42" s="11" t="s">
        <v>321</v>
      </c>
      <c r="C42" s="11" t="s">
        <v>527</v>
      </c>
      <c r="D42" s="25" t="n">
        <v>1.3421</v>
      </c>
      <c r="E42" s="11" t="s">
        <v>146</v>
      </c>
      <c r="F42" s="11"/>
      <c r="G42" s="13" t="s">
        <v>415</v>
      </c>
      <c r="H42" s="11" t="s">
        <v>298</v>
      </c>
    </row>
    <row r="43" customFormat="false" ht="15" hidden="false" customHeight="false" outlineLevel="0" collapsed="false">
      <c r="B43" s="11" t="s">
        <v>528</v>
      </c>
      <c r="C43" s="11" t="s">
        <v>529</v>
      </c>
      <c r="D43" s="10" t="n">
        <v>8560.5</v>
      </c>
      <c r="E43" s="11" t="s">
        <v>146</v>
      </c>
      <c r="F43" s="11" t="s">
        <v>530</v>
      </c>
      <c r="G43" s="13" t="s">
        <v>415</v>
      </c>
      <c r="H43" s="11" t="s">
        <v>5</v>
      </c>
    </row>
    <row r="44" customFormat="false" ht="15" hidden="false" customHeight="false" outlineLevel="0" collapsed="false">
      <c r="B44" s="11" t="s">
        <v>531</v>
      </c>
      <c r="C44" s="11" t="s">
        <v>532</v>
      </c>
      <c r="D44" s="10" t="n">
        <v>2528.5</v>
      </c>
      <c r="E44" s="11" t="s">
        <v>146</v>
      </c>
      <c r="F44" s="11" t="s">
        <v>533</v>
      </c>
      <c r="G44" s="13" t="s">
        <v>415</v>
      </c>
      <c r="H44" s="11" t="s">
        <v>5</v>
      </c>
    </row>
    <row r="45" customFormat="false" ht="15" hidden="false" customHeight="false" outlineLevel="0" collapsed="false">
      <c r="B45" s="11" t="s">
        <v>534</v>
      </c>
      <c r="C45" s="11" t="s">
        <v>535</v>
      </c>
      <c r="D45" s="9" t="n">
        <v>142.822673434856</v>
      </c>
      <c r="E45" s="11" t="s">
        <v>536</v>
      </c>
      <c r="F45" s="11"/>
      <c r="G45" s="13" t="s">
        <v>415</v>
      </c>
      <c r="H45" s="11" t="s">
        <v>298</v>
      </c>
    </row>
    <row r="46" customFormat="false" ht="15" hidden="false" customHeight="false" outlineLevel="0" collapsed="false">
      <c r="B46" s="11" t="s">
        <v>537</v>
      </c>
      <c r="C46" s="11" t="s">
        <v>538</v>
      </c>
      <c r="D46" s="9" t="n">
        <v>65.7890355329949</v>
      </c>
      <c r="E46" s="11" t="s">
        <v>536</v>
      </c>
      <c r="F46" s="11"/>
      <c r="G46" s="13" t="s">
        <v>415</v>
      </c>
      <c r="H46" s="11" t="s">
        <v>298</v>
      </c>
    </row>
    <row r="47" customFormat="false" ht="15" hidden="false" customHeight="false" outlineLevel="0" collapsed="false">
      <c r="B47" s="11" t="s">
        <v>539</v>
      </c>
      <c r="C47" s="11" t="s">
        <v>540</v>
      </c>
      <c r="D47" s="9" t="n">
        <v>11284.5187165775</v>
      </c>
      <c r="E47" s="11" t="s">
        <v>536</v>
      </c>
      <c r="F47" s="11" t="s">
        <v>336</v>
      </c>
      <c r="G47" s="13" t="s">
        <v>415</v>
      </c>
      <c r="H47" s="11" t="s">
        <v>298</v>
      </c>
    </row>
    <row r="48" customFormat="false" ht="15" hidden="false" customHeight="false" outlineLevel="0" collapsed="false">
      <c r="B48" s="11" t="s">
        <v>340</v>
      </c>
      <c r="C48" s="11" t="s">
        <v>541</v>
      </c>
      <c r="D48" s="9" t="n">
        <v>6086.48128342246</v>
      </c>
      <c r="E48" s="11" t="s">
        <v>536</v>
      </c>
      <c r="F48" s="11"/>
      <c r="G48" s="13" t="s">
        <v>415</v>
      </c>
      <c r="H48" s="11" t="s">
        <v>298</v>
      </c>
    </row>
    <row r="49" customFormat="false" ht="15" hidden="false" customHeight="false" outlineLevel="0" collapsed="false">
      <c r="B49" s="11" t="s">
        <v>542</v>
      </c>
      <c r="C49" s="11" t="s">
        <v>543</v>
      </c>
      <c r="D49" s="10" t="n">
        <v>79.0106951871658</v>
      </c>
      <c r="E49" s="11" t="s">
        <v>536</v>
      </c>
      <c r="F49" s="11"/>
      <c r="G49" s="13" t="s">
        <v>415</v>
      </c>
      <c r="H49" s="11" t="s">
        <v>298</v>
      </c>
    </row>
    <row r="50" customFormat="false" ht="15" hidden="false" customHeight="false" outlineLevel="0" collapsed="false">
      <c r="B50" s="11" t="s">
        <v>342</v>
      </c>
      <c r="C50" s="11" t="s">
        <v>544</v>
      </c>
      <c r="D50" s="9" t="n">
        <v>1169.7366962306</v>
      </c>
      <c r="E50" s="11" t="s">
        <v>536</v>
      </c>
      <c r="F50" s="11" t="s">
        <v>343</v>
      </c>
      <c r="G50" s="13" t="s">
        <v>415</v>
      </c>
      <c r="H50" s="11" t="s">
        <v>298</v>
      </c>
    </row>
    <row r="51" customFormat="false" ht="15" hidden="false" customHeight="false" outlineLevel="0" collapsed="false">
      <c r="B51" s="11" t="s">
        <v>330</v>
      </c>
      <c r="C51" s="11" t="s">
        <v>545</v>
      </c>
      <c r="D51" s="26" t="n">
        <v>0.191835262450805</v>
      </c>
      <c r="E51" s="11" t="s">
        <v>546</v>
      </c>
      <c r="F51" s="11"/>
      <c r="G51" s="13" t="s">
        <v>415</v>
      </c>
      <c r="H51" s="11" t="s">
        <v>298</v>
      </c>
    </row>
    <row r="52" customFormat="false" ht="15" hidden="false" customHeight="false" outlineLevel="0" collapsed="false">
      <c r="B52" s="11" t="s">
        <v>331</v>
      </c>
      <c r="C52" s="11" t="s">
        <v>547</v>
      </c>
      <c r="D52" s="26" t="n">
        <v>0.235801910240948</v>
      </c>
      <c r="E52" s="11" t="s">
        <v>546</v>
      </c>
      <c r="F52" s="11"/>
      <c r="G52" s="13" t="s">
        <v>415</v>
      </c>
      <c r="H52" s="11" t="s">
        <v>298</v>
      </c>
    </row>
    <row r="53" customFormat="false" ht="15" hidden="false" customHeight="false" outlineLevel="0" collapsed="false">
      <c r="B53" s="11" t="s">
        <v>548</v>
      </c>
      <c r="C53" s="11" t="s">
        <v>549</v>
      </c>
      <c r="D53" s="22" t="n">
        <v>17</v>
      </c>
      <c r="E53" s="11" t="s">
        <v>148</v>
      </c>
      <c r="F53" s="11"/>
      <c r="G53" s="13" t="s">
        <v>415</v>
      </c>
      <c r="H53" s="11" t="s">
        <v>5</v>
      </c>
    </row>
    <row r="54" customFormat="false" ht="15" hidden="false" customHeight="false" outlineLevel="0" collapsed="false">
      <c r="B54" s="11" t="s">
        <v>550</v>
      </c>
      <c r="C54" s="11" t="s">
        <v>551</v>
      </c>
      <c r="D54" s="22" t="n">
        <v>20</v>
      </c>
      <c r="E54" s="11" t="s">
        <v>552</v>
      </c>
      <c r="F54" s="11"/>
      <c r="G54" s="13" t="s">
        <v>415</v>
      </c>
      <c r="H54" s="11" t="s">
        <v>5</v>
      </c>
    </row>
    <row r="55" customFormat="false" ht="15" hidden="false" customHeight="false" outlineLevel="0" collapsed="false">
      <c r="B55" s="11" t="s">
        <v>553</v>
      </c>
      <c r="C55" s="11" t="s">
        <v>554</v>
      </c>
      <c r="D55" s="26" t="n">
        <v>0.138274111675127</v>
      </c>
      <c r="E55" s="11" t="s">
        <v>555</v>
      </c>
      <c r="F55" s="11"/>
      <c r="G55" s="13" t="s">
        <v>415</v>
      </c>
      <c r="H55" s="11" t="s">
        <v>298</v>
      </c>
    </row>
    <row r="56" customFormat="false" ht="15" hidden="false" customHeight="false" outlineLevel="0" collapsed="false">
      <c r="B56" s="11" t="s">
        <v>556</v>
      </c>
      <c r="C56" s="11" t="s">
        <v>557</v>
      </c>
      <c r="D56" s="26" t="n">
        <v>0.457258883248731</v>
      </c>
      <c r="E56" s="11" t="s">
        <v>555</v>
      </c>
      <c r="F56" s="11"/>
      <c r="G56" s="13" t="s">
        <v>415</v>
      </c>
      <c r="H56" s="11" t="s">
        <v>298</v>
      </c>
    </row>
    <row r="57" customFormat="false" ht="15" hidden="false" customHeight="false" outlineLevel="0" collapsed="false">
      <c r="B57" s="11" t="s">
        <v>558</v>
      </c>
      <c r="C57" s="11" t="s">
        <v>559</v>
      </c>
      <c r="D57" s="22" t="n">
        <v>25</v>
      </c>
      <c r="E57" s="11" t="s">
        <v>560</v>
      </c>
      <c r="F57" s="11"/>
      <c r="G57" s="13" t="s">
        <v>415</v>
      </c>
      <c r="H57" s="11" t="s">
        <v>5</v>
      </c>
    </row>
    <row r="58" customFormat="false" ht="15" hidden="false" customHeight="false" outlineLevel="0" collapsed="false">
      <c r="B58" s="11" t="s">
        <v>561</v>
      </c>
      <c r="C58" s="11" t="s">
        <v>562</v>
      </c>
      <c r="D58" s="22" t="n">
        <v>7</v>
      </c>
      <c r="E58" s="11" t="s">
        <v>563</v>
      </c>
      <c r="F58" s="11"/>
      <c r="G58" s="13" t="s">
        <v>415</v>
      </c>
      <c r="H58" s="11" t="s">
        <v>564</v>
      </c>
    </row>
    <row r="59" customFormat="false" ht="15" hidden="false" customHeight="false" outlineLevel="0" collapsed="false">
      <c r="B59" s="11" t="s">
        <v>565</v>
      </c>
      <c r="C59" s="11" t="s">
        <v>566</v>
      </c>
      <c r="D59" s="22" t="n">
        <v>8</v>
      </c>
      <c r="E59" s="11" t="s">
        <v>563</v>
      </c>
      <c r="F59" s="11"/>
      <c r="G59" s="13" t="s">
        <v>415</v>
      </c>
      <c r="H59" s="11" t="s">
        <v>567</v>
      </c>
    </row>
    <row r="60" customFormat="false" ht="15" hidden="false" customHeight="false" outlineLevel="0" collapsed="false">
      <c r="B60" s="11" t="s">
        <v>568</v>
      </c>
      <c r="C60" s="11" t="s">
        <v>569</v>
      </c>
      <c r="D60" s="22" t="n">
        <v>14</v>
      </c>
      <c r="E60" s="11" t="s">
        <v>563</v>
      </c>
      <c r="F60" s="11"/>
      <c r="G60" s="13" t="s">
        <v>415</v>
      </c>
      <c r="H60" s="11" t="s">
        <v>570</v>
      </c>
    </row>
    <row r="61" customFormat="false" ht="15" hidden="false" customHeight="false" outlineLevel="0" collapsed="false">
      <c r="B61" s="11" t="s">
        <v>571</v>
      </c>
      <c r="C61" s="11" t="s">
        <v>572</v>
      </c>
      <c r="D61" s="22" t="n">
        <v>12</v>
      </c>
      <c r="E61" s="11" t="s">
        <v>563</v>
      </c>
      <c r="F61" s="11"/>
      <c r="G61" s="13" t="s">
        <v>415</v>
      </c>
      <c r="H61" s="11" t="s">
        <v>573</v>
      </c>
    </row>
    <row r="62" customFormat="false" ht="15" hidden="false" customHeight="false" outlineLevel="0" collapsed="false">
      <c r="B62" s="11" t="s">
        <v>574</v>
      </c>
      <c r="C62" s="11" t="s">
        <v>575</v>
      </c>
      <c r="D62" s="22" t="n">
        <v>246</v>
      </c>
      <c r="E62" s="11" t="s">
        <v>563</v>
      </c>
      <c r="F62" s="11" t="s">
        <v>576</v>
      </c>
      <c r="G62" s="13" t="s">
        <v>415</v>
      </c>
      <c r="H62" s="11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578</v>
      </c>
    </row>
    <row r="3" customFormat="false" ht="21.75" hidden="false" customHeight="true" outlineLevel="0" collapsed="false">
      <c r="B3" s="2" t="s">
        <v>579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580</v>
      </c>
      <c r="C5" s="3" t="s">
        <v>155</v>
      </c>
      <c r="D5" s="3" t="s">
        <v>156</v>
      </c>
      <c r="E5" s="3" t="s">
        <v>157</v>
      </c>
      <c r="F5" s="3" t="s">
        <v>158</v>
      </c>
      <c r="G5" s="3" t="s">
        <v>581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160</v>
      </c>
      <c r="D6" s="11" t="s">
        <v>161</v>
      </c>
      <c r="E6" s="9" t="n">
        <v>161465.23</v>
      </c>
      <c r="F6" s="22" t="n">
        <v>40</v>
      </c>
      <c r="G6" s="17" t="n">
        <f aca="false">E6/460396.87</f>
        <v>0.350708791743089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163</v>
      </c>
      <c r="D7" s="11" t="s">
        <v>164</v>
      </c>
      <c r="E7" s="9" t="n">
        <v>90006.18</v>
      </c>
      <c r="F7" s="22" t="n">
        <v>133</v>
      </c>
      <c r="G7" s="17" t="n">
        <f aca="false">E7/460396.87</f>
        <v>0.195496941584334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165</v>
      </c>
      <c r="D8" s="11" t="s">
        <v>166</v>
      </c>
      <c r="E8" s="9" t="n">
        <v>88591.11</v>
      </c>
      <c r="F8" s="22" t="n">
        <v>46</v>
      </c>
      <c r="G8" s="17" t="n">
        <f aca="false">E8/460396.87</f>
        <v>0.192423354224802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167</v>
      </c>
      <c r="D9" s="11" t="s">
        <v>168</v>
      </c>
      <c r="E9" s="9" t="n">
        <v>53281.96</v>
      </c>
      <c r="F9" s="22" t="n">
        <v>41</v>
      </c>
      <c r="G9" s="17" t="n">
        <f aca="false">E9/460396.87</f>
        <v>0.115730500079203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169</v>
      </c>
      <c r="D10" s="11" t="s">
        <v>170</v>
      </c>
      <c r="E10" s="9" t="n">
        <v>31781</v>
      </c>
      <c r="F10" s="22" t="n">
        <v>7</v>
      </c>
      <c r="G10" s="17" t="n">
        <f aca="false">E10/460396.87</f>
        <v>0.0690295744191311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171</v>
      </c>
      <c r="D11" s="11" t="s">
        <v>172</v>
      </c>
      <c r="E11" s="9" t="n">
        <v>16078.25</v>
      </c>
      <c r="F11" s="22" t="n">
        <v>4</v>
      </c>
      <c r="G11" s="17" t="n">
        <f aca="false">E11/460396.87</f>
        <v>0.0349225875493028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174</v>
      </c>
      <c r="D12" s="11" t="s">
        <v>175</v>
      </c>
      <c r="E12" s="9" t="n">
        <v>4798.91</v>
      </c>
      <c r="F12" s="22" t="n">
        <v>11</v>
      </c>
      <c r="G12" s="17" t="n">
        <f aca="false">E12/460396.87</f>
        <v>0.0104234201244678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177</v>
      </c>
      <c r="D13" s="11" t="s">
        <v>178</v>
      </c>
      <c r="E13" s="9" t="n">
        <v>4412.58</v>
      </c>
      <c r="F13" s="22" t="n">
        <v>2</v>
      </c>
      <c r="G13" s="17" t="n">
        <f aca="false">E13/460396.87</f>
        <v>0.00958429626161446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179</v>
      </c>
      <c r="D14" s="11" t="s">
        <v>180</v>
      </c>
      <c r="E14" s="9" t="n">
        <v>3186</v>
      </c>
      <c r="F14" s="22" t="n">
        <v>1</v>
      </c>
      <c r="G14" s="17" t="n">
        <f aca="false">E14/460396.87</f>
        <v>0.00692011655074892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181</v>
      </c>
      <c r="D15" s="11" t="s">
        <v>182</v>
      </c>
      <c r="E15" s="9" t="n">
        <v>3162</v>
      </c>
      <c r="F15" s="22" t="n">
        <v>5</v>
      </c>
      <c r="G15" s="17" t="n">
        <f aca="false">E15/460396.87</f>
        <v>0.00686798761251353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183</v>
      </c>
      <c r="D16" s="11" t="s">
        <v>184</v>
      </c>
      <c r="E16" s="9" t="n">
        <v>1971</v>
      </c>
      <c r="F16" s="22" t="n">
        <v>1</v>
      </c>
      <c r="G16" s="17" t="n">
        <f aca="false">E16/460396.87</f>
        <v>0.00428108905258196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185</v>
      </c>
      <c r="D17" s="11" t="s">
        <v>186</v>
      </c>
      <c r="E17" s="9" t="n">
        <v>445</v>
      </c>
      <c r="F17" s="22" t="n">
        <v>1</v>
      </c>
      <c r="G17" s="17" t="n">
        <f aca="false">E17/460396.87</f>
        <v>0.000966557396447982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187</v>
      </c>
      <c r="D18" s="11" t="s">
        <v>188</v>
      </c>
      <c r="E18" s="9" t="n">
        <v>357.8</v>
      </c>
      <c r="F18" s="22" t="n">
        <v>2</v>
      </c>
      <c r="G18" s="17" t="n">
        <f aca="false">E18/460396.87</f>
        <v>0.00077715558752604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189</v>
      </c>
      <c r="D19" s="11" t="s">
        <v>190</v>
      </c>
      <c r="E19" s="9" t="n">
        <v>322.95</v>
      </c>
      <c r="F19" s="22" t="n">
        <v>6</v>
      </c>
      <c r="G19" s="17" t="n">
        <f aca="false">E19/460396.87</f>
        <v>0.000701460025130058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192</v>
      </c>
      <c r="D20" s="11" t="s">
        <v>193</v>
      </c>
      <c r="E20" s="9" t="n">
        <v>250</v>
      </c>
      <c r="F20" s="22" t="n">
        <v>2</v>
      </c>
      <c r="G20" s="17" t="n">
        <f aca="false">E20/460396.87</f>
        <v>0.000543009773285383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195</v>
      </c>
      <c r="D21" s="11" t="s">
        <v>196</v>
      </c>
      <c r="E21" s="9" t="n">
        <v>199.24</v>
      </c>
      <c r="F21" s="22" t="n">
        <v>1</v>
      </c>
      <c r="G21" s="17" t="n">
        <f aca="false">E21/460396.87</f>
        <v>0.000432757068917519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197</v>
      </c>
      <c r="D22" s="11" t="s">
        <v>198</v>
      </c>
      <c r="E22" s="9" t="n">
        <v>87.66</v>
      </c>
      <c r="F22" s="22" t="n">
        <v>1</v>
      </c>
      <c r="G22" s="17" t="n">
        <f aca="false">E22/460396.87</f>
        <v>0.000190400946904787</v>
      </c>
      <c r="H22" s="11" t="s">
        <v>5</v>
      </c>
    </row>
    <row r="23" customFormat="false" ht="15" hidden="false" customHeight="false" outlineLevel="0" collapsed="false">
      <c r="B23" s="18" t="s">
        <v>138</v>
      </c>
      <c r="E23" s="20" t="n">
        <f aca="false">SUM(E6:E22)</f>
        <v>460396.87</v>
      </c>
      <c r="F23" s="23" t="n">
        <f aca="false">SUM(F6:F22)</f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582</v>
      </c>
    </row>
    <row r="3" customFormat="false" ht="21.75" hidden="false" customHeight="true" outlineLevel="0" collapsed="false">
      <c r="B3" s="2" t="s">
        <v>583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584</v>
      </c>
      <c r="C5" s="3" t="s">
        <v>350</v>
      </c>
      <c r="D5" s="3" t="s">
        <v>348</v>
      </c>
      <c r="E5" s="3" t="s">
        <v>585</v>
      </c>
      <c r="F5" s="3" t="s">
        <v>586</v>
      </c>
      <c r="G5" s="3" t="s">
        <v>587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588</v>
      </c>
      <c r="C6" s="11" t="s">
        <v>589</v>
      </c>
      <c r="D6" s="11" t="s">
        <v>353</v>
      </c>
      <c r="E6" s="11" t="s">
        <v>590</v>
      </c>
      <c r="F6" s="11" t="s">
        <v>12</v>
      </c>
      <c r="G6" s="27" t="n">
        <v>1898200</v>
      </c>
      <c r="H6" s="11" t="s">
        <v>360</v>
      </c>
      <c r="I6" s="11" t="s">
        <v>20</v>
      </c>
    </row>
    <row r="7" customFormat="false" ht="15" hidden="false" customHeight="false" outlineLevel="0" collapsed="false">
      <c r="B7" s="11" t="s">
        <v>591</v>
      </c>
      <c r="C7" s="11" t="s">
        <v>592</v>
      </c>
      <c r="D7" s="11" t="s">
        <v>370</v>
      </c>
      <c r="E7" s="11" t="s">
        <v>593</v>
      </c>
      <c r="F7" s="11" t="s">
        <v>594</v>
      </c>
      <c r="G7" s="27" t="n">
        <v>0</v>
      </c>
      <c r="H7" s="11" t="s">
        <v>595</v>
      </c>
      <c r="I7" s="11" t="s">
        <v>5</v>
      </c>
    </row>
    <row r="8" customFormat="false" ht="15" hidden="false" customHeight="false" outlineLevel="0" collapsed="false">
      <c r="B8" s="11" t="s">
        <v>596</v>
      </c>
      <c r="C8" s="11" t="s">
        <v>592</v>
      </c>
      <c r="D8" s="11" t="s">
        <v>405</v>
      </c>
      <c r="E8" s="11" t="s">
        <v>597</v>
      </c>
      <c r="F8" s="11" t="s">
        <v>594</v>
      </c>
      <c r="G8" s="27" t="n">
        <v>0</v>
      </c>
      <c r="H8" s="11" t="s">
        <v>595</v>
      </c>
      <c r="I8" s="11" t="s">
        <v>5</v>
      </c>
    </row>
    <row r="9" customFormat="false" ht="15" hidden="false" customHeight="false" outlineLevel="0" collapsed="false">
      <c r="B9" s="11" t="s">
        <v>598</v>
      </c>
      <c r="C9" s="11" t="s">
        <v>499</v>
      </c>
      <c r="D9" s="11" t="s">
        <v>599</v>
      </c>
      <c r="E9" s="11" t="s">
        <v>600</v>
      </c>
      <c r="F9" s="11" t="s">
        <v>69</v>
      </c>
      <c r="G9" s="27" t="n">
        <v>0</v>
      </c>
      <c r="H9" s="11" t="s">
        <v>601</v>
      </c>
      <c r="I9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602</v>
      </c>
    </row>
    <row r="3" customFormat="false" ht="21.75" hidden="false" customHeight="true" outlineLevel="0" collapsed="false">
      <c r="B3" s="2" t="s">
        <v>603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141</v>
      </c>
      <c r="C5" s="3" t="s">
        <v>604</v>
      </c>
      <c r="D5" s="3" t="s">
        <v>605</v>
      </c>
      <c r="E5" s="3" t="s">
        <v>606</v>
      </c>
      <c r="F5" s="3" t="s">
        <v>290</v>
      </c>
    </row>
    <row r="6" customFormat="false" ht="15" hidden="false" customHeight="false" outlineLevel="0" collapsed="false">
      <c r="B6" s="11" t="s">
        <v>607</v>
      </c>
      <c r="C6" s="11" t="s">
        <v>608</v>
      </c>
      <c r="D6" s="27" t="n">
        <v>212005</v>
      </c>
      <c r="E6" s="11" t="s">
        <v>609</v>
      </c>
      <c r="F6" s="11" t="s">
        <v>610</v>
      </c>
    </row>
    <row r="7" customFormat="false" ht="15" hidden="false" customHeight="false" outlineLevel="0" collapsed="false">
      <c r="B7" s="11" t="s">
        <v>146</v>
      </c>
      <c r="C7" s="11" t="s">
        <v>611</v>
      </c>
      <c r="D7" s="27" t="n">
        <v>-191107.27</v>
      </c>
      <c r="E7" s="11" t="s">
        <v>612</v>
      </c>
      <c r="F7" s="11" t="s">
        <v>51</v>
      </c>
    </row>
    <row r="8" customFormat="false" ht="15" hidden="false" customHeight="false" outlineLevel="0" collapsed="false">
      <c r="B8" s="11" t="s">
        <v>148</v>
      </c>
      <c r="C8" s="11" t="s">
        <v>613</v>
      </c>
      <c r="D8" s="27" t="n">
        <v>-111117.63</v>
      </c>
      <c r="E8" s="11" t="s">
        <v>614</v>
      </c>
      <c r="F8" s="11" t="s">
        <v>615</v>
      </c>
    </row>
    <row r="9" customFormat="false" ht="15" hidden="false" customHeight="false" outlineLevel="0" collapsed="false">
      <c r="B9" s="11" t="s">
        <v>150</v>
      </c>
      <c r="C9" s="11" t="s">
        <v>616</v>
      </c>
      <c r="D9" s="27" t="n">
        <v>-5158.7</v>
      </c>
      <c r="E9" s="11" t="s">
        <v>617</v>
      </c>
      <c r="F9" s="11"/>
    </row>
    <row r="10" customFormat="false" ht="15" hidden="false" customHeight="false" outlineLevel="0" collapsed="false">
      <c r="B10" s="11" t="s">
        <v>618</v>
      </c>
      <c r="C10" s="11" t="s">
        <v>619</v>
      </c>
      <c r="D10" s="27" t="n">
        <v>-104368.46</v>
      </c>
      <c r="E10" s="11" t="s">
        <v>620</v>
      </c>
      <c r="F10" s="11"/>
    </row>
    <row r="11" customFormat="false" ht="15" hidden="false" customHeight="false" outlineLevel="0" collapsed="false">
      <c r="B11" s="18" t="s">
        <v>621</v>
      </c>
      <c r="D11" s="16" t="n">
        <f aca="false">SUM(D6:D10)</f>
        <v>-199747.06</v>
      </c>
    </row>
    <row r="14" customFormat="false" ht="15" hidden="false" customHeight="false" outlineLevel="0" collapsed="false">
      <c r="B14" s="3" t="s">
        <v>622</v>
      </c>
    </row>
    <row r="15" customFormat="false" ht="15" hidden="false" customHeight="false" outlineLevel="0" collapsed="false">
      <c r="B15" s="3" t="s">
        <v>623</v>
      </c>
      <c r="C15" s="3" t="s">
        <v>624</v>
      </c>
      <c r="D15" s="3" t="s">
        <v>625</v>
      </c>
      <c r="E15" s="3" t="s">
        <v>290</v>
      </c>
    </row>
    <row r="16" customFormat="false" ht="15" hidden="false" customHeight="false" outlineLevel="0" collapsed="false">
      <c r="B16" s="11" t="s">
        <v>626</v>
      </c>
      <c r="C16" s="22" t="n">
        <v>7</v>
      </c>
      <c r="D16" s="27" t="n">
        <v>212005</v>
      </c>
      <c r="E16" s="11" t="s">
        <v>627</v>
      </c>
    </row>
    <row r="17" customFormat="false" ht="15" hidden="false" customHeight="false" outlineLevel="0" collapsed="false">
      <c r="B17" s="11" t="s">
        <v>628</v>
      </c>
      <c r="C17" s="22" t="n">
        <v>9</v>
      </c>
      <c r="D17" s="27" t="n">
        <v>-191107.27</v>
      </c>
      <c r="E17" s="11" t="s">
        <v>629</v>
      </c>
    </row>
    <row r="18" customFormat="false" ht="15" hidden="false" customHeight="false" outlineLevel="0" collapsed="false">
      <c r="B18" s="11" t="s">
        <v>630</v>
      </c>
      <c r="C18" s="22" t="n">
        <v>9</v>
      </c>
      <c r="D18" s="27" t="n">
        <v>-111117.63</v>
      </c>
      <c r="E18" s="11" t="s">
        <v>615</v>
      </c>
    </row>
    <row r="19" customFormat="false" ht="15" hidden="false" customHeight="false" outlineLevel="0" collapsed="false">
      <c r="B19" s="11" t="s">
        <v>631</v>
      </c>
      <c r="C19" s="22" t="n">
        <v>2</v>
      </c>
      <c r="D19" s="27" t="n">
        <v>-104368.46</v>
      </c>
      <c r="E19" s="11" t="s">
        <v>632</v>
      </c>
    </row>
    <row r="20" customFormat="false" ht="15" hidden="false" customHeight="false" outlineLevel="0" collapsed="false">
      <c r="B20" s="11" t="s">
        <v>633</v>
      </c>
      <c r="C20" s="22" t="n">
        <v>4</v>
      </c>
      <c r="D20" s="27" t="n">
        <v>-5158.7</v>
      </c>
      <c r="E20" s="11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635</v>
      </c>
    </row>
    <row r="3" customFormat="false" ht="21.75" hidden="false" customHeight="true" outlineLevel="0" collapsed="false">
      <c r="B3" s="2" t="s">
        <v>636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637</v>
      </c>
    </row>
    <row r="6" customFormat="false" ht="15" hidden="false" customHeight="false" outlineLevel="0" collapsed="false">
      <c r="B6" s="3" t="s">
        <v>638</v>
      </c>
      <c r="C6" s="3" t="s">
        <v>639</v>
      </c>
      <c r="D6" s="3" t="s">
        <v>640</v>
      </c>
      <c r="E6" s="3" t="s">
        <v>67</v>
      </c>
      <c r="F6" s="3" t="s">
        <v>641</v>
      </c>
    </row>
    <row r="7" customFormat="false" ht="15" hidden="false" customHeight="false" outlineLevel="0" collapsed="false">
      <c r="B7" s="11" t="s">
        <v>642</v>
      </c>
      <c r="C7" s="11" t="s">
        <v>643</v>
      </c>
      <c r="D7" s="11" t="s">
        <v>644</v>
      </c>
      <c r="E7" s="28" t="s">
        <v>645</v>
      </c>
      <c r="F7" s="11" t="s">
        <v>646</v>
      </c>
    </row>
    <row r="8" customFormat="false" ht="15" hidden="false" customHeight="false" outlineLevel="0" collapsed="false">
      <c r="B8" s="11" t="s">
        <v>330</v>
      </c>
      <c r="C8" s="24" t="n">
        <v>0.191835262450805</v>
      </c>
      <c r="D8" s="11" t="s">
        <v>647</v>
      </c>
      <c r="E8" s="13" t="s">
        <v>648</v>
      </c>
      <c r="F8" s="11" t="s">
        <v>649</v>
      </c>
    </row>
    <row r="9" customFormat="false" ht="15" hidden="false" customHeight="false" outlineLevel="0" collapsed="false">
      <c r="B9" s="11" t="s">
        <v>650</v>
      </c>
      <c r="C9" s="24" t="n">
        <v>0.0294251174648909</v>
      </c>
      <c r="D9" s="11" t="s">
        <v>651</v>
      </c>
      <c r="E9" s="13" t="s">
        <v>648</v>
      </c>
      <c r="F9" s="11" t="s">
        <v>652</v>
      </c>
    </row>
    <row r="10" customFormat="false" ht="15" hidden="false" customHeight="false" outlineLevel="0" collapsed="false">
      <c r="B10" s="11" t="s">
        <v>653</v>
      </c>
      <c r="C10" s="24" t="n">
        <v>0.923389162050559</v>
      </c>
      <c r="D10" s="11" t="s">
        <v>654</v>
      </c>
      <c r="E10" s="13" t="s">
        <v>648</v>
      </c>
      <c r="F10" s="11" t="s">
        <v>655</v>
      </c>
    </row>
    <row r="11" customFormat="false" ht="15" hidden="false" customHeight="false" outlineLevel="0" collapsed="false">
      <c r="B11" s="11" t="s">
        <v>656</v>
      </c>
      <c r="C11" s="24" t="n">
        <v>0.05</v>
      </c>
      <c r="D11" s="11" t="s">
        <v>657</v>
      </c>
      <c r="E11" s="13" t="s">
        <v>648</v>
      </c>
      <c r="F11" s="11" t="s">
        <v>658</v>
      </c>
    </row>
    <row r="12" customFormat="false" ht="15" hidden="false" customHeight="false" outlineLevel="0" collapsed="false">
      <c r="B12" s="11" t="s">
        <v>329</v>
      </c>
      <c r="C12" s="24" t="n">
        <v>0.460634393340931</v>
      </c>
      <c r="D12" s="11" t="s">
        <v>659</v>
      </c>
      <c r="E12" s="13" t="s">
        <v>648</v>
      </c>
      <c r="F12" s="11" t="s">
        <v>660</v>
      </c>
    </row>
    <row r="13" customFormat="false" ht="15" hidden="false" customHeight="false" outlineLevel="0" collapsed="false">
      <c r="B13" s="11" t="s">
        <v>661</v>
      </c>
      <c r="C13" s="10" t="n">
        <v>14775</v>
      </c>
      <c r="D13" s="11" t="s">
        <v>662</v>
      </c>
      <c r="E13" s="29" t="s">
        <v>663</v>
      </c>
      <c r="F13" s="11" t="s">
        <v>664</v>
      </c>
    </row>
    <row r="14" customFormat="false" ht="15" hidden="false" customHeight="false" outlineLevel="0" collapsed="false">
      <c r="B14" s="11" t="s">
        <v>665</v>
      </c>
      <c r="C14" s="24" t="n">
        <v>0.138274111675127</v>
      </c>
      <c r="D14" s="11" t="s">
        <v>666</v>
      </c>
      <c r="E14" s="13" t="s">
        <v>648</v>
      </c>
      <c r="F14" s="11" t="s">
        <v>667</v>
      </c>
    </row>
    <row r="15" customFormat="false" ht="15" hidden="false" customHeight="false" outlineLevel="0" collapsed="false">
      <c r="B15" s="11" t="s">
        <v>668</v>
      </c>
      <c r="C15" s="24" t="n">
        <v>0.588714668867341</v>
      </c>
      <c r="D15" s="11" t="s">
        <v>669</v>
      </c>
      <c r="E15" s="13" t="s">
        <v>648</v>
      </c>
      <c r="F15" s="11" t="s">
        <v>670</v>
      </c>
    </row>
    <row r="16" customFormat="false" ht="15" hidden="false" customHeight="false" outlineLevel="0" collapsed="false">
      <c r="B16" s="11" t="s">
        <v>671</v>
      </c>
      <c r="C16" s="11" t="s">
        <v>672</v>
      </c>
      <c r="D16" s="11" t="s">
        <v>673</v>
      </c>
      <c r="E16" s="28" t="s">
        <v>645</v>
      </c>
      <c r="F16" s="11" t="s">
        <v>674</v>
      </c>
    </row>
    <row r="18" customFormat="false" ht="15" hidden="false" customHeight="false" outlineLevel="0" collapsed="false">
      <c r="B18" s="3" t="s">
        <v>675</v>
      </c>
    </row>
    <row r="19" customFormat="false" ht="15" hidden="false" customHeight="false" outlineLevel="0" collapsed="false">
      <c r="B19" s="3" t="s">
        <v>676</v>
      </c>
      <c r="C19" s="3" t="s">
        <v>677</v>
      </c>
      <c r="D19" s="3" t="s">
        <v>412</v>
      </c>
      <c r="E19" s="3" t="s">
        <v>678</v>
      </c>
      <c r="F19" s="3" t="s">
        <v>679</v>
      </c>
    </row>
    <row r="20" customFormat="false" ht="15" hidden="false" customHeight="false" outlineLevel="0" collapsed="false">
      <c r="B20" s="11" t="s">
        <v>680</v>
      </c>
      <c r="C20" s="24" t="n">
        <v>0.460634393340931</v>
      </c>
      <c r="D20" s="11" t="s">
        <v>83</v>
      </c>
      <c r="E20" s="11" t="s">
        <v>681</v>
      </c>
      <c r="F20" s="11" t="s">
        <v>660</v>
      </c>
    </row>
    <row r="21" customFormat="false" ht="15" hidden="false" customHeight="false" outlineLevel="0" collapsed="false">
      <c r="B21" s="11" t="s">
        <v>682</v>
      </c>
      <c r="C21" s="11" t="s">
        <v>674</v>
      </c>
      <c r="D21" s="11" t="s">
        <v>601</v>
      </c>
      <c r="E21" s="11" t="s">
        <v>683</v>
      </c>
      <c r="F21" s="11" t="s">
        <v>601</v>
      </c>
    </row>
    <row r="22" customFormat="false" ht="15" hidden="false" customHeight="false" outlineLevel="0" collapsed="false">
      <c r="B22" s="11" t="s">
        <v>684</v>
      </c>
      <c r="C22" s="11" t="s">
        <v>685</v>
      </c>
      <c r="D22" s="11" t="s">
        <v>415</v>
      </c>
      <c r="E22" s="11" t="s">
        <v>336</v>
      </c>
      <c r="F22" s="11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686</v>
      </c>
    </row>
    <row r="3" customFormat="false" ht="21.75" hidden="false" customHeight="true" outlineLevel="0" collapsed="false">
      <c r="B3" s="2" t="s">
        <v>687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409</v>
      </c>
      <c r="C5" s="3" t="s">
        <v>688</v>
      </c>
      <c r="D5" s="3" t="s">
        <v>689</v>
      </c>
      <c r="E5" s="3" t="s">
        <v>289</v>
      </c>
      <c r="F5" s="3" t="s">
        <v>690</v>
      </c>
      <c r="G5" s="3" t="s">
        <v>691</v>
      </c>
      <c r="H5" s="3" t="s">
        <v>412</v>
      </c>
      <c r="I5" s="3" t="s">
        <v>692</v>
      </c>
    </row>
    <row r="6" customFormat="false" ht="15" hidden="false" customHeight="false" outlineLevel="0" collapsed="false">
      <c r="B6" s="22" t="n">
        <v>1</v>
      </c>
      <c r="C6" s="11" t="s">
        <v>442</v>
      </c>
      <c r="D6" s="11" t="s">
        <v>441</v>
      </c>
      <c r="E6" s="11" t="s">
        <v>4</v>
      </c>
      <c r="F6" s="11" t="s">
        <v>693</v>
      </c>
      <c r="G6" s="11" t="s">
        <v>436</v>
      </c>
      <c r="H6" s="13" t="s">
        <v>415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446</v>
      </c>
      <c r="D7" s="11" t="s">
        <v>445</v>
      </c>
      <c r="E7" s="11" t="s">
        <v>447</v>
      </c>
      <c r="F7" s="11" t="s">
        <v>694</v>
      </c>
      <c r="G7" s="11" t="s">
        <v>436</v>
      </c>
      <c r="H7" s="13" t="s">
        <v>415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448</v>
      </c>
      <c r="D8" s="11" t="s">
        <v>11</v>
      </c>
      <c r="E8" s="11" t="s">
        <v>12</v>
      </c>
      <c r="F8" s="11" t="s">
        <v>694</v>
      </c>
      <c r="G8" s="11" t="s">
        <v>436</v>
      </c>
      <c r="H8" s="13" t="s">
        <v>415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449</v>
      </c>
      <c r="D9" s="11" t="s">
        <v>71</v>
      </c>
      <c r="E9" s="11" t="s">
        <v>17</v>
      </c>
      <c r="F9" s="11" t="s">
        <v>694</v>
      </c>
      <c r="G9" s="11" t="s">
        <v>436</v>
      </c>
      <c r="H9" s="13" t="s">
        <v>415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450</v>
      </c>
      <c r="D10" s="11" t="s">
        <v>34</v>
      </c>
      <c r="E10" s="11" t="s">
        <v>35</v>
      </c>
      <c r="F10" s="11" t="s">
        <v>694</v>
      </c>
      <c r="G10" s="11" t="s">
        <v>436</v>
      </c>
      <c r="H10" s="13" t="s">
        <v>415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452</v>
      </c>
      <c r="D11" s="11" t="s">
        <v>451</v>
      </c>
      <c r="E11" s="11" t="s">
        <v>28</v>
      </c>
      <c r="F11" s="11" t="s">
        <v>694</v>
      </c>
      <c r="G11" s="11" t="s">
        <v>436</v>
      </c>
      <c r="H11" s="13" t="s">
        <v>415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454</v>
      </c>
      <c r="D12" s="11" t="s">
        <v>453</v>
      </c>
      <c r="E12" s="11" t="s">
        <v>455</v>
      </c>
      <c r="F12" s="11" t="s">
        <v>694</v>
      </c>
      <c r="G12" s="11" t="s">
        <v>436</v>
      </c>
      <c r="H12" s="13" t="s">
        <v>415</v>
      </c>
      <c r="I12" s="11" t="s">
        <v>456</v>
      </c>
    </row>
    <row r="13" customFormat="false" ht="15" hidden="false" customHeight="false" outlineLevel="0" collapsed="false">
      <c r="B13" s="22" t="n">
        <v>8</v>
      </c>
      <c r="C13" s="11" t="s">
        <v>458</v>
      </c>
      <c r="D13" s="11" t="s">
        <v>457</v>
      </c>
      <c r="E13" s="11" t="s">
        <v>30</v>
      </c>
      <c r="F13" s="11" t="s">
        <v>694</v>
      </c>
      <c r="G13" s="11" t="s">
        <v>436</v>
      </c>
      <c r="H13" s="13" t="s">
        <v>415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459</v>
      </c>
      <c r="D14" s="11" t="s">
        <v>18</v>
      </c>
      <c r="E14" s="11" t="s">
        <v>19</v>
      </c>
      <c r="F14" s="11" t="s">
        <v>694</v>
      </c>
      <c r="G14" s="11" t="s">
        <v>436</v>
      </c>
      <c r="H14" s="13" t="s">
        <v>415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461</v>
      </c>
      <c r="D15" s="11" t="s">
        <v>460</v>
      </c>
      <c r="E15" s="11" t="s">
        <v>22</v>
      </c>
      <c r="F15" s="11" t="s">
        <v>694</v>
      </c>
      <c r="G15" s="11" t="s">
        <v>436</v>
      </c>
      <c r="H15" s="13" t="s">
        <v>415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462</v>
      </c>
      <c r="D16" s="11" t="s">
        <v>25</v>
      </c>
      <c r="E16" s="11" t="s">
        <v>26</v>
      </c>
      <c r="F16" s="11" t="s">
        <v>694</v>
      </c>
      <c r="G16" s="11" t="s">
        <v>436</v>
      </c>
      <c r="H16" s="13" t="s">
        <v>415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464</v>
      </c>
      <c r="D17" s="11" t="s">
        <v>463</v>
      </c>
      <c r="E17" s="11" t="s">
        <v>353</v>
      </c>
      <c r="F17" s="11" t="s">
        <v>695</v>
      </c>
      <c r="G17" s="11" t="s">
        <v>436</v>
      </c>
      <c r="H17" s="13" t="s">
        <v>415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466</v>
      </c>
      <c r="D18" s="11" t="s">
        <v>465</v>
      </c>
      <c r="E18" s="11" t="s">
        <v>467</v>
      </c>
      <c r="F18" s="11" t="s">
        <v>695</v>
      </c>
      <c r="G18" s="11" t="s">
        <v>436</v>
      </c>
      <c r="H18" s="13" t="s">
        <v>415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469</v>
      </c>
      <c r="D19" s="11" t="s">
        <v>468</v>
      </c>
      <c r="E19" s="11" t="s">
        <v>470</v>
      </c>
      <c r="F19" s="11" t="s">
        <v>695</v>
      </c>
      <c r="G19" s="11" t="s">
        <v>436</v>
      </c>
      <c r="H19" s="13" t="s">
        <v>415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472</v>
      </c>
      <c r="D20" s="11" t="s">
        <v>471</v>
      </c>
      <c r="E20" s="22" t="n">
        <v>27</v>
      </c>
      <c r="F20" s="11" t="s">
        <v>696</v>
      </c>
      <c r="G20" s="11" t="s">
        <v>436</v>
      </c>
      <c r="H20" s="13" t="s">
        <v>415</v>
      </c>
      <c r="I20" s="11" t="s">
        <v>298</v>
      </c>
    </row>
    <row r="21" customFormat="false" ht="15" hidden="false" customHeight="false" outlineLevel="0" collapsed="false">
      <c r="B21" s="22" t="n">
        <v>16</v>
      </c>
      <c r="C21" s="11" t="s">
        <v>473</v>
      </c>
      <c r="D21" s="11" t="s">
        <v>39</v>
      </c>
      <c r="E21" s="22" t="n">
        <v>187</v>
      </c>
      <c r="F21" s="11" t="s">
        <v>697</v>
      </c>
      <c r="G21" s="11" t="s">
        <v>436</v>
      </c>
      <c r="H21" s="13" t="s">
        <v>415</v>
      </c>
      <c r="I21" s="11" t="s">
        <v>475</v>
      </c>
    </row>
    <row r="22" customFormat="false" ht="15" hidden="false" customHeight="false" outlineLevel="0" collapsed="false">
      <c r="B22" s="22" t="n">
        <v>17</v>
      </c>
      <c r="C22" s="11" t="s">
        <v>477</v>
      </c>
      <c r="D22" s="11" t="s">
        <v>476</v>
      </c>
      <c r="E22" s="22" t="n">
        <v>1804</v>
      </c>
      <c r="F22" s="11" t="s">
        <v>698</v>
      </c>
      <c r="G22" s="11" t="s">
        <v>436</v>
      </c>
      <c r="H22" s="13" t="s">
        <v>415</v>
      </c>
      <c r="I22" s="11" t="s">
        <v>475</v>
      </c>
    </row>
    <row r="23" customFormat="false" ht="15" hidden="false" customHeight="false" outlineLevel="0" collapsed="false">
      <c r="B23" s="22" t="n">
        <v>18</v>
      </c>
      <c r="C23" s="11" t="s">
        <v>480</v>
      </c>
      <c r="D23" s="11" t="s">
        <v>479</v>
      </c>
      <c r="E23" s="9" t="n">
        <v>1898200</v>
      </c>
      <c r="F23" s="11" t="s">
        <v>335</v>
      </c>
      <c r="G23" s="11" t="s">
        <v>436</v>
      </c>
      <c r="H23" s="13" t="s">
        <v>415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483</v>
      </c>
      <c r="D24" s="11" t="s">
        <v>482</v>
      </c>
      <c r="E24" s="9" t="n">
        <v>2110205</v>
      </c>
      <c r="F24" s="11" t="s">
        <v>335</v>
      </c>
      <c r="G24" s="11" t="s">
        <v>436</v>
      </c>
      <c r="H24" s="13" t="s">
        <v>415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485</v>
      </c>
      <c r="D25" s="11" t="s">
        <v>484</v>
      </c>
      <c r="E25" s="9" t="n">
        <v>212005</v>
      </c>
      <c r="F25" s="11" t="s">
        <v>335</v>
      </c>
      <c r="G25" s="11" t="s">
        <v>436</v>
      </c>
      <c r="H25" s="13" t="s">
        <v>415</v>
      </c>
      <c r="I25" s="11" t="s">
        <v>418</v>
      </c>
    </row>
    <row r="26" customFormat="false" ht="15" hidden="false" customHeight="false" outlineLevel="0" collapsed="false">
      <c r="B26" s="22" t="n">
        <v>21</v>
      </c>
      <c r="C26" s="11" t="s">
        <v>488</v>
      </c>
      <c r="D26" s="11" t="s">
        <v>487</v>
      </c>
      <c r="E26" s="26" t="n">
        <v>0.111687388051839</v>
      </c>
      <c r="F26" s="11" t="s">
        <v>328</v>
      </c>
      <c r="G26" s="11" t="s">
        <v>436</v>
      </c>
      <c r="H26" s="13" t="s">
        <v>415</v>
      </c>
      <c r="I26" s="11" t="s">
        <v>298</v>
      </c>
    </row>
    <row r="27" customFormat="false" ht="15" hidden="false" customHeight="false" outlineLevel="0" collapsed="false">
      <c r="B27" s="22" t="n">
        <v>22</v>
      </c>
      <c r="C27" s="11" t="s">
        <v>490</v>
      </c>
      <c r="D27" s="11" t="s">
        <v>489</v>
      </c>
      <c r="E27" s="9" t="n">
        <v>2110205</v>
      </c>
      <c r="F27" s="11" t="s">
        <v>335</v>
      </c>
      <c r="G27" s="11" t="s">
        <v>436</v>
      </c>
      <c r="H27" s="13" t="s">
        <v>415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493</v>
      </c>
      <c r="D28" s="11" t="s">
        <v>492</v>
      </c>
      <c r="E28" s="9" t="n">
        <v>1138172</v>
      </c>
      <c r="F28" s="11" t="s">
        <v>335</v>
      </c>
      <c r="G28" s="11" t="s">
        <v>436</v>
      </c>
      <c r="H28" s="13" t="s">
        <v>415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496</v>
      </c>
      <c r="D29" s="11" t="s">
        <v>495</v>
      </c>
      <c r="E29" s="9" t="n">
        <v>972033</v>
      </c>
      <c r="F29" s="11" t="s">
        <v>335</v>
      </c>
      <c r="G29" s="11" t="s">
        <v>436</v>
      </c>
      <c r="H29" s="13" t="s">
        <v>415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498</v>
      </c>
      <c r="D30" s="11" t="s">
        <v>329</v>
      </c>
      <c r="E30" s="26" t="n">
        <v>0.460634393340931</v>
      </c>
      <c r="F30" s="11" t="s">
        <v>328</v>
      </c>
      <c r="G30" s="11" t="s">
        <v>436</v>
      </c>
      <c r="H30" s="13" t="s">
        <v>415</v>
      </c>
      <c r="I30" s="11" t="s">
        <v>298</v>
      </c>
    </row>
    <row r="31" customFormat="false" ht="15" hidden="false" customHeight="false" outlineLevel="0" collapsed="false">
      <c r="B31" s="22" t="n">
        <v>26</v>
      </c>
      <c r="C31" s="11" t="s">
        <v>500</v>
      </c>
      <c r="D31" s="11" t="s">
        <v>499</v>
      </c>
      <c r="E31" s="9" t="n">
        <v>105510.25</v>
      </c>
      <c r="F31" s="11" t="s">
        <v>335</v>
      </c>
      <c r="G31" s="11" t="s">
        <v>436</v>
      </c>
      <c r="H31" s="13" t="s">
        <v>415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503</v>
      </c>
      <c r="D32" s="11" t="s">
        <v>502</v>
      </c>
      <c r="E32" s="26" t="n">
        <v>0.05</v>
      </c>
      <c r="F32" s="11" t="s">
        <v>328</v>
      </c>
      <c r="G32" s="11" t="s">
        <v>436</v>
      </c>
      <c r="H32" s="13" t="s">
        <v>415</v>
      </c>
      <c r="I32" s="11" t="s">
        <v>298</v>
      </c>
    </row>
    <row r="33" customFormat="false" ht="15" hidden="false" customHeight="false" outlineLevel="0" collapsed="false">
      <c r="B33" s="22" t="n">
        <v>28</v>
      </c>
      <c r="C33" s="11" t="s">
        <v>505</v>
      </c>
      <c r="D33" s="11" t="s">
        <v>504</v>
      </c>
      <c r="E33" s="9" t="n">
        <v>404811.73</v>
      </c>
      <c r="F33" s="11" t="s">
        <v>335</v>
      </c>
      <c r="G33" s="11" t="s">
        <v>436</v>
      </c>
      <c r="H33" s="13" t="s">
        <v>415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508</v>
      </c>
      <c r="D34" s="11" t="s">
        <v>507</v>
      </c>
      <c r="E34" s="9" t="n">
        <v>497590.37</v>
      </c>
      <c r="F34" s="11" t="s">
        <v>335</v>
      </c>
      <c r="G34" s="11" t="s">
        <v>436</v>
      </c>
      <c r="H34" s="13" t="s">
        <v>415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511</v>
      </c>
      <c r="D35" s="11" t="s">
        <v>510</v>
      </c>
      <c r="E35" s="9" t="n">
        <v>25141.3</v>
      </c>
      <c r="F35" s="11" t="s">
        <v>335</v>
      </c>
      <c r="G35" s="11" t="s">
        <v>436</v>
      </c>
      <c r="H35" s="13" t="s">
        <v>415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514</v>
      </c>
      <c r="D36" s="11" t="s">
        <v>513</v>
      </c>
      <c r="E36" s="9" t="n">
        <v>179641.55</v>
      </c>
      <c r="F36" s="11" t="s">
        <v>335</v>
      </c>
      <c r="G36" s="11" t="s">
        <v>436</v>
      </c>
      <c r="H36" s="13" t="s">
        <v>415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517</v>
      </c>
      <c r="D37" s="11" t="s">
        <v>516</v>
      </c>
      <c r="E37" s="9" t="n">
        <v>30987.05</v>
      </c>
      <c r="F37" s="11" t="s">
        <v>335</v>
      </c>
      <c r="G37" s="11" t="s">
        <v>436</v>
      </c>
      <c r="H37" s="13" t="s">
        <v>415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519</v>
      </c>
      <c r="D38" s="11" t="s">
        <v>293</v>
      </c>
      <c r="E38" s="10" t="n">
        <v>14775</v>
      </c>
      <c r="F38" s="11" t="s">
        <v>699</v>
      </c>
      <c r="G38" s="11" t="s">
        <v>436</v>
      </c>
      <c r="H38" s="13" t="s">
        <v>415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521</v>
      </c>
      <c r="D39" s="11" t="s">
        <v>291</v>
      </c>
      <c r="E39" s="22" t="n">
        <v>39</v>
      </c>
      <c r="F39" s="11" t="s">
        <v>698</v>
      </c>
      <c r="G39" s="11" t="s">
        <v>436</v>
      </c>
      <c r="H39" s="13" t="s">
        <v>415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524</v>
      </c>
      <c r="D40" s="11" t="s">
        <v>523</v>
      </c>
      <c r="E40" s="9" t="n">
        <v>27.3984250423012</v>
      </c>
      <c r="F40" s="11" t="s">
        <v>315</v>
      </c>
      <c r="G40" s="11" t="s">
        <v>436</v>
      </c>
      <c r="H40" s="13" t="s">
        <v>415</v>
      </c>
      <c r="I40" s="11" t="s">
        <v>298</v>
      </c>
    </row>
    <row r="41" customFormat="false" ht="15" hidden="false" customHeight="false" outlineLevel="0" collapsed="false">
      <c r="B41" s="22" t="n">
        <v>36</v>
      </c>
      <c r="C41" s="11" t="s">
        <v>526</v>
      </c>
      <c r="D41" s="11" t="s">
        <v>525</v>
      </c>
      <c r="E41" s="9" t="n">
        <v>55.9263</v>
      </c>
      <c r="F41" s="11" t="s">
        <v>315</v>
      </c>
      <c r="G41" s="11" t="s">
        <v>436</v>
      </c>
      <c r="H41" s="13" t="s">
        <v>415</v>
      </c>
      <c r="I41" s="11" t="s">
        <v>298</v>
      </c>
    </row>
    <row r="42" customFormat="false" ht="15" hidden="false" customHeight="false" outlineLevel="0" collapsed="false">
      <c r="B42" s="22" t="n">
        <v>37</v>
      </c>
      <c r="C42" s="11" t="s">
        <v>527</v>
      </c>
      <c r="D42" s="11" t="s">
        <v>321</v>
      </c>
      <c r="E42" s="25" t="n">
        <v>1.3421</v>
      </c>
      <c r="F42" s="11" t="s">
        <v>322</v>
      </c>
      <c r="G42" s="11" t="s">
        <v>436</v>
      </c>
      <c r="H42" s="13" t="s">
        <v>415</v>
      </c>
      <c r="I42" s="11" t="s">
        <v>298</v>
      </c>
    </row>
    <row r="43" customFormat="false" ht="15" hidden="false" customHeight="false" outlineLevel="0" collapsed="false">
      <c r="B43" s="22" t="n">
        <v>38</v>
      </c>
      <c r="C43" s="11" t="s">
        <v>529</v>
      </c>
      <c r="D43" s="11" t="s">
        <v>528</v>
      </c>
      <c r="E43" s="10" t="n">
        <v>8560.5</v>
      </c>
      <c r="F43" s="11" t="s">
        <v>699</v>
      </c>
      <c r="G43" s="11" t="s">
        <v>436</v>
      </c>
      <c r="H43" s="13" t="s">
        <v>415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532</v>
      </c>
      <c r="D44" s="11" t="s">
        <v>531</v>
      </c>
      <c r="E44" s="10" t="n">
        <v>2528.5</v>
      </c>
      <c r="F44" s="11" t="s">
        <v>699</v>
      </c>
      <c r="G44" s="11" t="s">
        <v>436</v>
      </c>
      <c r="H44" s="13" t="s">
        <v>415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535</v>
      </c>
      <c r="D45" s="11" t="s">
        <v>534</v>
      </c>
      <c r="E45" s="9" t="n">
        <v>142.822673434856</v>
      </c>
      <c r="F45" s="11" t="s">
        <v>315</v>
      </c>
      <c r="G45" s="11" t="s">
        <v>436</v>
      </c>
      <c r="H45" s="13" t="s">
        <v>415</v>
      </c>
      <c r="I45" s="11" t="s">
        <v>298</v>
      </c>
    </row>
    <row r="46" customFormat="false" ht="15" hidden="false" customHeight="false" outlineLevel="0" collapsed="false">
      <c r="B46" s="22" t="n">
        <v>41</v>
      </c>
      <c r="C46" s="11" t="s">
        <v>538</v>
      </c>
      <c r="D46" s="11" t="s">
        <v>537</v>
      </c>
      <c r="E46" s="9" t="n">
        <v>65.7890355329949</v>
      </c>
      <c r="F46" s="11" t="s">
        <v>315</v>
      </c>
      <c r="G46" s="11" t="s">
        <v>436</v>
      </c>
      <c r="H46" s="13" t="s">
        <v>415</v>
      </c>
      <c r="I46" s="11" t="s">
        <v>298</v>
      </c>
    </row>
    <row r="47" customFormat="false" ht="15" hidden="false" customHeight="false" outlineLevel="0" collapsed="false">
      <c r="B47" s="22" t="n">
        <v>42</v>
      </c>
      <c r="C47" s="11" t="s">
        <v>540</v>
      </c>
      <c r="D47" s="11" t="s">
        <v>539</v>
      </c>
      <c r="E47" s="9" t="n">
        <v>11284.5187165775</v>
      </c>
      <c r="F47" s="11" t="s">
        <v>335</v>
      </c>
      <c r="G47" s="11" t="s">
        <v>436</v>
      </c>
      <c r="H47" s="13" t="s">
        <v>415</v>
      </c>
      <c r="I47" s="11" t="s">
        <v>298</v>
      </c>
    </row>
    <row r="48" customFormat="false" ht="15" hidden="false" customHeight="false" outlineLevel="0" collapsed="false">
      <c r="B48" s="22" t="n">
        <v>43</v>
      </c>
      <c r="C48" s="11" t="s">
        <v>541</v>
      </c>
      <c r="D48" s="11" t="s">
        <v>340</v>
      </c>
      <c r="E48" s="9" t="n">
        <v>6086.48128342246</v>
      </c>
      <c r="F48" s="11" t="s">
        <v>335</v>
      </c>
      <c r="G48" s="11" t="s">
        <v>436</v>
      </c>
      <c r="H48" s="13" t="s">
        <v>415</v>
      </c>
      <c r="I48" s="11" t="s">
        <v>298</v>
      </c>
    </row>
    <row r="49" customFormat="false" ht="15" hidden="false" customHeight="false" outlineLevel="0" collapsed="false">
      <c r="B49" s="22" t="n">
        <v>44</v>
      </c>
      <c r="C49" s="11" t="s">
        <v>543</v>
      </c>
      <c r="D49" s="11" t="s">
        <v>542</v>
      </c>
      <c r="E49" s="10" t="n">
        <v>79.0106951871658</v>
      </c>
      <c r="F49" s="11" t="s">
        <v>699</v>
      </c>
      <c r="G49" s="11" t="s">
        <v>436</v>
      </c>
      <c r="H49" s="13" t="s">
        <v>415</v>
      </c>
      <c r="I49" s="11" t="s">
        <v>298</v>
      </c>
    </row>
    <row r="50" customFormat="false" ht="15" hidden="false" customHeight="false" outlineLevel="0" collapsed="false">
      <c r="B50" s="22" t="n">
        <v>45</v>
      </c>
      <c r="C50" s="11" t="s">
        <v>544</v>
      </c>
      <c r="D50" s="11" t="s">
        <v>342</v>
      </c>
      <c r="E50" s="9" t="n">
        <v>1169.7366962306</v>
      </c>
      <c r="F50" s="11" t="s">
        <v>335</v>
      </c>
      <c r="G50" s="11" t="s">
        <v>436</v>
      </c>
      <c r="H50" s="13" t="s">
        <v>415</v>
      </c>
      <c r="I50" s="11" t="s">
        <v>298</v>
      </c>
    </row>
    <row r="51" customFormat="false" ht="15" hidden="false" customHeight="false" outlineLevel="0" collapsed="false">
      <c r="B51" s="22" t="n">
        <v>46</v>
      </c>
      <c r="C51" s="11" t="s">
        <v>545</v>
      </c>
      <c r="D51" s="11" t="s">
        <v>330</v>
      </c>
      <c r="E51" s="26" t="n">
        <v>0.191835262450805</v>
      </c>
      <c r="F51" s="11" t="s">
        <v>328</v>
      </c>
      <c r="G51" s="11" t="s">
        <v>436</v>
      </c>
      <c r="H51" s="13" t="s">
        <v>415</v>
      </c>
      <c r="I51" s="11" t="s">
        <v>298</v>
      </c>
    </row>
    <row r="52" customFormat="false" ht="15" hidden="false" customHeight="false" outlineLevel="0" collapsed="false">
      <c r="B52" s="22" t="n">
        <v>47</v>
      </c>
      <c r="C52" s="11" t="s">
        <v>547</v>
      </c>
      <c r="D52" s="11" t="s">
        <v>331</v>
      </c>
      <c r="E52" s="26" t="n">
        <v>0.235801910240948</v>
      </c>
      <c r="F52" s="11" t="s">
        <v>328</v>
      </c>
      <c r="G52" s="11" t="s">
        <v>436</v>
      </c>
      <c r="H52" s="13" t="s">
        <v>415</v>
      </c>
      <c r="I52" s="11" t="s">
        <v>298</v>
      </c>
    </row>
    <row r="53" customFormat="false" ht="15" hidden="false" customHeight="false" outlineLevel="0" collapsed="false">
      <c r="B53" s="22" t="n">
        <v>48</v>
      </c>
      <c r="C53" s="11" t="s">
        <v>549</v>
      </c>
      <c r="D53" s="11" t="s">
        <v>548</v>
      </c>
      <c r="E53" s="22" t="n">
        <v>17</v>
      </c>
      <c r="F53" s="11" t="s">
        <v>698</v>
      </c>
      <c r="G53" s="11" t="s">
        <v>436</v>
      </c>
      <c r="H53" s="13" t="s">
        <v>415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551</v>
      </c>
      <c r="D54" s="11" t="s">
        <v>550</v>
      </c>
      <c r="E54" s="22" t="n">
        <v>20</v>
      </c>
      <c r="F54" s="11" t="s">
        <v>698</v>
      </c>
      <c r="G54" s="11" t="s">
        <v>436</v>
      </c>
      <c r="H54" s="13" t="s">
        <v>415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554</v>
      </c>
      <c r="D55" s="11" t="s">
        <v>553</v>
      </c>
      <c r="E55" s="26" t="n">
        <v>0.138274111675127</v>
      </c>
      <c r="F55" s="11" t="s">
        <v>328</v>
      </c>
      <c r="G55" s="11" t="s">
        <v>436</v>
      </c>
      <c r="H55" s="13" t="s">
        <v>415</v>
      </c>
      <c r="I55" s="11" t="s">
        <v>298</v>
      </c>
    </row>
    <row r="56" customFormat="false" ht="15" hidden="false" customHeight="false" outlineLevel="0" collapsed="false">
      <c r="B56" s="22" t="n">
        <v>51</v>
      </c>
      <c r="C56" s="11" t="s">
        <v>557</v>
      </c>
      <c r="D56" s="11" t="s">
        <v>556</v>
      </c>
      <c r="E56" s="26" t="n">
        <v>0.457258883248731</v>
      </c>
      <c r="F56" s="11" t="s">
        <v>328</v>
      </c>
      <c r="G56" s="11" t="s">
        <v>436</v>
      </c>
      <c r="H56" s="13" t="s">
        <v>415</v>
      </c>
      <c r="I56" s="11" t="s">
        <v>298</v>
      </c>
    </row>
    <row r="57" customFormat="false" ht="15" hidden="false" customHeight="false" outlineLevel="0" collapsed="false">
      <c r="B57" s="22" t="n">
        <v>52</v>
      </c>
      <c r="C57" s="11" t="s">
        <v>559</v>
      </c>
      <c r="D57" s="11" t="s">
        <v>558</v>
      </c>
      <c r="E57" s="22" t="n">
        <v>25</v>
      </c>
      <c r="F57" s="11" t="s">
        <v>698</v>
      </c>
      <c r="G57" s="11" t="s">
        <v>436</v>
      </c>
      <c r="H57" s="13" t="s">
        <v>415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562</v>
      </c>
      <c r="D58" s="11" t="s">
        <v>561</v>
      </c>
      <c r="E58" s="22" t="n">
        <v>7</v>
      </c>
      <c r="F58" s="11" t="s">
        <v>698</v>
      </c>
      <c r="G58" s="11" t="s">
        <v>436</v>
      </c>
      <c r="H58" s="13" t="s">
        <v>415</v>
      </c>
      <c r="I58" s="11" t="s">
        <v>564</v>
      </c>
    </row>
    <row r="59" customFormat="false" ht="15" hidden="false" customHeight="false" outlineLevel="0" collapsed="false">
      <c r="B59" s="22" t="n">
        <v>54</v>
      </c>
      <c r="C59" s="11" t="s">
        <v>566</v>
      </c>
      <c r="D59" s="11" t="s">
        <v>565</v>
      </c>
      <c r="E59" s="22" t="n">
        <v>8</v>
      </c>
      <c r="F59" s="11" t="s">
        <v>698</v>
      </c>
      <c r="G59" s="11" t="s">
        <v>436</v>
      </c>
      <c r="H59" s="13" t="s">
        <v>415</v>
      </c>
      <c r="I59" s="11" t="s">
        <v>567</v>
      </c>
    </row>
    <row r="60" customFormat="false" ht="15" hidden="false" customHeight="false" outlineLevel="0" collapsed="false">
      <c r="B60" s="22" t="n">
        <v>55</v>
      </c>
      <c r="C60" s="11" t="s">
        <v>569</v>
      </c>
      <c r="D60" s="11" t="s">
        <v>568</v>
      </c>
      <c r="E60" s="22" t="n">
        <v>14</v>
      </c>
      <c r="F60" s="11" t="s">
        <v>698</v>
      </c>
      <c r="G60" s="11" t="s">
        <v>436</v>
      </c>
      <c r="H60" s="13" t="s">
        <v>415</v>
      </c>
      <c r="I60" s="11" t="s">
        <v>570</v>
      </c>
    </row>
    <row r="61" customFormat="false" ht="15" hidden="false" customHeight="false" outlineLevel="0" collapsed="false">
      <c r="B61" s="22" t="n">
        <v>56</v>
      </c>
      <c r="C61" s="11" t="s">
        <v>572</v>
      </c>
      <c r="D61" s="11" t="s">
        <v>571</v>
      </c>
      <c r="E61" s="22" t="n">
        <v>12</v>
      </c>
      <c r="F61" s="11" t="s">
        <v>698</v>
      </c>
      <c r="G61" s="11" t="s">
        <v>436</v>
      </c>
      <c r="H61" s="13" t="s">
        <v>415</v>
      </c>
      <c r="I61" s="11" t="s">
        <v>573</v>
      </c>
    </row>
    <row r="62" customFormat="false" ht="15" hidden="false" customHeight="false" outlineLevel="0" collapsed="false">
      <c r="B62" s="22" t="n">
        <v>57</v>
      </c>
      <c r="C62" s="11" t="s">
        <v>575</v>
      </c>
      <c r="D62" s="11" t="s">
        <v>574</v>
      </c>
      <c r="E62" s="22" t="n">
        <v>246</v>
      </c>
      <c r="F62" s="11" t="s">
        <v>698</v>
      </c>
      <c r="G62" s="11" t="s">
        <v>436</v>
      </c>
      <c r="H62" s="13" t="s">
        <v>415</v>
      </c>
      <c r="I62" s="11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700</v>
      </c>
    </row>
    <row r="3" customFormat="false" ht="21.75" hidden="false" customHeight="true" outlineLevel="0" collapsed="false">
      <c r="B3" s="2" t="s">
        <v>701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409</v>
      </c>
      <c r="C5" s="3" t="s">
        <v>702</v>
      </c>
      <c r="D5" s="3" t="s">
        <v>703</v>
      </c>
      <c r="E5" s="3" t="s">
        <v>704</v>
      </c>
      <c r="F5" s="3" t="s">
        <v>705</v>
      </c>
      <c r="G5" s="3" t="s">
        <v>67</v>
      </c>
      <c r="H5" s="3" t="s">
        <v>706</v>
      </c>
    </row>
    <row r="6" customFormat="false" ht="15" hidden="false" customHeight="false" outlineLevel="0" collapsed="false">
      <c r="B6" s="22" t="n">
        <v>1</v>
      </c>
      <c r="C6" s="11" t="s">
        <v>707</v>
      </c>
      <c r="D6" s="9" t="n">
        <v>2110205</v>
      </c>
      <c r="E6" s="9" t="n">
        <v>2110205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708</v>
      </c>
    </row>
    <row r="7" customFormat="false" ht="15" hidden="false" customHeight="false" outlineLevel="0" collapsed="false">
      <c r="B7" s="22" t="n">
        <v>2</v>
      </c>
      <c r="C7" s="11" t="s">
        <v>709</v>
      </c>
      <c r="D7" s="9" t="n">
        <v>1138172</v>
      </c>
      <c r="E7" s="9" t="n">
        <v>1138172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710</v>
      </c>
    </row>
    <row r="8" customFormat="false" ht="15" hidden="false" customHeight="false" outlineLevel="0" collapsed="false">
      <c r="B8" s="22" t="n">
        <v>3</v>
      </c>
      <c r="C8" s="11" t="s">
        <v>711</v>
      </c>
      <c r="D8" s="9" t="n">
        <v>972033</v>
      </c>
      <c r="E8" s="9" t="n">
        <v>972033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712</v>
      </c>
    </row>
    <row r="9" customFormat="false" ht="15" hidden="false" customHeight="false" outlineLevel="0" collapsed="false">
      <c r="B9" s="22" t="n">
        <v>4</v>
      </c>
      <c r="C9" s="11" t="s">
        <v>713</v>
      </c>
      <c r="D9" s="9" t="n">
        <v>2110205</v>
      </c>
      <c r="E9" s="9" t="n">
        <v>2110205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714</v>
      </c>
    </row>
    <row r="10" customFormat="false" ht="15" hidden="false" customHeight="false" outlineLevel="0" collapsed="false">
      <c r="B10" s="22" t="n">
        <v>5</v>
      </c>
      <c r="C10" s="11" t="s">
        <v>715</v>
      </c>
      <c r="D10" s="9" t="n">
        <v>14775</v>
      </c>
      <c r="E10" s="9" t="n">
        <v>14775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716</v>
      </c>
    </row>
    <row r="11" customFormat="false" ht="15" hidden="false" customHeight="false" outlineLevel="0" collapsed="false">
      <c r="B11" s="22" t="n">
        <v>6</v>
      </c>
      <c r="C11" s="11" t="s">
        <v>717</v>
      </c>
      <c r="D11" s="9" t="n">
        <v>212005</v>
      </c>
      <c r="E11" s="9" t="n">
        <v>212005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718</v>
      </c>
    </row>
    <row r="12" customFormat="false" ht="15" hidden="false" customHeight="false" outlineLevel="0" collapsed="false">
      <c r="B12" s="22" t="n">
        <v>7</v>
      </c>
      <c r="C12" s="11" t="s">
        <v>719</v>
      </c>
      <c r="D12" s="11" t="n">
        <v>39</v>
      </c>
      <c r="E12" s="11" t="n">
        <v>39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720</v>
      </c>
    </row>
    <row r="13" customFormat="false" ht="15" hidden="false" customHeight="false" outlineLevel="0" collapsed="false">
      <c r="B13" s="22" t="n">
        <v>8</v>
      </c>
      <c r="C13" s="11" t="s">
        <v>721</v>
      </c>
      <c r="D13" s="11" t="n">
        <v>25</v>
      </c>
      <c r="E13" s="11" t="n">
        <v>25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2026-04-20T22:40:07Z</dcterms:created>
  <dc:creator>openpyxl</dc:creator>
  <dc:description/>
  <dc:language>en-US</dc:language>
  <cp:lastModifiedBy/>
  <dcterms:modified xsi:type="dcterms:W3CDTF">2026-04-20T22:40:07Z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