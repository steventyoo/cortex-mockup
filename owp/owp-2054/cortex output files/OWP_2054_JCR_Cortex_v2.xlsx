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<sst xmlns="http://schemas.openxmlformats.org/spreadsheetml/2006/main" count="470" uniqueCount="343">
  <si>
    <t xml:space="preserve">OWP #2054 · 800 5th Apartments</t>
  </si>
  <si>
    <t xml:space="preserve">Blueprint Capital Services, LLC · 68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</si>
  <si>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</si>
  <si>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</si>
  <si>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</si>
  <si>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</si>
  <si>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</si>
  <si>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</si>
  <si>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</si>
  <si>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</si>
  <si>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</si>
  <si>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</si>
  <si>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</si>
  <si>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</si>
  <si>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</si>
  <si>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</si>
  <si>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</si>
  <si>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</si>
  <si>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</si>
  <si>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</si>
  <si>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#2054 · BLUEPRINT CAPITAL SERVICES LLC · 800 5th Apartments — FULL PROJECT INFORMATION</t>
  </si>
  <si>
    <t xml:space="preserve">Sourced from contract + ticket + GDrive folder + JDR. Subcontract 03-08-6505.</t>
  </si>
  <si>
    <t xml:space="preserve">IDENTITY</t>
  </si>
  <si>
    <t xml:space="preserve">OWP Job ID</t>
  </si>
  <si>
    <t xml:space="preserve">2054</t>
  </si>
  <si>
    <t xml:space="preserve">Project Name</t>
  </si>
  <si>
    <t xml:space="preserve">800 5th Apartments</t>
  </si>
  <si>
    <t xml:space="preserve">Site Address</t>
  </si>
  <si>
    <t xml:space="preserve">800 5th Ave N, Seattle WA 98109</t>
  </si>
  <si>
    <t xml:space="preserve">Subcontract Number</t>
  </si>
  <si>
    <t xml:space="preserve">03-08-6505</t>
  </si>
  <si>
    <t xml:space="preserve">Effective Date</t>
  </si>
  <si>
    <t xml:space="preserve">Feb 5, 2018</t>
  </si>
  <si>
    <t xml:space="preserve">PROJECT TEAM — GENERAL CONTRACTOR</t>
  </si>
  <si>
    <t xml:space="preserve">GC Legal Name</t>
  </si>
  <si>
    <t xml:space="preserve">Blueprint Capital Services LLC</t>
  </si>
  <si>
    <t xml:space="preserve">GC Address</t>
  </si>
  <si>
    <t xml:space="preserve">PO Box 16309, Seattle WA 98116 · (206) 282-9270</t>
  </si>
  <si>
    <t xml:space="preserve">GC Contract Signatory</t>
  </si>
  <si>
    <t xml:space="preserve">TBD (per Blueprint)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</si>
  <si>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</si>
  <si>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</si>
  <si>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</si>
  <si>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</si>
  <si>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</si>
  <si>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</si>
  <si>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Donelson, VP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</si>
  <si>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</si>
  <si>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</si>
  <si>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</si>
  <si>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</si>
  <si>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</si>
  <si>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</si>
  <si>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Blueprint 800, LLC</t>
  </si>
  <si>
    <t xml:space="preserve">Owner Address</t>
  </si>
  <si>
    <t xml:space="preserve">PO Box 16309, Seattle WA 98116</t>
  </si>
  <si>
    <t xml:space="preserve">PROJECT TEAM — DESIGN</t>
  </si>
  <si>
    <t xml:space="preserve">Architect</t>
  </si>
  <si>
    <t xml:space="preserve">TBD</t>
  </si>
  <si>
    <t xml:space="preserve">MEP / Plumbing Engineer</t>
  </si>
  <si>
    <t xml:space="preserve">INSURANCE &amp; BONDING</t>
  </si>
  <si>
    <t xml:space="preserve">Insurance Type</t>
  </si>
  <si>
    <t xml:space="preserve">Not Wrap (OWP CGL · Hub International / Liberty Mutual)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</si>
  <si>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</si>
  <si>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</si>
  <si>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</si>
  <si>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</si>
  <si>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$785,600</t>
  </si>
  <si>
    <t xml:space="preserve">CHANGE-EVENT META</t>
  </si>
  <si>
    <t xml:space="preserve">Executed CO Count</t>
  </si>
  <si>
    <t xml:space="preserve">TBD — see GDrive Change Orders/CO's/</t>
  </si>
  <si>
    <t xml:space="preserve">COR Count</t>
  </si>
  <si>
    <t xml:space="preserve">RFI Count</t>
  </si>
  <si>
    <t xml:space="preserve">ASI Count</t>
  </si>
  <si>
    <t xml:space="preserve">CO Inventory</t>
  </si>
  <si>
    <t xml:space="preserve">(see GDrive Change Orders folder)</t>
  </si>
  <si>
    <t xml:space="preserve">COR Themes</t>
  </si>
  <si>
    <t xml:space="preserve">(see GDrive)</t>
  </si>
  <si>
    <t xml:space="preserve">Key RFIs</t>
  </si>
  <si>
    <t xml:space="preserve">(see GDrive ASI-RFI folder)</t>
  </si>
  <si>
    <t xml:space="preserve">DOCUMENTS ON FILE (GDrive)</t>
  </si>
  <si>
    <t xml:space="preserve">Latest Job Ticket</t>
  </si>
  <si>
    <t xml:space="preserve">Blueprint 800 5th job ticket 12-10-18.pdf</t>
  </si>
  <si>
    <t xml:space="preserve">GDrive Folder</t>
  </si>
  <si>
    <t xml:space="preserve">Job Books - Completed Jobs/2054-...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</si>
  <si>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</si>
  <si>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</si>
  <si>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</si>
  <si>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</t>
  </si>
  <si>
    <t xml:space="preserve">59 Gerber Maxwell 21-912 + 9 ADA</t>
  </si>
  <si>
    <t xml:space="preserve">Lavs</t>
  </si>
  <si>
    <t xml:space="preserve">Kohler K-2035-1 wall-hung w/ Delta Trinsic 559HA-BL-DST matte black</t>
  </si>
  <si>
    <t xml:space="preserve">Showers</t>
  </si>
  <si>
    <t xml:space="preserve">48 Best Bath P3838 std + 4 LSS6337W75BL Live/Work + 5 Aquatic 2603SMTE Type A tubs</t>
  </si>
  <si>
    <t xml:space="preserve">Tubs</t>
  </si>
  <si>
    <t xml:space="preserve">Sterling 71171110 plastic tub bases</t>
  </si>
  <si>
    <t xml:space="preserve">Kitchen faucets</t>
  </si>
  <si>
    <t xml:space="preserve">Delta Trinsic 9959-BL-DST matte black bar (sinks by others)</t>
  </si>
  <si>
    <t xml:space="preserve">Air gaps</t>
  </si>
  <si>
    <t xml:space="preserve">Delta 72020-BL matte black</t>
  </si>
  <si>
    <t xml:space="preserve">Dishwasher rough-ins</t>
  </si>
  <si>
    <t xml:space="preserve">Washer rough-ins</t>
  </si>
  <si>
    <t xml:space="preserve">Common areas</t>
  </si>
  <si>
    <t xml:space="preserve">1 Toto CST794EF ADA + 1 Kohler K-2035-1 lav + amenity sink + coffee + retail + trash hosebib</t>
  </si>
  <si>
    <t xml:space="preserve">Hose bibs</t>
  </si>
  <si>
    <t xml:space="preserve">1 trash + 4 ext (3 ground + 1 roof)</t>
  </si>
  <si>
    <t xml:space="preserve">VERIFIED MAIN FIXTURE COUNT</t>
  </si>
  <si>
    <t xml:space="preserve">Per unit (68): 4.07</t>
  </si>
  <si>
    <t xml:space="preserve">AUDIT NOTE (2026-04-25): First-pass count of 487 was the all-itemized sum (included drains, hose bibs, condensate stacks, water heaters, appliance rough-ins). Verified main count of 277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</si>
  <si>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</si>
  <si>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</si>
  <si>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</si>
  <si>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</si>
  <si>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</si>
  <si>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</si>
  <si>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</si>
  <si>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</si>
  <si>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</si>
  <si>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</si>
  <si>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</si>
  <si>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</si>
  <si>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</si>
  <si>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</si>
  <si>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</si>
  <si>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</si>
  <si>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</si>
  <si>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</si>
  <si>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</si>
  <si>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</si>
  <si>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</si>
  <si>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</si>
  <si>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</si>
  <si>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</si>
  <si>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</si>
  <si>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</si>
  <si>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</si>
  <si>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</si>
  <si>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</si>
  <si>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</si>
  <si>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</si>
  <si>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</si>
  <si>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</si>
  <si>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</si>
  <si>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</si>
  <si>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</si>
  <si>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</si>
  <si>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</si>
  <si>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</si>
  <si>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</si>
  <si>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</si>
  <si>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</si>
  <si>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</si>
  <si>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</si>
  <si>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</si>
  <si>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</si>
  <si>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</si>
  <si>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</si>
  <si>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</si>
  <si>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</si>
  <si>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</si>
  <si>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</si>
  <si>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</si>
  <si>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</si>
  <si>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</si>
  <si>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</si>
  <si>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</si>
  <si>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</si>
  <si>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</si>
  <si>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</si>
  <si>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</si>
  <si>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</si>
  <si>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</si>
  <si>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</si>
  <si>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</si>
  <si>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</si>
  <si>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</si>
  <si>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</si>
  <si>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</si>
  <si>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</si>
  <si>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</si>
  <si>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</si>
  <si>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</si>
  <si>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</si>
  <si>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</si>
  <si>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</si>
  <si>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</si>
  <si>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</si>
  <si>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</si>
  <si>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</si>
  <si>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</si>
  <si>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</si>
  <si>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</si>
  <si>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</si>
  <si>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</si>
  <si>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</si>
  <si>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</si>
  <si>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</si>
  <si>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</si>
  <si>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</si>
  <si>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</si>
  <si>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</si>
  <si>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</si>
  <si>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</si>
  <si>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</si>
  <si>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</si>
  <si>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</si>
  <si>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</si>
  <si>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</si>
  <si>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Best Bath Systems</t>
  </si>
  <si>
    <t xml:space="preserve">Ferguson Enterprises, Inc. #3007</t>
  </si>
  <si>
    <t xml:space="preserve">Consolidated Supply Co.</t>
  </si>
  <si>
    <t xml:space="preserve">Sider + Byers Associates, Inc.</t>
  </si>
  <si>
    <t xml:space="preserve">Capital One Credit Card</t>
  </si>
  <si>
    <t xml:space="preserve">Mechanical Resource Services, Inc.</t>
  </si>
  <si>
    <t xml:space="preserve">California Hydronics Corp</t>
  </si>
  <si>
    <t xml:space="preserve">Quality Concrete Products, Inc. $32</t>
  </si>
  <si>
    <t xml:space="preserve">Patchworks, Inc.</t>
  </si>
  <si>
    <t xml:space="preserve">Scan2Core, Inc.</t>
  </si>
  <si>
    <t xml:space="preserve">Core &amp; Main LP $HD Supply Waterworks</t>
  </si>
  <si>
    <t xml:space="preserve">DRSi</t>
  </si>
  <si>
    <t xml:space="preserve">Kele, Inc $ MI Controls</t>
  </si>
  <si>
    <t xml:space="preserve">Sunbelt Rentals, Inc.</t>
  </si>
  <si>
    <t xml:space="preserve">Manor Hardware &amp; Construction Supply</t>
  </si>
  <si>
    <t xml:space="preserve">Citibank Credit Card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</si>
  <si>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</si>
  <si>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</si>
  <si>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</si>
  <si>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</si>
  <si>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</si>
  <si>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</si>
  <si>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</si>
  <si>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Villalobos Tejada, Carlos F</t>
  </si>
  <si>
    <t xml:space="preserve">APPRENTICE/HELPER</t>
  </si>
  <si>
    <t xml:space="preserve">Taylor, Evan R</t>
  </si>
  <si>
    <t xml:space="preserve">JOURNEYMAN</t>
  </si>
  <si>
    <t xml:space="preserve">Ascencio, Jose L</t>
  </si>
  <si>
    <t xml:space="preserve">Waites, Thaddeus Z</t>
  </si>
  <si>
    <t xml:space="preserve">LEAD/SUPERVISOR</t>
  </si>
  <si>
    <t xml:space="preserve">Cornejo Orellana, Carlos E</t>
  </si>
  <si>
    <t xml:space="preserve">Garcia Perez, Ervey O</t>
  </si>
  <si>
    <t xml:space="preserve">Wennig, Johnathan M</t>
  </si>
  <si>
    <t xml:space="preserve">Cruz Reyes, Jose</t>
  </si>
  <si>
    <t xml:space="preserve">Cruz Gonzalez, Julio C</t>
  </si>
  <si>
    <t xml:space="preserve">McCabe, Thomas C</t>
  </si>
  <si>
    <t xml:space="preserve">Barnhart, Joseph N</t>
  </si>
  <si>
    <t xml:space="preserve">Velasquez Cruz, Osman N</t>
  </si>
  <si>
    <t xml:space="preserve">Velasquez Cruz, Denis M</t>
  </si>
  <si>
    <t xml:space="preserve">Serrano, Jeremiah G</t>
  </si>
  <si>
    <t xml:space="preserve">Roberts, Lake A</t>
  </si>
  <si>
    <t xml:space="preserve">Sanders, Allen O</t>
  </si>
  <si>
    <t xml:space="preserve">Trower-Kelly, Fidel D</t>
  </si>
  <si>
    <t xml:space="preserve">Gerard, Mitchell J</t>
  </si>
  <si>
    <t xml:space="preserve">Gerard, Jeffrey S</t>
  </si>
  <si>
    <t xml:space="preserve">Hubbard, Robert W</t>
  </si>
  <si>
    <t xml:space="preserve">Gauthier, Dillon R</t>
  </si>
  <si>
    <t xml:space="preserve">Jimenez Montiel, Carlos A</t>
  </si>
  <si>
    <t xml:space="preserve">Gerard, Jordan E</t>
  </si>
  <si>
    <t xml:space="preserve">Romero Garza, Jesus I</t>
  </si>
  <si>
    <t xml:space="preserve">Donelson, Richard T</t>
  </si>
  <si>
    <t xml:space="preserve">Martinez Reyes, Juan C</t>
  </si>
  <si>
    <t xml:space="preserve">Frausto Mendoza, Pedro</t>
  </si>
  <si>
    <t xml:space="preserve">Boss, Benjamin T</t>
  </si>
  <si>
    <t xml:space="preserve">Crespin Portillo, Juan D</t>
  </si>
  <si>
    <t xml:space="preserve">Eliassen, Cory H</t>
  </si>
  <si>
    <t xml:space="preserve">Boss, Kyle A</t>
  </si>
  <si>
    <t xml:space="preserve">Amaya Gonzalez, Edilberto A</t>
  </si>
  <si>
    <t xml:space="preserve">Cortes Sepulveda, Jose R</t>
  </si>
  <si>
    <t xml:space="preserve">Balderas Ortiz, Ricardo I</t>
  </si>
  <si>
    <t xml:space="preserve">Hubbard, Dustin R</t>
  </si>
  <si>
    <t xml:space="preserve">Cortes Mendiola, Victor H</t>
  </si>
  <si>
    <t xml:space="preserve">Wage Tier Distribution</t>
  </si>
  <si>
    <t xml:space="preserve"># Workers</t>
  </si>
  <si>
    <t xml:space="preserve">% of Hours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</si>
  <si>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</si>
  <si>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</si>
  <si>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</si>
  <si>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</si>
  <si>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</si>
  <si>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</si>
  <si>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</si>
  <si>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</si>
  <si>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</si>
  <si>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</si>
  <si>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</si>
  <si>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</si>
  <si>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</si>
  <si>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</si>
  <si>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</si>
  <si>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</si>
  <si>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</si>
  <si>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Roughin Labor (120) CRITICAL overrun</t>
  </si>
  <si>
    <t xml:space="preserve">⚠ WATCH</t>
  </si>
  <si>
    <t xml:space="preserve">Actual $147,002 vs revised $94,273 (+56%) — needs immediate attention</t>
  </si>
  <si>
    <t xml:space="preserve">Water Main/Insulation Lab (141) CRITICAL overrun</t>
  </si>
  <si>
    <t xml:space="preserve">Actual $74,882 vs revised $26,735 (+180%) — needs immediate attention</t>
  </si>
  <si>
    <t xml:space="preserve">Garage Material (211) CRITICAL overrun</t>
  </si>
  <si>
    <t xml:space="preserve">Actual $26,288 vs revised $7,500 (+251%) — needs immediate attention</t>
  </si>
  <si>
    <t xml:space="preserve">Canout Material (212) CRITICAL overrun</t>
  </si>
  <si>
    <t xml:space="preserve">Actual $9,125 vs revised $5,220 (+75%) — needs immediate attention</t>
  </si>
  <si>
    <t xml:space="preserve">Mech Room Material (242) CRITICAL overrun</t>
  </si>
  <si>
    <t xml:space="preserve">Actual $22,105 vs revised $12,500 (+77%) — needs immediate attention</t>
  </si>
  <si>
    <t xml:space="preserve">Subcontractor (600) CRITICAL overrun</t>
  </si>
  <si>
    <t xml:space="preserve">Actual $6,041 vs revised $1,000 (+504%) — needs immediate attention</t>
  </si>
  <si>
    <t xml:space="preserve">Payroll Burden (995) over revised</t>
  </si>
  <si>
    <t xml:space="preserve">Actual $120,819 vs revised $91,307 (+32%) — monitor</t>
  </si>
  <si>
    <t xml:space="preserve">Payroll Taxes (998) over revised</t>
  </si>
  <si>
    <t xml:space="preserve">Actual $21,642 vs revised $15,522 (+39%) — monitor</t>
  </si>
  <si>
    <t xml:space="preserve">Top vendor concentration (Rosen Supply Kirklan)</t>
  </si>
  <si>
    <t xml:space="preserve">✓ OK</t>
  </si>
  <si>
    <t xml:space="preserve">29% of AP ($76,581) — acceptable</t>
  </si>
  <si>
    <t xml:space="preserve">Retention aging</t>
  </si>
  <si>
    <t xml:space="preserve">$0 held · 0.0% of billed · standard range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</si>
  <si>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</si>
  <si>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</si>
  <si>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</si>
  <si>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</si>
  <si>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</si>
  <si>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</si>
  <si>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</si>
  <si>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</si>
  <si>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</si>
  <si>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</si>
  <si>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</si>
  <si>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</si>
  <si>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</si>
  <si>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</si>
  <si>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</si>
  <si>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</si>
  <si>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</si>
  <si>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</si>
  <si>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</si>
  <si>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</si>
  <si>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</si>
  <si>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</si>
  <si>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</si>
  <si>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</si>
  <si>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</si>
  <si>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</si>
  <si>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</si>
  <si>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</si>
  <si>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</si>
  <si>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</si>
  <si>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#2054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</si>
</sst>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843087</v>
      </c>
    </row>
    <row r="6" customFormat="false" ht="15" hidden="false" customHeight="true" outlineLevel="0" collapsed="false">
      <c r="A6" s="5" t="s">
        <v>4</v>
      </c>
      <c r="B6" s="6" t="n">
        <v>636625.49</v>
      </c>
    </row>
    <row r="7" customFormat="false" ht="15" hidden="false" customHeight="true" outlineLevel="0" collapsed="false">
      <c r="A7" s="5" t="s">
        <v>5</v>
      </c>
      <c r="B7" s="7" t="n">
        <f aca="false">B5-B6</f>
        <v>206461.51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0.244887550157932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843087</v>
      </c>
    </row>
    <row r="12" customFormat="false" ht="15" hidden="false" customHeight="true" outlineLevel="0" collapsed="false">
      <c r="A12" s="5" t="s">
        <v>9</v>
      </c>
      <c r="B12" s="6" t="n">
        <v>0</v>
      </c>
    </row>
    <row r="13" customFormat="false" ht="15" hidden="false" customHeight="true" outlineLevel="0" collapsed="false">
      <c r="A13" s="5" t="s">
        <v>10</v>
      </c>
      <c r="B13" s="7" t="n">
        <f aca="false">B11-B12</f>
        <v>843087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-43157.19</v>
      </c>
    </row>
    <row r="20" customFormat="false" ht="15" hidden="false" customHeight="true" outlineLevel="0" collapsed="false">
      <c r="A20" s="5" t="s">
        <v>17</v>
      </c>
      <c r="B20" s="10" t="n">
        <v>262972.37</v>
      </c>
    </row>
    <row r="21" customFormat="false" ht="15" hidden="false" customHeight="true" outlineLevel="0" collapsed="false">
      <c r="A21" s="5" t="s">
        <v>18</v>
      </c>
      <c r="B21" s="10" t="n">
        <v>425357.25</v>
      </c>
    </row>
    <row r="22" customFormat="false" ht="15" hidden="false" customHeight="true" outlineLevel="0" collapsed="false">
      <c r="A22" s="5" t="s">
        <v>19</v>
      </c>
      <c r="B22" s="10" t="n">
        <v>-767116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53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54</v>
      </c>
      <c r="B25" s="16" t="s">
        <v>55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56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57</v>
      </c>
      <c r="B28" s="16" t="s">
        <v>58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59</v>
      </c>
      <c r="B29" s="16" t="s">
        <v>58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60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61</v>
      </c>
      <c r="B32" s="16" t="s">
        <v>62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63</v>
      </c>
      <c r="B33" s="16" t="s">
        <v>64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65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66</v>
      </c>
      <c r="B36" s="16" t="s">
        <v>67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68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69</v>
      </c>
      <c r="B39" s="16" t="s">
        <v>70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71</v>
      </c>
      <c r="B40" s="16" t="s">
        <v>58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72</v>
      </c>
      <c r="B41" s="16" t="s">
        <v>58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73</v>
      </c>
      <c r="B42" s="16" t="s">
        <v>58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74</v>
      </c>
      <c r="B43" s="16" t="s">
        <v>75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76</v>
      </c>
      <c r="B44" s="16" t="s">
        <v>77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78</v>
      </c>
      <c r="B45" s="16" t="s">
        <v>79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80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81</v>
      </c>
      <c r="B48" s="16" t="s">
        <v>82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83</v>
      </c>
      <c r="B49" s="16" t="s">
        <v>84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85</v>
      </c>
      <c r="B50" s="16" t="s">
        <v>86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87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88</v>
      </c>
      <c r="B53" s="18" t="n">
        <v>68</v>
      </c>
      <c r="C53" s="16" t="s">
        <v>89</v>
      </c>
      <c r="D53" s="16"/>
      <c r="E53" s="16"/>
      <c r="F53" s="16"/>
    </row>
    <row r="54" customFormat="false" ht="15" hidden="false" customHeight="true" outlineLevel="0" collapsed="false">
      <c r="A54" s="15" t="s">
        <v>90</v>
      </c>
      <c r="B54" s="18" t="n">
        <v>68</v>
      </c>
      <c r="C54" s="16" t="s">
        <v>91</v>
      </c>
      <c r="D54" s="16"/>
      <c r="E54" s="16"/>
      <c r="F54" s="16"/>
    </row>
    <row r="55" customFormat="false" ht="15" hidden="false" customHeight="true" outlineLevel="0" collapsed="false">
      <c r="A55" s="15" t="s">
        <v>92</v>
      </c>
      <c r="B55" s="18" t="n">
        <v>57</v>
      </c>
      <c r="C55" s="16" t="s">
        <v>93</v>
      </c>
      <c r="D55" s="16"/>
      <c r="E55" s="16"/>
      <c r="F55" s="16"/>
    </row>
    <row r="56" customFormat="false" ht="15" hidden="false" customHeight="true" outlineLevel="0" collapsed="false">
      <c r="A56" s="15" t="s">
        <v>94</v>
      </c>
      <c r="B56" s="18" t="n">
        <v>11</v>
      </c>
      <c r="C56" s="16" t="s">
        <v>95</v>
      </c>
      <c r="D56" s="16"/>
      <c r="E56" s="16"/>
      <c r="F56" s="16"/>
    </row>
    <row r="57" customFormat="false" ht="15" hidden="false" customHeight="true" outlineLevel="0" collapsed="false">
      <c r="A57" s="15" t="s">
        <v>96</v>
      </c>
      <c r="B57" s="18" t="n">
        <v>68</v>
      </c>
      <c r="C57" s="16" t="s">
        <v>97</v>
      </c>
      <c r="D57" s="16"/>
      <c r="E57" s="16"/>
      <c r="F57" s="16"/>
    </row>
    <row r="58" customFormat="false" ht="15" hidden="false" customHeight="true" outlineLevel="0" collapsed="false">
      <c r="A58" s="15" t="s">
        <v>98</v>
      </c>
      <c r="B58" s="18" t="n">
        <v>68</v>
      </c>
      <c r="C58" s="16" t="s">
        <v>99</v>
      </c>
      <c r="D58" s="16"/>
      <c r="E58" s="16"/>
      <c r="F58" s="16"/>
    </row>
    <row r="59" customFormat="false" ht="15" hidden="false" customHeight="true" outlineLevel="0" collapsed="false">
      <c r="A59" s="15" t="s">
        <v>100</v>
      </c>
      <c r="B59" s="18" t="n">
        <v>68</v>
      </c>
      <c r="C59" s="16"/>
      <c r="D59" s="16"/>
      <c r="E59" s="16"/>
      <c r="F59" s="16"/>
    </row>
    <row r="60" customFormat="false" ht="15" hidden="false" customHeight="true" outlineLevel="0" collapsed="false">
      <c r="A60" s="15" t="s">
        <v>101</v>
      </c>
      <c r="B60" s="18" t="n">
        <v>68</v>
      </c>
      <c r="C60" s="16"/>
      <c r="D60" s="16"/>
      <c r="E60" s="16"/>
      <c r="F60" s="16"/>
    </row>
    <row r="61" customFormat="false" ht="15" hidden="false" customHeight="true" outlineLevel="0" collapsed="false">
      <c r="A61" s="15" t="s">
        <v>102</v>
      </c>
      <c r="B61" s="18" t="n">
        <v>6</v>
      </c>
      <c r="C61" s="16" t="s">
        <v>103</v>
      </c>
      <c r="D61" s="16"/>
      <c r="E61" s="16"/>
      <c r="F61" s="16"/>
    </row>
    <row r="62" customFormat="false" ht="12" hidden="false" customHeight="true" outlineLevel="0" collapsed="false">
      <c r="A62" s="15" t="s">
        <v>104</v>
      </c>
      <c r="B62" s="18" t="n">
        <v>5</v>
      </c>
      <c r="C62" s="16" t="s">
        <v>105</v>
      </c>
      <c r="D62" s="16"/>
      <c r="E62" s="16"/>
      <c r="F62" s="16"/>
    </row>
    <row r="63" customFormat="false" ht="15" hidden="false" customHeight="true" outlineLevel="0" collapsed="false">
      <c r="A63" s="19" t="s">
        <v>106</v>
      </c>
      <c r="B63" s="19" t="n">
        <v>277</v>
      </c>
    </row>
    <row r="64" customFormat="false" ht="15" hidden="false" customHeight="false" outlineLevel="0" collapsed="false">
      <c r="A64" s="20" t="s">
        <v>107</v>
      </c>
    </row>
    <row r="65" customFormat="false" ht="35.05" hidden="false" customHeight="true" outlineLevel="0" collapsed="false">
      <c r="A65" s="21" t="s">
        <v>108</v>
      </c>
      <c r="B65" s="21"/>
      <c r="C65" s="21"/>
      <c r="D65" s="21"/>
      <c r="E65" s="21"/>
      <c r="F65" s="21"/>
    </row>
  </sheetData>
  <mergeCells count="53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A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109</v>
      </c>
    </row>
    <row r="3" customFormat="false" ht="15" hidden="false" customHeight="true" outlineLevel="0" collapsed="false">
      <c r="A3" s="22" t="s">
        <v>110</v>
      </c>
      <c r="B3" s="22" t="s">
        <v>111</v>
      </c>
      <c r="C3" s="22" t="s">
        <v>112</v>
      </c>
      <c r="D3" s="22" t="s">
        <v>113</v>
      </c>
    </row>
    <row r="4" customFormat="false" ht="15" hidden="false" customHeight="true" outlineLevel="0" collapsed="false">
      <c r="A4" s="5" t="s">
        <v>114</v>
      </c>
      <c r="B4" s="6" t="n">
        <v>785600</v>
      </c>
      <c r="C4" s="6" t="n">
        <v>843087</v>
      </c>
      <c r="D4" s="10" t="n">
        <f aca="false">C4-B4</f>
        <v>57487</v>
      </c>
    </row>
    <row r="5" customFormat="false" ht="15" hidden="false" customHeight="true" outlineLevel="0" collapsed="false">
      <c r="A5" s="5" t="s">
        <v>115</v>
      </c>
      <c r="B5" s="6" t="n">
        <v>0</v>
      </c>
      <c r="C5" s="6" t="n">
        <v>57487</v>
      </c>
      <c r="D5" s="10" t="n">
        <f aca="false">C5-B5</f>
        <v>57487</v>
      </c>
    </row>
    <row r="6" customFormat="false" ht="15" hidden="false" customHeight="true" outlineLevel="0" collapsed="false">
      <c r="A6" s="13" t="s">
        <v>116</v>
      </c>
      <c r="B6" s="7" t="n">
        <f aca="false">SUM(B4:B5)</f>
        <v>785600</v>
      </c>
      <c r="C6" s="7" t="n">
        <f aca="false">SUM(C4:C5)</f>
        <v>900574</v>
      </c>
      <c r="D6" s="7" t="n">
        <f aca="false">SUM(D4:D5)</f>
        <v>114974</v>
      </c>
    </row>
    <row r="9" customFormat="false" ht="15" hidden="false" customHeight="true" outlineLevel="0" collapsed="false">
      <c r="A9" s="4" t="s">
        <v>117</v>
      </c>
    </row>
    <row r="10" customFormat="false" ht="15" hidden="false" customHeight="true" outlineLevel="0" collapsed="false">
      <c r="A10" s="22" t="s">
        <v>118</v>
      </c>
      <c r="B10" s="22" t="s">
        <v>119</v>
      </c>
      <c r="C10" s="2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121</v>
      </c>
    </row>
    <row r="3" customFormat="false" ht="15" hidden="false" customHeight="true" outlineLevel="0" collapsed="false">
      <c r="A3" s="22" t="s">
        <v>122</v>
      </c>
      <c r="B3" s="22" t="s">
        <v>123</v>
      </c>
      <c r="C3" s="22" t="s">
        <v>124</v>
      </c>
      <c r="D3" s="22" t="s">
        <v>125</v>
      </c>
      <c r="E3" s="22" t="s">
        <v>126</v>
      </c>
      <c r="F3" s="22" t="s">
        <v>127</v>
      </c>
      <c r="G3" s="2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129</v>
      </c>
    </row>
    <row r="3" customFormat="false" ht="15" hidden="false" customHeight="true" outlineLevel="0" collapsed="false">
      <c r="A3" s="22" t="s">
        <v>130</v>
      </c>
      <c r="B3" s="22" t="s">
        <v>131</v>
      </c>
      <c r="C3" s="22" t="s">
        <v>119</v>
      </c>
      <c r="D3" s="22" t="s">
        <v>120</v>
      </c>
      <c r="E3" s="2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133</v>
      </c>
    </row>
    <row r="3" customFormat="false" ht="15" hidden="false" customHeight="true" outlineLevel="0" collapsed="false">
      <c r="A3" s="22" t="s">
        <v>134</v>
      </c>
      <c r="B3" s="22" t="s">
        <v>119</v>
      </c>
      <c r="C3" s="22" t="s">
        <v>111</v>
      </c>
      <c r="D3" s="22" t="s">
        <v>112</v>
      </c>
      <c r="E3" s="22" t="s">
        <v>135</v>
      </c>
      <c r="F3" s="22" t="s">
        <v>136</v>
      </c>
      <c r="G3" s="22" t="s">
        <v>137</v>
      </c>
      <c r="H3" s="22" t="s">
        <v>138</v>
      </c>
    </row>
    <row r="4" customFormat="false" ht="15" hidden="false" customHeight="true" outlineLevel="0" collapsed="false">
      <c r="A4" s="5" t="s">
        <v>139</v>
      </c>
      <c r="B4" s="5" t="s">
        <v>140</v>
      </c>
      <c r="C4" s="6" t="n">
        <v>6120</v>
      </c>
      <c r="D4" s="6" t="n">
        <v>6220</v>
      </c>
      <c r="E4" s="6" t="n">
        <v>2903.5</v>
      </c>
      <c r="F4" s="10" t="n">
        <f aca="false">D4-E4</f>
        <v>3316.5</v>
      </c>
      <c r="G4" s="6" t="n">
        <v>0</v>
      </c>
      <c r="H4" s="23" t="n">
        <f aca="false">IFERROR(E4/D4,0)</f>
        <v>0.466800643086817</v>
      </c>
    </row>
    <row r="5" customFormat="false" ht="15" hidden="false" customHeight="true" outlineLevel="0" collapsed="false">
      <c r="A5" s="5" t="s">
        <v>141</v>
      </c>
      <c r="B5" s="5" t="s">
        <v>142</v>
      </c>
      <c r="C5" s="6" t="n">
        <v>9860</v>
      </c>
      <c r="D5" s="6" t="n">
        <v>9960</v>
      </c>
      <c r="E5" s="6" t="n">
        <v>4181.5</v>
      </c>
      <c r="F5" s="10" t="n">
        <f aca="false">D5-E5</f>
        <v>5778.5</v>
      </c>
      <c r="G5" s="6" t="n">
        <v>0</v>
      </c>
      <c r="H5" s="23" t="n">
        <f aca="false">IFERROR(E5/D5,0)</f>
        <v>0.419829317269076</v>
      </c>
    </row>
    <row r="6" customFormat="false" ht="15" hidden="false" customHeight="true" outlineLevel="0" collapsed="false">
      <c r="A6" s="5" t="s">
        <v>143</v>
      </c>
      <c r="B6" s="5" t="s">
        <v>144</v>
      </c>
      <c r="C6" s="6" t="n">
        <v>12885</v>
      </c>
      <c r="D6" s="6" t="n">
        <v>14055</v>
      </c>
      <c r="E6" s="6" t="n">
        <v>7369</v>
      </c>
      <c r="F6" s="10" t="n">
        <f aca="false">D6-E6</f>
        <v>6686</v>
      </c>
      <c r="G6" s="6" t="n">
        <v>0</v>
      </c>
      <c r="H6" s="23" t="n">
        <f aca="false">IFERROR(E6/D6,0)</f>
        <v>0.524297403059409</v>
      </c>
    </row>
    <row r="7" customFormat="false" ht="15" hidden="false" customHeight="true" outlineLevel="0" collapsed="false">
      <c r="A7" s="5" t="s">
        <v>145</v>
      </c>
      <c r="B7" s="5" t="s">
        <v>146</v>
      </c>
      <c r="C7" s="6" t="n">
        <v>7113</v>
      </c>
      <c r="D7" s="6" t="n">
        <v>7113</v>
      </c>
      <c r="E7" s="6" t="n">
        <v>3588</v>
      </c>
      <c r="F7" s="10" t="n">
        <f aca="false">D7-E7</f>
        <v>3525</v>
      </c>
      <c r="G7" s="6" t="n">
        <v>0</v>
      </c>
      <c r="H7" s="23" t="n">
        <f aca="false">IFERROR(E7/D7,0)</f>
        <v>0.504428511176719</v>
      </c>
    </row>
    <row r="8" customFormat="false" ht="15" hidden="false" customHeight="true" outlineLevel="0" collapsed="false">
      <c r="A8" s="5" t="s">
        <v>147</v>
      </c>
      <c r="B8" s="5" t="s">
        <v>148</v>
      </c>
      <c r="C8" s="6" t="n">
        <v>4350</v>
      </c>
      <c r="D8" s="6" t="n">
        <v>4350</v>
      </c>
      <c r="E8" s="6" t="n">
        <v>2258.5</v>
      </c>
      <c r="F8" s="10" t="n">
        <f aca="false">D8-E8</f>
        <v>2091.5</v>
      </c>
      <c r="G8" s="6" t="n">
        <v>0</v>
      </c>
      <c r="H8" s="23" t="n">
        <f aca="false">IFERROR(E8/D8,0)</f>
        <v>0.519195402298851</v>
      </c>
    </row>
    <row r="9" customFormat="false" ht="15" hidden="false" customHeight="true" outlineLevel="0" collapsed="false">
      <c r="A9" s="5" t="s">
        <v>149</v>
      </c>
      <c r="B9" s="5" t="s">
        <v>150</v>
      </c>
      <c r="C9" s="6" t="n">
        <v>91743</v>
      </c>
      <c r="D9" s="6" t="n">
        <v>94273</v>
      </c>
      <c r="E9" s="6" t="n">
        <v>147001.5</v>
      </c>
      <c r="F9" s="10" t="n">
        <f aca="false">D9-E9</f>
        <v>-52728.5</v>
      </c>
      <c r="G9" s="6" t="n">
        <v>0</v>
      </c>
      <c r="H9" s="23" t="n">
        <f aca="false">IFERROR(E9/D9,0)</f>
        <v>1.55931708972877</v>
      </c>
    </row>
    <row r="10" customFormat="false" ht="15" hidden="false" customHeight="true" outlineLevel="0" collapsed="false">
      <c r="A10" s="5" t="s">
        <v>151</v>
      </c>
      <c r="B10" s="5" t="s">
        <v>152</v>
      </c>
      <c r="C10" s="6" t="n">
        <v>20700</v>
      </c>
      <c r="D10" s="6" t="n">
        <v>20700</v>
      </c>
      <c r="E10" s="6" t="n">
        <v>21750</v>
      </c>
      <c r="F10" s="10" t="n">
        <f aca="false">D10-E10</f>
        <v>-1050</v>
      </c>
      <c r="G10" s="6" t="n">
        <v>0</v>
      </c>
      <c r="H10" s="23" t="n">
        <f aca="false">IFERROR(E10/D10,0)</f>
        <v>1.05072463768116</v>
      </c>
    </row>
    <row r="11" customFormat="false" ht="15" hidden="false" customHeight="true" outlineLevel="0" collapsed="false">
      <c r="A11" s="5" t="s">
        <v>153</v>
      </c>
      <c r="B11" s="5" t="s">
        <v>154</v>
      </c>
      <c r="C11" s="6" t="n">
        <v>7500</v>
      </c>
      <c r="D11" s="6" t="n">
        <v>7500</v>
      </c>
      <c r="E11" s="6" t="n">
        <v>6735</v>
      </c>
      <c r="F11" s="10" t="n">
        <f aca="false">D11-E11</f>
        <v>765</v>
      </c>
      <c r="G11" s="6" t="n">
        <v>0</v>
      </c>
      <c r="H11" s="23" t="n">
        <f aca="false">IFERROR(E11/D11,0)</f>
        <v>0.898</v>
      </c>
    </row>
    <row r="12" customFormat="false" ht="15" hidden="false" customHeight="true" outlineLevel="0" collapsed="false">
      <c r="A12" s="5" t="s">
        <v>155</v>
      </c>
      <c r="B12" s="5" t="s">
        <v>156</v>
      </c>
      <c r="C12" s="6" t="n">
        <v>26735</v>
      </c>
      <c r="D12" s="6" t="n">
        <v>26735</v>
      </c>
      <c r="E12" s="6" t="n">
        <v>74881.5</v>
      </c>
      <c r="F12" s="10" t="n">
        <f aca="false">D12-E12</f>
        <v>-48146.5</v>
      </c>
      <c r="G12" s="6" t="n">
        <v>0</v>
      </c>
      <c r="H12" s="23" t="n">
        <f aca="false">IFERROR(E12/D12,0)</f>
        <v>2.80087899756873</v>
      </c>
    </row>
    <row r="13" customFormat="false" ht="15" hidden="false" customHeight="true" outlineLevel="0" collapsed="false">
      <c r="A13" s="5" t="s">
        <v>157</v>
      </c>
      <c r="B13" s="5" t="s">
        <v>158</v>
      </c>
      <c r="C13" s="6" t="n">
        <v>12000</v>
      </c>
      <c r="D13" s="6" t="n">
        <v>12000</v>
      </c>
      <c r="E13" s="6" t="n">
        <v>12228</v>
      </c>
      <c r="F13" s="10" t="n">
        <f aca="false">D13-E13</f>
        <v>-228</v>
      </c>
      <c r="G13" s="6" t="n">
        <v>0</v>
      </c>
      <c r="H13" s="23" t="n">
        <f aca="false">IFERROR(E13/D13,0)</f>
        <v>1.019</v>
      </c>
    </row>
    <row r="14" customFormat="false" ht="15" hidden="false" customHeight="true" outlineLevel="0" collapsed="false">
      <c r="A14" s="5" t="s">
        <v>159</v>
      </c>
      <c r="B14" s="5" t="s">
        <v>160</v>
      </c>
      <c r="C14" s="6" t="n">
        <v>10925</v>
      </c>
      <c r="D14" s="6" t="n">
        <v>11575</v>
      </c>
      <c r="E14" s="6" t="n">
        <v>3063.5</v>
      </c>
      <c r="F14" s="10" t="n">
        <f aca="false">D14-E14</f>
        <v>8511.5</v>
      </c>
      <c r="G14" s="6" t="n">
        <v>0</v>
      </c>
      <c r="H14" s="23" t="n">
        <f aca="false">IFERROR(E14/D14,0)</f>
        <v>0.264665226781857</v>
      </c>
    </row>
    <row r="15" customFormat="false" ht="15" hidden="false" customHeight="true" outlineLevel="0" collapsed="false">
      <c r="A15" s="5" t="s">
        <v>161</v>
      </c>
      <c r="B15" s="5" t="s">
        <v>162</v>
      </c>
      <c r="C15" s="6" t="n">
        <v>7500</v>
      </c>
      <c r="D15" s="6" t="n">
        <v>7500</v>
      </c>
      <c r="E15" s="6" t="n">
        <v>26287.7</v>
      </c>
      <c r="F15" s="10" t="n">
        <f aca="false">D15-E15</f>
        <v>-18787.7</v>
      </c>
      <c r="G15" s="6" t="n">
        <v>0</v>
      </c>
      <c r="H15" s="23" t="n">
        <f aca="false">IFERROR(E15/D15,0)</f>
        <v>3.50502666666667</v>
      </c>
    </row>
    <row r="16" customFormat="false" ht="15" hidden="false" customHeight="true" outlineLevel="0" collapsed="false">
      <c r="A16" s="5" t="s">
        <v>163</v>
      </c>
      <c r="B16" s="5" t="s">
        <v>164</v>
      </c>
      <c r="C16" s="6" t="n">
        <v>5220</v>
      </c>
      <c r="D16" s="6" t="n">
        <v>5220</v>
      </c>
      <c r="E16" s="6" t="n">
        <v>9124.86</v>
      </c>
      <c r="F16" s="10" t="n">
        <f aca="false">D16-E16</f>
        <v>-3904.86</v>
      </c>
      <c r="G16" s="6" t="n">
        <v>0</v>
      </c>
      <c r="H16" s="23" t="n">
        <f aca="false">IFERROR(E16/D16,0)</f>
        <v>1.74805747126437</v>
      </c>
    </row>
    <row r="17" customFormat="false" ht="15" hidden="false" customHeight="true" outlineLevel="0" collapsed="false">
      <c r="A17" s="5" t="s">
        <v>165</v>
      </c>
      <c r="B17" s="5" t="s">
        <v>166</v>
      </c>
      <c r="C17" s="6" t="n">
        <v>46890</v>
      </c>
      <c r="D17" s="6" t="n">
        <v>49582</v>
      </c>
      <c r="E17" s="6" t="n">
        <v>34199.43</v>
      </c>
      <c r="F17" s="10" t="n">
        <f aca="false">D17-E17</f>
        <v>15382.57</v>
      </c>
      <c r="G17" s="6" t="n">
        <v>0</v>
      </c>
      <c r="H17" s="23" t="n">
        <f aca="false">IFERROR(E17/D17,0)</f>
        <v>0.689754951393651</v>
      </c>
    </row>
    <row r="18" customFormat="false" ht="15" hidden="false" customHeight="true" outlineLevel="0" collapsed="false">
      <c r="A18" s="5" t="s">
        <v>167</v>
      </c>
      <c r="B18" s="5" t="s">
        <v>168</v>
      </c>
      <c r="C18" s="6" t="n">
        <v>129526</v>
      </c>
      <c r="D18" s="6" t="n">
        <v>169700</v>
      </c>
      <c r="E18" s="6" t="n">
        <v>147852.36</v>
      </c>
      <c r="F18" s="10" t="n">
        <f aca="false">D18-E18</f>
        <v>21847.64</v>
      </c>
      <c r="G18" s="6" t="n">
        <v>0</v>
      </c>
      <c r="H18" s="23" t="n">
        <f aca="false">IFERROR(E18/D18,0)</f>
        <v>0.871257277548615</v>
      </c>
    </row>
    <row r="19" customFormat="false" ht="15" hidden="false" customHeight="true" outlineLevel="0" collapsed="false">
      <c r="A19" s="5" t="s">
        <v>169</v>
      </c>
      <c r="B19" s="5" t="s">
        <v>170</v>
      </c>
      <c r="C19" s="6" t="n">
        <v>8500</v>
      </c>
      <c r="D19" s="6" t="n">
        <v>8500</v>
      </c>
      <c r="E19" s="6" t="n">
        <v>3477.36</v>
      </c>
      <c r="F19" s="10" t="n">
        <f aca="false">D19-E19</f>
        <v>5022.64</v>
      </c>
      <c r="G19" s="6" t="n">
        <v>0</v>
      </c>
      <c r="H19" s="23" t="n">
        <f aca="false">IFERROR(E19/D19,0)</f>
        <v>0.409101176470588</v>
      </c>
    </row>
    <row r="20" customFormat="false" ht="15" hidden="false" customHeight="true" outlineLevel="0" collapsed="false">
      <c r="A20" s="5" t="s">
        <v>171</v>
      </c>
      <c r="B20" s="5" t="s">
        <v>172</v>
      </c>
      <c r="C20" s="6" t="n">
        <v>26265</v>
      </c>
      <c r="D20" s="6" t="n">
        <v>26265</v>
      </c>
      <c r="E20" s="6" t="n">
        <v>18210.35</v>
      </c>
      <c r="F20" s="10" t="n">
        <f aca="false">D20-E20</f>
        <v>8054.65</v>
      </c>
      <c r="G20" s="6" t="n">
        <v>0</v>
      </c>
      <c r="H20" s="23" t="n">
        <f aca="false">IFERROR(E20/D20,0)</f>
        <v>0.693331429659242</v>
      </c>
    </row>
    <row r="21" customFormat="false" ht="15" hidden="false" customHeight="true" outlineLevel="0" collapsed="false">
      <c r="A21" s="5" t="s">
        <v>173</v>
      </c>
      <c r="B21" s="5" t="s">
        <v>174</v>
      </c>
      <c r="C21" s="6" t="n">
        <v>12500</v>
      </c>
      <c r="D21" s="6" t="n">
        <v>12500</v>
      </c>
      <c r="E21" s="6" t="n">
        <v>22105.44</v>
      </c>
      <c r="F21" s="10" t="n">
        <f aca="false">D21-E21</f>
        <v>-9605.44</v>
      </c>
      <c r="G21" s="6" t="n">
        <v>0</v>
      </c>
      <c r="H21" s="23" t="n">
        <f aca="false">IFERROR(E21/D21,0)</f>
        <v>1.7684352</v>
      </c>
    </row>
    <row r="22" customFormat="false" ht="15" hidden="false" customHeight="true" outlineLevel="0" collapsed="false">
      <c r="A22" s="5" t="s">
        <v>175</v>
      </c>
      <c r="B22" s="5" t="s">
        <v>176</v>
      </c>
      <c r="C22" s="6" t="n">
        <v>1000</v>
      </c>
      <c r="D22" s="6" t="n">
        <v>1000</v>
      </c>
      <c r="E22" s="6" t="n">
        <v>6041.25</v>
      </c>
      <c r="F22" s="10" t="n">
        <f aca="false">D22-E22</f>
        <v>-5041.25</v>
      </c>
      <c r="G22" s="6" t="n">
        <v>0</v>
      </c>
      <c r="H22" s="23" t="n">
        <f aca="false">IFERROR(E22/D22,0)</f>
        <v>6.04125</v>
      </c>
    </row>
    <row r="23" customFormat="false" ht="15" hidden="false" customHeight="true" outlineLevel="0" collapsed="false">
      <c r="A23" s="5" t="s">
        <v>177</v>
      </c>
      <c r="B23" s="5" t="s">
        <v>178</v>
      </c>
      <c r="C23" s="6" t="n">
        <v>18500</v>
      </c>
      <c r="D23" s="6" t="n">
        <v>18900</v>
      </c>
      <c r="E23" s="6" t="n">
        <v>17733.13</v>
      </c>
      <c r="F23" s="10" t="n">
        <f aca="false">D23-E23</f>
        <v>1166.87</v>
      </c>
      <c r="G23" s="6" t="n">
        <v>0</v>
      </c>
      <c r="H23" s="23" t="n">
        <f aca="false">IFERROR(E23/D23,0)</f>
        <v>0.938260846560847</v>
      </c>
    </row>
    <row r="24" customFormat="false" ht="15" hidden="false" customHeight="true" outlineLevel="0" collapsed="false">
      <c r="A24" s="5" t="s">
        <v>179</v>
      </c>
      <c r="B24" s="5" t="s">
        <v>180</v>
      </c>
      <c r="C24" s="6" t="n">
        <v>600</v>
      </c>
      <c r="D24" s="6" t="n">
        <v>850</v>
      </c>
      <c r="E24" s="6" t="n">
        <v>241.47</v>
      </c>
      <c r="F24" s="10" t="n">
        <f aca="false">D24-E24</f>
        <v>608.53</v>
      </c>
      <c r="G24" s="6" t="n">
        <v>0</v>
      </c>
      <c r="H24" s="23" t="n">
        <f aca="false">IFERROR(E24/D24,0)</f>
        <v>0.284082352941176</v>
      </c>
    </row>
    <row r="25" customFormat="false" ht="15" hidden="false" customHeight="true" outlineLevel="0" collapsed="false">
      <c r="A25" s="5" t="s">
        <v>181</v>
      </c>
      <c r="B25" s="5" t="s">
        <v>182</v>
      </c>
      <c r="C25" s="6" t="n">
        <v>8298</v>
      </c>
      <c r="D25" s="6" t="n">
        <v>8298</v>
      </c>
      <c r="E25" s="6" t="n">
        <v>4539.5</v>
      </c>
      <c r="F25" s="10" t="n">
        <f aca="false">D25-E25</f>
        <v>3758.5</v>
      </c>
      <c r="G25" s="6" t="n">
        <v>0</v>
      </c>
      <c r="H25" s="23" t="n">
        <f aca="false">IFERROR(E25/D25,0)</f>
        <v>0.54705953241745</v>
      </c>
    </row>
    <row r="26" customFormat="false" ht="15" hidden="false" customHeight="true" outlineLevel="0" collapsed="false">
      <c r="A26" s="5" t="s">
        <v>183</v>
      </c>
      <c r="B26" s="5" t="s">
        <v>184</v>
      </c>
      <c r="C26" s="6" t="n">
        <v>7000</v>
      </c>
      <c r="D26" s="6" t="n">
        <v>7000</v>
      </c>
      <c r="E26" s="6" t="n">
        <v>2909.83</v>
      </c>
      <c r="F26" s="10" t="n">
        <f aca="false">D26-E26</f>
        <v>4090.17</v>
      </c>
      <c r="G26" s="6" t="n">
        <v>0</v>
      </c>
      <c r="H26" s="23" t="n">
        <f aca="false">IFERROR(E26/D26,0)</f>
        <v>0.41569</v>
      </c>
    </row>
    <row r="27" customFormat="false" ht="15" hidden="false" customHeight="true" outlineLevel="0" collapsed="false">
      <c r="A27" s="5" t="s">
        <v>185</v>
      </c>
      <c r="B27" s="5" t="s">
        <v>186</v>
      </c>
      <c r="C27" s="6" t="n">
        <v>89552.25</v>
      </c>
      <c r="D27" s="6" t="n">
        <v>91307.25</v>
      </c>
      <c r="E27" s="6" t="n">
        <v>120818.93</v>
      </c>
      <c r="F27" s="10" t="n">
        <f aca="false">D27-E27</f>
        <v>-29511.68</v>
      </c>
      <c r="G27" s="6" t="n">
        <v>0</v>
      </c>
      <c r="H27" s="23" t="n">
        <f aca="false">IFERROR(E27/D27,0)</f>
        <v>1.32321288835224</v>
      </c>
    </row>
    <row r="28" customFormat="false" ht="15" hidden="false" customHeight="true" outlineLevel="0" collapsed="false">
      <c r="A28" s="5" t="s">
        <v>187</v>
      </c>
      <c r="B28" s="5" t="s">
        <v>188</v>
      </c>
      <c r="C28" s="6" t="n">
        <v>15223.88</v>
      </c>
      <c r="D28" s="6" t="n">
        <v>15522.24</v>
      </c>
      <c r="E28" s="6" t="n">
        <v>21641.82</v>
      </c>
      <c r="F28" s="10" t="n">
        <f aca="false">D28-E28</f>
        <v>-6119.58</v>
      </c>
      <c r="G28" s="6" t="n">
        <v>0</v>
      </c>
      <c r="H28" s="23" t="n">
        <f aca="false">IFERROR(E28/D28,0)</f>
        <v>1.3942459335766</v>
      </c>
    </row>
    <row r="29" customFormat="false" ht="15" hidden="false" customHeight="true" outlineLevel="0" collapsed="false">
      <c r="A29" s="13" t="s">
        <v>189</v>
      </c>
      <c r="C29" s="7" t="n">
        <f aca="false">SUM(C4:C28)</f>
        <v>586506.13</v>
      </c>
      <c r="D29" s="7" t="n">
        <f aca="false">SUM(D4:D28)</f>
        <v>636625.49</v>
      </c>
      <c r="E29" s="7" t="n">
        <f aca="false">SUM(E4:E28)</f>
        <v>721143.43</v>
      </c>
      <c r="F29" s="7" t="n">
        <f aca="false">SUM(F4:F28)</f>
        <v>-84517.94</v>
      </c>
      <c r="G29" s="7" t="n">
        <f aca="false">SUM(G4:G28)</f>
        <v>0</v>
      </c>
      <c r="H29" s="8" t="n">
        <f aca="false">IFERROR(E29/D29,0)</f>
        <v>1.13275927735787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190</v>
      </c>
    </row>
    <row r="3" customFormat="false" ht="15" hidden="false" customHeight="true" outlineLevel="0" collapsed="false">
      <c r="A3" s="22" t="s">
        <v>191</v>
      </c>
      <c r="B3" s="22" t="s">
        <v>192</v>
      </c>
      <c r="C3" s="22" t="s">
        <v>193</v>
      </c>
      <c r="D3" s="22" t="s">
        <v>135</v>
      </c>
      <c r="E3" s="22" t="s">
        <v>136</v>
      </c>
      <c r="F3" s="22" t="s">
        <v>138</v>
      </c>
    </row>
    <row r="4" customFormat="false" ht="15" hidden="false" customHeight="true" outlineLevel="0" collapsed="false">
      <c r="A4" s="13" t="s">
        <v>194</v>
      </c>
      <c r="B4" s="5" t="n">
        <v>10</v>
      </c>
      <c r="C4" s="6" t="n">
        <v>202906</v>
      </c>
      <c r="D4" s="6" t="n">
        <v>282896.5</v>
      </c>
      <c r="E4" s="10" t="n">
        <f aca="false">C4-D4</f>
        <v>-79990.5</v>
      </c>
      <c r="F4" s="23" t="n">
        <f aca="false">IFERROR(D4/C4,0)</f>
        <v>1.39422441918918</v>
      </c>
    </row>
    <row r="5" customFormat="false" ht="15" hidden="false" customHeight="true" outlineLevel="0" collapsed="false">
      <c r="A5" s="13" t="s">
        <v>195</v>
      </c>
      <c r="B5" s="5" t="n">
        <v>8</v>
      </c>
      <c r="C5" s="6" t="n">
        <v>290842</v>
      </c>
      <c r="D5" s="6" t="n">
        <v>264321</v>
      </c>
      <c r="E5" s="10" t="n">
        <f aca="false">C5-D5</f>
        <v>26521</v>
      </c>
      <c r="F5" s="23" t="n">
        <f aca="false">IFERROR(D5/C5,0)</f>
        <v>0.908813032505622</v>
      </c>
    </row>
    <row r="6" customFormat="false" ht="15" hidden="false" customHeight="true" outlineLevel="0" collapsed="false">
      <c r="A6" s="13" t="s">
        <v>196</v>
      </c>
      <c r="B6" s="5" t="n">
        <v>5</v>
      </c>
      <c r="C6" s="6" t="n">
        <v>36048</v>
      </c>
      <c r="D6" s="6" t="n">
        <v>31465.18</v>
      </c>
      <c r="E6" s="10" t="n">
        <f aca="false">C6-D6</f>
        <v>4582.82</v>
      </c>
      <c r="F6" s="23" t="n">
        <f aca="false">IFERROR(D6/C6,0)</f>
        <v>0.872868952507767</v>
      </c>
    </row>
    <row r="7" customFormat="false" ht="15" hidden="false" customHeight="true" outlineLevel="0" collapsed="false">
      <c r="A7" s="13" t="s">
        <v>197</v>
      </c>
      <c r="B7" s="5" t="n">
        <v>2</v>
      </c>
      <c r="C7" s="6" t="n">
        <v>106829.49</v>
      </c>
      <c r="D7" s="6" t="n">
        <v>142460.75</v>
      </c>
      <c r="E7" s="10" t="n">
        <f aca="false">C7-D7</f>
        <v>-35631.26</v>
      </c>
      <c r="F7" s="23" t="n">
        <f aca="false">IFERROR(D7/C7,0)</f>
        <v>1.33353393337364</v>
      </c>
    </row>
    <row r="8" customFormat="false" ht="15" hidden="false" customHeight="true" outlineLevel="0" collapsed="false">
      <c r="A8" s="13" t="s">
        <v>189</v>
      </c>
      <c r="B8" s="24" t="n">
        <f aca="false">SUM(B4:B7)</f>
        <v>25</v>
      </c>
      <c r="C8" s="7" t="n">
        <f aca="false">SUM(C4:C7)</f>
        <v>636625.49</v>
      </c>
      <c r="D8" s="7" t="n">
        <f aca="false">SUM(D4:D7)</f>
        <v>721143.43</v>
      </c>
      <c r="E8" s="7" t="n">
        <f aca="false">SUM(E4:E7)</f>
        <v>-84517.94</v>
      </c>
      <c r="F8" s="8" t="n">
        <f aca="false">IFERROR(D8/C8,0)</f>
        <v>1.13275927735787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198</v>
      </c>
    </row>
    <row r="2" customFormat="false" ht="15" hidden="false" customHeight="true" outlineLevel="0" collapsed="false">
      <c r="A2" s="3" t="s">
        <v>199</v>
      </c>
    </row>
    <row r="4" customFormat="false" ht="15" hidden="false" customHeight="true" outlineLevel="0" collapsed="false">
      <c r="A4" s="22" t="s">
        <v>134</v>
      </c>
      <c r="B4" s="22" t="s">
        <v>119</v>
      </c>
      <c r="C4" s="22" t="s">
        <v>112</v>
      </c>
      <c r="D4" s="22" t="s">
        <v>135</v>
      </c>
      <c r="E4" s="22" t="s">
        <v>136</v>
      </c>
      <c r="F4" s="22" t="s">
        <v>200</v>
      </c>
      <c r="G4" s="22" t="s">
        <v>132</v>
      </c>
    </row>
    <row r="5" customFormat="false" ht="15" hidden="false" customHeight="true" outlineLevel="0" collapsed="false">
      <c r="A5" s="5" t="s">
        <v>139</v>
      </c>
      <c r="B5" s="5" t="s">
        <v>140</v>
      </c>
      <c r="C5" s="6" t="n">
        <v>6220</v>
      </c>
      <c r="D5" s="6" t="n">
        <v>2903.5</v>
      </c>
      <c r="E5" s="10" t="n">
        <f aca="false">C5-D5</f>
        <v>3316.5</v>
      </c>
      <c r="F5" s="23" t="n">
        <f aca="false">IFERROR((D5-C5)/C5,0)</f>
        <v>-0.533199356913183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141</v>
      </c>
      <c r="B6" s="5" t="s">
        <v>142</v>
      </c>
      <c r="C6" s="6" t="n">
        <v>9960</v>
      </c>
      <c r="D6" s="6" t="n">
        <v>4181.5</v>
      </c>
      <c r="E6" s="10" t="n">
        <f aca="false">C6-D6</f>
        <v>5778.5</v>
      </c>
      <c r="F6" s="23" t="n">
        <f aca="false">IFERROR((D6-C6)/C6,0)</f>
        <v>-0.580170682730924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143</v>
      </c>
      <c r="B7" s="5" t="s">
        <v>144</v>
      </c>
      <c r="C7" s="6" t="n">
        <v>14055</v>
      </c>
      <c r="D7" s="6" t="n">
        <v>7369</v>
      </c>
      <c r="E7" s="10" t="n">
        <f aca="false">C7-D7</f>
        <v>6686</v>
      </c>
      <c r="F7" s="23" t="n">
        <f aca="false">IFERROR((D7-C7)/C7,0)</f>
        <v>-0.475702596940591</v>
      </c>
      <c r="G7" s="25" t="str">
        <f aca="false">IF(C7=0,"UNBUDGETED",IF(F7&gt;0.5,"CRITICAL",IF(F7&gt;0.1,"OVER",IF(F7&lt;-0.1,"UNDER","ON"))))</f>
        <v>UNDER</v>
      </c>
    </row>
    <row r="8" customFormat="false" ht="15" hidden="false" customHeight="true" outlineLevel="0" collapsed="false">
      <c r="A8" s="5" t="s">
        <v>145</v>
      </c>
      <c r="B8" s="5" t="s">
        <v>146</v>
      </c>
      <c r="C8" s="6" t="n">
        <v>7113</v>
      </c>
      <c r="D8" s="6" t="n">
        <v>3588</v>
      </c>
      <c r="E8" s="10" t="n">
        <f aca="false">C8-D8</f>
        <v>3525</v>
      </c>
      <c r="F8" s="23" t="n">
        <f aca="false">IFERROR((D8-C8)/C8,0)</f>
        <v>-0.495571488823281</v>
      </c>
      <c r="G8" s="25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147</v>
      </c>
      <c r="B9" s="5" t="s">
        <v>148</v>
      </c>
      <c r="C9" s="6" t="n">
        <v>4350</v>
      </c>
      <c r="D9" s="6" t="n">
        <v>2258.5</v>
      </c>
      <c r="E9" s="10" t="n">
        <f aca="false">C9-D9</f>
        <v>2091.5</v>
      </c>
      <c r="F9" s="23" t="n">
        <f aca="false">IFERROR((D9-C9)/C9,0)</f>
        <v>-0.480804597701149</v>
      </c>
      <c r="G9" s="25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149</v>
      </c>
      <c r="B10" s="5" t="s">
        <v>150</v>
      </c>
      <c r="C10" s="6" t="n">
        <v>94273</v>
      </c>
      <c r="D10" s="6" t="n">
        <v>147001.5</v>
      </c>
      <c r="E10" s="10" t="n">
        <f aca="false">C10-D10</f>
        <v>-52728.5</v>
      </c>
      <c r="F10" s="23" t="n">
        <f aca="false">IFERROR((D10-C10)/C10,0)</f>
        <v>0.559317089728767</v>
      </c>
      <c r="G10" s="25" t="str">
        <f aca="false">IF(C10=0,"UNBUDGETED",IF(F10&gt;0.5,"CRITICAL",IF(F10&gt;0.1,"OVER",IF(F10&lt;-0.1,"UNDER","ON"))))</f>
        <v>CRITICAL</v>
      </c>
    </row>
    <row r="11" customFormat="false" ht="15" hidden="false" customHeight="true" outlineLevel="0" collapsed="false">
      <c r="A11" s="5" t="s">
        <v>151</v>
      </c>
      <c r="B11" s="5" t="s">
        <v>152</v>
      </c>
      <c r="C11" s="6" t="n">
        <v>20700</v>
      </c>
      <c r="D11" s="6" t="n">
        <v>21750</v>
      </c>
      <c r="E11" s="10" t="n">
        <f aca="false">C11-D11</f>
        <v>-1050</v>
      </c>
      <c r="F11" s="23" t="n">
        <f aca="false">IFERROR((D11-C11)/C11,0)</f>
        <v>0.0507246376811594</v>
      </c>
      <c r="G11" s="25" t="str">
        <f aca="false">IF(C11=0,"UNBUDGETED",IF(F11&gt;0.5,"CRITICAL",IF(F11&gt;0.1,"OVER",IF(F11&lt;-0.1,"UNDER","ON"))))</f>
        <v>ON</v>
      </c>
    </row>
    <row r="12" customFormat="false" ht="15" hidden="false" customHeight="true" outlineLevel="0" collapsed="false">
      <c r="A12" s="5" t="s">
        <v>153</v>
      </c>
      <c r="B12" s="5" t="s">
        <v>154</v>
      </c>
      <c r="C12" s="6" t="n">
        <v>7500</v>
      </c>
      <c r="D12" s="6" t="n">
        <v>6735</v>
      </c>
      <c r="E12" s="10" t="n">
        <f aca="false">C12-D12</f>
        <v>765</v>
      </c>
      <c r="F12" s="23" t="n">
        <f aca="false">IFERROR((D12-C12)/C12,0)</f>
        <v>-0.102</v>
      </c>
      <c r="G12" s="25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155</v>
      </c>
      <c r="B13" s="5" t="s">
        <v>156</v>
      </c>
      <c r="C13" s="6" t="n">
        <v>26735</v>
      </c>
      <c r="D13" s="6" t="n">
        <v>74881.5</v>
      </c>
      <c r="E13" s="10" t="n">
        <f aca="false">C13-D13</f>
        <v>-48146.5</v>
      </c>
      <c r="F13" s="23" t="n">
        <f aca="false">IFERROR((D13-C13)/C13,0)</f>
        <v>1.80087899756873</v>
      </c>
      <c r="G13" s="25" t="str">
        <f aca="false">IF(C13=0,"UNBUDGETED",IF(F13&gt;0.5,"CRITICAL",IF(F13&gt;0.1,"OVER",IF(F13&lt;-0.1,"UNDER","ON"))))</f>
        <v>CRITICAL</v>
      </c>
    </row>
    <row r="14" customFormat="false" ht="15" hidden="false" customHeight="true" outlineLevel="0" collapsed="false">
      <c r="A14" s="5" t="s">
        <v>157</v>
      </c>
      <c r="B14" s="5" t="s">
        <v>158</v>
      </c>
      <c r="C14" s="6" t="n">
        <v>12000</v>
      </c>
      <c r="D14" s="6" t="n">
        <v>12228</v>
      </c>
      <c r="E14" s="10" t="n">
        <f aca="false">C14-D14</f>
        <v>-228</v>
      </c>
      <c r="F14" s="23" t="n">
        <f aca="false">IFERROR((D14-C14)/C14,0)</f>
        <v>0.019</v>
      </c>
      <c r="G14" s="25" t="str">
        <f aca="false">IF(C14=0,"UNBUDGETED",IF(F14&gt;0.5,"CRITICAL",IF(F14&gt;0.1,"OVER",IF(F14&lt;-0.1,"UNDER","ON"))))</f>
        <v>ON</v>
      </c>
    </row>
    <row r="15" customFormat="false" ht="15" hidden="false" customHeight="true" outlineLevel="0" collapsed="false">
      <c r="A15" s="5" t="s">
        <v>159</v>
      </c>
      <c r="B15" s="5" t="s">
        <v>160</v>
      </c>
      <c r="C15" s="6" t="n">
        <v>11575</v>
      </c>
      <c r="D15" s="6" t="n">
        <v>3063.5</v>
      </c>
      <c r="E15" s="10" t="n">
        <f aca="false">C15-D15</f>
        <v>8511.5</v>
      </c>
      <c r="F15" s="23" t="n">
        <f aca="false">IFERROR((D15-C15)/C15,0)</f>
        <v>-0.735334773218143</v>
      </c>
      <c r="G15" s="25" t="str">
        <f aca="false">IF(C15=0,"UNBUDGETED",IF(F15&gt;0.5,"CRITICAL",IF(F15&gt;0.1,"OVER",IF(F15&lt;-0.1,"UNDER","ON"))))</f>
        <v>UNDER</v>
      </c>
    </row>
    <row r="16" customFormat="false" ht="15" hidden="false" customHeight="true" outlineLevel="0" collapsed="false">
      <c r="A16" s="5" t="s">
        <v>161</v>
      </c>
      <c r="B16" s="5" t="s">
        <v>162</v>
      </c>
      <c r="C16" s="6" t="n">
        <v>7500</v>
      </c>
      <c r="D16" s="6" t="n">
        <v>26287.7</v>
      </c>
      <c r="E16" s="10" t="n">
        <f aca="false">C16-D16</f>
        <v>-18787.7</v>
      </c>
      <c r="F16" s="23" t="n">
        <f aca="false">IFERROR((D16-C16)/C16,0)</f>
        <v>2.50502666666667</v>
      </c>
      <c r="G16" s="25" t="str">
        <f aca="false">IF(C16=0,"UNBUDGETED",IF(F16&gt;0.5,"CRITICAL",IF(F16&gt;0.1,"OVER",IF(F16&lt;-0.1,"UNDER","ON"))))</f>
        <v>CRITICAL</v>
      </c>
    </row>
    <row r="17" customFormat="false" ht="15" hidden="false" customHeight="true" outlineLevel="0" collapsed="false">
      <c r="A17" s="5" t="s">
        <v>163</v>
      </c>
      <c r="B17" s="5" t="s">
        <v>164</v>
      </c>
      <c r="C17" s="6" t="n">
        <v>5220</v>
      </c>
      <c r="D17" s="6" t="n">
        <v>9124.86</v>
      </c>
      <c r="E17" s="10" t="n">
        <f aca="false">C17-D17</f>
        <v>-3904.86</v>
      </c>
      <c r="F17" s="23" t="n">
        <f aca="false">IFERROR((D17-C17)/C17,0)</f>
        <v>0.748057471264368</v>
      </c>
      <c r="G17" s="25" t="str">
        <f aca="false">IF(C17=0,"UNBUDGETED",IF(F17&gt;0.5,"CRITICAL",IF(F17&gt;0.1,"OVER",IF(F17&lt;-0.1,"UNDER","ON"))))</f>
        <v>CRITICAL</v>
      </c>
    </row>
    <row r="18" customFormat="false" ht="15" hidden="false" customHeight="true" outlineLevel="0" collapsed="false">
      <c r="A18" s="5" t="s">
        <v>165</v>
      </c>
      <c r="B18" s="5" t="s">
        <v>166</v>
      </c>
      <c r="C18" s="6" t="n">
        <v>49582</v>
      </c>
      <c r="D18" s="6" t="n">
        <v>34199.43</v>
      </c>
      <c r="E18" s="10" t="n">
        <f aca="false">C18-D18</f>
        <v>15382.57</v>
      </c>
      <c r="F18" s="23" t="n">
        <f aca="false">IFERROR((D18-C18)/C18,0)</f>
        <v>-0.310245048606349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167</v>
      </c>
      <c r="B19" s="5" t="s">
        <v>168</v>
      </c>
      <c r="C19" s="6" t="n">
        <v>169700</v>
      </c>
      <c r="D19" s="6" t="n">
        <v>147852.36</v>
      </c>
      <c r="E19" s="10" t="n">
        <f aca="false">C19-D19</f>
        <v>21847.64</v>
      </c>
      <c r="F19" s="23" t="n">
        <f aca="false">IFERROR((D19-C19)/C19,0)</f>
        <v>-0.128742722451385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169</v>
      </c>
      <c r="B20" s="5" t="s">
        <v>170</v>
      </c>
      <c r="C20" s="6" t="n">
        <v>8500</v>
      </c>
      <c r="D20" s="6" t="n">
        <v>3477.36</v>
      </c>
      <c r="E20" s="10" t="n">
        <f aca="false">C20-D20</f>
        <v>5022.64</v>
      </c>
      <c r="F20" s="23" t="n">
        <f aca="false">IFERROR((D20-C20)/C20,0)</f>
        <v>-0.590898823529412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171</v>
      </c>
      <c r="B21" s="5" t="s">
        <v>172</v>
      </c>
      <c r="C21" s="6" t="n">
        <v>26265</v>
      </c>
      <c r="D21" s="6" t="n">
        <v>18210.35</v>
      </c>
      <c r="E21" s="10" t="n">
        <f aca="false">C21-D21</f>
        <v>8054.65</v>
      </c>
      <c r="F21" s="23" t="n">
        <f aca="false">IFERROR((D21-C21)/C21,0)</f>
        <v>-0.306668570340758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173</v>
      </c>
      <c r="B22" s="5" t="s">
        <v>174</v>
      </c>
      <c r="C22" s="6" t="n">
        <v>12500</v>
      </c>
      <c r="D22" s="6" t="n">
        <v>22105.44</v>
      </c>
      <c r="E22" s="10" t="n">
        <f aca="false">C22-D22</f>
        <v>-9605.44</v>
      </c>
      <c r="F22" s="23" t="n">
        <f aca="false">IFERROR((D22-C22)/C22,0)</f>
        <v>0.7684352</v>
      </c>
      <c r="G22" s="25" t="str">
        <f aca="false">IF(C22=0,"UNBUDGETED",IF(F22&gt;0.5,"CRITICAL",IF(F22&gt;0.1,"OVER",IF(F22&lt;-0.1,"UNDER","ON"))))</f>
        <v>CRITICAL</v>
      </c>
    </row>
    <row r="23" customFormat="false" ht="15" hidden="false" customHeight="true" outlineLevel="0" collapsed="false">
      <c r="A23" s="5" t="s">
        <v>175</v>
      </c>
      <c r="B23" s="5" t="s">
        <v>176</v>
      </c>
      <c r="C23" s="6" t="n">
        <v>1000</v>
      </c>
      <c r="D23" s="6" t="n">
        <v>6041.25</v>
      </c>
      <c r="E23" s="10" t="n">
        <f aca="false">C23-D23</f>
        <v>-5041.25</v>
      </c>
      <c r="F23" s="23" t="n">
        <f aca="false">IFERROR((D23-C23)/C23,0)</f>
        <v>5.04125</v>
      </c>
      <c r="G23" s="25" t="str">
        <f aca="false">IF(C23=0,"UNBUDGETED",IF(F23&gt;0.5,"CRITICAL",IF(F23&gt;0.1,"OVER",IF(F23&lt;-0.1,"UNDER","ON"))))</f>
        <v>CRITICAL</v>
      </c>
    </row>
    <row r="24" customFormat="false" ht="15" hidden="false" customHeight="true" outlineLevel="0" collapsed="false">
      <c r="A24" s="5" t="s">
        <v>177</v>
      </c>
      <c r="B24" s="5" t="s">
        <v>178</v>
      </c>
      <c r="C24" s="6" t="n">
        <v>18900</v>
      </c>
      <c r="D24" s="6" t="n">
        <v>17733.13</v>
      </c>
      <c r="E24" s="10" t="n">
        <f aca="false">C24-D24</f>
        <v>1166.87</v>
      </c>
      <c r="F24" s="23" t="n">
        <f aca="false">IFERROR((D24-C24)/C24,0)</f>
        <v>-0.0617391534391534</v>
      </c>
      <c r="G24" s="25" t="str">
        <f aca="false">IF(C24=0,"UNBUDGETED",IF(F24&gt;0.5,"CRITICAL",IF(F24&gt;0.1,"OVER",IF(F24&lt;-0.1,"UNDER","ON"))))</f>
        <v>ON</v>
      </c>
    </row>
    <row r="25" customFormat="false" ht="15" hidden="false" customHeight="true" outlineLevel="0" collapsed="false">
      <c r="A25" s="5" t="s">
        <v>179</v>
      </c>
      <c r="B25" s="5" t="s">
        <v>180</v>
      </c>
      <c r="C25" s="6" t="n">
        <v>850</v>
      </c>
      <c r="D25" s="6" t="n">
        <v>241.47</v>
      </c>
      <c r="E25" s="10" t="n">
        <f aca="false">C25-D25</f>
        <v>608.53</v>
      </c>
      <c r="F25" s="23" t="n">
        <f aca="false">IFERROR((D25-C25)/C25,0)</f>
        <v>-0.715917647058824</v>
      </c>
      <c r="G25" s="25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181</v>
      </c>
      <c r="B26" s="5" t="s">
        <v>182</v>
      </c>
      <c r="C26" s="6" t="n">
        <v>8298</v>
      </c>
      <c r="D26" s="6" t="n">
        <v>4539.5</v>
      </c>
      <c r="E26" s="10" t="n">
        <f aca="false">C26-D26</f>
        <v>3758.5</v>
      </c>
      <c r="F26" s="23" t="n">
        <f aca="false">IFERROR((D26-C26)/C26,0)</f>
        <v>-0.45294046758255</v>
      </c>
      <c r="G26" s="25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183</v>
      </c>
      <c r="B27" s="5" t="s">
        <v>184</v>
      </c>
      <c r="C27" s="6" t="n">
        <v>7000</v>
      </c>
      <c r="D27" s="6" t="n">
        <v>2909.83</v>
      </c>
      <c r="E27" s="10" t="n">
        <f aca="false">C27-D27</f>
        <v>4090.17</v>
      </c>
      <c r="F27" s="23" t="n">
        <f aca="false">IFERROR((D27-C27)/C27,0)</f>
        <v>-0.58431</v>
      </c>
      <c r="G27" s="25" t="str">
        <f aca="false">IF(C27=0,"UNBUDGETED",IF(F27&gt;0.5,"CRITICAL",IF(F27&gt;0.1,"OVER",IF(F27&lt;-0.1,"UNDER","ON"))))</f>
        <v>UNDER</v>
      </c>
    </row>
    <row r="28" customFormat="false" ht="15" hidden="false" customHeight="true" outlineLevel="0" collapsed="false">
      <c r="A28" s="5" t="s">
        <v>185</v>
      </c>
      <c r="B28" s="5" t="s">
        <v>186</v>
      </c>
      <c r="C28" s="6" t="n">
        <v>91307.25</v>
      </c>
      <c r="D28" s="6" t="n">
        <v>120818.93</v>
      </c>
      <c r="E28" s="10" t="n">
        <f aca="false">C28-D28</f>
        <v>-29511.68</v>
      </c>
      <c r="F28" s="23" t="n">
        <f aca="false">IFERROR((D28-C28)/C28,0)</f>
        <v>0.323212888352239</v>
      </c>
      <c r="G28" s="25" t="str">
        <f aca="false">IF(C28=0,"UNBUDGETED",IF(F28&gt;0.5,"CRITICAL",IF(F28&gt;0.1,"OVER",IF(F28&lt;-0.1,"UNDER","ON"))))</f>
        <v>OVER</v>
      </c>
    </row>
    <row r="29" customFormat="false" ht="15" hidden="false" customHeight="true" outlineLevel="0" collapsed="false">
      <c r="A29" s="5" t="s">
        <v>187</v>
      </c>
      <c r="B29" s="5" t="s">
        <v>188</v>
      </c>
      <c r="C29" s="6" t="n">
        <v>15522.24</v>
      </c>
      <c r="D29" s="6" t="n">
        <v>21641.82</v>
      </c>
      <c r="E29" s="10" t="n">
        <f aca="false">C29-D29</f>
        <v>-6119.58</v>
      </c>
      <c r="F29" s="23" t="n">
        <f aca="false">IFERROR((D29-C29)/C29,0)</f>
        <v>0.394245933576597</v>
      </c>
      <c r="G29" s="25" t="str">
        <f aca="false">IF(C29=0,"UNBUDGETED",IF(F29&gt;0.5,"CRITICAL",IF(F29&gt;0.1,"OVER",IF(F29&lt;-0.1,"UNDER","ON"))))</f>
        <v>OVER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201</v>
      </c>
    </row>
    <row r="3" customFormat="false" ht="15" hidden="false" customHeight="true" outlineLevel="0" collapsed="false">
      <c r="A3" s="22" t="s">
        <v>202</v>
      </c>
      <c r="B3" s="22" t="s">
        <v>203</v>
      </c>
      <c r="C3" s="22" t="s">
        <v>204</v>
      </c>
      <c r="D3" s="22" t="s">
        <v>205</v>
      </c>
    </row>
    <row r="4" customFormat="false" ht="15" hidden="false" customHeight="true" outlineLevel="0" collapsed="false">
      <c r="A4" s="5" t="s">
        <v>206</v>
      </c>
      <c r="B4" s="6" t="n">
        <v>76581.35</v>
      </c>
      <c r="C4" s="5" t="n">
        <v>84</v>
      </c>
      <c r="D4" s="23" t="n">
        <f aca="false">IFERROR(B4/SUM(B$4:B$21),0)</f>
        <v>0.291214434428986</v>
      </c>
    </row>
    <row r="5" customFormat="false" ht="15" hidden="false" customHeight="true" outlineLevel="0" collapsed="false">
      <c r="A5" s="5" t="s">
        <v>207</v>
      </c>
      <c r="B5" s="6" t="n">
        <v>74702.97</v>
      </c>
      <c r="C5" s="5" t="n">
        <v>12</v>
      </c>
      <c r="D5" s="23" t="n">
        <f aca="false">IFERROR(B5/SUM(B$4:B$21),0)</f>
        <v>0.284071554741664</v>
      </c>
    </row>
    <row r="6" customFormat="false" ht="15" hidden="false" customHeight="true" outlineLevel="0" collapsed="false">
      <c r="A6" s="5" t="s">
        <v>208</v>
      </c>
      <c r="B6" s="6" t="n">
        <v>31203.56</v>
      </c>
      <c r="C6" s="5" t="n">
        <v>3</v>
      </c>
      <c r="D6" s="23" t="n">
        <f aca="false">IFERROR(B6/SUM(B$4:B$21),0)</f>
        <v>0.11865718060038</v>
      </c>
    </row>
    <row r="7" customFormat="false" ht="15" hidden="false" customHeight="true" outlineLevel="0" collapsed="false">
      <c r="A7" s="5" t="s">
        <v>209</v>
      </c>
      <c r="B7" s="6" t="n">
        <v>21091.91</v>
      </c>
      <c r="C7" s="5" t="n">
        <v>26</v>
      </c>
      <c r="D7" s="23" t="n">
        <f aca="false">IFERROR(B7/SUM(B$4:B$21),0)</f>
        <v>0.080205802609605</v>
      </c>
    </row>
    <row r="8" customFormat="false" ht="15" hidden="false" customHeight="true" outlineLevel="0" collapsed="false">
      <c r="A8" s="5" t="s">
        <v>210</v>
      </c>
      <c r="B8" s="6" t="n">
        <v>18923.1</v>
      </c>
      <c r="C8" s="5" t="n">
        <v>27</v>
      </c>
      <c r="D8" s="23" t="n">
        <f aca="false">IFERROR(B8/SUM(B$4:B$21),0)</f>
        <v>0.0719585103180231</v>
      </c>
    </row>
    <row r="9" customFormat="false" ht="15" hidden="false" customHeight="true" outlineLevel="0" collapsed="false">
      <c r="A9" s="5" t="s">
        <v>211</v>
      </c>
      <c r="B9" s="6" t="n">
        <v>17445</v>
      </c>
      <c r="C9" s="5" t="n">
        <v>5</v>
      </c>
      <c r="D9" s="23" t="n">
        <f aca="false">IFERROR(B9/SUM(B$4:B$21),0)</f>
        <v>0.0663377677282218</v>
      </c>
    </row>
    <row r="10" customFormat="false" ht="15" hidden="false" customHeight="true" outlineLevel="0" collapsed="false">
      <c r="A10" s="5" t="s">
        <v>212</v>
      </c>
      <c r="B10" s="6" t="n">
        <v>7620.35</v>
      </c>
      <c r="C10" s="5" t="n">
        <v>32</v>
      </c>
      <c r="D10" s="23" t="n">
        <f aca="false">IFERROR(B10/SUM(B$4:B$21),0)</f>
        <v>0.0289777591463316</v>
      </c>
    </row>
    <row r="11" customFormat="false" ht="15" hidden="false" customHeight="true" outlineLevel="0" collapsed="false">
      <c r="A11" s="5" t="s">
        <v>213</v>
      </c>
      <c r="B11" s="6" t="n">
        <v>4475</v>
      </c>
      <c r="C11" s="5" t="n">
        <v>1</v>
      </c>
      <c r="D11" s="23" t="n">
        <f aca="false">IFERROR(B11/SUM(B$4:B$21),0)</f>
        <v>0.0170169968806989</v>
      </c>
    </row>
    <row r="12" customFormat="false" ht="15" hidden="false" customHeight="true" outlineLevel="0" collapsed="false">
      <c r="A12" s="5" t="s">
        <v>214</v>
      </c>
      <c r="B12" s="6" t="n">
        <v>4005</v>
      </c>
      <c r="C12" s="5" t="n">
        <v>5</v>
      </c>
      <c r="D12" s="23" t="n">
        <f aca="false">IFERROR(B12/SUM(B$4:B$21),0)</f>
        <v>0.0152297368731171</v>
      </c>
    </row>
    <row r="13" customFormat="false" ht="15" hidden="false" customHeight="true" outlineLevel="0" collapsed="false">
      <c r="A13" s="5" t="s">
        <v>215</v>
      </c>
      <c r="B13" s="6" t="n">
        <v>3856</v>
      </c>
      <c r="C13" s="5" t="n">
        <v>1</v>
      </c>
      <c r="D13" s="23" t="n">
        <f aca="false">IFERROR(B13/SUM(B$4:B$21),0)</f>
        <v>0.014663137423905</v>
      </c>
    </row>
    <row r="14" customFormat="false" ht="15" hidden="false" customHeight="true" outlineLevel="0" collapsed="false">
      <c r="A14" s="5" t="s">
        <v>216</v>
      </c>
      <c r="B14" s="6" t="n">
        <v>826.25</v>
      </c>
      <c r="C14" s="5" t="n">
        <v>2</v>
      </c>
      <c r="D14" s="23" t="n">
        <f aca="false">IFERROR(B14/SUM(B$4:B$21),0)</f>
        <v>0.00314196506652011</v>
      </c>
    </row>
    <row r="15" customFormat="false" ht="15" hidden="false" customHeight="true" outlineLevel="0" collapsed="false">
      <c r="A15" s="5" t="s">
        <v>217</v>
      </c>
      <c r="B15" s="6" t="n">
        <v>740</v>
      </c>
      <c r="C15" s="5" t="n">
        <v>1</v>
      </c>
      <c r="D15" s="23" t="n">
        <f aca="false">IFERROR(B15/SUM(B$4:B$21),0)</f>
        <v>0.00281398384172451</v>
      </c>
    </row>
    <row r="16" customFormat="false" ht="15" hidden="false" customHeight="true" outlineLevel="0" collapsed="false">
      <c r="A16" s="5" t="s">
        <v>218</v>
      </c>
      <c r="B16" s="6" t="n">
        <v>565.61</v>
      </c>
      <c r="C16" s="5" t="n">
        <v>2</v>
      </c>
      <c r="D16" s="23" t="n">
        <f aca="false">IFERROR(B16/SUM(B$4:B$21),0)</f>
        <v>0.00215083432529433</v>
      </c>
    </row>
    <row r="17" customFormat="false" ht="15" hidden="false" customHeight="true" outlineLevel="0" collapsed="false">
      <c r="A17" s="5" t="s">
        <v>219</v>
      </c>
      <c r="B17" s="6" t="n">
        <v>288.13</v>
      </c>
      <c r="C17" s="5" t="n">
        <v>4</v>
      </c>
      <c r="D17" s="23" t="n">
        <f aca="false">IFERROR(B17/SUM(B$4:B$21),0)</f>
        <v>0.00109566643826498</v>
      </c>
    </row>
    <row r="18" customFormat="false" ht="15" hidden="false" customHeight="true" outlineLevel="0" collapsed="false">
      <c r="A18" s="5" t="s">
        <v>220</v>
      </c>
      <c r="B18" s="6" t="n">
        <v>276.17</v>
      </c>
      <c r="C18" s="5" t="n">
        <v>1</v>
      </c>
      <c r="D18" s="23" t="n">
        <f aca="false">IFERROR(B18/SUM(B$4:B$21),0)</f>
        <v>0.00105018637509332</v>
      </c>
    </row>
    <row r="19" customFormat="false" ht="15" hidden="false" customHeight="true" outlineLevel="0" collapsed="false">
      <c r="A19" s="5" t="s">
        <v>221</v>
      </c>
      <c r="B19" s="6" t="n">
        <v>241.47</v>
      </c>
      <c r="C19" s="5" t="n">
        <v>1</v>
      </c>
      <c r="D19" s="23" t="n">
        <f aca="false">IFERROR(B19/SUM(B$4:B$21),0)</f>
        <v>0.000918233349001646</v>
      </c>
    </row>
    <row r="20" customFormat="false" ht="15" hidden="false" customHeight="true" outlineLevel="0" collapsed="false">
      <c r="A20" s="5" t="s">
        <v>222</v>
      </c>
      <c r="B20" s="6" t="n">
        <v>130.5</v>
      </c>
      <c r="C20" s="5" t="n">
        <v>1</v>
      </c>
      <c r="D20" s="23" t="n">
        <f aca="false">IFERROR(B20/SUM(B$4:B$21),0)</f>
        <v>0.000496249853168985</v>
      </c>
    </row>
    <row r="21" customFormat="false" ht="15" hidden="false" customHeight="true" outlineLevel="0" collapsed="false">
      <c r="A21" s="5" t="s">
        <v>223</v>
      </c>
      <c r="B21" s="6" t="n">
        <v>0</v>
      </c>
      <c r="C21" s="5" t="n">
        <v>6</v>
      </c>
      <c r="D21" s="23" t="n">
        <f aca="false">IFERROR(B21/SUM(B$4:B$21),0)</f>
        <v>0</v>
      </c>
    </row>
    <row r="22" customFormat="false" ht="15" hidden="false" customHeight="true" outlineLevel="0" collapsed="false">
      <c r="A22" s="13" t="s">
        <v>224</v>
      </c>
      <c r="B22" s="7" t="n">
        <f aca="false">SUM(B4:B21)</f>
        <v>262972.37</v>
      </c>
      <c r="C22" s="26" t="n">
        <f aca="false">SUM(C4:C21)</f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225</v>
      </c>
    </row>
    <row r="3" customFormat="false" ht="15" hidden="false" customHeight="true" outlineLevel="0" collapsed="false">
      <c r="A3" s="22" t="s">
        <v>226</v>
      </c>
      <c r="B3" s="22" t="s">
        <v>227</v>
      </c>
      <c r="C3" s="22" t="s">
        <v>228</v>
      </c>
      <c r="D3" s="22" t="s">
        <v>229</v>
      </c>
      <c r="E3" s="22" t="s">
        <v>230</v>
      </c>
    </row>
    <row r="4" customFormat="false" ht="15" hidden="false" customHeight="true" outlineLevel="0" collapsed="false">
      <c r="A4" s="5" t="s">
        <v>231</v>
      </c>
      <c r="B4" s="27" t="n">
        <v>1608.5</v>
      </c>
      <c r="C4" s="6" t="n">
        <v>28218</v>
      </c>
      <c r="D4" s="28" t="n">
        <f aca="false">IFERROR(C4/B4,0)</f>
        <v>17.5430525334162</v>
      </c>
      <c r="E4" s="5" t="s">
        <v>232</v>
      </c>
    </row>
    <row r="5" customFormat="false" ht="15" hidden="false" customHeight="true" outlineLevel="0" collapsed="false">
      <c r="A5" s="5" t="s">
        <v>233</v>
      </c>
      <c r="B5" s="27" t="n">
        <v>1575.5</v>
      </c>
      <c r="C5" s="6" t="n">
        <v>46943</v>
      </c>
      <c r="D5" s="28" t="n">
        <f aca="false">IFERROR(C5/B5,0)</f>
        <v>29.7956204379562</v>
      </c>
      <c r="E5" s="5" t="s">
        <v>234</v>
      </c>
    </row>
    <row r="6" customFormat="false" ht="15" hidden="false" customHeight="true" outlineLevel="0" collapsed="false">
      <c r="A6" s="5" t="s">
        <v>235</v>
      </c>
      <c r="B6" s="27" t="n">
        <v>1206.5</v>
      </c>
      <c r="C6" s="6" t="n">
        <v>37750</v>
      </c>
      <c r="D6" s="28" t="n">
        <f aca="false">IFERROR(C6/B6,0)</f>
        <v>31.2888520513883</v>
      </c>
      <c r="E6" s="5" t="s">
        <v>234</v>
      </c>
    </row>
    <row r="7" customFormat="false" ht="15" hidden="false" customHeight="true" outlineLevel="0" collapsed="false">
      <c r="A7" s="5" t="s">
        <v>236</v>
      </c>
      <c r="B7" s="27" t="n">
        <v>908</v>
      </c>
      <c r="C7" s="6" t="n">
        <v>42770</v>
      </c>
      <c r="D7" s="28" t="n">
        <f aca="false">IFERROR(C7/B7,0)</f>
        <v>47.1035242290749</v>
      </c>
      <c r="E7" s="5" t="s">
        <v>237</v>
      </c>
    </row>
    <row r="8" customFormat="false" ht="15" hidden="false" customHeight="true" outlineLevel="0" collapsed="false">
      <c r="A8" s="5" t="s">
        <v>238</v>
      </c>
      <c r="B8" s="27" t="n">
        <v>732</v>
      </c>
      <c r="C8" s="6" t="n">
        <v>17928</v>
      </c>
      <c r="D8" s="28" t="n">
        <f aca="false">IFERROR(C8/B8,0)</f>
        <v>24.4918032786885</v>
      </c>
      <c r="E8" s="5" t="s">
        <v>234</v>
      </c>
    </row>
    <row r="9" customFormat="false" ht="15" hidden="false" customHeight="true" outlineLevel="0" collapsed="false">
      <c r="A9" s="5" t="s">
        <v>239</v>
      </c>
      <c r="B9" s="27" t="n">
        <v>521</v>
      </c>
      <c r="C9" s="6" t="n">
        <v>8376</v>
      </c>
      <c r="D9" s="28" t="n">
        <f aca="false">IFERROR(C9/B9,0)</f>
        <v>16.0767754318618</v>
      </c>
      <c r="E9" s="5" t="s">
        <v>232</v>
      </c>
    </row>
    <row r="10" customFormat="false" ht="15" hidden="false" customHeight="true" outlineLevel="0" collapsed="false">
      <c r="A10" s="5" t="s">
        <v>240</v>
      </c>
      <c r="B10" s="27" t="n">
        <v>515</v>
      </c>
      <c r="C10" s="6" t="n">
        <v>17876</v>
      </c>
      <c r="D10" s="28" t="n">
        <f aca="false">IFERROR(C10/B10,0)</f>
        <v>34.7106796116505</v>
      </c>
      <c r="E10" s="5" t="s">
        <v>234</v>
      </c>
    </row>
    <row r="11" customFormat="false" ht="15" hidden="false" customHeight="true" outlineLevel="0" collapsed="false">
      <c r="A11" s="5" t="s">
        <v>241</v>
      </c>
      <c r="B11" s="27" t="n">
        <v>431</v>
      </c>
      <c r="C11" s="6" t="n">
        <v>12927</v>
      </c>
      <c r="D11" s="28" t="n">
        <f aca="false">IFERROR(C11/B11,0)</f>
        <v>29.9930394431555</v>
      </c>
      <c r="E11" s="5" t="s">
        <v>234</v>
      </c>
    </row>
    <row r="12" customFormat="false" ht="15" hidden="false" customHeight="true" outlineLevel="0" collapsed="false">
      <c r="A12" s="5" t="s">
        <v>242</v>
      </c>
      <c r="B12" s="27" t="n">
        <v>282.5</v>
      </c>
      <c r="C12" s="6" t="n">
        <v>7910</v>
      </c>
      <c r="D12" s="28" t="n">
        <f aca="false">IFERROR(C12/B12,0)</f>
        <v>28</v>
      </c>
      <c r="E12" s="5" t="s">
        <v>234</v>
      </c>
    </row>
    <row r="13" customFormat="false" ht="15" hidden="false" customHeight="true" outlineLevel="0" collapsed="false">
      <c r="A13" s="5" t="s">
        <v>243</v>
      </c>
      <c r="B13" s="27" t="n">
        <v>231</v>
      </c>
      <c r="C13" s="6" t="n">
        <v>9009</v>
      </c>
      <c r="D13" s="28" t="n">
        <f aca="false">IFERROR(C13/B13,0)</f>
        <v>39</v>
      </c>
      <c r="E13" s="5" t="s">
        <v>237</v>
      </c>
    </row>
    <row r="14" customFormat="false" ht="15" hidden="false" customHeight="true" outlineLevel="0" collapsed="false">
      <c r="A14" s="5" t="s">
        <v>244</v>
      </c>
      <c r="B14" s="27" t="n">
        <v>228</v>
      </c>
      <c r="C14" s="6" t="n">
        <v>11190</v>
      </c>
      <c r="D14" s="28" t="n">
        <f aca="false">IFERROR(C14/B14,0)</f>
        <v>49.0789473684211</v>
      </c>
      <c r="E14" s="5" t="s">
        <v>237</v>
      </c>
    </row>
    <row r="15" customFormat="false" ht="15" hidden="false" customHeight="true" outlineLevel="0" collapsed="false">
      <c r="A15" s="5" t="s">
        <v>245</v>
      </c>
      <c r="B15" s="27" t="n">
        <v>174.5</v>
      </c>
      <c r="C15" s="6" t="n">
        <v>4583</v>
      </c>
      <c r="D15" s="28" t="n">
        <f aca="false">IFERROR(C15/B15,0)</f>
        <v>26.2636103151862</v>
      </c>
      <c r="E15" s="5" t="s">
        <v>234</v>
      </c>
    </row>
    <row r="16" customFormat="false" ht="15" hidden="false" customHeight="true" outlineLevel="0" collapsed="false">
      <c r="A16" s="5" t="s">
        <v>246</v>
      </c>
      <c r="B16" s="27" t="n">
        <v>174.5</v>
      </c>
      <c r="C16" s="6" t="n">
        <v>5956</v>
      </c>
      <c r="D16" s="28" t="n">
        <f aca="false">IFERROR(C16/B16,0)</f>
        <v>34.1318051575931</v>
      </c>
      <c r="E16" s="5" t="s">
        <v>234</v>
      </c>
    </row>
    <row r="17" customFormat="false" ht="15" hidden="false" customHeight="true" outlineLevel="0" collapsed="false">
      <c r="A17" s="5" t="s">
        <v>247</v>
      </c>
      <c r="B17" s="27" t="n">
        <v>168</v>
      </c>
      <c r="C17" s="6" t="n">
        <v>2856</v>
      </c>
      <c r="D17" s="28" t="n">
        <f aca="false">IFERROR(C17/B17,0)</f>
        <v>17</v>
      </c>
      <c r="E17" s="5" t="s">
        <v>232</v>
      </c>
    </row>
    <row r="18" customFormat="false" ht="15" hidden="false" customHeight="true" outlineLevel="0" collapsed="false">
      <c r="A18" s="5" t="s">
        <v>248</v>
      </c>
      <c r="B18" s="27" t="n">
        <v>113</v>
      </c>
      <c r="C18" s="6" t="n">
        <v>2825</v>
      </c>
      <c r="D18" s="28" t="n">
        <f aca="false">IFERROR(C18/B18,0)</f>
        <v>25</v>
      </c>
      <c r="E18" s="5" t="s">
        <v>234</v>
      </c>
    </row>
    <row r="19" customFormat="false" ht="15" hidden="false" customHeight="true" outlineLevel="0" collapsed="false">
      <c r="A19" s="5" t="s">
        <v>249</v>
      </c>
      <c r="B19" s="27" t="n">
        <v>94.5</v>
      </c>
      <c r="C19" s="6" t="n">
        <v>5093</v>
      </c>
      <c r="D19" s="28" t="n">
        <f aca="false">IFERROR(C19/B19,0)</f>
        <v>53.8941798941799</v>
      </c>
      <c r="E19" s="5" t="s">
        <v>237</v>
      </c>
    </row>
    <row r="20" customFormat="false" ht="15" hidden="false" customHeight="true" outlineLevel="0" collapsed="false">
      <c r="A20" s="5" t="s">
        <v>250</v>
      </c>
      <c r="B20" s="27" t="n">
        <v>88</v>
      </c>
      <c r="C20" s="6" t="n">
        <v>1848</v>
      </c>
      <c r="D20" s="28" t="n">
        <f aca="false">IFERROR(C20/B20,0)</f>
        <v>21</v>
      </c>
      <c r="E20" s="5" t="s">
        <v>234</v>
      </c>
    </row>
    <row r="21" customFormat="false" ht="15" hidden="false" customHeight="true" outlineLevel="0" collapsed="false">
      <c r="A21" s="5" t="s">
        <v>251</v>
      </c>
      <c r="B21" s="27" t="n">
        <v>80</v>
      </c>
      <c r="C21" s="6" t="n">
        <v>0</v>
      </c>
      <c r="D21" s="28" t="n">
        <f aca="false">IFERROR(C21/B21,0)</f>
        <v>0</v>
      </c>
      <c r="E21" s="5" t="s">
        <v>232</v>
      </c>
    </row>
    <row r="22" customFormat="false" ht="15" hidden="false" customHeight="true" outlineLevel="0" collapsed="false">
      <c r="A22" s="5" t="s">
        <v>252</v>
      </c>
      <c r="B22" s="27" t="n">
        <v>79</v>
      </c>
      <c r="C22" s="6" t="n">
        <v>4148</v>
      </c>
      <c r="D22" s="28" t="n">
        <f aca="false">IFERROR(C22/B22,0)</f>
        <v>52.5063291139241</v>
      </c>
      <c r="E22" s="5" t="s">
        <v>237</v>
      </c>
    </row>
    <row r="23" customFormat="false" ht="15" hidden="false" customHeight="true" outlineLevel="0" collapsed="false">
      <c r="A23" s="5" t="s">
        <v>253</v>
      </c>
      <c r="B23" s="27" t="n">
        <v>78</v>
      </c>
      <c r="C23" s="6" t="n">
        <v>4207</v>
      </c>
      <c r="D23" s="28" t="n">
        <f aca="false">IFERROR(C23/B23,0)</f>
        <v>53.9358974358974</v>
      </c>
      <c r="E23" s="5" t="s">
        <v>237</v>
      </c>
    </row>
    <row r="24" customFormat="false" ht="15" hidden="false" customHeight="true" outlineLevel="0" collapsed="false">
      <c r="A24" s="5" t="s">
        <v>254</v>
      </c>
      <c r="B24" s="27" t="n">
        <v>56</v>
      </c>
      <c r="C24" s="6" t="n">
        <v>1008</v>
      </c>
      <c r="D24" s="28" t="n">
        <f aca="false">IFERROR(C24/B24,0)</f>
        <v>18</v>
      </c>
      <c r="E24" s="5" t="s">
        <v>232</v>
      </c>
    </row>
    <row r="25" customFormat="false" ht="15" hidden="false" customHeight="true" outlineLevel="0" collapsed="false">
      <c r="A25" s="5" t="s">
        <v>255</v>
      </c>
      <c r="B25" s="27" t="n">
        <v>50.5</v>
      </c>
      <c r="C25" s="6" t="n">
        <v>824</v>
      </c>
      <c r="D25" s="28" t="n">
        <f aca="false">IFERROR(C25/B25,0)</f>
        <v>16.3168316831683</v>
      </c>
      <c r="E25" s="5" t="s">
        <v>232</v>
      </c>
    </row>
    <row r="26" customFormat="false" ht="15" hidden="false" customHeight="true" outlineLevel="0" collapsed="false">
      <c r="A26" s="5" t="s">
        <v>256</v>
      </c>
      <c r="B26" s="27" t="n">
        <v>48</v>
      </c>
      <c r="C26" s="6" t="n">
        <v>0</v>
      </c>
      <c r="D26" s="28" t="n">
        <f aca="false">IFERROR(C26/B26,0)</f>
        <v>0</v>
      </c>
      <c r="E26" s="5" t="s">
        <v>232</v>
      </c>
    </row>
    <row r="27" customFormat="false" ht="15" hidden="false" customHeight="true" outlineLevel="0" collapsed="false">
      <c r="A27" s="5" t="s">
        <v>257</v>
      </c>
      <c r="B27" s="27" t="n">
        <v>48</v>
      </c>
      <c r="C27" s="6" t="n">
        <v>1104</v>
      </c>
      <c r="D27" s="28" t="n">
        <f aca="false">IFERROR(C27/B27,0)</f>
        <v>23</v>
      </c>
      <c r="E27" s="5" t="s">
        <v>234</v>
      </c>
    </row>
    <row r="28" customFormat="false" ht="15" hidden="false" customHeight="true" outlineLevel="0" collapsed="false">
      <c r="A28" s="5" t="s">
        <v>258</v>
      </c>
      <c r="B28" s="27" t="n">
        <v>47</v>
      </c>
      <c r="C28" s="6" t="n">
        <v>2938</v>
      </c>
      <c r="D28" s="28" t="n">
        <f aca="false">IFERROR(C28/B28,0)</f>
        <v>62.5106382978723</v>
      </c>
      <c r="E28" s="5" t="s">
        <v>237</v>
      </c>
    </row>
    <row r="29" customFormat="false" ht="15" hidden="false" customHeight="true" outlineLevel="0" collapsed="false">
      <c r="A29" s="5" t="s">
        <v>259</v>
      </c>
      <c r="B29" s="27" t="n">
        <v>44</v>
      </c>
      <c r="C29" s="6" t="n">
        <v>1234</v>
      </c>
      <c r="D29" s="28" t="n">
        <f aca="false">IFERROR(C29/B29,0)</f>
        <v>28.0454545454545</v>
      </c>
      <c r="E29" s="5" t="s">
        <v>234</v>
      </c>
    </row>
    <row r="30" customFormat="false" ht="15" hidden="false" customHeight="true" outlineLevel="0" collapsed="false">
      <c r="A30" s="5" t="s">
        <v>260</v>
      </c>
      <c r="B30" s="27" t="n">
        <v>37</v>
      </c>
      <c r="C30" s="6" t="n">
        <v>835</v>
      </c>
      <c r="D30" s="28" t="n">
        <f aca="false">IFERROR(C30/B30,0)</f>
        <v>22.5675675675676</v>
      </c>
      <c r="E30" s="5" t="s">
        <v>234</v>
      </c>
    </row>
    <row r="31" customFormat="false" ht="15" hidden="false" customHeight="true" outlineLevel="0" collapsed="false">
      <c r="A31" s="5" t="s">
        <v>261</v>
      </c>
      <c r="B31" s="27" t="n">
        <v>16</v>
      </c>
      <c r="C31" s="6" t="n">
        <v>272</v>
      </c>
      <c r="D31" s="28" t="n">
        <f aca="false">IFERROR(C31/B31,0)</f>
        <v>17</v>
      </c>
      <c r="E31" s="5" t="s">
        <v>232</v>
      </c>
    </row>
    <row r="32" customFormat="false" ht="15" hidden="false" customHeight="true" outlineLevel="0" collapsed="false">
      <c r="A32" s="5" t="s">
        <v>262</v>
      </c>
      <c r="B32" s="27" t="n">
        <v>15</v>
      </c>
      <c r="C32" s="6" t="n">
        <v>380</v>
      </c>
      <c r="D32" s="28" t="n">
        <f aca="false">IFERROR(C32/B32,0)</f>
        <v>25.3333333333333</v>
      </c>
      <c r="E32" s="5" t="s">
        <v>232</v>
      </c>
    </row>
    <row r="33" customFormat="false" ht="15" hidden="false" customHeight="true" outlineLevel="0" collapsed="false">
      <c r="A33" s="5" t="s">
        <v>263</v>
      </c>
      <c r="B33" s="27" t="n">
        <v>15</v>
      </c>
      <c r="C33" s="6" t="n">
        <v>429</v>
      </c>
      <c r="D33" s="28" t="n">
        <f aca="false">IFERROR(C33/B33,0)</f>
        <v>28.6</v>
      </c>
      <c r="E33" s="5" t="s">
        <v>234</v>
      </c>
    </row>
    <row r="34" customFormat="false" ht="15" hidden="false" customHeight="true" outlineLevel="0" collapsed="false">
      <c r="A34" s="5" t="s">
        <v>264</v>
      </c>
      <c r="B34" s="27" t="n">
        <v>8</v>
      </c>
      <c r="C34" s="6" t="n">
        <v>168</v>
      </c>
      <c r="D34" s="28" t="n">
        <f aca="false">IFERROR(C34/B34,0)</f>
        <v>21</v>
      </c>
      <c r="E34" s="5" t="s">
        <v>234</v>
      </c>
    </row>
    <row r="35" customFormat="false" ht="15" hidden="false" customHeight="true" outlineLevel="0" collapsed="false">
      <c r="A35" s="5" t="s">
        <v>265</v>
      </c>
      <c r="B35" s="27" t="n">
        <v>8</v>
      </c>
      <c r="C35" s="6" t="n">
        <v>256</v>
      </c>
      <c r="D35" s="28" t="n">
        <f aca="false">IFERROR(C35/B35,0)</f>
        <v>32</v>
      </c>
      <c r="E35" s="5" t="s">
        <v>234</v>
      </c>
    </row>
    <row r="36" customFormat="false" ht="15" hidden="false" customHeight="true" outlineLevel="0" collapsed="false">
      <c r="A36" s="5" t="s">
        <v>266</v>
      </c>
      <c r="B36" s="27" t="n">
        <v>8</v>
      </c>
      <c r="C36" s="6" t="n">
        <v>272</v>
      </c>
      <c r="D36" s="28" t="n">
        <f aca="false">IFERROR(C36/B36,0)</f>
        <v>34</v>
      </c>
      <c r="E36" s="5" t="s">
        <v>234</v>
      </c>
    </row>
    <row r="37" customFormat="false" ht="15" hidden="false" customHeight="true" outlineLevel="0" collapsed="false">
      <c r="A37" s="5" t="s">
        <v>267</v>
      </c>
      <c r="B37" s="27" t="n">
        <v>8</v>
      </c>
      <c r="C37" s="6" t="n">
        <v>288</v>
      </c>
      <c r="D37" s="28" t="n">
        <f aca="false">IFERROR(C37/B37,0)</f>
        <v>36</v>
      </c>
      <c r="E37" s="5" t="s">
        <v>237</v>
      </c>
    </row>
    <row r="38" customFormat="false" ht="15" hidden="false" customHeight="true" outlineLevel="0" collapsed="false">
      <c r="A38" s="5" t="s">
        <v>268</v>
      </c>
      <c r="B38" s="27" t="n">
        <v>7</v>
      </c>
      <c r="C38" s="6" t="n">
        <v>175</v>
      </c>
      <c r="D38" s="28" t="n">
        <f aca="false">IFERROR(C38/B38,0)</f>
        <v>25</v>
      </c>
      <c r="E38" s="5" t="s">
        <v>234</v>
      </c>
    </row>
    <row r="39" customFormat="false" ht="15" hidden="false" customHeight="true" outlineLevel="0" collapsed="false">
      <c r="A39" s="5" t="s">
        <v>269</v>
      </c>
      <c r="B39" s="27" t="n">
        <v>6</v>
      </c>
      <c r="C39" s="6" t="n">
        <v>300</v>
      </c>
      <c r="D39" s="28" t="n">
        <f aca="false">IFERROR(C39/B39,0)</f>
        <v>50</v>
      </c>
      <c r="E39" s="5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270</v>
      </c>
    </row>
    <row r="3" customFormat="false" ht="15" hidden="false" customHeight="true" outlineLevel="0" collapsed="false">
      <c r="A3" s="22" t="s">
        <v>230</v>
      </c>
      <c r="B3" s="22" t="s">
        <v>271</v>
      </c>
      <c r="C3" s="22" t="s">
        <v>227</v>
      </c>
      <c r="D3" s="22" t="s">
        <v>228</v>
      </c>
      <c r="E3" s="22" t="s">
        <v>272</v>
      </c>
    </row>
    <row r="4" customFormat="false" ht="15" hidden="false" customHeight="true" outlineLevel="0" collapsed="false">
      <c r="A4" s="13" t="s">
        <v>237</v>
      </c>
      <c r="B4" s="5" t="n">
        <v>9</v>
      </c>
      <c r="C4" s="27" t="n">
        <v>1679.5</v>
      </c>
      <c r="D4" s="6" t="n">
        <v>79942</v>
      </c>
      <c r="E4" s="23" t="n">
        <f aca="false">IFERROR(C4/SUM(C$4:C$7),0)</f>
        <v>0.172966014418126</v>
      </c>
    </row>
    <row r="5" customFormat="false" ht="15" hidden="false" customHeight="true" outlineLevel="0" collapsed="false">
      <c r="A5" s="13" t="s">
        <v>234</v>
      </c>
      <c r="B5" s="5" t="n">
        <v>18</v>
      </c>
      <c r="C5" s="27" t="n">
        <v>5467.5</v>
      </c>
      <c r="D5" s="6" t="n">
        <v>161019</v>
      </c>
      <c r="E5" s="23" t="n">
        <f aca="false">IFERROR(C5/SUM(C$4:C$7),0)</f>
        <v>0.56307929969104</v>
      </c>
    </row>
    <row r="6" customFormat="false" ht="15" hidden="false" customHeight="true" outlineLevel="0" collapsed="false">
      <c r="A6" s="13" t="s">
        <v>232</v>
      </c>
      <c r="B6" s="5" t="n">
        <v>9</v>
      </c>
      <c r="C6" s="27" t="n">
        <v>2563</v>
      </c>
      <c r="D6" s="6" t="n">
        <v>41935</v>
      </c>
      <c r="E6" s="23" t="n">
        <f aca="false">IFERROR(C6/SUM(C$4:C$7),0)</f>
        <v>0.263954685890834</v>
      </c>
    </row>
    <row r="7" customFormat="false" ht="15" hidden="false" customHeight="true" outlineLevel="0" collapsed="false">
      <c r="A7" s="13" t="s">
        <v>273</v>
      </c>
      <c r="B7" s="5" t="n">
        <v>0</v>
      </c>
      <c r="C7" s="27" t="n">
        <v>0</v>
      </c>
      <c r="D7" s="6" t="n">
        <v>0</v>
      </c>
      <c r="E7" s="23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274</v>
      </c>
    </row>
    <row r="3" customFormat="false" ht="15" hidden="false" customHeight="true" outlineLevel="0" collapsed="false">
      <c r="A3" s="5" t="s">
        <v>275</v>
      </c>
      <c r="B3" s="27" t="n">
        <v>9710</v>
      </c>
    </row>
    <row r="4" customFormat="false" ht="15" hidden="false" customHeight="true" outlineLevel="0" collapsed="false">
      <c r="A4" s="5" t="s">
        <v>276</v>
      </c>
      <c r="B4" s="29" t="n">
        <v>36</v>
      </c>
    </row>
    <row r="5" customFormat="false" ht="15" hidden="false" customHeight="true" outlineLevel="0" collapsed="false">
      <c r="A5" s="5" t="s">
        <v>277</v>
      </c>
      <c r="B5" s="27" t="n">
        <v>142.8</v>
      </c>
    </row>
    <row r="6" customFormat="false" ht="15" hidden="false" customHeight="true" outlineLevel="0" collapsed="false">
      <c r="A6" s="5" t="s">
        <v>278</v>
      </c>
      <c r="B6" s="30" t="n">
        <v>86.83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279</v>
      </c>
    </row>
    <row r="3" customFormat="false" ht="15" hidden="false" customHeight="true" outlineLevel="0" collapsed="false">
      <c r="A3" s="22" t="s">
        <v>280</v>
      </c>
      <c r="B3" s="22" t="s">
        <v>281</v>
      </c>
      <c r="C3" s="22" t="s">
        <v>282</v>
      </c>
      <c r="D3" s="22" t="s">
        <v>113</v>
      </c>
    </row>
    <row r="4" customFormat="false" ht="15" hidden="false" customHeight="true" outlineLevel="0" collapsed="false">
      <c r="A4" s="5" t="s">
        <v>283</v>
      </c>
      <c r="B4" s="31" t="n">
        <v>0.244887550157932</v>
      </c>
      <c r="C4" s="31" t="n">
        <v>0.34</v>
      </c>
      <c r="D4" s="23" t="n">
        <f aca="false">B4-C4</f>
        <v>-0.095112449842068</v>
      </c>
    </row>
    <row r="5" customFormat="false" ht="15" hidden="false" customHeight="true" outlineLevel="0" collapsed="false">
      <c r="A5" s="5" t="s">
        <v>284</v>
      </c>
      <c r="B5" s="31" t="n">
        <v>0.464614156308833</v>
      </c>
      <c r="C5" s="31" t="n">
        <v>0.45</v>
      </c>
      <c r="D5" s="23" t="n">
        <f aca="false">B5-C5</f>
        <v>0.014614156308833</v>
      </c>
    </row>
    <row r="6" customFormat="false" ht="15" hidden="false" customHeight="true" outlineLevel="0" collapsed="false">
      <c r="A6" s="5" t="s">
        <v>285</v>
      </c>
      <c r="B6" s="31" t="n">
        <v>0.291214434428986</v>
      </c>
      <c r="C6" s="31" t="n">
        <v>0.38</v>
      </c>
      <c r="D6" s="23" t="n">
        <f aca="false">B6-C6</f>
        <v>-0.088785565571014</v>
      </c>
    </row>
    <row r="7" customFormat="false" ht="15" hidden="false" customHeight="true" outlineLevel="0" collapsed="false">
      <c r="A7" s="5" t="s">
        <v>286</v>
      </c>
      <c r="B7" s="27" t="n">
        <v>142.794117647059</v>
      </c>
      <c r="C7" s="27" t="n">
        <v>95</v>
      </c>
      <c r="D7" s="32" t="n">
        <f aca="false">B7-C7</f>
        <v>47.794117647059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287</v>
      </c>
    </row>
    <row r="3" customFormat="false" ht="15" hidden="false" customHeight="true" outlineLevel="0" collapsed="false">
      <c r="A3" s="22" t="s">
        <v>288</v>
      </c>
      <c r="B3" s="22" t="s">
        <v>132</v>
      </c>
      <c r="C3" s="22" t="s">
        <v>289</v>
      </c>
    </row>
    <row r="4" customFormat="false" ht="15" hidden="false" customHeight="true" outlineLevel="0" collapsed="false">
      <c r="A4" s="5" t="s">
        <v>290</v>
      </c>
      <c r="B4" s="33" t="s">
        <v>291</v>
      </c>
      <c r="C4" s="5" t="s">
        <v>292</v>
      </c>
    </row>
    <row r="5" customFormat="false" ht="15" hidden="false" customHeight="true" outlineLevel="0" collapsed="false">
      <c r="A5" s="5" t="s">
        <v>293</v>
      </c>
      <c r="B5" s="33" t="s">
        <v>291</v>
      </c>
      <c r="C5" s="5" t="s">
        <v>294</v>
      </c>
    </row>
    <row r="6" customFormat="false" ht="15" hidden="false" customHeight="true" outlineLevel="0" collapsed="false">
      <c r="A6" s="5" t="s">
        <v>295</v>
      </c>
      <c r="B6" s="33" t="s">
        <v>291</v>
      </c>
      <c r="C6" s="5" t="s">
        <v>296</v>
      </c>
    </row>
    <row r="7" customFormat="false" ht="15" hidden="false" customHeight="true" outlineLevel="0" collapsed="false">
      <c r="A7" s="5" t="s">
        <v>297</v>
      </c>
      <c r="B7" s="33" t="s">
        <v>291</v>
      </c>
      <c r="C7" s="5" t="s">
        <v>298</v>
      </c>
    </row>
    <row r="8" customFormat="false" ht="15" hidden="false" customHeight="true" outlineLevel="0" collapsed="false">
      <c r="A8" s="5" t="s">
        <v>299</v>
      </c>
      <c r="B8" s="33" t="s">
        <v>291</v>
      </c>
      <c r="C8" s="5" t="s">
        <v>300</v>
      </c>
    </row>
    <row r="9" customFormat="false" ht="15" hidden="false" customHeight="true" outlineLevel="0" collapsed="false">
      <c r="A9" s="5" t="s">
        <v>301</v>
      </c>
      <c r="B9" s="33" t="s">
        <v>291</v>
      </c>
      <c r="C9" s="5" t="s">
        <v>302</v>
      </c>
    </row>
    <row r="10" customFormat="false" ht="15" hidden="false" customHeight="true" outlineLevel="0" collapsed="false">
      <c r="A10" s="5" t="s">
        <v>303</v>
      </c>
      <c r="B10" s="33" t="s">
        <v>291</v>
      </c>
      <c r="C10" s="5" t="s">
        <v>304</v>
      </c>
    </row>
    <row r="11" customFormat="false" ht="15" hidden="false" customHeight="true" outlineLevel="0" collapsed="false">
      <c r="A11" s="5" t="s">
        <v>305</v>
      </c>
      <c r="B11" s="33" t="s">
        <v>291</v>
      </c>
      <c r="C11" s="5" t="s">
        <v>306</v>
      </c>
    </row>
    <row r="12" customFormat="false" ht="15" hidden="false" customHeight="true" outlineLevel="0" collapsed="false">
      <c r="A12" s="5" t="s">
        <v>307</v>
      </c>
      <c r="B12" s="34" t="s">
        <v>308</v>
      </c>
      <c r="C12" s="5" t="s">
        <v>309</v>
      </c>
    </row>
    <row r="13" customFormat="false" ht="15" hidden="false" customHeight="true" outlineLevel="0" collapsed="false">
      <c r="A13" s="5" t="s">
        <v>310</v>
      </c>
      <c r="B13" s="34" t="s">
        <v>308</v>
      </c>
      <c r="C13" s="5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312</v>
      </c>
    </row>
    <row r="3" customFormat="false" ht="15" hidden="false" customHeight="true" outlineLevel="0" collapsed="false">
      <c r="A3" s="22" t="s">
        <v>14</v>
      </c>
      <c r="B3" s="22" t="s">
        <v>313</v>
      </c>
      <c r="C3" s="22" t="s">
        <v>314</v>
      </c>
      <c r="D3" s="22" t="s">
        <v>113</v>
      </c>
    </row>
    <row r="4" customFormat="false" ht="15" hidden="false" customHeight="true" outlineLevel="0" collapsed="false">
      <c r="A4" s="5" t="s">
        <v>315</v>
      </c>
      <c r="B4" s="6" t="n">
        <v>721143.43</v>
      </c>
      <c r="C4" s="6" t="n">
        <v>721143.43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316</v>
      </c>
      <c r="B5" s="6" t="n">
        <v>-843087</v>
      </c>
      <c r="C5" s="6" t="n">
        <v>767116</v>
      </c>
      <c r="D5" s="10" t="n">
        <f aca="false">IF(ISNUMBER(B5),B5-C5,"—")</f>
        <v>-1610203</v>
      </c>
    </row>
    <row r="6" customFormat="false" ht="15" hidden="false" customHeight="true" outlineLevel="0" collapsed="false">
      <c r="A6" s="5" t="s">
        <v>317</v>
      </c>
      <c r="C6" s="6" t="n">
        <v>262972.37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318</v>
      </c>
      <c r="C7" s="6" t="n">
        <v>425357.25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319</v>
      </c>
      <c r="C8" s="6" t="n">
        <v>-43157.19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320</v>
      </c>
    </row>
    <row r="3" customFormat="false" ht="15" hidden="false" customHeight="true" outlineLevel="0" collapsed="false">
      <c r="A3" s="22" t="s">
        <v>280</v>
      </c>
      <c r="B3" s="22" t="s">
        <v>321</v>
      </c>
      <c r="C3" s="22" t="s">
        <v>322</v>
      </c>
    </row>
    <row r="4" customFormat="false" ht="15" hidden="false" customHeight="true" outlineLevel="0" collapsed="false">
      <c r="A4" s="35" t="s">
        <v>283</v>
      </c>
      <c r="B4" s="35" t="s">
        <v>323</v>
      </c>
      <c r="C4" s="35" t="s">
        <v>324</v>
      </c>
    </row>
    <row r="5" customFormat="false" ht="15" hidden="false" customHeight="true" outlineLevel="0" collapsed="false">
      <c r="A5" s="35" t="s">
        <v>12</v>
      </c>
      <c r="B5" s="35" t="s">
        <v>323</v>
      </c>
      <c r="C5" s="35" t="s">
        <v>325</v>
      </c>
    </row>
    <row r="6" customFormat="false" ht="15" hidden="false" customHeight="true" outlineLevel="0" collapsed="false">
      <c r="A6" s="35" t="s">
        <v>326</v>
      </c>
      <c r="B6" s="35" t="s">
        <v>327</v>
      </c>
      <c r="C6" s="35" t="s">
        <v>328</v>
      </c>
    </row>
    <row r="7" customFormat="false" ht="15" hidden="false" customHeight="true" outlineLevel="0" collapsed="false">
      <c r="A7" s="35" t="s">
        <v>285</v>
      </c>
      <c r="B7" s="35" t="s">
        <v>329</v>
      </c>
      <c r="C7" s="35" t="s">
        <v>330</v>
      </c>
    </row>
    <row r="8" customFormat="false" ht="15" hidden="false" customHeight="true" outlineLevel="0" collapsed="false">
      <c r="A8" s="35" t="s">
        <v>286</v>
      </c>
      <c r="B8" s="35" t="s">
        <v>331</v>
      </c>
      <c r="C8" s="35" t="s">
        <v>332</v>
      </c>
    </row>
    <row r="9" customFormat="false" ht="23.25" hidden="false" customHeight="true" outlineLevel="0" collapsed="false">
      <c r="A9" s="35" t="s">
        <v>333</v>
      </c>
      <c r="B9" s="35" t="s">
        <v>334</v>
      </c>
      <c r="C9" s="35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336</v>
      </c>
    </row>
    <row r="3" customFormat="false" ht="15" hidden="false" customHeight="true" outlineLevel="0" collapsed="false">
      <c r="A3" s="22" t="s">
        <v>337</v>
      </c>
      <c r="B3" s="22" t="s">
        <v>338</v>
      </c>
      <c r="C3" s="22" t="s">
        <v>339</v>
      </c>
    </row>
    <row r="4" customFormat="false" ht="15" hidden="false" customHeight="true" outlineLevel="0" collapsed="false">
      <c r="A4" s="5" t="s">
        <v>340</v>
      </c>
      <c r="B4" s="5" t="s">
        <v>341</v>
      </c>
      <c r="C4" s="5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2026-04-26T02:18:32Z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