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#2036 · Westridge Apartments</t>
        </is>
      </c>
    </row>
    <row r="3">
      <c r="B3" s="2" t="inlineStr">
        <is>
          <t>Cortex JCR v2  •  Exxel Pacific, Inc. (customer 2036EP)  •  512 121st Place NE, Bellevue, WA  •  Owner: Exxel Pacific Westridge LLC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2036</t>
        </is>
      </c>
      <c r="D6" s="6" t="n"/>
      <c r="E6" s="7" t="n"/>
      <c r="F6" s="8" t="inlineStr">
        <is>
          <t>2036 Job Detail Report.pdf (Sage Timberline, 04/03/2026)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Westridge Apartments</t>
        </is>
      </c>
      <c r="D7" s="6" t="n"/>
      <c r="E7" s="7" t="n"/>
      <c r="F7" s="8" t="inlineStr">
        <is>
          <t>2036 Job Detail Report.pdf (Sage Timberline, 04/03/2026)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Westridge — 31-unit multifamily plumbing, Bellevue WA</t>
        </is>
      </c>
      <c r="D8" s="6" t="n"/>
      <c r="E8" s="7" t="n"/>
      <c r="F8" s="8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OWP Project List with Schedule - UPDATED 04-01-26.xlsx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2036EP</t>
        </is>
      </c>
      <c r="D10" s="6" t="n"/>
      <c r="E10" s="7" t="n"/>
      <c r="F10" s="8" t="inlineStr">
        <is>
          <t>2036 Job Detail Report.pdf (Sage Timberline, 04/03/2026)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Exxel Pacific Westridge LLC</t>
        </is>
      </c>
      <c r="D11" s="6" t="n"/>
      <c r="E11" s="7" t="n"/>
      <c r="F11" s="8" t="inlineStr">
        <is>
          <t>OWP Project List with Schedule - UPDATED 04-01-26.xlsx</t>
        </is>
      </c>
      <c r="G11" s="6" t="n"/>
      <c r="H11" s="6" t="n"/>
      <c r="I11" s="6" t="n"/>
      <c r="J11" s="7" t="n"/>
    </row>
    <row r="12">
      <c r="B12" s="4" t="inlineStr">
        <is>
          <t>GC PM</t>
        </is>
      </c>
      <c r="C12" s="5" t="inlineStr">
        <is>
          <t>David Strid</t>
        </is>
      </c>
      <c r="D12" s="6" t="n"/>
      <c r="E12" s="7" t="n"/>
      <c r="F12" s="8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" t="inlineStr">
        <is>
          <t>GC Superintendent</t>
        </is>
      </c>
      <c r="C13" s="5" t="inlineStr">
        <is>
          <t>Shon Geer</t>
        </is>
      </c>
      <c r="D13" s="6" t="n"/>
      <c r="E13" s="7" t="n"/>
      <c r="F13" s="8" t="inlineStr">
        <is>
          <t>OWP Project List with Schedule - UPDATED 04-01-26.xlsx</t>
        </is>
      </c>
      <c r="G13" s="6" t="n"/>
      <c r="H13" s="6" t="n"/>
      <c r="I13" s="6" t="n"/>
      <c r="J13" s="7" t="n"/>
    </row>
    <row r="14">
      <c r="B14" s="4" t="inlineStr">
        <is>
          <t>GC PE</t>
        </is>
      </c>
      <c r="C14" s="5" t="inlineStr">
        <is>
          <t>Jose Tapia</t>
        </is>
      </c>
      <c r="D14" s="6" t="n"/>
      <c r="E14" s="7" t="n"/>
      <c r="F14" s="8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" t="inlineStr">
        <is>
          <t>OWP Rough-in Foreman</t>
        </is>
      </c>
      <c r="C15" s="5" t="inlineStr">
        <is>
          <t>Gustavo</t>
        </is>
      </c>
      <c r="D15" s="6" t="n"/>
      <c r="E15" s="7" t="n"/>
      <c r="F15" s="8" t="inlineStr">
        <is>
          <t>Schedule tab</t>
        </is>
      </c>
      <c r="G15" s="6" t="n"/>
      <c r="H15" s="6" t="n"/>
      <c r="I15" s="6" t="n"/>
      <c r="J15" s="7" t="n"/>
    </row>
    <row r="16">
      <c r="B16" s="4" t="inlineStr">
        <is>
          <t>Jobsite Location</t>
        </is>
      </c>
      <c r="C16" s="5" t="inlineStr">
        <is>
          <t>512 121st Place NE, Bellevue, WA</t>
        </is>
      </c>
      <c r="D16" s="6" t="n"/>
      <c r="E16" s="7" t="n"/>
      <c r="F16" s="8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" t="inlineStr">
        <is>
          <t>Insurance</t>
        </is>
      </c>
      <c r="C17" s="5" t="inlineStr">
        <is>
          <t>Not Wrap</t>
        </is>
      </c>
      <c r="D17" s="6" t="n"/>
      <c r="E17" s="7" t="n"/>
      <c r="F17" s="8" t="inlineStr">
        <is>
          <t>OWP Project List with Schedule - UPDATED 04-01-26.xlsx</t>
        </is>
      </c>
      <c r="G17" s="6" t="n"/>
      <c r="H17" s="6" t="n"/>
      <c r="I17" s="6" t="n"/>
      <c r="J17" s="7" t="n"/>
    </row>
    <row r="18">
      <c r="B18" s="4" t="inlineStr">
        <is>
          <t>Fixture Schedule</t>
        </is>
      </c>
      <c r="C18" s="5" t="inlineStr">
        <is>
          <t>31-unit multifamily new construction</t>
        </is>
      </c>
      <c r="D18" s="6" t="n"/>
      <c r="E18" s="7" t="n"/>
      <c r="F18" s="8" t="inlineStr">
        <is>
          <t>Project scope</t>
        </is>
      </c>
      <c r="G18" s="6" t="n"/>
      <c r="H18" s="6" t="n"/>
      <c r="I18" s="6" t="n"/>
      <c r="J18" s="7" t="n"/>
    </row>
    <row r="19">
      <c r="B19" s="4" t="inlineStr">
        <is>
          <t>Contract Type</t>
        </is>
      </c>
      <c r="C19" s="5" t="inlineStr">
        <is>
          <t>Lump Sum</t>
        </is>
      </c>
      <c r="D19" s="6" t="n"/>
      <c r="E19" s="7" t="n"/>
      <c r="F19" s="8" t="inlineStr">
        <is>
          <t>2036-Exxel Pacific, Inc. subcontract + Job Info sheet</t>
        </is>
      </c>
      <c r="G19" s="6" t="n"/>
      <c r="H19" s="6" t="n"/>
      <c r="I19" s="6" t="n"/>
      <c r="J19" s="7" t="n"/>
    </row>
    <row r="20">
      <c r="B20" s="4" t="inlineStr">
        <is>
          <t>Unit Count</t>
        </is>
      </c>
      <c r="C20" s="5" t="n">
        <v>31</v>
      </c>
      <c r="D20" s="6" t="n"/>
      <c r="E20" s="7" t="n"/>
      <c r="F20" s="8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" t="inlineStr">
        <is>
          <t>Work Period</t>
        </is>
      </c>
      <c r="C21" s="5" t="inlineStr">
        <is>
          <t>2016-10-01 start → 2018 (20 months)</t>
        </is>
      </c>
      <c r="D21" s="6" t="n"/>
      <c r="E21" s="7" t="n"/>
      <c r="F21" s="8" t="inlineStr">
        <is>
          <t>JDR PR/AR dates</t>
        </is>
      </c>
      <c r="G21" s="6" t="n"/>
      <c r="H21" s="6" t="n"/>
      <c r="I21" s="6" t="n"/>
      <c r="J21" s="7" t="n"/>
    </row>
    <row r="23">
      <c r="B23" s="3" t="inlineStr">
        <is>
          <t>CONTRACT VALUE</t>
        </is>
      </c>
      <c r="D23" s="3" t="inlineStr">
        <is>
          <t>NET PROFIT</t>
        </is>
      </c>
      <c r="F23" s="3" t="inlineStr">
        <is>
          <t>DIRECT COST</t>
        </is>
      </c>
      <c r="H23" s="3" t="inlineStr">
        <is>
          <t>LABOR HOURS</t>
        </is>
      </c>
    </row>
    <row r="24">
      <c r="B24" s="9" t="n">
        <v>418677</v>
      </c>
      <c r="D24" s="9" t="n">
        <v>142468.04</v>
      </c>
      <c r="F24" s="9" t="n">
        <v>276208.96</v>
      </c>
      <c r="H24" s="10" t="n">
        <v>4098</v>
      </c>
    </row>
    <row r="25">
      <c r="B25" s="11" t="inlineStr">
        <is>
          <t>Original $388,515.00 + ($30,162.00) COs (7.76%)</t>
        </is>
      </c>
      <c r="D25" s="11" t="inlineStr">
        <is>
          <t>34.0% margin</t>
        </is>
      </c>
      <c r="F25" s="11" t="inlineStr">
        <is>
          <t>66.0% of revenue</t>
        </is>
      </c>
      <c r="H25" s="11" t="inlineStr">
        <is>
          <t>30 workers</t>
        </is>
      </c>
    </row>
    <row r="28">
      <c r="B28" s="3" t="inlineStr">
        <is>
          <t>SCOPE OF WORK</t>
        </is>
      </c>
    </row>
    <row r="29">
      <c r="B29" s="5" t="inlineStr">
        <is>
          <t>Full plumbing installation per Division 22: underground, garage, rough-in, finish, gas, water main, insulation.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31-unit multifamily new construction at 512 121st Place NE, Bellevue,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GC: Exxel Pacific, Inc. (2036EP); Owner/Developer: Exxel Pacific Westridge LLC.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Insurance: Not Wrap.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Project team: David Strid (GC PM) · Shon Geer (GC Sup) · Jose Tapia (GC PE) · Gustavo (OWP RI).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2036 Job Detail Report.pdf (Sage Timberline, 04/03/2026)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$418,677.00 / Expenses $276,208.96 / Net $142,468.04 / Retainage $41,867.70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 (derived): PR $111,994.00 · AP $93,265.85 · GL+other $70,949.11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Lump Sum $388,515.00 → $418,677.00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Change Orders (JDR-implied): $30,162.00 net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Project Team: David Strid · Shon Geer · Jose Tapia · Exxel Pacific · Gustavo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5">
    <mergeCell ref="C16:E16"/>
    <mergeCell ref="F11:J11"/>
    <mergeCell ref="B42:J42"/>
    <mergeCell ref="F10:J10"/>
    <mergeCell ref="F16:J16"/>
    <mergeCell ref="C9:E9"/>
    <mergeCell ref="F19:J19"/>
    <mergeCell ref="F6:J6"/>
    <mergeCell ref="C21:E21"/>
    <mergeCell ref="C12:E12"/>
    <mergeCell ref="B38:J38"/>
    <mergeCell ref="B29:J29"/>
    <mergeCell ref="F7:J7"/>
    <mergeCell ref="C11:E11"/>
    <mergeCell ref="F15:J15"/>
    <mergeCell ref="F21:J21"/>
    <mergeCell ref="B37:J37"/>
    <mergeCell ref="F12:J12"/>
    <mergeCell ref="F20:J20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32:J32"/>
    <mergeCell ref="C18:E18"/>
    <mergeCell ref="B41:J41"/>
    <mergeCell ref="F13:J13"/>
    <mergeCell ref="C15:E15"/>
    <mergeCell ref="C6:E6"/>
    <mergeCell ref="F9:J9"/>
    <mergeCell ref="B3:J3"/>
    <mergeCell ref="C14:E14"/>
    <mergeCell ref="B39:J39"/>
    <mergeCell ref="B31:J31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16 cost codes from JDR. Contract $388,515 → $418,677.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5120</v>
      </c>
      <c r="E6" s="15" t="n">
        <v>5220</v>
      </c>
      <c r="F6" s="15" t="n">
        <v>3394</v>
      </c>
      <c r="G6" s="15">
        <f>F6-E6</f>
        <v/>
      </c>
      <c r="H6" s="16">
        <f>IF(E6=0,"",F6/E6)</f>
        <v/>
      </c>
      <c r="I6" s="17" t="n">
        <v>71</v>
      </c>
      <c r="J6" s="8" t="inlineStr">
        <is>
          <t>2036 Job Detail Report.pdf (Sage Timberline, 04/03/2026)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5760</v>
      </c>
      <c r="E7" s="15" t="n">
        <v>6060</v>
      </c>
      <c r="F7" s="15" t="n">
        <v>6121.5</v>
      </c>
      <c r="G7" s="15">
        <f>F7-E7</f>
        <v/>
      </c>
      <c r="H7" s="16">
        <f>IF(E7=0,"",F7/E7)</f>
        <v/>
      </c>
      <c r="I7" s="17" t="n">
        <v>123</v>
      </c>
      <c r="J7" s="8" t="inlineStr">
        <is>
          <t>2036 Job Detail Report.pdf (Sage Timberline, 04/03/2026)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6800</v>
      </c>
      <c r="E8" s="15" t="n">
        <v>10340</v>
      </c>
      <c r="F8" s="15" t="n">
        <v>11913.5</v>
      </c>
      <c r="G8" s="15">
        <f>F8-E8</f>
        <v/>
      </c>
      <c r="H8" s="16">
        <f>IF(E8=0,"",F8/E8)</f>
        <v/>
      </c>
      <c r="I8" s="17" t="n">
        <v>400.5</v>
      </c>
      <c r="J8" s="8" t="inlineStr">
        <is>
          <t>2036 Job Detail Report.pdf (Sage Timberline, 04/03/2026)</t>
        </is>
      </c>
    </row>
    <row r="9">
      <c r="B9" s="14" t="inlineStr">
        <is>
          <t>120</t>
        </is>
      </c>
      <c r="C9" s="5" t="inlineStr">
        <is>
          <t>Roughin Labor</t>
        </is>
      </c>
      <c r="D9" s="15" t="n">
        <v>66670</v>
      </c>
      <c r="E9" s="15" t="n">
        <v>66670</v>
      </c>
      <c r="F9" s="15" t="n">
        <v>66604.5</v>
      </c>
      <c r="G9" s="15">
        <f>F9-E9</f>
        <v/>
      </c>
      <c r="H9" s="16">
        <f>IF(E9=0,"",F9/E9)</f>
        <v/>
      </c>
      <c r="I9" s="17" t="n">
        <v>2582.5</v>
      </c>
      <c r="J9" s="8" t="inlineStr">
        <is>
          <t>2036 Job Detail Report.pdf (Sage Timberline, 04/03/2026)</t>
        </is>
      </c>
    </row>
    <row r="10">
      <c r="B10" s="14" t="inlineStr">
        <is>
          <t>130</t>
        </is>
      </c>
      <c r="C10" s="5" t="inlineStr">
        <is>
          <t>Finish Labor</t>
        </is>
      </c>
      <c r="D10" s="15" t="n">
        <v>17520</v>
      </c>
      <c r="E10" s="15" t="n">
        <v>17520</v>
      </c>
      <c r="F10" s="15" t="n">
        <v>18527.25</v>
      </c>
      <c r="G10" s="15">
        <f>F10-E10</f>
        <v/>
      </c>
      <c r="H10" s="16">
        <f>IF(E10=0,"",F10/E10)</f>
        <v/>
      </c>
      <c r="I10" s="17" t="n">
        <v>731.5</v>
      </c>
      <c r="J10" s="8" t="inlineStr">
        <is>
          <t>2036 Job Detail Report.pdf (Sage Timberline, 04/03/2026)</t>
        </is>
      </c>
    </row>
    <row r="11">
      <c r="B11" s="14" t="inlineStr">
        <is>
          <t>141</t>
        </is>
      </c>
      <c r="C11" s="5" t="inlineStr">
        <is>
          <t>Water Main/Insulation Lab</t>
        </is>
      </c>
      <c r="D11" s="15" t="n">
        <v>2960</v>
      </c>
      <c r="E11" s="15" t="n">
        <v>4004</v>
      </c>
      <c r="F11" s="15" t="n">
        <v>5620</v>
      </c>
      <c r="G11" s="15">
        <f>F11-E11</f>
        <v/>
      </c>
      <c r="H11" s="16">
        <f>IF(E11=0,"",F11/E11)</f>
        <v/>
      </c>
      <c r="I11" s="17" t="n">
        <v>180</v>
      </c>
      <c r="J11" s="8" t="inlineStr">
        <is>
          <t>2036 Job Detail Report.pdf (Sage Timberline, 04/03/2026)</t>
        </is>
      </c>
    </row>
    <row r="12">
      <c r="B12" s="14" t="inlineStr">
        <is>
          <t>142</t>
        </is>
      </c>
      <c r="C12" s="5" t="inlineStr">
        <is>
          <t>Mech Room Labor</t>
        </is>
      </c>
      <c r="D12" s="15" t="n">
        <v>2600</v>
      </c>
      <c r="E12" s="15" t="n">
        <v>2600</v>
      </c>
      <c r="F12" s="15" t="n">
        <v>405</v>
      </c>
      <c r="G12" s="15">
        <f>F12-E12</f>
        <v/>
      </c>
      <c r="H12" s="16">
        <f>IF(E12=0,"",F12/E12)</f>
        <v/>
      </c>
      <c r="I12" s="17" t="n">
        <v>9.5</v>
      </c>
      <c r="J12" s="8" t="inlineStr">
        <is>
          <t>2036 Job Detail Report.pdf (Sage Timberline, 04/03/2026)</t>
        </is>
      </c>
    </row>
    <row r="13">
      <c r="B13" s="14" t="inlineStr">
        <is>
          <t>210</t>
        </is>
      </c>
      <c r="C13" s="5" t="inlineStr">
        <is>
          <t>Underground Material</t>
        </is>
      </c>
      <c r="D13" s="15" t="n">
        <v>6300</v>
      </c>
      <c r="E13" s="15" t="n">
        <v>7778</v>
      </c>
      <c r="F13" s="15" t="n">
        <v>7669.29</v>
      </c>
      <c r="G13" s="15">
        <f>F13-E13</f>
        <v/>
      </c>
      <c r="H13" s="16">
        <f>IF(E13=0,"",F13/E13)</f>
        <v/>
      </c>
      <c r="I13" s="17" t="inlineStr"/>
      <c r="J13" s="8" t="inlineStr">
        <is>
          <t>2036 Job Detail Report.pdf (Sage Timberline, 04/03/2026)</t>
        </is>
      </c>
    </row>
    <row r="14">
      <c r="B14" s="14" t="inlineStr">
        <is>
          <t>211</t>
        </is>
      </c>
      <c r="C14" s="5" t="inlineStr">
        <is>
          <t>Garage Material</t>
        </is>
      </c>
      <c r="D14" s="15" t="n">
        <v>0</v>
      </c>
      <c r="E14" s="15" t="n">
        <v>0</v>
      </c>
      <c r="F14" s="15" t="n">
        <v>65</v>
      </c>
      <c r="G14" s="15">
        <f>F14-E14</f>
        <v/>
      </c>
      <c r="H14" s="16">
        <f>IF(E14=0,"",F14/E14)</f>
        <v/>
      </c>
      <c r="I14" s="17" t="inlineStr"/>
      <c r="J14" s="8" t="inlineStr">
        <is>
          <t>2036 Job Detail Report.pdf (Sage Timberline, 04/03/2026)</t>
        </is>
      </c>
    </row>
    <row r="15">
      <c r="B15" s="14" t="inlineStr">
        <is>
          <t>220</t>
        </is>
      </c>
      <c r="C15" s="5" t="inlineStr">
        <is>
          <t>Roughin Material</t>
        </is>
      </c>
      <c r="D15" s="15" t="n">
        <v>30375</v>
      </c>
      <c r="E15" s="15" t="n">
        <v>30375</v>
      </c>
      <c r="F15" s="15" t="n">
        <v>21242.97</v>
      </c>
      <c r="G15" s="15">
        <f>F15-E15</f>
        <v/>
      </c>
      <c r="H15" s="16">
        <f>IF(E15=0,"",F15/E15)</f>
        <v/>
      </c>
      <c r="I15" s="17" t="inlineStr"/>
      <c r="J15" s="8" t="inlineStr">
        <is>
          <t>2036 Job Detail Report.pdf (Sage Timberline, 04/03/2026)</t>
        </is>
      </c>
    </row>
    <row r="16">
      <c r="B16" s="14" t="inlineStr">
        <is>
          <t>230</t>
        </is>
      </c>
      <c r="C16" s="5" t="inlineStr">
        <is>
          <t>Finish Material</t>
        </is>
      </c>
      <c r="D16" s="15" t="n">
        <v>62775</v>
      </c>
      <c r="E16" s="15" t="n">
        <v>73757</v>
      </c>
      <c r="F16" s="15" t="n">
        <v>65661.22</v>
      </c>
      <c r="G16" s="15">
        <f>F16-E16</f>
        <v/>
      </c>
      <c r="H16" s="16">
        <f>IF(E16=0,"",F16/E16)</f>
        <v/>
      </c>
      <c r="I16" s="17" t="inlineStr"/>
      <c r="J16" s="8" t="inlineStr">
        <is>
          <t>2036 Job Detail Report.pdf (Sage Timberline, 04/03/2026)</t>
        </is>
      </c>
    </row>
    <row r="17">
      <c r="B17" s="14" t="inlineStr">
        <is>
          <t>241</t>
        </is>
      </c>
      <c r="C17" s="5" t="inlineStr">
        <is>
          <t>Water Main/Insulation Mat</t>
        </is>
      </c>
      <c r="D17" s="15" t="n">
        <v>3320</v>
      </c>
      <c r="E17" s="15" t="n">
        <v>3917</v>
      </c>
      <c r="F17" s="15" t="n">
        <v>9614.370000000001</v>
      </c>
      <c r="G17" s="15">
        <f>F17-E17</f>
        <v/>
      </c>
      <c r="H17" s="16">
        <f>IF(E17=0,"",F17/E17)</f>
        <v/>
      </c>
      <c r="I17" s="17" t="inlineStr"/>
      <c r="J17" s="8" t="inlineStr">
        <is>
          <t>2036 Job Detail Report.pdf (Sage Timberline, 04/03/2026)</t>
        </is>
      </c>
    </row>
    <row r="18">
      <c r="B18" s="14" t="inlineStr">
        <is>
          <t>607</t>
        </is>
      </c>
      <c r="C18" s="5" t="inlineStr">
        <is>
          <t>Other Expenses</t>
        </is>
      </c>
      <c r="D18" s="15" t="n">
        <v>2500</v>
      </c>
      <c r="E18" s="15" t="n">
        <v>2500</v>
      </c>
      <c r="F18" s="15" t="n">
        <v>825.48</v>
      </c>
      <c r="G18" s="15">
        <f>F18-E18</f>
        <v/>
      </c>
      <c r="H18" s="16">
        <f>IF(E18=0,"",F18/E18)</f>
        <v/>
      </c>
      <c r="I18" s="17" t="inlineStr"/>
      <c r="J18" s="8" t="inlineStr">
        <is>
          <t>2036 Job Detail Report.pdf (Sage Timberline, 04/03/2026)</t>
        </is>
      </c>
    </row>
    <row r="19">
      <c r="B19" s="14" t="inlineStr">
        <is>
          <t>995</t>
        </is>
      </c>
      <c r="C19" s="5" t="inlineStr">
        <is>
          <t>Payroll Burden</t>
        </is>
      </c>
      <c r="D19" s="15" t="n">
        <v>48719.51</v>
      </c>
      <c r="E19" s="15" t="n">
        <v>51014.51</v>
      </c>
      <c r="F19" s="15" t="n">
        <v>49931.78</v>
      </c>
      <c r="G19" s="15">
        <f>F19-E19</f>
        <v/>
      </c>
      <c r="H19" s="16">
        <f>IF(E19=0,"",F19/E19)</f>
        <v/>
      </c>
      <c r="I19" s="17" t="inlineStr"/>
      <c r="J19" s="8" t="inlineStr">
        <is>
          <t>2036 Job Detail Report.pdf (Sage Timberline, 04/03/2026)</t>
        </is>
      </c>
    </row>
    <row r="20">
      <c r="B20" s="14" t="inlineStr">
        <is>
          <t>998</t>
        </is>
      </c>
      <c r="C20" s="5" t="inlineStr">
        <is>
          <t>Payroll Taxes</t>
        </is>
      </c>
      <c r="D20" s="15" t="n">
        <v>8218.4</v>
      </c>
      <c r="E20" s="15" t="n">
        <v>8608.549999999999</v>
      </c>
      <c r="F20" s="15" t="n">
        <v>8613.1</v>
      </c>
      <c r="G20" s="15">
        <f>F20-E20</f>
        <v/>
      </c>
      <c r="H20" s="16">
        <f>IF(E20=0,"",F20/E20)</f>
        <v/>
      </c>
      <c r="I20" s="17" t="inlineStr"/>
      <c r="J20" s="8" t="inlineStr">
        <is>
          <t>2036 Job Detail Report.pdf (Sage Timberline, 04/03/2026)</t>
        </is>
      </c>
    </row>
    <row r="21">
      <c r="B21" s="14" t="inlineStr">
        <is>
          <t>999</t>
        </is>
      </c>
      <c r="C21" s="5" t="inlineStr">
        <is>
          <t>Sales</t>
        </is>
      </c>
      <c r="D21" s="15" t="n">
        <v>-388515</v>
      </c>
      <c r="E21" s="15" t="n">
        <v>-418677</v>
      </c>
      <c r="F21" s="15" t="n">
        <v>-418677</v>
      </c>
      <c r="G21" s="15">
        <f>F21-E21</f>
        <v/>
      </c>
      <c r="H21" s="16">
        <f>IF(E21=0,"",F21/E21)</f>
        <v/>
      </c>
      <c r="I21" s="17" t="inlineStr"/>
      <c r="J21" s="8" t="inlineStr">
        <is>
          <t>2036 Job Detail Report.pdf (Sage Timberline, 04/03/2026)</t>
        </is>
      </c>
    </row>
    <row r="22">
      <c r="B22" s="18" t="inlineStr">
        <is>
          <t>TOTAL</t>
        </is>
      </c>
      <c r="D22" s="19">
        <f>SUM(D6:D21)</f>
        <v/>
      </c>
      <c r="E22" s="19">
        <f>SUM(E6:E21)</f>
        <v/>
      </c>
      <c r="F22" s="19">
        <f>SUM(F6:F21)</f>
        <v/>
      </c>
      <c r="G22" s="19">
        <f>F22-E22</f>
        <v/>
      </c>
      <c r="I22" s="10">
        <f>SUM(I6:I21)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100,101,110,120,130,141,142</t>
        </is>
      </c>
      <c r="D6" s="20" t="n">
        <v>112585.75</v>
      </c>
      <c r="E6" s="16">
        <f>D6/$D$11</f>
        <v/>
      </c>
      <c r="F6" s="16">
        <f>D6/418677.0</f>
        <v/>
      </c>
      <c r="G6" s="8" t="inlineStr">
        <is>
          <t>2036 Job Detail Report.pdf (Sage Timberline, 04/03/2026)</t>
        </is>
      </c>
    </row>
    <row r="7">
      <c r="B7" s="4" t="inlineStr">
        <is>
          <t>Material</t>
        </is>
      </c>
      <c r="C7" s="14" t="inlineStr">
        <is>
          <t>210,211,220,230,241</t>
        </is>
      </c>
      <c r="D7" s="20" t="n">
        <v>104252.85</v>
      </c>
      <c r="E7" s="16">
        <f>D7/$D$11</f>
        <v/>
      </c>
      <c r="F7" s="16">
        <f>D7/418677.0</f>
        <v/>
      </c>
      <c r="G7" s="8" t="inlineStr">
        <is>
          <t>2036 Job Detail Report.pdf (Sage Timberline, 04/03/2026)</t>
        </is>
      </c>
    </row>
    <row r="8">
      <c r="B8" s="4" t="inlineStr">
        <is>
          <t>Subcon+Engineering+Permits+Other</t>
        </is>
      </c>
      <c r="C8" s="14" t="inlineStr">
        <is>
          <t>607</t>
        </is>
      </c>
      <c r="D8" s="20" t="n">
        <v>825.48</v>
      </c>
      <c r="E8" s="16">
        <f>D8/$D$11</f>
        <v/>
      </c>
      <c r="F8" s="16">
        <f>D8/418677.0</f>
        <v/>
      </c>
      <c r="G8" s="8" t="inlineStr">
        <is>
          <t>2036 Job Detail Report.pdf (Sage Timberline, 04/03/2026)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49931.78</v>
      </c>
      <c r="E9" s="16">
        <f>D9/$D$11</f>
        <v/>
      </c>
      <c r="F9" s="16">
        <f>D9/418677.0</f>
        <v/>
      </c>
      <c r="G9" s="8" t="inlineStr">
        <is>
          <t>2036 Job Detail Report.pdf (Sage Timberline, 04/03/2026)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8613.1</v>
      </c>
      <c r="E10" s="16">
        <f>D10/$D$11</f>
        <v/>
      </c>
      <c r="F10" s="16">
        <f>D10/418677.0</f>
        <v/>
      </c>
      <c r="G10" s="8" t="inlineStr">
        <is>
          <t>2036 Job Detail Report.pdf (Sage Timberline, 04/03/2026)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D11/418677.0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from JDR AP records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2036FE</t>
        </is>
      </c>
      <c r="C6" s="5" t="inlineStr">
        <is>
          <t>Ferguson Enterprises, Inc. $Westridge</t>
        </is>
      </c>
      <c r="D6" s="15" t="n">
        <v>34359.22</v>
      </c>
      <c r="E6" s="14" t="n">
        <v>16</v>
      </c>
      <c r="F6" s="14" t="inlineStr">
        <is>
          <t>Plumbing / Supplies</t>
        </is>
      </c>
      <c r="G6" s="8" t="inlineStr">
        <is>
          <t>2036 Job Detail Report.pdf (Sage Timberline, 04/03/2026)</t>
        </is>
      </c>
    </row>
    <row r="7">
      <c r="B7" s="14" t="inlineStr">
        <is>
          <t>2036RS</t>
        </is>
      </c>
      <c r="C7" s="5" t="inlineStr">
        <is>
          <t>Rosen Supply Company, Inc. $Westridge</t>
        </is>
      </c>
      <c r="D7" s="15" t="n">
        <v>32338.03</v>
      </c>
      <c r="E7" s="14" t="n">
        <v>31</v>
      </c>
      <c r="F7" s="14" t="inlineStr">
        <is>
          <t>Plumbing / Supplies</t>
        </is>
      </c>
      <c r="G7" s="8" t="inlineStr">
        <is>
          <t>2036 Job Detail Report.pdf (Sage Timberline, 04/03/2026)</t>
        </is>
      </c>
    </row>
    <row r="8">
      <c r="B8" s="14" t="inlineStr">
        <is>
          <t>2036CS</t>
        </is>
      </c>
      <c r="C8" s="5" t="inlineStr">
        <is>
          <t>Consolidated Supply Co. $Westridge</t>
        </is>
      </c>
      <c r="D8" s="15" t="n">
        <v>16172.66</v>
      </c>
      <c r="E8" s="14" t="n">
        <v>14</v>
      </c>
      <c r="F8" s="14" t="inlineStr">
        <is>
          <t>Plumbing / Supplies</t>
        </is>
      </c>
      <c r="G8" s="8" t="inlineStr">
        <is>
          <t>2036 Job Detail Report.pdf (Sage Timberline, 04/03/2026)</t>
        </is>
      </c>
    </row>
    <row r="9">
      <c r="B9" s="14" t="inlineStr">
        <is>
          <t>1175FE</t>
        </is>
      </c>
      <c r="C9" s="5" t="inlineStr">
        <is>
          <t>Ferguson Enterprises, Inc. #3007</t>
        </is>
      </c>
      <c r="D9" s="15" t="n">
        <v>4793.630000000001</v>
      </c>
      <c r="E9" s="14" t="n">
        <v>15</v>
      </c>
      <c r="F9" s="14" t="inlineStr">
        <is>
          <t>Plumbing / Supplies</t>
        </is>
      </c>
      <c r="G9" s="8" t="inlineStr">
        <is>
          <t>2036 Job Detail Report.pdf (Sage Timberline, 04/03/2026)</t>
        </is>
      </c>
    </row>
    <row r="10">
      <c r="B10" s="14" t="inlineStr">
        <is>
          <t>1231KS</t>
        </is>
      </c>
      <c r="C10" s="5" t="inlineStr">
        <is>
          <t>Keller Supply Company</t>
        </is>
      </c>
      <c r="D10" s="15" t="n">
        <v>2581.14</v>
      </c>
      <c r="E10" s="14" t="n">
        <v>3</v>
      </c>
      <c r="F10" s="14" t="inlineStr">
        <is>
          <t>Plumbing / Supplies</t>
        </is>
      </c>
      <c r="G10" s="8" t="inlineStr">
        <is>
          <t>2036 Job Detail Report.pdf (Sage Timberline, 04/03/2026)</t>
        </is>
      </c>
    </row>
    <row r="11">
      <c r="B11" s="14" t="inlineStr">
        <is>
          <t>2036KS</t>
        </is>
      </c>
      <c r="C11" s="5" t="inlineStr">
        <is>
          <t>Keller Supply Co. $Westridge</t>
        </is>
      </c>
      <c r="D11" s="15" t="n">
        <v>1132.08</v>
      </c>
      <c r="E11" s="14" t="n">
        <v>2</v>
      </c>
      <c r="F11" s="14" t="inlineStr">
        <is>
          <t>Plumbing / Supplies</t>
        </is>
      </c>
      <c r="G11" s="8" t="inlineStr">
        <is>
          <t>2036 Job Detail Report.pdf (Sage Timberline, 04/03/2026)</t>
        </is>
      </c>
    </row>
    <row r="12">
      <c r="B12" s="14" t="inlineStr">
        <is>
          <t>1130CS</t>
        </is>
      </c>
      <c r="C12" s="5" t="inlineStr">
        <is>
          <t>Consolidated Supply Co.</t>
        </is>
      </c>
      <c r="D12" s="15" t="n">
        <v>931.38</v>
      </c>
      <c r="E12" s="14" t="n">
        <v>1</v>
      </c>
      <c r="F12" s="14" t="inlineStr">
        <is>
          <t>Plumbing / Supplies</t>
        </is>
      </c>
      <c r="G12" s="8" t="inlineStr">
        <is>
          <t>2036 Job Detail Report.pdf (Sage Timberline, 04/03/2026)</t>
        </is>
      </c>
    </row>
    <row r="13">
      <c r="B13" s="14" t="inlineStr">
        <is>
          <t>1380RS</t>
        </is>
      </c>
      <c r="C13" s="5" t="inlineStr">
        <is>
          <t>Rosen Supply Kirkland</t>
        </is>
      </c>
      <c r="D13" s="15" t="n">
        <v>414.11</v>
      </c>
      <c r="E13" s="14" t="n">
        <v>5</v>
      </c>
      <c r="F13" s="14" t="inlineStr">
        <is>
          <t>Plumbing / Supplies</t>
        </is>
      </c>
      <c r="G13" s="8" t="inlineStr">
        <is>
          <t>2036 Job Detail Report.pdf (Sage Timberline, 04/03/2026)</t>
        </is>
      </c>
    </row>
    <row r="14">
      <c r="B14" s="14" t="inlineStr">
        <is>
          <t>2033RS</t>
        </is>
      </c>
      <c r="C14" s="5" t="inlineStr">
        <is>
          <t>Rosen Supply Company, Inc. $Vuecrest</t>
        </is>
      </c>
      <c r="D14" s="15" t="n">
        <v>351.36</v>
      </c>
      <c r="E14" s="14" t="n">
        <v>1</v>
      </c>
      <c r="F14" s="14" t="inlineStr">
        <is>
          <t>Plumbing / Supplies</t>
        </is>
      </c>
      <c r="G14" s="8" t="inlineStr">
        <is>
          <t>2036 Job Detail Report.pdf (Sage Timberline, 04/03/2026)</t>
        </is>
      </c>
    </row>
    <row r="15">
      <c r="B15" s="14" t="inlineStr">
        <is>
          <t>1234CO</t>
        </is>
      </c>
      <c r="C15" s="5" t="inlineStr">
        <is>
          <t>Capital One Credit Card</t>
        </is>
      </c>
      <c r="D15" s="15" t="n">
        <v>108.86</v>
      </c>
      <c r="E15" s="14" t="n">
        <v>4</v>
      </c>
      <c r="F15" s="14" t="inlineStr">
        <is>
          <t>Credit Card (mixed)</t>
        </is>
      </c>
      <c r="G15" s="8" t="inlineStr">
        <is>
          <t>2036 Job Detail Report.pdf (Sage Timberline, 04/03/2026)</t>
        </is>
      </c>
    </row>
    <row r="16">
      <c r="B16" s="14" t="inlineStr">
        <is>
          <t>5621HD</t>
        </is>
      </c>
      <c r="C16" s="5" t="inlineStr">
        <is>
          <t>Core &amp; Main LP $HD Supply Waterworks</t>
        </is>
      </c>
      <c r="D16" s="15" t="n">
        <v>45.7</v>
      </c>
      <c r="E16" s="14" t="n">
        <v>1</v>
      </c>
      <c r="F16" s="14" t="inlineStr">
        <is>
          <t>Plumbing / Supplies</t>
        </is>
      </c>
      <c r="G16" s="8" t="inlineStr">
        <is>
          <t>2036 Job Detail Report.pdf (Sage Timberline, 04/03/2026)</t>
        </is>
      </c>
    </row>
    <row r="17">
      <c r="B17" s="14" t="inlineStr">
        <is>
          <t>2032RS</t>
        </is>
      </c>
      <c r="C17" s="5" t="inlineStr">
        <is>
          <t>Rosen Supply Company, Inc. $Roosevelt</t>
        </is>
      </c>
      <c r="D17" s="15" t="n">
        <v>37.68</v>
      </c>
      <c r="E17" s="14" t="n">
        <v>1</v>
      </c>
      <c r="F17" s="14" t="inlineStr">
        <is>
          <t>Plumbing / Supplies</t>
        </is>
      </c>
      <c r="G17" s="8" t="inlineStr">
        <is>
          <t>2036 Job Detail Report.pdf (Sage Timberline, 04/03/2026)</t>
        </is>
      </c>
    </row>
    <row r="18">
      <c r="B18" s="14" t="inlineStr">
        <is>
          <t>2035CS</t>
        </is>
      </c>
      <c r="C18" s="5" t="inlineStr">
        <is>
          <t>Consolidated Supply Co. $162Ten</t>
        </is>
      </c>
      <c r="D18" s="15" t="n">
        <v>0</v>
      </c>
      <c r="E18" s="14" t="n">
        <v>2</v>
      </c>
      <c r="F18" s="14" t="inlineStr">
        <is>
          <t>Plumbing / Supplies</t>
        </is>
      </c>
      <c r="G18" s="8" t="inlineStr">
        <is>
          <t>2036 Job Detail Report.pdf (Sage Timberline, 04/03/2026)</t>
        </is>
      </c>
    </row>
    <row r="19">
      <c r="B19" s="18" t="inlineStr">
        <is>
          <t>TOTAL</t>
        </is>
      </c>
      <c r="D19" s="21">
        <f>SUM(D6:D18)</f>
        <v/>
      </c>
      <c r="E19" s="23">
        <f>SUM(E6:E18)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30 unique payroll workers. OWP RI: Gustavo.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CA71</t>
        </is>
      </c>
      <c r="C6" s="5" t="inlineStr">
        <is>
          <t>Castaneda Juarez, Cesar O</t>
        </is>
      </c>
      <c r="D6" s="17" t="n">
        <v>866</v>
      </c>
      <c r="E6" s="20" t="n">
        <v>13356</v>
      </c>
      <c r="F6" s="20">
        <f>IF(D6=0,0,E6/D6)</f>
        <v/>
      </c>
      <c r="G6" s="14" t="n">
        <v>34</v>
      </c>
      <c r="H6" s="8" t="inlineStr">
        <is>
          <t>2036 Job Detail Report.pdf (Sage Timberline, 04/03/2026)</t>
        </is>
      </c>
    </row>
    <row r="7">
      <c r="B7" s="14" t="inlineStr">
        <is>
          <t>CA74</t>
        </is>
      </c>
      <c r="C7" s="5" t="inlineStr">
        <is>
          <t>Castaneda Martinez, Gustavo</t>
        </is>
      </c>
      <c r="D7" s="17" t="n">
        <v>853</v>
      </c>
      <c r="E7" s="20" t="n">
        <v>33761</v>
      </c>
      <c r="F7" s="20">
        <f>IF(D7=0,0,E7/D7)</f>
        <v/>
      </c>
      <c r="G7" s="14" t="n">
        <v>35</v>
      </c>
      <c r="H7" s="8" t="inlineStr">
        <is>
          <t>2036 Job Detail Report.pdf (Sage Timberline, 04/03/2026)</t>
        </is>
      </c>
    </row>
    <row r="8">
      <c r="B8" s="14" t="inlineStr">
        <is>
          <t>AM03</t>
        </is>
      </c>
      <c r="C8" s="5" t="inlineStr">
        <is>
          <t>Amaya Gonzalez, Edilberto A</t>
        </is>
      </c>
      <c r="D8" s="17" t="n">
        <v>501</v>
      </c>
      <c r="E8" s="20" t="n">
        <v>12514</v>
      </c>
      <c r="F8" s="20">
        <f>IF(D8=0,0,E8/D8)</f>
        <v/>
      </c>
      <c r="G8" s="14" t="n">
        <v>15</v>
      </c>
      <c r="H8" s="8" t="inlineStr">
        <is>
          <t>2036 Job Detail Report.pdf (Sage Timberline, 04/03/2026)</t>
        </is>
      </c>
    </row>
    <row r="9">
      <c r="B9" s="14" t="inlineStr">
        <is>
          <t>AS10</t>
        </is>
      </c>
      <c r="C9" s="5" t="inlineStr">
        <is>
          <t>Ascencio, Jose L</t>
        </is>
      </c>
      <c r="D9" s="17" t="n">
        <v>390</v>
      </c>
      <c r="E9" s="20" t="n">
        <v>8990</v>
      </c>
      <c r="F9" s="20">
        <f>IF(D9=0,0,E9/D9)</f>
        <v/>
      </c>
      <c r="G9" s="14" t="n">
        <v>11</v>
      </c>
      <c r="H9" s="8" t="inlineStr">
        <is>
          <t>2036 Job Detail Report.pdf (Sage Timberline, 04/03/2026)</t>
        </is>
      </c>
    </row>
    <row r="10">
      <c r="B10" s="14" t="inlineStr">
        <is>
          <t>CA72</t>
        </is>
      </c>
      <c r="C10" s="5" t="inlineStr">
        <is>
          <t>Castaneda Juarez, Edgar D</t>
        </is>
      </c>
      <c r="D10" s="17" t="n">
        <v>240</v>
      </c>
      <c r="E10" s="20" t="n">
        <v>6240</v>
      </c>
      <c r="F10" s="20">
        <f>IF(D10=0,0,E10/D10)</f>
        <v/>
      </c>
      <c r="G10" s="14" t="n">
        <v>9</v>
      </c>
      <c r="H10" s="8" t="inlineStr">
        <is>
          <t>2036 Job Detail Report.pdf (Sage Timberline, 04/03/2026)</t>
        </is>
      </c>
    </row>
    <row r="11">
      <c r="B11" s="14" t="inlineStr">
        <is>
          <t>GE70</t>
        </is>
      </c>
      <c r="C11" s="5" t="inlineStr">
        <is>
          <t>Gerard, Jordan E</t>
        </is>
      </c>
      <c r="D11" s="17" t="n">
        <v>231</v>
      </c>
      <c r="E11" s="20" t="n">
        <v>6908</v>
      </c>
      <c r="F11" s="20">
        <f>IF(D11=0,0,E11/D11)</f>
        <v/>
      </c>
      <c r="G11" s="14" t="n">
        <v>13</v>
      </c>
      <c r="H11" s="8" t="inlineStr">
        <is>
          <t>2036 Job Detail Report.pdf (Sage Timberline, 04/03/2026)</t>
        </is>
      </c>
    </row>
    <row r="12">
      <c r="B12" s="14" t="inlineStr">
        <is>
          <t>RO12</t>
        </is>
      </c>
      <c r="C12" s="5" t="inlineStr">
        <is>
          <t>Rodriguez Rodriguez, Aminadab N</t>
        </is>
      </c>
      <c r="D12" s="17" t="n">
        <v>152</v>
      </c>
      <c r="E12" s="20" t="n">
        <v>3344</v>
      </c>
      <c r="F12" s="20">
        <f>IF(D12=0,0,E12/D12)</f>
        <v/>
      </c>
      <c r="G12" s="14" t="n">
        <v>4</v>
      </c>
      <c r="H12" s="8" t="inlineStr">
        <is>
          <t>2036 Job Detail Report.pdf (Sage Timberline, 04/03/2026)</t>
        </is>
      </c>
    </row>
    <row r="13">
      <c r="B13" s="14" t="inlineStr">
        <is>
          <t>EG05</t>
        </is>
      </c>
      <c r="C13" s="5" t="inlineStr">
        <is>
          <t>Egbaou, Kossi D</t>
        </is>
      </c>
      <c r="D13" s="17" t="n">
        <v>132</v>
      </c>
      <c r="E13" s="20" t="n">
        <v>2112</v>
      </c>
      <c r="F13" s="20">
        <f>IF(D13=0,0,E13/D13)</f>
        <v/>
      </c>
      <c r="G13" s="14" t="n">
        <v>5</v>
      </c>
      <c r="H13" s="8" t="inlineStr">
        <is>
          <t>2036 Job Detail Report.pdf (Sage Timberline, 04/03/2026)</t>
        </is>
      </c>
    </row>
    <row r="14">
      <c r="B14" s="14" t="inlineStr">
        <is>
          <t>GE69</t>
        </is>
      </c>
      <c r="C14" s="5" t="inlineStr">
        <is>
          <t>Gerard, Jeffrey S</t>
        </is>
      </c>
      <c r="D14" s="17" t="n">
        <v>131</v>
      </c>
      <c r="E14" s="20" t="n">
        <v>6211</v>
      </c>
      <c r="F14" s="20">
        <f>IF(D14=0,0,E14/D14)</f>
        <v/>
      </c>
      <c r="G14" s="14" t="n">
        <v>55</v>
      </c>
      <c r="H14" s="8" t="inlineStr">
        <is>
          <t>2036 Job Detail Report.pdf (Sage Timberline, 04/03/2026)</t>
        </is>
      </c>
    </row>
    <row r="15">
      <c r="B15" s="14" t="inlineStr">
        <is>
          <t>SA54</t>
        </is>
      </c>
      <c r="C15" s="5" t="inlineStr">
        <is>
          <t>Sanders, Allen O</t>
        </is>
      </c>
      <c r="D15" s="17" t="n">
        <v>96</v>
      </c>
      <c r="E15" s="20" t="n">
        <v>4167</v>
      </c>
      <c r="F15" s="20">
        <f>IF(D15=0,0,E15/D15)</f>
        <v/>
      </c>
      <c r="G15" s="14" t="n">
        <v>20</v>
      </c>
      <c r="H15" s="8" t="inlineStr">
        <is>
          <t>2036 Job Detail Report.pdf (Sage Timberline, 04/03/2026)</t>
        </is>
      </c>
    </row>
    <row r="16">
      <c r="B16" s="14" t="inlineStr">
        <is>
          <t>GO51</t>
        </is>
      </c>
      <c r="C16" s="5" t="inlineStr">
        <is>
          <t>Gomez Reyes, Edith N</t>
        </is>
      </c>
      <c r="D16" s="17" t="n">
        <v>79</v>
      </c>
      <c r="E16" s="20" t="n">
        <v>1563</v>
      </c>
      <c r="F16" s="20">
        <f>IF(D16=0,0,E16/D16)</f>
        <v/>
      </c>
      <c r="G16" s="14" t="n">
        <v>7</v>
      </c>
      <c r="H16" s="8" t="inlineStr">
        <is>
          <t>2036 Job Detail Report.pdf (Sage Timberline, 04/03/2026)</t>
        </is>
      </c>
    </row>
    <row r="17">
      <c r="B17" s="14" t="inlineStr">
        <is>
          <t>HU06</t>
        </is>
      </c>
      <c r="C17" s="5" t="inlineStr">
        <is>
          <t>Hubbard, Robert W</t>
        </is>
      </c>
      <c r="D17" s="17" t="n">
        <v>76.5</v>
      </c>
      <c r="E17" s="20" t="n">
        <v>3290.5</v>
      </c>
      <c r="F17" s="20">
        <f>IF(D17=0,0,E17/D17)</f>
        <v/>
      </c>
      <c r="G17" s="14" t="n">
        <v>21</v>
      </c>
      <c r="H17" s="8" t="inlineStr">
        <is>
          <t>2036 Job Detail Report.pdf (Sage Timberline, 04/03/2026)</t>
        </is>
      </c>
    </row>
    <row r="18">
      <c r="B18" s="14" t="inlineStr">
        <is>
          <t>DO56</t>
        </is>
      </c>
      <c r="C18" s="5" t="inlineStr">
        <is>
          <t>Donelson, Richard T</t>
        </is>
      </c>
      <c r="D18" s="17" t="n">
        <v>63</v>
      </c>
      <c r="E18" s="20" t="n">
        <v>3304.5</v>
      </c>
      <c r="F18" s="20">
        <f>IF(D18=0,0,E18/D18)</f>
        <v/>
      </c>
      <c r="G18" s="14" t="n">
        <v>31</v>
      </c>
      <c r="H18" s="8" t="inlineStr">
        <is>
          <t>2036 Job Detail Report.pdf (Sage Timberline, 04/03/2026)</t>
        </is>
      </c>
    </row>
    <row r="19">
      <c r="B19" s="14" t="inlineStr">
        <is>
          <t>EL33</t>
        </is>
      </c>
      <c r="C19" s="5" t="inlineStr">
        <is>
          <t>Eliassen, Cory H</t>
        </is>
      </c>
      <c r="D19" s="17" t="n">
        <v>39</v>
      </c>
      <c r="E19" s="20" t="n">
        <v>859</v>
      </c>
      <c r="F19" s="20">
        <f>IF(D19=0,0,E19/D19)</f>
        <v/>
      </c>
      <c r="G19" s="14" t="n">
        <v>4</v>
      </c>
      <c r="H19" s="8" t="inlineStr">
        <is>
          <t>2036 Job Detail Report.pdf (Sage Timberline, 04/03/2026)</t>
        </is>
      </c>
    </row>
    <row r="20">
      <c r="B20" s="14" t="inlineStr">
        <is>
          <t>RE91</t>
        </is>
      </c>
      <c r="C20" s="5" t="inlineStr">
        <is>
          <t>Reyes, Maria E</t>
        </is>
      </c>
      <c r="D20" s="17" t="n">
        <v>39</v>
      </c>
      <c r="E20" s="20" t="n">
        <v>624</v>
      </c>
      <c r="F20" s="20">
        <f>IF(D20=0,0,E20/D20)</f>
        <v/>
      </c>
      <c r="G20" s="14" t="n">
        <v>3</v>
      </c>
      <c r="H20" s="8" t="inlineStr">
        <is>
          <t>2036 Job Detail Report.pdf (Sage Timberline, 04/03/2026)</t>
        </is>
      </c>
    </row>
    <row r="21">
      <c r="B21" s="14" t="inlineStr">
        <is>
          <t>NE46</t>
        </is>
      </c>
      <c r="C21" s="5" t="inlineStr">
        <is>
          <t>Nelson, Charles E</t>
        </is>
      </c>
      <c r="D21" s="17" t="n">
        <v>37</v>
      </c>
      <c r="E21" s="20" t="n">
        <v>592</v>
      </c>
      <c r="F21" s="20">
        <f>IF(D21=0,0,E21/D21)</f>
        <v/>
      </c>
      <c r="G21" s="14" t="n">
        <v>5</v>
      </c>
      <c r="H21" s="8" t="inlineStr">
        <is>
          <t>2036 Job Detail Report.pdf (Sage Timberline, 04/03/2026)</t>
        </is>
      </c>
    </row>
    <row r="22">
      <c r="B22" s="14" t="inlineStr">
        <is>
          <t>BA70</t>
        </is>
      </c>
      <c r="C22" s="5" t="inlineStr">
        <is>
          <t>Barnhart, Joseph N</t>
        </is>
      </c>
      <c r="D22" s="17" t="n">
        <v>33</v>
      </c>
      <c r="E22" s="20" t="n">
        <v>1520</v>
      </c>
      <c r="F22" s="20">
        <f>IF(D22=0,0,E22/D22)</f>
        <v/>
      </c>
      <c r="G22" s="14" t="n">
        <v>6</v>
      </c>
      <c r="H22" s="8" t="inlineStr">
        <is>
          <t>2036 Job Detail Report.pdf (Sage Timberline, 04/03/2026)</t>
        </is>
      </c>
    </row>
    <row r="23">
      <c r="B23" s="14" t="inlineStr">
        <is>
          <t>YO29</t>
        </is>
      </c>
      <c r="C23" s="5" t="inlineStr">
        <is>
          <t>Yohannes Jr., Samson</t>
        </is>
      </c>
      <c r="D23" s="17" t="n">
        <v>32</v>
      </c>
      <c r="E23" s="20" t="n">
        <v>576</v>
      </c>
      <c r="F23" s="20">
        <f>IF(D23=0,0,E23/D23)</f>
        <v/>
      </c>
      <c r="G23" s="14" t="n">
        <v>2</v>
      </c>
      <c r="H23" s="8" t="inlineStr">
        <is>
          <t>2036 Job Detail Report.pdf (Sage Timberline, 04/03/2026)</t>
        </is>
      </c>
    </row>
    <row r="24">
      <c r="B24" s="14" t="inlineStr">
        <is>
          <t>KI55</t>
        </is>
      </c>
      <c r="C24" s="5" t="inlineStr">
        <is>
          <t>Kinssies, Jr, John E</t>
        </is>
      </c>
      <c r="D24" s="17" t="n">
        <v>17.5</v>
      </c>
      <c r="E24" s="20" t="n">
        <v>455</v>
      </c>
      <c r="F24" s="20">
        <f>IF(D24=0,0,E24/D24)</f>
        <v/>
      </c>
      <c r="G24" s="14" t="n">
        <v>2</v>
      </c>
      <c r="H24" s="8" t="inlineStr">
        <is>
          <t>2036 Job Detail Report.pdf (Sage Timberline, 04/03/2026)</t>
        </is>
      </c>
    </row>
    <row r="25">
      <c r="B25" s="14" t="inlineStr">
        <is>
          <t>MA71</t>
        </is>
      </c>
      <c r="C25" s="5" t="inlineStr">
        <is>
          <t>Martinez Reyes, Juan C</t>
        </is>
      </c>
      <c r="D25" s="17" t="n">
        <v>16</v>
      </c>
      <c r="E25" s="20" t="n">
        <v>416</v>
      </c>
      <c r="F25" s="20">
        <f>IF(D25=0,0,E25/D25)</f>
        <v/>
      </c>
      <c r="G25" s="14" t="n">
        <v>2</v>
      </c>
      <c r="H25" s="8" t="inlineStr">
        <is>
          <t>2036 Job Detail Report.pdf (Sage Timberline, 04/03/2026)</t>
        </is>
      </c>
    </row>
    <row r="26">
      <c r="B26" s="14" t="inlineStr">
        <is>
          <t>HE70</t>
        </is>
      </c>
      <c r="C26" s="5" t="inlineStr">
        <is>
          <t>Hernandez Gonzalez, Osbaldo</t>
        </is>
      </c>
      <c r="D26" s="17" t="n">
        <v>16</v>
      </c>
      <c r="E26" s="20" t="n">
        <v>304</v>
      </c>
      <c r="F26" s="20">
        <f>IF(D26=0,0,E26/D26)</f>
        <v/>
      </c>
      <c r="G26" s="14" t="n">
        <v>1</v>
      </c>
      <c r="H26" s="8" t="inlineStr">
        <is>
          <t>2036 Job Detail Report.pdf (Sage Timberline, 04/03/2026)</t>
        </is>
      </c>
    </row>
    <row r="27">
      <c r="B27" s="14" t="inlineStr">
        <is>
          <t>GE71</t>
        </is>
      </c>
      <c r="C27" s="5" t="inlineStr">
        <is>
          <t>Gerard, Mitchell J</t>
        </is>
      </c>
      <c r="D27" s="17" t="n">
        <v>16</v>
      </c>
      <c r="E27" s="20" t="n">
        <v>0</v>
      </c>
      <c r="F27" s="20">
        <f>IF(D27=0,0,E27/D27)</f>
        <v/>
      </c>
      <c r="G27" s="14" t="n">
        <v>1</v>
      </c>
      <c r="H27" s="8" t="inlineStr">
        <is>
          <t>2036 Job Detail Report.pdf (Sage Timberline, 04/03/2026)</t>
        </is>
      </c>
    </row>
    <row r="28">
      <c r="B28" s="14" t="inlineStr">
        <is>
          <t>OL17</t>
        </is>
      </c>
      <c r="C28" s="5" t="inlineStr">
        <is>
          <t>Olea Galeana, Maricela</t>
        </is>
      </c>
      <c r="D28" s="17" t="n">
        <v>8</v>
      </c>
      <c r="E28" s="20" t="n">
        <v>128</v>
      </c>
      <c r="F28" s="20">
        <f>IF(D28=0,0,E28/D28)</f>
        <v/>
      </c>
      <c r="G28" s="14" t="n">
        <v>1</v>
      </c>
      <c r="H28" s="8" t="inlineStr">
        <is>
          <t>2036 Job Detail Report.pdf (Sage Timberline, 04/03/2026)</t>
        </is>
      </c>
    </row>
    <row r="29">
      <c r="B29" s="14" t="inlineStr">
        <is>
          <t>FO55</t>
        </is>
      </c>
      <c r="C29" s="5" t="inlineStr">
        <is>
          <t>Fonseca Teruel, Eduardo</t>
        </is>
      </c>
      <c r="D29" s="17" t="n">
        <v>8</v>
      </c>
      <c r="E29" s="20" t="n">
        <v>128</v>
      </c>
      <c r="F29" s="20">
        <f>IF(D29=0,0,E29/D29)</f>
        <v/>
      </c>
      <c r="G29" s="14" t="n">
        <v>1</v>
      </c>
      <c r="H29" s="8" t="inlineStr">
        <is>
          <t>2036 Job Detail Report.pdf (Sage Timberline, 04/03/2026)</t>
        </is>
      </c>
    </row>
    <row r="30">
      <c r="B30" s="14" t="inlineStr">
        <is>
          <t>GA70</t>
        </is>
      </c>
      <c r="C30" s="5" t="inlineStr">
        <is>
          <t>Garcia, Jordan X</t>
        </is>
      </c>
      <c r="D30" s="17" t="n">
        <v>5</v>
      </c>
      <c r="E30" s="20" t="n">
        <v>135</v>
      </c>
      <c r="F30" s="20">
        <f>IF(D30=0,0,E30/D30)</f>
        <v/>
      </c>
      <c r="G30" s="14" t="n">
        <v>1</v>
      </c>
      <c r="H30" s="8" t="inlineStr">
        <is>
          <t>2036 Job Detail Report.pdf (Sage Timberline, 04/03/2026)</t>
        </is>
      </c>
    </row>
    <row r="31">
      <c r="B31" s="14" t="inlineStr">
        <is>
          <t>RE18</t>
        </is>
      </c>
      <c r="C31" s="5" t="inlineStr">
        <is>
          <t>Reed, Reuben H</t>
        </is>
      </c>
      <c r="D31" s="17" t="n">
        <v>5</v>
      </c>
      <c r="E31" s="20" t="n">
        <v>180</v>
      </c>
      <c r="F31" s="20">
        <f>IF(D31=0,0,E31/D31)</f>
        <v/>
      </c>
      <c r="G31" s="14" t="n">
        <v>1</v>
      </c>
      <c r="H31" s="8" t="inlineStr">
        <is>
          <t>2036 Job Detail Report.pdf (Sage Timberline, 04/03/2026)</t>
        </is>
      </c>
    </row>
    <row r="32">
      <c r="B32" s="14" t="inlineStr">
        <is>
          <t>CO73</t>
        </is>
      </c>
      <c r="C32" s="5" t="inlineStr">
        <is>
          <t>Cortes Sepulveda, Jose R</t>
        </is>
      </c>
      <c r="D32" s="17" t="n">
        <v>5</v>
      </c>
      <c r="E32" s="20" t="n">
        <v>95</v>
      </c>
      <c r="F32" s="20">
        <f>IF(D32=0,0,E32/D32)</f>
        <v/>
      </c>
      <c r="G32" s="14" t="n">
        <v>1</v>
      </c>
      <c r="H32" s="8" t="inlineStr">
        <is>
          <t>2036 Job Detail Report.pdf (Sage Timberline, 04/03/2026)</t>
        </is>
      </c>
    </row>
    <row r="33">
      <c r="B33" s="14" t="inlineStr">
        <is>
          <t>HU04</t>
        </is>
      </c>
      <c r="C33" s="5" t="inlineStr">
        <is>
          <t>Hubbard, Dustin R</t>
        </is>
      </c>
      <c r="D33" s="17" t="n">
        <v>4</v>
      </c>
      <c r="E33" s="20" t="n">
        <v>84</v>
      </c>
      <c r="F33" s="20">
        <f>IF(D33=0,0,E33/D33)</f>
        <v/>
      </c>
      <c r="G33" s="14" t="n">
        <v>2</v>
      </c>
      <c r="H33" s="8" t="inlineStr">
        <is>
          <t>2036 Job Detail Report.pdf (Sage Timberline, 04/03/2026)</t>
        </is>
      </c>
    </row>
    <row r="34">
      <c r="B34" s="14" t="inlineStr">
        <is>
          <t>MC09</t>
        </is>
      </c>
      <c r="C34" s="5" t="inlineStr">
        <is>
          <t>McCabe, Thomas C</t>
        </is>
      </c>
      <c r="D34" s="17" t="n">
        <v>3</v>
      </c>
      <c r="E34" s="20" t="n">
        <v>93</v>
      </c>
      <c r="F34" s="20">
        <f>IF(D34=0,0,E34/D34)</f>
        <v/>
      </c>
      <c r="G34" s="14" t="n">
        <v>1</v>
      </c>
      <c r="H34" s="8" t="inlineStr">
        <is>
          <t>2036 Job Detail Report.pdf (Sage Timberline, 04/03/2026)</t>
        </is>
      </c>
    </row>
    <row r="35">
      <c r="B35" s="14" t="inlineStr">
        <is>
          <t>TA96</t>
        </is>
      </c>
      <c r="C35" s="5" t="inlineStr">
        <is>
          <t>Taylor, Evan R</t>
        </is>
      </c>
      <c r="D35" s="17" t="n">
        <v>2</v>
      </c>
      <c r="E35" s="20" t="n">
        <v>44</v>
      </c>
      <c r="F35" s="20">
        <f>IF(D35=0,0,E35/D35)</f>
        <v/>
      </c>
      <c r="G35" s="14" t="n">
        <v>1</v>
      </c>
      <c r="H35" s="8" t="inlineStr">
        <is>
          <t>2036 Job Detail Report.pdf (Sage Timberline, 04/03/2026)</t>
        </is>
      </c>
    </row>
    <row r="36">
      <c r="B36" s="18" t="inlineStr">
        <is>
          <t>TOTAL</t>
        </is>
      </c>
      <c r="D36" s="10">
        <f>SUM(D6:D35)</f>
        <v/>
      </c>
      <c r="E36" s="9">
        <f>SUM(E6:E35)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4" t="n">
        <v>30</v>
      </c>
      <c r="D7" s="5" t="inlineStr">
        <is>
          <t>Unique payroll IDs</t>
        </is>
      </c>
      <c r="E7" s="8" t="inlineStr">
        <is>
          <t>2036 Job Detail Report.pdf (Sage Timberline, 04/03/2026)</t>
        </is>
      </c>
    </row>
    <row r="8">
      <c r="B8" s="5" t="inlineStr">
        <is>
          <t>Total Labor Hours</t>
        </is>
      </c>
      <c r="C8" s="17" t="n">
        <v>4098</v>
      </c>
      <c r="D8" s="5" t="inlineStr">
        <is>
          <t>Sum of labor codes</t>
        </is>
      </c>
      <c r="E8" s="8" t="inlineStr">
        <is>
          <t>2036 Job Detail Report.pdf (Sage Timberline, 04/03/2026)</t>
        </is>
      </c>
    </row>
    <row r="9">
      <c r="B9" s="5" t="inlineStr">
        <is>
          <t>Total Gross Pay</t>
        </is>
      </c>
      <c r="C9" s="17" t="n">
        <v>112585.75</v>
      </c>
      <c r="D9" s="5" t="inlineStr">
        <is>
          <t>Sum of labor codes</t>
        </is>
      </c>
      <c r="E9" s="8" t="inlineStr">
        <is>
          <t>2036 Job Detail Report.pdf (Sage Timberline, 04/03/2026)</t>
        </is>
      </c>
    </row>
    <row r="10">
      <c r="B10" s="5" t="inlineStr">
        <is>
          <t>Blended Gross Wage ($/hr)</t>
        </is>
      </c>
      <c r="C10" s="20" t="n">
        <v>27.47334065397755</v>
      </c>
      <c r="D10" s="5" t="inlineStr">
        <is>
          <t>Labor$/Hrs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0.2113225963884822</v>
      </c>
      <c r="D11" s="5" t="inlineStr">
        <is>
          <t>CA71 Castaneda Juarez, Cesar O (866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0.6954612005856515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52.45238095238095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0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136.6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9.833333333333334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ratios. Per-unit from 31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 t="n">
        <v>102.1661786237189</v>
      </c>
      <c r="D6" s="14" t="inlineStr">
        <is>
          <t>USD/hr</t>
        </is>
      </c>
      <c r="E6" s="8" t="inlineStr"/>
    </row>
    <row r="7">
      <c r="B7" s="5" t="inlineStr">
        <is>
          <t>Profit per Labor Hour</t>
        </is>
      </c>
      <c r="C7" s="20" t="n">
        <v>34.76526110297707</v>
      </c>
      <c r="D7" s="14" t="inlineStr">
        <is>
          <t>USD/hr</t>
        </is>
      </c>
      <c r="E7" s="8" t="inlineStr"/>
    </row>
    <row r="8">
      <c r="B8" s="5" t="inlineStr">
        <is>
          <t>Labor Cost per Hour (blended)</t>
        </is>
      </c>
      <c r="C8" s="20" t="n">
        <v>27.47334065397755</v>
      </c>
      <c r="D8" s="14" t="inlineStr">
        <is>
          <t>USD/hr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 t="n">
        <v>41.7595485602733</v>
      </c>
      <c r="D9" s="14" t="inlineStr">
        <is>
          <t>USD/hr</t>
        </is>
      </c>
      <c r="E9" s="8" t="inlineStr">
        <is>
          <t>Incl burden+taxes</t>
        </is>
      </c>
    </row>
    <row r="10">
      <c r="B10" s="5" t="inlineStr">
        <is>
          <t>Burden Multiplier</t>
        </is>
      </c>
      <c r="C10" s="25" t="n">
        <v>1.520002575814435</v>
      </c>
      <c r="D10" s="14" t="inlineStr">
        <is>
          <t>x</t>
        </is>
      </c>
      <c r="E10" s="8" t="inlineStr">
        <is>
          <t>Fully-loaded/blended</t>
        </is>
      </c>
    </row>
    <row r="11">
      <c r="B11" s="5" t="inlineStr">
        <is>
          <t>Rough-in Hours (code 120)</t>
        </is>
      </c>
      <c r="C11" s="17" t="n">
        <v>2582.5</v>
      </c>
      <c r="D11" s="14" t="inlineStr">
        <is>
          <t>hrs</t>
        </is>
      </c>
      <c r="E11" s="8" t="inlineStr"/>
    </row>
    <row r="12">
      <c r="B12" s="5" t="inlineStr">
        <is>
          <t>Finish Hours (code 130)</t>
        </is>
      </c>
      <c r="C12" s="17" t="n">
        <v>731.5</v>
      </c>
      <c r="D12" s="14" t="inlineStr">
        <is>
          <t>hrs</t>
        </is>
      </c>
      <c r="E12" s="8" t="inlineStr"/>
    </row>
    <row r="13">
      <c r="B13" s="5" t="inlineStr">
        <is>
          <t>Rough-in % of Total Hours</t>
        </is>
      </c>
      <c r="C13" s="16" t="n">
        <v>0.6301854563201562</v>
      </c>
      <c r="D13" s="14" t="inlineStr">
        <is>
          <t>%</t>
        </is>
      </c>
      <c r="E13" s="8" t="inlineStr"/>
    </row>
    <row r="14">
      <c r="B14" s="5" t="inlineStr">
        <is>
          <t>Gross Margin</t>
        </is>
      </c>
      <c r="C14" s="16" t="n">
        <v>0.3402815057908604</v>
      </c>
      <c r="D14" s="14" t="inlineStr">
        <is>
          <t>%</t>
        </is>
      </c>
      <c r="E14" s="8" t="inlineStr"/>
    </row>
    <row r="15">
      <c r="B15" s="5" t="inlineStr">
        <is>
          <t>Labor % of Revenue</t>
        </is>
      </c>
      <c r="C15" s="16" t="n">
        <v>0.2689083708921197</v>
      </c>
      <c r="D15" s="14" t="inlineStr">
        <is>
          <t>%</t>
        </is>
      </c>
      <c r="E15" s="8" t="inlineStr"/>
    </row>
    <row r="16">
      <c r="B16" s="5" t="inlineStr">
        <is>
          <t>Material % of Revenue</t>
        </is>
      </c>
      <c r="C16" s="16" t="n">
        <v>0.2490054385600355</v>
      </c>
      <c r="D16" s="14" t="inlineStr">
        <is>
          <t>%</t>
        </is>
      </c>
      <c r="E16" s="8" t="inlineStr"/>
    </row>
    <row r="17">
      <c r="B17" s="5" t="inlineStr">
        <is>
          <t>Direct Cost Ratio</t>
        </is>
      </c>
      <c r="C17" s="16" t="n">
        <v>0.6597184942091396</v>
      </c>
      <c r="D17" s="14" t="inlineStr">
        <is>
          <t>%</t>
        </is>
      </c>
      <c r="E17" s="8" t="inlineStr">
        <is>
          <t>All exp/Rev</t>
        </is>
      </c>
    </row>
    <row r="18">
      <c r="B18" s="5" t="inlineStr">
        <is>
          <t>Revenue per Unit (31)</t>
        </is>
      </c>
      <c r="C18" s="20" t="n">
        <v>13505.70967741935</v>
      </c>
      <c r="D18" s="14" t="inlineStr">
        <is>
          <t>USD</t>
        </is>
      </c>
      <c r="E18" s="8" t="inlineStr">
        <is>
          <t>31 units</t>
        </is>
      </c>
    </row>
    <row r="19">
      <c r="B19" s="5" t="inlineStr">
        <is>
          <t>Labor Hours per Unit</t>
        </is>
      </c>
      <c r="C19" s="17" t="n">
        <v>132.1935483870968</v>
      </c>
      <c r="D19" s="14" t="inlineStr">
        <is>
          <t>hrs</t>
        </is>
      </c>
      <c r="E19" s="8" t="inlineStr"/>
    </row>
    <row r="20">
      <c r="B20" s="5" t="inlineStr">
        <is>
          <t>Labor Cost per Unit</t>
        </is>
      </c>
      <c r="C20" s="20" t="n">
        <v>3631.798387096774</v>
      </c>
      <c r="D20" s="14" t="inlineStr">
        <is>
          <t>USD</t>
        </is>
      </c>
      <c r="E20" s="8" t="inlineStr"/>
    </row>
    <row r="21">
      <c r="B21" s="5" t="inlineStr">
        <is>
          <t>Material Cost per Unit</t>
        </is>
      </c>
      <c r="C21" s="20" t="n">
        <v>3362.995161290323</v>
      </c>
      <c r="D21" s="14" t="inlineStr">
        <is>
          <t>USD</t>
        </is>
      </c>
      <c r="E21" s="8" t="inlineStr"/>
    </row>
    <row r="22">
      <c r="B22" s="5" t="inlineStr">
        <is>
          <t>Direct Cost per Unit</t>
        </is>
      </c>
      <c r="C22" s="20" t="n">
        <v>8909.966451612901</v>
      </c>
      <c r="D22" s="14" t="inlineStr">
        <is>
          <t>USD</t>
        </is>
      </c>
      <c r="E22" s="8" t="inlineStr"/>
    </row>
    <row r="23">
      <c r="B23" s="5" t="inlineStr">
        <is>
          <t>Rough-in Hours per Unit</t>
        </is>
      </c>
      <c r="C23" s="17" t="n">
        <v>83.30645161290323</v>
      </c>
      <c r="D23" s="14" t="inlineStr">
        <is>
          <t>hrs</t>
        </is>
      </c>
      <c r="E23" s="8" t="inlineStr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(GC → OWP). Outbound vendor commitments — see Material tab.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PRIME</t>
        </is>
      </c>
      <c r="C6" s="5" t="inlineStr">
        <is>
          <t>2016-10-01</t>
        </is>
      </c>
      <c r="D6" s="5" t="inlineStr">
        <is>
          <t>Exxel Pacific, Inc.</t>
        </is>
      </c>
      <c r="E6" s="14" t="inlineStr">
        <is>
          <t>Lump Sum Subcontract</t>
        </is>
      </c>
      <c r="F6" s="26" t="inlineStr">
        <is>
          <t>Closed</t>
        </is>
      </c>
      <c r="G6" s="5" t="inlineStr">
        <is>
          <t>Westridge Apartments plumbing (31 units) — per Div 22</t>
        </is>
      </c>
      <c r="H6" s="20" t="n">
        <v>388515</v>
      </c>
      <c r="I6" s="8" t="inlineStr">
        <is>
          <t>2036-Exxel Pacific, Inc. subcontract + Job Info sheet</t>
        </is>
      </c>
    </row>
    <row r="7">
      <c r="B7" s="14" t="inlineStr">
        <is>
          <t>CO-NET</t>
        </is>
      </c>
      <c r="C7" s="5" t="inlineStr">
        <is>
          <t>—</t>
        </is>
      </c>
      <c r="D7" s="5" t="inlineStr">
        <is>
          <t>Exxel Pacific, Inc.</t>
        </is>
      </c>
      <c r="E7" s="14" t="inlineStr">
        <is>
          <t>Change Orders (net, JDR-implied)</t>
        </is>
      </c>
      <c r="F7" s="26" t="inlineStr">
        <is>
          <t>Executed</t>
        </is>
      </c>
      <c r="G7" s="5" t="inlineStr">
        <is>
          <t>Net CO impact (Sage 999 rev - orig)</t>
        </is>
      </c>
      <c r="H7" s="15" t="n">
        <v>30162</v>
      </c>
      <c r="I7" s="8" t="inlineStr">
        <is>
          <t>2036 Job Detail Report.pdf (Sage Timberline, 04/03/2026)</t>
        </is>
      </c>
    </row>
    <row r="8">
      <c r="B8" s="18" t="inlineStr">
        <is>
          <t>TOTAL (contract + COs)</t>
        </is>
      </c>
      <c r="H8" s="21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14 invoices to Exxel Pacific, Inc.. Retainage $41,867.70.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036880</t>
        </is>
      </c>
      <c r="C6" s="14" t="inlineStr">
        <is>
          <t>05/19/17</t>
        </is>
      </c>
      <c r="D6" s="15" t="n">
        <v>-28650</v>
      </c>
      <c r="E6" s="15" t="n">
        <v>-1432.5</v>
      </c>
      <c r="F6" s="14" t="n">
        <v>1</v>
      </c>
      <c r="G6" s="8" t="inlineStr">
        <is>
          <t>2036 Job Detail Report.pdf (Sage Timberline, 04/03/2026)</t>
        </is>
      </c>
    </row>
    <row r="7">
      <c r="B7" s="14" t="inlineStr">
        <is>
          <t>036892</t>
        </is>
      </c>
      <c r="C7" s="14" t="inlineStr">
        <is>
          <t>06/01/17</t>
        </is>
      </c>
      <c r="D7" s="15" t="n">
        <v>28650</v>
      </c>
      <c r="E7" s="15" t="n">
        <v>1432.5</v>
      </c>
      <c r="F7" s="14" t="n">
        <v>1</v>
      </c>
      <c r="G7" s="8" t="inlineStr">
        <is>
          <t>2036 Job Detail Report.pdf (Sage Timberline, 04/03/2026)</t>
        </is>
      </c>
    </row>
    <row r="8">
      <c r="B8" s="14" t="inlineStr">
        <is>
          <t>036893</t>
        </is>
      </c>
      <c r="C8" s="14" t="inlineStr">
        <is>
          <t>06/01/17</t>
        </is>
      </c>
      <c r="D8" s="15" t="n">
        <v>-28650</v>
      </c>
      <c r="E8" s="15" t="n">
        <v>-2865</v>
      </c>
      <c r="F8" s="14" t="n">
        <v>1</v>
      </c>
      <c r="G8" s="8" t="inlineStr">
        <is>
          <t>2036 Job Detail Report.pdf (Sage Timberline, 04/03/2026)</t>
        </is>
      </c>
    </row>
    <row r="9">
      <c r="B9" s="14" t="inlineStr">
        <is>
          <t>036954</t>
        </is>
      </c>
      <c r="C9" s="14" t="inlineStr">
        <is>
          <t>09/20/17</t>
        </is>
      </c>
      <c r="D9" s="15" t="n">
        <v>-88188</v>
      </c>
      <c r="E9" s="15" t="n">
        <v>-8818.799999999999</v>
      </c>
      <c r="F9" s="14" t="n">
        <v>1</v>
      </c>
      <c r="G9" s="8" t="inlineStr">
        <is>
          <t>2036 Job Detail Report.pdf (Sage Timberline, 04/03/2026)</t>
        </is>
      </c>
    </row>
    <row r="10">
      <c r="B10" s="14" t="inlineStr">
        <is>
          <t>036962</t>
        </is>
      </c>
      <c r="C10" s="14" t="inlineStr">
        <is>
          <t>10/20/17</t>
        </is>
      </c>
      <c r="D10" s="15" t="n">
        <v>-177270</v>
      </c>
      <c r="E10" s="15" t="n">
        <v>-17727</v>
      </c>
      <c r="F10" s="14" t="n">
        <v>1</v>
      </c>
      <c r="G10" s="8" t="inlineStr">
        <is>
          <t>2036 Job Detail Report.pdf (Sage Timberline, 04/03/2026)</t>
        </is>
      </c>
    </row>
    <row r="11">
      <c r="B11" s="14" t="inlineStr">
        <is>
          <t>036985</t>
        </is>
      </c>
      <c r="C11" s="14" t="inlineStr">
        <is>
          <t>11/17/17</t>
        </is>
      </c>
      <c r="D11" s="15" t="n">
        <v>-38955</v>
      </c>
      <c r="E11" s="15" t="n">
        <v>-3895.5</v>
      </c>
      <c r="F11" s="14" t="n">
        <v>1</v>
      </c>
      <c r="G11" s="8" t="inlineStr">
        <is>
          <t>2036 Job Detail Report.pdf (Sage Timberline, 04/03/2026)</t>
        </is>
      </c>
    </row>
    <row r="12">
      <c r="B12" s="14" t="inlineStr">
        <is>
          <t>036997</t>
        </is>
      </c>
      <c r="C12" s="14" t="inlineStr">
        <is>
          <t>12/15/17</t>
        </is>
      </c>
      <c r="D12" s="15" t="n">
        <v>-4800</v>
      </c>
      <c r="E12" s="15" t="n">
        <v>-480</v>
      </c>
      <c r="F12" s="14" t="n">
        <v>1</v>
      </c>
      <c r="G12" s="8" t="inlineStr">
        <is>
          <t>2036 Job Detail Report.pdf (Sage Timberline, 04/03/2026)</t>
        </is>
      </c>
    </row>
    <row r="13">
      <c r="B13" s="14" t="inlineStr">
        <is>
          <t>037096</t>
        </is>
      </c>
      <c r="C13" s="14" t="inlineStr">
        <is>
          <t>05/18/18</t>
        </is>
      </c>
      <c r="D13" s="15" t="n">
        <v>-29034</v>
      </c>
      <c r="E13" s="15" t="n">
        <v>-2903.4</v>
      </c>
      <c r="F13" s="14" t="n">
        <v>1</v>
      </c>
      <c r="G13" s="8" t="inlineStr">
        <is>
          <t>2036 Job Detail Report.pdf (Sage Timberline, 04/03/2026)</t>
        </is>
      </c>
    </row>
    <row r="14">
      <c r="B14" s="14" t="inlineStr">
        <is>
          <t>037120</t>
        </is>
      </c>
      <c r="C14" s="14" t="inlineStr">
        <is>
          <t>06/20/18</t>
        </is>
      </c>
      <c r="D14" s="15" t="n">
        <v>-34491</v>
      </c>
      <c r="E14" s="15" t="n">
        <v>-3449.1</v>
      </c>
      <c r="F14" s="14" t="n">
        <v>1</v>
      </c>
      <c r="G14" s="8" t="inlineStr">
        <is>
          <t>2036 Job Detail Report.pdf (Sage Timberline, 04/03/2026)</t>
        </is>
      </c>
    </row>
    <row r="15">
      <c r="B15" s="14" t="inlineStr">
        <is>
          <t>037142</t>
        </is>
      </c>
      <c r="C15" s="14" t="inlineStr">
        <is>
          <t>07/20/18</t>
        </is>
      </c>
      <c r="D15" s="15" t="n">
        <v>-4600</v>
      </c>
      <c r="E15" s="15" t="n">
        <v>-460</v>
      </c>
      <c r="F15" s="14" t="n">
        <v>1</v>
      </c>
      <c r="G15" s="8" t="inlineStr">
        <is>
          <t>2036 Job Detail Report.pdf (Sage Timberline, 04/03/2026)</t>
        </is>
      </c>
    </row>
    <row r="16">
      <c r="B16" s="14" t="inlineStr">
        <is>
          <t>037176</t>
        </is>
      </c>
      <c r="C16" s="14" t="inlineStr">
        <is>
          <t>09/19/18</t>
        </is>
      </c>
      <c r="D16" s="15" t="n">
        <v>-750</v>
      </c>
      <c r="E16" s="15" t="n">
        <v>-75</v>
      </c>
      <c r="F16" s="14" t="n">
        <v>1</v>
      </c>
      <c r="G16" s="8" t="inlineStr">
        <is>
          <t>2036 Job Detail Report.pdf (Sage Timberline, 04/03/2026)</t>
        </is>
      </c>
    </row>
    <row r="17">
      <c r="B17" s="14" t="inlineStr">
        <is>
          <t>037194</t>
        </is>
      </c>
      <c r="C17" s="14" t="inlineStr">
        <is>
          <t>09/19/18</t>
        </is>
      </c>
      <c r="D17" s="15" t="n">
        <v>750</v>
      </c>
      <c r="E17" s="15" t="n">
        <v>75</v>
      </c>
      <c r="F17" s="14" t="n">
        <v>1</v>
      </c>
      <c r="G17" s="8" t="inlineStr">
        <is>
          <t>2036 Job Detail Report.pdf (Sage Timberline, 04/03/2026)</t>
        </is>
      </c>
    </row>
    <row r="18">
      <c r="B18" s="14" t="inlineStr">
        <is>
          <t>037195</t>
        </is>
      </c>
      <c r="C18" s="14" t="inlineStr">
        <is>
          <t>09/19/18</t>
        </is>
      </c>
      <c r="D18" s="15" t="n">
        <v>-9200</v>
      </c>
      <c r="E18" s="15" t="n">
        <v>-920</v>
      </c>
      <c r="F18" s="14" t="n">
        <v>1</v>
      </c>
      <c r="G18" s="8" t="inlineStr">
        <is>
          <t>2036 Job Detail Report.pdf (Sage Timberline, 04/03/2026)</t>
        </is>
      </c>
    </row>
    <row r="19">
      <c r="B19" s="14" t="inlineStr">
        <is>
          <t>037239</t>
        </is>
      </c>
      <c r="C19" s="14" t="inlineStr">
        <is>
          <t>11/16/18</t>
        </is>
      </c>
      <c r="D19" s="15" t="n">
        <v>-3489</v>
      </c>
      <c r="E19" s="15" t="n">
        <v>-348.9</v>
      </c>
      <c r="F19" s="14" t="n">
        <v>1</v>
      </c>
      <c r="G19" s="8" t="inlineStr">
        <is>
          <t>2036 Job Detail Report.pdf (Sage Timberline, 04/03/2026)</t>
        </is>
      </c>
    </row>
    <row r="20">
      <c r="B20" s="18" t="inlineStr">
        <is>
          <t>TOTAL (signed)</t>
        </is>
      </c>
      <c r="D20" s="19">
        <f>SUM(D6:D19)</f>
        <v/>
      </c>
      <c r="E20" s="19">
        <f>SUM(E6:E19)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MARGIN PROFILE</t>
        </is>
      </c>
      <c r="D6" s="5" t="inlineStr">
        <is>
          <t>Net profit $142,468.04 on $418,677.00 revenue = 34.0% gross margin.</t>
        </is>
      </c>
      <c r="E6" s="26" t="inlineStr">
        <is>
          <t>Verified</t>
        </is>
      </c>
      <c r="F6" s="8" t="inlineStr">
        <is>
          <t>2036 Job Detail Report.pdf (Sage Timberline, 04/03/2026)</t>
        </is>
      </c>
    </row>
    <row r="7" ht="58" customHeight="1">
      <c r="B7" s="14" t="n">
        <v>2</v>
      </c>
      <c r="C7" s="4" t="inlineStr">
        <is>
          <t>CONTRACT CHANGE</t>
        </is>
      </c>
      <c r="D7" s="5" t="inlineStr">
        <is>
          <t>Original $388,515.00 → final $418,677.00 = $+30,162.00 net (+7.76%).</t>
        </is>
      </c>
      <c r="E7" s="26" t="inlineStr">
        <is>
          <t>Verified</t>
        </is>
      </c>
      <c r="F7" s="8" t="inlineStr">
        <is>
          <t>2036 Job Detail Report.pdf (Sage Timberline, 04/03/2026)</t>
        </is>
      </c>
    </row>
    <row r="8" ht="58" customHeight="1">
      <c r="B8" s="14" t="n">
        <v>3</v>
      </c>
      <c r="C8" s="4" t="inlineStr">
        <is>
          <t>LABOR PROFILE</t>
        </is>
      </c>
      <c r="D8" s="5" t="inlineStr">
        <is>
          <t>Labor cost $112,585.75 (26.9% of rev) across 4,098 hrs and 30 workers. Blended wage $27.47/hr.</t>
        </is>
      </c>
      <c r="E8" s="26" t="inlineStr">
        <is>
          <t>Verified</t>
        </is>
      </c>
      <c r="F8" s="8" t="inlineStr">
        <is>
          <t>2036 Job Detail Report.pdf (Sage Timberline, 04/03/2026)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5 AP vendors: ~$90,244.68 (97% of AP). Top vendor: Ferguson Enterprises, Inc. $Westridge ($34,359.22).</t>
        </is>
      </c>
      <c r="E9" s="26" t="inlineStr">
        <is>
          <t>Verified</t>
        </is>
      </c>
      <c r="F9" s="8" t="inlineStr">
        <is>
          <t>2036 Job Detail Report.pdf (Sage Timberline, 04/03/2026)</t>
        </is>
      </c>
    </row>
    <row r="10" ht="58" customHeight="1">
      <c r="B10" s="14" t="n">
        <v>5</v>
      </c>
      <c r="C10" s="4" t="inlineStr">
        <is>
          <t>RETAINAGE</t>
        </is>
      </c>
      <c r="D10" s="5" t="inlineStr">
        <is>
          <t>Retainage $41,867.70 = 10.0% of AR per JDR 04/03/2026 — legacy project, likely 7+ years stale.</t>
        </is>
      </c>
      <c r="E10" s="26" t="inlineStr">
        <is>
          <t>Verified</t>
        </is>
      </c>
      <c r="F10" s="8" t="inlineStr">
        <is>
          <t>2036 Job Detail Report.pdf (Sage Timberline, 04/03/2026)</t>
        </is>
      </c>
    </row>
    <row r="11" ht="58" customHeight="1">
      <c r="B11" s="14" t="n">
        <v>6</v>
      </c>
      <c r="C11" s="4" t="inlineStr">
        <is>
          <t>ROUGH-IN SHARE</t>
        </is>
      </c>
      <c r="D11" s="5" t="inlineStr">
        <is>
          <t>Code 120 Roughin Labor = 2,582 hrs (63% of labor hours).</t>
        </is>
      </c>
      <c r="E11" s="26" t="inlineStr">
        <is>
          <t>Verified</t>
        </is>
      </c>
      <c r="F11" s="8" t="inlineStr">
        <is>
          <t>2036 Job Detail Report.pdf (Sage Timberline, 04/03/2026)</t>
        </is>
      </c>
    </row>
    <row r="12" ht="58" customHeight="1">
      <c r="B12" s="14" t="n">
        <v>7</v>
      </c>
      <c r="C12" s="4" t="inlineStr">
        <is>
          <t>TOP COST CODE</t>
        </is>
      </c>
      <c r="D12" s="5" t="inlineStr">
        <is>
          <t>Largest actual cost: 120 Roughin Labor = $66,604.50</t>
        </is>
      </c>
      <c r="E12" s="26" t="inlineStr">
        <is>
          <t>Verified</t>
        </is>
      </c>
      <c r="F12" s="8" t="inlineStr">
        <is>
          <t>2036 Job Detail Report.pdf (Sage Timberline, 04/03/2026)</t>
        </is>
      </c>
    </row>
    <row r="13" ht="58" customHeight="1">
      <c r="B13" s="14" t="n">
        <v>8</v>
      </c>
      <c r="C13" s="4" t="inlineStr">
        <is>
          <t>WORKER CONCENTRATION</t>
        </is>
      </c>
      <c r="D13" s="5" t="inlineStr">
        <is>
          <t>Top worker Castaneda Juarez, Cesar O = 866 hrs (21% of total).</t>
        </is>
      </c>
      <c r="E13" s="26" t="inlineStr">
        <is>
          <t>Verified</t>
        </is>
      </c>
      <c r="F13" s="8" t="inlineStr">
        <is>
          <t>2036 Job Detail Report.pdf (Sage Timberline, 04/03/2026)</t>
        </is>
      </c>
    </row>
    <row r="14" ht="58" customHeight="1">
      <c r="B14" s="14" t="n">
        <v>9</v>
      </c>
      <c r="C14" s="4" t="inlineStr">
        <is>
          <t>INSURANCE</t>
        </is>
      </c>
      <c r="D14" s="5" t="inlineStr">
        <is>
          <t>Not Wrap — OCIP wrap.</t>
        </is>
      </c>
      <c r="E14" s="26" t="inlineStr">
        <is>
          <t>Verified</t>
        </is>
      </c>
      <c r="F14" s="8" t="inlineStr">
        <is>
          <t>OWP Project List with Schedule - UPDATED 04-01-26.xlsx</t>
        </is>
      </c>
    </row>
    <row r="15" ht="58" customHeight="1">
      <c r="B15" s="14" t="n">
        <v>10</v>
      </c>
      <c r="C15" s="4" t="inlineStr">
        <is>
          <t>SCOPE CONTEXT</t>
        </is>
      </c>
      <c r="D15" s="5" t="inlineStr">
        <is>
          <t>Westridge — 31-unit multifamily plumbing, Bellevue WA.</t>
        </is>
      </c>
      <c r="E15" s="26" t="inlineStr">
        <is>
          <t>Verified</t>
        </is>
      </c>
      <c r="F15" s="8" t="inlineStr">
        <is>
          <t>OWP Project List with Schedule - UPDATED 04-01-26.xlsx + JDR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2036</t>
        </is>
      </c>
      <c r="E6" s="14" t="inlineStr">
        <is>
          <t>Profile</t>
        </is>
      </c>
      <c r="F6" s="5" t="inlineStr">
        <is>
          <t>OWP job ID</t>
        </is>
      </c>
      <c r="G6" s="26" t="inlineStr">
        <is>
          <t>Verified</t>
        </is>
      </c>
      <c r="H6" s="5" t="inlineStr">
        <is>
          <t>2036 Job Detail Report.pdf (Sage Timberline, 04/03/2026)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Westridge Apartments</t>
        </is>
      </c>
      <c r="E7" s="14" t="inlineStr">
        <is>
          <t>Profile</t>
        </is>
      </c>
      <c r="F7" s="5" t="inlineStr"/>
      <c r="G7" s="26" t="inlineStr">
        <is>
          <t>Verified</t>
        </is>
      </c>
      <c r="H7" s="5" t="inlineStr">
        <is>
          <t>2036 Job Detail Report.pdf (Sage Timberline, 04/03/2026)</t>
        </is>
      </c>
    </row>
    <row r="8">
      <c r="B8" s="5" t="inlineStr">
        <is>
          <t>General Contractor</t>
        </is>
      </c>
      <c r="C8" s="5" t="inlineStr">
        <is>
          <t>gc</t>
        </is>
      </c>
      <c r="D8" s="14" t="inlineStr">
        <is>
          <t>Exxel Pacific, Inc.</t>
        </is>
      </c>
      <c r="E8" s="14" t="inlineStr">
        <is>
          <t>Profile</t>
        </is>
      </c>
      <c r="F8" s="5" t="inlineStr"/>
      <c r="G8" s="26" t="inlineStr">
        <is>
          <t>Verified</t>
        </is>
      </c>
      <c r="H8" s="5" t="inlineStr">
        <is>
          <t>OWP Project List with Schedule - UPDATED 04-01-26.xlsx</t>
        </is>
      </c>
    </row>
    <row r="9">
      <c r="B9" s="5" t="inlineStr">
        <is>
          <t>Owner</t>
        </is>
      </c>
      <c r="C9" s="5" t="inlineStr">
        <is>
          <t>owner</t>
        </is>
      </c>
      <c r="D9" s="14" t="inlineStr">
        <is>
          <t>Exxel Pacific Westridge LLC</t>
        </is>
      </c>
      <c r="E9" s="14" t="inlineStr">
        <is>
          <t>Profile</t>
        </is>
      </c>
      <c r="F9" s="5" t="inlineStr"/>
      <c r="G9" s="26" t="inlineStr">
        <is>
          <t>Verified</t>
        </is>
      </c>
      <c r="H9" s="5" t="inlineStr">
        <is>
          <t>OWP Project List with Schedule - UPDATED 04-01-26.xlsx</t>
        </is>
      </c>
    </row>
    <row r="10">
      <c r="B10" s="5" t="inlineStr">
        <is>
          <t>Location</t>
        </is>
      </c>
      <c r="C10" s="5" t="inlineStr">
        <is>
          <t>location</t>
        </is>
      </c>
      <c r="D10" s="14" t="inlineStr">
        <is>
          <t>512 121st Place NE, Bellevue, WA</t>
        </is>
      </c>
      <c r="E10" s="14" t="inlineStr">
        <is>
          <t>Profile</t>
        </is>
      </c>
      <c r="F10" s="5" t="inlineStr"/>
      <c r="G10" s="26" t="inlineStr">
        <is>
          <t>Verified</t>
        </is>
      </c>
      <c r="H10" s="5" t="inlineStr">
        <is>
          <t>OWP Project List with Schedule - UPDATED 04-01-26.xlsx</t>
        </is>
      </c>
    </row>
    <row r="11">
      <c r="B11" s="5" t="inlineStr">
        <is>
          <t>Project Type</t>
        </is>
      </c>
      <c r="C11" s="5" t="inlineStr">
        <is>
          <t>project_type</t>
        </is>
      </c>
      <c r="D11" s="14" t="inlineStr">
        <is>
          <t>Multifamily New Construction (31 units)</t>
        </is>
      </c>
      <c r="E11" s="14" t="inlineStr">
        <is>
          <t>Profile</t>
        </is>
      </c>
      <c r="F11" s="5" t="inlineStr"/>
      <c r="G11" s="26" t="inlineStr">
        <is>
          <t>Verified</t>
        </is>
      </c>
      <c r="H11" s="5" t="inlineStr">
        <is>
          <t>OWP Project List with Schedule - UPDATED 04-01-26.xlsx</t>
        </is>
      </c>
    </row>
    <row r="12">
      <c r="B12" s="5" t="inlineStr">
        <is>
          <t>Insurance Type</t>
        </is>
      </c>
      <c r="C12" s="5" t="inlineStr">
        <is>
          <t>insurance</t>
        </is>
      </c>
      <c r="D12" s="14" t="inlineStr">
        <is>
          <t>Not Wrap</t>
        </is>
      </c>
      <c r="E12" s="14" t="inlineStr">
        <is>
          <t>Profile</t>
        </is>
      </c>
      <c r="F12" s="5" t="inlineStr"/>
      <c r="G12" s="26" t="inlineStr">
        <is>
          <t>Verified</t>
        </is>
      </c>
      <c r="H12" s="5" t="inlineStr">
        <is>
          <t>OWP Project List with Schedule - UPDATED 04-01-26.xlsx</t>
        </is>
      </c>
    </row>
    <row r="13">
      <c r="B13" s="5" t="inlineStr">
        <is>
          <t>GC PM</t>
        </is>
      </c>
      <c r="C13" s="5" t="inlineStr">
        <is>
          <t>gc_pm</t>
        </is>
      </c>
      <c r="D13" s="14" t="inlineStr">
        <is>
          <t>David Strid</t>
        </is>
      </c>
      <c r="E13" s="14" t="inlineStr">
        <is>
          <t>Profile</t>
        </is>
      </c>
      <c r="F13" s="5" t="inlineStr"/>
      <c r="G13" s="26" t="inlineStr">
        <is>
          <t>Verified</t>
        </is>
      </c>
      <c r="H13" s="5" t="inlineStr">
        <is>
          <t>OWP Project List with Schedule - UPDATED 04-01-26.xlsx</t>
        </is>
      </c>
    </row>
    <row r="14">
      <c r="B14" s="5" t="inlineStr">
        <is>
          <t>GC Sup</t>
        </is>
      </c>
      <c r="C14" s="5" t="inlineStr">
        <is>
          <t>gc_sup</t>
        </is>
      </c>
      <c r="D14" s="14" t="inlineStr">
        <is>
          <t>Shon Geer</t>
        </is>
      </c>
      <c r="E14" s="14" t="inlineStr">
        <is>
          <t>Profile</t>
        </is>
      </c>
      <c r="F14" s="5" t="inlineStr"/>
      <c r="G14" s="26" t="inlineStr">
        <is>
          <t>Verified</t>
        </is>
      </c>
      <c r="H14" s="5" t="inlineStr">
        <is>
          <t>OWP Project List with Schedule - UPDATED 04-01-26.xlsx</t>
        </is>
      </c>
    </row>
    <row r="15">
      <c r="B15" s="5" t="inlineStr">
        <is>
          <t>GC PE</t>
        </is>
      </c>
      <c r="C15" s="5" t="inlineStr">
        <is>
          <t>gc_pe</t>
        </is>
      </c>
      <c r="D15" s="14" t="inlineStr">
        <is>
          <t>Jose Tapia</t>
        </is>
      </c>
      <c r="E15" s="14" t="inlineStr">
        <is>
          <t>Profile</t>
        </is>
      </c>
      <c r="F15" s="5" t="inlineStr"/>
      <c r="G15" s="26" t="inlineStr">
        <is>
          <t>Verified</t>
        </is>
      </c>
      <c r="H15" s="5" t="inlineStr">
        <is>
          <t>OWP Project List with Schedule - UPDATED 04-01-26.xlsx</t>
        </is>
      </c>
    </row>
    <row r="16">
      <c r="B16" s="5" t="inlineStr">
        <is>
          <t>Developer</t>
        </is>
      </c>
      <c r="C16" s="5" t="inlineStr">
        <is>
          <t>developer</t>
        </is>
      </c>
      <c r="D16" s="14" t="inlineStr">
        <is>
          <t>Exxel Pacific</t>
        </is>
      </c>
      <c r="E16" s="14" t="inlineStr">
        <is>
          <t>Profile</t>
        </is>
      </c>
      <c r="F16" s="5" t="inlineStr"/>
      <c r="G16" s="26" t="inlineStr">
        <is>
          <t>Verified</t>
        </is>
      </c>
      <c r="H16" s="5" t="inlineStr">
        <is>
          <t>OWP Project List with Schedule - UPDATED 04-01-26.xlsx</t>
        </is>
      </c>
    </row>
    <row r="17">
      <c r="B17" s="5" t="inlineStr">
        <is>
          <t>OWP RI Foreman</t>
        </is>
      </c>
      <c r="C17" s="5" t="inlineStr">
        <is>
          <t>owp_foreman</t>
        </is>
      </c>
      <c r="D17" s="14" t="inlineStr">
        <is>
          <t>Gustavo</t>
        </is>
      </c>
      <c r="E17" s="14" t="inlineStr">
        <is>
          <t>Profile</t>
        </is>
      </c>
      <c r="F17" s="5" t="inlineStr"/>
      <c r="G17" s="26" t="inlineStr">
        <is>
          <t>Verified</t>
        </is>
      </c>
      <c r="H17" s="5" t="inlineStr">
        <is>
          <t>Schedule</t>
        </is>
      </c>
    </row>
    <row r="18">
      <c r="B18" s="5" t="inlineStr">
        <is>
          <t>Work Start</t>
        </is>
      </c>
      <c r="C18" s="5" t="inlineStr">
        <is>
          <t>start_date</t>
        </is>
      </c>
      <c r="D18" s="14" t="inlineStr">
        <is>
          <t>2016-10-01</t>
        </is>
      </c>
      <c r="E18" s="14" t="inlineStr">
        <is>
          <t>Profile</t>
        </is>
      </c>
      <c r="F18" s="5" t="inlineStr"/>
      <c r="G18" s="26" t="inlineStr">
        <is>
          <t>Verified</t>
        </is>
      </c>
      <c r="H18" s="5" t="inlineStr">
        <is>
          <t>2036 Job Detail Report.pdf (Sage Timberline, 04/03/2026)</t>
        </is>
      </c>
    </row>
    <row r="19">
      <c r="B19" s="5" t="inlineStr">
        <is>
          <t>Work End</t>
        </is>
      </c>
      <c r="C19" s="5" t="inlineStr">
        <is>
          <t>end_date</t>
        </is>
      </c>
      <c r="D19" s="14" t="inlineStr">
        <is>
          <t>2018</t>
        </is>
      </c>
      <c r="E19" s="14" t="inlineStr">
        <is>
          <t>Profile</t>
        </is>
      </c>
      <c r="F19" s="5" t="inlineStr"/>
      <c r="G19" s="26" t="inlineStr">
        <is>
          <t>Verified</t>
        </is>
      </c>
      <c r="H19" s="5" t="inlineStr">
        <is>
          <t>2036 Job Detail Report.pdf (Sage Timberline, 04/03/2026)</t>
        </is>
      </c>
    </row>
    <row r="20">
      <c r="B20" s="5" t="inlineStr">
        <is>
          <t>Duration (months)</t>
        </is>
      </c>
      <c r="C20" s="5" t="inlineStr">
        <is>
          <t>duration_months</t>
        </is>
      </c>
      <c r="D20" s="27" t="n">
        <v>20</v>
      </c>
      <c r="E20" s="14" t="inlineStr">
        <is>
          <t>Profile</t>
        </is>
      </c>
      <c r="F20" s="5" t="inlineStr"/>
      <c r="G20" s="26" t="inlineStr">
        <is>
          <t>Verified</t>
        </is>
      </c>
      <c r="H20" s="5" t="inlineStr">
        <is>
          <t>Derived</t>
        </is>
      </c>
    </row>
    <row r="21">
      <c r="B21" s="5" t="inlineStr">
        <is>
          <t>Unit Count</t>
        </is>
      </c>
      <c r="C21" s="5" t="inlineStr">
        <is>
          <t>unit_count</t>
        </is>
      </c>
      <c r="D21" s="27" t="n">
        <v>31</v>
      </c>
      <c r="E21" s="14" t="inlineStr">
        <is>
          <t>Profile</t>
        </is>
      </c>
      <c r="F21" s="5" t="inlineStr"/>
      <c r="G21" s="26" t="inlineStr">
        <is>
          <t>Verified</t>
        </is>
      </c>
      <c r="H21" s="5" t="inlineStr">
        <is>
          <t>OWP Project List with Schedule - UPDATED 04-01-26.xlsx</t>
        </is>
      </c>
    </row>
    <row r="22">
      <c r="B22" s="5" t="inlineStr">
        <is>
          <t>Contract Original</t>
        </is>
      </c>
      <c r="C22" s="5" t="inlineStr">
        <is>
          <t>contract_original</t>
        </is>
      </c>
      <c r="D22" s="28" t="n">
        <v>388515</v>
      </c>
      <c r="E22" s="14" t="inlineStr">
        <is>
          <t>Financial</t>
        </is>
      </c>
      <c r="F22" s="5" t="inlineStr"/>
      <c r="G22" s="26" t="inlineStr">
        <is>
          <t>Verified</t>
        </is>
      </c>
      <c r="H22" s="5" t="inlineStr">
        <is>
          <t>OWP Project List with Schedule - UPDATED 04-01-26.xlsx</t>
        </is>
      </c>
    </row>
    <row r="23">
      <c r="B23" s="5" t="inlineStr">
        <is>
          <t>Contract Final</t>
        </is>
      </c>
      <c r="C23" s="5" t="inlineStr">
        <is>
          <t>contract_final</t>
        </is>
      </c>
      <c r="D23" s="28" t="n">
        <v>418677</v>
      </c>
      <c r="E23" s="14" t="inlineStr">
        <is>
          <t>Financial</t>
        </is>
      </c>
      <c r="F23" s="5" t="inlineStr"/>
      <c r="G23" s="26" t="inlineStr">
        <is>
          <t>Verified</t>
        </is>
      </c>
      <c r="H23" s="5" t="inlineStr">
        <is>
          <t>OWP Project List with Schedule - UPDATED 04-01-26.xlsx</t>
        </is>
      </c>
    </row>
    <row r="24">
      <c r="B24" s="5" t="inlineStr">
        <is>
          <t>Change Orders ($, implied)</t>
        </is>
      </c>
      <c r="C24" s="5" t="inlineStr">
        <is>
          <t>co_implied</t>
        </is>
      </c>
      <c r="D24" s="28" t="n">
        <v>30162</v>
      </c>
      <c r="E24" s="14" t="inlineStr">
        <is>
          <t>Financial</t>
        </is>
      </c>
      <c r="F24" s="5" t="inlineStr">
        <is>
          <t>Final - Original</t>
        </is>
      </c>
      <c r="G24" s="26" t="inlineStr">
        <is>
          <t>Verified</t>
        </is>
      </c>
      <c r="H24" s="5" t="inlineStr">
        <is>
          <t>2036 Job Detail Report.pdf (Sage Timberline, 04/03/2026)</t>
        </is>
      </c>
    </row>
    <row r="25">
      <c r="B25" s="5" t="inlineStr">
        <is>
          <t>CO % of Contract</t>
        </is>
      </c>
      <c r="C25" s="5" t="inlineStr">
        <is>
          <t>co_pct</t>
        </is>
      </c>
      <c r="D25" s="29" t="n">
        <v>0.07763406818269565</v>
      </c>
      <c r="E25" s="14" t="inlineStr">
        <is>
          <t>Financial</t>
        </is>
      </c>
      <c r="F25" s="5" t="inlineStr"/>
      <c r="G25" s="26" t="inlineStr">
        <is>
          <t>Verified</t>
        </is>
      </c>
      <c r="H25" s="5" t="inlineStr">
        <is>
          <t>Derived</t>
        </is>
      </c>
    </row>
    <row r="26">
      <c r="B26" s="5" t="inlineStr">
        <is>
          <t>Revenue</t>
        </is>
      </c>
      <c r="C26" s="5" t="inlineStr">
        <is>
          <t>revenue</t>
        </is>
      </c>
      <c r="D26" s="28" t="n">
        <v>418677</v>
      </c>
      <c r="E26" s="14" t="inlineStr">
        <is>
          <t>Financial</t>
        </is>
      </c>
      <c r="F26" s="5" t="inlineStr">
        <is>
          <t>AR total</t>
        </is>
      </c>
      <c r="G26" s="26" t="inlineStr">
        <is>
          <t>Verified</t>
        </is>
      </c>
      <c r="H26" s="5" t="inlineStr">
        <is>
          <t>2036 Job Detail Report.pdf (Sage Timberline, 04/03/2026)</t>
        </is>
      </c>
    </row>
    <row r="27">
      <c r="B27" s="5" t="inlineStr">
        <is>
          <t>Direct Cost</t>
        </is>
      </c>
      <c r="C27" s="5" t="inlineStr">
        <is>
          <t>direct_cost</t>
        </is>
      </c>
      <c r="D27" s="28" t="n">
        <v>276208.96</v>
      </c>
      <c r="E27" s="14" t="inlineStr">
        <is>
          <t>Financial</t>
        </is>
      </c>
      <c r="F27" s="5" t="inlineStr">
        <is>
          <t>JDR Expenses</t>
        </is>
      </c>
      <c r="G27" s="26" t="inlineStr">
        <is>
          <t>Verified</t>
        </is>
      </c>
      <c r="H27" s="5" t="inlineStr">
        <is>
          <t>2036 Job Detail Report.pdf (Sage Timberline, 04/03/2026)</t>
        </is>
      </c>
    </row>
    <row r="28">
      <c r="B28" s="5" t="inlineStr">
        <is>
          <t>Net Profit</t>
        </is>
      </c>
      <c r="C28" s="5" t="inlineStr">
        <is>
          <t>net_profit</t>
        </is>
      </c>
      <c r="D28" s="28" t="n">
        <v>142468.04</v>
      </c>
      <c r="E28" s="14" t="inlineStr">
        <is>
          <t>Financial</t>
        </is>
      </c>
      <c r="F28" s="5" t="inlineStr">
        <is>
          <t>Rev - Exp</t>
        </is>
      </c>
      <c r="G28" s="26" t="inlineStr">
        <is>
          <t>Verified</t>
        </is>
      </c>
      <c r="H28" s="5" t="inlineStr">
        <is>
          <t>2036 Job Detail Report.pdf (Sage Timberline, 04/03/2026)</t>
        </is>
      </c>
    </row>
    <row r="29">
      <c r="B29" s="5" t="inlineStr">
        <is>
          <t>Gross Margin</t>
        </is>
      </c>
      <c r="C29" s="5" t="inlineStr">
        <is>
          <t>gross_margin</t>
        </is>
      </c>
      <c r="D29" s="29" t="n">
        <v>0.3402815057908604</v>
      </c>
      <c r="E29" s="14" t="inlineStr">
        <is>
          <t>Financial</t>
        </is>
      </c>
      <c r="F29" s="5" t="inlineStr"/>
      <c r="G29" s="26" t="inlineStr">
        <is>
          <t>Verified</t>
        </is>
      </c>
      <c r="H29" s="5" t="inlineStr">
        <is>
          <t>Derived</t>
        </is>
      </c>
    </row>
    <row r="30">
      <c r="B30" s="5" t="inlineStr">
        <is>
          <t>Retainage</t>
        </is>
      </c>
      <c r="C30" s="5" t="inlineStr">
        <is>
          <t>retainage</t>
        </is>
      </c>
      <c r="D30" s="28" t="n">
        <v>41867.7</v>
      </c>
      <c r="E30" s="14" t="inlineStr">
        <is>
          <t>Financial</t>
        </is>
      </c>
      <c r="F30" s="5" t="inlineStr">
        <is>
          <t>JDR AR retainage</t>
        </is>
      </c>
      <c r="G30" s="26" t="inlineStr">
        <is>
          <t>Verified</t>
        </is>
      </c>
      <c r="H30" s="5" t="inlineStr">
        <is>
          <t>2036 Job Detail Report.pdf (Sage Timberline, 04/03/2026)</t>
        </is>
      </c>
    </row>
    <row r="31">
      <c r="B31" s="5" t="inlineStr">
        <is>
          <t>Retainage % of Revenue</t>
        </is>
      </c>
      <c r="C31" s="5" t="inlineStr">
        <is>
          <t>retainage_pct</t>
        </is>
      </c>
      <c r="D31" s="29" t="n">
        <v>0.1</v>
      </c>
      <c r="E31" s="14" t="inlineStr">
        <is>
          <t>Financial</t>
        </is>
      </c>
      <c r="F31" s="5" t="inlineStr"/>
      <c r="G31" s="26" t="inlineStr">
        <is>
          <t>Verified</t>
        </is>
      </c>
      <c r="H31" s="5" t="inlineStr">
        <is>
          <t>Derived</t>
        </is>
      </c>
    </row>
    <row r="32">
      <c r="B32" s="5" t="inlineStr">
        <is>
          <t>Labor Cost</t>
        </is>
      </c>
      <c r="C32" s="5" t="inlineStr">
        <is>
          <t>labor_cost</t>
        </is>
      </c>
      <c r="D32" s="28" t="n">
        <v>112585.75</v>
      </c>
      <c r="E32" s="14" t="inlineStr">
        <is>
          <t>Labor</t>
        </is>
      </c>
      <c r="F32" s="5" t="inlineStr">
        <is>
          <t>Codes 100-151</t>
        </is>
      </c>
      <c r="G32" s="26" t="inlineStr">
        <is>
          <t>Verified</t>
        </is>
      </c>
      <c r="H32" s="5" t="inlineStr">
        <is>
          <t>2036 Job Detail Report.pdf (Sage Timberline, 04/03/2026)</t>
        </is>
      </c>
    </row>
    <row r="33">
      <c r="B33" s="5" t="inlineStr">
        <is>
          <t>Material Cost</t>
        </is>
      </c>
      <c r="C33" s="5" t="inlineStr">
        <is>
          <t>material_cost</t>
        </is>
      </c>
      <c r="D33" s="28" t="n">
        <v>104252.85</v>
      </c>
      <c r="E33" s="14" t="inlineStr">
        <is>
          <t>Material</t>
        </is>
      </c>
      <c r="F33" s="5" t="inlineStr">
        <is>
          <t>Codes 210-245</t>
        </is>
      </c>
      <c r="G33" s="26" t="inlineStr">
        <is>
          <t>Verified</t>
        </is>
      </c>
      <c r="H33" s="5" t="inlineStr">
        <is>
          <t>2036 Job Detail Report.pdf (Sage Timberline, 04/03/2026)</t>
        </is>
      </c>
    </row>
    <row r="34">
      <c r="B34" s="5" t="inlineStr">
        <is>
          <t>Overhead Cost</t>
        </is>
      </c>
      <c r="C34" s="5" t="inlineStr">
        <is>
          <t>overhead_cost</t>
        </is>
      </c>
      <c r="D34" s="28" t="n">
        <v>825.48</v>
      </c>
      <c r="E34" s="14" t="inlineStr">
        <is>
          <t>Financial</t>
        </is>
      </c>
      <c r="F34" s="5" t="inlineStr">
        <is>
          <t>Codes 600-607</t>
        </is>
      </c>
      <c r="G34" s="26" t="inlineStr">
        <is>
          <t>Verified</t>
        </is>
      </c>
      <c r="H34" s="5" t="inlineStr">
        <is>
          <t>2036 Job Detail Report.pdf (Sage Timberline, 04/03/2026)</t>
        </is>
      </c>
    </row>
    <row r="35">
      <c r="B35" s="5" t="inlineStr">
        <is>
          <t>Burden Cost</t>
        </is>
      </c>
      <c r="C35" s="5" t="inlineStr">
        <is>
          <t>burden_cost</t>
        </is>
      </c>
      <c r="D35" s="28" t="n">
        <v>49931.78</v>
      </c>
      <c r="E35" s="14" t="inlineStr">
        <is>
          <t>Labor</t>
        </is>
      </c>
      <c r="F35" s="5" t="inlineStr">
        <is>
          <t>Code 995</t>
        </is>
      </c>
      <c r="G35" s="26" t="inlineStr">
        <is>
          <t>Verified</t>
        </is>
      </c>
      <c r="H35" s="5" t="inlineStr">
        <is>
          <t>2036 Job Detail Report.pdf (Sage Timberline, 04/03/2026)</t>
        </is>
      </c>
    </row>
    <row r="36">
      <c r="B36" s="5" t="inlineStr">
        <is>
          <t>Tax Cost</t>
        </is>
      </c>
      <c r="C36" s="5" t="inlineStr">
        <is>
          <t>tax_cost</t>
        </is>
      </c>
      <c r="D36" s="28" t="n">
        <v>8613.1</v>
      </c>
      <c r="E36" s="14" t="inlineStr">
        <is>
          <t>Labor</t>
        </is>
      </c>
      <c r="F36" s="5" t="inlineStr">
        <is>
          <t>Code 998</t>
        </is>
      </c>
      <c r="G36" s="26" t="inlineStr">
        <is>
          <t>Verified</t>
        </is>
      </c>
      <c r="H36" s="5" t="inlineStr">
        <is>
          <t>2036 Job Detail Report.pdf (Sage Timberline, 04/03/2026)</t>
        </is>
      </c>
    </row>
    <row r="37">
      <c r="B37" s="5" t="inlineStr">
        <is>
          <t>Total Labor Hours</t>
        </is>
      </c>
      <c r="C37" s="5" t="inlineStr">
        <is>
          <t>total_hours</t>
        </is>
      </c>
      <c r="D37" s="30" t="n">
        <v>4098</v>
      </c>
      <c r="E37" s="14" t="inlineStr">
        <is>
          <t>Labor</t>
        </is>
      </c>
      <c r="F37" s="5" t="inlineStr">
        <is>
          <t>Sum labor codes</t>
        </is>
      </c>
      <c r="G37" s="26" t="inlineStr">
        <is>
          <t>Verified</t>
        </is>
      </c>
      <c r="H37" s="5" t="inlineStr">
        <is>
          <t>2036 Job Detail Report.pdf (Sage Timberline, 04/03/2026)</t>
        </is>
      </c>
    </row>
    <row r="38">
      <c r="B38" s="5" t="inlineStr">
        <is>
          <t>Total Workers</t>
        </is>
      </c>
      <c r="C38" s="5" t="inlineStr">
        <is>
          <t>total_workers</t>
        </is>
      </c>
      <c r="D38" s="27" t="n">
        <v>30</v>
      </c>
      <c r="E38" s="14" t="inlineStr">
        <is>
          <t>Labor</t>
        </is>
      </c>
      <c r="F38" s="5" t="inlineStr">
        <is>
          <t>Unique PR IDs</t>
        </is>
      </c>
      <c r="G38" s="26" t="inlineStr">
        <is>
          <t>Verified</t>
        </is>
      </c>
      <c r="H38" s="5" t="inlineStr">
        <is>
          <t>2036 Job Detail Report.pdf (Sage Timberline, 04/03/2026)</t>
        </is>
      </c>
    </row>
    <row r="39">
      <c r="B39" s="5" t="inlineStr">
        <is>
          <t>Blended Gross Wage</t>
        </is>
      </c>
      <c r="C39" s="5" t="inlineStr">
        <is>
          <t>blended_wage</t>
        </is>
      </c>
      <c r="D39" s="28" t="n">
        <v>27.47334065397755</v>
      </c>
      <c r="E39" s="14" t="inlineStr">
        <is>
          <t>Labor</t>
        </is>
      </c>
      <c r="F39" s="5" t="inlineStr"/>
      <c r="G39" s="26" t="inlineStr">
        <is>
          <t>Verified</t>
        </is>
      </c>
      <c r="H39" s="5" t="inlineStr">
        <is>
          <t>Derived</t>
        </is>
      </c>
    </row>
    <row r="40">
      <c r="B40" s="5" t="inlineStr">
        <is>
          <t>Fully-Loaded Wage</t>
        </is>
      </c>
      <c r="C40" s="5" t="inlineStr">
        <is>
          <t>loaded_wage</t>
        </is>
      </c>
      <c r="D40" s="28" t="n">
        <v>41.7595485602733</v>
      </c>
      <c r="E40" s="14" t="inlineStr">
        <is>
          <t>Labor</t>
        </is>
      </c>
      <c r="F40" s="5" t="inlineStr"/>
      <c r="G40" s="26" t="inlineStr">
        <is>
          <t>Verified</t>
        </is>
      </c>
      <c r="H40" s="5" t="inlineStr">
        <is>
          <t>Derived</t>
        </is>
      </c>
    </row>
    <row r="41">
      <c r="B41" s="5" t="inlineStr">
        <is>
          <t>Burden Multiplier</t>
        </is>
      </c>
      <c r="C41" s="5" t="inlineStr">
        <is>
          <t>burden_mult</t>
        </is>
      </c>
      <c r="D41" s="31" t="n">
        <v>1.520002575814435</v>
      </c>
      <c r="E41" s="14" t="inlineStr">
        <is>
          <t>Labor</t>
        </is>
      </c>
      <c r="F41" s="5" t="inlineStr"/>
      <c r="G41" s="26" t="inlineStr">
        <is>
          <t>Verified</t>
        </is>
      </c>
      <c r="H41" s="5" t="inlineStr">
        <is>
          <t>Derived</t>
        </is>
      </c>
    </row>
    <row r="42">
      <c r="B42" s="5" t="inlineStr">
        <is>
          <t>Rough-in Hours</t>
        </is>
      </c>
      <c r="C42" s="5" t="inlineStr">
        <is>
          <t>roughin_hours</t>
        </is>
      </c>
      <c r="D42" s="30" t="n">
        <v>2582.5</v>
      </c>
      <c r="E42" s="14" t="inlineStr">
        <is>
          <t>Labor</t>
        </is>
      </c>
      <c r="F42" s="5" t="inlineStr">
        <is>
          <t>Code 120</t>
        </is>
      </c>
      <c r="G42" s="26" t="inlineStr">
        <is>
          <t>Verified</t>
        </is>
      </c>
      <c r="H42" s="5" t="inlineStr">
        <is>
          <t>2036 Job Detail Report.pdf (Sage Timberline, 04/03/2026)</t>
        </is>
      </c>
    </row>
    <row r="43">
      <c r="B43" s="5" t="inlineStr">
        <is>
          <t>Finish Hours</t>
        </is>
      </c>
      <c r="C43" s="5" t="inlineStr">
        <is>
          <t>finish_hours</t>
        </is>
      </c>
      <c r="D43" s="30" t="n">
        <v>731.5</v>
      </c>
      <c r="E43" s="14" t="inlineStr">
        <is>
          <t>Labor</t>
        </is>
      </c>
      <c r="F43" s="5" t="inlineStr">
        <is>
          <t>Code 130</t>
        </is>
      </c>
      <c r="G43" s="26" t="inlineStr">
        <is>
          <t>Verified</t>
        </is>
      </c>
      <c r="H43" s="5" t="inlineStr">
        <is>
          <t>2036 Job Detail Report.pdf (Sage Timberline, 04/03/2026)</t>
        </is>
      </c>
    </row>
    <row r="44">
      <c r="B44" s="5" t="inlineStr">
        <is>
          <t>Revenue per Hour</t>
        </is>
      </c>
      <c r="C44" s="5" t="inlineStr">
        <is>
          <t>rev_per_hour</t>
        </is>
      </c>
      <c r="D44" s="28" t="n">
        <v>102.1661786237189</v>
      </c>
      <c r="E44" s="14" t="inlineStr">
        <is>
          <t>Productivity</t>
        </is>
      </c>
      <c r="F44" s="5" t="inlineStr"/>
      <c r="G44" s="26" t="inlineStr">
        <is>
          <t>Verified</t>
        </is>
      </c>
      <c r="H44" s="5" t="inlineStr">
        <is>
          <t>Derived</t>
        </is>
      </c>
    </row>
    <row r="45">
      <c r="B45" s="5" t="inlineStr">
        <is>
          <t>Profit per Hour</t>
        </is>
      </c>
      <c r="C45" s="5" t="inlineStr">
        <is>
          <t>profit_per_hour</t>
        </is>
      </c>
      <c r="D45" s="28" t="n">
        <v>34.76526110297707</v>
      </c>
      <c r="E45" s="14" t="inlineStr">
        <is>
          <t>Productivity</t>
        </is>
      </c>
      <c r="F45" s="5" t="inlineStr"/>
      <c r="G45" s="26" t="inlineStr">
        <is>
          <t>Verified</t>
        </is>
      </c>
      <c r="H45" s="5" t="inlineStr">
        <is>
          <t>Derived</t>
        </is>
      </c>
    </row>
    <row r="46">
      <c r="B46" s="5" t="inlineStr">
        <is>
          <t>Revenue per Unit</t>
        </is>
      </c>
      <c r="C46" s="5" t="inlineStr">
        <is>
          <t>rev_per_unit</t>
        </is>
      </c>
      <c r="D46" s="28" t="n">
        <v>13505.70967741935</v>
      </c>
      <c r="E46" s="14" t="inlineStr">
        <is>
          <t>Productivity</t>
        </is>
      </c>
      <c r="F46" s="5" t="inlineStr"/>
      <c r="G46" s="26" t="inlineStr">
        <is>
          <t>Verified</t>
        </is>
      </c>
      <c r="H46" s="5" t="inlineStr">
        <is>
          <t>Derived</t>
        </is>
      </c>
    </row>
    <row r="47">
      <c r="B47" s="5" t="inlineStr">
        <is>
          <t>Direct Cost per Unit</t>
        </is>
      </c>
      <c r="C47" s="5" t="inlineStr">
        <is>
          <t>cost_per_unit</t>
        </is>
      </c>
      <c r="D47" s="28" t="n">
        <v>8909.966451612901</v>
      </c>
      <c r="E47" s="14" t="inlineStr">
        <is>
          <t>Productivity</t>
        </is>
      </c>
      <c r="F47" s="5" t="inlineStr"/>
      <c r="G47" s="26" t="inlineStr">
        <is>
          <t>Verified</t>
        </is>
      </c>
      <c r="H47" s="5" t="inlineStr">
        <is>
          <t>Derived</t>
        </is>
      </c>
    </row>
    <row r="48">
      <c r="B48" s="5" t="inlineStr">
        <is>
          <t>Hours per Unit</t>
        </is>
      </c>
      <c r="C48" s="5" t="inlineStr">
        <is>
          <t>hours_per_unit</t>
        </is>
      </c>
      <c r="D48" s="30" t="n">
        <v>132.1935483870968</v>
      </c>
      <c r="E48" s="14" t="inlineStr">
        <is>
          <t>Productivity</t>
        </is>
      </c>
      <c r="F48" s="5" t="inlineStr"/>
      <c r="G48" s="26" t="inlineStr">
        <is>
          <t>Verified</t>
        </is>
      </c>
      <c r="H48" s="5" t="inlineStr">
        <is>
          <t>Derived</t>
        </is>
      </c>
    </row>
    <row r="49">
      <c r="B49" s="5" t="inlineStr">
        <is>
          <t>Labor % of Revenue</t>
        </is>
      </c>
      <c r="C49" s="5" t="inlineStr">
        <is>
          <t>labor_pct</t>
        </is>
      </c>
      <c r="D49" s="29" t="n">
        <v>0.2689083708921197</v>
      </c>
      <c r="E49" s="14" t="inlineStr">
        <is>
          <t>Cost Mix</t>
        </is>
      </c>
      <c r="F49" s="5" t="inlineStr"/>
      <c r="G49" s="26" t="inlineStr">
        <is>
          <t>Verified</t>
        </is>
      </c>
      <c r="H49" s="5" t="inlineStr">
        <is>
          <t>Derived</t>
        </is>
      </c>
    </row>
    <row r="50">
      <c r="B50" s="5" t="inlineStr">
        <is>
          <t>Material % of Revenue</t>
        </is>
      </c>
      <c r="C50" s="5" t="inlineStr">
        <is>
          <t>material_pct</t>
        </is>
      </c>
      <c r="D50" s="29" t="n">
        <v>0.2490054385600355</v>
      </c>
      <c r="E50" s="14" t="inlineStr">
        <is>
          <t>Cost Mix</t>
        </is>
      </c>
      <c r="F50" s="5" t="inlineStr"/>
      <c r="G50" s="26" t="inlineStr">
        <is>
          <t>Verified</t>
        </is>
      </c>
      <c r="H50" s="5" t="inlineStr">
        <is>
          <t>Derived</t>
        </is>
      </c>
    </row>
    <row r="51">
      <c r="B51" s="5" t="inlineStr">
        <is>
          <t>Total Vendors</t>
        </is>
      </c>
      <c r="C51" s="5" t="inlineStr">
        <is>
          <t>total_vendors</t>
        </is>
      </c>
      <c r="D51" s="27" t="n">
        <v>13</v>
      </c>
      <c r="E51" s="14" t="inlineStr">
        <is>
          <t>Material</t>
        </is>
      </c>
      <c r="F51" s="5" t="inlineStr"/>
      <c r="G51" s="26" t="inlineStr">
        <is>
          <t>Verified</t>
        </is>
      </c>
      <c r="H51" s="5" t="inlineStr">
        <is>
          <t>2036 Job Detail Report.pdf (Sage Timberline, 04/03/2026)</t>
        </is>
      </c>
    </row>
    <row r="52">
      <c r="B52" s="5" t="inlineStr">
        <is>
          <t>Total Invoices</t>
        </is>
      </c>
      <c r="C52" s="5" t="inlineStr">
        <is>
          <t>total_invoices</t>
        </is>
      </c>
      <c r="D52" s="27" t="n">
        <v>14</v>
      </c>
      <c r="E52" s="14" t="inlineStr">
        <is>
          <t>Billing</t>
        </is>
      </c>
      <c r="F52" s="5" t="inlineStr"/>
      <c r="G52" s="26" t="inlineStr">
        <is>
          <t>Verified</t>
        </is>
      </c>
      <c r="H52" s="5" t="inlineStr">
        <is>
          <t>2036 Job Detail Report.pdf (Sage Timberline, 04/03/2026)</t>
        </is>
      </c>
    </row>
    <row r="53">
      <c r="B53" s="5" t="inlineStr">
        <is>
          <t>Cost Codes Active</t>
        </is>
      </c>
      <c r="C53" s="5" t="inlineStr">
        <is>
          <t>cost_codes</t>
        </is>
      </c>
      <c r="D53" s="27" t="n">
        <v>16</v>
      </c>
      <c r="E53" s="14" t="inlineStr">
        <is>
          <t>Structure</t>
        </is>
      </c>
      <c r="F53" s="5" t="inlineStr"/>
      <c r="G53" s="26" t="inlineStr">
        <is>
          <t>Verified</t>
        </is>
      </c>
      <c r="H53" s="5" t="inlineStr">
        <is>
          <t>2036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2036FE</t>
        </is>
      </c>
      <c r="D6" s="5" t="inlineStr">
        <is>
          <t>Ferguson Enterprises, Inc. $Westridge</t>
        </is>
      </c>
      <c r="E6" s="15" t="n">
        <v>34359.22</v>
      </c>
      <c r="F6" s="14" t="n">
        <v>16</v>
      </c>
      <c r="G6" s="16">
        <f>E6/93265.85</f>
        <v/>
      </c>
      <c r="H6" s="8" t="inlineStr">
        <is>
          <t>2036 Job Detail Report.pdf (Sage Timberline, 04/03/2026)</t>
        </is>
      </c>
    </row>
    <row r="7">
      <c r="B7" s="14" t="n">
        <v>2</v>
      </c>
      <c r="C7" s="14" t="inlineStr">
        <is>
          <t>2036RS</t>
        </is>
      </c>
      <c r="D7" s="5" t="inlineStr">
        <is>
          <t>Rosen Supply Company, Inc. $Westridge</t>
        </is>
      </c>
      <c r="E7" s="15" t="n">
        <v>32338.03</v>
      </c>
      <c r="F7" s="14" t="n">
        <v>31</v>
      </c>
      <c r="G7" s="16">
        <f>E7/93265.85</f>
        <v/>
      </c>
      <c r="H7" s="8" t="inlineStr">
        <is>
          <t>2036 Job Detail Report.pdf (Sage Timberline, 04/03/2026)</t>
        </is>
      </c>
    </row>
    <row r="8">
      <c r="B8" s="14" t="n">
        <v>3</v>
      </c>
      <c r="C8" s="14" t="inlineStr">
        <is>
          <t>2036CS</t>
        </is>
      </c>
      <c r="D8" s="5" t="inlineStr">
        <is>
          <t>Consolidated Supply Co. $Westridge</t>
        </is>
      </c>
      <c r="E8" s="15" t="n">
        <v>16172.66</v>
      </c>
      <c r="F8" s="14" t="n">
        <v>14</v>
      </c>
      <c r="G8" s="16">
        <f>E8/93265.85</f>
        <v/>
      </c>
      <c r="H8" s="8" t="inlineStr">
        <is>
          <t>2036 Job Detail Report.pdf (Sage Timberline, 04/03/2026)</t>
        </is>
      </c>
    </row>
    <row r="9">
      <c r="B9" s="14" t="n">
        <v>4</v>
      </c>
      <c r="C9" s="14" t="inlineStr">
        <is>
          <t>1175FE</t>
        </is>
      </c>
      <c r="D9" s="5" t="inlineStr">
        <is>
          <t>Ferguson Enterprises, Inc. #3007</t>
        </is>
      </c>
      <c r="E9" s="15" t="n">
        <v>4793.630000000001</v>
      </c>
      <c r="F9" s="14" t="n">
        <v>15</v>
      </c>
      <c r="G9" s="16">
        <f>E9/93265.85</f>
        <v/>
      </c>
      <c r="H9" s="8" t="inlineStr">
        <is>
          <t>2036 Job Detail Report.pdf (Sage Timberline, 04/03/2026)</t>
        </is>
      </c>
    </row>
    <row r="10">
      <c r="B10" s="14" t="n">
        <v>5</v>
      </c>
      <c r="C10" s="14" t="inlineStr">
        <is>
          <t>1231KS</t>
        </is>
      </c>
      <c r="D10" s="5" t="inlineStr">
        <is>
          <t>Keller Supply Company</t>
        </is>
      </c>
      <c r="E10" s="15" t="n">
        <v>2581.14</v>
      </c>
      <c r="F10" s="14" t="n">
        <v>3</v>
      </c>
      <c r="G10" s="16">
        <f>E10/93265.85</f>
        <v/>
      </c>
      <c r="H10" s="8" t="inlineStr">
        <is>
          <t>2036 Job Detail Report.pdf (Sage Timberline, 04/03/2026)</t>
        </is>
      </c>
    </row>
    <row r="11">
      <c r="B11" s="14" t="n">
        <v>6</v>
      </c>
      <c r="C11" s="14" t="inlineStr">
        <is>
          <t>2036KS</t>
        </is>
      </c>
      <c r="D11" s="5" t="inlineStr">
        <is>
          <t>Keller Supply Co. $Westridge</t>
        </is>
      </c>
      <c r="E11" s="15" t="n">
        <v>1132.08</v>
      </c>
      <c r="F11" s="14" t="n">
        <v>2</v>
      </c>
      <c r="G11" s="16">
        <f>E11/93265.85</f>
        <v/>
      </c>
      <c r="H11" s="8" t="inlineStr">
        <is>
          <t>2036 Job Detail Report.pdf (Sage Timberline, 04/03/2026)</t>
        </is>
      </c>
    </row>
    <row r="12">
      <c r="B12" s="14" t="n">
        <v>7</v>
      </c>
      <c r="C12" s="14" t="inlineStr">
        <is>
          <t>1130CS</t>
        </is>
      </c>
      <c r="D12" s="5" t="inlineStr">
        <is>
          <t>Consolidated Supply Co.</t>
        </is>
      </c>
      <c r="E12" s="15" t="n">
        <v>931.38</v>
      </c>
      <c r="F12" s="14" t="n">
        <v>1</v>
      </c>
      <c r="G12" s="16">
        <f>E12/93265.85</f>
        <v/>
      </c>
      <c r="H12" s="8" t="inlineStr">
        <is>
          <t>2036 Job Detail Report.pdf (Sage Timberline, 04/03/2026)</t>
        </is>
      </c>
    </row>
    <row r="13">
      <c r="B13" s="14" t="n">
        <v>8</v>
      </c>
      <c r="C13" s="14" t="inlineStr">
        <is>
          <t>1380RS</t>
        </is>
      </c>
      <c r="D13" s="5" t="inlineStr">
        <is>
          <t>Rosen Supply Kirkland</t>
        </is>
      </c>
      <c r="E13" s="15" t="n">
        <v>414.11</v>
      </c>
      <c r="F13" s="14" t="n">
        <v>5</v>
      </c>
      <c r="G13" s="16">
        <f>E13/93265.85</f>
        <v/>
      </c>
      <c r="H13" s="8" t="inlineStr">
        <is>
          <t>2036 Job Detail Report.pdf (Sage Timberline, 04/03/2026)</t>
        </is>
      </c>
    </row>
    <row r="14">
      <c r="B14" s="14" t="n">
        <v>9</v>
      </c>
      <c r="C14" s="14" t="inlineStr">
        <is>
          <t>2033RS</t>
        </is>
      </c>
      <c r="D14" s="5" t="inlineStr">
        <is>
          <t>Rosen Supply Company, Inc. $Vuecrest</t>
        </is>
      </c>
      <c r="E14" s="15" t="n">
        <v>351.36</v>
      </c>
      <c r="F14" s="14" t="n">
        <v>1</v>
      </c>
      <c r="G14" s="16">
        <f>E14/93265.85</f>
        <v/>
      </c>
      <c r="H14" s="8" t="inlineStr">
        <is>
          <t>2036 Job Detail Report.pdf (Sage Timberline, 04/03/2026)</t>
        </is>
      </c>
    </row>
    <row r="15">
      <c r="B15" s="14" t="n">
        <v>10</v>
      </c>
      <c r="C15" s="14" t="inlineStr">
        <is>
          <t>1234CO</t>
        </is>
      </c>
      <c r="D15" s="5" t="inlineStr">
        <is>
          <t>Capital One Credit Card</t>
        </is>
      </c>
      <c r="E15" s="15" t="n">
        <v>108.86</v>
      </c>
      <c r="F15" s="14" t="n">
        <v>4</v>
      </c>
      <c r="G15" s="16">
        <f>E15/93265.85</f>
        <v/>
      </c>
      <c r="H15" s="8" t="inlineStr">
        <is>
          <t>2036 Job Detail Report.pdf (Sage Timberline, 04/03/2026)</t>
        </is>
      </c>
    </row>
    <row r="16">
      <c r="B16" s="14" t="n">
        <v>11</v>
      </c>
      <c r="C16" s="14" t="inlineStr">
        <is>
          <t>5621HD</t>
        </is>
      </c>
      <c r="D16" s="5" t="inlineStr">
        <is>
          <t>Core &amp; Main LP $HD Supply Waterworks</t>
        </is>
      </c>
      <c r="E16" s="15" t="n">
        <v>45.7</v>
      </c>
      <c r="F16" s="14" t="n">
        <v>1</v>
      </c>
      <c r="G16" s="16">
        <f>E16/93265.85</f>
        <v/>
      </c>
      <c r="H16" s="8" t="inlineStr">
        <is>
          <t>2036 Job Detail Report.pdf (Sage Timberline, 04/03/2026)</t>
        </is>
      </c>
    </row>
    <row r="17">
      <c r="B17" s="14" t="n">
        <v>12</v>
      </c>
      <c r="C17" s="14" t="inlineStr">
        <is>
          <t>2032RS</t>
        </is>
      </c>
      <c r="D17" s="5" t="inlineStr">
        <is>
          <t>Rosen Supply Company, Inc. $Roosevelt</t>
        </is>
      </c>
      <c r="E17" s="15" t="n">
        <v>37.68</v>
      </c>
      <c r="F17" s="14" t="n">
        <v>1</v>
      </c>
      <c r="G17" s="16">
        <f>E17/93265.85</f>
        <v/>
      </c>
      <c r="H17" s="8" t="inlineStr">
        <is>
          <t>2036 Job Detail Report.pdf (Sage Timberline, 04/03/2026)</t>
        </is>
      </c>
    </row>
    <row r="18">
      <c r="B18" s="14" t="n">
        <v>13</v>
      </c>
      <c r="C18" s="14" t="inlineStr">
        <is>
          <t>2035CS</t>
        </is>
      </c>
      <c r="D18" s="5" t="inlineStr">
        <is>
          <t>Consolidated Supply Co. $162Ten</t>
        </is>
      </c>
      <c r="E18" s="15" t="n">
        <v>0</v>
      </c>
      <c r="F18" s="14" t="n">
        <v>2</v>
      </c>
      <c r="G18" s="16">
        <f>E18/93265.85</f>
        <v/>
      </c>
      <c r="H18" s="8" t="inlineStr">
        <is>
          <t>2036 Job Detail Report.pdf (Sage Timberline, 04/03/2026)</t>
        </is>
      </c>
    </row>
    <row r="19">
      <c r="B19" s="18" t="inlineStr">
        <is>
          <t>TOTAL</t>
        </is>
      </c>
      <c r="E19" s="9">
        <f>SUM(E6:E18)</f>
        <v/>
      </c>
      <c r="F19" s="23">
        <f>SUM(F6:F18)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8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Contract, CO net, retainage events — JDR only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2016-10-01</t>
        </is>
      </c>
      <c r="E6" s="5" t="inlineStr">
        <is>
          <t>Prime subcontract — Lump Sum $388,515.00</t>
        </is>
      </c>
      <c r="F6" s="5" t="inlineStr">
        <is>
          <t>Exxel Pacific, Inc.</t>
        </is>
      </c>
      <c r="G6" s="15" t="n">
        <v>388515</v>
      </c>
      <c r="H6" s="14" t="inlineStr">
        <is>
          <t>Executed</t>
        </is>
      </c>
      <c r="I6" s="8" t="inlineStr">
        <is>
          <t>2036-Exxel Pacific, Inc. subcontract + Job Info sheet</t>
        </is>
      </c>
    </row>
    <row r="7">
      <c r="B7" s="14" t="inlineStr">
        <is>
          <t>CO-NET</t>
        </is>
      </c>
      <c r="C7" s="14" t="inlineStr">
        <is>
          <t>Change Order (net)</t>
        </is>
      </c>
      <c r="D7" s="14" t="inlineStr">
        <is>
          <t>—</t>
        </is>
      </c>
      <c r="E7" s="5" t="inlineStr">
        <is>
          <t>Net JDR-implied COs $+30,162.00</t>
        </is>
      </c>
      <c r="F7" s="5" t="inlineStr">
        <is>
          <t>Exxel Pacific, Inc.</t>
        </is>
      </c>
      <c r="G7" s="15" t="n">
        <v>30162</v>
      </c>
      <c r="H7" s="14" t="inlineStr">
        <is>
          <t>Executed</t>
        </is>
      </c>
      <c r="I7" s="8" t="inlineStr">
        <is>
          <t>2036 Job Detail Report.pdf (Sage Timberline, 04/03/2026)</t>
        </is>
      </c>
    </row>
    <row r="8">
      <c r="B8" s="14" t="inlineStr">
        <is>
          <t>FIRST-INVOICE</t>
        </is>
      </c>
      <c r="C8" s="14" t="inlineStr">
        <is>
          <t>Invoice</t>
        </is>
      </c>
      <c r="D8" s="14" t="inlineStr">
        <is>
          <t>05/18/18</t>
        </is>
      </c>
      <c r="E8" s="5" t="inlineStr">
        <is>
          <t>First billing (per JDR)</t>
        </is>
      </c>
      <c r="F8" s="5" t="inlineStr">
        <is>
          <t>Sub (OWP)</t>
        </is>
      </c>
      <c r="G8" s="15" t="n">
        <v>0</v>
      </c>
      <c r="H8" s="14" t="inlineStr">
        <is>
          <t>Paid</t>
        </is>
      </c>
      <c r="I8" s="8" t="inlineStr">
        <is>
          <t>2036 Job Detail Report.pdf (Sage Timberline, 04/03/2026)</t>
        </is>
      </c>
    </row>
    <row r="9">
      <c r="B9" s="14" t="inlineStr">
        <is>
          <t>LAST-INVOICE</t>
        </is>
      </c>
      <c r="C9" s="14" t="inlineStr">
        <is>
          <t>Invoice</t>
        </is>
      </c>
      <c r="D9" s="14" t="inlineStr">
        <is>
          <t>12/15/17</t>
        </is>
      </c>
      <c r="E9" s="5" t="inlineStr">
        <is>
          <t>Last billing (per JDR)</t>
        </is>
      </c>
      <c r="F9" s="5" t="inlineStr">
        <is>
          <t>Sub (OWP)</t>
        </is>
      </c>
      <c r="G9" s="15" t="n">
        <v>0</v>
      </c>
      <c r="H9" s="14" t="inlineStr">
        <is>
          <t>Paid</t>
        </is>
      </c>
      <c r="I9" s="8" t="inlineStr">
        <is>
          <t>2036 Job Detail Report.pdf (Sage Timberline, 04/03/2026)</t>
        </is>
      </c>
    </row>
    <row r="10">
      <c r="B10" s="14" t="inlineStr">
        <is>
          <t>RETAINAGE-OPEN</t>
        </is>
      </c>
      <c r="C10" s="14" t="inlineStr">
        <is>
          <t>Retainage</t>
        </is>
      </c>
      <c r="D10" s="14" t="inlineStr">
        <is>
          <t>As of 04/03/2026</t>
        </is>
      </c>
      <c r="E10" s="5" t="inlineStr">
        <is>
          <t>Retainage $41,867.70 open</t>
        </is>
      </c>
      <c r="F10" s="5" t="inlineStr">
        <is>
          <t>GC</t>
        </is>
      </c>
      <c r="G10" s="15" t="n">
        <v>0</v>
      </c>
      <c r="H10" s="14" t="inlineStr">
        <is>
          <t>Outstanding</t>
        </is>
      </c>
      <c r="I10" s="8" t="inlineStr">
        <is>
          <t>2036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drivers by category</t>
        </is>
      </c>
    </row>
    <row r="5">
      <c r="B5" s="13" t="inlineStr">
        <is>
          <t>Category</t>
        </is>
      </c>
      <c r="C5" s="13" t="inlineStr">
        <is>
          <t>Codes</t>
        </is>
      </c>
      <c r="D5" s="13" t="inlineStr">
        <is>
          <t>Net $ Variance</t>
        </is>
      </c>
      <c r="E5" s="13" t="inlineStr">
        <is>
          <t>Root Cause (inferred)</t>
        </is>
      </c>
      <c r="F5" s="13" t="inlineStr">
        <is>
          <t>Notes</t>
        </is>
      </c>
    </row>
    <row r="6">
      <c r="B6" s="5" t="inlineStr">
        <is>
          <t>Contract Change</t>
        </is>
      </c>
      <c r="C6" s="5" t="inlineStr">
        <is>
          <t>999 (Sales)</t>
        </is>
      </c>
      <c r="D6" s="15" t="n">
        <v>30162</v>
      </c>
      <c r="E6" s="5" t="inlineStr">
        <is>
          <t>JDR-implied net CO impact</t>
        </is>
      </c>
      <c r="F6" s="8" t="inlineStr">
        <is>
          <t>$388,515 → $418,677</t>
        </is>
      </c>
    </row>
    <row r="7">
      <c r="B7" s="5" t="inlineStr">
        <is>
          <t>Labor</t>
        </is>
      </c>
      <c r="C7" s="5" t="inlineStr">
        <is>
          <t>100,101,110,120,130,141,142</t>
        </is>
      </c>
      <c r="D7" s="15" t="n">
        <v>171.75</v>
      </c>
      <c r="E7" s="5" t="inlineStr">
        <is>
          <t>Labor variance vs revised budget</t>
        </is>
      </c>
      <c r="F7" s="8" t="inlineStr">
        <is>
          <t>30 workers</t>
        </is>
      </c>
    </row>
    <row r="8">
      <c r="B8" s="5" t="inlineStr">
        <is>
          <t>Material</t>
        </is>
      </c>
      <c r="C8" s="5" t="inlineStr">
        <is>
          <t>210,211,220,230,241</t>
        </is>
      </c>
      <c r="D8" s="15" t="n">
        <v>-11574.15</v>
      </c>
      <c r="E8" s="5" t="inlineStr">
        <is>
          <t>Material procurement variance</t>
        </is>
      </c>
      <c r="F8" s="8" t="inlineStr">
        <is>
          <t>13 vendors</t>
        </is>
      </c>
    </row>
    <row r="9">
      <c r="B9" s="5" t="inlineStr">
        <is>
          <t>Overhead</t>
        </is>
      </c>
      <c r="C9" s="5" t="inlineStr">
        <is>
          <t>607</t>
        </is>
      </c>
      <c r="D9" s="15" t="n">
        <v>-1674.52</v>
      </c>
      <c r="E9" s="5" t="inlineStr">
        <is>
          <t>Engineering/permits/subcon variance</t>
        </is>
      </c>
      <c r="F9" s="8" t="inlineStr"/>
    </row>
    <row r="10">
      <c r="B10" s="5" t="inlineStr">
        <is>
          <t>Burden+Tax</t>
        </is>
      </c>
      <c r="C10" s="5" t="inlineStr">
        <is>
          <t>995+998</t>
        </is>
      </c>
      <c r="D10" s="15" t="n">
        <v>-1078.180000000002</v>
      </c>
      <c r="E10" s="5" t="inlineStr">
        <is>
          <t>Payroll accrual tracking labor</t>
        </is>
      </c>
      <c r="F10" s="8" t="inlineStr"/>
    </row>
    <row r="11">
      <c r="B11" s="18" t="inlineStr">
        <is>
          <t>TOTAL NET VARIANCE</t>
        </is>
      </c>
      <c r="D11" s="19">
        <f>SUM(D6:D10)</f>
        <v/>
      </c>
    </row>
    <row r="14">
      <c r="B14" s="3" t="inlineStr">
        <is>
          <t>RESPONSIBILITY ATTRIBUTION</t>
        </is>
      </c>
    </row>
    <row r="15">
      <c r="B15" s="13" t="inlineStr">
        <is>
          <t>Responsible Party</t>
        </is>
      </c>
      <c r="C15" s="13" t="inlineStr">
        <is>
          <t># Drivers</t>
        </is>
      </c>
      <c r="D15" s="13" t="inlineStr">
        <is>
          <t>Net $ Impact</t>
        </is>
      </c>
      <c r="E15" s="13" t="inlineStr">
        <is>
          <t>Notes</t>
        </is>
      </c>
    </row>
    <row r="16">
      <c r="B16" s="5" t="inlineStr">
        <is>
          <t>GC / Owner (scope changes)</t>
        </is>
      </c>
      <c r="C16" s="14" t="n">
        <v>1</v>
      </c>
      <c r="D16" s="15" t="n">
        <v>30162</v>
      </c>
      <c r="E16" s="5" t="inlineStr">
        <is>
          <t>Aggregate JDR-implied COs</t>
        </is>
      </c>
    </row>
    <row r="17">
      <c r="B17" s="5" t="inlineStr">
        <is>
          <t>Sub (OWP) labor performance</t>
        </is>
      </c>
      <c r="C17" s="14" t="n">
        <v>7</v>
      </c>
      <c r="D17" s="15" t="n">
        <v>171.75</v>
      </c>
      <c r="E17" s="5" t="inlineStr">
        <is>
          <t>Hours + rate vs budget</t>
        </is>
      </c>
    </row>
    <row r="18">
      <c r="B18" s="5" t="inlineStr">
        <is>
          <t>Sub (OWP) material procurement</t>
        </is>
      </c>
      <c r="C18" s="14" t="n">
        <v>5</v>
      </c>
      <c r="D18" s="15" t="n">
        <v>-11574.15</v>
      </c>
      <c r="E18" s="5" t="inlineStr">
        <is>
          <t>13 vendors</t>
        </is>
      </c>
    </row>
    <row r="19">
      <c r="B19" s="5" t="inlineStr">
        <is>
          <t>OWP burden accrual</t>
        </is>
      </c>
      <c r="C19" s="14" t="n">
        <v>2</v>
      </c>
      <c r="D19" s="15" t="n">
        <v>-1078.180000000002</v>
      </c>
      <c r="E19" s="5" t="inlineStr">
        <is>
          <t>Payroll burden + tax</t>
        </is>
      </c>
    </row>
    <row r="20">
      <c r="B20" s="5" t="inlineStr">
        <is>
          <t>OWP overhead</t>
        </is>
      </c>
      <c r="C20" s="14" t="n">
        <v>1</v>
      </c>
      <c r="D20" s="15" t="n">
        <v>-1674.52</v>
      </c>
      <c r="E20" s="5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Change %</t>
        </is>
      </c>
      <c r="C7" s="14" t="inlineStr">
        <is>
          <t>7.76%</t>
        </is>
      </c>
      <c r="D7" s="14" t="inlineStr">
        <is>
          <t>±10%</t>
        </is>
      </c>
      <c r="E7" s="26" t="inlineStr">
        <is>
          <t>HEALTHY</t>
        </is>
      </c>
      <c r="F7" s="5" t="inlineStr">
        <is>
          <t>+7.76% net</t>
        </is>
      </c>
    </row>
    <row r="8">
      <c r="B8" s="5" t="inlineStr">
        <is>
          <t>Labor % of Revenue</t>
        </is>
      </c>
      <c r="C8" s="32" t="n">
        <v>0.2689083708921197</v>
      </c>
      <c r="D8" s="14" t="inlineStr">
        <is>
          <t>&lt;30%</t>
        </is>
      </c>
      <c r="E8" s="26" t="inlineStr">
        <is>
          <t>HEALTHY</t>
        </is>
      </c>
      <c r="F8" s="5" t="inlineStr">
        <is>
          <t>26.9%</t>
        </is>
      </c>
    </row>
    <row r="9">
      <c r="B9" s="5" t="inlineStr">
        <is>
          <t>GL Overhead % of Revenue</t>
        </is>
      </c>
      <c r="C9" s="32" t="n">
        <v>0.1694602521753045</v>
      </c>
      <c r="D9" s="14" t="inlineStr">
        <is>
          <t>&lt;5%</t>
        </is>
      </c>
      <c r="E9" s="26" t="inlineStr">
        <is>
          <t>HEALTHY</t>
        </is>
      </c>
      <c r="F9" s="5" t="inlineStr">
        <is>
          <t>16.9%</t>
        </is>
      </c>
    </row>
    <row r="10">
      <c r="B10" s="5" t="inlineStr">
        <is>
          <t>Vendor Concentration (Top 5)</t>
        </is>
      </c>
      <c r="C10" s="32" t="n">
        <v>0.9676069000604187</v>
      </c>
      <c r="D10" s="14" t="inlineStr">
        <is>
          <t>&lt;95%</t>
        </is>
      </c>
      <c r="E10" s="26" t="inlineStr">
        <is>
          <t>HEALTHY</t>
        </is>
      </c>
      <c r="F10" s="5" t="inlineStr">
        <is>
          <t>Top 5 = 97% of AP</t>
        </is>
      </c>
    </row>
    <row r="11">
      <c r="B11" s="5" t="inlineStr">
        <is>
          <t>Retainage %</t>
        </is>
      </c>
      <c r="C11" s="32" t="n">
        <v>0.1</v>
      </c>
      <c r="D11" s="14" t="inlineStr">
        <is>
          <t>&lt;10%</t>
        </is>
      </c>
      <c r="E11" s="33" t="inlineStr">
        <is>
          <t>WATCH</t>
        </is>
      </c>
      <c r="F11" s="5" t="inlineStr">
        <is>
          <t>10.0%</t>
        </is>
      </c>
    </row>
    <row r="12">
      <c r="B12" s="5" t="inlineStr">
        <is>
          <t>Gross Margin</t>
        </is>
      </c>
      <c r="C12" s="32" t="n">
        <v>0.3402815057908604</v>
      </c>
      <c r="D12" s="14" t="inlineStr">
        <is>
          <t>&gt;30%</t>
        </is>
      </c>
      <c r="E12" s="26" t="inlineStr">
        <is>
          <t>HEALTHY</t>
        </is>
      </c>
      <c r="F12" s="5" t="inlineStr">
        <is>
          <t>34.0%</t>
        </is>
      </c>
    </row>
    <row r="13">
      <c r="B13" s="5" t="inlineStr">
        <is>
          <t>Labor Hrs Total</t>
        </is>
      </c>
      <c r="C13" s="32" t="n">
        <v>4098</v>
      </c>
      <c r="D13" s="14" t="inlineStr">
        <is>
          <t>varies</t>
        </is>
      </c>
      <c r="E13" s="34" t="inlineStr">
        <is>
          <t>INFO</t>
        </is>
      </c>
      <c r="F13" s="5" t="inlineStr">
        <is>
          <t>4,098 hrs, 30 workers</t>
        </is>
      </c>
    </row>
    <row r="14">
      <c r="B14" s="5" t="inlineStr">
        <is>
          <t>Worker Concentration (top 1)</t>
        </is>
      </c>
      <c r="C14" s="32" t="n">
        <v>0.2113225963884822</v>
      </c>
      <c r="D14" s="14" t="inlineStr">
        <is>
          <t>&lt;25%</t>
        </is>
      </c>
      <c r="E14" s="26" t="inlineStr">
        <is>
          <t>HEALTHY</t>
        </is>
      </c>
      <c r="F14" s="5" t="inlineStr">
        <is>
          <t>21.1% (Castaneda Juarez, Cesar O)</t>
        </is>
      </c>
    </row>
    <row r="15">
      <c r="B15" s="5" t="inlineStr">
        <is>
          <t>Rough-in Labor Share</t>
        </is>
      </c>
      <c r="C15" s="32" t="n">
        <v>0.6301854563201562</v>
      </c>
      <c r="D15" s="14" t="inlineStr">
        <is>
          <t>40-65%</t>
        </is>
      </c>
      <c r="E15" s="26" t="inlineStr">
        <is>
          <t>HEALTHY</t>
        </is>
      </c>
      <c r="F15" s="5" t="inlineStr">
        <is>
          <t>63%</t>
        </is>
      </c>
    </row>
    <row r="16">
      <c r="B16" s="5" t="inlineStr">
        <is>
          <t>Retainage Legacy</t>
        </is>
      </c>
      <c r="C16" s="14" t="inlineStr">
        <is>
          <t>STALE</t>
        </is>
      </c>
      <c r="D16" s="14" t="inlineStr">
        <is>
          <t>&lt;90 days post-closeout</t>
        </is>
      </c>
      <c r="E16" s="33" t="inlineStr">
        <is>
          <t>ELEVATED</t>
        </is>
      </c>
      <c r="F16" s="5" t="inlineStr">
        <is>
          <t>$41,868 outstanding</t>
        </is>
      </c>
    </row>
    <row r="19">
      <c r="B19" s="3" t="inlineStr">
        <is>
          <t>FORECAST MODELS</t>
        </is>
      </c>
    </row>
    <row r="20">
      <c r="B20" s="13" t="inlineStr">
        <is>
          <t>Forecast</t>
        </is>
      </c>
      <c r="C20" s="13" t="inlineStr">
        <is>
          <t>Current Estimate</t>
        </is>
      </c>
      <c r="D20" s="13" t="inlineStr">
        <is>
          <t>Confidence</t>
        </is>
      </c>
      <c r="E20" s="13" t="inlineStr">
        <is>
          <t>Driver</t>
        </is>
      </c>
      <c r="F20" s="13" t="inlineStr">
        <is>
          <t>Model Note</t>
        </is>
      </c>
    </row>
    <row r="21">
      <c r="B21" s="5" t="inlineStr">
        <is>
          <t>Final margin (actual)</t>
        </is>
      </c>
      <c r="C21" s="32" t="n">
        <v>0.3402815057908604</v>
      </c>
      <c r="D21" s="14" t="inlineStr">
        <is>
          <t>Actual</t>
        </is>
      </c>
      <c r="E21" s="14" t="inlineStr">
        <is>
          <t>Job closed</t>
        </is>
      </c>
      <c r="F21" s="5" t="inlineStr">
        <is>
          <t>34.0%</t>
        </is>
      </c>
    </row>
    <row r="22">
      <c r="B22" s="5" t="inlineStr">
        <is>
          <t>Retainage collection</t>
        </is>
      </c>
      <c r="C22" s="14" t="inlineStr">
        <is>
          <t>$41,868 open</t>
        </is>
      </c>
      <c r="D22" s="14" t="inlineStr">
        <is>
          <t>Low</t>
        </is>
      </c>
      <c r="E22" s="14" t="inlineStr">
        <is>
          <t>Legacy project</t>
        </is>
      </c>
      <c r="F22" s="5" t="inlineStr">
        <is>
          <t>May require LOI/writedown</t>
        </is>
      </c>
    </row>
    <row r="23">
      <c r="B23" s="5" t="inlineStr">
        <is>
          <t>Unit-level economics</t>
        </is>
      </c>
      <c r="C23" s="14" t="inlineStr">
        <is>
          <t>$13,506/unit rev, $4,596/unit profit</t>
        </is>
      </c>
      <c r="D23" s="14" t="inlineStr">
        <is>
          <t>Verified</t>
        </is>
      </c>
      <c r="E23" s="14" t="inlineStr">
        <is>
          <t>31 units</t>
        </is>
      </c>
      <c r="F23" s="5" t="inlineStr">
        <is>
          <t>Multifamily New Construction benchmark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2036</t>
        </is>
      </c>
      <c r="F6" s="14" t="inlineStr">
        <is>
          <t>id</t>
        </is>
      </c>
      <c r="G6" s="14" t="inlineStr">
        <is>
          <t>Benchmark KPIs</t>
        </is>
      </c>
      <c r="H6" s="26" t="inlineStr">
        <is>
          <t>Verified</t>
        </is>
      </c>
      <c r="I6" s="5" t="inlineStr">
        <is>
          <t>2036 Job Detail Report.pdf (Sage Timberline, 04/03/2026)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Westridge Apartments</t>
        </is>
      </c>
      <c r="F7" s="14" t="inlineStr">
        <is>
          <t>text</t>
        </is>
      </c>
      <c r="G7" s="14" t="inlineStr">
        <is>
          <t>Benchmark KPIs</t>
        </is>
      </c>
      <c r="H7" s="26" t="inlineStr">
        <is>
          <t>Verified</t>
        </is>
      </c>
      <c r="I7" s="5" t="inlineStr">
        <is>
          <t>2036 Job Detail Report.pdf (Sage Timberline, 04/03/2026)</t>
        </is>
      </c>
    </row>
    <row r="8">
      <c r="B8" s="14" t="n">
        <v>3</v>
      </c>
      <c r="C8" s="5" t="inlineStr">
        <is>
          <t>general_contractor</t>
        </is>
      </c>
      <c r="D8" s="5" t="inlineStr">
        <is>
          <t>GC</t>
        </is>
      </c>
      <c r="E8" s="14" t="inlineStr">
        <is>
          <t>Exxel Pacific, Inc.</t>
        </is>
      </c>
      <c r="F8" s="14" t="inlineStr">
        <is>
          <t>text</t>
        </is>
      </c>
      <c r="G8" s="14" t="inlineStr">
        <is>
          <t>Benchmark KPIs</t>
        </is>
      </c>
      <c r="H8" s="26" t="inlineStr">
        <is>
          <t>Verified</t>
        </is>
      </c>
      <c r="I8" s="5" t="inlineStr">
        <is>
          <t>OWP Project List with Schedule - UPDATED 04-01-26.xlsx</t>
        </is>
      </c>
    </row>
    <row r="9">
      <c r="B9" s="14" t="n">
        <v>4</v>
      </c>
      <c r="C9" s="5" t="inlineStr">
        <is>
          <t>owner</t>
        </is>
      </c>
      <c r="D9" s="5" t="inlineStr">
        <is>
          <t>Owner</t>
        </is>
      </c>
      <c r="E9" s="14" t="inlineStr">
        <is>
          <t>Exxel Pacific Westridge LLC</t>
        </is>
      </c>
      <c r="F9" s="14" t="inlineStr">
        <is>
          <t>text</t>
        </is>
      </c>
      <c r="G9" s="14" t="inlineStr">
        <is>
          <t>Benchmark KPIs</t>
        </is>
      </c>
      <c r="H9" s="26" t="inlineStr">
        <is>
          <t>Verified</t>
        </is>
      </c>
      <c r="I9" s="5" t="inlineStr">
        <is>
          <t>OWP Project List with Schedule - UPDATED 04-01-26.xlsx</t>
        </is>
      </c>
    </row>
    <row r="10">
      <c r="B10" s="14" t="n">
        <v>5</v>
      </c>
      <c r="C10" s="5" t="inlineStr">
        <is>
          <t>location</t>
        </is>
      </c>
      <c r="D10" s="5" t="inlineStr">
        <is>
          <t>Location</t>
        </is>
      </c>
      <c r="E10" s="14" t="inlineStr">
        <is>
          <t>512 121st Place NE, Bellevue, WA</t>
        </is>
      </c>
      <c r="F10" s="14" t="inlineStr">
        <is>
          <t>text</t>
        </is>
      </c>
      <c r="G10" s="14" t="inlineStr">
        <is>
          <t>Benchmark KPIs</t>
        </is>
      </c>
      <c r="H10" s="26" t="inlineStr">
        <is>
          <t>Verified</t>
        </is>
      </c>
      <c r="I10" s="5" t="inlineStr">
        <is>
          <t>OWP Project List with Schedule - UPDATED 04-01-26.xlsx</t>
        </is>
      </c>
    </row>
    <row r="11">
      <c r="B11" s="14" t="n">
        <v>6</v>
      </c>
      <c r="C11" s="5" t="inlineStr">
        <is>
          <t>project_type</t>
        </is>
      </c>
      <c r="D11" s="5" t="inlineStr">
        <is>
          <t>Project Type</t>
        </is>
      </c>
      <c r="E11" s="14" t="inlineStr">
        <is>
          <t>Multifamily New Construction (31 units)</t>
        </is>
      </c>
      <c r="F11" s="14" t="inlineStr">
        <is>
          <t>text</t>
        </is>
      </c>
      <c r="G11" s="14" t="inlineStr">
        <is>
          <t>Benchmark KPIs</t>
        </is>
      </c>
      <c r="H11" s="26" t="inlineStr">
        <is>
          <t>Verified</t>
        </is>
      </c>
      <c r="I11" s="5" t="inlineStr">
        <is>
          <t>OWP Project List with Schedule - UPDATED 04-01-26.xlsx</t>
        </is>
      </c>
    </row>
    <row r="12">
      <c r="B12" s="14" t="n">
        <v>7</v>
      </c>
      <c r="C12" s="5" t="inlineStr">
        <is>
          <t>insurance_type</t>
        </is>
      </c>
      <c r="D12" s="5" t="inlineStr">
        <is>
          <t>Insurance</t>
        </is>
      </c>
      <c r="E12" s="14" t="inlineStr">
        <is>
          <t>Not Wrap</t>
        </is>
      </c>
      <c r="F12" s="14" t="inlineStr">
        <is>
          <t>text</t>
        </is>
      </c>
      <c r="G12" s="14" t="inlineStr">
        <is>
          <t>Benchmark KPIs</t>
        </is>
      </c>
      <c r="H12" s="26" t="inlineStr">
        <is>
          <t>Verified</t>
        </is>
      </c>
      <c r="I12" s="5" t="inlineStr">
        <is>
          <t>OWP Project List with Schedule - UPDATED 04-01-26.xlsx</t>
        </is>
      </c>
    </row>
    <row r="13">
      <c r="B13" s="14" t="n">
        <v>8</v>
      </c>
      <c r="C13" s="5" t="inlineStr">
        <is>
          <t>gc_pm</t>
        </is>
      </c>
      <c r="D13" s="5" t="inlineStr">
        <is>
          <t>GC PM</t>
        </is>
      </c>
      <c r="E13" s="14" t="inlineStr">
        <is>
          <t>David Strid</t>
        </is>
      </c>
      <c r="F13" s="14" t="inlineStr">
        <is>
          <t>text</t>
        </is>
      </c>
      <c r="G13" s="14" t="inlineStr">
        <is>
          <t>Benchmark KPIs</t>
        </is>
      </c>
      <c r="H13" s="26" t="inlineStr">
        <is>
          <t>Verified</t>
        </is>
      </c>
      <c r="I13" s="5" t="inlineStr">
        <is>
          <t>OWP Project List with Schedule - UPDATED 04-01-26.xlsx</t>
        </is>
      </c>
    </row>
    <row r="14">
      <c r="B14" s="14" t="n">
        <v>9</v>
      </c>
      <c r="C14" s="5" t="inlineStr">
        <is>
          <t>gc_sup</t>
        </is>
      </c>
      <c r="D14" s="5" t="inlineStr">
        <is>
          <t>GC Sup</t>
        </is>
      </c>
      <c r="E14" s="14" t="inlineStr">
        <is>
          <t>Shon Geer</t>
        </is>
      </c>
      <c r="F14" s="14" t="inlineStr">
        <is>
          <t>text</t>
        </is>
      </c>
      <c r="G14" s="14" t="inlineStr">
        <is>
          <t>Benchmark KPIs</t>
        </is>
      </c>
      <c r="H14" s="26" t="inlineStr">
        <is>
          <t>Verified</t>
        </is>
      </c>
      <c r="I14" s="5" t="inlineStr">
        <is>
          <t>OWP Project List with Schedule - UPDATED 04-01-26.xlsx</t>
        </is>
      </c>
    </row>
    <row r="15">
      <c r="B15" s="14" t="n">
        <v>10</v>
      </c>
      <c r="C15" s="5" t="inlineStr">
        <is>
          <t>gc_pe</t>
        </is>
      </c>
      <c r="D15" s="5" t="inlineStr">
        <is>
          <t>GC PE</t>
        </is>
      </c>
      <c r="E15" s="14" t="inlineStr">
        <is>
          <t>Jose Tapia</t>
        </is>
      </c>
      <c r="F15" s="14" t="inlineStr">
        <is>
          <t>text</t>
        </is>
      </c>
      <c r="G15" s="14" t="inlineStr">
        <is>
          <t>Benchmark KPIs</t>
        </is>
      </c>
      <c r="H15" s="26" t="inlineStr">
        <is>
          <t>Verified</t>
        </is>
      </c>
      <c r="I15" s="5" t="inlineStr">
        <is>
          <t>OWP Project List with Schedule - UPDATED 04-01-26.xlsx</t>
        </is>
      </c>
    </row>
    <row r="16">
      <c r="B16" s="14" t="n">
        <v>11</v>
      </c>
      <c r="C16" s="5" t="inlineStr">
        <is>
          <t>developer</t>
        </is>
      </c>
      <c r="D16" s="5" t="inlineStr">
        <is>
          <t>Developer</t>
        </is>
      </c>
      <c r="E16" s="14" t="inlineStr">
        <is>
          <t>Exxel Pacific</t>
        </is>
      </c>
      <c r="F16" s="14" t="inlineStr">
        <is>
          <t>text</t>
        </is>
      </c>
      <c r="G16" s="14" t="inlineStr">
        <is>
          <t>Benchmark KPIs</t>
        </is>
      </c>
      <c r="H16" s="26" t="inlineStr">
        <is>
          <t>Verified</t>
        </is>
      </c>
      <c r="I16" s="5" t="inlineStr">
        <is>
          <t>OWP Project List with Schedule - UPDATED 04-01-26.xlsx</t>
        </is>
      </c>
    </row>
    <row r="17">
      <c r="B17" s="14" t="n">
        <v>12</v>
      </c>
      <c r="C17" s="5" t="inlineStr">
        <is>
          <t>owp_foreman</t>
        </is>
      </c>
      <c r="D17" s="5" t="inlineStr">
        <is>
          <t>OWP RI Foreman</t>
        </is>
      </c>
      <c r="E17" s="14" t="inlineStr">
        <is>
          <t>Gustavo</t>
        </is>
      </c>
      <c r="F17" s="14" t="inlineStr">
        <is>
          <t>text</t>
        </is>
      </c>
      <c r="G17" s="14" t="inlineStr">
        <is>
          <t>Benchmark KPIs</t>
        </is>
      </c>
      <c r="H17" s="26" t="inlineStr">
        <is>
          <t>Verified</t>
        </is>
      </c>
      <c r="I17" s="5" t="inlineStr">
        <is>
          <t>Schedule</t>
        </is>
      </c>
    </row>
    <row r="18">
      <c r="B18" s="14" t="n">
        <v>13</v>
      </c>
      <c r="C18" s="5" t="inlineStr">
        <is>
          <t>start_date</t>
        </is>
      </c>
      <c r="D18" s="5" t="inlineStr">
        <is>
          <t>Work Start</t>
        </is>
      </c>
      <c r="E18" s="14" t="inlineStr">
        <is>
          <t>2016-10-01</t>
        </is>
      </c>
      <c r="F18" s="14" t="inlineStr">
        <is>
          <t>date</t>
        </is>
      </c>
      <c r="G18" s="14" t="inlineStr">
        <is>
          <t>Benchmark KPIs</t>
        </is>
      </c>
      <c r="H18" s="26" t="inlineStr">
        <is>
          <t>Verified</t>
        </is>
      </c>
      <c r="I18" s="5" t="inlineStr">
        <is>
          <t>2036 Job Detail Report.pdf (Sage Timberline, 04/03/2026)</t>
        </is>
      </c>
    </row>
    <row r="19">
      <c r="B19" s="14" t="n">
        <v>14</v>
      </c>
      <c r="C19" s="5" t="inlineStr">
        <is>
          <t>end_date</t>
        </is>
      </c>
      <c r="D19" s="5" t="inlineStr">
        <is>
          <t>Work End</t>
        </is>
      </c>
      <c r="E19" s="14" t="inlineStr">
        <is>
          <t>2018</t>
        </is>
      </c>
      <c r="F19" s="14" t="inlineStr">
        <is>
          <t>date</t>
        </is>
      </c>
      <c r="G19" s="14" t="inlineStr">
        <is>
          <t>Benchmark KPIs</t>
        </is>
      </c>
      <c r="H19" s="26" t="inlineStr">
        <is>
          <t>Verified</t>
        </is>
      </c>
      <c r="I19" s="5" t="inlineStr">
        <is>
          <t>2036 Job Detail Report.pdf (Sage Timberline, 04/03/2026)</t>
        </is>
      </c>
    </row>
    <row r="20">
      <c r="B20" s="14" t="n">
        <v>15</v>
      </c>
      <c r="C20" s="5" t="inlineStr">
        <is>
          <t>duration_months</t>
        </is>
      </c>
      <c r="D20" s="5" t="inlineStr">
        <is>
          <t>Duration</t>
        </is>
      </c>
      <c r="E20" s="30" t="n">
        <v>20</v>
      </c>
      <c r="F20" s="14" t="inlineStr">
        <is>
          <t>months</t>
        </is>
      </c>
      <c r="G20" s="14" t="inlineStr">
        <is>
          <t>Benchmark KPIs</t>
        </is>
      </c>
      <c r="H20" s="26" t="inlineStr">
        <is>
          <t>Verified</t>
        </is>
      </c>
      <c r="I20" s="5" t="inlineStr">
        <is>
          <t>Derived</t>
        </is>
      </c>
    </row>
    <row r="21">
      <c r="B21" s="14" t="n">
        <v>16</v>
      </c>
      <c r="C21" s="5" t="inlineStr">
        <is>
          <t>unit_count</t>
        </is>
      </c>
      <c r="D21" s="5" t="inlineStr">
        <is>
          <t>Unit Count</t>
        </is>
      </c>
      <c r="E21" s="27" t="n">
        <v>31</v>
      </c>
      <c r="F21" s="14" t="inlineStr">
        <is>
          <t>units</t>
        </is>
      </c>
      <c r="G21" s="14" t="inlineStr">
        <is>
          <t>Benchmark KPIs</t>
        </is>
      </c>
      <c r="H21" s="26" t="inlineStr">
        <is>
          <t>Verified</t>
        </is>
      </c>
      <c r="I21" s="5" t="inlineStr">
        <is>
          <t>OWP Project List with Schedule - UPDATED 04-01-26.xlsx</t>
        </is>
      </c>
    </row>
    <row r="22">
      <c r="B22" s="14" t="n">
        <v>17</v>
      </c>
      <c r="C22" s="5" t="inlineStr">
        <is>
          <t>contract_original</t>
        </is>
      </c>
      <c r="D22" s="5" t="inlineStr">
        <is>
          <t>Contract Orig</t>
        </is>
      </c>
      <c r="E22" s="28" t="n">
        <v>388515</v>
      </c>
      <c r="F22" s="14" t="inlineStr">
        <is>
          <t>USD</t>
        </is>
      </c>
      <c r="G22" s="14" t="inlineStr">
        <is>
          <t>Benchmark KPIs</t>
        </is>
      </c>
      <c r="H22" s="26" t="inlineStr">
        <is>
          <t>Verified</t>
        </is>
      </c>
      <c r="I22" s="5" t="inlineStr">
        <is>
          <t>OWP Project List with Schedule - UPDATED 04-01-26.xlsx</t>
        </is>
      </c>
    </row>
    <row r="23">
      <c r="B23" s="14" t="n">
        <v>18</v>
      </c>
      <c r="C23" s="5" t="inlineStr">
        <is>
          <t>contract_final</t>
        </is>
      </c>
      <c r="D23" s="5" t="inlineStr">
        <is>
          <t>Contract Final</t>
        </is>
      </c>
      <c r="E23" s="28" t="n">
        <v>418677</v>
      </c>
      <c r="F23" s="14" t="inlineStr">
        <is>
          <t>USD</t>
        </is>
      </c>
      <c r="G23" s="14" t="inlineStr">
        <is>
          <t>Benchmark KPIs</t>
        </is>
      </c>
      <c r="H23" s="26" t="inlineStr">
        <is>
          <t>Verified</t>
        </is>
      </c>
      <c r="I23" s="5" t="inlineStr">
        <is>
          <t>OWP Project List with Schedule - UPDATED 04-01-26.xlsx</t>
        </is>
      </c>
    </row>
    <row r="24">
      <c r="B24" s="14" t="n">
        <v>19</v>
      </c>
      <c r="C24" s="5" t="inlineStr">
        <is>
          <t>change_orders_implied</t>
        </is>
      </c>
      <c r="D24" s="5" t="inlineStr">
        <is>
          <t>CO (implied)</t>
        </is>
      </c>
      <c r="E24" s="28" t="n">
        <v>30162</v>
      </c>
      <c r="F24" s="14" t="inlineStr">
        <is>
          <t>USD</t>
        </is>
      </c>
      <c r="G24" s="14" t="inlineStr">
        <is>
          <t>Benchmark KPIs</t>
        </is>
      </c>
      <c r="H24" s="26" t="inlineStr">
        <is>
          <t>Verified</t>
        </is>
      </c>
      <c r="I24" s="5" t="inlineStr">
        <is>
          <t>2036 Job Detail Report.pdf (Sage Timberline, 04/03/2026)</t>
        </is>
      </c>
    </row>
    <row r="25">
      <c r="B25" s="14" t="n">
        <v>20</v>
      </c>
      <c r="C25" s="5" t="inlineStr">
        <is>
          <t>co_pct</t>
        </is>
      </c>
      <c r="D25" s="5" t="inlineStr">
        <is>
          <t>CO % of Contract</t>
        </is>
      </c>
      <c r="E25" s="29" t="n">
        <v>0.07763406818269565</v>
      </c>
      <c r="F25" s="14" t="inlineStr">
        <is>
          <t>%</t>
        </is>
      </c>
      <c r="G25" s="14" t="inlineStr">
        <is>
          <t>Benchmark KPIs</t>
        </is>
      </c>
      <c r="H25" s="26" t="inlineStr">
        <is>
          <t>Verified</t>
        </is>
      </c>
      <c r="I25" s="5" t="inlineStr">
        <is>
          <t>Derived</t>
        </is>
      </c>
    </row>
    <row r="26">
      <c r="B26" s="14" t="n">
        <v>21</v>
      </c>
      <c r="C26" s="5" t="inlineStr">
        <is>
          <t>revenue</t>
        </is>
      </c>
      <c r="D26" s="5" t="inlineStr">
        <is>
          <t>Revenue</t>
        </is>
      </c>
      <c r="E26" s="28" t="n">
        <v>418677</v>
      </c>
      <c r="F26" s="14" t="inlineStr">
        <is>
          <t>USD</t>
        </is>
      </c>
      <c r="G26" s="14" t="inlineStr">
        <is>
          <t>Benchmark KPIs</t>
        </is>
      </c>
      <c r="H26" s="26" t="inlineStr">
        <is>
          <t>Verified</t>
        </is>
      </c>
      <c r="I26" s="5" t="inlineStr">
        <is>
          <t>2036 Job Detail Report.pdf (Sage Timberline, 04/03/2026)</t>
        </is>
      </c>
    </row>
    <row r="27">
      <c r="B27" s="14" t="n">
        <v>22</v>
      </c>
      <c r="C27" s="5" t="inlineStr">
        <is>
          <t>direct_cost</t>
        </is>
      </c>
      <c r="D27" s="5" t="inlineStr">
        <is>
          <t>Direct Cost</t>
        </is>
      </c>
      <c r="E27" s="28" t="n">
        <v>276208.96</v>
      </c>
      <c r="F27" s="14" t="inlineStr">
        <is>
          <t>USD</t>
        </is>
      </c>
      <c r="G27" s="14" t="inlineStr">
        <is>
          <t>Benchmark KPIs</t>
        </is>
      </c>
      <c r="H27" s="26" t="inlineStr">
        <is>
          <t>Verified</t>
        </is>
      </c>
      <c r="I27" s="5" t="inlineStr">
        <is>
          <t>2036 Job Detail Report.pdf (Sage Timberline, 04/03/2026)</t>
        </is>
      </c>
    </row>
    <row r="28">
      <c r="B28" s="14" t="n">
        <v>23</v>
      </c>
      <c r="C28" s="5" t="inlineStr">
        <is>
          <t>net_profit</t>
        </is>
      </c>
      <c r="D28" s="5" t="inlineStr">
        <is>
          <t>Net Profit</t>
        </is>
      </c>
      <c r="E28" s="28" t="n">
        <v>142468.04</v>
      </c>
      <c r="F28" s="14" t="inlineStr">
        <is>
          <t>USD</t>
        </is>
      </c>
      <c r="G28" s="14" t="inlineStr">
        <is>
          <t>Benchmark KPIs</t>
        </is>
      </c>
      <c r="H28" s="26" t="inlineStr">
        <is>
          <t>Verified</t>
        </is>
      </c>
      <c r="I28" s="5" t="inlineStr">
        <is>
          <t>2036 Job Detail Report.pdf (Sage Timberline, 04/03/2026)</t>
        </is>
      </c>
    </row>
    <row r="29">
      <c r="B29" s="14" t="n">
        <v>24</v>
      </c>
      <c r="C29" s="5" t="inlineStr">
        <is>
          <t>gross_margin</t>
        </is>
      </c>
      <c r="D29" s="5" t="inlineStr">
        <is>
          <t>Gross Margin</t>
        </is>
      </c>
      <c r="E29" s="29" t="n">
        <v>0.3402815057908604</v>
      </c>
      <c r="F29" s="14" t="inlineStr">
        <is>
          <t>%</t>
        </is>
      </c>
      <c r="G29" s="14" t="inlineStr">
        <is>
          <t>Benchmark KPIs</t>
        </is>
      </c>
      <c r="H29" s="26" t="inlineStr">
        <is>
          <t>Verified</t>
        </is>
      </c>
      <c r="I29" s="5" t="inlineStr">
        <is>
          <t>Derived</t>
        </is>
      </c>
    </row>
    <row r="30">
      <c r="B30" s="14" t="n">
        <v>25</v>
      </c>
      <c r="C30" s="5" t="inlineStr">
        <is>
          <t>retainage</t>
        </is>
      </c>
      <c r="D30" s="5" t="inlineStr">
        <is>
          <t>Retainage</t>
        </is>
      </c>
      <c r="E30" s="28" t="n">
        <v>41867.7</v>
      </c>
      <c r="F30" s="14" t="inlineStr">
        <is>
          <t>USD</t>
        </is>
      </c>
      <c r="G30" s="14" t="inlineStr">
        <is>
          <t>Benchmark KPIs</t>
        </is>
      </c>
      <c r="H30" s="26" t="inlineStr">
        <is>
          <t>Verified</t>
        </is>
      </c>
      <c r="I30" s="5" t="inlineStr">
        <is>
          <t>2036 Job Detail Report.pdf (Sage Timberline, 04/03/2026)</t>
        </is>
      </c>
    </row>
    <row r="31">
      <c r="B31" s="14" t="n">
        <v>26</v>
      </c>
      <c r="C31" s="5" t="inlineStr">
        <is>
          <t>retainage_pct</t>
        </is>
      </c>
      <c r="D31" s="5" t="inlineStr">
        <is>
          <t>Retainage %</t>
        </is>
      </c>
      <c r="E31" s="29" t="n">
        <v>0.1</v>
      </c>
      <c r="F31" s="14" t="inlineStr">
        <is>
          <t>%</t>
        </is>
      </c>
      <c r="G31" s="14" t="inlineStr">
        <is>
          <t>Benchmark KPIs</t>
        </is>
      </c>
      <c r="H31" s="26" t="inlineStr">
        <is>
          <t>Verified</t>
        </is>
      </c>
      <c r="I31" s="5" t="inlineStr">
        <is>
          <t>Derived</t>
        </is>
      </c>
    </row>
    <row r="32">
      <c r="B32" s="14" t="n">
        <v>27</v>
      </c>
      <c r="C32" s="5" t="inlineStr">
        <is>
          <t>labor_cost</t>
        </is>
      </c>
      <c r="D32" s="5" t="inlineStr">
        <is>
          <t>Labor Cost</t>
        </is>
      </c>
      <c r="E32" s="28" t="n">
        <v>112585.75</v>
      </c>
      <c r="F32" s="14" t="inlineStr">
        <is>
          <t>USD</t>
        </is>
      </c>
      <c r="G32" s="14" t="inlineStr">
        <is>
          <t>Benchmark KPIs</t>
        </is>
      </c>
      <c r="H32" s="26" t="inlineStr">
        <is>
          <t>Verified</t>
        </is>
      </c>
      <c r="I32" s="5" t="inlineStr">
        <is>
          <t>2036 Job Detail Report.pdf (Sage Timberline, 04/03/2026)</t>
        </is>
      </c>
    </row>
    <row r="33">
      <c r="B33" s="14" t="n">
        <v>28</v>
      </c>
      <c r="C33" s="5" t="inlineStr">
        <is>
          <t>material_cost</t>
        </is>
      </c>
      <c r="D33" s="5" t="inlineStr">
        <is>
          <t>Material Cost</t>
        </is>
      </c>
      <c r="E33" s="28" t="n">
        <v>104252.85</v>
      </c>
      <c r="F33" s="14" t="inlineStr">
        <is>
          <t>USD</t>
        </is>
      </c>
      <c r="G33" s="14" t="inlineStr">
        <is>
          <t>Benchmark KPIs</t>
        </is>
      </c>
      <c r="H33" s="26" t="inlineStr">
        <is>
          <t>Verified</t>
        </is>
      </c>
      <c r="I33" s="5" t="inlineStr">
        <is>
          <t>2036 Job Detail Report.pdf (Sage Timberline, 04/03/2026)</t>
        </is>
      </c>
    </row>
    <row r="34">
      <c r="B34" s="14" t="n">
        <v>29</v>
      </c>
      <c r="C34" s="5" t="inlineStr">
        <is>
          <t>overhead_cost</t>
        </is>
      </c>
      <c r="D34" s="5" t="inlineStr">
        <is>
          <t>Overhead Cost</t>
        </is>
      </c>
      <c r="E34" s="28" t="n">
        <v>825.48</v>
      </c>
      <c r="F34" s="14" t="inlineStr">
        <is>
          <t>USD</t>
        </is>
      </c>
      <c r="G34" s="14" t="inlineStr">
        <is>
          <t>Benchmark KPIs</t>
        </is>
      </c>
      <c r="H34" s="26" t="inlineStr">
        <is>
          <t>Verified</t>
        </is>
      </c>
      <c r="I34" s="5" t="inlineStr">
        <is>
          <t>2036 Job Detail Report.pdf (Sage Timberline, 04/03/2026)</t>
        </is>
      </c>
    </row>
    <row r="35">
      <c r="B35" s="14" t="n">
        <v>30</v>
      </c>
      <c r="C35" s="5" t="inlineStr">
        <is>
          <t>burden_cost</t>
        </is>
      </c>
      <c r="D35" s="5" t="inlineStr">
        <is>
          <t>Burden</t>
        </is>
      </c>
      <c r="E35" s="28" t="n">
        <v>49931.78</v>
      </c>
      <c r="F35" s="14" t="inlineStr">
        <is>
          <t>USD</t>
        </is>
      </c>
      <c r="G35" s="14" t="inlineStr">
        <is>
          <t>Benchmark KPIs</t>
        </is>
      </c>
      <c r="H35" s="26" t="inlineStr">
        <is>
          <t>Verified</t>
        </is>
      </c>
      <c r="I35" s="5" t="inlineStr">
        <is>
          <t>2036 Job Detail Report.pdf (Sage Timberline, 04/03/2026)</t>
        </is>
      </c>
    </row>
    <row r="36">
      <c r="B36" s="14" t="n">
        <v>31</v>
      </c>
      <c r="C36" s="5" t="inlineStr">
        <is>
          <t>tax_cost</t>
        </is>
      </c>
      <c r="D36" s="5" t="inlineStr">
        <is>
          <t>Tax</t>
        </is>
      </c>
      <c r="E36" s="28" t="n">
        <v>8613.1</v>
      </c>
      <c r="F36" s="14" t="inlineStr">
        <is>
          <t>USD</t>
        </is>
      </c>
      <c r="G36" s="14" t="inlineStr">
        <is>
          <t>Benchmark KPIs</t>
        </is>
      </c>
      <c r="H36" s="26" t="inlineStr">
        <is>
          <t>Verified</t>
        </is>
      </c>
      <c r="I36" s="5" t="inlineStr">
        <is>
          <t>2036 Job Detail Report.pdf (Sage Timberline, 04/03/2026)</t>
        </is>
      </c>
    </row>
    <row r="37">
      <c r="B37" s="14" t="n">
        <v>32</v>
      </c>
      <c r="C37" s="5" t="inlineStr">
        <is>
          <t>total_hours</t>
        </is>
      </c>
      <c r="D37" s="5" t="inlineStr">
        <is>
          <t>Total Hours</t>
        </is>
      </c>
      <c r="E37" s="30" t="n">
        <v>4098</v>
      </c>
      <c r="F37" s="14" t="inlineStr">
        <is>
          <t>hours</t>
        </is>
      </c>
      <c r="G37" s="14" t="inlineStr">
        <is>
          <t>Benchmark KPIs</t>
        </is>
      </c>
      <c r="H37" s="26" t="inlineStr">
        <is>
          <t>Verified</t>
        </is>
      </c>
      <c r="I37" s="5" t="inlineStr">
        <is>
          <t>2036 Job Detail Report.pdf (Sage Timberline, 04/03/2026)</t>
        </is>
      </c>
    </row>
    <row r="38">
      <c r="B38" s="14" t="n">
        <v>33</v>
      </c>
      <c r="C38" s="5" t="inlineStr">
        <is>
          <t>total_workers</t>
        </is>
      </c>
      <c r="D38" s="5" t="inlineStr">
        <is>
          <t>Total Workers</t>
        </is>
      </c>
      <c r="E38" s="27" t="n">
        <v>30</v>
      </c>
      <c r="F38" s="14" t="inlineStr">
        <is>
          <t>count</t>
        </is>
      </c>
      <c r="G38" s="14" t="inlineStr">
        <is>
          <t>Benchmark KPIs</t>
        </is>
      </c>
      <c r="H38" s="26" t="inlineStr">
        <is>
          <t>Verified</t>
        </is>
      </c>
      <c r="I38" s="5" t="inlineStr">
        <is>
          <t>2036 Job Detail Report.pdf (Sage Timberline, 04/03/2026)</t>
        </is>
      </c>
    </row>
    <row r="39">
      <c r="B39" s="14" t="n">
        <v>34</v>
      </c>
      <c r="C39" s="5" t="inlineStr">
        <is>
          <t>blended_wage</t>
        </is>
      </c>
      <c r="D39" s="5" t="inlineStr">
        <is>
          <t>Blended Wage</t>
        </is>
      </c>
      <c r="E39" s="28" t="n">
        <v>27.47334065397755</v>
      </c>
      <c r="F39" s="14" t="inlineStr">
        <is>
          <t>USD/hr</t>
        </is>
      </c>
      <c r="G39" s="14" t="inlineStr">
        <is>
          <t>Benchmark KPIs</t>
        </is>
      </c>
      <c r="H39" s="26" t="inlineStr">
        <is>
          <t>Verified</t>
        </is>
      </c>
      <c r="I39" s="5" t="inlineStr">
        <is>
          <t>Derived</t>
        </is>
      </c>
    </row>
    <row r="40">
      <c r="B40" s="14" t="n">
        <v>35</v>
      </c>
      <c r="C40" s="5" t="inlineStr">
        <is>
          <t>loaded_wage</t>
        </is>
      </c>
      <c r="D40" s="5" t="inlineStr">
        <is>
          <t>Loaded Wage</t>
        </is>
      </c>
      <c r="E40" s="28" t="n">
        <v>41.7595485602733</v>
      </c>
      <c r="F40" s="14" t="inlineStr">
        <is>
          <t>USD/hr</t>
        </is>
      </c>
      <c r="G40" s="14" t="inlineStr">
        <is>
          <t>Benchmark KPIs</t>
        </is>
      </c>
      <c r="H40" s="26" t="inlineStr">
        <is>
          <t>Verified</t>
        </is>
      </c>
      <c r="I40" s="5" t="inlineStr">
        <is>
          <t>Derived</t>
        </is>
      </c>
    </row>
    <row r="41">
      <c r="B41" s="14" t="n">
        <v>36</v>
      </c>
      <c r="C41" s="5" t="inlineStr">
        <is>
          <t>burden_mult</t>
        </is>
      </c>
      <c r="D41" s="5" t="inlineStr">
        <is>
          <t>Burden Multiplier</t>
        </is>
      </c>
      <c r="E41" s="31" t="n">
        <v>1.520002575814435</v>
      </c>
      <c r="F41" s="14" t="inlineStr">
        <is>
          <t>x</t>
        </is>
      </c>
      <c r="G41" s="14" t="inlineStr">
        <is>
          <t>Benchmark KPIs</t>
        </is>
      </c>
      <c r="H41" s="26" t="inlineStr">
        <is>
          <t>Verified</t>
        </is>
      </c>
      <c r="I41" s="5" t="inlineStr">
        <is>
          <t>Derived</t>
        </is>
      </c>
    </row>
    <row r="42">
      <c r="B42" s="14" t="n">
        <v>37</v>
      </c>
      <c r="C42" s="5" t="inlineStr">
        <is>
          <t>roughin_hours</t>
        </is>
      </c>
      <c r="D42" s="5" t="inlineStr">
        <is>
          <t>Rough-in Hours</t>
        </is>
      </c>
      <c r="E42" s="30" t="n">
        <v>2582.5</v>
      </c>
      <c r="F42" s="14" t="inlineStr">
        <is>
          <t>hours</t>
        </is>
      </c>
      <c r="G42" s="14" t="inlineStr">
        <is>
          <t>Benchmark KPIs</t>
        </is>
      </c>
      <c r="H42" s="26" t="inlineStr">
        <is>
          <t>Verified</t>
        </is>
      </c>
      <c r="I42" s="5" t="inlineStr">
        <is>
          <t>2036 Job Detail Report.pdf (Sage Timberline, 04/03/2026)</t>
        </is>
      </c>
    </row>
    <row r="43">
      <c r="B43" s="14" t="n">
        <v>38</v>
      </c>
      <c r="C43" s="5" t="inlineStr">
        <is>
          <t>finish_hours</t>
        </is>
      </c>
      <c r="D43" s="5" t="inlineStr">
        <is>
          <t>Finish Hours</t>
        </is>
      </c>
      <c r="E43" s="30" t="n">
        <v>731.5</v>
      </c>
      <c r="F43" s="14" t="inlineStr">
        <is>
          <t>hours</t>
        </is>
      </c>
      <c r="G43" s="14" t="inlineStr">
        <is>
          <t>Benchmark KPIs</t>
        </is>
      </c>
      <c r="H43" s="26" t="inlineStr">
        <is>
          <t>Verified</t>
        </is>
      </c>
      <c r="I43" s="5" t="inlineStr">
        <is>
          <t>2036 Job Detail Report.pdf (Sage Timberline, 04/03/2026)</t>
        </is>
      </c>
    </row>
    <row r="44">
      <c r="B44" s="14" t="n">
        <v>39</v>
      </c>
      <c r="C44" s="5" t="inlineStr">
        <is>
          <t>rev_per_hour</t>
        </is>
      </c>
      <c r="D44" s="5" t="inlineStr">
        <is>
          <t>Rev per Hour</t>
        </is>
      </c>
      <c r="E44" s="28" t="n">
        <v>102.1661786237189</v>
      </c>
      <c r="F44" s="14" t="inlineStr">
        <is>
          <t>USD/hr</t>
        </is>
      </c>
      <c r="G44" s="14" t="inlineStr">
        <is>
          <t>Benchmark KPIs</t>
        </is>
      </c>
      <c r="H44" s="26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profit_per_hour</t>
        </is>
      </c>
      <c r="D45" s="5" t="inlineStr">
        <is>
          <t>Profit per Hour</t>
        </is>
      </c>
      <c r="E45" s="28" t="n">
        <v>34.76526110297707</v>
      </c>
      <c r="F45" s="14" t="inlineStr">
        <is>
          <t>USD/hr</t>
        </is>
      </c>
      <c r="G45" s="14" t="inlineStr">
        <is>
          <t>Benchmark KPIs</t>
        </is>
      </c>
      <c r="H45" s="26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rev_per_unit</t>
        </is>
      </c>
      <c r="D46" s="5" t="inlineStr">
        <is>
          <t>Rev per Unit</t>
        </is>
      </c>
      <c r="E46" s="28" t="n">
        <v>13505.70967741935</v>
      </c>
      <c r="F46" s="14" t="inlineStr">
        <is>
          <t>USD</t>
        </is>
      </c>
      <c r="G46" s="14" t="inlineStr">
        <is>
          <t>Benchmark KPIs</t>
        </is>
      </c>
      <c r="H46" s="26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cost_per_unit</t>
        </is>
      </c>
      <c r="D47" s="5" t="inlineStr">
        <is>
          <t>Cost per Unit</t>
        </is>
      </c>
      <c r="E47" s="28" t="n">
        <v>8909.966451612901</v>
      </c>
      <c r="F47" s="14" t="inlineStr">
        <is>
          <t>USD</t>
        </is>
      </c>
      <c r="G47" s="14" t="inlineStr">
        <is>
          <t>Benchmark KPIs</t>
        </is>
      </c>
      <c r="H47" s="26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hours_per_unit</t>
        </is>
      </c>
      <c r="D48" s="5" t="inlineStr">
        <is>
          <t>Hours per Unit</t>
        </is>
      </c>
      <c r="E48" s="30" t="n">
        <v>132.1935483870968</v>
      </c>
      <c r="F48" s="14" t="inlineStr">
        <is>
          <t>hours</t>
        </is>
      </c>
      <c r="G48" s="14" t="inlineStr">
        <is>
          <t>Benchmark KPIs</t>
        </is>
      </c>
      <c r="H48" s="26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labor_pct</t>
        </is>
      </c>
      <c r="D49" s="5" t="inlineStr">
        <is>
          <t>Labor %</t>
        </is>
      </c>
      <c r="E49" s="29" t="n">
        <v>0.2689083708921197</v>
      </c>
      <c r="F49" s="14" t="inlineStr">
        <is>
          <t>%</t>
        </is>
      </c>
      <c r="G49" s="14" t="inlineStr">
        <is>
          <t>Benchmark KPIs</t>
        </is>
      </c>
      <c r="H49" s="26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material_pct</t>
        </is>
      </c>
      <c r="D50" s="5" t="inlineStr">
        <is>
          <t>Material %</t>
        </is>
      </c>
      <c r="E50" s="29" t="n">
        <v>0.2490054385600355</v>
      </c>
      <c r="F50" s="14" t="inlineStr">
        <is>
          <t>%</t>
        </is>
      </c>
      <c r="G50" s="14" t="inlineStr">
        <is>
          <t>Benchmark KPIs</t>
        </is>
      </c>
      <c r="H50" s="26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total_vendors</t>
        </is>
      </c>
      <c r="D51" s="5" t="inlineStr">
        <is>
          <t>Total Vendors</t>
        </is>
      </c>
      <c r="E51" s="27" t="n">
        <v>13</v>
      </c>
      <c r="F51" s="14" t="inlineStr">
        <is>
          <t>count</t>
        </is>
      </c>
      <c r="G51" s="14" t="inlineStr">
        <is>
          <t>Vendors</t>
        </is>
      </c>
      <c r="H51" s="26" t="inlineStr">
        <is>
          <t>Verified</t>
        </is>
      </c>
      <c r="I51" s="5" t="inlineStr">
        <is>
          <t>2036 Job Detail Report.pdf (Sage Timberline, 04/03/2026)</t>
        </is>
      </c>
    </row>
    <row r="52">
      <c r="B52" s="14" t="n">
        <v>47</v>
      </c>
      <c r="C52" s="5" t="inlineStr">
        <is>
          <t>total_invoices</t>
        </is>
      </c>
      <c r="D52" s="5" t="inlineStr">
        <is>
          <t>Total Invoices</t>
        </is>
      </c>
      <c r="E52" s="27" t="n">
        <v>14</v>
      </c>
      <c r="F52" s="14" t="inlineStr">
        <is>
          <t>count</t>
        </is>
      </c>
      <c r="G52" s="14" t="inlineStr">
        <is>
          <t>Billing &amp; SOV</t>
        </is>
      </c>
      <c r="H52" s="26" t="inlineStr">
        <is>
          <t>Verified</t>
        </is>
      </c>
      <c r="I52" s="5" t="inlineStr">
        <is>
          <t>2036 Job Detail Report.pdf (Sage Timberline, 04/03/2026)</t>
        </is>
      </c>
    </row>
    <row r="53">
      <c r="B53" s="14" t="n">
        <v>48</v>
      </c>
      <c r="C53" s="5" t="inlineStr">
        <is>
          <t>top_worker_share</t>
        </is>
      </c>
      <c r="D53" s="5" t="inlineStr">
        <is>
          <t>Top Worker Share</t>
        </is>
      </c>
      <c r="E53" s="29" t="n">
        <v>0.2113225963884822</v>
      </c>
      <c r="F53" s="14" t="inlineStr">
        <is>
          <t>%</t>
        </is>
      </c>
      <c r="G53" s="14" t="inlineStr">
        <is>
          <t>Crew Analytics</t>
        </is>
      </c>
      <c r="H53" s="26" t="inlineStr">
        <is>
          <t>Verified</t>
        </is>
      </c>
      <c r="I53" s="5" t="inlineStr">
        <is>
          <t>Derived</t>
        </is>
      </c>
    </row>
    <row r="54">
      <c r="B54" s="14" t="n">
        <v>49</v>
      </c>
      <c r="C54" s="5" t="inlineStr">
        <is>
          <t>top5_worker_share</t>
        </is>
      </c>
      <c r="D54" s="5" t="inlineStr">
        <is>
          <t>Top 5 Worker Share</t>
        </is>
      </c>
      <c r="E54" s="29" t="n">
        <v>0.6954612005856515</v>
      </c>
      <c r="F54" s="14" t="inlineStr">
        <is>
          <t>%</t>
        </is>
      </c>
      <c r="G54" s="14" t="inlineStr">
        <is>
          <t>Crew Analytics</t>
        </is>
      </c>
      <c r="H54" s="26" t="inlineStr">
        <is>
          <t>Verified</t>
        </is>
      </c>
      <c r="I54" s="5" t="inlineStr">
        <is>
          <t>Derived</t>
        </is>
      </c>
    </row>
    <row r="55">
      <c r="B55" s="14" t="n">
        <v>50</v>
      </c>
      <c r="C55" s="5" t="inlineStr">
        <is>
          <t>cost_code_count</t>
        </is>
      </c>
      <c r="D55" s="5" t="inlineStr">
        <is>
          <t>Cost Codes Active</t>
        </is>
      </c>
      <c r="E55" s="27" t="n">
        <v>16</v>
      </c>
      <c r="F55" s="14" t="inlineStr">
        <is>
          <t>count</t>
        </is>
      </c>
      <c r="G55" s="14" t="inlineStr">
        <is>
          <t>Budget vs Actual</t>
        </is>
      </c>
      <c r="H55" s="26" t="inlineStr">
        <is>
          <t>Verified</t>
        </is>
      </c>
      <c r="I55" s="5" t="inlineStr">
        <is>
          <t>2036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= Contract Final</t>
        </is>
      </c>
      <c r="D6" s="20" t="n">
        <v>418677</v>
      </c>
      <c r="E6" s="20" t="n">
        <v>418677</v>
      </c>
      <c r="F6" s="15">
        <f>D6-E6</f>
        <v/>
      </c>
      <c r="G6" s="14">
        <f>IF(ABS(F6)&lt;=1,"TIES",IF(ABS(F6)&lt;=ABS(E6)*0.05,"WITHIN","OFF"))</f>
        <v/>
      </c>
      <c r="H6" s="35" t="inlineStr">
        <is>
          <t>1↔8</t>
        </is>
      </c>
    </row>
    <row r="7">
      <c r="B7" s="14" t="n">
        <v>2</v>
      </c>
      <c r="C7" s="5" t="inlineStr">
        <is>
          <t>Expenses = Labor+Mat+OH+Burden+Tax</t>
        </is>
      </c>
      <c r="D7" s="20" t="n">
        <v>276208.96</v>
      </c>
      <c r="E7" s="20" t="n">
        <v>276208.96</v>
      </c>
      <c r="F7" s="15">
        <f>D7-E7</f>
        <v/>
      </c>
      <c r="G7" s="14">
        <f>IF(ABS(F7)&lt;=1,"TIES",IF(ABS(F7)&lt;=ABS(E7)*0.05,"WITHIN","OFF"))</f>
        <v/>
      </c>
      <c r="H7" s="35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142468.04</v>
      </c>
      <c r="E8" s="20" t="n">
        <v>142468.04</v>
      </c>
      <c r="F8" s="15">
        <f>D8-E8</f>
        <v/>
      </c>
      <c r="G8" s="14">
        <f>IF(ABS(F8)&lt;=1,"TIES",IF(ABS(F8)&lt;=ABS(E8)*0.05,"WITHIN","OFF"))</f>
        <v/>
      </c>
      <c r="H8" s="35" t="inlineStr">
        <is>
          <t>1↔Derived</t>
        </is>
      </c>
    </row>
    <row r="9">
      <c r="B9" s="14" t="n">
        <v>4</v>
      </c>
      <c r="C9" s="5" t="inlineStr">
        <is>
          <t>Sage 999 actual = -Revenue</t>
        </is>
      </c>
      <c r="D9" s="20" t="n">
        <v>418677</v>
      </c>
      <c r="E9" s="20" t="n">
        <v>418677</v>
      </c>
      <c r="F9" s="15">
        <f>D9-E9</f>
        <v/>
      </c>
      <c r="G9" s="14">
        <f>IF(ABS(F9)&lt;=1,"TIES",IF(ABS(F9)&lt;=ABS(E9)*0.05,"WITHIN","OFF"))</f>
        <v/>
      </c>
      <c r="H9" s="35" t="inlineStr">
        <is>
          <t>2↔1</t>
        </is>
      </c>
    </row>
    <row r="10">
      <c r="B10" s="14" t="n">
        <v>5</v>
      </c>
      <c r="C10" s="5" t="inlineStr">
        <is>
          <t>Total Hours = Worker hours sum</t>
        </is>
      </c>
      <c r="D10" s="20" t="n">
        <v>4098</v>
      </c>
      <c r="E10" s="20" t="n">
        <v>4096</v>
      </c>
      <c r="F10" s="15">
        <f>D10-E10</f>
        <v/>
      </c>
      <c r="G10" s="14">
        <f>IF(ABS(F10)&lt;=1,"TIES",IF(ABS(F10)&lt;=ABS(E10)*0.05,"WITHIN","OFF"))</f>
        <v/>
      </c>
      <c r="H10" s="35" t="inlineStr">
        <is>
          <t>5↔2</t>
        </is>
      </c>
    </row>
    <row r="11">
      <c r="B11" s="14" t="n">
        <v>6</v>
      </c>
      <c r="C11" s="5" t="inlineStr">
        <is>
          <t>Contract Final - Orig = CO implied</t>
        </is>
      </c>
      <c r="D11" s="20" t="n">
        <v>30162</v>
      </c>
      <c r="E11" s="20" t="n">
        <v>30162</v>
      </c>
      <c r="F11" s="15">
        <f>D11-E11</f>
        <v/>
      </c>
      <c r="G11" s="14">
        <f>IF(ABS(F11)&lt;=1,"TIES",IF(ABS(F11)&lt;=ABS(E11)*0.05,"WITHIN","OFF"))</f>
        <v/>
      </c>
      <c r="H11" s="35" t="inlineStr">
        <is>
          <t>11↔Derived</t>
        </is>
      </c>
    </row>
    <row r="12">
      <c r="B12" s="14" t="n">
        <v>7</v>
      </c>
      <c r="C12" s="5" t="inlineStr">
        <is>
          <t>Worker count</t>
        </is>
      </c>
      <c r="D12" s="24" t="n">
        <v>30</v>
      </c>
      <c r="E12" s="24" t="n">
        <v>30</v>
      </c>
      <c r="F12" s="15">
        <f>D12-E12</f>
        <v/>
      </c>
      <c r="G12" s="14">
        <f>IF(ABS(F12)&lt;=1,"TIES",IF(ABS(F12)&lt;=ABS(E12)*0.05,"WITHIN","OFF"))</f>
        <v/>
      </c>
      <c r="H12" s="35" t="inlineStr">
        <is>
          <t>5↔1</t>
        </is>
      </c>
    </row>
    <row r="13">
      <c r="B13" s="14" t="n">
        <v>8</v>
      </c>
      <c r="C13" s="5" t="inlineStr">
        <is>
          <t>Cost code count</t>
        </is>
      </c>
      <c r="D13" s="24" t="n">
        <v>16</v>
      </c>
      <c r="E13" s="24" t="n">
        <v>16</v>
      </c>
      <c r="F13" s="15">
        <f>D13-E13</f>
        <v/>
      </c>
      <c r="G13" s="14">
        <f>IF(ABS(F13)&lt;=1,"TIES",IF(ABS(F13)&lt;=ABS(E13)*0.05,"WITHIN","OFF"))</f>
        <v/>
      </c>
      <c r="H13" s="35" t="inlineStr">
        <is>
          <t>2↔16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2026-04-17T21:20:48Z</dcterms:created>
  <dcterms:modified xmlns:dcterms="http://purl.org/dc/terms/" xmlns:xsi="http://www.w3.org/2001/XMLSchema-instance" xsi:type="dcterms:W3CDTF">2026-04-17T21:20:48Z</dcterms:modified>
</cp:coreProperties>
</file>