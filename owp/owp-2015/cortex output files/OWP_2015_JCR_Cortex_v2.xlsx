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<sst xmlns="http://schemas.openxmlformats.org/spreadsheetml/2006/main" count="1624" uniqueCount="855">
  <si>
    <t xml:space="preserve">Job #2015 · Exxel Pacific Rooster Apts + Portage Bay Cafe</t>
  </si>
  <si>
    <t xml:space="preserve">Cortex JCR Summary  •  Exxel Pacific, Inc.  •  Seattle, WA  •  Mixed-use 6-story apartments + ground-floor restaurant TI  •  Apr 2014 – Nov 2015 (~25 months)</t>
  </si>
  <si>
    <t xml:space="preserve">PROJECT OVERVIEW</t>
  </si>
  <si>
    <t xml:space="preserve">Project Job #</t>
  </si>
  <si>
    <t xml:space="preserve">2015</t>
  </si>
  <si>
    <t xml:space="preserve">Project Name:</t>
  </si>
  <si>
    <t xml:space="preserve">Exxel Pacific Rooster Apts + Portage Bay Cafe</t>
  </si>
  <si>
    <t xml:space="preserve">General Contractor</t>
  </si>
  <si>
    <t xml:space="preserve">Exxel Pacific, Inc.</t>
  </si>
  <si>
    <t xml:space="preserve">Location</t>
  </si>
  <si>
    <t xml:space="preserve">Seattle, WA</t>
  </si>
  <si>
    <t xml:space="preserve">Project Duration</t>
  </si>
  <si>
    <t xml:space="preserve">Apr 2014 – Nov 2015 (~25 months)</t>
  </si>
  <si>
    <t xml:space="preserve">Total Unique Documents</t>
  </si>
  <si>
    <t xml:space="preserve">Multiple folders across Rooster + PBC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</si>
  <si>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</si>
  <si>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</si>
  <si>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</si>
  <si>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</si>
  <si>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$2,146,708</t>
  </si>
  <si>
    <t xml:space="preserve">$563,703</t>
  </si>
  <si>
    <t xml:space="preserve">$1,583,005</t>
  </si>
  <si>
    <t xml:space="preserve">28,661</t>
  </si>
  <si>
    <t xml:space="preserve">Original $2,002,285 + $144,423 COs</t>
  </si>
  <si>
    <t xml:space="preserve">26.3% margin</t>
  </si>
  <si>
    <t xml:space="preserve">73.7% of revenue</t>
  </si>
  <si>
    <t xml:space="preserve">53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</si>
  <si>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</si>
  <si>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</si>
  <si>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</si>
  <si>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</si>
  <si>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</si>
  <si>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</si>
  <si>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</si>
  <si>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</si>
  <si>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</si>
  <si>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</si>
  <si>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</si>
  <si>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</si>
  <si>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</si>
  <si>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</si>
  <si>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</si>
  <si>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</si>
  <si>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197</t>
  </si>
  <si>
    <t xml:space="preserve">Water Closets</t>
  </si>
  <si>
    <t xml:space="preserve">Kitchen Sinks</t>
  </si>
  <si>
    <t xml:space="preserve">190</t>
  </si>
  <si>
    <t xml:space="preserve">Total Fixtures</t>
  </si>
  <si>
    <t xml:space="preserve">1,349</t>
  </si>
  <si>
    <t xml:space="preserve">Lavatories</t>
  </si>
  <si>
    <t xml:space="preserve">Dishwashers</t>
  </si>
  <si>
    <t xml:space="preserve">188</t>
  </si>
  <si>
    <t xml:space="preserve">Fixtures / Unit</t>
  </si>
  <si>
    <t xml:space="preserve">6.85</t>
  </si>
  <si>
    <t xml:space="preserve">Tubs</t>
  </si>
  <si>
    <t xml:space="preserve">Auto Washers</t>
  </si>
  <si>
    <t xml:space="preserve">Floors</t>
  </si>
  <si>
    <t xml:space="preserve">6</t>
  </si>
  <si>
    <t xml:space="preserve">Stacks</t>
  </si>
  <si>
    <t xml:space="preserve">46</t>
  </si>
  <si>
    <t xml:space="preserve">Duration</t>
  </si>
  <si>
    <t xml:space="preserve">25 mo</t>
  </si>
  <si>
    <t xml:space="preserve">SOURCES</t>
  </si>
  <si>
    <t xml:space="preserve">Job #2015 — Exxel Pacific Rooster Apartments + Portage Bay Cafe  •  GC: Exxel Pacific, Inc.</t>
  </si>
  <si>
    <t xml:space="preserve">Canonical source: 2015 Job Detail Report.pdf (255 pages, OWP Sage Timberline export)</t>
  </si>
  <si>
    <t xml:space="preserve">Cost codes parsed: 26 (Labor+Material+Overhead+Burden+Revenue)</t>
  </si>
  <si>
    <t xml:space="preserve">Billing: ROOSTER AGGREGATE BILLING.xlsx (18 apps) + PORTAGE BAY AGGREGATE BILLING.xlsx (2 apps)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</si>
  <si>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</si>
  <si>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</si>
  <si>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</si>
  <si>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</si>
  <si>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</si>
  <si>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</si>
  <si>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</si>
  <si>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</si>
  <si>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</si>
  <si>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</si>
  <si>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</si>
  <si>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</si>
  <si>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</si>
  <si>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</si>
  <si>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</si>
  <si>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</si>
  <si>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</si>
  <si>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</si>
  <si>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</si>
  <si>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</si>
  <si>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</si>
  <si>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</si>
  <si>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</si>
  <si>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</si>
  <si>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</si>
  <si>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</si>
  <si>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</si>
  <si>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</si>
  <si>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</si>
  <si>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</si>
  <si>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</si>
  <si>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</si>
  <si>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</si>
  <si>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</si>
  <si>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</si>
  <si>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</si>
  <si>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</si>
  <si>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</si>
  <si>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</si>
  <si>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</si>
  <si>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</si>
  <si>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</si>
  <si>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</si>
  <si>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</si>
  <si>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</si>
  <si>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</si>
  <si>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</si>
  <si>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</si>
  <si>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</si>
  <si>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</si>
  <si>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</si>
  <si>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</si>
  <si>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</si>
  <si>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</si>
  <si>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</si>
  <si>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</si>
  <si>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</si>
  <si>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</si>
  <si>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</si>
  <si>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</si>
  <si>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</si>
  <si>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</si>
  <si>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</si>
  <si>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</si>
  <si>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</si>
  <si>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</si>
  <si>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</si>
  <si>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</si>
  <si>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</si>
  <si>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</si>
  <si>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</si>
  <si>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</si>
  <si>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9 material cost codes  •  $661,468 JDR material  •  24 AP vendors  •  $741,273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</si>
  <si>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</si>
  <si>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</si>
  <si>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</si>
  <si>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</si>
  <si>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</si>
  <si>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</si>
  <si>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</si>
  <si>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</si>
  <si>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</si>
  <si>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Rosen Supply Company, Inc.</t>
  </si>
  <si>
    <t xml:space="preserve">Ferguson Enterprises, Inc.</t>
  </si>
  <si>
    <t xml:space="preserve">Keller Supply Company</t>
  </si>
  <si>
    <t xml:space="preserve">Mechanical Sales, Inc.</t>
  </si>
  <si>
    <t xml:space="preserve">Franklin Engineering</t>
  </si>
  <si>
    <t xml:space="preserve">Lotus United, LLC</t>
  </si>
  <si>
    <t xml:space="preserve">Duraseal, Inc.</t>
  </si>
  <si>
    <t xml:space="preserve">Consolidated Supply Co.</t>
  </si>
  <si>
    <t xml:space="preserve">American Express 3-41000</t>
  </si>
  <si>
    <t xml:space="preserve">Bank of America CC</t>
  </si>
  <si>
    <t xml:space="preserve">Quality Concrete Products, Inc.</t>
  </si>
  <si>
    <t xml:space="preserve">United Rentals, Inc.</t>
  </si>
  <si>
    <t xml:space="preserve">Manor Hardware &amp; Construction Supply</t>
  </si>
  <si>
    <t xml:space="preserve">Scan2Core, Inc.</t>
  </si>
  <si>
    <t xml:space="preserve">MAD Concrete Cutting &amp; Coring, Inc.</t>
  </si>
  <si>
    <t xml:space="preserve">Ferguson Enterprises, Inc. #3007</t>
  </si>
  <si>
    <t xml:space="preserve">Capital One Credit Card</t>
  </si>
  <si>
    <t xml:space="preserve">Kele, Inc</t>
  </si>
  <si>
    <t xml:space="preserve">C.M. Hoskins Company</t>
  </si>
  <si>
    <t xml:space="preserve">Core &amp; Main LP</t>
  </si>
  <si>
    <t xml:space="preserve">Fastenal Company</t>
  </si>
  <si>
    <t xml:space="preserve">Rosen Supply Kirkland</t>
  </si>
  <si>
    <t xml:space="preserve">A.R. Brown Backflow Testing</t>
  </si>
  <si>
    <t xml:space="preserve">Seton Identification Products</t>
  </si>
  <si>
    <t xml:space="preserve">Vendor AP ties to JDR 'by Source: AP' line (741,273.37)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</si>
  <si>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</si>
  <si>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</si>
  <si>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</si>
  <si>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</si>
  <si>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</si>
  <si>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</si>
  <si>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Palma Vides, Hugo</t>
  </si>
  <si>
    <t xml:space="preserve">Mid</t>
  </si>
  <si>
    <t xml:space="preserve">Velasquez Cruz, Denis M</t>
  </si>
  <si>
    <t xml:space="preserve">Apprentice</t>
  </si>
  <si>
    <t xml:space="preserve">Lima Romero, Melvin A</t>
  </si>
  <si>
    <t xml:space="preserve">Hubbard, Robert W</t>
  </si>
  <si>
    <t xml:space="preserve">Senior</t>
  </si>
  <si>
    <t xml:space="preserve">Galdamez, Dagoberto A</t>
  </si>
  <si>
    <t xml:space="preserve">Cruz Reyes, Jose</t>
  </si>
  <si>
    <t xml:space="preserve">Amaya Gonzalez, Edilberto A</t>
  </si>
  <si>
    <t xml:space="preserve">Castro Hernandez, Jose A</t>
  </si>
  <si>
    <t xml:space="preserve">Esparza Jimenez, Jose D</t>
  </si>
  <si>
    <t xml:space="preserve">Chavarria Lopez, Omar A</t>
  </si>
  <si>
    <t xml:space="preserve">Benites Portillo, Marvin E</t>
  </si>
  <si>
    <t xml:space="preserve">Lovo, German G</t>
  </si>
  <si>
    <t xml:space="preserve">Palma Vides, Jorge A</t>
  </si>
  <si>
    <t xml:space="preserve">Sepulveda Gonzalez, Alfredo</t>
  </si>
  <si>
    <t xml:space="preserve">McCabe, Thomas C</t>
  </si>
  <si>
    <t xml:space="preserve">Gonzalez Hernandez, Josue</t>
  </si>
  <si>
    <t xml:space="preserve">Rodriguez Rodriguez, Aminadab N</t>
  </si>
  <si>
    <t xml:space="preserve">Sanders, Allen O</t>
  </si>
  <si>
    <t xml:space="preserve">Rivera, Jorge A</t>
  </si>
  <si>
    <t xml:space="preserve">Rodriguez Bonilla, Lisandro</t>
  </si>
  <si>
    <t xml:space="preserve">Quintanilla, Esteban R</t>
  </si>
  <si>
    <t xml:space="preserve">Vaughan, Tyler J</t>
  </si>
  <si>
    <t xml:space="preserve">Anzora, William</t>
  </si>
  <si>
    <t xml:space="preserve">Castaneda Martinez, Gustavo</t>
  </si>
  <si>
    <t xml:space="preserve">Gerard, Jeffrey S</t>
  </si>
  <si>
    <t xml:space="preserve">Eliassen, Cory H</t>
  </si>
  <si>
    <t xml:space="preserve">Holmes, Anthony R</t>
  </si>
  <si>
    <t xml:space="preserve">Walker, Craig M</t>
  </si>
  <si>
    <t xml:space="preserve">Reyes Cruz, Denis A</t>
  </si>
  <si>
    <t xml:space="preserve">Ascencio, Jose L</t>
  </si>
  <si>
    <t xml:space="preserve">Cruz Guzman, Joel A</t>
  </si>
  <si>
    <t xml:space="preserve">Meza Fuentes, Erick A</t>
  </si>
  <si>
    <t xml:space="preserve">Reyes, Robert J</t>
  </si>
  <si>
    <t xml:space="preserve">Soto Cruz, Jovani</t>
  </si>
  <si>
    <t xml:space="preserve">Donelson, Richard T</t>
  </si>
  <si>
    <t xml:space="preserve">Barnhart, Joseph N</t>
  </si>
  <si>
    <t xml:space="preserve">Cortes Mendiola, Victor H</t>
  </si>
  <si>
    <t xml:space="preserve">Kinssies, Jr, John E</t>
  </si>
  <si>
    <t xml:space="preserve">Wilson, Garret A</t>
  </si>
  <si>
    <t xml:space="preserve">Hubbard, Dustin R</t>
  </si>
  <si>
    <t xml:space="preserve">Salazar, Hajdar L</t>
  </si>
  <si>
    <t xml:space="preserve">Ayers, Jordan L</t>
  </si>
  <si>
    <t xml:space="preserve">Montenegro, Carlos E</t>
  </si>
  <si>
    <t xml:space="preserve">Monico Brambila, Jesus S</t>
  </si>
  <si>
    <t xml:space="preserve">Castaneda Juarez, Edgar D</t>
  </si>
  <si>
    <t xml:space="preserve">Taylor, Evan R</t>
  </si>
  <si>
    <t xml:space="preserve">Castaneda Juarez, Gustavo</t>
  </si>
  <si>
    <t xml:space="preserve">Gerard, Mitchell J</t>
  </si>
  <si>
    <t xml:space="preserve">Whitaker, Daniel J</t>
  </si>
  <si>
    <t xml:space="preserve">Veley, Nathaniel S</t>
  </si>
  <si>
    <t xml:space="preserve">Aguilar, Tony A</t>
  </si>
  <si>
    <t xml:space="preserve">Paco Leyva, Orlando</t>
  </si>
  <si>
    <t xml:space="preserve">Gerard, Jordan E</t>
  </si>
  <si>
    <t xml:space="preserve">TOTAL (53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</si>
  <si>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</si>
  <si>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</si>
  <si>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</si>
  <si>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</si>
  <si>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</si>
  <si>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</si>
  <si>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</si>
  <si>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</si>
  <si>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</si>
  <si>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</si>
  <si>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</si>
  <si>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</si>
  <si>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</si>
  <si>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</si>
  <si>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</si>
  <si>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</si>
  <si>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</si>
  <si>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</si>
  <si>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</si>
  <si>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</si>
  <si>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</si>
  <si>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</si>
  <si>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</si>
  <si>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</si>
  <si>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</si>
  <si>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</si>
  <si>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</si>
  <si>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</si>
  <si>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</si>
  <si>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</si>
  <si>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</si>
  <si>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</si>
  <si>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</si>
  <si>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</si>
  <si>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</si>
  <si>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</si>
  <si>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</si>
  <si>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</si>
  <si>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</si>
  <si>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</si>
  <si>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</si>
  <si>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</si>
  <si>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</si>
  <si>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</si>
  <si>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</si>
  <si>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</si>
  <si>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</si>
  <si>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</si>
  <si>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</si>
  <si>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</si>
  <si>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</si>
  <si>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</si>
  <si>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</si>
  <si>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</si>
  <si>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</si>
  <si>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</si>
  <si>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</si>
  <si>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198 unique POs  •  PO amounts not dollar-parsed from individual PDFs  •  JDR material $661,468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</si>
  <si>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</si>
  <si>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</si>
  <si>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</si>
  <si>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</si>
  <si>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</si>
  <si>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</si>
  <si>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</si>
  <si>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</si>
  <si>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</si>
  <si>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</si>
  <si>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</si>
  <si>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</si>
  <si>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</si>
  <si>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</si>
  <si>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</si>
  <si>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</si>
  <si>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</si>
  <si>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</si>
  <si>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</si>
  <si>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</si>
  <si>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KELLER</t>
  </si>
  <si>
    <t xml:space="preserve">FEI</t>
  </si>
  <si>
    <t xml:space="preserve">CONSOLIDATED</t>
  </si>
  <si>
    <t xml:space="preserve">MANOR</t>
  </si>
  <si>
    <t xml:space="preserve">MECH SALES</t>
  </si>
  <si>
    <t xml:space="preserve">FASTENAL</t>
  </si>
  <si>
    <t xml:space="preserve">PIKE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</si>
  <si>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</si>
  <si>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</si>
  <si>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</si>
  <si>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</si>
  <si>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</si>
  <si>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</si>
  <si>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</si>
  <si>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20 pay apps (18 Rooster + 2 Portage Bay)  •  Original $2,002,285 + $144,423 COs = $2,146,708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</si>
  <si>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</si>
  <si>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</si>
  <si>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</si>
  <si>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</si>
  <si>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</si>
  <si>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</si>
  <si>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</si>
  <si>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</si>
  <si>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</si>
  <si>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</si>
  <si>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</si>
  <si>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</si>
  <si>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</si>
  <si>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</si>
  <si>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2014-04-20</t>
  </si>
  <si>
    <t xml:space="preserve">2014-05-20</t>
  </si>
  <si>
    <t xml:space="preserve">2014-07-17</t>
  </si>
  <si>
    <t xml:space="preserve">2014-08-19</t>
  </si>
  <si>
    <t xml:space="preserve">2014-09-18</t>
  </si>
  <si>
    <t xml:space="preserve">2014-10-20</t>
  </si>
  <si>
    <t xml:space="preserve">2014-11-17</t>
  </si>
  <si>
    <t xml:space="preserve">2014-12-15</t>
  </si>
  <si>
    <t xml:space="preserve">2015-01-20</t>
  </si>
  <si>
    <t xml:space="preserve">2015-02-19</t>
  </si>
  <si>
    <t xml:space="preserve">2015-03-19</t>
  </si>
  <si>
    <t xml:space="preserve">2015-04-20</t>
  </si>
  <si>
    <t xml:space="preserve">2015-05-19</t>
  </si>
  <si>
    <t xml:space="preserve">2015-06-18</t>
  </si>
  <si>
    <t xml:space="preserve">2015-07-20</t>
  </si>
  <si>
    <t xml:space="preserve">2015-08-20</t>
  </si>
  <si>
    <t xml:space="preserve">2015-09-18</t>
  </si>
  <si>
    <t xml:space="preserve">2015-11-16</t>
  </si>
  <si>
    <t xml:space="preserve">PB1</t>
  </si>
  <si>
    <t xml:space="preserve">PB2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</si>
  <si>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</si>
  <si>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</si>
  <si>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</si>
  <si>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</si>
  <si>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</si>
  <si>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</si>
  <si>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#2015 Exxel Pacific Rooster Apts + Portage Bay Cafe</t>
  </si>
  <si>
    <t xml:space="preserve">Narrative observations distilled from the full JDR analysis</t>
  </si>
  <si>
    <t xml:space="preserve">MARGIN PROFILE</t>
  </si>
  <si>
    <t xml:space="preserve">Net profit of $563,703 on $2,146,708 revenue = 26.3% gross margin. Direct cost $1,583,005 absorbs 73.7% of revenue.</t>
  </si>
  <si>
    <t xml:space="preserve">VENDOR CONCENTRATION</t>
  </si>
  <si>
    <t xml:space="preserve">Rosen Supply Company, Inc. alone = $192,671 (26% of all AP) across 89 invoices. Total 24 AP vendors, $741,273 total AP spend.</t>
  </si>
  <si>
    <t xml:space="preserve">CREW PROFILE</t>
  </si>
  <si>
    <t xml:space="preserve">53 workers for 28,661 hours = 541 avg hrs/worker. Top 3 workers logged 4,490 hrs combined (16% of all labor).</t>
  </si>
  <si>
    <t xml:space="preserve">ROUGHIN DOMINANCE</t>
  </si>
  <si>
    <t xml:space="preserve">Code 120 Roughin Labor = 19,734 hrs (69% of all labor) and $387,658 actual. Code 230 Finish Material = $337,547 — 21% of total direct cost.</t>
  </si>
  <si>
    <t xml:space="preserve">BUDGET DELIVERY</t>
  </si>
  <si>
    <t xml:space="preserve">Revised budget was $1,623,172; actual direct cost $1,583,005 → $40,167 variance (2.5% under revised budget).</t>
  </si>
  <si>
    <t xml:space="preserve">CONTRACT GROWTH</t>
  </si>
  <si>
    <t xml:space="preserve">Contract grew from $2,002,285 to $2,146,708 — net +$144,423 (7.2%). Retainage of $103,985 (5%) withheld until closeout.</t>
  </si>
  <si>
    <t xml:space="preserve">BURDEN RATIO</t>
  </si>
  <si>
    <t xml:space="preserve">Burden codes 995 + 998 = $294,718 on $583,483 labor base = 50.5%. In line with OWP's typical 48–50% labor burden.</t>
  </si>
  <si>
    <t xml:space="preserve">PROJECT SCALE</t>
  </si>
  <si>
    <t xml:space="preserve">197 units · 1349 fixtures · 25 months. Revenue/unit $10,897, hours/unit 145.5, profit/unit $2,861.</t>
  </si>
  <si>
    <t xml:space="preserve">PRODUCTIVITY</t>
  </si>
  <si>
    <t xml:space="preserve">Blended labor rate $20.36/hr. Revenue/hour $75. Profit/hour $20. 1,146 hrs/month burn rate.</t>
  </si>
  <si>
    <t xml:space="preserve">FIXTURE DENSITY</t>
  </si>
  <si>
    <t xml:space="preserve">1349 fixtures ÷ 197 units = 6.85 fixtures/unit. Material/fixture $490, labor/fixture $433.</t>
  </si>
  <si>
    <t xml:space="preserve">BIGGEST QUESTION</t>
  </si>
  <si>
    <t xml:space="preserve">How does this job's 26.3%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</si>
  <si>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</si>
  <si>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</si>
  <si>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</si>
  <si>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</si>
  <si>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</si>
  <si>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</si>
  <si>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</si>
  <si>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</si>
  <si>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</si>
  <si>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</si>
  <si>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</si>
  <si>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</si>
  <si>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</si>
  <si>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</si>
  <si>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</si>
  <si>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</si>
  <si>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</si>
  <si>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</si>
  <si>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Mixed-use 6-story apartments + ground-floor restaurant TI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</si>
  <si>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</si>
  <si>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</si>
  <si>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</si>
  <si>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</si>
  <si>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</si>
  <si>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</si>
  <si>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</si>
  <si>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</si>
  <si>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</si>
  <si>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</si>
  <si>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</si>
  <si>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</si>
  <si>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</si>
  <si>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</si>
  <si>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</si>
  <si>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</si>
  <si>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</si>
  <si>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</si>
  <si>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</si>
  <si>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</si>
  <si>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</si>
  <si>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</si>
  <si>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</si>
  <si>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</si>
  <si>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11 labor codes</t>
  </si>
  <si>
    <t xml:space="preserve">Material Cost</t>
  </si>
  <si>
    <t xml:space="preserve">material_cost</t>
  </si>
  <si>
    <t xml:space="preserve">Sum of 9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</si>
  <si>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</si>
  <si>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</si>
  <si>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</si>
  <si>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</si>
  <si>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</si>
  <si>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</si>
  <si>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</si>
  <si>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</si>
  <si>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</si>
  <si>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</si>
  <si>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</si>
  <si>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</si>
  <si>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</si>
  <si>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</si>
  <si>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</si>
  <si>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</si>
  <si>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</si>
  <si>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</si>
  <si>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</si>
  <si>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</si>
  <si>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</si>
  <si>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</si>
  <si>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</si>
  <si>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</si>
  <si>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</si>
  <si>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</si>
  <si>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</si>
  <si>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</si>
  <si>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</si>
  <si>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</si>
  <si>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</si>
  <si>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</si>
  <si>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</si>
  <si>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</si>
  <si>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</si>
  <si>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</si>
  <si>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</si>
  <si>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</si>
  <si>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</si>
  <si>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</si>
  <si>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</si>
  <si>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</si>
  <si>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</si>
  <si>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</si>
  <si>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</si>
  <si>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</si>
  <si>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</si>
  <si>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</si>
  <si>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</si>
  <si>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</si>
  <si>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</si>
  <si>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</si>
  <si>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</si>
  <si>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</si>
  <si>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</si>
  <si>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</si>
  <si>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</si>
  <si>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</si>
  <si>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</si>
  <si>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</si>
  <si>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</si>
  <si>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</si>
  <si>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</si>
  <si>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</si>
  <si>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</si>
  <si>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</si>
  <si>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</si>
  <si>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</si>
  <si>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</si>
  <si>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</si>
  <si>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</si>
  <si>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</si>
  <si>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</si>
  <si>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</si>
  <si>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</si>
  <si>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</si>
  <si>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(31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</si>
  <si>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</si>
  <si>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</si>
  <si>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</si>
  <si>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</si>
  <si>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</si>
  <si>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</si>
  <si>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</si>
  <si>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COP-ASI02</t>
  </si>
  <si>
    <t xml:space="preserve">COP</t>
  </si>
  <si>
    <t xml:space="preserve">2014-10-24</t>
  </si>
  <si>
    <t xml:space="preserve">Shower type changes — delete (4) 32" + (10) 36" showers, add (14) 42x34 non-adaptable showers</t>
  </si>
  <si>
    <t xml:space="preserve">Architect/Owner</t>
  </si>
  <si>
    <t xml:space="preserve">ASI-002</t>
  </si>
  <si>
    <t xml:space="preserve">Approved</t>
  </si>
  <si>
    <t xml:space="preserve">2015-Exxel, Rooster/Change Orders/COR_s/Rooster - OWP COP ASI #02.pdf</t>
  </si>
  <si>
    <t xml:space="preserve">COP-ASI04</t>
  </si>
  <si>
    <t xml:space="preserve">2014-12-11</t>
  </si>
  <si>
    <t xml:space="preserve">Portage Bay Café additions — 8 items: dishwasher/prep relocation, gas piping, grease interceptor, food service rough-in, water heater, circ pump, floor drains, fixture spec updates</t>
  </si>
  <si>
    <t xml:space="preserve">ASI-004</t>
  </si>
  <si>
    <t xml:space="preserve">2015-Exxel, Rooster/Change Orders/COR_s/Rooster - OWP COP ASI #04 Portage Bay Additions.pdf</t>
  </si>
  <si>
    <t xml:space="preserve">COP-ASI05</t>
  </si>
  <si>
    <t xml:space="preserve">Bike room plumbing move</t>
  </si>
  <si>
    <t xml:space="preserve">Architect</t>
  </si>
  <si>
    <t xml:space="preserve">ASI-005</t>
  </si>
  <si>
    <t xml:space="preserve">2015-Exxel, Rooster/Change Orders/COR_s/Rooster - OWP COP ASI-05 Bike Room.pdf</t>
  </si>
  <si>
    <t xml:space="preserve">COP-FRAME</t>
  </si>
  <si>
    <t xml:space="preserve">Replumbing due to framing conflicts (revised version issued)</t>
  </si>
  <si>
    <t xml:space="preserve">Field (OWP)</t>
  </si>
  <si>
    <t xml:space="preserve">2015-Exxel, Rooster/Change Orders/COR_s/Rooster - OWP COP Replumbing Due to Framing REVISED.pdf</t>
  </si>
  <si>
    <t xml:space="preserve">COP-RFI247</t>
  </si>
  <si>
    <t xml:space="preserve">Move plumbing Unit 114 driven by RFI-247</t>
  </si>
  <si>
    <t xml:space="preserve">GC (Exxel)</t>
  </si>
  <si>
    <t xml:space="preserve">RFI-247</t>
  </si>
  <si>
    <t xml:space="preserve">2015-Exxel, Rooster/Change Orders/COR_s/Rooster - OWP COP Replumbing Due to RFI-247.pdf</t>
  </si>
  <si>
    <t xml:space="preserve">COP-PBC-HOOD</t>
  </si>
  <si>
    <t xml:space="preserve">Move plumbing for Portage Bay Café exhaust hood</t>
  </si>
  <si>
    <t xml:space="preserve">2015-Exxel, Rooster/Change Orders/COR_s/Rooster - OWP COP Move Plumbing for PBC Exhaust Hood.pdf</t>
  </si>
  <si>
    <t xml:space="preserve">COP-FLEX-GAS</t>
  </si>
  <si>
    <t xml:space="preserve">Flexible connections to exterior gas heaters</t>
  </si>
  <si>
    <t xml:space="preserve">2015-Exxel, Rooster/Change Orders/COR_s/Rooster - OWP COP Flex Connections to Exterior Gas Heaters.pdf</t>
  </si>
  <si>
    <t xml:space="preserve">COP-GAS-HTR</t>
  </si>
  <si>
    <t xml:space="preserve">Gas heater system scope</t>
  </si>
  <si>
    <t xml:space="preserve">2015-Exxel, Rooster/Change Orders/COR_s/Rooster - OWP COP Gas Heaters.pdf</t>
  </si>
  <si>
    <t xml:space="preserve">COP-HOOKUP-HTR</t>
  </si>
  <si>
    <t xml:space="preserve">Hook up heaters</t>
  </si>
  <si>
    <t xml:space="preserve">2015-Exxel, Rooster/Change Orders/COR_s/Rooster - OWP COP Hook Up Heaters.pdf</t>
  </si>
  <si>
    <t xml:space="preserve">COP-TEMP-SINK</t>
  </si>
  <si>
    <t xml:space="preserve">T&amp;M</t>
  </si>
  <si>
    <t xml:space="preserve">Temporary sink installation (T&amp;M ticket)</t>
  </si>
  <si>
    <t xml:space="preserve">2015-Exxel, Rooster/Change Orders/COR_s/Rooster - Temp Sink T&amp;M Ticket.pdf</t>
  </si>
  <si>
    <t xml:space="preserve">COP-RFI097</t>
  </si>
  <si>
    <t xml:space="preserve">2014-11-03</t>
  </si>
  <si>
    <t xml:space="preserve">Hose bibs — RFI-097 driven (3 pricing revisions)</t>
  </si>
  <si>
    <t xml:space="preserve">RFI-097</t>
  </si>
  <si>
    <t xml:space="preserve">2015-Exxel, Rooster/Change Orders/COR_s/COR Pricing - RFI-097 HOSE BIBS.xlsx</t>
  </si>
  <si>
    <t xml:space="preserve">COP-RFI213</t>
  </si>
  <si>
    <t xml:space="preserve">2015-06-15</t>
  </si>
  <si>
    <t xml:space="preserve">Move water mains — RFI-213 (delete bedroom partitions)</t>
  </si>
  <si>
    <t xml:space="preserve">RFI-213</t>
  </si>
  <si>
    <t xml:space="preserve">2015-Exxel, Rooster/Change Orders/COR_s/COR Pricing - RFI-213 MOVE WATER MAINS.xlsx</t>
  </si>
  <si>
    <t xml:space="preserve">COP-FIT-DF</t>
  </si>
  <si>
    <t xml:space="preserve">Added drinking fountain in fitness room</t>
  </si>
  <si>
    <t xml:space="preserve">Owner</t>
  </si>
  <si>
    <t xml:space="preserve">2015-Exxel, Rooster/Change Orders/COR_s/COR Pricing - Added Drinking Fountain Fitness Room.xlsx</t>
  </si>
  <si>
    <t xml:space="preserve">COP-IDSI02</t>
  </si>
  <si>
    <t xml:space="preserve">IDSI-02 coffee maker connection</t>
  </si>
  <si>
    <t xml:space="preserve">Interior Designer</t>
  </si>
  <si>
    <t xml:space="preserve">IDSI-002</t>
  </si>
  <si>
    <t xml:space="preserve">2015-Exxel, Rooster/Change Orders/COR_s/COR Pricing - IDSI-02 Coffee Maker Connection.xlsx</t>
  </si>
  <si>
    <t xml:space="preserve">COP-GAS-ROOF</t>
  </si>
  <si>
    <t xml:space="preserve">Single shot gas line to roof</t>
  </si>
  <si>
    <t xml:space="preserve">2015-Exxel, Rooster/Change Orders/COR_s/COR Pricing - Single Shot Gas to Roof.xlsx</t>
  </si>
  <si>
    <t xml:space="preserve">COP-MTR125</t>
  </si>
  <si>
    <t xml:space="preserve">Move unit water meter Unit 125 (PBC)</t>
  </si>
  <si>
    <t xml:space="preserve">2015-Exxel, Rooster 2/Rooster - OWP COP Move Unit Water Meter Unit 125.pdf</t>
  </si>
  <si>
    <t xml:space="preserve">COP-WM123</t>
  </si>
  <si>
    <t xml:space="preserve">Move water main Unit 123 (PBC)</t>
  </si>
  <si>
    <t xml:space="preserve">2015-Exxel, Rooster 2/Rooster - OWP COP Move Water Main Unit 123.pdf</t>
  </si>
  <si>
    <t xml:space="preserve">ASI</t>
  </si>
  <si>
    <t xml:space="preserve">2014-10</t>
  </si>
  <si>
    <t xml:space="preserve">Shower type revision</t>
  </si>
  <si>
    <t xml:space="preserve">Architect (WAU)</t>
  </si>
  <si>
    <t xml:space="preserve">Closed</t>
  </si>
  <si>
    <t xml:space="preserve">2015-Exxel, Rooster/ASI-RFI/ASI-002</t>
  </si>
  <si>
    <t xml:space="preserve">2014-12</t>
  </si>
  <si>
    <t xml:space="preserve">Portage Bay Café scope additions</t>
  </si>
  <si>
    <t xml:space="preserve">2015-Exxel, Rooster/ASI-RFI/ASI-004</t>
  </si>
  <si>
    <t xml:space="preserve">Bike room revision</t>
  </si>
  <si>
    <t xml:space="preserve">2015-Exxel, Rooster/ASI-RFI/ASI-005</t>
  </si>
  <si>
    <t xml:space="preserve">ASI-006</t>
  </si>
  <si>
    <t xml:space="preserve">Design clarification ASI #06</t>
  </si>
  <si>
    <t xml:space="preserve">2015-Exxel, Rooster/ASI-RFI/ASI-006</t>
  </si>
  <si>
    <t xml:space="preserve">ASI-007</t>
  </si>
  <si>
    <t xml:space="preserve">Design clarification ASI #07</t>
  </si>
  <si>
    <t xml:space="preserve">2015-Exxel, Rooster/ASI-RFI/ASI-007</t>
  </si>
  <si>
    <t xml:space="preserve">Interior design supplemental — coffee maker connection</t>
  </si>
  <si>
    <t xml:space="preserve">2015-Exxel, Rooster/ASI-RFI/IDSI-002</t>
  </si>
  <si>
    <t xml:space="preserve">RFI</t>
  </si>
  <si>
    <t xml:space="preserve">Hose bib locations (revised response)</t>
  </si>
  <si>
    <t xml:space="preserve">2015-Exxel, Rooster/ASI-RFI/RFI-097</t>
  </si>
  <si>
    <t xml:space="preserve">Delete bedroom partitions — move water mains</t>
  </si>
  <si>
    <t xml:space="preserve">2015-Exxel, Rooster/ASI-RFI/RFI-213</t>
  </si>
  <si>
    <t xml:space="preserve">Unit 114 plumbing move</t>
  </si>
  <si>
    <t xml:space="preserve">2015-Exxel, Rooster/ASI-RFI/RFI-247</t>
  </si>
  <si>
    <t xml:space="preserve">RFI-SUMMARY</t>
  </si>
  <si>
    <t xml:space="preserve">Memo</t>
  </si>
  <si>
    <t xml:space="preserve">2014-2015</t>
  </si>
  <si>
    <t xml:space="preserve">RFI log — 90+ RFIs spanning Apr 2014–Jun 2015 (range RFI-008 to RFI-223+). Responders: WAU, CPL, Rushing, Vida. SCOR letters issued on subset.</t>
  </si>
  <si>
    <t xml:space="preserve">Informational</t>
  </si>
  <si>
    <t xml:space="preserve">2015-Exxel, Rooster/ASI-RFI/ (90+ PDFs)</t>
  </si>
  <si>
    <t xml:space="preserve">SUB-22-01-R1</t>
  </si>
  <si>
    <t xml:space="preserve">Submittal-resub</t>
  </si>
  <si>
    <t xml:space="preserve">2014</t>
  </si>
  <si>
    <t xml:space="preserve">Underground Plumbing Package — R1 revision</t>
  </si>
  <si>
    <t xml:space="preserve">Sub (OWP)</t>
  </si>
  <si>
    <t xml:space="preserve">2015-Exxel, Rooster/Submittals/#22 0000-01 R1</t>
  </si>
  <si>
    <t xml:space="preserve">SUB-FIX-R1</t>
  </si>
  <si>
    <t xml:space="preserve">Fixture submittal resubmissions — multiple iterations for Kohler/Sloan/HansGrohe/Duravit (PBC spec updates)</t>
  </si>
  <si>
    <t xml:space="preserve">2015-Exxel, Rooster/Submittals/FIXTURE SUBMITTALS/RESPONSE/</t>
  </si>
  <si>
    <t xml:space="preserve">DOC-GAP-RFI-LOG</t>
  </si>
  <si>
    <t xml:space="preserve">GAP: No consolidated RFI log/summary spreadsheet despite 90+ RFIs. Cycle-day + resubmission metrics not computable without reconstruction.</t>
  </si>
  <si>
    <t xml:space="preserve">OWP</t>
  </si>
  <si>
    <t xml:space="preserve">Open</t>
  </si>
  <si>
    <t xml:space="preserve">2015-Exxel, Rooster/ASI-RFI/ (no log file)</t>
  </si>
  <si>
    <t xml:space="preserve">DOC-GAP-COR-OUT</t>
  </si>
  <si>
    <t xml:space="preserve">GAP: Outstanding COR trackers exist (8-18-15, 10-5-15) but final resolution/billed amounts unreconciled vs signed CO totals.</t>
  </si>
  <si>
    <t xml:space="preserve">2015-Exxel, Rooster/Change Orders/Outstanding COR_s as of 08-18-15.xlsx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</si>
  <si>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</si>
  <si>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</si>
  <si>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</si>
  <si>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</si>
  <si>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</si>
  <si>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</si>
  <si>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</si>
  <si>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</si>
  <si>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error</t>
  </si>
  <si>
    <t xml:space="preserve">Mixed</t>
  </si>
  <si>
    <t xml:space="preserve">Portage Bay Café additions — 8 items: dishwasher/prep reloca</t>
  </si>
  <si>
    <t xml:space="preserve">Design substitution</t>
  </si>
  <si>
    <t xml:space="preserve">Designer</t>
  </si>
  <si>
    <t xml:space="preserve">Shower type changes — delete (4) 32" + (10) 36" showers, add</t>
  </si>
  <si>
    <t xml:space="preserve">Design clarification</t>
  </si>
  <si>
    <t xml:space="preserve">Owner directive</t>
  </si>
  <si>
    <t xml:space="preserve">Owner/GC</t>
  </si>
  <si>
    <t xml:space="preserve">Field condition</t>
  </si>
  <si>
    <t xml:space="preserve">Coordination conflict</t>
  </si>
  <si>
    <t xml:space="preserve">Scope gap</t>
  </si>
  <si>
    <t xml:space="preserve">Combined/multi-cause</t>
  </si>
  <si>
    <t xml:space="preserve">GAP: No consolidated RFI log/summary spreadsheet despite 90+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</si>
  <si>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</si>
  <si>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</si>
  <si>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</si>
  <si>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</si>
  <si>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POSITIVE — recoverable</t>
  </si>
  <si>
    <t xml:space="preserve">NEUTRAL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</si>
  <si>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</si>
  <si>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</si>
  <si>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</si>
  <si>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</si>
  <si>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</si>
  <si>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</si>
  <si>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</si>
  <si>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</si>
  <si>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</si>
  <si>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</si>
  <si>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</si>
  <si>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</si>
  <si>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</si>
  <si>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</si>
  <si>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</si>
  <si>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</si>
  <si>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</si>
  <si>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</si>
  <si>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</si>
  <si>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</si>
  <si>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</si>
  <si>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</si>
  <si>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ELEVATED</t>
  </si>
  <si>
    <t xml:space="preserve">High ASI = owner scope churn</t>
  </si>
  <si>
    <t xml:space="preserve">Backcharge Count</t>
  </si>
  <si>
    <t xml:space="preserve">&lt;3</t>
  </si>
  <si>
    <t xml:space="preserve">HEALTHY</t>
  </si>
  <si>
    <t xml:space="preserve">BC clusters = coordination weakness</t>
  </si>
  <si>
    <t xml:space="preserve">Change Order Count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</si>
  <si>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</si>
  <si>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</si>
  <si>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</si>
  <si>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</si>
  <si>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</si>
  <si>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</si>
  <si>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</si>
  <si>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</si>
  <si>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</si>
  <si>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POSITIVE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</si>
  <si>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</si>
  <si>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</si>
  <si>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</si>
  <si>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</si>
  <si>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</si>
  <si>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</si>
  <si>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</si>
  <si>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</si>
  <si>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</si>
  <si>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</si>
  <si>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</si>
  <si>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</si>
  <si>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</si>
  <si>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</si>
  <si>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</si>
  <si>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+ 6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</si>
  <si>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</si>
  <si>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</si>
  <si>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</si>
  <si>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</si>
  <si>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</si>
  <si>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</si>
  <si>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</si>
  <si>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</si>
  <si>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</si>
  <si>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</si>
  <si>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</si>
  <si>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</si>
  <si>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</si>
  <si>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</si>
  <si>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</si>
  <si>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</si>
  <si>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</si>
  <si>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</si>
  <si>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</si>
  <si>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</si>
  <si>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</si>
  <si>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</si>
  <si>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</si>
  <si>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</si>
  <si>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</si>
  <si>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</si>
  <si>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</si>
  <si>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</si>
  <si>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</si>
  <si>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</si>
  <si>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</si>
  <si>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</si>
  <si>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</si>
  <si>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</si>
  <si>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</si>
  <si>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</si>
  <si>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</si>
  <si>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</si>
  <si>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</si>
  <si>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</si>
  <si>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</si>
  <si>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</si>
  <si>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</si>
  <si>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</si>
  <si>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</si>
  <si>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</si>
  <si>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</si>
  <si>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</si>
  <si>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</si>
  <si>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</si>
  <si>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</si>
  <si>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</si>
  <si>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</si>
  <si>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</si>
  <si>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</si>
  <si>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</si>
  <si>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</si>
  <si>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</si>
  <si>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</si>
  <si>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</si>
  <si>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</si>
  <si>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</si>
  <si>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</si>
  <si>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</si>
  <si>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</si>
  <si>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</si>
  <si>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</si>
  <si>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</si>
  <si>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</si>
  <si>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</si>
  <si>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</si>
  <si>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</si>
  <si>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</si>
  <si>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</si>
  <si>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</si>
  <si>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</si>
  <si>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</si>
  <si>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</si>
  <si>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(11 codes)</t>
  </si>
  <si>
    <t xml:space="preserve">Material subtotal (9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</si>
  <si>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</si>
  <si>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</si>
  <si>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</si>
  <si>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</si>
  <si>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</si>
  <si>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</si>
  <si>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</si>
  <si>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</si>
  <si>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</si>
  <si>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</si>
  <si>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</si>
  <si>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</si>
  <si>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</si>
  <si>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</si>
  <si>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</si>
  <si>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</si>
  <si>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</si>
  <si>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</si>
  <si>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</si>
  <si>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</si>
  <si>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</si>
  <si>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</si>
  <si>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</si>
  <si>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</si>
  <si>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</si>
  <si>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</si>
  <si>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</si>
  <si>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#2015 — Cortex v2 17-tab layout</t>
  </si>
  <si>
    <t xml:space="preserve">12 analytical tabs + Change Log + Root Cause Analysis + Predictive Signals + Metric Registry + Reconciliation</t>
  </si>
  <si>
    <t xml:space="preserve">Canonical source: 2015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</si>
  <si>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</si>
  <si>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</si>
  <si>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</si>
  <si>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</si>
  <si>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</si>
  <si>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#2015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</si>
  <si>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</si>
  <si>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</si>
  <si>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</si>
  <si>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</si>
  <si>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</si>
  <si>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</si>
  <si>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2015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</si>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</sst>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6B7280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5E7EB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479050</v>
      </c>
      <c r="D20" s="11" t="n">
        <v>583482.62</v>
      </c>
      <c r="E20" s="11" t="n">
        <f aca="false">C20-D20</f>
        <v>-104432.62</v>
      </c>
      <c r="F20" s="12" t="n">
        <f aca="false">IF(C20=0,0,D20/C20)</f>
        <v>1.21799941550986</v>
      </c>
      <c r="G20" s="12" t="n">
        <f aca="false">IF($D$24=0,0,D20/$D$24)</f>
        <v>0.368591875692386</v>
      </c>
    </row>
    <row r="21" customFormat="false" ht="15" hidden="false" customHeight="true" outlineLevel="0" collapsed="false">
      <c r="B21" s="5" t="s">
        <v>35</v>
      </c>
      <c r="C21" s="11" t="n">
        <v>866894</v>
      </c>
      <c r="D21" s="11" t="n">
        <v>661468.33</v>
      </c>
      <c r="E21" s="11" t="n">
        <f aca="false">C21-D21</f>
        <v>205425.67</v>
      </c>
      <c r="F21" s="12" t="n">
        <f aca="false">IF(C21=0,0,D21/C21)</f>
        <v>0.763032539157037</v>
      </c>
      <c r="G21" s="12" t="n">
        <f aca="false">IF($D$24=0,0,D21/$D$24)</f>
        <v>0.417856237887274</v>
      </c>
    </row>
    <row r="22" customFormat="false" ht="15" hidden="false" customHeight="true" outlineLevel="0" collapsed="false">
      <c r="B22" s="5" t="s">
        <v>36</v>
      </c>
      <c r="C22" s="11" t="n">
        <v>34425</v>
      </c>
      <c r="D22" s="11" t="n">
        <v>43335.38</v>
      </c>
      <c r="E22" s="11" t="n">
        <f aca="false">C22-D22</f>
        <v>-8910.38</v>
      </c>
      <c r="F22" s="12" t="n">
        <f aca="false">IF(C22=0,0,D22/C22)</f>
        <v>1.25883456790123</v>
      </c>
      <c r="G22" s="12" t="n">
        <f aca="false">IF($D$24=0,0,D22/$D$24)</f>
        <v>0.0273753980847661</v>
      </c>
    </row>
    <row r="23" customFormat="false" ht="15" hidden="false" customHeight="true" outlineLevel="0" collapsed="false">
      <c r="B23" s="5" t="s">
        <v>37</v>
      </c>
      <c r="C23" s="11" t="n">
        <v>242802.91</v>
      </c>
      <c r="D23" s="11" t="n">
        <v>294718.23</v>
      </c>
      <c r="E23" s="11" t="n">
        <f aca="false">C23-D23</f>
        <v>-51915.32</v>
      </c>
      <c r="F23" s="12" t="n">
        <f aca="false">IF(C23=0,0,D23/C23)</f>
        <v>1.21381671249327</v>
      </c>
      <c r="G23" s="12" t="n">
        <f aca="false">IF($D$24=0,0,D23/$D$24)</f>
        <v>0.186176488335574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1623171.91</v>
      </c>
      <c r="D24" s="13" t="n">
        <f aca="false">SUM(D20:D23)</f>
        <v>1583004.56</v>
      </c>
      <c r="E24" s="13" t="n">
        <f aca="false">C24-D24</f>
        <v>40167.3500000001</v>
      </c>
      <c r="F24" s="14" t="n">
        <f aca="false">IF(C24=0,0,D24/C24)</f>
        <v>0.975253791818021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43</v>
      </c>
      <c r="F29" s="5" t="s">
        <v>45</v>
      </c>
      <c r="G29" s="6" t="s">
        <v>46</v>
      </c>
    </row>
    <row r="30" customFormat="false" ht="15" hidden="false" customHeight="true" outlineLevel="0" collapsed="false">
      <c r="B30" s="5" t="s">
        <v>47</v>
      </c>
      <c r="C30" s="6" t="s">
        <v>48</v>
      </c>
      <c r="D30" s="5" t="s">
        <v>49</v>
      </c>
      <c r="E30" s="6" t="s">
        <v>43</v>
      </c>
      <c r="F30" s="5" t="s">
        <v>50</v>
      </c>
      <c r="G30" s="6" t="s">
        <v>51</v>
      </c>
    </row>
    <row r="31" customFormat="false" ht="15" hidden="false" customHeight="true" outlineLevel="0" collapsed="false">
      <c r="B31" s="5" t="s">
        <v>52</v>
      </c>
      <c r="C31" s="6" t="s">
        <v>53</v>
      </c>
      <c r="D31" s="5" t="s">
        <v>54</v>
      </c>
      <c r="E31" s="6" t="s">
        <v>43</v>
      </c>
      <c r="F31" s="5" t="s">
        <v>55</v>
      </c>
      <c r="G31" s="6" t="s">
        <v>51</v>
      </c>
    </row>
    <row r="32" customFormat="false" ht="15" hidden="false" customHeight="true" outlineLevel="0" collapsed="false">
      <c r="B32" s="5" t="s">
        <v>56</v>
      </c>
      <c r="C32" s="6" t="s">
        <v>57</v>
      </c>
      <c r="D32" s="5" t="s">
        <v>58</v>
      </c>
      <c r="E32" s="6" t="s">
        <v>59</v>
      </c>
      <c r="F32" s="5" t="s">
        <v>60</v>
      </c>
      <c r="G32" s="6" t="s">
        <v>61</v>
      </c>
    </row>
    <row r="36" customFormat="false" ht="15" hidden="false" customHeight="true" outlineLevel="0" collapsed="false">
      <c r="B36" s="4" t="s">
        <v>62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63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64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65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66</v>
      </c>
      <c r="C40" s="3"/>
      <c r="D40" s="3"/>
      <c r="E40" s="3"/>
      <c r="F40" s="3"/>
      <c r="G40" s="3"/>
    </row>
  </sheetData>
  <mergeCells count="10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67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68</v>
      </c>
      <c r="C4" s="10" t="s">
        <v>69</v>
      </c>
      <c r="D4" s="10" t="s">
        <v>70</v>
      </c>
      <c r="E4" s="10" t="s">
        <v>71</v>
      </c>
      <c r="F4" s="10" t="s">
        <v>30</v>
      </c>
      <c r="G4" s="10" t="s">
        <v>31</v>
      </c>
      <c r="H4" s="10" t="s">
        <v>72</v>
      </c>
    </row>
    <row r="5" customFormat="false" ht="15" hidden="false" customHeight="true" outlineLevel="0" collapsed="false">
      <c r="B5" s="4" t="s">
        <v>73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74</v>
      </c>
      <c r="C6" s="5" t="s">
        <v>75</v>
      </c>
      <c r="D6" s="11" t="n">
        <v>11820</v>
      </c>
      <c r="E6" s="11" t="n">
        <v>12360</v>
      </c>
      <c r="F6" s="11" t="n">
        <v>7355</v>
      </c>
      <c r="G6" s="11" t="n">
        <f aca="false">E6-F6</f>
        <v>5005</v>
      </c>
      <c r="H6" s="12" t="n">
        <f aca="false">IF(E6=0,0,F6/E6)</f>
        <v>0.595064724919094</v>
      </c>
    </row>
    <row r="7" customFormat="false" ht="15" hidden="false" customHeight="true" outlineLevel="0" collapsed="false">
      <c r="B7" s="5" t="s">
        <v>76</v>
      </c>
      <c r="C7" s="5" t="s">
        <v>77</v>
      </c>
      <c r="D7" s="11" t="n">
        <v>13790</v>
      </c>
      <c r="E7" s="11" t="n">
        <v>15790</v>
      </c>
      <c r="F7" s="11" t="n">
        <v>16582.5</v>
      </c>
      <c r="G7" s="11" t="n">
        <f aca="false">E7-F7</f>
        <v>-792.5</v>
      </c>
      <c r="H7" s="12" t="n">
        <f aca="false">IF(E7=0,0,F7/E7)</f>
        <v>1.05018999366688</v>
      </c>
    </row>
    <row r="8" customFormat="false" ht="15" hidden="false" customHeight="true" outlineLevel="0" collapsed="false">
      <c r="B8" s="5" t="s">
        <v>78</v>
      </c>
      <c r="C8" s="5" t="s">
        <v>79</v>
      </c>
      <c r="D8" s="11" t="n">
        <v>6080</v>
      </c>
      <c r="E8" s="11" t="n">
        <v>7830</v>
      </c>
      <c r="F8" s="11" t="n">
        <v>7731</v>
      </c>
      <c r="G8" s="11" t="n">
        <f aca="false">E8-F8</f>
        <v>99</v>
      </c>
      <c r="H8" s="12" t="n">
        <f aca="false">IF(E8=0,0,F8/E8)</f>
        <v>0.987356321839081</v>
      </c>
    </row>
    <row r="9" customFormat="false" ht="15" hidden="false" customHeight="true" outlineLevel="0" collapsed="false">
      <c r="B9" s="5" t="s">
        <v>80</v>
      </c>
      <c r="C9" s="5" t="s">
        <v>81</v>
      </c>
      <c r="D9" s="11" t="n">
        <v>55870</v>
      </c>
      <c r="E9" s="11" t="n">
        <v>67410</v>
      </c>
      <c r="F9" s="11" t="n">
        <v>50128.5</v>
      </c>
      <c r="G9" s="11" t="n">
        <f aca="false">E9-F9</f>
        <v>17281.5</v>
      </c>
      <c r="H9" s="12" t="n">
        <f aca="false">IF(E9=0,0,F9/E9)</f>
        <v>0.74363595905652</v>
      </c>
    </row>
    <row r="10" customFormat="false" ht="15" hidden="false" customHeight="true" outlineLevel="0" collapsed="false">
      <c r="B10" s="5" t="s">
        <v>82</v>
      </c>
      <c r="C10" s="5" t="s">
        <v>83</v>
      </c>
      <c r="D10" s="11" t="n">
        <v>12300</v>
      </c>
      <c r="E10" s="11" t="n">
        <v>12860</v>
      </c>
      <c r="F10" s="11" t="n">
        <v>10087.5</v>
      </c>
      <c r="G10" s="11" t="n">
        <f aca="false">E10-F10</f>
        <v>2772.5</v>
      </c>
      <c r="H10" s="12" t="n">
        <f aca="false">IF(E10=0,0,F10/E10)</f>
        <v>0.784409020217729</v>
      </c>
    </row>
    <row r="11" customFormat="false" ht="15" hidden="false" customHeight="true" outlineLevel="0" collapsed="false">
      <c r="B11" s="5" t="s">
        <v>84</v>
      </c>
      <c r="C11" s="5" t="s">
        <v>85</v>
      </c>
      <c r="D11" s="11" t="n">
        <v>520</v>
      </c>
      <c r="E11" s="11" t="n">
        <v>520</v>
      </c>
      <c r="F11" s="11" t="n">
        <v>520.5</v>
      </c>
      <c r="G11" s="11" t="n">
        <f aca="false">E11-F11</f>
        <v>-0.5</v>
      </c>
      <c r="H11" s="12" t="n">
        <f aca="false">IF(E11=0,0,F11/E11)</f>
        <v>1.00096153846154</v>
      </c>
    </row>
    <row r="12" customFormat="false" ht="15" hidden="false" customHeight="true" outlineLevel="0" collapsed="false">
      <c r="B12" s="5" t="s">
        <v>86</v>
      </c>
      <c r="C12" s="5" t="s">
        <v>87</v>
      </c>
      <c r="D12" s="11" t="n">
        <v>244060</v>
      </c>
      <c r="E12" s="11" t="n">
        <v>261060</v>
      </c>
      <c r="F12" s="11" t="n">
        <v>387658.09</v>
      </c>
      <c r="G12" s="11" t="n">
        <f aca="false">E12-F12</f>
        <v>-126598.09</v>
      </c>
      <c r="H12" s="12" t="n">
        <f aca="false">IF(E12=0,0,F12/E12)</f>
        <v>1.48493867310197</v>
      </c>
    </row>
    <row r="13" customFormat="false" ht="15" hidden="false" customHeight="true" outlineLevel="0" collapsed="false">
      <c r="B13" s="5" t="s">
        <v>88</v>
      </c>
      <c r="C13" s="5" t="s">
        <v>89</v>
      </c>
      <c r="D13" s="11" t="n">
        <v>41255</v>
      </c>
      <c r="E13" s="11" t="n">
        <v>45665</v>
      </c>
      <c r="F13" s="11" t="n">
        <v>45395.28</v>
      </c>
      <c r="G13" s="11" t="n">
        <f aca="false">E13-F13</f>
        <v>269.720000000001</v>
      </c>
      <c r="H13" s="12" t="n">
        <f aca="false">IF(E13=0,0,F13/E13)</f>
        <v>0.994093507062302</v>
      </c>
    </row>
    <row r="14" customFormat="false" ht="15" hidden="false" customHeight="true" outlineLevel="0" collapsed="false">
      <c r="B14" s="5" t="s">
        <v>90</v>
      </c>
      <c r="C14" s="5" t="s">
        <v>91</v>
      </c>
      <c r="D14" s="11" t="n">
        <v>7250</v>
      </c>
      <c r="E14" s="11" t="n">
        <v>11400</v>
      </c>
      <c r="F14" s="11" t="n">
        <v>11582.5</v>
      </c>
      <c r="G14" s="11" t="n">
        <f aca="false">E14-F14</f>
        <v>-182.5</v>
      </c>
      <c r="H14" s="12" t="n">
        <f aca="false">IF(E14=0,0,F14/E14)</f>
        <v>1.01600877192982</v>
      </c>
    </row>
    <row r="15" customFormat="false" ht="15" hidden="false" customHeight="true" outlineLevel="0" collapsed="false">
      <c r="B15" s="5" t="s">
        <v>92</v>
      </c>
      <c r="C15" s="5" t="s">
        <v>93</v>
      </c>
      <c r="D15" s="11" t="n">
        <v>29805</v>
      </c>
      <c r="E15" s="11" t="n">
        <v>35505</v>
      </c>
      <c r="F15" s="11" t="n">
        <v>37466.75</v>
      </c>
      <c r="G15" s="11" t="n">
        <f aca="false">E15-F15</f>
        <v>-1961.75</v>
      </c>
      <c r="H15" s="12" t="n">
        <f aca="false">IF(E15=0,0,F15/E15)</f>
        <v>1.05525278129841</v>
      </c>
    </row>
    <row r="16" customFormat="false" ht="15" hidden="false" customHeight="true" outlineLevel="0" collapsed="false">
      <c r="B16" s="5" t="s">
        <v>94</v>
      </c>
      <c r="C16" s="5" t="s">
        <v>95</v>
      </c>
      <c r="D16" s="11" t="n">
        <v>5280</v>
      </c>
      <c r="E16" s="11" t="n">
        <v>8650</v>
      </c>
      <c r="F16" s="11" t="n">
        <v>8975</v>
      </c>
      <c r="G16" s="11" t="n">
        <f aca="false">E16-F16</f>
        <v>-325</v>
      </c>
      <c r="H16" s="12" t="n">
        <f aca="false">IF(E16=0,0,F16/E16)</f>
        <v>1.03757225433526</v>
      </c>
    </row>
    <row r="17" customFormat="false" ht="15" hidden="false" customHeight="true" outlineLevel="0" collapsed="false">
      <c r="B17" s="4" t="s">
        <v>96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5" t="s">
        <v>97</v>
      </c>
      <c r="C18" s="5" t="s">
        <v>98</v>
      </c>
      <c r="D18" s="11" t="n">
        <v>9825</v>
      </c>
      <c r="E18" s="11" t="n">
        <v>9385</v>
      </c>
      <c r="F18" s="11" t="n">
        <v>7557.66</v>
      </c>
      <c r="G18" s="11" t="n">
        <f aca="false">E18-F18</f>
        <v>1827.34</v>
      </c>
      <c r="H18" s="12" t="n">
        <f aca="false">IF(E18=0,0,F18/E18)</f>
        <v>0.805291422482685</v>
      </c>
    </row>
    <row r="19" customFormat="false" ht="15" hidden="false" customHeight="true" outlineLevel="0" collapsed="false">
      <c r="B19" s="5" t="s">
        <v>99</v>
      </c>
      <c r="C19" s="5" t="s">
        <v>100</v>
      </c>
      <c r="D19" s="11" t="n">
        <v>59640</v>
      </c>
      <c r="E19" s="11" t="n">
        <v>63870</v>
      </c>
      <c r="F19" s="11" t="n">
        <v>41623.99</v>
      </c>
      <c r="G19" s="11" t="n">
        <f aca="false">E19-F19</f>
        <v>22246.01</v>
      </c>
      <c r="H19" s="12" t="n">
        <f aca="false">IF(E19=0,0,F19/E19)</f>
        <v>0.651698606544544</v>
      </c>
    </row>
    <row r="20" customFormat="false" ht="15" hidden="false" customHeight="true" outlineLevel="0" collapsed="false">
      <c r="B20" s="5" t="s">
        <v>101</v>
      </c>
      <c r="C20" s="5" t="s">
        <v>102</v>
      </c>
      <c r="D20" s="11" t="n">
        <v>17220</v>
      </c>
      <c r="E20" s="11" t="n">
        <v>17700</v>
      </c>
      <c r="F20" s="11" t="n">
        <v>13825.36</v>
      </c>
      <c r="G20" s="11" t="n">
        <f aca="false">E20-F20</f>
        <v>3874.64</v>
      </c>
      <c r="H20" s="12" t="n">
        <f aca="false">IF(E20=0,0,F20/E20)</f>
        <v>0.781093785310735</v>
      </c>
    </row>
    <row r="21" customFormat="false" ht="15" hidden="false" customHeight="true" outlineLevel="0" collapsed="false">
      <c r="B21" s="5" t="s">
        <v>103</v>
      </c>
      <c r="C21" s="5" t="s">
        <v>104</v>
      </c>
      <c r="D21" s="11" t="n">
        <v>1275</v>
      </c>
      <c r="E21" s="11" t="n">
        <v>1275</v>
      </c>
      <c r="F21" s="11" t="n">
        <v>1275.6</v>
      </c>
      <c r="G21" s="11" t="n">
        <f aca="false">E21-F21</f>
        <v>-0.599999999999909</v>
      </c>
      <c r="H21" s="12" t="n">
        <f aca="false">IF(E21=0,0,F21/E21)</f>
        <v>1.00047058823529</v>
      </c>
    </row>
    <row r="22" customFormat="false" ht="15" hidden="false" customHeight="true" outlineLevel="0" collapsed="false">
      <c r="B22" s="5" t="s">
        <v>105</v>
      </c>
      <c r="C22" s="5" t="s">
        <v>106</v>
      </c>
      <c r="D22" s="11" t="n">
        <v>210065</v>
      </c>
      <c r="E22" s="11" t="n">
        <v>212365</v>
      </c>
      <c r="F22" s="11" t="n">
        <v>176561.56</v>
      </c>
      <c r="G22" s="11" t="n">
        <f aca="false">E22-F22</f>
        <v>35803.44</v>
      </c>
      <c r="H22" s="12" t="n">
        <f aca="false">IF(E22=0,0,F22/E22)</f>
        <v>0.831406116827161</v>
      </c>
    </row>
    <row r="23" customFormat="false" ht="15" hidden="false" customHeight="true" outlineLevel="0" collapsed="false">
      <c r="B23" s="5" t="s">
        <v>107</v>
      </c>
      <c r="C23" s="5" t="s">
        <v>108</v>
      </c>
      <c r="D23" s="11" t="n">
        <v>466740</v>
      </c>
      <c r="E23" s="11" t="n">
        <v>483149</v>
      </c>
      <c r="F23" s="11" t="n">
        <v>337546.71</v>
      </c>
      <c r="G23" s="11" t="n">
        <f aca="false">E23-F23</f>
        <v>145602.29</v>
      </c>
      <c r="H23" s="12" t="n">
        <f aca="false">IF(E23=0,0,F23/E23)</f>
        <v>0.698638949889165</v>
      </c>
    </row>
    <row r="24" customFormat="false" ht="15" hidden="false" customHeight="true" outlineLevel="0" collapsed="false">
      <c r="B24" s="5" t="s">
        <v>109</v>
      </c>
      <c r="C24" s="5" t="s">
        <v>110</v>
      </c>
      <c r="D24" s="11" t="n">
        <v>3350</v>
      </c>
      <c r="E24" s="11" t="n">
        <v>6250</v>
      </c>
      <c r="F24" s="11" t="n">
        <v>6984.66</v>
      </c>
      <c r="G24" s="11" t="n">
        <f aca="false">E24-F24</f>
        <v>-734.66</v>
      </c>
      <c r="H24" s="12" t="n">
        <f aca="false">IF(E24=0,0,F24/E24)</f>
        <v>1.1175456</v>
      </c>
    </row>
    <row r="25" customFormat="false" ht="15" hidden="false" customHeight="true" outlineLevel="0" collapsed="false">
      <c r="B25" s="5" t="s">
        <v>111</v>
      </c>
      <c r="C25" s="5" t="s">
        <v>112</v>
      </c>
      <c r="D25" s="11" t="n">
        <v>60900</v>
      </c>
      <c r="E25" s="11" t="n">
        <v>60900</v>
      </c>
      <c r="F25" s="11" t="n">
        <v>46749.33</v>
      </c>
      <c r="G25" s="11" t="n">
        <f aca="false">E25-F25</f>
        <v>14150.67</v>
      </c>
      <c r="H25" s="12" t="n">
        <f aca="false">IF(E25=0,0,F25/E25)</f>
        <v>0.767640886699507</v>
      </c>
    </row>
    <row r="26" customFormat="false" ht="15" hidden="false" customHeight="true" outlineLevel="0" collapsed="false">
      <c r="B26" s="5" t="s">
        <v>113</v>
      </c>
      <c r="C26" s="5" t="s">
        <v>114</v>
      </c>
      <c r="D26" s="11" t="n">
        <v>12000</v>
      </c>
      <c r="E26" s="11" t="n">
        <v>12000</v>
      </c>
      <c r="F26" s="11" t="n">
        <v>29343.46</v>
      </c>
      <c r="G26" s="11" t="n">
        <f aca="false">E26-F26</f>
        <v>-17343.46</v>
      </c>
      <c r="H26" s="12" t="n">
        <f aca="false">IF(E26=0,0,F26/E26)</f>
        <v>2.44528833333333</v>
      </c>
    </row>
    <row r="27" customFormat="false" ht="15" hidden="false" customHeight="true" outlineLevel="0" collapsed="false">
      <c r="B27" s="4" t="s">
        <v>115</v>
      </c>
      <c r="C27" s="4"/>
      <c r="D27" s="4"/>
      <c r="E27" s="4"/>
      <c r="F27" s="4"/>
      <c r="G27" s="4"/>
      <c r="H27" s="4"/>
    </row>
    <row r="28" customFormat="false" ht="15" hidden="false" customHeight="true" outlineLevel="0" collapsed="false">
      <c r="B28" s="5" t="s">
        <v>116</v>
      </c>
      <c r="C28" s="5" t="s">
        <v>117</v>
      </c>
      <c r="D28" s="11" t="n">
        <v>25125</v>
      </c>
      <c r="E28" s="11" t="n">
        <v>27425</v>
      </c>
      <c r="F28" s="11" t="n">
        <v>36287</v>
      </c>
      <c r="G28" s="11" t="n">
        <f aca="false">E28-F28</f>
        <v>-8862</v>
      </c>
      <c r="H28" s="12" t="n">
        <f aca="false">IF(E28=0,0,F28/E28)</f>
        <v>1.32313582497721</v>
      </c>
    </row>
    <row r="29" customFormat="false" ht="15" hidden="false" customHeight="true" outlineLevel="0" collapsed="false">
      <c r="B29" s="5" t="s">
        <v>118</v>
      </c>
      <c r="C29" s="5" t="s">
        <v>119</v>
      </c>
      <c r="D29" s="11" t="n">
        <v>2000</v>
      </c>
      <c r="E29" s="11" t="n">
        <v>2000</v>
      </c>
      <c r="F29" s="11" t="n">
        <v>7038.38</v>
      </c>
      <c r="G29" s="11" t="n">
        <f aca="false">E29-F29</f>
        <v>-5038.38</v>
      </c>
      <c r="H29" s="12" t="n">
        <f aca="false">IF(E29=0,0,F29/E29)</f>
        <v>3.51919</v>
      </c>
    </row>
    <row r="30" customFormat="false" ht="15" hidden="false" customHeight="true" outlineLevel="0" collapsed="false">
      <c r="B30" s="5" t="s">
        <v>120</v>
      </c>
      <c r="C30" s="5" t="s">
        <v>121</v>
      </c>
      <c r="D30" s="11" t="n">
        <v>5000</v>
      </c>
      <c r="E30" s="11" t="n">
        <v>5000</v>
      </c>
      <c r="F30" s="11" t="n">
        <v>10</v>
      </c>
      <c r="G30" s="11" t="n">
        <f aca="false">E30-F30</f>
        <v>4990</v>
      </c>
      <c r="H30" s="12" t="n">
        <f aca="false">IF(E30=0,0,F30/E30)</f>
        <v>0.002</v>
      </c>
    </row>
    <row r="31" customFormat="false" ht="15" hidden="false" customHeight="true" outlineLevel="0" collapsed="false">
      <c r="B31" s="4" t="s">
        <v>122</v>
      </c>
      <c r="C31" s="4"/>
      <c r="D31" s="4"/>
      <c r="E31" s="4"/>
      <c r="F31" s="4"/>
      <c r="G31" s="4"/>
      <c r="H31" s="4"/>
    </row>
    <row r="32" customFormat="false" ht="15" hidden="false" customHeight="true" outlineLevel="0" collapsed="false">
      <c r="B32" s="5" t="s">
        <v>123</v>
      </c>
      <c r="C32" s="5" t="s">
        <v>124</v>
      </c>
      <c r="D32" s="11" t="n">
        <v>183990.41</v>
      </c>
      <c r="E32" s="11" t="n">
        <v>206430.98</v>
      </c>
      <c r="F32" s="11" t="n">
        <v>249836.89</v>
      </c>
      <c r="G32" s="11" t="n">
        <f aca="false">E32-F32</f>
        <v>-43405.91</v>
      </c>
      <c r="H32" s="12" t="n">
        <f aca="false">IF(E32=0,0,F32/E32)</f>
        <v>1.21026839091691</v>
      </c>
    </row>
    <row r="33" customFormat="false" ht="15" hidden="false" customHeight="true" outlineLevel="0" collapsed="false">
      <c r="B33" s="5" t="s">
        <v>125</v>
      </c>
      <c r="C33" s="5" t="s">
        <v>126</v>
      </c>
      <c r="D33" s="11" t="n">
        <v>32468.9</v>
      </c>
      <c r="E33" s="11" t="n">
        <v>36371.93</v>
      </c>
      <c r="F33" s="11" t="n">
        <v>44881.34</v>
      </c>
      <c r="G33" s="11" t="n">
        <f aca="false">E33-F33</f>
        <v>-8509.41</v>
      </c>
      <c r="H33" s="12" t="n">
        <f aca="false">IF(E33=0,0,F33/E33)</f>
        <v>1.23395541561858</v>
      </c>
    </row>
    <row r="34" customFormat="false" ht="15" hidden="false" customHeight="true" outlineLevel="0" collapsed="false">
      <c r="B34" s="6" t="s">
        <v>38</v>
      </c>
      <c r="C34" s="6" t="s">
        <v>127</v>
      </c>
      <c r="D34" s="13" t="n">
        <v>1517629.31</v>
      </c>
      <c r="E34" s="13" t="n">
        <v>1623171.91</v>
      </c>
      <c r="F34" s="13" t="n">
        <v>1583004.56</v>
      </c>
      <c r="G34" s="13" t="n">
        <f aca="false">E34-F34</f>
        <v>40167.3499999999</v>
      </c>
      <c r="H34" s="14" t="n">
        <f aca="false">IF(E34=0,0,F34/E34)</f>
        <v>0.975253791818021</v>
      </c>
    </row>
    <row r="37" customFormat="false" ht="15" hidden="false" customHeight="true" outlineLevel="0" collapsed="false">
      <c r="B37" s="4" t="s">
        <v>62</v>
      </c>
      <c r="C37" s="4"/>
      <c r="D37" s="4"/>
      <c r="E37" s="4"/>
      <c r="F37" s="4"/>
      <c r="G37" s="4"/>
      <c r="H37" s="4"/>
    </row>
    <row r="38" customFormat="false" ht="15" hidden="false" customHeight="true" outlineLevel="0" collapsed="false">
      <c r="B38" s="3" t="s">
        <v>63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64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  <c r="H41" s="3"/>
    </row>
  </sheetData>
  <mergeCells count="10">
    <mergeCell ref="B2:H2"/>
    <mergeCell ref="B5:H5"/>
    <mergeCell ref="B17:H17"/>
    <mergeCell ref="B27:H27"/>
    <mergeCell ref="B31:H31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128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129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130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131</v>
      </c>
    </row>
    <row r="6" customFormat="false" ht="15" hidden="false" customHeight="true" outlineLevel="0" collapsed="false">
      <c r="B6" s="5" t="s">
        <v>34</v>
      </c>
      <c r="C6" s="15" t="n">
        <v>11</v>
      </c>
      <c r="D6" s="11" t="n">
        <v>479050</v>
      </c>
      <c r="E6" s="11" t="n">
        <v>583482.62</v>
      </c>
      <c r="F6" s="11" t="n">
        <f aca="false">D6-E6</f>
        <v>-104432.62</v>
      </c>
      <c r="G6" s="12" t="n">
        <f aca="false">IF(D6=0,0,E6/D6)</f>
        <v>1.21799941550986</v>
      </c>
      <c r="H6" s="12" t="n">
        <f aca="false">IF(1583004.56=0,0,E6/1583004.56)</f>
        <v>0.368591875692386</v>
      </c>
      <c r="I6" s="11" t="n">
        <f aca="false">IF(197=0,0,E6/197)</f>
        <v>2961.8407106599</v>
      </c>
    </row>
    <row r="7" customFormat="false" ht="15" hidden="false" customHeight="true" outlineLevel="0" collapsed="false">
      <c r="B7" s="5" t="s">
        <v>35</v>
      </c>
      <c r="C7" s="15" t="n">
        <v>9</v>
      </c>
      <c r="D7" s="11" t="n">
        <v>866894</v>
      </c>
      <c r="E7" s="11" t="n">
        <v>661468.33</v>
      </c>
      <c r="F7" s="11" t="n">
        <f aca="false">D7-E7</f>
        <v>205425.67</v>
      </c>
      <c r="G7" s="12" t="n">
        <f aca="false">IF(D7=0,0,E7/D7)</f>
        <v>0.763032539157037</v>
      </c>
      <c r="H7" s="12" t="n">
        <f aca="false">IF(1583004.56=0,0,E7/1583004.56)</f>
        <v>0.417856237887274</v>
      </c>
      <c r="I7" s="11" t="n">
        <f aca="false">IF(197=0,0,E7/197)</f>
        <v>3357.70725888325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34425</v>
      </c>
      <c r="E8" s="11" t="n">
        <v>43335.38</v>
      </c>
      <c r="F8" s="11" t="n">
        <f aca="false">D8-E8</f>
        <v>-8910.38</v>
      </c>
      <c r="G8" s="12" t="n">
        <f aca="false">IF(D8=0,0,E8/D8)</f>
        <v>1.25883456790123</v>
      </c>
      <c r="H8" s="12" t="n">
        <f aca="false">IF(1583004.56=0,0,E8/1583004.56)</f>
        <v>0.0273753980847661</v>
      </c>
      <c r="I8" s="11" t="n">
        <f aca="false">IF(197=0,0,E8/197)</f>
        <v>219.97654822335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242802.91</v>
      </c>
      <c r="E9" s="11" t="n">
        <v>294718.23</v>
      </c>
      <c r="F9" s="11" t="n">
        <f aca="false">D9-E9</f>
        <v>-51915.32</v>
      </c>
      <c r="G9" s="12" t="n">
        <f aca="false">IF(D9=0,0,E9/D9)</f>
        <v>1.21381671249327</v>
      </c>
      <c r="H9" s="12" t="n">
        <f aca="false">IF(1583004.56=0,0,E9/1583004.56)</f>
        <v>0.186176488335574</v>
      </c>
      <c r="I9" s="11" t="n">
        <f aca="false">IF(197=0,0,E9/197)</f>
        <v>1496.03162436548</v>
      </c>
    </row>
    <row r="12" customFormat="false" ht="15" hidden="false" customHeight="true" outlineLevel="0" collapsed="false">
      <c r="B12" s="4" t="s">
        <v>132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68</v>
      </c>
      <c r="C13" s="10" t="s">
        <v>69</v>
      </c>
      <c r="D13" s="10" t="s">
        <v>71</v>
      </c>
      <c r="E13" s="10" t="s">
        <v>30</v>
      </c>
      <c r="F13" s="10" t="s">
        <v>133</v>
      </c>
      <c r="G13" s="10" t="s">
        <v>134</v>
      </c>
    </row>
    <row r="14" customFormat="false" ht="15" hidden="false" customHeight="true" outlineLevel="0" collapsed="false">
      <c r="B14" s="5" t="s">
        <v>86</v>
      </c>
      <c r="C14" s="5" t="s">
        <v>87</v>
      </c>
      <c r="D14" s="11" t="n">
        <v>261060</v>
      </c>
      <c r="E14" s="11" t="n">
        <v>387658.09</v>
      </c>
      <c r="F14" s="11" t="n">
        <f aca="false">E14-D14</f>
        <v>126598.09</v>
      </c>
      <c r="G14" s="12" t="n">
        <f aca="false">IF(D14=0,0,F14/D14)</f>
        <v>0.484938673101969</v>
      </c>
    </row>
    <row r="15" customFormat="false" ht="15" hidden="false" customHeight="true" outlineLevel="0" collapsed="false">
      <c r="B15" s="5" t="s">
        <v>123</v>
      </c>
      <c r="C15" s="5" t="s">
        <v>124</v>
      </c>
      <c r="D15" s="11" t="n">
        <v>206430.98</v>
      </c>
      <c r="E15" s="11" t="n">
        <v>249836.89</v>
      </c>
      <c r="F15" s="11" t="n">
        <f aca="false">E15-D15</f>
        <v>43405.91</v>
      </c>
      <c r="G15" s="12" t="n">
        <f aca="false">IF(D15=0,0,F15/D15)</f>
        <v>0.210268390916906</v>
      </c>
    </row>
    <row r="16" customFormat="false" ht="15" hidden="false" customHeight="true" outlineLevel="0" collapsed="false">
      <c r="B16" s="5" t="s">
        <v>113</v>
      </c>
      <c r="C16" s="5" t="s">
        <v>114</v>
      </c>
      <c r="D16" s="11" t="n">
        <v>12000</v>
      </c>
      <c r="E16" s="11" t="n">
        <v>29343.46</v>
      </c>
      <c r="F16" s="11" t="n">
        <f aca="false">E16-D16</f>
        <v>17343.46</v>
      </c>
      <c r="G16" s="12" t="n">
        <f aca="false">IF(D16=0,0,F16/D16)</f>
        <v>1.44528833333333</v>
      </c>
    </row>
    <row r="17" customFormat="false" ht="15" hidden="false" customHeight="true" outlineLevel="0" collapsed="false">
      <c r="B17" s="5" t="s">
        <v>116</v>
      </c>
      <c r="C17" s="5" t="s">
        <v>117</v>
      </c>
      <c r="D17" s="11" t="n">
        <v>27425</v>
      </c>
      <c r="E17" s="11" t="n">
        <v>36287</v>
      </c>
      <c r="F17" s="11" t="n">
        <f aca="false">E17-D17</f>
        <v>8862</v>
      </c>
      <c r="G17" s="12" t="n">
        <f aca="false">IF(D17=0,0,F17/D17)</f>
        <v>0.323135824977211</v>
      </c>
    </row>
    <row r="18" customFormat="false" ht="15" hidden="false" customHeight="true" outlineLevel="0" collapsed="false">
      <c r="B18" s="5" t="s">
        <v>125</v>
      </c>
      <c r="C18" s="5" t="s">
        <v>126</v>
      </c>
      <c r="D18" s="11" t="n">
        <v>36371.93</v>
      </c>
      <c r="E18" s="11" t="n">
        <v>44881.34</v>
      </c>
      <c r="F18" s="11" t="n">
        <f aca="false">E18-D18</f>
        <v>8509.41</v>
      </c>
      <c r="G18" s="12" t="n">
        <f aca="false">IF(D18=0,0,F18/D18)</f>
        <v>0.233955415618583</v>
      </c>
    </row>
    <row r="19" customFormat="false" ht="15" hidden="false" customHeight="true" outlineLevel="0" collapsed="false">
      <c r="B19" s="5" t="s">
        <v>118</v>
      </c>
      <c r="C19" s="5" t="s">
        <v>119</v>
      </c>
      <c r="D19" s="11" t="n">
        <v>2000</v>
      </c>
      <c r="E19" s="11" t="n">
        <v>7038.38</v>
      </c>
      <c r="F19" s="11" t="n">
        <f aca="false">E19-D19</f>
        <v>5038.38</v>
      </c>
      <c r="G19" s="12" t="n">
        <f aca="false">IF(D19=0,0,F19/D19)</f>
        <v>2.51919</v>
      </c>
    </row>
    <row r="20" customFormat="false" ht="15" hidden="false" customHeight="true" outlineLevel="0" collapsed="false">
      <c r="B20" s="5" t="s">
        <v>92</v>
      </c>
      <c r="C20" s="5" t="s">
        <v>93</v>
      </c>
      <c r="D20" s="11" t="n">
        <v>35505</v>
      </c>
      <c r="E20" s="11" t="n">
        <v>37466.75</v>
      </c>
      <c r="F20" s="11" t="n">
        <f aca="false">E20-D20</f>
        <v>1961.75</v>
      </c>
      <c r="G20" s="12" t="n">
        <f aca="false">IF(D20=0,0,F20/D20)</f>
        <v>0.0552527812984087</v>
      </c>
    </row>
    <row r="21" customFormat="false" ht="15" hidden="false" customHeight="true" outlineLevel="0" collapsed="false">
      <c r="B21" s="5" t="s">
        <v>76</v>
      </c>
      <c r="C21" s="5" t="s">
        <v>77</v>
      </c>
      <c r="D21" s="11" t="n">
        <v>15790</v>
      </c>
      <c r="E21" s="11" t="n">
        <v>16582.5</v>
      </c>
      <c r="F21" s="11" t="n">
        <f aca="false">E21-D21</f>
        <v>792.5</v>
      </c>
      <c r="G21" s="12" t="n">
        <f aca="false">IF(D21=0,0,F21/D21)</f>
        <v>0.0501899936668778</v>
      </c>
    </row>
    <row r="22" customFormat="false" ht="15" hidden="false" customHeight="true" outlineLevel="0" collapsed="false">
      <c r="B22" s="5" t="s">
        <v>109</v>
      </c>
      <c r="C22" s="5" t="s">
        <v>110</v>
      </c>
      <c r="D22" s="11" t="n">
        <v>6250</v>
      </c>
      <c r="E22" s="11" t="n">
        <v>6984.66</v>
      </c>
      <c r="F22" s="11" t="n">
        <f aca="false">E22-D22</f>
        <v>734.66</v>
      </c>
      <c r="G22" s="12" t="n">
        <f aca="false">IF(D22=0,0,F22/D22)</f>
        <v>0.1175456</v>
      </c>
    </row>
    <row r="23" customFormat="false" ht="15" hidden="false" customHeight="true" outlineLevel="0" collapsed="false">
      <c r="B23" s="5" t="s">
        <v>94</v>
      </c>
      <c r="C23" s="5" t="s">
        <v>95</v>
      </c>
      <c r="D23" s="11" t="n">
        <v>8650</v>
      </c>
      <c r="E23" s="11" t="n">
        <v>8975</v>
      </c>
      <c r="F23" s="11" t="n">
        <f aca="false">E23-D23</f>
        <v>325</v>
      </c>
      <c r="G23" s="12" t="n">
        <f aca="false">IF(D23=0,0,F23/D23)</f>
        <v>0.0375722543352601</v>
      </c>
    </row>
    <row r="26" customFormat="false" ht="15" hidden="false" customHeight="true" outlineLevel="0" collapsed="false">
      <c r="B26" s="4" t="s">
        <v>135</v>
      </c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B27" s="10" t="s">
        <v>68</v>
      </c>
      <c r="C27" s="10" t="s">
        <v>69</v>
      </c>
      <c r="D27" s="10" t="s">
        <v>71</v>
      </c>
      <c r="E27" s="10" t="s">
        <v>30</v>
      </c>
      <c r="F27" s="10" t="s">
        <v>136</v>
      </c>
      <c r="G27" s="10" t="s">
        <v>137</v>
      </c>
    </row>
    <row r="28" customFormat="false" ht="15" hidden="false" customHeight="true" outlineLevel="0" collapsed="false">
      <c r="B28" s="5" t="s">
        <v>107</v>
      </c>
      <c r="C28" s="5" t="s">
        <v>108</v>
      </c>
      <c r="D28" s="11" t="n">
        <v>483149</v>
      </c>
      <c r="E28" s="11" t="n">
        <v>337546.71</v>
      </c>
      <c r="F28" s="11" t="n">
        <f aca="false">D28-E28</f>
        <v>145602.29</v>
      </c>
      <c r="G28" s="12" t="n">
        <f aca="false">IF(D28=0,0,F28/D28)</f>
        <v>0.301361050110835</v>
      </c>
    </row>
    <row r="29" customFormat="false" ht="15" hidden="false" customHeight="true" outlineLevel="0" collapsed="false">
      <c r="B29" s="5" t="s">
        <v>105</v>
      </c>
      <c r="C29" s="5" t="s">
        <v>106</v>
      </c>
      <c r="D29" s="11" t="n">
        <v>212365</v>
      </c>
      <c r="E29" s="11" t="n">
        <v>176561.56</v>
      </c>
      <c r="F29" s="11" t="n">
        <f aca="false">D29-E29</f>
        <v>35803.44</v>
      </c>
      <c r="G29" s="12" t="n">
        <f aca="false">IF(D29=0,0,F29/D29)</f>
        <v>0.168593883172839</v>
      </c>
    </row>
    <row r="30" customFormat="false" ht="15" hidden="false" customHeight="true" outlineLevel="0" collapsed="false">
      <c r="B30" s="5" t="s">
        <v>99</v>
      </c>
      <c r="C30" s="5" t="s">
        <v>100</v>
      </c>
      <c r="D30" s="11" t="n">
        <v>63870</v>
      </c>
      <c r="E30" s="11" t="n">
        <v>41623.99</v>
      </c>
      <c r="F30" s="11" t="n">
        <f aca="false">D30-E30</f>
        <v>22246.01</v>
      </c>
      <c r="G30" s="12" t="n">
        <f aca="false">IF(D30=0,0,F30/D30)</f>
        <v>0.348301393455456</v>
      </c>
    </row>
    <row r="31" customFormat="false" ht="15" hidden="false" customHeight="true" outlineLevel="0" collapsed="false">
      <c r="B31" s="5" t="s">
        <v>80</v>
      </c>
      <c r="C31" s="5" t="s">
        <v>81</v>
      </c>
      <c r="D31" s="11" t="n">
        <v>67410</v>
      </c>
      <c r="E31" s="11" t="n">
        <v>50128.5</v>
      </c>
      <c r="F31" s="11" t="n">
        <f aca="false">D31-E31</f>
        <v>17281.5</v>
      </c>
      <c r="G31" s="12" t="n">
        <f aca="false">IF(D31=0,0,F31/D31)</f>
        <v>0.25636404094348</v>
      </c>
    </row>
    <row r="32" customFormat="false" ht="15" hidden="false" customHeight="true" outlineLevel="0" collapsed="false">
      <c r="B32" s="5" t="s">
        <v>111</v>
      </c>
      <c r="C32" s="5" t="s">
        <v>112</v>
      </c>
      <c r="D32" s="11" t="n">
        <v>60900</v>
      </c>
      <c r="E32" s="11" t="n">
        <v>46749.33</v>
      </c>
      <c r="F32" s="11" t="n">
        <f aca="false">D32-E32</f>
        <v>14150.67</v>
      </c>
      <c r="G32" s="12" t="n">
        <f aca="false">IF(D32=0,0,F32/D32)</f>
        <v>0.232359113300493</v>
      </c>
    </row>
    <row r="33" customFormat="false" ht="15" hidden="false" customHeight="true" outlineLevel="0" collapsed="false">
      <c r="B33" s="5" t="s">
        <v>74</v>
      </c>
      <c r="C33" s="5" t="s">
        <v>75</v>
      </c>
      <c r="D33" s="11" t="n">
        <v>12360</v>
      </c>
      <c r="E33" s="11" t="n">
        <v>7355</v>
      </c>
      <c r="F33" s="11" t="n">
        <f aca="false">D33-E33</f>
        <v>5005</v>
      </c>
      <c r="G33" s="12" t="n">
        <f aca="false">IF(D33=0,0,F33/D33)</f>
        <v>0.404935275080906</v>
      </c>
    </row>
    <row r="34" customFormat="false" ht="15" hidden="false" customHeight="true" outlineLevel="0" collapsed="false">
      <c r="B34" s="5" t="s">
        <v>120</v>
      </c>
      <c r="C34" s="5" t="s">
        <v>121</v>
      </c>
      <c r="D34" s="11" t="n">
        <v>5000</v>
      </c>
      <c r="E34" s="11" t="n">
        <v>10</v>
      </c>
      <c r="F34" s="11" t="n">
        <f aca="false">D34-E34</f>
        <v>4990</v>
      </c>
      <c r="G34" s="12" t="n">
        <f aca="false">IF(D34=0,0,F34/D34)</f>
        <v>0.998</v>
      </c>
    </row>
    <row r="35" customFormat="false" ht="15" hidden="false" customHeight="true" outlineLevel="0" collapsed="false">
      <c r="B35" s="5" t="s">
        <v>101</v>
      </c>
      <c r="C35" s="5" t="s">
        <v>102</v>
      </c>
      <c r="D35" s="11" t="n">
        <v>17700</v>
      </c>
      <c r="E35" s="11" t="n">
        <v>13825.36</v>
      </c>
      <c r="F35" s="11" t="n">
        <f aca="false">D35-E35</f>
        <v>3874.64</v>
      </c>
      <c r="G35" s="12" t="n">
        <f aca="false">IF(D35=0,0,F35/D35)</f>
        <v>0.218906214689266</v>
      </c>
    </row>
    <row r="36" customFormat="false" ht="15" hidden="false" customHeight="true" outlineLevel="0" collapsed="false">
      <c r="B36" s="5" t="s">
        <v>82</v>
      </c>
      <c r="C36" s="5" t="s">
        <v>83</v>
      </c>
      <c r="D36" s="11" t="n">
        <v>12860</v>
      </c>
      <c r="E36" s="11" t="n">
        <v>10087.5</v>
      </c>
      <c r="F36" s="11" t="n">
        <f aca="false">D36-E36</f>
        <v>2772.5</v>
      </c>
      <c r="G36" s="12" t="n">
        <f aca="false">IF(D36=0,0,F36/D36)</f>
        <v>0.215590979782271</v>
      </c>
    </row>
    <row r="37" customFormat="false" ht="15" hidden="false" customHeight="true" outlineLevel="0" collapsed="false">
      <c r="B37" s="5" t="s">
        <v>97</v>
      </c>
      <c r="C37" s="5" t="s">
        <v>98</v>
      </c>
      <c r="D37" s="11" t="n">
        <v>9385</v>
      </c>
      <c r="E37" s="11" t="n">
        <v>7557.66</v>
      </c>
      <c r="F37" s="11" t="n">
        <f aca="false">D37-E37</f>
        <v>1827.34</v>
      </c>
      <c r="G37" s="12" t="n">
        <f aca="false">IF(D37=0,0,F37/D37)</f>
        <v>0.194708577517315</v>
      </c>
    </row>
    <row r="40" customFormat="false" ht="15" hidden="false" customHeight="true" outlineLevel="0" collapsed="false">
      <c r="B40" s="4" t="s">
        <v>62</v>
      </c>
      <c r="C40" s="4"/>
      <c r="D40" s="4"/>
      <c r="E40" s="4"/>
      <c r="F40" s="4"/>
      <c r="G40" s="4"/>
      <c r="H40" s="4"/>
      <c r="I40" s="4"/>
    </row>
    <row r="41" customFormat="false" ht="15" hidden="false" customHeight="true" outlineLevel="0" collapsed="false">
      <c r="B41" s="3" t="s">
        <v>63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64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65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66</v>
      </c>
      <c r="C44" s="3"/>
      <c r="D44" s="3"/>
      <c r="E44" s="3"/>
      <c r="F44" s="3"/>
      <c r="G44" s="3"/>
      <c r="H44" s="3"/>
      <c r="I44" s="3"/>
    </row>
  </sheetData>
  <mergeCells count="9">
    <mergeCell ref="B2:I2"/>
    <mergeCell ref="B4:I4"/>
    <mergeCell ref="B12:I12"/>
    <mergeCell ref="B26:I26"/>
    <mergeCell ref="B40:I40"/>
    <mergeCell ref="B41:I41"/>
    <mergeCell ref="B42:I42"/>
    <mergeCell ref="B43:I43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138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139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140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68</v>
      </c>
      <c r="C6" s="10" t="s">
        <v>69</v>
      </c>
      <c r="D6" s="10" t="s">
        <v>71</v>
      </c>
      <c r="E6" s="10" t="s">
        <v>30</v>
      </c>
      <c r="F6" s="10" t="s">
        <v>31</v>
      </c>
      <c r="G6" s="10" t="s">
        <v>72</v>
      </c>
      <c r="H6" s="10" t="s">
        <v>141</v>
      </c>
      <c r="I6" s="10" t="s">
        <v>131</v>
      </c>
    </row>
    <row r="7" customFormat="false" ht="15" hidden="false" customHeight="true" outlineLevel="0" collapsed="false">
      <c r="B7" s="5" t="s">
        <v>97</v>
      </c>
      <c r="C7" s="5" t="s">
        <v>98</v>
      </c>
      <c r="D7" s="11" t="n">
        <v>9385</v>
      </c>
      <c r="E7" s="11" t="n">
        <v>7557.66</v>
      </c>
      <c r="F7" s="11" t="n">
        <f aca="false">D7-E7</f>
        <v>1827.34</v>
      </c>
      <c r="G7" s="12" t="n">
        <f aca="false">IF(D7=0,0,E7/D7)</f>
        <v>0.805291422482685</v>
      </c>
      <c r="H7" s="12" t="n">
        <f aca="false">IF(661468.33=0,0,E7/661468.33)</f>
        <v>0.0114255810251717</v>
      </c>
      <c r="I7" s="11" t="n">
        <f aca="false">IF(197=0,0,E7/197)</f>
        <v>38.3637563451777</v>
      </c>
    </row>
    <row r="8" customFormat="false" ht="15" hidden="false" customHeight="true" outlineLevel="0" collapsed="false">
      <c r="B8" s="5" t="s">
        <v>99</v>
      </c>
      <c r="C8" s="5" t="s">
        <v>100</v>
      </c>
      <c r="D8" s="11" t="n">
        <v>63870</v>
      </c>
      <c r="E8" s="11" t="n">
        <v>41623.99</v>
      </c>
      <c r="F8" s="11" t="n">
        <f aca="false">D8-E8</f>
        <v>22246.01</v>
      </c>
      <c r="G8" s="12" t="n">
        <f aca="false">IF(D8=0,0,E8/D8)</f>
        <v>0.651698606544544</v>
      </c>
      <c r="H8" s="12" t="n">
        <f aca="false">IF(661468.33=0,0,E8/661468.33)</f>
        <v>0.0629266559141237</v>
      </c>
      <c r="I8" s="11" t="n">
        <f aca="false">IF(197=0,0,E8/197)</f>
        <v>211.289289340102</v>
      </c>
    </row>
    <row r="9" customFormat="false" ht="15" hidden="false" customHeight="true" outlineLevel="0" collapsed="false">
      <c r="B9" s="5" t="s">
        <v>101</v>
      </c>
      <c r="C9" s="5" t="s">
        <v>102</v>
      </c>
      <c r="D9" s="11" t="n">
        <v>17700</v>
      </c>
      <c r="E9" s="11" t="n">
        <v>13825.36</v>
      </c>
      <c r="F9" s="11" t="n">
        <f aca="false">D9-E9</f>
        <v>3874.64</v>
      </c>
      <c r="G9" s="12" t="n">
        <f aca="false">IF(D9=0,0,E9/D9)</f>
        <v>0.781093785310735</v>
      </c>
      <c r="H9" s="12" t="n">
        <f aca="false">IF(661468.33=0,0,E9/661468.33)</f>
        <v>0.0209010157750107</v>
      </c>
      <c r="I9" s="11" t="n">
        <f aca="false">IF(197=0,0,E9/197)</f>
        <v>70.1794923857868</v>
      </c>
    </row>
    <row r="10" customFormat="false" ht="15" hidden="false" customHeight="true" outlineLevel="0" collapsed="false">
      <c r="B10" s="5" t="s">
        <v>103</v>
      </c>
      <c r="C10" s="5" t="s">
        <v>104</v>
      </c>
      <c r="D10" s="11" t="n">
        <v>1275</v>
      </c>
      <c r="E10" s="11" t="n">
        <v>1275.6</v>
      </c>
      <c r="F10" s="11" t="n">
        <f aca="false">D10-E10</f>
        <v>-0.599999999999909</v>
      </c>
      <c r="G10" s="12" t="n">
        <f aca="false">IF(D10=0,0,E10/D10)</f>
        <v>1.00047058823529</v>
      </c>
      <c r="H10" s="12" t="n">
        <f aca="false">IF(661468.33=0,0,E10/661468.33)</f>
        <v>0.00192843699712729</v>
      </c>
      <c r="I10" s="11" t="n">
        <f aca="false">IF(197=0,0,E10/197)</f>
        <v>6.4751269035533</v>
      </c>
    </row>
    <row r="11" customFormat="false" ht="15" hidden="false" customHeight="true" outlineLevel="0" collapsed="false">
      <c r="B11" s="5" t="s">
        <v>105</v>
      </c>
      <c r="C11" s="5" t="s">
        <v>106</v>
      </c>
      <c r="D11" s="11" t="n">
        <v>212365</v>
      </c>
      <c r="E11" s="11" t="n">
        <v>176561.56</v>
      </c>
      <c r="F11" s="11" t="n">
        <f aca="false">D11-E11</f>
        <v>35803.44</v>
      </c>
      <c r="G11" s="12" t="n">
        <f aca="false">IF(D11=0,0,E11/D11)</f>
        <v>0.831406116827161</v>
      </c>
      <c r="H11" s="12" t="n">
        <f aca="false">IF(661468.33=0,0,E11/661468.33)</f>
        <v>0.266923678719433</v>
      </c>
      <c r="I11" s="11" t="n">
        <f aca="false">IF(197=0,0,E11/197)</f>
        <v>896.251573604061</v>
      </c>
    </row>
    <row r="12" customFormat="false" ht="15" hidden="false" customHeight="true" outlineLevel="0" collapsed="false">
      <c r="B12" s="5" t="s">
        <v>107</v>
      </c>
      <c r="C12" s="5" t="s">
        <v>108</v>
      </c>
      <c r="D12" s="11" t="n">
        <v>483149</v>
      </c>
      <c r="E12" s="11" t="n">
        <v>337546.71</v>
      </c>
      <c r="F12" s="11" t="n">
        <f aca="false">D12-E12</f>
        <v>145602.29</v>
      </c>
      <c r="G12" s="12" t="n">
        <f aca="false">IF(D12=0,0,E12/D12)</f>
        <v>0.698638949889165</v>
      </c>
      <c r="H12" s="12" t="n">
        <f aca="false">IF(661468.33=0,0,E12/661468.33)</f>
        <v>0.510299124978516</v>
      </c>
      <c r="I12" s="11" t="n">
        <f aca="false">IF(197=0,0,E12/197)</f>
        <v>1713.43507614213</v>
      </c>
    </row>
    <row r="13" customFormat="false" ht="15" hidden="false" customHeight="true" outlineLevel="0" collapsed="false">
      <c r="B13" s="5" t="s">
        <v>109</v>
      </c>
      <c r="C13" s="5" t="s">
        <v>110</v>
      </c>
      <c r="D13" s="11" t="n">
        <v>6250</v>
      </c>
      <c r="E13" s="11" t="n">
        <v>6984.66</v>
      </c>
      <c r="F13" s="11" t="n">
        <f aca="false">D13-E13</f>
        <v>-734.66</v>
      </c>
      <c r="G13" s="12" t="n">
        <f aca="false">IF(D13=0,0,E13/D13)</f>
        <v>1.1175456</v>
      </c>
      <c r="H13" s="12" t="n">
        <f aca="false">IF(661468.33=0,0,E13/661468.33)</f>
        <v>0.0105593264004038</v>
      </c>
      <c r="I13" s="11" t="n">
        <f aca="false">IF(197=0,0,E13/197)</f>
        <v>35.4551269035533</v>
      </c>
    </row>
    <row r="14" customFormat="false" ht="15" hidden="false" customHeight="true" outlineLevel="0" collapsed="false">
      <c r="B14" s="5" t="s">
        <v>111</v>
      </c>
      <c r="C14" s="5" t="s">
        <v>112</v>
      </c>
      <c r="D14" s="11" t="n">
        <v>60900</v>
      </c>
      <c r="E14" s="11" t="n">
        <v>46749.33</v>
      </c>
      <c r="F14" s="11" t="n">
        <f aca="false">D14-E14</f>
        <v>14150.67</v>
      </c>
      <c r="G14" s="12" t="n">
        <f aca="false">IF(D14=0,0,E14/D14)</f>
        <v>0.767640886699507</v>
      </c>
      <c r="H14" s="12" t="n">
        <f aca="false">IF(661468.33=0,0,E14/661468.33)</f>
        <v>0.070675084323387</v>
      </c>
      <c r="I14" s="11" t="n">
        <f aca="false">IF(197=0,0,E14/197)</f>
        <v>237.306243654822</v>
      </c>
    </row>
    <row r="15" customFormat="false" ht="15" hidden="false" customHeight="true" outlineLevel="0" collapsed="false">
      <c r="B15" s="5" t="s">
        <v>113</v>
      </c>
      <c r="C15" s="5" t="s">
        <v>114</v>
      </c>
      <c r="D15" s="11" t="n">
        <v>12000</v>
      </c>
      <c r="E15" s="11" t="n">
        <v>29343.46</v>
      </c>
      <c r="F15" s="11" t="n">
        <f aca="false">D15-E15</f>
        <v>-17343.46</v>
      </c>
      <c r="G15" s="12" t="n">
        <f aca="false">IF(D15=0,0,E15/D15)</f>
        <v>2.44528833333333</v>
      </c>
      <c r="H15" s="12" t="n">
        <f aca="false">IF(661468.33=0,0,E15/661468.33)</f>
        <v>0.0443610958668271</v>
      </c>
      <c r="I15" s="11" t="n">
        <f aca="false">IF(197=0,0,E15/197)</f>
        <v>148.951573604061</v>
      </c>
    </row>
    <row r="16" customFormat="false" ht="15" hidden="false" customHeight="true" outlineLevel="0" collapsed="false">
      <c r="B16" s="6" t="s">
        <v>38</v>
      </c>
      <c r="C16" s="6" t="s">
        <v>142</v>
      </c>
      <c r="D16" s="13" t="n">
        <f aca="false">SUM(D7:D15)</f>
        <v>866894</v>
      </c>
      <c r="E16" s="13" t="n">
        <f aca="false">SUM(E7:E15)</f>
        <v>661468.33</v>
      </c>
      <c r="F16" s="13" t="n">
        <f aca="false">D16-E16</f>
        <v>205425.67</v>
      </c>
      <c r="G16" s="14" t="n">
        <f aca="false">IF(D16=0,0,E16/D16)</f>
        <v>0.763032539157037</v>
      </c>
      <c r="H16" s="14" t="n">
        <v>1</v>
      </c>
      <c r="I16" s="13" t="n">
        <f aca="false">IF(197=0,0,E16/197)</f>
        <v>3357.70725888325</v>
      </c>
    </row>
    <row r="19" customFormat="false" ht="15" hidden="false" customHeight="true" outlineLevel="0" collapsed="false">
      <c r="B19" s="4" t="s">
        <v>143</v>
      </c>
      <c r="C19" s="4"/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B20" s="10" t="s">
        <v>144</v>
      </c>
      <c r="C20" s="10" t="s">
        <v>145</v>
      </c>
      <c r="D20" s="10" t="s">
        <v>146</v>
      </c>
      <c r="E20" s="10" t="s">
        <v>147</v>
      </c>
      <c r="F20" s="10"/>
      <c r="G20" s="10"/>
      <c r="H20" s="10"/>
      <c r="I20" s="10" t="s">
        <v>148</v>
      </c>
    </row>
    <row r="21" customFormat="false" ht="15" hidden="false" customHeight="true" outlineLevel="0" collapsed="false">
      <c r="B21" s="5" t="s">
        <v>149</v>
      </c>
      <c r="C21" s="15" t="n">
        <v>89</v>
      </c>
      <c r="D21" s="11" t="n">
        <v>192671.23</v>
      </c>
      <c r="E21" s="12" t="n">
        <f aca="false">IF(741273.37=0,0,D21/741273.37)</f>
        <v>0.259919265681971</v>
      </c>
      <c r="I21" s="11" t="n">
        <f aca="false">IF(C21=0,0,D21/C21)</f>
        <v>2164.84528089888</v>
      </c>
    </row>
    <row r="22" customFormat="false" ht="15" hidden="false" customHeight="true" outlineLevel="0" collapsed="false">
      <c r="B22" s="5" t="s">
        <v>150</v>
      </c>
      <c r="C22" s="15" t="n">
        <v>80</v>
      </c>
      <c r="D22" s="11" t="n">
        <v>153391.68</v>
      </c>
      <c r="E22" s="12" t="n">
        <f aca="false">IF(741273.37=0,0,D22/741273.37)</f>
        <v>0.206929975104866</v>
      </c>
      <c r="I22" s="11" t="n">
        <f aca="false">IF(C22=0,0,D22/C22)</f>
        <v>1917.396</v>
      </c>
    </row>
    <row r="23" customFormat="false" ht="15" hidden="false" customHeight="true" outlineLevel="0" collapsed="false">
      <c r="B23" s="5" t="s">
        <v>151</v>
      </c>
      <c r="C23" s="15" t="n">
        <v>82</v>
      </c>
      <c r="D23" s="11" t="n">
        <v>127204.94</v>
      </c>
      <c r="E23" s="12" t="n">
        <f aca="false">IF(741273.37=0,0,D23/741273.37)</f>
        <v>0.171603277748936</v>
      </c>
      <c r="I23" s="11" t="n">
        <f aca="false">IF(C23=0,0,D23/C23)</f>
        <v>1551.27975609756</v>
      </c>
    </row>
    <row r="24" customFormat="false" ht="15" hidden="false" customHeight="true" outlineLevel="0" collapsed="false">
      <c r="B24" s="5" t="s">
        <v>152</v>
      </c>
      <c r="C24" s="15" t="n">
        <v>3</v>
      </c>
      <c r="D24" s="11" t="n">
        <v>67768.3</v>
      </c>
      <c r="E24" s="12" t="n">
        <f aca="false">IF(741273.37=0,0,D24/741273.37)</f>
        <v>0.0914214684388298</v>
      </c>
      <c r="I24" s="11" t="n">
        <f aca="false">IF(C24=0,0,D24/C24)</f>
        <v>22589.4333333333</v>
      </c>
    </row>
    <row r="25" customFormat="false" ht="15" hidden="false" customHeight="true" outlineLevel="0" collapsed="false">
      <c r="B25" s="5" t="s">
        <v>153</v>
      </c>
      <c r="C25" s="15" t="n">
        <v>11</v>
      </c>
      <c r="D25" s="11" t="n">
        <v>44962.5</v>
      </c>
      <c r="E25" s="12" t="n">
        <f aca="false">IF(741273.37=0,0,D25/741273.37)</f>
        <v>0.0606557605057362</v>
      </c>
      <c r="I25" s="11" t="n">
        <f aca="false">IF(C25=0,0,D25/C25)</f>
        <v>4087.5</v>
      </c>
    </row>
    <row r="26" customFormat="false" ht="15" hidden="false" customHeight="true" outlineLevel="0" collapsed="false">
      <c r="B26" s="5" t="s">
        <v>154</v>
      </c>
      <c r="C26" s="15" t="n">
        <v>5</v>
      </c>
      <c r="D26" s="11" t="n">
        <v>31310</v>
      </c>
      <c r="E26" s="12" t="n">
        <f aca="false">IF(741273.37=0,0,D26/741273.37)</f>
        <v>0.0422381286946812</v>
      </c>
      <c r="I26" s="11" t="n">
        <f aca="false">IF(C26=0,0,D26/C26)</f>
        <v>6262</v>
      </c>
    </row>
    <row r="27" customFormat="false" ht="15" hidden="false" customHeight="true" outlineLevel="0" collapsed="false">
      <c r="B27" s="5" t="s">
        <v>155</v>
      </c>
      <c r="C27" s="15" t="n">
        <v>4</v>
      </c>
      <c r="D27" s="11" t="n">
        <v>30250</v>
      </c>
      <c r="E27" s="12" t="n">
        <f aca="false">IF(741273.37=0,0,D27/741273.37)</f>
        <v>0.0408081569151742</v>
      </c>
      <c r="I27" s="11" t="n">
        <f aca="false">IF(C27=0,0,D27/C27)</f>
        <v>7562.5</v>
      </c>
    </row>
    <row r="28" customFormat="false" ht="15" hidden="false" customHeight="true" outlineLevel="0" collapsed="false">
      <c r="B28" s="5" t="s">
        <v>156</v>
      </c>
      <c r="C28" s="15" t="n">
        <v>22</v>
      </c>
      <c r="D28" s="11" t="n">
        <v>26432.13</v>
      </c>
      <c r="E28" s="12" t="n">
        <f aca="false">IF(741273.37=0,0,D28/741273.37)</f>
        <v>0.0356577358228854</v>
      </c>
      <c r="I28" s="11" t="n">
        <f aca="false">IF(C28=0,0,D28/C28)</f>
        <v>1201.46045454545</v>
      </c>
    </row>
    <row r="29" customFormat="false" ht="15" hidden="false" customHeight="true" outlineLevel="0" collapsed="false">
      <c r="B29" s="5" t="s">
        <v>157</v>
      </c>
      <c r="C29" s="15" t="n">
        <v>6</v>
      </c>
      <c r="D29" s="11" t="n">
        <v>23106</v>
      </c>
      <c r="E29" s="12" t="n">
        <f aca="false">IF(741273.37=0,0,D29/741273.37)</f>
        <v>0.0311706867332898</v>
      </c>
      <c r="I29" s="11" t="n">
        <f aca="false">IF(C29=0,0,D29/C29)</f>
        <v>3851</v>
      </c>
    </row>
    <row r="30" customFormat="false" ht="15" hidden="false" customHeight="true" outlineLevel="0" collapsed="false">
      <c r="B30" s="5" t="s">
        <v>158</v>
      </c>
      <c r="C30" s="15" t="n">
        <v>7</v>
      </c>
      <c r="D30" s="11" t="n">
        <v>12653</v>
      </c>
      <c r="E30" s="12" t="n">
        <f aca="false">IF(741273.37=0,0,D30/741273.37)</f>
        <v>0.0170692763453785</v>
      </c>
      <c r="I30" s="11" t="n">
        <f aca="false">IF(C30=0,0,D30/C30)</f>
        <v>1807.57142857143</v>
      </c>
    </row>
    <row r="31" customFormat="false" ht="15" hidden="false" customHeight="true" outlineLevel="0" collapsed="false">
      <c r="B31" s="5" t="s">
        <v>159</v>
      </c>
      <c r="C31" s="15" t="n">
        <v>6</v>
      </c>
      <c r="D31" s="11" t="n">
        <v>8279</v>
      </c>
      <c r="E31" s="12" t="n">
        <f aca="false">IF(741273.37=0,0,D31/741273.37)</f>
        <v>0.0111686192099414</v>
      </c>
      <c r="I31" s="11" t="n">
        <f aca="false">IF(C31=0,0,D31/C31)</f>
        <v>1379.83333333333</v>
      </c>
    </row>
    <row r="32" customFormat="false" ht="15" hidden="false" customHeight="true" outlineLevel="0" collapsed="false">
      <c r="B32" s="5" t="s">
        <v>160</v>
      </c>
      <c r="C32" s="15" t="n">
        <v>10</v>
      </c>
      <c r="D32" s="11" t="n">
        <v>5848.82</v>
      </c>
      <c r="E32" s="12" t="n">
        <f aca="false">IF(741273.37=0,0,D32/741273.37)</f>
        <v>0.00789023353152427</v>
      </c>
      <c r="I32" s="11" t="n">
        <f aca="false">IF(C32=0,0,D32/C32)</f>
        <v>584.882</v>
      </c>
    </row>
    <row r="33" customFormat="false" ht="15" hidden="false" customHeight="true" outlineLevel="0" collapsed="false">
      <c r="B33" s="5" t="s">
        <v>161</v>
      </c>
      <c r="C33" s="15" t="n">
        <v>6</v>
      </c>
      <c r="D33" s="11" t="n">
        <v>3895</v>
      </c>
      <c r="E33" s="12" t="n">
        <f aca="false">IF(741273.37=0,0,D33/741273.37)</f>
        <v>0.00525447177469764</v>
      </c>
      <c r="I33" s="11" t="n">
        <f aca="false">IF(C33=0,0,D33/C33)</f>
        <v>649.166666666667</v>
      </c>
    </row>
    <row r="34" customFormat="false" ht="15" hidden="false" customHeight="true" outlineLevel="0" collapsed="false">
      <c r="B34" s="5" t="s">
        <v>162</v>
      </c>
      <c r="C34" s="15" t="n">
        <v>3</v>
      </c>
      <c r="D34" s="11" t="n">
        <v>3080</v>
      </c>
      <c r="E34" s="12" t="n">
        <f aca="false">IF(741273.37=0,0,D34/741273.37)</f>
        <v>0.0041550123404541</v>
      </c>
      <c r="I34" s="11" t="n">
        <f aca="false">IF(C34=0,0,D34/C34)</f>
        <v>1026.66666666667</v>
      </c>
    </row>
    <row r="35" customFormat="false" ht="15" hidden="false" customHeight="true" outlineLevel="0" collapsed="false">
      <c r="B35" s="5" t="s">
        <v>163</v>
      </c>
      <c r="C35" s="15" t="n">
        <v>3</v>
      </c>
      <c r="D35" s="11" t="n">
        <v>2700</v>
      </c>
      <c r="E35" s="12" t="n">
        <f aca="false">IF(741273.37=0,0,D35/741273.37)</f>
        <v>0.00364238094780067</v>
      </c>
      <c r="I35" s="11" t="n">
        <f aca="false">IF(C35=0,0,D35/C35)</f>
        <v>900</v>
      </c>
    </row>
    <row r="36" customFormat="false" ht="15" hidden="false" customHeight="true" outlineLevel="0" collapsed="false">
      <c r="B36" s="5" t="s">
        <v>164</v>
      </c>
      <c r="C36" s="15" t="n">
        <v>5</v>
      </c>
      <c r="D36" s="11" t="n">
        <v>2674.97</v>
      </c>
      <c r="E36" s="12" t="n">
        <f aca="false">IF(741273.37=0,0,D36/741273.37)</f>
        <v>0.00360861472738458</v>
      </c>
      <c r="I36" s="11" t="n">
        <f aca="false">IF(C36=0,0,D36/C36)</f>
        <v>534.994</v>
      </c>
    </row>
    <row r="37" customFormat="false" ht="15" hidden="false" customHeight="true" outlineLevel="0" collapsed="false">
      <c r="B37" s="5" t="s">
        <v>165</v>
      </c>
      <c r="C37" s="15" t="n">
        <v>7</v>
      </c>
      <c r="D37" s="11" t="n">
        <v>2315.27</v>
      </c>
      <c r="E37" s="12" t="n">
        <f aca="false">IF(741273.37=0,0,D37/741273.37)</f>
        <v>0.00312336864333869</v>
      </c>
      <c r="I37" s="11" t="n">
        <f aca="false">IF(C37=0,0,D37/C37)</f>
        <v>330.752857142857</v>
      </c>
    </row>
    <row r="38" customFormat="false" ht="15" hidden="false" customHeight="true" outlineLevel="0" collapsed="false">
      <c r="B38" s="5" t="s">
        <v>166</v>
      </c>
      <c r="C38" s="15" t="n">
        <v>5</v>
      </c>
      <c r="D38" s="11" t="n">
        <v>715.13</v>
      </c>
      <c r="E38" s="12" t="n">
        <f aca="false">IF(741273.37=0,0,D38/741273.37)</f>
        <v>0.000964731810074332</v>
      </c>
      <c r="I38" s="11" t="n">
        <f aca="false">IF(C38=0,0,D38/C38)</f>
        <v>143.026</v>
      </c>
    </row>
    <row r="39" customFormat="false" ht="15" hidden="false" customHeight="true" outlineLevel="0" collapsed="false">
      <c r="B39" s="5" t="s">
        <v>167</v>
      </c>
      <c r="C39" s="15" t="n">
        <v>1</v>
      </c>
      <c r="D39" s="11" t="n">
        <v>606.32</v>
      </c>
      <c r="E39" s="12" t="n">
        <f aca="false">IF(741273.37=0,0,D39/741273.37)</f>
        <v>0.000817943857877965</v>
      </c>
      <c r="I39" s="11" t="n">
        <f aca="false">IF(C39=0,0,D39/C39)</f>
        <v>606.32</v>
      </c>
    </row>
    <row r="40" customFormat="false" ht="15" hidden="false" customHeight="true" outlineLevel="0" collapsed="false">
      <c r="B40" s="5" t="s">
        <v>168</v>
      </c>
      <c r="C40" s="15" t="n">
        <v>4</v>
      </c>
      <c r="D40" s="11" t="n">
        <v>432.88</v>
      </c>
      <c r="E40" s="12" t="n">
        <f aca="false">IF(741273.37=0,0,D40/741273.37)</f>
        <v>0.000583968098031095</v>
      </c>
      <c r="I40" s="11" t="n">
        <f aca="false">IF(C40=0,0,D40/C40)</f>
        <v>108.22</v>
      </c>
    </row>
    <row r="41" customFormat="false" ht="15" hidden="false" customHeight="true" outlineLevel="0" collapsed="false">
      <c r="B41" s="5" t="s">
        <v>169</v>
      </c>
      <c r="C41" s="15" t="n">
        <v>5</v>
      </c>
      <c r="D41" s="11" t="n">
        <v>352.83</v>
      </c>
      <c r="E41" s="12" t="n">
        <f aca="false">IF(741273.37=0,0,D41/741273.37)</f>
        <v>0.000475978248078708</v>
      </c>
      <c r="I41" s="11" t="n">
        <f aca="false">IF(C41=0,0,D41/C41)</f>
        <v>70.566</v>
      </c>
    </row>
    <row r="42" customFormat="false" ht="15" hidden="false" customHeight="true" outlineLevel="0" collapsed="false">
      <c r="B42" s="5" t="s">
        <v>170</v>
      </c>
      <c r="C42" s="15" t="n">
        <v>1</v>
      </c>
      <c r="D42" s="11" t="n">
        <v>257.4</v>
      </c>
      <c r="E42" s="12" t="n">
        <f aca="false">IF(741273.37=0,0,D42/741273.37)</f>
        <v>0.000347240317023664</v>
      </c>
      <c r="I42" s="11" t="n">
        <f aca="false">IF(C42=0,0,D42/C42)</f>
        <v>257.4</v>
      </c>
    </row>
    <row r="43" customFormat="false" ht="15" hidden="false" customHeight="true" outlineLevel="0" collapsed="false">
      <c r="B43" s="5" t="s">
        <v>171</v>
      </c>
      <c r="C43" s="15" t="n">
        <v>2</v>
      </c>
      <c r="D43" s="11" t="n">
        <v>257</v>
      </c>
      <c r="E43" s="12" t="n">
        <f aca="false">IF(741273.37=0,0,D43/741273.37)</f>
        <v>0.000346700705031398</v>
      </c>
      <c r="I43" s="11" t="n">
        <f aca="false">IF(C43=0,0,D43/C43)</f>
        <v>128.5</v>
      </c>
    </row>
    <row r="44" customFormat="false" ht="15" hidden="false" customHeight="true" outlineLevel="0" collapsed="false">
      <c r="B44" s="5" t="s">
        <v>172</v>
      </c>
      <c r="C44" s="15" t="n">
        <v>1</v>
      </c>
      <c r="D44" s="11" t="n">
        <v>108.97</v>
      </c>
      <c r="E44" s="12" t="n">
        <f aca="false">IF(741273.37=0,0,D44/741273.37)</f>
        <v>0.000147003796993274</v>
      </c>
      <c r="I44" s="11" t="n">
        <f aca="false">IF(C44=0,0,D44/C44)</f>
        <v>108.97</v>
      </c>
    </row>
    <row r="45" customFormat="false" ht="15" hidden="false" customHeight="true" outlineLevel="0" collapsed="false">
      <c r="B45" s="6" t="s">
        <v>38</v>
      </c>
      <c r="C45" s="16" t="n">
        <f aca="false">SUM(C21:C44)</f>
        <v>368</v>
      </c>
      <c r="D45" s="13" t="n">
        <f aca="false">SUM(D21:D44)</f>
        <v>741273.37</v>
      </c>
      <c r="E45" s="14" t="n">
        <v>1</v>
      </c>
    </row>
    <row r="48" customFormat="false" ht="15" hidden="false" customHeight="true" outlineLevel="0" collapsed="false">
      <c r="B48" s="4" t="s">
        <v>62</v>
      </c>
      <c r="C48" s="4"/>
      <c r="D48" s="4"/>
      <c r="E48" s="4"/>
      <c r="F48" s="4"/>
      <c r="G48" s="4"/>
      <c r="H48" s="4"/>
      <c r="I48" s="4"/>
    </row>
    <row r="49" customFormat="false" ht="15" hidden="false" customHeight="true" outlineLevel="0" collapsed="false">
      <c r="B49" s="3" t="s">
        <v>63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64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65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66</v>
      </c>
      <c r="C52" s="3"/>
      <c r="D52" s="3"/>
      <c r="E52" s="3"/>
      <c r="F52" s="3"/>
      <c r="G52" s="3"/>
      <c r="H52" s="3"/>
      <c r="I52" s="3"/>
    </row>
    <row r="53" customFormat="false" ht="15" hidden="false" customHeight="true" outlineLevel="0" collapsed="false">
      <c r="B53" s="3" t="s">
        <v>173</v>
      </c>
      <c r="C53" s="3"/>
      <c r="D53" s="3"/>
      <c r="E53" s="3"/>
      <c r="F53" s="3"/>
      <c r="G53" s="3"/>
      <c r="H53" s="3"/>
      <c r="I53" s="3"/>
    </row>
  </sheetData>
  <mergeCells count="10">
    <mergeCell ref="B2:I2"/>
    <mergeCell ref="B3:I3"/>
    <mergeCell ref="B5:I5"/>
    <mergeCell ref="B19:I19"/>
    <mergeCell ref="B48:I48"/>
    <mergeCell ref="B49:I49"/>
    <mergeCell ref="B50:I50"/>
    <mergeCell ref="B51:I51"/>
    <mergeCell ref="B52:I52"/>
    <mergeCell ref="B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174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175</v>
      </c>
      <c r="C4" s="10" t="s">
        <v>176</v>
      </c>
      <c r="D4" s="10" t="s">
        <v>177</v>
      </c>
      <c r="E4" s="10" t="s">
        <v>178</v>
      </c>
      <c r="F4" s="10" t="s">
        <v>179</v>
      </c>
    </row>
    <row r="5" customFormat="false" ht="15" hidden="false" customHeight="true" outlineLevel="0" collapsed="false">
      <c r="B5" s="5" t="s">
        <v>180</v>
      </c>
      <c r="C5" s="17" t="n">
        <v>1772</v>
      </c>
      <c r="D5" s="11" t="n">
        <v>52380</v>
      </c>
      <c r="E5" s="18" t="n">
        <f aca="false">IF(C5=0,0,D5/C5)</f>
        <v>29.5598194130926</v>
      </c>
      <c r="F5" s="5" t="s">
        <v>181</v>
      </c>
    </row>
    <row r="6" customFormat="false" ht="15" hidden="false" customHeight="true" outlineLevel="0" collapsed="false">
      <c r="B6" s="5" t="s">
        <v>182</v>
      </c>
      <c r="C6" s="17" t="n">
        <v>1400</v>
      </c>
      <c r="D6" s="11" t="n">
        <v>22434</v>
      </c>
      <c r="E6" s="18" t="n">
        <f aca="false">IF(C6=0,0,D6/C6)</f>
        <v>16.0242857142857</v>
      </c>
      <c r="F6" s="5" t="s">
        <v>183</v>
      </c>
    </row>
    <row r="7" customFormat="false" ht="15" hidden="false" customHeight="true" outlineLevel="0" collapsed="false">
      <c r="B7" s="5" t="s">
        <v>184</v>
      </c>
      <c r="C7" s="17" t="n">
        <v>1318.5</v>
      </c>
      <c r="D7" s="11" t="n">
        <v>28491.5</v>
      </c>
      <c r="E7" s="18" t="n">
        <f aca="false">IF(C7=0,0,D7/C7)</f>
        <v>21.6090254076602</v>
      </c>
      <c r="F7" s="5" t="s">
        <v>181</v>
      </c>
    </row>
    <row r="8" customFormat="false" ht="15" hidden="false" customHeight="true" outlineLevel="0" collapsed="false">
      <c r="B8" s="5" t="s">
        <v>185</v>
      </c>
      <c r="C8" s="17" t="n">
        <v>1202.5</v>
      </c>
      <c r="D8" s="11" t="n">
        <v>42720.5</v>
      </c>
      <c r="E8" s="18" t="n">
        <f aca="false">IF(C8=0,0,D8/C8)</f>
        <v>35.5264033264033</v>
      </c>
      <c r="F8" s="5" t="s">
        <v>186</v>
      </c>
    </row>
    <row r="9" customFormat="false" ht="15" hidden="false" customHeight="true" outlineLevel="0" collapsed="false">
      <c r="B9" s="5" t="s">
        <v>187</v>
      </c>
      <c r="C9" s="17" t="n">
        <v>1179</v>
      </c>
      <c r="D9" s="11" t="n">
        <v>15914</v>
      </c>
      <c r="E9" s="18" t="n">
        <f aca="false">IF(C9=0,0,D9/C9)</f>
        <v>13.4978795589483</v>
      </c>
      <c r="F9" s="5" t="s">
        <v>183</v>
      </c>
    </row>
    <row r="10" customFormat="false" ht="15" hidden="false" customHeight="true" outlineLevel="0" collapsed="false">
      <c r="B10" s="5" t="s">
        <v>188</v>
      </c>
      <c r="C10" s="17" t="n">
        <v>1115</v>
      </c>
      <c r="D10" s="11" t="n">
        <v>14866</v>
      </c>
      <c r="E10" s="18" t="n">
        <f aca="false">IF(C10=0,0,D10/C10)</f>
        <v>13.332735426009</v>
      </c>
      <c r="F10" s="5" t="s">
        <v>183</v>
      </c>
    </row>
    <row r="11" customFormat="false" ht="15" hidden="false" customHeight="true" outlineLevel="0" collapsed="false">
      <c r="B11" s="5" t="s">
        <v>189</v>
      </c>
      <c r="C11" s="17" t="n">
        <v>1113</v>
      </c>
      <c r="D11" s="11" t="n">
        <v>14840</v>
      </c>
      <c r="E11" s="18" t="n">
        <f aca="false">IF(C11=0,0,D11/C11)</f>
        <v>13.3333333333333</v>
      </c>
      <c r="F11" s="5" t="s">
        <v>183</v>
      </c>
    </row>
    <row r="12" customFormat="false" ht="15" hidden="false" customHeight="true" outlineLevel="0" collapsed="false">
      <c r="B12" s="5" t="s">
        <v>190</v>
      </c>
      <c r="C12" s="17" t="n">
        <v>1077</v>
      </c>
      <c r="D12" s="11" t="n">
        <v>20560</v>
      </c>
      <c r="E12" s="18" t="n">
        <f aca="false">IF(C12=0,0,D12/C12)</f>
        <v>19.0900649953575</v>
      </c>
      <c r="F12" s="5" t="s">
        <v>181</v>
      </c>
    </row>
    <row r="13" customFormat="false" ht="15" hidden="false" customHeight="true" outlineLevel="0" collapsed="false">
      <c r="B13" s="5" t="s">
        <v>191</v>
      </c>
      <c r="C13" s="17" t="n">
        <v>979.5</v>
      </c>
      <c r="D13" s="11" t="n">
        <v>19581.5</v>
      </c>
      <c r="E13" s="18" t="n">
        <f aca="false">IF(C13=0,0,D13/C13)</f>
        <v>19.9913221031138</v>
      </c>
      <c r="F13" s="5" t="s">
        <v>181</v>
      </c>
    </row>
    <row r="14" customFormat="false" ht="15" hidden="false" customHeight="true" outlineLevel="0" collapsed="false">
      <c r="B14" s="5" t="s">
        <v>192</v>
      </c>
      <c r="C14" s="17" t="n">
        <v>957.5</v>
      </c>
      <c r="D14" s="11" t="n">
        <v>14410</v>
      </c>
      <c r="E14" s="18" t="n">
        <f aca="false">IF(C14=0,0,D14/C14)</f>
        <v>15.0496083550914</v>
      </c>
      <c r="F14" s="5" t="s">
        <v>183</v>
      </c>
    </row>
    <row r="15" customFormat="false" ht="15" hidden="false" customHeight="true" outlineLevel="0" collapsed="false">
      <c r="B15" s="5" t="s">
        <v>193</v>
      </c>
      <c r="C15" s="17" t="n">
        <v>927</v>
      </c>
      <c r="D15" s="11" t="n">
        <v>12051</v>
      </c>
      <c r="E15" s="18" t="n">
        <f aca="false">IF(C15=0,0,D15/C15)</f>
        <v>13</v>
      </c>
      <c r="F15" s="5" t="s">
        <v>183</v>
      </c>
    </row>
    <row r="16" customFormat="false" ht="15" hidden="false" customHeight="true" outlineLevel="0" collapsed="false">
      <c r="B16" s="5" t="s">
        <v>194</v>
      </c>
      <c r="C16" s="17" t="n">
        <v>863</v>
      </c>
      <c r="D16" s="11" t="n">
        <v>11471.5</v>
      </c>
      <c r="E16" s="18" t="n">
        <f aca="false">IF(C16=0,0,D16/C16)</f>
        <v>13.29258400927</v>
      </c>
      <c r="F16" s="5" t="s">
        <v>183</v>
      </c>
    </row>
    <row r="17" customFormat="false" ht="15" hidden="false" customHeight="true" outlineLevel="0" collapsed="false">
      <c r="B17" s="5" t="s">
        <v>195</v>
      </c>
      <c r="C17" s="17" t="n">
        <v>788</v>
      </c>
      <c r="D17" s="11" t="n">
        <v>10427</v>
      </c>
      <c r="E17" s="18" t="n">
        <f aca="false">IF(C17=0,0,D17/C17)</f>
        <v>13.2322335025381</v>
      </c>
      <c r="F17" s="5" t="s">
        <v>183</v>
      </c>
    </row>
    <row r="18" customFormat="false" ht="15" hidden="false" customHeight="true" outlineLevel="0" collapsed="false">
      <c r="B18" s="5" t="s">
        <v>196</v>
      </c>
      <c r="C18" s="17" t="n">
        <v>679.5</v>
      </c>
      <c r="D18" s="11" t="n">
        <v>17707</v>
      </c>
      <c r="E18" s="18" t="n">
        <f aca="false">IF(C18=0,0,D18/C18)</f>
        <v>26.0588668138337</v>
      </c>
      <c r="F18" s="5" t="s">
        <v>181</v>
      </c>
    </row>
    <row r="19" customFormat="false" ht="15" hidden="false" customHeight="true" outlineLevel="0" collapsed="false">
      <c r="B19" s="5" t="s">
        <v>197</v>
      </c>
      <c r="C19" s="17" t="n">
        <v>674.5</v>
      </c>
      <c r="D19" s="11" t="n">
        <v>13982</v>
      </c>
      <c r="E19" s="18" t="n">
        <f aca="false">IF(C19=0,0,D19/C19)</f>
        <v>20.7294292068199</v>
      </c>
      <c r="F19" s="5" t="s">
        <v>181</v>
      </c>
    </row>
    <row r="20" customFormat="false" ht="15" hidden="false" customHeight="true" outlineLevel="0" collapsed="false">
      <c r="B20" s="5" t="s">
        <v>198</v>
      </c>
      <c r="C20" s="17" t="n">
        <v>664.5</v>
      </c>
      <c r="D20" s="11" t="n">
        <v>11227.5</v>
      </c>
      <c r="E20" s="18" t="n">
        <f aca="false">IF(C20=0,0,D20/C20)</f>
        <v>16.8961625282167</v>
      </c>
      <c r="F20" s="5" t="s">
        <v>183</v>
      </c>
    </row>
    <row r="21" customFormat="false" ht="15" hidden="false" customHeight="true" outlineLevel="0" collapsed="false">
      <c r="B21" s="5" t="s">
        <v>199</v>
      </c>
      <c r="C21" s="17" t="n">
        <v>663</v>
      </c>
      <c r="D21" s="11" t="n">
        <v>8660</v>
      </c>
      <c r="E21" s="18" t="n">
        <f aca="false">IF(C21=0,0,D21/C21)</f>
        <v>13.0618401206637</v>
      </c>
      <c r="F21" s="5" t="s">
        <v>183</v>
      </c>
    </row>
    <row r="22" customFormat="false" ht="15" hidden="false" customHeight="true" outlineLevel="0" collapsed="false">
      <c r="B22" s="5" t="s">
        <v>200</v>
      </c>
      <c r="C22" s="17" t="n">
        <v>614.5</v>
      </c>
      <c r="D22" s="11" t="n">
        <v>20278.5</v>
      </c>
      <c r="E22" s="18" t="n">
        <f aca="false">IF(C22=0,0,D22/C22)</f>
        <v>33</v>
      </c>
      <c r="F22" s="5" t="s">
        <v>186</v>
      </c>
    </row>
    <row r="23" customFormat="false" ht="15" hidden="false" customHeight="true" outlineLevel="0" collapsed="false">
      <c r="B23" s="5" t="s">
        <v>201</v>
      </c>
      <c r="C23" s="17" t="n">
        <v>598.5</v>
      </c>
      <c r="D23" s="11" t="n">
        <v>12145</v>
      </c>
      <c r="E23" s="18" t="n">
        <f aca="false">IF(C23=0,0,D23/C23)</f>
        <v>20.2923976608187</v>
      </c>
      <c r="F23" s="5" t="s">
        <v>181</v>
      </c>
    </row>
    <row r="24" customFormat="false" ht="15" hidden="false" customHeight="true" outlineLevel="0" collapsed="false">
      <c r="B24" s="5" t="s">
        <v>202</v>
      </c>
      <c r="C24" s="17" t="n">
        <v>566</v>
      </c>
      <c r="D24" s="11" t="n">
        <v>7370</v>
      </c>
      <c r="E24" s="18" t="n">
        <f aca="false">IF(C24=0,0,D24/C24)</f>
        <v>13.0212014134276</v>
      </c>
      <c r="F24" s="5" t="s">
        <v>183</v>
      </c>
    </row>
    <row r="25" customFormat="false" ht="15" hidden="false" customHeight="true" outlineLevel="0" collapsed="false">
      <c r="B25" s="5" t="s">
        <v>203</v>
      </c>
      <c r="C25" s="17" t="n">
        <v>543</v>
      </c>
      <c r="D25" s="11" t="n">
        <v>17960</v>
      </c>
      <c r="E25" s="18" t="n">
        <f aca="false">IF(C25=0,0,D25/C25)</f>
        <v>33.0755064456722</v>
      </c>
      <c r="F25" s="5" t="s">
        <v>186</v>
      </c>
    </row>
    <row r="26" customFormat="false" ht="15" hidden="false" customHeight="true" outlineLevel="0" collapsed="false">
      <c r="B26" s="5" t="s">
        <v>204</v>
      </c>
      <c r="C26" s="17" t="n">
        <v>531</v>
      </c>
      <c r="D26" s="11" t="n">
        <v>9091</v>
      </c>
      <c r="E26" s="18" t="n">
        <f aca="false">IF(C26=0,0,D26/C26)</f>
        <v>17.120527306968</v>
      </c>
      <c r="F26" s="5" t="s">
        <v>183</v>
      </c>
    </row>
    <row r="27" customFormat="false" ht="15" hidden="false" customHeight="true" outlineLevel="0" collapsed="false">
      <c r="B27" s="5" t="s">
        <v>205</v>
      </c>
      <c r="C27" s="17" t="n">
        <v>491</v>
      </c>
      <c r="D27" s="11" t="n">
        <v>7074</v>
      </c>
      <c r="E27" s="18" t="n">
        <f aca="false">IF(C27=0,0,D27/C27)</f>
        <v>14.4073319755601</v>
      </c>
      <c r="F27" s="5" t="s">
        <v>183</v>
      </c>
    </row>
    <row r="28" customFormat="false" ht="15" hidden="false" customHeight="true" outlineLevel="0" collapsed="false">
      <c r="B28" s="5" t="s">
        <v>206</v>
      </c>
      <c r="C28" s="17" t="n">
        <v>474.5</v>
      </c>
      <c r="D28" s="11" t="n">
        <v>14162.5</v>
      </c>
      <c r="E28" s="18" t="n">
        <f aca="false">IF(C28=0,0,D28/C28)</f>
        <v>29.8472075869336</v>
      </c>
      <c r="F28" s="5" t="s">
        <v>181</v>
      </c>
    </row>
    <row r="29" customFormat="false" ht="15" hidden="false" customHeight="true" outlineLevel="0" collapsed="false">
      <c r="B29" s="5" t="s">
        <v>207</v>
      </c>
      <c r="C29" s="17" t="n">
        <v>459.5</v>
      </c>
      <c r="D29" s="11" t="n">
        <v>18221</v>
      </c>
      <c r="E29" s="18" t="n">
        <f aca="false">IF(C29=0,0,D29/C29)</f>
        <v>39.6539717083787</v>
      </c>
      <c r="F29" s="5" t="s">
        <v>186</v>
      </c>
    </row>
    <row r="30" customFormat="false" ht="15" hidden="false" customHeight="true" outlineLevel="0" collapsed="false">
      <c r="B30" s="5" t="s">
        <v>208</v>
      </c>
      <c r="C30" s="17" t="n">
        <v>428</v>
      </c>
      <c r="D30" s="11" t="n">
        <v>5564</v>
      </c>
      <c r="E30" s="18" t="n">
        <f aca="false">IF(C30=0,0,D30/C30)</f>
        <v>13</v>
      </c>
      <c r="F30" s="5" t="s">
        <v>183</v>
      </c>
    </row>
    <row r="31" customFormat="false" ht="15" hidden="false" customHeight="true" outlineLevel="0" collapsed="false">
      <c r="B31" s="5" t="s">
        <v>209</v>
      </c>
      <c r="C31" s="17" t="n">
        <v>315.5</v>
      </c>
      <c r="D31" s="11" t="n">
        <v>4969.5</v>
      </c>
      <c r="E31" s="18" t="n">
        <f aca="false">IF(C31=0,0,D31/C31)</f>
        <v>15.7511885895404</v>
      </c>
      <c r="F31" s="5" t="s">
        <v>183</v>
      </c>
    </row>
    <row r="32" customFormat="false" ht="15" hidden="false" customHeight="true" outlineLevel="0" collapsed="false">
      <c r="B32" s="5" t="s">
        <v>210</v>
      </c>
      <c r="C32" s="17" t="n">
        <v>278</v>
      </c>
      <c r="D32" s="11" t="n">
        <v>4170</v>
      </c>
      <c r="E32" s="18" t="n">
        <f aca="false">IF(C32=0,0,D32/C32)</f>
        <v>15</v>
      </c>
      <c r="F32" s="5" t="s">
        <v>183</v>
      </c>
    </row>
    <row r="33" customFormat="false" ht="15" hidden="false" customHeight="true" outlineLevel="0" collapsed="false">
      <c r="B33" s="5" t="s">
        <v>211</v>
      </c>
      <c r="C33" s="17" t="n">
        <v>276.5</v>
      </c>
      <c r="D33" s="11" t="n">
        <v>3895</v>
      </c>
      <c r="E33" s="18" t="n">
        <f aca="false">IF(C33=0,0,D33/C33)</f>
        <v>14.0867992766727</v>
      </c>
      <c r="F33" s="5" t="s">
        <v>183</v>
      </c>
    </row>
    <row r="34" customFormat="false" ht="15" hidden="false" customHeight="true" outlineLevel="0" collapsed="false">
      <c r="B34" s="5" t="s">
        <v>212</v>
      </c>
      <c r="C34" s="17" t="n">
        <v>268</v>
      </c>
      <c r="D34" s="11" t="n">
        <v>3484</v>
      </c>
      <c r="E34" s="18" t="n">
        <f aca="false">IF(C34=0,0,D34/C34)</f>
        <v>13</v>
      </c>
      <c r="F34" s="5" t="s">
        <v>183</v>
      </c>
    </row>
    <row r="35" customFormat="false" ht="15" hidden="false" customHeight="true" outlineLevel="0" collapsed="false">
      <c r="B35" s="5" t="s">
        <v>213</v>
      </c>
      <c r="C35" s="17" t="n">
        <v>267</v>
      </c>
      <c r="D35" s="11" t="n">
        <v>3471</v>
      </c>
      <c r="E35" s="18" t="n">
        <f aca="false">IF(C35=0,0,D35/C35)</f>
        <v>13</v>
      </c>
      <c r="F35" s="5" t="s">
        <v>183</v>
      </c>
    </row>
    <row r="36" customFormat="false" ht="15" hidden="false" customHeight="true" outlineLevel="0" collapsed="false">
      <c r="B36" s="5" t="s">
        <v>214</v>
      </c>
      <c r="C36" s="17" t="n">
        <v>238</v>
      </c>
      <c r="D36" s="11" t="n">
        <v>5410</v>
      </c>
      <c r="E36" s="18" t="n">
        <f aca="false">IF(C36=0,0,D36/C36)</f>
        <v>22.7310924369748</v>
      </c>
      <c r="F36" s="5" t="s">
        <v>181</v>
      </c>
    </row>
    <row r="37" customFormat="false" ht="15" hidden="false" customHeight="true" outlineLevel="0" collapsed="false">
      <c r="B37" s="5" t="s">
        <v>215</v>
      </c>
      <c r="C37" s="17" t="n">
        <v>200</v>
      </c>
      <c r="D37" s="11" t="n">
        <v>3000</v>
      </c>
      <c r="E37" s="18" t="n">
        <f aca="false">IF(C37=0,0,D37/C37)</f>
        <v>15</v>
      </c>
      <c r="F37" s="5" t="s">
        <v>183</v>
      </c>
    </row>
    <row r="38" customFormat="false" ht="15" hidden="false" customHeight="true" outlineLevel="0" collapsed="false">
      <c r="B38" s="5" t="s">
        <v>216</v>
      </c>
      <c r="C38" s="17" t="n">
        <v>184</v>
      </c>
      <c r="D38" s="11" t="n">
        <v>3304</v>
      </c>
      <c r="E38" s="18" t="n">
        <f aca="false">IF(C38=0,0,D38/C38)</f>
        <v>17.9565217391304</v>
      </c>
      <c r="F38" s="5" t="s">
        <v>183</v>
      </c>
    </row>
    <row r="39" customFormat="false" ht="15" hidden="false" customHeight="true" outlineLevel="0" collapsed="false">
      <c r="B39" s="5" t="s">
        <v>217</v>
      </c>
      <c r="C39" s="17" t="n">
        <v>148.5</v>
      </c>
      <c r="D39" s="11" t="n">
        <v>6682.5</v>
      </c>
      <c r="E39" s="18" t="n">
        <f aca="false">IF(C39=0,0,D39/C39)</f>
        <v>45</v>
      </c>
      <c r="F39" s="5" t="s">
        <v>186</v>
      </c>
    </row>
    <row r="40" customFormat="false" ht="15" hidden="false" customHeight="true" outlineLevel="0" collapsed="false">
      <c r="B40" s="5" t="s">
        <v>218</v>
      </c>
      <c r="C40" s="17" t="n">
        <v>143.5</v>
      </c>
      <c r="D40" s="11" t="n">
        <v>4466.5</v>
      </c>
      <c r="E40" s="18" t="n">
        <f aca="false">IF(C40=0,0,D40/C40)</f>
        <v>31.1254355400697</v>
      </c>
      <c r="F40" s="5" t="s">
        <v>186</v>
      </c>
    </row>
    <row r="41" customFormat="false" ht="15" hidden="false" customHeight="true" outlineLevel="0" collapsed="false">
      <c r="B41" s="5" t="s">
        <v>219</v>
      </c>
      <c r="C41" s="17" t="n">
        <v>136</v>
      </c>
      <c r="D41" s="11" t="n">
        <v>3808</v>
      </c>
      <c r="E41" s="18" t="n">
        <f aca="false">IF(C41=0,0,D41/C41)</f>
        <v>28</v>
      </c>
      <c r="F41" s="5" t="s">
        <v>181</v>
      </c>
    </row>
    <row r="42" customFormat="false" ht="15" hidden="false" customHeight="true" outlineLevel="0" collapsed="false">
      <c r="B42" s="5" t="s">
        <v>220</v>
      </c>
      <c r="C42" s="17" t="n">
        <v>135</v>
      </c>
      <c r="D42" s="11" t="n">
        <v>2112</v>
      </c>
      <c r="E42" s="18" t="n">
        <f aca="false">IF(C42=0,0,D42/C42)</f>
        <v>15.6444444444444</v>
      </c>
      <c r="F42" s="5" t="s">
        <v>183</v>
      </c>
    </row>
    <row r="43" customFormat="false" ht="15" hidden="false" customHeight="true" outlineLevel="0" collapsed="false">
      <c r="B43" s="5" t="s">
        <v>221</v>
      </c>
      <c r="C43" s="17" t="n">
        <v>133.5</v>
      </c>
      <c r="D43" s="11" t="n">
        <v>1889.5</v>
      </c>
      <c r="E43" s="18" t="n">
        <f aca="false">IF(C43=0,0,D43/C43)</f>
        <v>14.1535580524345</v>
      </c>
      <c r="F43" s="5" t="s">
        <v>183</v>
      </c>
    </row>
    <row r="44" customFormat="false" ht="15" hidden="false" customHeight="true" outlineLevel="0" collapsed="false">
      <c r="B44" s="5" t="s">
        <v>222</v>
      </c>
      <c r="C44" s="17" t="n">
        <v>133.5</v>
      </c>
      <c r="D44" s="11" t="n">
        <v>1778.5</v>
      </c>
      <c r="E44" s="18" t="n">
        <f aca="false">IF(C44=0,0,D44/C44)</f>
        <v>13.3220973782772</v>
      </c>
      <c r="F44" s="5" t="s">
        <v>183</v>
      </c>
    </row>
    <row r="45" customFormat="false" ht="15" hidden="false" customHeight="true" outlineLevel="0" collapsed="false">
      <c r="B45" s="5" t="s">
        <v>223</v>
      </c>
      <c r="C45" s="17" t="n">
        <v>130</v>
      </c>
      <c r="D45" s="11" t="n">
        <v>2080</v>
      </c>
      <c r="E45" s="18" t="n">
        <f aca="false">IF(C45=0,0,D45/C45)</f>
        <v>16</v>
      </c>
      <c r="F45" s="5" t="s">
        <v>183</v>
      </c>
    </row>
    <row r="46" customFormat="false" ht="15" hidden="false" customHeight="true" outlineLevel="0" collapsed="false">
      <c r="B46" s="5" t="s">
        <v>224</v>
      </c>
      <c r="C46" s="17" t="n">
        <v>128</v>
      </c>
      <c r="D46" s="11" t="n">
        <v>1912</v>
      </c>
      <c r="E46" s="18" t="n">
        <f aca="false">IF(C46=0,0,D46/C46)</f>
        <v>14.9375</v>
      </c>
      <c r="F46" s="5" t="s">
        <v>183</v>
      </c>
    </row>
    <row r="47" customFormat="false" ht="15" hidden="false" customHeight="true" outlineLevel="0" collapsed="false">
      <c r="B47" s="5" t="s">
        <v>225</v>
      </c>
      <c r="C47" s="17" t="n">
        <v>122</v>
      </c>
      <c r="D47" s="11" t="n">
        <v>1952</v>
      </c>
      <c r="E47" s="18" t="n">
        <f aca="false">IF(C47=0,0,D47/C47)</f>
        <v>16</v>
      </c>
      <c r="F47" s="5" t="s">
        <v>183</v>
      </c>
    </row>
    <row r="48" customFormat="false" ht="15" hidden="false" customHeight="true" outlineLevel="0" collapsed="false">
      <c r="B48" s="5" t="s">
        <v>226</v>
      </c>
      <c r="C48" s="17" t="n">
        <v>104</v>
      </c>
      <c r="D48" s="11" t="n">
        <v>1768</v>
      </c>
      <c r="E48" s="18" t="n">
        <f aca="false">IF(C48=0,0,D48/C48)</f>
        <v>17</v>
      </c>
      <c r="F48" s="5" t="s">
        <v>183</v>
      </c>
    </row>
    <row r="49" customFormat="false" ht="15" hidden="false" customHeight="true" outlineLevel="0" collapsed="false">
      <c r="B49" s="5" t="s">
        <v>227</v>
      </c>
      <c r="C49" s="17" t="n">
        <v>98</v>
      </c>
      <c r="D49" s="11" t="n">
        <v>1568</v>
      </c>
      <c r="E49" s="18" t="n">
        <f aca="false">IF(C49=0,0,D49/C49)</f>
        <v>16</v>
      </c>
      <c r="F49" s="5" t="s">
        <v>183</v>
      </c>
    </row>
    <row r="50" customFormat="false" ht="15" hidden="false" customHeight="true" outlineLevel="0" collapsed="false">
      <c r="B50" s="5" t="s">
        <v>228</v>
      </c>
      <c r="C50" s="17" t="n">
        <v>96</v>
      </c>
      <c r="D50" s="11" t="n">
        <v>1248</v>
      </c>
      <c r="E50" s="18" t="n">
        <f aca="false">IF(C50=0,0,D50/C50)</f>
        <v>13</v>
      </c>
      <c r="F50" s="5" t="s">
        <v>183</v>
      </c>
    </row>
    <row r="51" customFormat="false" ht="15" hidden="false" customHeight="true" outlineLevel="0" collapsed="false">
      <c r="B51" s="5" t="s">
        <v>229</v>
      </c>
      <c r="C51" s="17" t="n">
        <v>82.5</v>
      </c>
      <c r="D51" s="11" t="n">
        <v>1320</v>
      </c>
      <c r="E51" s="18" t="n">
        <f aca="false">IF(C51=0,0,D51/C51)</f>
        <v>16</v>
      </c>
      <c r="F51" s="5" t="s">
        <v>183</v>
      </c>
    </row>
    <row r="52" customFormat="false" ht="15" hidden="false" customHeight="true" outlineLevel="0" collapsed="false">
      <c r="B52" s="5" t="s">
        <v>230</v>
      </c>
      <c r="C52" s="17" t="n">
        <v>66</v>
      </c>
      <c r="D52" s="11" t="n">
        <v>885</v>
      </c>
      <c r="E52" s="18" t="n">
        <f aca="false">IF(C52=0,0,D52/C52)</f>
        <v>13.4090909090909</v>
      </c>
      <c r="F52" s="5" t="s">
        <v>183</v>
      </c>
    </row>
    <row r="53" customFormat="false" ht="15" hidden="false" customHeight="true" outlineLevel="0" collapsed="false">
      <c r="B53" s="5" t="s">
        <v>231</v>
      </c>
      <c r="C53" s="17" t="n">
        <v>55.5</v>
      </c>
      <c r="D53" s="11" t="n">
        <v>721.5</v>
      </c>
      <c r="E53" s="18" t="n">
        <f aca="false">IF(C53=0,0,D53/C53)</f>
        <v>13</v>
      </c>
      <c r="F53" s="5" t="s">
        <v>183</v>
      </c>
    </row>
    <row r="54" customFormat="false" ht="15" hidden="false" customHeight="true" outlineLevel="0" collapsed="false">
      <c r="B54" s="5" t="s">
        <v>232</v>
      </c>
      <c r="C54" s="17" t="n">
        <v>52</v>
      </c>
      <c r="D54" s="11" t="n">
        <v>1508</v>
      </c>
      <c r="E54" s="18" t="n">
        <f aca="false">IF(C54=0,0,D54/C54)</f>
        <v>29</v>
      </c>
      <c r="F54" s="5" t="s">
        <v>181</v>
      </c>
    </row>
    <row r="55" customFormat="false" ht="15" hidden="false" customHeight="true" outlineLevel="0" collapsed="false">
      <c r="B55" s="5" t="s">
        <v>233</v>
      </c>
      <c r="C55" s="17" t="n">
        <v>48</v>
      </c>
      <c r="D55" s="11" t="n">
        <v>624</v>
      </c>
      <c r="E55" s="18" t="n">
        <f aca="false">IF(C55=0,0,D55/C55)</f>
        <v>13</v>
      </c>
      <c r="F55" s="5" t="s">
        <v>183</v>
      </c>
    </row>
    <row r="56" customFormat="false" ht="15" hidden="false" customHeight="true" outlineLevel="0" collapsed="false">
      <c r="B56" s="5" t="s">
        <v>234</v>
      </c>
      <c r="C56" s="17" t="n">
        <v>25</v>
      </c>
      <c r="D56" s="11" t="n">
        <v>425</v>
      </c>
      <c r="E56" s="18" t="n">
        <f aca="false">IF(C56=0,0,D56/C56)</f>
        <v>17</v>
      </c>
      <c r="F56" s="5" t="s">
        <v>183</v>
      </c>
    </row>
    <row r="57" customFormat="false" ht="15" hidden="false" customHeight="true" outlineLevel="0" collapsed="false">
      <c r="B57" s="5" t="s">
        <v>235</v>
      </c>
      <c r="C57" s="17" t="n">
        <v>12</v>
      </c>
      <c r="D57" s="11" t="n">
        <v>156</v>
      </c>
      <c r="E57" s="18" t="n">
        <f aca="false">IF(C57=0,0,D57/C57)</f>
        <v>13</v>
      </c>
      <c r="F57" s="5" t="s">
        <v>183</v>
      </c>
    </row>
    <row r="58" customFormat="false" ht="15" hidden="false" customHeight="true" outlineLevel="0" collapsed="false">
      <c r="B58" s="6" t="s">
        <v>236</v>
      </c>
      <c r="C58" s="19" t="n">
        <f aca="false">SUM(C5:C57)</f>
        <v>25955.5</v>
      </c>
      <c r="D58" s="13" t="n">
        <f aca="false">SUM(D5:D57)</f>
        <v>512197.5</v>
      </c>
      <c r="E58" s="20" t="n">
        <f aca="false">IF(C58=0,0,D58/C58)</f>
        <v>19.7336787964015</v>
      </c>
    </row>
    <row r="61" customFormat="false" ht="15" hidden="false" customHeight="true" outlineLevel="0" collapsed="false">
      <c r="B61" s="4" t="s">
        <v>62</v>
      </c>
      <c r="C61" s="4"/>
      <c r="D61" s="4"/>
      <c r="E61" s="4"/>
      <c r="F61" s="4"/>
    </row>
    <row r="62" customFormat="false" ht="15" hidden="false" customHeight="true" outlineLevel="0" collapsed="false">
      <c r="B62" s="3" t="s">
        <v>63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64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65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66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237</v>
      </c>
      <c r="C66" s="3"/>
      <c r="D66" s="3"/>
      <c r="E66" s="3"/>
      <c r="F66" s="3"/>
    </row>
  </sheetData>
  <mergeCells count="7">
    <mergeCell ref="B2:F2"/>
    <mergeCell ref="B61:F61"/>
    <mergeCell ref="B62:F62"/>
    <mergeCell ref="B63:F63"/>
    <mergeCell ref="B64:F64"/>
    <mergeCell ref="B65:F65"/>
    <mergeCell ref="B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238</v>
      </c>
      <c r="C2" s="2"/>
      <c r="D2" s="2"/>
      <c r="E2" s="2"/>
      <c r="F2" s="2"/>
    </row>
    <row r="4" customFormat="false" ht="15" hidden="false" customHeight="true" outlineLevel="0" collapsed="false">
      <c r="B4" s="4" t="s">
        <v>239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179</v>
      </c>
      <c r="C5" s="10" t="s">
        <v>240</v>
      </c>
      <c r="D5" s="10" t="s">
        <v>176</v>
      </c>
      <c r="E5" s="10" t="s">
        <v>177</v>
      </c>
      <c r="F5" s="10" t="s">
        <v>241</v>
      </c>
    </row>
    <row r="6" customFormat="false" ht="15" hidden="false" customHeight="true" outlineLevel="0" collapsed="false">
      <c r="B6" s="5" t="s">
        <v>186</v>
      </c>
      <c r="C6" s="15" t="n">
        <v>6</v>
      </c>
      <c r="D6" s="17" t="n">
        <v>3111.5</v>
      </c>
      <c r="E6" s="11" t="n">
        <v>110329</v>
      </c>
      <c r="F6" s="12" t="n">
        <f aca="false">IF(25955.5=0,0,D6/25955.5)</f>
        <v>0.119878253164069</v>
      </c>
    </row>
    <row r="7" customFormat="false" ht="15" hidden="false" customHeight="true" outlineLevel="0" collapsed="false">
      <c r="B7" s="5" t="s">
        <v>181</v>
      </c>
      <c r="C7" s="15" t="n">
        <v>11</v>
      </c>
      <c r="D7" s="17" t="n">
        <v>8000</v>
      </c>
      <c r="E7" s="11" t="n">
        <v>189735.5</v>
      </c>
      <c r="F7" s="12" t="n">
        <f aca="false">IF(25955.5=0,0,D7/25955.5)</f>
        <v>0.30821983779931</v>
      </c>
    </row>
    <row r="8" customFormat="false" ht="15" hidden="false" customHeight="true" outlineLevel="0" collapsed="false">
      <c r="B8" s="5" t="s">
        <v>183</v>
      </c>
      <c r="C8" s="15" t="n">
        <v>36</v>
      </c>
      <c r="D8" s="17" t="n">
        <v>14844</v>
      </c>
      <c r="E8" s="11" t="n">
        <v>212133</v>
      </c>
      <c r="F8" s="12" t="n">
        <f aca="false">IF(25955.5=0,0,D8/25955.5)</f>
        <v>0.57190190903662</v>
      </c>
    </row>
    <row r="11" customFormat="false" ht="15" hidden="false" customHeight="true" outlineLevel="0" collapsed="false">
      <c r="B11" s="4" t="s">
        <v>242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243</v>
      </c>
      <c r="C12" s="21" t="n">
        <v>19.7336787964015</v>
      </c>
      <c r="F12" s="22" t="s">
        <v>244</v>
      </c>
    </row>
    <row r="13" customFormat="false" ht="15" hidden="false" customHeight="true" outlineLevel="0" collapsed="false">
      <c r="B13" s="5" t="s">
        <v>245</v>
      </c>
      <c r="C13" s="21" t="n">
        <v>33.8348654427771</v>
      </c>
      <c r="F13" s="22" t="s">
        <v>246</v>
      </c>
    </row>
    <row r="14" customFormat="false" ht="15" hidden="false" customHeight="true" outlineLevel="0" collapsed="false">
      <c r="B14" s="5" t="s">
        <v>247</v>
      </c>
      <c r="C14" s="21" t="n">
        <v>1.7145746513796</v>
      </c>
      <c r="F14" s="22" t="s">
        <v>248</v>
      </c>
    </row>
    <row r="15" customFormat="false" ht="15" hidden="false" customHeight="true" outlineLevel="0" collapsed="false">
      <c r="B15" s="5" t="s">
        <v>249</v>
      </c>
      <c r="C15" s="21" t="n">
        <v>13</v>
      </c>
      <c r="F15" s="22" t="s">
        <v>250</v>
      </c>
    </row>
    <row r="16" customFormat="false" ht="15" hidden="false" customHeight="true" outlineLevel="0" collapsed="false">
      <c r="B16" s="5" t="s">
        <v>251</v>
      </c>
      <c r="C16" s="21" t="n">
        <v>45</v>
      </c>
      <c r="F16" s="22" t="s">
        <v>252</v>
      </c>
    </row>
    <row r="17" customFormat="false" ht="15" hidden="false" customHeight="true" outlineLevel="0" collapsed="false">
      <c r="B17" s="5" t="s">
        <v>253</v>
      </c>
      <c r="C17" s="21" t="n">
        <v>489.72641509434</v>
      </c>
      <c r="F17" s="22" t="s">
        <v>254</v>
      </c>
    </row>
    <row r="20" customFormat="false" ht="15" hidden="false" customHeight="true" outlineLevel="0" collapsed="false">
      <c r="B20" s="4" t="s">
        <v>62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63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64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65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66</v>
      </c>
      <c r="C24" s="3"/>
      <c r="D24" s="3"/>
      <c r="E24" s="3"/>
      <c r="F24" s="3"/>
    </row>
  </sheetData>
  <mergeCells count="8">
    <mergeCell ref="B2:F2"/>
    <mergeCell ref="B4:F4"/>
    <mergeCell ref="B11:F11"/>
    <mergeCell ref="B20:F20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255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256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257</v>
      </c>
      <c r="C5" s="10" t="s">
        <v>258</v>
      </c>
      <c r="D5" s="10" t="s">
        <v>176</v>
      </c>
      <c r="E5" s="10" t="s">
        <v>259</v>
      </c>
      <c r="F5" s="10" t="s">
        <v>260</v>
      </c>
    </row>
    <row r="6" customFormat="false" ht="15" hidden="false" customHeight="true" outlineLevel="0" collapsed="false">
      <c r="B6" s="5" t="s">
        <v>75</v>
      </c>
      <c r="C6" s="5" t="s">
        <v>74</v>
      </c>
      <c r="D6" s="17" t="n">
        <v>181.5</v>
      </c>
      <c r="E6" s="12" t="n">
        <f aca="false">IF(28660.75=0,0,D6/28660.75)</f>
        <v>0.0063327023891559</v>
      </c>
      <c r="F6" s="23" t="n">
        <f aca="false">IF(197=0,0,D6/197)</f>
        <v>0.921319796954315</v>
      </c>
    </row>
    <row r="7" customFormat="false" ht="15" hidden="false" customHeight="true" outlineLevel="0" collapsed="false">
      <c r="B7" s="5" t="s">
        <v>261</v>
      </c>
      <c r="C7" s="5" t="s">
        <v>76</v>
      </c>
      <c r="D7" s="17" t="n">
        <v>401.5</v>
      </c>
      <c r="E7" s="12" t="n">
        <f aca="false">IF(28660.75=0,0,D7/28660.75)</f>
        <v>0.0140087052851024</v>
      </c>
      <c r="F7" s="23" t="n">
        <f aca="false">IF(197=0,0,D7/197)</f>
        <v>2.03807106598985</v>
      </c>
    </row>
    <row r="8" customFormat="false" ht="15" hidden="false" customHeight="true" outlineLevel="0" collapsed="false">
      <c r="B8" s="5" t="s">
        <v>262</v>
      </c>
      <c r="C8" s="5" t="s">
        <v>78</v>
      </c>
      <c r="D8" s="17" t="n">
        <v>338</v>
      </c>
      <c r="E8" s="12" t="n">
        <f aca="false">IF(28660.75=0,0,D8/28660.75)</f>
        <v>0.0117931317219542</v>
      </c>
      <c r="F8" s="23" t="n">
        <f aca="false">IF(197=0,0,D8/197)</f>
        <v>1.71573604060914</v>
      </c>
    </row>
    <row r="9" customFormat="false" ht="15" hidden="false" customHeight="true" outlineLevel="0" collapsed="false">
      <c r="B9" s="5" t="s">
        <v>263</v>
      </c>
      <c r="C9" s="5" t="s">
        <v>80</v>
      </c>
      <c r="D9" s="17" t="n">
        <v>2333.5</v>
      </c>
      <c r="E9" s="12" t="n">
        <f aca="false">IF(28660.75=0,0,D9/28660.75)</f>
        <v>0.0814179670804149</v>
      </c>
      <c r="F9" s="23" t="n">
        <f aca="false">IF(197=0,0,D9/197)</f>
        <v>11.8451776649746</v>
      </c>
    </row>
    <row r="10" customFormat="false" ht="15" hidden="false" customHeight="true" outlineLevel="0" collapsed="false">
      <c r="B10" s="5" t="s">
        <v>264</v>
      </c>
      <c r="C10" s="5" t="s">
        <v>82</v>
      </c>
      <c r="D10" s="17" t="n">
        <v>407</v>
      </c>
      <c r="E10" s="12" t="n">
        <f aca="false">IF(28660.75=0,0,D10/28660.75)</f>
        <v>0.0142006053575011</v>
      </c>
      <c r="F10" s="23" t="n">
        <f aca="false">IF(197=0,0,D10/197)</f>
        <v>2.06598984771574</v>
      </c>
    </row>
    <row r="11" customFormat="false" ht="15" hidden="false" customHeight="true" outlineLevel="0" collapsed="false">
      <c r="B11" s="5" t="s">
        <v>265</v>
      </c>
      <c r="C11" s="5" t="s">
        <v>84</v>
      </c>
      <c r="D11" s="17" t="n">
        <v>21</v>
      </c>
      <c r="E11" s="12" t="n">
        <f aca="false">IF(28660.75=0,0,D11/28660.75)</f>
        <v>0.000732709367340352</v>
      </c>
      <c r="F11" s="23" t="n">
        <f aca="false">IF(197=0,0,D11/197)</f>
        <v>0.106598984771574</v>
      </c>
    </row>
    <row r="12" customFormat="false" ht="15" hidden="false" customHeight="true" outlineLevel="0" collapsed="false">
      <c r="B12" s="5" t="s">
        <v>266</v>
      </c>
      <c r="C12" s="5" t="s">
        <v>86</v>
      </c>
      <c r="D12" s="17" t="n">
        <v>19733.75</v>
      </c>
      <c r="E12" s="12" t="n">
        <f aca="false">IF(28660.75=0,0,D12/28660.75)</f>
        <v>0.688528737035842</v>
      </c>
      <c r="F12" s="23" t="n">
        <f aca="false">IF(197=0,0,D12/197)</f>
        <v>100.171319796954</v>
      </c>
    </row>
    <row r="13" customFormat="false" ht="15" hidden="false" customHeight="true" outlineLevel="0" collapsed="false">
      <c r="B13" s="5" t="s">
        <v>267</v>
      </c>
      <c r="C13" s="5" t="s">
        <v>88</v>
      </c>
      <c r="D13" s="17" t="n">
        <v>2328.5</v>
      </c>
      <c r="E13" s="12" t="n">
        <f aca="false">IF(28660.75=0,0,D13/28660.75)</f>
        <v>0.0812435124691433</v>
      </c>
      <c r="F13" s="23" t="n">
        <f aca="false">IF(197=0,0,D13/197)</f>
        <v>11.8197969543147</v>
      </c>
    </row>
    <row r="14" customFormat="false" ht="15" hidden="false" customHeight="true" outlineLevel="0" collapsed="false">
      <c r="B14" s="5" t="s">
        <v>268</v>
      </c>
      <c r="C14" s="5" t="s">
        <v>90</v>
      </c>
      <c r="D14" s="17" t="n">
        <v>529</v>
      </c>
      <c r="E14" s="12" t="n">
        <f aca="false">IF(28660.75=0,0,D14/28660.75)</f>
        <v>0.018457297872526</v>
      </c>
      <c r="F14" s="23" t="n">
        <f aca="false">IF(197=0,0,D14/197)</f>
        <v>2.68527918781726</v>
      </c>
    </row>
    <row r="15" customFormat="false" ht="15" hidden="false" customHeight="true" outlineLevel="0" collapsed="false">
      <c r="B15" s="5" t="s">
        <v>269</v>
      </c>
      <c r="C15" s="5" t="s">
        <v>92</v>
      </c>
      <c r="D15" s="17" t="n">
        <v>2007</v>
      </c>
      <c r="E15" s="12" t="n">
        <f aca="false">IF(28660.75=0,0,D15/28660.75)</f>
        <v>0.0700260809643851</v>
      </c>
      <c r="F15" s="23" t="n">
        <f aca="false">IF(197=0,0,D15/197)</f>
        <v>10.1878172588832</v>
      </c>
    </row>
    <row r="16" customFormat="false" ht="15" hidden="false" customHeight="true" outlineLevel="0" collapsed="false">
      <c r="B16" s="5" t="s">
        <v>270</v>
      </c>
      <c r="C16" s="5" t="s">
        <v>94</v>
      </c>
      <c r="D16" s="17" t="n">
        <v>380</v>
      </c>
      <c r="E16" s="12" t="n">
        <f aca="false">IF(28660.75=0,0,D16/28660.75)</f>
        <v>0.0132585504566349</v>
      </c>
      <c r="F16" s="23" t="n">
        <f aca="false">IF(197=0,0,D16/197)</f>
        <v>1.92893401015228</v>
      </c>
    </row>
    <row r="17" customFormat="false" ht="15" hidden="false" customHeight="true" outlineLevel="0" collapsed="false">
      <c r="B17" s="6" t="s">
        <v>38</v>
      </c>
      <c r="D17" s="19" t="n">
        <f aca="false">SUM(D6:D16)</f>
        <v>28660.75</v>
      </c>
      <c r="E17" s="14" t="n">
        <v>1</v>
      </c>
      <c r="F17" s="21" t="n">
        <f aca="false">IF(197=0,0,D17/197)</f>
        <v>145.486040609137</v>
      </c>
    </row>
    <row r="20" customFormat="false" ht="15" hidden="false" customHeight="true" outlineLevel="0" collapsed="false">
      <c r="B20" s="4" t="s">
        <v>271</v>
      </c>
      <c r="C20" s="4"/>
      <c r="D20" s="4"/>
      <c r="E20" s="4"/>
      <c r="F20" s="4"/>
      <c r="G20" s="4"/>
    </row>
    <row r="21" customFormat="false" ht="15" hidden="false" customHeight="true" outlineLevel="0" collapsed="false">
      <c r="B21" s="10" t="s">
        <v>40</v>
      </c>
      <c r="C21" s="10" t="s">
        <v>41</v>
      </c>
      <c r="D21" s="10" t="s">
        <v>272</v>
      </c>
      <c r="E21" s="10"/>
      <c r="F21" s="10" t="s">
        <v>273</v>
      </c>
    </row>
    <row r="22" customFormat="false" ht="15" hidden="false" customHeight="true" outlineLevel="0" collapsed="false">
      <c r="B22" s="5" t="s">
        <v>260</v>
      </c>
      <c r="C22" s="24" t="n">
        <v>145.486040609137</v>
      </c>
      <c r="D22" s="5" t="s">
        <v>274</v>
      </c>
      <c r="F22" s="22" t="s">
        <v>275</v>
      </c>
    </row>
    <row r="23" customFormat="false" ht="15" hidden="false" customHeight="true" outlineLevel="0" collapsed="false">
      <c r="B23" s="5" t="s">
        <v>276</v>
      </c>
      <c r="C23" s="24" t="n">
        <v>21.2459229058562</v>
      </c>
      <c r="D23" s="5" t="s">
        <v>274</v>
      </c>
      <c r="F23" s="22" t="s">
        <v>277</v>
      </c>
    </row>
    <row r="24" customFormat="false" ht="15" hidden="false" customHeight="true" outlineLevel="0" collapsed="false">
      <c r="B24" s="5" t="s">
        <v>278</v>
      </c>
      <c r="C24" s="24" t="n">
        <v>74.9006219306892</v>
      </c>
      <c r="D24" s="5" t="s">
        <v>279</v>
      </c>
      <c r="F24" s="22" t="s">
        <v>280</v>
      </c>
    </row>
    <row r="25" customFormat="false" ht="15" hidden="false" customHeight="true" outlineLevel="0" collapsed="false">
      <c r="B25" s="5" t="s">
        <v>281</v>
      </c>
      <c r="C25" s="24" t="n">
        <v>19.6681328995229</v>
      </c>
      <c r="D25" s="5" t="s">
        <v>279</v>
      </c>
      <c r="F25" s="22" t="s">
        <v>282</v>
      </c>
    </row>
    <row r="26" customFormat="false" ht="15" hidden="false" customHeight="true" outlineLevel="0" collapsed="false">
      <c r="B26" s="5" t="s">
        <v>283</v>
      </c>
      <c r="C26" s="24" t="n">
        <v>7.88</v>
      </c>
      <c r="D26" s="5" t="s">
        <v>284</v>
      </c>
      <c r="F26" s="22" t="s">
        <v>285</v>
      </c>
    </row>
    <row r="27" customFormat="false" ht="15" hidden="false" customHeight="true" outlineLevel="0" collapsed="false">
      <c r="B27" s="5" t="s">
        <v>286</v>
      </c>
      <c r="C27" s="24" t="n">
        <v>53.96</v>
      </c>
      <c r="D27" s="5" t="s">
        <v>287</v>
      </c>
      <c r="F27" s="22" t="s">
        <v>288</v>
      </c>
    </row>
    <row r="28" customFormat="false" ht="15" hidden="false" customHeight="true" outlineLevel="0" collapsed="false">
      <c r="B28" s="5" t="s">
        <v>289</v>
      </c>
      <c r="C28" s="24" t="n">
        <v>1146.43</v>
      </c>
      <c r="D28" s="5" t="s">
        <v>274</v>
      </c>
      <c r="F28" s="22" t="s">
        <v>290</v>
      </c>
    </row>
    <row r="29" customFormat="false" ht="15" hidden="false" customHeight="true" outlineLevel="0" collapsed="false">
      <c r="B29" s="5" t="s">
        <v>291</v>
      </c>
      <c r="C29" s="24" t="n">
        <v>85868.32</v>
      </c>
      <c r="D29" s="5" t="s">
        <v>279</v>
      </c>
      <c r="F29" s="22" t="s">
        <v>292</v>
      </c>
    </row>
    <row r="32" customFormat="false" ht="15" hidden="false" customHeight="true" outlineLevel="0" collapsed="false">
      <c r="B32" s="4" t="s">
        <v>62</v>
      </c>
      <c r="C32" s="4"/>
      <c r="D32" s="4"/>
      <c r="E32" s="4"/>
      <c r="F32" s="4"/>
      <c r="G32" s="4"/>
    </row>
    <row r="33" customFormat="false" ht="15" hidden="false" customHeight="true" outlineLevel="0" collapsed="false">
      <c r="B33" s="3" t="s">
        <v>63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64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65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66</v>
      </c>
      <c r="C36" s="3"/>
      <c r="D36" s="3"/>
      <c r="E36" s="3"/>
      <c r="F36" s="3"/>
      <c r="G36" s="3"/>
    </row>
  </sheetData>
  <mergeCells count="8">
    <mergeCell ref="B2:G2"/>
    <mergeCell ref="B4:G4"/>
    <mergeCell ref="B20:G20"/>
    <mergeCell ref="B32:G32"/>
    <mergeCell ref="B33:G33"/>
    <mergeCell ref="B34:G34"/>
    <mergeCell ref="B35:G35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293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294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295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296</v>
      </c>
      <c r="C6" s="10" t="s">
        <v>297</v>
      </c>
      <c r="D6" s="10" t="s">
        <v>298</v>
      </c>
      <c r="E6" s="10" t="s">
        <v>299</v>
      </c>
      <c r="F6" s="10" t="s">
        <v>300</v>
      </c>
    </row>
    <row r="7" customFormat="false" ht="15" hidden="false" customHeight="true" outlineLevel="0" collapsed="false">
      <c r="B7" s="5" t="s">
        <v>301</v>
      </c>
      <c r="C7" s="5" t="s">
        <v>302</v>
      </c>
      <c r="D7" s="15" t="n">
        <v>30</v>
      </c>
      <c r="E7" s="12" t="n">
        <f aca="false">IF(198=0,0,D7/198)</f>
        <v>0.151515151515152</v>
      </c>
    </row>
    <row r="8" customFormat="false" ht="15" hidden="false" customHeight="true" outlineLevel="0" collapsed="false">
      <c r="B8" s="5" t="s">
        <v>303</v>
      </c>
      <c r="C8" s="5" t="s">
        <v>304</v>
      </c>
      <c r="D8" s="15" t="n">
        <v>42</v>
      </c>
      <c r="E8" s="12" t="n">
        <f aca="false">IF(198=0,0,D8/198)</f>
        <v>0.212121212121212</v>
      </c>
    </row>
    <row r="9" customFormat="false" ht="15" hidden="false" customHeight="true" outlineLevel="0" collapsed="false">
      <c r="B9" s="5" t="s">
        <v>305</v>
      </c>
      <c r="C9" s="5" t="s">
        <v>306</v>
      </c>
      <c r="D9" s="15" t="n">
        <v>30</v>
      </c>
      <c r="E9" s="12" t="n">
        <f aca="false">IF(198=0,0,D9/198)</f>
        <v>0.151515151515152</v>
      </c>
    </row>
    <row r="10" customFormat="false" ht="15" hidden="false" customHeight="true" outlineLevel="0" collapsed="false">
      <c r="B10" s="5" t="s">
        <v>307</v>
      </c>
      <c r="C10" s="5" t="s">
        <v>308</v>
      </c>
      <c r="D10" s="15" t="n">
        <v>3</v>
      </c>
      <c r="E10" s="12" t="n">
        <f aca="false">IF(198=0,0,D10/198)</f>
        <v>0.0151515151515152</v>
      </c>
    </row>
    <row r="11" customFormat="false" ht="15" hidden="false" customHeight="true" outlineLevel="0" collapsed="false">
      <c r="B11" s="5" t="s">
        <v>309</v>
      </c>
      <c r="C11" s="5" t="s">
        <v>310</v>
      </c>
      <c r="D11" s="15" t="n">
        <v>23</v>
      </c>
      <c r="E11" s="12" t="n">
        <f aca="false">IF(198=0,0,D11/198)</f>
        <v>0.116161616161616</v>
      </c>
    </row>
    <row r="12" customFormat="false" ht="15" hidden="false" customHeight="true" outlineLevel="0" collapsed="false">
      <c r="B12" s="5" t="s">
        <v>311</v>
      </c>
      <c r="C12" s="5" t="s">
        <v>312</v>
      </c>
      <c r="D12" s="15" t="n">
        <v>70</v>
      </c>
      <c r="E12" s="12" t="n">
        <f aca="false">IF(198=0,0,D12/198)</f>
        <v>0.353535353535354</v>
      </c>
    </row>
    <row r="13" customFormat="false" ht="15" hidden="false" customHeight="true" outlineLevel="0" collapsed="false">
      <c r="B13" s="6" t="s">
        <v>38</v>
      </c>
      <c r="D13" s="16" t="n">
        <f aca="false">SUM(D7:D12)</f>
        <v>198</v>
      </c>
      <c r="E13" s="14" t="n">
        <v>1</v>
      </c>
      <c r="F13" s="13" t="n">
        <v>661468.33</v>
      </c>
    </row>
    <row r="16" customFormat="false" ht="15" hidden="false" customHeight="true" outlineLevel="0" collapsed="false">
      <c r="B16" s="4" t="s">
        <v>313</v>
      </c>
      <c r="C16" s="4"/>
      <c r="D16" s="4"/>
      <c r="E16" s="4"/>
      <c r="F16" s="4"/>
      <c r="G16" s="4"/>
    </row>
    <row r="17" customFormat="false" ht="15" hidden="false" customHeight="true" outlineLevel="0" collapsed="false">
      <c r="B17" s="10" t="s">
        <v>144</v>
      </c>
      <c r="C17" s="10" t="s">
        <v>298</v>
      </c>
      <c r="D17" s="10" t="s">
        <v>299</v>
      </c>
    </row>
    <row r="18" customFormat="false" ht="15" hidden="false" customHeight="true" outlineLevel="0" collapsed="false">
      <c r="B18" s="5" t="s">
        <v>314</v>
      </c>
      <c r="C18" s="15" t="n">
        <v>66</v>
      </c>
      <c r="D18" s="12" t="n">
        <f aca="false">IF(198=0,0,C18/198)</f>
        <v>0.333333333333333</v>
      </c>
    </row>
    <row r="19" customFormat="false" ht="15" hidden="false" customHeight="true" outlineLevel="0" collapsed="false">
      <c r="B19" s="5" t="s">
        <v>315</v>
      </c>
      <c r="C19" s="15" t="n">
        <v>49</v>
      </c>
      <c r="D19" s="12" t="n">
        <f aca="false">IF(198=0,0,C19/198)</f>
        <v>0.247474747474748</v>
      </c>
    </row>
    <row r="20" customFormat="false" ht="15" hidden="false" customHeight="true" outlineLevel="0" collapsed="false">
      <c r="B20" s="5" t="s">
        <v>316</v>
      </c>
      <c r="C20" s="15" t="n">
        <v>42</v>
      </c>
      <c r="D20" s="12" t="n">
        <f aca="false">IF(198=0,0,C20/198)</f>
        <v>0.212121212121212</v>
      </c>
    </row>
    <row r="21" customFormat="false" ht="15" hidden="false" customHeight="true" outlineLevel="0" collapsed="false">
      <c r="B21" s="5" t="s">
        <v>311</v>
      </c>
      <c r="C21" s="15" t="n">
        <v>21</v>
      </c>
      <c r="D21" s="12" t="n">
        <f aca="false">IF(198=0,0,C21/198)</f>
        <v>0.106060606060606</v>
      </c>
    </row>
    <row r="22" customFormat="false" ht="15" hidden="false" customHeight="true" outlineLevel="0" collapsed="false">
      <c r="B22" s="5" t="s">
        <v>317</v>
      </c>
      <c r="C22" s="15" t="n">
        <v>7</v>
      </c>
      <c r="D22" s="12" t="n">
        <f aca="false">IF(198=0,0,C22/198)</f>
        <v>0.0353535353535354</v>
      </c>
    </row>
    <row r="23" customFormat="false" ht="15" hidden="false" customHeight="true" outlineLevel="0" collapsed="false">
      <c r="B23" s="5" t="s">
        <v>318</v>
      </c>
      <c r="C23" s="15" t="n">
        <v>6</v>
      </c>
      <c r="D23" s="12" t="n">
        <f aca="false">IF(198=0,0,C23/198)</f>
        <v>0.0303030303030303</v>
      </c>
    </row>
    <row r="24" customFormat="false" ht="15" hidden="false" customHeight="true" outlineLevel="0" collapsed="false">
      <c r="B24" s="5" t="s">
        <v>319</v>
      </c>
      <c r="C24" s="15" t="n">
        <v>3</v>
      </c>
      <c r="D24" s="12" t="n">
        <f aca="false">IF(198=0,0,C24/198)</f>
        <v>0.0151515151515152</v>
      </c>
    </row>
    <row r="25" customFormat="false" ht="15" hidden="false" customHeight="true" outlineLevel="0" collapsed="false">
      <c r="B25" s="5" t="s">
        <v>320</v>
      </c>
      <c r="C25" s="15" t="n">
        <v>3</v>
      </c>
      <c r="D25" s="12" t="n">
        <f aca="false">IF(198=0,0,C25/198)</f>
        <v>0.0151515151515152</v>
      </c>
    </row>
    <row r="26" customFormat="false" ht="15" hidden="false" customHeight="true" outlineLevel="0" collapsed="false">
      <c r="B26" s="5" t="s">
        <v>321</v>
      </c>
      <c r="C26" s="15" t="n">
        <v>1</v>
      </c>
      <c r="D26" s="12" t="n">
        <f aca="false">IF(198=0,0,C26/198)</f>
        <v>0.00505050505050505</v>
      </c>
    </row>
    <row r="29" customFormat="false" ht="15" hidden="false" customHeight="true" outlineLevel="0" collapsed="false">
      <c r="B29" s="4" t="s">
        <v>322</v>
      </c>
      <c r="C29" s="4"/>
      <c r="D29" s="4"/>
      <c r="E29" s="4"/>
      <c r="F29" s="4"/>
      <c r="G29" s="4"/>
    </row>
    <row r="30" customFormat="false" ht="15" hidden="false" customHeight="true" outlineLevel="0" collapsed="false">
      <c r="B30" s="5" t="s">
        <v>323</v>
      </c>
      <c r="E30" s="11" t="n">
        <v>661468.33</v>
      </c>
    </row>
    <row r="31" customFormat="false" ht="15" hidden="false" customHeight="true" outlineLevel="0" collapsed="false">
      <c r="B31" s="5" t="s">
        <v>324</v>
      </c>
      <c r="E31" s="15" t="n">
        <v>198</v>
      </c>
    </row>
    <row r="32" customFormat="false" ht="15" hidden="false" customHeight="true" outlineLevel="0" collapsed="false">
      <c r="B32" s="22" t="s">
        <v>325</v>
      </c>
    </row>
    <row r="35" customFormat="false" ht="15" hidden="false" customHeight="true" outlineLevel="0" collapsed="false">
      <c r="B35" s="4" t="s">
        <v>62</v>
      </c>
      <c r="C35" s="4"/>
      <c r="D35" s="4"/>
      <c r="E35" s="4"/>
      <c r="F35" s="4"/>
      <c r="G35" s="4"/>
    </row>
    <row r="36" customFormat="false" ht="15" hidden="false" customHeight="true" outlineLevel="0" collapsed="false">
      <c r="B36" s="3" t="s">
        <v>63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64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65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66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326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327</v>
      </c>
      <c r="C41" s="3"/>
      <c r="D41" s="3"/>
      <c r="E41" s="3"/>
      <c r="F41" s="3"/>
      <c r="G41" s="3"/>
    </row>
  </sheetData>
  <mergeCells count="12">
    <mergeCell ref="B2:G2"/>
    <mergeCell ref="B3:G3"/>
    <mergeCell ref="B5:G5"/>
    <mergeCell ref="B16:G16"/>
    <mergeCell ref="B29:G29"/>
    <mergeCell ref="B35:G35"/>
    <mergeCell ref="B36:G36"/>
    <mergeCell ref="B37:G37"/>
    <mergeCell ref="B38:G38"/>
    <mergeCell ref="B39:G39"/>
    <mergeCell ref="B40:G40"/>
    <mergeCell ref="B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328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329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330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331</v>
      </c>
      <c r="G6" s="11" t="n">
        <v>2002285</v>
      </c>
    </row>
    <row r="7" customFormat="false" ht="15" hidden="false" customHeight="true" outlineLevel="0" collapsed="false">
      <c r="B7" s="5" t="s">
        <v>332</v>
      </c>
      <c r="G7" s="11" t="n">
        <v>144423</v>
      </c>
    </row>
    <row r="8" customFormat="false" ht="15" hidden="false" customHeight="true" outlineLevel="0" collapsed="false">
      <c r="B8" s="5" t="s">
        <v>333</v>
      </c>
      <c r="G8" s="11" t="n">
        <v>2146708</v>
      </c>
    </row>
    <row r="9" customFormat="false" ht="15" hidden="false" customHeight="true" outlineLevel="0" collapsed="false">
      <c r="B9" s="5" t="s">
        <v>334</v>
      </c>
      <c r="G9" s="11" t="n">
        <v>103985</v>
      </c>
    </row>
    <row r="10" customFormat="false" ht="15" hidden="false" customHeight="true" outlineLevel="0" collapsed="false">
      <c r="B10" s="5" t="s">
        <v>335</v>
      </c>
      <c r="G10" s="11" t="n">
        <v>2042723</v>
      </c>
    </row>
    <row r="12" customFormat="false" ht="15" hidden="false" customHeight="true" outlineLevel="0" collapsed="false">
      <c r="B12" s="4" t="s">
        <v>336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337</v>
      </c>
      <c r="C13" s="10" t="s">
        <v>338</v>
      </c>
      <c r="D13" s="10" t="s">
        <v>339</v>
      </c>
      <c r="E13" s="10" t="s">
        <v>340</v>
      </c>
      <c r="F13" s="10" t="s">
        <v>341</v>
      </c>
      <c r="G13" s="10" t="s">
        <v>342</v>
      </c>
      <c r="H13" s="10" t="s">
        <v>343</v>
      </c>
    </row>
    <row r="14" customFormat="false" ht="15" hidden="false" customHeight="true" outlineLevel="0" collapsed="false">
      <c r="B14" s="5" t="n">
        <v>1</v>
      </c>
      <c r="C14" s="5" t="s">
        <v>344</v>
      </c>
      <c r="D14" s="11" t="n">
        <v>44400</v>
      </c>
      <c r="E14" s="11" t="n">
        <v>2220</v>
      </c>
      <c r="F14" s="11" t="n">
        <f aca="false">D14-E14</f>
        <v>42180</v>
      </c>
      <c r="G14" s="11" t="n">
        <v>42180</v>
      </c>
      <c r="H14" s="12" t="n">
        <f aca="false">IF(2146708=0,0,G14/2146708)</f>
        <v>0.0196486899941678</v>
      </c>
    </row>
    <row r="15" customFormat="false" ht="15" hidden="false" customHeight="true" outlineLevel="0" collapsed="false">
      <c r="B15" s="5" t="n">
        <v>2</v>
      </c>
      <c r="C15" s="5" t="s">
        <v>345</v>
      </c>
      <c r="D15" s="11" t="n">
        <v>22600</v>
      </c>
      <c r="E15" s="11" t="n">
        <v>1130</v>
      </c>
      <c r="F15" s="11" t="n">
        <f aca="false">D15-E15</f>
        <v>21470</v>
      </c>
      <c r="G15" s="11" t="n">
        <v>63650</v>
      </c>
      <c r="H15" s="12" t="n">
        <f aca="false">IF(2146708=0,0,G15/2146708)</f>
        <v>0.0296500502164244</v>
      </c>
    </row>
    <row r="16" customFormat="false" ht="15" hidden="false" customHeight="true" outlineLevel="0" collapsed="false">
      <c r="B16" s="5" t="n">
        <v>3</v>
      </c>
      <c r="C16" s="5" t="s">
        <v>346</v>
      </c>
      <c r="D16" s="11" t="n">
        <v>33600</v>
      </c>
      <c r="E16" s="11" t="n">
        <v>1680</v>
      </c>
      <c r="F16" s="11" t="n">
        <f aca="false">D16-E16</f>
        <v>31920</v>
      </c>
      <c r="G16" s="11" t="n">
        <v>95570</v>
      </c>
      <c r="H16" s="12" t="n">
        <f aca="false">IF(2146708=0,0,G16/2146708)</f>
        <v>0.0445193291309298</v>
      </c>
    </row>
    <row r="17" customFormat="false" ht="15" hidden="false" customHeight="true" outlineLevel="0" collapsed="false">
      <c r="B17" s="5" t="n">
        <v>4</v>
      </c>
      <c r="C17" s="5" t="s">
        <v>347</v>
      </c>
      <c r="D17" s="11" t="n">
        <v>23701</v>
      </c>
      <c r="E17" s="11" t="n">
        <v>1185.05</v>
      </c>
      <c r="F17" s="11" t="n">
        <f aca="false">D17-E17</f>
        <v>22515.95</v>
      </c>
      <c r="G17" s="11" t="n">
        <v>118085.95</v>
      </c>
      <c r="H17" s="12" t="n">
        <f aca="false">IF(2146708=0,0,G17/2146708)</f>
        <v>0.0550079237604742</v>
      </c>
    </row>
    <row r="18" customFormat="false" ht="15" hidden="false" customHeight="true" outlineLevel="0" collapsed="false">
      <c r="B18" s="5" t="n">
        <v>5</v>
      </c>
      <c r="C18" s="5" t="s">
        <v>348</v>
      </c>
      <c r="D18" s="11" t="n">
        <v>79600</v>
      </c>
      <c r="E18" s="11" t="n">
        <v>3980</v>
      </c>
      <c r="F18" s="11" t="n">
        <f aca="false">D18-E18</f>
        <v>75620</v>
      </c>
      <c r="G18" s="11" t="n">
        <v>193705.95</v>
      </c>
      <c r="H18" s="12" t="n">
        <f aca="false">IF(2146708=0,0,G18/2146708)</f>
        <v>0.0902339535698381</v>
      </c>
    </row>
    <row r="19" customFormat="false" ht="15" hidden="false" customHeight="true" outlineLevel="0" collapsed="false">
      <c r="B19" s="5" t="n">
        <v>6</v>
      </c>
      <c r="C19" s="5" t="s">
        <v>349</v>
      </c>
      <c r="D19" s="11" t="n">
        <v>73100</v>
      </c>
      <c r="E19" s="11" t="n">
        <v>3655</v>
      </c>
      <c r="F19" s="11" t="n">
        <f aca="false">D19-E19</f>
        <v>69445</v>
      </c>
      <c r="G19" s="11" t="n">
        <v>263150.95</v>
      </c>
      <c r="H19" s="12" t="n">
        <f aca="false">IF(2146708=0,0,G19/2146708)</f>
        <v>0.122583485970146</v>
      </c>
    </row>
    <row r="20" customFormat="false" ht="15" hidden="false" customHeight="true" outlineLevel="0" collapsed="false">
      <c r="B20" s="5" t="n">
        <v>7</v>
      </c>
      <c r="C20" s="5" t="s">
        <v>350</v>
      </c>
      <c r="D20" s="11" t="n">
        <v>73185</v>
      </c>
      <c r="E20" s="11" t="n">
        <v>3659.25</v>
      </c>
      <c r="F20" s="11" t="n">
        <f aca="false">D20-E20</f>
        <v>69525.75</v>
      </c>
      <c r="G20" s="11" t="n">
        <v>332676.7</v>
      </c>
      <c r="H20" s="12" t="n">
        <f aca="false">IF(2146708=0,0,G20/2146708)</f>
        <v>0.154970634105803</v>
      </c>
    </row>
    <row r="21" customFormat="false" ht="15" hidden="false" customHeight="true" outlineLevel="0" collapsed="false">
      <c r="B21" s="5" t="n">
        <v>8</v>
      </c>
      <c r="C21" s="5" t="s">
        <v>351</v>
      </c>
      <c r="D21" s="11" t="n">
        <v>142120</v>
      </c>
      <c r="E21" s="11" t="n">
        <v>7106</v>
      </c>
      <c r="F21" s="11" t="n">
        <f aca="false">D21-E21</f>
        <v>135014</v>
      </c>
      <c r="G21" s="11" t="n">
        <v>467690.7</v>
      </c>
      <c r="H21" s="12" t="n">
        <f aca="false">IF(2146708=0,0,G21/2146708)</f>
        <v>0.217864143609657</v>
      </c>
    </row>
    <row r="22" customFormat="false" ht="15" hidden="false" customHeight="true" outlineLevel="0" collapsed="false">
      <c r="B22" s="5" t="n">
        <v>9</v>
      </c>
      <c r="C22" s="5" t="s">
        <v>352</v>
      </c>
      <c r="D22" s="11" t="n">
        <v>545668</v>
      </c>
      <c r="E22" s="11" t="n">
        <v>27283.4</v>
      </c>
      <c r="F22" s="11" t="n">
        <f aca="false">D22-E22</f>
        <v>518384.6</v>
      </c>
      <c r="G22" s="11" t="n">
        <v>986075.3</v>
      </c>
      <c r="H22" s="12" t="n">
        <f aca="false">IF(2146708=0,0,G22/2146708)</f>
        <v>0.459343003333476</v>
      </c>
    </row>
    <row r="23" customFormat="false" ht="15" hidden="false" customHeight="true" outlineLevel="0" collapsed="false">
      <c r="B23" s="5" t="n">
        <v>10</v>
      </c>
      <c r="C23" s="5" t="s">
        <v>353</v>
      </c>
      <c r="D23" s="11" t="n">
        <v>188377</v>
      </c>
      <c r="E23" s="11" t="n">
        <v>9418.85</v>
      </c>
      <c r="F23" s="11" t="n">
        <f aca="false">D23-E23</f>
        <v>178958.15</v>
      </c>
      <c r="G23" s="11" t="n">
        <v>1165033.45</v>
      </c>
      <c r="H23" s="12" t="n">
        <f aca="false">IF(2146708=0,0,G23/2146708)</f>
        <v>0.542706996014363</v>
      </c>
    </row>
    <row r="24" customFormat="false" ht="15" hidden="false" customHeight="true" outlineLevel="0" collapsed="false">
      <c r="B24" s="5" t="n">
        <v>11</v>
      </c>
      <c r="C24" s="5" t="s">
        <v>354</v>
      </c>
      <c r="D24" s="11" t="n">
        <v>306651</v>
      </c>
      <c r="E24" s="11" t="n">
        <v>15332.55</v>
      </c>
      <c r="F24" s="11" t="n">
        <f aca="false">D24-E24</f>
        <v>291318.45</v>
      </c>
      <c r="G24" s="11" t="n">
        <v>1456351.9</v>
      </c>
      <c r="H24" s="12" t="n">
        <f aca="false">IF(2146708=0,0,G24/2146708)</f>
        <v>0.678411735550433</v>
      </c>
    </row>
    <row r="25" customFormat="false" ht="15" hidden="false" customHeight="true" outlineLevel="0" collapsed="false">
      <c r="B25" s="5" t="n">
        <v>12</v>
      </c>
      <c r="C25" s="5" t="s">
        <v>355</v>
      </c>
      <c r="D25" s="11" t="n">
        <v>160471</v>
      </c>
      <c r="E25" s="11" t="n">
        <v>8023.55</v>
      </c>
      <c r="F25" s="11" t="n">
        <f aca="false">D25-E25</f>
        <v>152447.45</v>
      </c>
      <c r="G25" s="11" t="n">
        <v>1608799.35</v>
      </c>
      <c r="H25" s="12" t="n">
        <f aca="false">IF(2146708=0,0,G25/2146708)</f>
        <v>0.749426261047148</v>
      </c>
    </row>
    <row r="26" customFormat="false" ht="15" hidden="false" customHeight="true" outlineLevel="0" collapsed="false">
      <c r="B26" s="5" t="n">
        <v>13</v>
      </c>
      <c r="C26" s="5" t="s">
        <v>356</v>
      </c>
      <c r="D26" s="11" t="n">
        <v>137507</v>
      </c>
      <c r="E26" s="11" t="n">
        <v>6875.35</v>
      </c>
      <c r="F26" s="11" t="n">
        <f aca="false">D26-E26</f>
        <v>130631.65</v>
      </c>
      <c r="G26" s="11" t="n">
        <v>1739431</v>
      </c>
      <c r="H26" s="12" t="n">
        <f aca="false">IF(2146708=0,0,G26/2146708)</f>
        <v>0.810278342466698</v>
      </c>
    </row>
    <row r="27" customFormat="false" ht="15" hidden="false" customHeight="true" outlineLevel="0" collapsed="false">
      <c r="B27" s="5" t="n">
        <v>14</v>
      </c>
      <c r="C27" s="5" t="s">
        <v>357</v>
      </c>
      <c r="D27" s="11" t="n">
        <v>91158</v>
      </c>
      <c r="E27" s="11" t="n">
        <v>4557.9</v>
      </c>
      <c r="F27" s="11" t="n">
        <f aca="false">D27-E27</f>
        <v>86600.1</v>
      </c>
      <c r="G27" s="11" t="n">
        <v>1826031.1</v>
      </c>
      <c r="H27" s="12" t="n">
        <f aca="false">IF(2146708=0,0,G27/2146708)</f>
        <v>0.850619227207426</v>
      </c>
    </row>
    <row r="28" customFormat="false" ht="15" hidden="false" customHeight="true" outlineLevel="0" collapsed="false">
      <c r="B28" s="5" t="n">
        <v>15</v>
      </c>
      <c r="C28" s="5" t="s">
        <v>358</v>
      </c>
      <c r="D28" s="11" t="n">
        <v>48802</v>
      </c>
      <c r="E28" s="11" t="n">
        <v>2440.1</v>
      </c>
      <c r="F28" s="11" t="n">
        <f aca="false">D28-E28</f>
        <v>46361.9</v>
      </c>
      <c r="G28" s="11" t="n">
        <v>1872393</v>
      </c>
      <c r="H28" s="12" t="n">
        <f aca="false">IF(2146708=0,0,G28/2146708)</f>
        <v>0.87221596975462</v>
      </c>
    </row>
    <row r="29" customFormat="false" ht="15" hidden="false" customHeight="true" outlineLevel="0" collapsed="false">
      <c r="B29" s="5" t="n">
        <v>16</v>
      </c>
      <c r="C29" s="5" t="s">
        <v>359</v>
      </c>
      <c r="D29" s="11" t="n">
        <v>50566</v>
      </c>
      <c r="E29" s="11" t="n">
        <v>2528.3</v>
      </c>
      <c r="F29" s="11" t="n">
        <f aca="false">D29-E29</f>
        <v>48037.7</v>
      </c>
      <c r="G29" s="11" t="n">
        <v>1920430.7</v>
      </c>
      <c r="H29" s="12" t="n">
        <f aca="false">IF(2146708=0,0,G29/2146708)</f>
        <v>0.894593349444824</v>
      </c>
    </row>
    <row r="30" customFormat="false" ht="15" hidden="false" customHeight="true" outlineLevel="0" collapsed="false">
      <c r="B30" s="5" t="n">
        <v>17</v>
      </c>
      <c r="C30" s="5" t="s">
        <v>360</v>
      </c>
      <c r="D30" s="11" t="n">
        <v>23479</v>
      </c>
      <c r="E30" s="11" t="n">
        <v>1173.95</v>
      </c>
      <c r="F30" s="11" t="n">
        <f aca="false">D30-E30</f>
        <v>22305.05</v>
      </c>
      <c r="G30" s="11" t="n">
        <v>1942735.75</v>
      </c>
      <c r="H30" s="12" t="n">
        <f aca="false">IF(2146708=0,0,G30/2146708)</f>
        <v>0.904983700624398</v>
      </c>
    </row>
    <row r="31" customFormat="false" ht="15" hidden="false" customHeight="true" outlineLevel="0" collapsed="false">
      <c r="B31" s="5" t="n">
        <v>18</v>
      </c>
      <c r="C31" s="5" t="s">
        <v>361</v>
      </c>
      <c r="D31" s="11" t="n">
        <v>2958</v>
      </c>
      <c r="E31" s="11" t="n">
        <v>147.9</v>
      </c>
      <c r="F31" s="11" t="n">
        <f aca="false">D31-E31</f>
        <v>2810.1</v>
      </c>
      <c r="G31" s="11" t="n">
        <v>1945545.85</v>
      </c>
      <c r="H31" s="12" t="n">
        <f aca="false">IF(2146708=0,0,G31/2146708)</f>
        <v>0.90629272821455</v>
      </c>
    </row>
    <row r="32" customFormat="false" ht="15" hidden="false" customHeight="true" outlineLevel="0" collapsed="false">
      <c r="B32" s="5" t="s">
        <v>362</v>
      </c>
      <c r="C32" s="5" t="s">
        <v>359</v>
      </c>
      <c r="D32" s="11" t="n">
        <v>28590</v>
      </c>
      <c r="E32" s="11" t="n">
        <v>0</v>
      </c>
      <c r="F32" s="11" t="n">
        <f aca="false">D32-E32</f>
        <v>28590</v>
      </c>
      <c r="G32" s="11" t="n">
        <v>28590</v>
      </c>
      <c r="H32" s="12" t="n">
        <f aca="false">IF(2146708=0,0,G32/2146708)</f>
        <v>0.0133180665465448</v>
      </c>
    </row>
    <row r="33" customFormat="false" ht="15" hidden="false" customHeight="true" outlineLevel="0" collapsed="false">
      <c r="B33" s="5" t="s">
        <v>363</v>
      </c>
      <c r="C33" s="5" t="s">
        <v>360</v>
      </c>
      <c r="D33" s="11" t="n">
        <v>3175</v>
      </c>
      <c r="E33" s="11" t="n">
        <v>0</v>
      </c>
      <c r="F33" s="11" t="n">
        <f aca="false">D33-E33</f>
        <v>3175</v>
      </c>
      <c r="G33" s="11" t="n">
        <v>31765</v>
      </c>
      <c r="H33" s="12" t="n">
        <f aca="false">IF(2146708=0,0,G33/2146708)</f>
        <v>0.0147970753358165</v>
      </c>
    </row>
    <row r="35" customFormat="false" ht="15" hidden="false" customHeight="true" outlineLevel="0" collapsed="false">
      <c r="B35" s="4" t="s">
        <v>364</v>
      </c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B36" s="10" t="s">
        <v>40</v>
      </c>
      <c r="C36" s="10" t="s">
        <v>365</v>
      </c>
      <c r="D36" s="10" t="s">
        <v>366</v>
      </c>
      <c r="E36" s="10" t="s">
        <v>367</v>
      </c>
      <c r="F36" s="10" t="s">
        <v>368</v>
      </c>
    </row>
    <row r="37" customFormat="false" ht="15" hidden="false" customHeight="true" outlineLevel="0" collapsed="false">
      <c r="B37" s="5" t="s">
        <v>333</v>
      </c>
      <c r="C37" s="11" t="n">
        <v>2079708</v>
      </c>
      <c r="D37" s="11" t="n">
        <v>2146708</v>
      </c>
      <c r="E37" s="11" t="n">
        <f aca="false">C37-D37</f>
        <v>-67000</v>
      </c>
      <c r="F37" s="6" t="str">
        <f aca="false">IF(ABS(E37)&lt;=1,"TIES",IF(ABS(E37)&lt;=ABS(D37)*0.05,"WITHIN","OFF"))</f>
        <v>WITHIN</v>
      </c>
    </row>
    <row r="38" customFormat="false" ht="15" hidden="false" customHeight="true" outlineLevel="0" collapsed="false">
      <c r="B38" s="5" t="s">
        <v>369</v>
      </c>
      <c r="C38" s="11" t="n">
        <v>103985</v>
      </c>
      <c r="D38" s="11" t="n">
        <v>103985</v>
      </c>
      <c r="E38" s="11" t="n">
        <f aca="false">C38-D38</f>
        <v>0</v>
      </c>
      <c r="F38" s="6" t="str">
        <f aca="false">IF(ABS(E38)&lt;=1,"TIES",IF(ABS(E38)&lt;=ABS(D38)*0.05,"WITHIN","OFF"))</f>
        <v>TIES</v>
      </c>
    </row>
    <row r="39" customFormat="false" ht="15" hidden="false" customHeight="true" outlineLevel="0" collapsed="false">
      <c r="B39" s="5" t="s">
        <v>127</v>
      </c>
      <c r="C39" s="11" t="n">
        <v>1583004.56</v>
      </c>
      <c r="D39" s="11" t="n">
        <v>1641584</v>
      </c>
      <c r="E39" s="11" t="n">
        <f aca="false">C39-D39</f>
        <v>-58579.4399999999</v>
      </c>
      <c r="F39" s="6" t="str">
        <f aca="false">IF(ABS(E39)&lt;=1,"TIES",IF(ABS(E39)&lt;=ABS(D39)*0.05,"WITHIN","OFF"))</f>
        <v>WITHIN</v>
      </c>
    </row>
    <row r="43" customFormat="false" ht="15" hidden="false" customHeight="true" outlineLevel="0" collapsed="false">
      <c r="B43" s="4" t="s">
        <v>62</v>
      </c>
      <c r="C43" s="4"/>
      <c r="D43" s="4"/>
      <c r="E43" s="4"/>
      <c r="F43" s="4"/>
      <c r="G43" s="4"/>
      <c r="H43" s="4"/>
    </row>
    <row r="44" customFormat="false" ht="15" hidden="false" customHeight="true" outlineLevel="0" collapsed="false">
      <c r="B44" s="3" t="s">
        <v>63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64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65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66</v>
      </c>
      <c r="C47" s="3"/>
      <c r="D47" s="3"/>
      <c r="E47" s="3"/>
      <c r="F47" s="3"/>
      <c r="G47" s="3"/>
      <c r="H47" s="3"/>
    </row>
  </sheetData>
  <mergeCells count="10">
    <mergeCell ref="B2:H2"/>
    <mergeCell ref="B3:H3"/>
    <mergeCell ref="B5:H5"/>
    <mergeCell ref="B12:H12"/>
    <mergeCell ref="B35:H35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370</v>
      </c>
      <c r="C2" s="2"/>
    </row>
    <row r="3" customFormat="false" ht="15" hidden="false" customHeight="true" outlineLevel="0" collapsed="false">
      <c r="B3" s="3" t="s">
        <v>371</v>
      </c>
      <c r="C3" s="3"/>
    </row>
    <row r="5" customFormat="false" ht="31.5" hidden="false" customHeight="true" outlineLevel="0" collapsed="false">
      <c r="B5" s="6" t="s">
        <v>372</v>
      </c>
      <c r="C5" s="25" t="s">
        <v>373</v>
      </c>
    </row>
    <row r="6" customFormat="false" ht="31.5" hidden="false" customHeight="true" outlineLevel="0" collapsed="false">
      <c r="B6" s="6" t="s">
        <v>374</v>
      </c>
      <c r="C6" s="25" t="s">
        <v>375</v>
      </c>
    </row>
    <row r="7" customFormat="false" ht="31.5" hidden="false" customHeight="true" outlineLevel="0" collapsed="false">
      <c r="B7" s="6" t="s">
        <v>376</v>
      </c>
      <c r="C7" s="25" t="s">
        <v>377</v>
      </c>
    </row>
    <row r="8" customFormat="false" ht="31.5" hidden="false" customHeight="true" outlineLevel="0" collapsed="false">
      <c r="B8" s="6" t="s">
        <v>378</v>
      </c>
      <c r="C8" s="25" t="s">
        <v>379</v>
      </c>
    </row>
    <row r="9" customFormat="false" ht="31.5" hidden="false" customHeight="true" outlineLevel="0" collapsed="false">
      <c r="B9" s="6" t="s">
        <v>380</v>
      </c>
      <c r="C9" s="25" t="s">
        <v>381</v>
      </c>
    </row>
    <row r="10" customFormat="false" ht="31.5" hidden="false" customHeight="true" outlineLevel="0" collapsed="false">
      <c r="B10" s="6" t="s">
        <v>382</v>
      </c>
      <c r="C10" s="25" t="s">
        <v>383</v>
      </c>
    </row>
    <row r="11" customFormat="false" ht="31.5" hidden="false" customHeight="true" outlineLevel="0" collapsed="false">
      <c r="B11" s="6" t="s">
        <v>384</v>
      </c>
      <c r="C11" s="25" t="s">
        <v>385</v>
      </c>
    </row>
    <row r="12" customFormat="false" ht="31.5" hidden="false" customHeight="true" outlineLevel="0" collapsed="false">
      <c r="B12" s="6" t="s">
        <v>386</v>
      </c>
      <c r="C12" s="25" t="s">
        <v>387</v>
      </c>
    </row>
    <row r="13" customFormat="false" ht="31.5" hidden="false" customHeight="true" outlineLevel="0" collapsed="false">
      <c r="B13" s="6" t="s">
        <v>388</v>
      </c>
      <c r="C13" s="25" t="s">
        <v>389</v>
      </c>
    </row>
    <row r="14" customFormat="false" ht="31.5" hidden="false" customHeight="true" outlineLevel="0" collapsed="false">
      <c r="B14" s="6" t="s">
        <v>390</v>
      </c>
      <c r="C14" s="25" t="s">
        <v>391</v>
      </c>
    </row>
    <row r="16" customFormat="false" ht="15" hidden="false" customHeight="true" outlineLevel="0" collapsed="false">
      <c r="B16" s="4" t="s">
        <v>392</v>
      </c>
      <c r="C16" s="4"/>
    </row>
    <row r="17" customFormat="false" ht="49.5" hidden="false" customHeight="true" outlineLevel="0" collapsed="false">
      <c r="B17" s="26" t="s">
        <v>393</v>
      </c>
      <c r="C17" s="26"/>
    </row>
    <row r="20" customFormat="false" ht="15" hidden="false" customHeight="true" outlineLevel="0" collapsed="false">
      <c r="B20" s="4" t="s">
        <v>62</v>
      </c>
      <c r="C20" s="4"/>
    </row>
    <row r="21" customFormat="false" ht="15" hidden="false" customHeight="true" outlineLevel="0" collapsed="false">
      <c r="B21" s="3" t="s">
        <v>63</v>
      </c>
      <c r="C21" s="3"/>
    </row>
    <row r="22" customFormat="false" ht="15" hidden="false" customHeight="true" outlineLevel="0" collapsed="false">
      <c r="B22" s="3" t="s">
        <v>64</v>
      </c>
      <c r="C22" s="3"/>
    </row>
    <row r="23" customFormat="false" ht="15" hidden="false" customHeight="true" outlineLevel="0" collapsed="false">
      <c r="B23" s="3" t="s">
        <v>65</v>
      </c>
      <c r="C23" s="3"/>
    </row>
    <row r="24" customFormat="false" ht="15" hidden="false" customHeight="true" outlineLevel="0" collapsed="false">
      <c r="B24" s="3" t="s">
        <v>66</v>
      </c>
      <c r="C24" s="3"/>
    </row>
  </sheetData>
  <mergeCells count="9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394</v>
      </c>
      <c r="C2" s="2"/>
      <c r="D2" s="2"/>
      <c r="E2" s="2"/>
      <c r="F2" s="2"/>
    </row>
    <row r="3" customFormat="false" ht="15" hidden="false" customHeight="true" outlineLevel="0" collapsed="false">
      <c r="B3" s="3" t="s">
        <v>395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396</v>
      </c>
      <c r="C5" s="10" t="s">
        <v>397</v>
      </c>
      <c r="D5" s="10" t="s">
        <v>41</v>
      </c>
      <c r="E5" s="10" t="s">
        <v>28</v>
      </c>
      <c r="F5" s="10" t="s">
        <v>273</v>
      </c>
      <c r="G5" s="27" t="s">
        <v>398</v>
      </c>
      <c r="H5" s="27" t="s">
        <v>399</v>
      </c>
    </row>
    <row r="6" customFormat="false" ht="15" hidden="false" customHeight="true" outlineLevel="0" collapsed="false">
      <c r="B6" s="5" t="s">
        <v>400</v>
      </c>
      <c r="C6" s="28" t="s">
        <v>401</v>
      </c>
      <c r="D6" s="6" t="s">
        <v>4</v>
      </c>
      <c r="E6" s="5" t="s">
        <v>402</v>
      </c>
      <c r="F6" s="22" t="s">
        <v>403</v>
      </c>
      <c r="G6" s="29" t="s">
        <v>404</v>
      </c>
      <c r="H6" s="30" t="s">
        <v>405</v>
      </c>
    </row>
    <row r="7" customFormat="false" ht="15" hidden="false" customHeight="true" outlineLevel="0" collapsed="false">
      <c r="B7" s="5" t="s">
        <v>406</v>
      </c>
      <c r="C7" s="28" t="s">
        <v>407</v>
      </c>
      <c r="D7" s="6" t="s">
        <v>6</v>
      </c>
      <c r="E7" s="5" t="s">
        <v>402</v>
      </c>
      <c r="G7" s="29" t="s">
        <v>404</v>
      </c>
      <c r="H7" s="30" t="s">
        <v>405</v>
      </c>
    </row>
    <row r="8" customFormat="false" ht="15" hidden="false" customHeight="true" outlineLevel="0" collapsed="false">
      <c r="B8" s="5" t="s">
        <v>7</v>
      </c>
      <c r="C8" s="28" t="s">
        <v>408</v>
      </c>
      <c r="D8" s="6" t="s">
        <v>8</v>
      </c>
      <c r="E8" s="5" t="s">
        <v>402</v>
      </c>
      <c r="G8" s="29" t="s">
        <v>404</v>
      </c>
      <c r="H8" s="30" t="s">
        <v>405</v>
      </c>
    </row>
    <row r="9" customFormat="false" ht="15" hidden="false" customHeight="true" outlineLevel="0" collapsed="false">
      <c r="B9" s="5" t="s">
        <v>9</v>
      </c>
      <c r="C9" s="28" t="s">
        <v>409</v>
      </c>
      <c r="D9" s="6" t="s">
        <v>10</v>
      </c>
      <c r="E9" s="5" t="s">
        <v>402</v>
      </c>
      <c r="G9" s="29" t="s">
        <v>404</v>
      </c>
      <c r="H9" s="30" t="s">
        <v>405</v>
      </c>
    </row>
    <row r="10" customFormat="false" ht="15" hidden="false" customHeight="true" outlineLevel="0" collapsed="false">
      <c r="B10" s="5" t="s">
        <v>410</v>
      </c>
      <c r="C10" s="28" t="s">
        <v>411</v>
      </c>
      <c r="D10" s="6" t="s">
        <v>412</v>
      </c>
      <c r="E10" s="5" t="s">
        <v>402</v>
      </c>
      <c r="G10" s="29" t="s">
        <v>404</v>
      </c>
      <c r="H10" s="30" t="s">
        <v>405</v>
      </c>
    </row>
    <row r="11" customFormat="false" ht="15" hidden="false" customHeight="true" outlineLevel="0" collapsed="false">
      <c r="B11" s="5" t="s">
        <v>413</v>
      </c>
      <c r="C11" s="28" t="s">
        <v>414</v>
      </c>
      <c r="D11" s="6" t="n">
        <v>25</v>
      </c>
      <c r="E11" s="5" t="s">
        <v>402</v>
      </c>
      <c r="F11" s="22" t="s">
        <v>12</v>
      </c>
      <c r="G11" s="29" t="s">
        <v>404</v>
      </c>
      <c r="H11" s="30" t="s">
        <v>405</v>
      </c>
    </row>
    <row r="12" customFormat="false" ht="15" hidden="false" customHeight="true" outlineLevel="0" collapsed="false">
      <c r="B12" s="5" t="s">
        <v>415</v>
      </c>
      <c r="C12" s="28" t="s">
        <v>416</v>
      </c>
      <c r="D12" s="13" t="n">
        <v>197</v>
      </c>
      <c r="E12" s="5" t="s">
        <v>402</v>
      </c>
      <c r="G12" s="29" t="s">
        <v>404</v>
      </c>
      <c r="H12" s="30" t="s">
        <v>405</v>
      </c>
    </row>
    <row r="13" customFormat="false" ht="15" hidden="false" customHeight="true" outlineLevel="0" collapsed="false">
      <c r="B13" s="5" t="s">
        <v>47</v>
      </c>
      <c r="C13" s="28" t="s">
        <v>417</v>
      </c>
      <c r="D13" s="13" t="n">
        <v>1349</v>
      </c>
      <c r="E13" s="5" t="s">
        <v>402</v>
      </c>
      <c r="G13" s="29" t="s">
        <v>404</v>
      </c>
      <c r="H13" s="30" t="s">
        <v>405</v>
      </c>
    </row>
    <row r="14" customFormat="false" ht="15" hidden="false" customHeight="true" outlineLevel="0" collapsed="false">
      <c r="B14" s="5" t="s">
        <v>418</v>
      </c>
      <c r="C14" s="28" t="s">
        <v>419</v>
      </c>
      <c r="D14" s="21" t="n">
        <v>6.84771573604061</v>
      </c>
      <c r="E14" s="5" t="s">
        <v>402</v>
      </c>
      <c r="G14" s="29" t="s">
        <v>404</v>
      </c>
      <c r="H14" s="30" t="s">
        <v>405</v>
      </c>
    </row>
    <row r="15" customFormat="false" ht="15" hidden="false" customHeight="true" outlineLevel="0" collapsed="false">
      <c r="B15" s="5" t="s">
        <v>420</v>
      </c>
      <c r="C15" s="28" t="s">
        <v>421</v>
      </c>
      <c r="D15" s="13" t="n">
        <v>2002285</v>
      </c>
      <c r="E15" s="5" t="s">
        <v>422</v>
      </c>
      <c r="G15" s="29" t="s">
        <v>404</v>
      </c>
      <c r="H15" s="30" t="s">
        <v>405</v>
      </c>
    </row>
    <row r="16" customFormat="false" ht="15" hidden="false" customHeight="true" outlineLevel="0" collapsed="false">
      <c r="B16" s="5" t="s">
        <v>423</v>
      </c>
      <c r="C16" s="28" t="s">
        <v>424</v>
      </c>
      <c r="D16" s="13" t="n">
        <v>2146708</v>
      </c>
      <c r="E16" s="5" t="s">
        <v>422</v>
      </c>
      <c r="F16" s="22" t="s">
        <v>425</v>
      </c>
      <c r="G16" s="29" t="s">
        <v>404</v>
      </c>
      <c r="H16" s="30" t="s">
        <v>405</v>
      </c>
    </row>
    <row r="17" customFormat="false" ht="15" hidden="false" customHeight="true" outlineLevel="0" collapsed="false">
      <c r="B17" s="5" t="s">
        <v>426</v>
      </c>
      <c r="C17" s="28" t="s">
        <v>427</v>
      </c>
      <c r="D17" s="13" t="n">
        <v>144423</v>
      </c>
      <c r="E17" s="5" t="s">
        <v>422</v>
      </c>
      <c r="G17" s="29" t="s">
        <v>404</v>
      </c>
      <c r="H17" s="30" t="s">
        <v>405</v>
      </c>
    </row>
    <row r="18" customFormat="false" ht="15" hidden="false" customHeight="true" outlineLevel="0" collapsed="false">
      <c r="B18" s="5" t="s">
        <v>428</v>
      </c>
      <c r="C18" s="28" t="s">
        <v>429</v>
      </c>
      <c r="D18" s="13" t="n">
        <v>2146708</v>
      </c>
      <c r="E18" s="5" t="s">
        <v>422</v>
      </c>
      <c r="G18" s="29" t="s">
        <v>404</v>
      </c>
      <c r="H18" s="30" t="s">
        <v>405</v>
      </c>
    </row>
    <row r="19" customFormat="false" ht="15" hidden="false" customHeight="true" outlineLevel="0" collapsed="false">
      <c r="B19" s="5" t="s">
        <v>430</v>
      </c>
      <c r="C19" s="28" t="s">
        <v>431</v>
      </c>
      <c r="D19" s="13" t="n">
        <v>563703.44</v>
      </c>
      <c r="E19" s="5" t="s">
        <v>422</v>
      </c>
      <c r="G19" s="29" t="s">
        <v>404</v>
      </c>
      <c r="H19" s="30" t="s">
        <v>405</v>
      </c>
    </row>
    <row r="20" customFormat="false" ht="15" hidden="false" customHeight="true" outlineLevel="0" collapsed="false">
      <c r="B20" s="5" t="s">
        <v>432</v>
      </c>
      <c r="C20" s="28" t="s">
        <v>433</v>
      </c>
      <c r="D20" s="21" t="n">
        <v>0.262589714111095</v>
      </c>
      <c r="E20" s="5" t="s">
        <v>422</v>
      </c>
      <c r="G20" s="29" t="s">
        <v>404</v>
      </c>
      <c r="H20" s="30" t="s">
        <v>405</v>
      </c>
    </row>
    <row r="21" customFormat="false" ht="15" hidden="false" customHeight="true" outlineLevel="0" collapsed="false">
      <c r="B21" s="5" t="s">
        <v>127</v>
      </c>
      <c r="C21" s="28" t="s">
        <v>434</v>
      </c>
      <c r="D21" s="13" t="n">
        <v>1583004.56</v>
      </c>
      <c r="E21" s="5" t="s">
        <v>422</v>
      </c>
      <c r="G21" s="29" t="s">
        <v>404</v>
      </c>
      <c r="H21" s="30" t="s">
        <v>405</v>
      </c>
    </row>
    <row r="22" customFormat="false" ht="15" hidden="false" customHeight="true" outlineLevel="0" collapsed="false">
      <c r="B22" s="5" t="s">
        <v>435</v>
      </c>
      <c r="C22" s="28" t="s">
        <v>436</v>
      </c>
      <c r="D22" s="13" t="n">
        <v>583482.62</v>
      </c>
      <c r="E22" s="5" t="s">
        <v>34</v>
      </c>
      <c r="F22" s="22" t="s">
        <v>437</v>
      </c>
      <c r="G22" s="29" t="s">
        <v>404</v>
      </c>
      <c r="H22" s="30" t="s">
        <v>405</v>
      </c>
    </row>
    <row r="23" customFormat="false" ht="15" hidden="false" customHeight="true" outlineLevel="0" collapsed="false">
      <c r="B23" s="5" t="s">
        <v>438</v>
      </c>
      <c r="C23" s="28" t="s">
        <v>439</v>
      </c>
      <c r="D23" s="13" t="n">
        <v>661468.33</v>
      </c>
      <c r="E23" s="5" t="s">
        <v>35</v>
      </c>
      <c r="F23" s="22" t="s">
        <v>440</v>
      </c>
      <c r="G23" s="29" t="s">
        <v>404</v>
      </c>
      <c r="H23" s="30" t="s">
        <v>405</v>
      </c>
    </row>
    <row r="24" customFormat="false" ht="15" hidden="false" customHeight="true" outlineLevel="0" collapsed="false">
      <c r="B24" s="5" t="s">
        <v>441</v>
      </c>
      <c r="C24" s="28" t="s">
        <v>442</v>
      </c>
      <c r="D24" s="13" t="n">
        <v>43335.38</v>
      </c>
      <c r="E24" s="5" t="s">
        <v>422</v>
      </c>
      <c r="F24" s="22" t="s">
        <v>443</v>
      </c>
      <c r="G24" s="29" t="s">
        <v>404</v>
      </c>
      <c r="H24" s="30" t="s">
        <v>405</v>
      </c>
    </row>
    <row r="25" customFormat="false" ht="15" hidden="false" customHeight="true" outlineLevel="0" collapsed="false">
      <c r="B25" s="5" t="s">
        <v>444</v>
      </c>
      <c r="C25" s="28" t="s">
        <v>445</v>
      </c>
      <c r="D25" s="13" t="n">
        <v>294718.23</v>
      </c>
      <c r="E25" s="5" t="s">
        <v>422</v>
      </c>
      <c r="F25" s="22" t="s">
        <v>446</v>
      </c>
      <c r="G25" s="29" t="s">
        <v>404</v>
      </c>
      <c r="H25" s="30" t="s">
        <v>405</v>
      </c>
    </row>
    <row r="26" customFormat="false" ht="15" hidden="false" customHeight="true" outlineLevel="0" collapsed="false">
      <c r="B26" s="5" t="s">
        <v>369</v>
      </c>
      <c r="C26" s="28" t="s">
        <v>447</v>
      </c>
      <c r="D26" s="13" t="n">
        <v>103985</v>
      </c>
      <c r="E26" s="5" t="s">
        <v>422</v>
      </c>
      <c r="F26" s="22" t="s">
        <v>448</v>
      </c>
      <c r="G26" s="29" t="s">
        <v>404</v>
      </c>
      <c r="H26" s="30" t="s">
        <v>405</v>
      </c>
    </row>
    <row r="27" customFormat="false" ht="15" hidden="false" customHeight="true" outlineLevel="0" collapsed="false">
      <c r="B27" s="5" t="s">
        <v>449</v>
      </c>
      <c r="C27" s="28" t="s">
        <v>450</v>
      </c>
      <c r="D27" s="13" t="n">
        <v>10896.9949238579</v>
      </c>
      <c r="E27" s="5" t="s">
        <v>422</v>
      </c>
      <c r="G27" s="29" t="s">
        <v>404</v>
      </c>
      <c r="H27" s="30" t="s">
        <v>405</v>
      </c>
    </row>
    <row r="28" customFormat="false" ht="15" hidden="false" customHeight="true" outlineLevel="0" collapsed="false">
      <c r="B28" s="5" t="s">
        <v>451</v>
      </c>
      <c r="C28" s="28" t="s">
        <v>452</v>
      </c>
      <c r="D28" s="13" t="n">
        <v>2861.43878172589</v>
      </c>
      <c r="E28" s="5" t="s">
        <v>422</v>
      </c>
      <c r="G28" s="29" t="s">
        <v>404</v>
      </c>
      <c r="H28" s="30" t="s">
        <v>405</v>
      </c>
    </row>
    <row r="29" customFormat="false" ht="15" hidden="false" customHeight="true" outlineLevel="0" collapsed="false">
      <c r="B29" s="5" t="s">
        <v>453</v>
      </c>
      <c r="C29" s="28" t="s">
        <v>454</v>
      </c>
      <c r="D29" s="13" t="n">
        <v>8035.55614213198</v>
      </c>
      <c r="E29" s="5" t="s">
        <v>422</v>
      </c>
      <c r="G29" s="29" t="s">
        <v>404</v>
      </c>
      <c r="H29" s="30" t="s">
        <v>405</v>
      </c>
    </row>
    <row r="30" customFormat="false" ht="15" hidden="false" customHeight="true" outlineLevel="0" collapsed="false">
      <c r="B30" s="5" t="s">
        <v>455</v>
      </c>
      <c r="C30" s="28" t="s">
        <v>456</v>
      </c>
      <c r="D30" s="13" t="n">
        <v>2961.8407106599</v>
      </c>
      <c r="E30" s="5" t="s">
        <v>34</v>
      </c>
      <c r="G30" s="29" t="s">
        <v>404</v>
      </c>
      <c r="H30" s="30" t="s">
        <v>405</v>
      </c>
    </row>
    <row r="31" customFormat="false" ht="15" hidden="false" customHeight="true" outlineLevel="0" collapsed="false">
      <c r="B31" s="5" t="s">
        <v>457</v>
      </c>
      <c r="C31" s="28" t="s">
        <v>458</v>
      </c>
      <c r="D31" s="13" t="n">
        <v>3357.70725888325</v>
      </c>
      <c r="E31" s="5" t="s">
        <v>35</v>
      </c>
      <c r="G31" s="29" t="s">
        <v>404</v>
      </c>
      <c r="H31" s="30" t="s">
        <v>405</v>
      </c>
    </row>
    <row r="32" customFormat="false" ht="15" hidden="false" customHeight="true" outlineLevel="0" collapsed="false">
      <c r="B32" s="5" t="s">
        <v>459</v>
      </c>
      <c r="C32" s="28" t="s">
        <v>460</v>
      </c>
      <c r="D32" s="13" t="n">
        <v>1591.3328391401</v>
      </c>
      <c r="E32" s="5" t="s">
        <v>422</v>
      </c>
      <c r="G32" s="29" t="s">
        <v>404</v>
      </c>
      <c r="H32" s="30" t="s">
        <v>405</v>
      </c>
    </row>
    <row r="33" customFormat="false" ht="15" hidden="false" customHeight="true" outlineLevel="0" collapsed="false">
      <c r="B33" s="5" t="s">
        <v>461</v>
      </c>
      <c r="C33" s="28" t="s">
        <v>462</v>
      </c>
      <c r="D33" s="13" t="n">
        <v>417.867635285397</v>
      </c>
      <c r="E33" s="5" t="s">
        <v>422</v>
      </c>
      <c r="G33" s="29" t="s">
        <v>404</v>
      </c>
      <c r="H33" s="30" t="s">
        <v>405</v>
      </c>
    </row>
    <row r="34" customFormat="false" ht="15" hidden="false" customHeight="true" outlineLevel="0" collapsed="false">
      <c r="B34" s="5" t="s">
        <v>463</v>
      </c>
      <c r="C34" s="28" t="s">
        <v>464</v>
      </c>
      <c r="D34" s="13" t="n">
        <v>1173.46520385471</v>
      </c>
      <c r="E34" s="5" t="s">
        <v>422</v>
      </c>
      <c r="G34" s="29" t="s">
        <v>404</v>
      </c>
      <c r="H34" s="30" t="s">
        <v>405</v>
      </c>
    </row>
    <row r="35" customFormat="false" ht="15" hidden="false" customHeight="true" outlineLevel="0" collapsed="false">
      <c r="B35" s="5" t="s">
        <v>465</v>
      </c>
      <c r="C35" s="28" t="s">
        <v>466</v>
      </c>
      <c r="D35" s="13" t="n">
        <v>432.529740548555</v>
      </c>
      <c r="E35" s="5" t="s">
        <v>34</v>
      </c>
      <c r="G35" s="29" t="s">
        <v>404</v>
      </c>
      <c r="H35" s="30" t="s">
        <v>405</v>
      </c>
    </row>
    <row r="36" customFormat="false" ht="15" hidden="false" customHeight="true" outlineLevel="0" collapsed="false">
      <c r="B36" s="5" t="s">
        <v>467</v>
      </c>
      <c r="C36" s="28" t="s">
        <v>468</v>
      </c>
      <c r="D36" s="13" t="n">
        <v>490.339755374351</v>
      </c>
      <c r="E36" s="5" t="s">
        <v>35</v>
      </c>
      <c r="G36" s="29" t="s">
        <v>404</v>
      </c>
      <c r="H36" s="30" t="s">
        <v>405</v>
      </c>
    </row>
    <row r="37" customFormat="false" ht="15" hidden="false" customHeight="true" outlineLevel="0" collapsed="false">
      <c r="B37" s="5" t="s">
        <v>469</v>
      </c>
      <c r="C37" s="28" t="s">
        <v>470</v>
      </c>
      <c r="D37" s="13" t="n">
        <v>28660.75</v>
      </c>
      <c r="E37" s="5" t="s">
        <v>34</v>
      </c>
      <c r="F37" s="22" t="s">
        <v>471</v>
      </c>
      <c r="G37" s="29" t="s">
        <v>404</v>
      </c>
      <c r="H37" s="30" t="s">
        <v>405</v>
      </c>
    </row>
    <row r="38" customFormat="false" ht="15" hidden="false" customHeight="true" outlineLevel="0" collapsed="false">
      <c r="B38" s="5" t="s">
        <v>472</v>
      </c>
      <c r="C38" s="28" t="s">
        <v>473</v>
      </c>
      <c r="D38" s="6" t="n">
        <v>53</v>
      </c>
      <c r="E38" s="5" t="s">
        <v>34</v>
      </c>
      <c r="F38" s="22" t="s">
        <v>474</v>
      </c>
      <c r="G38" s="29" t="s">
        <v>404</v>
      </c>
      <c r="H38" s="30" t="s">
        <v>405</v>
      </c>
    </row>
    <row r="39" customFormat="false" ht="15" hidden="false" customHeight="true" outlineLevel="0" collapsed="false">
      <c r="B39" s="5" t="s">
        <v>243</v>
      </c>
      <c r="C39" s="28" t="s">
        <v>475</v>
      </c>
      <c r="D39" s="14" t="n">
        <v>17.8710431513481</v>
      </c>
      <c r="E39" s="5" t="s">
        <v>34</v>
      </c>
      <c r="F39" s="22" t="s">
        <v>476</v>
      </c>
      <c r="G39" s="29" t="s">
        <v>404</v>
      </c>
      <c r="H39" s="30" t="s">
        <v>405</v>
      </c>
    </row>
    <row r="40" customFormat="false" ht="15" hidden="false" customHeight="true" outlineLevel="0" collapsed="false">
      <c r="B40" s="5" t="s">
        <v>245</v>
      </c>
      <c r="C40" s="28" t="s">
        <v>477</v>
      </c>
      <c r="D40" s="14" t="n">
        <v>30.6412375810124</v>
      </c>
      <c r="E40" s="5" t="s">
        <v>34</v>
      </c>
      <c r="F40" s="22" t="s">
        <v>478</v>
      </c>
      <c r="G40" s="29" t="s">
        <v>404</v>
      </c>
      <c r="H40" s="30" t="s">
        <v>405</v>
      </c>
    </row>
    <row r="41" customFormat="false" ht="15" hidden="false" customHeight="true" outlineLevel="0" collapsed="false">
      <c r="B41" s="5" t="s">
        <v>247</v>
      </c>
      <c r="C41" s="28" t="s">
        <v>479</v>
      </c>
      <c r="D41" s="21" t="n">
        <v>1.7145746513796</v>
      </c>
      <c r="E41" s="5" t="s">
        <v>34</v>
      </c>
      <c r="G41" s="29" t="s">
        <v>404</v>
      </c>
      <c r="H41" s="30" t="s">
        <v>405</v>
      </c>
    </row>
    <row r="42" customFormat="false" ht="15" hidden="false" customHeight="true" outlineLevel="0" collapsed="false">
      <c r="B42" s="5" t="s">
        <v>480</v>
      </c>
      <c r="C42" s="28" t="s">
        <v>481</v>
      </c>
      <c r="D42" s="13" t="n">
        <v>145.486040609137</v>
      </c>
      <c r="E42" s="5" t="s">
        <v>34</v>
      </c>
      <c r="F42" s="22" t="s">
        <v>482</v>
      </c>
      <c r="G42" s="29" t="s">
        <v>404</v>
      </c>
      <c r="H42" s="30" t="s">
        <v>405</v>
      </c>
    </row>
    <row r="43" customFormat="false" ht="15" hidden="false" customHeight="true" outlineLevel="0" collapsed="false">
      <c r="B43" s="5" t="s">
        <v>483</v>
      </c>
      <c r="C43" s="28" t="s">
        <v>484</v>
      </c>
      <c r="D43" s="14" t="n">
        <v>21.2459229058562</v>
      </c>
      <c r="E43" s="5" t="s">
        <v>34</v>
      </c>
      <c r="F43" s="22" t="s">
        <v>482</v>
      </c>
      <c r="G43" s="29" t="s">
        <v>404</v>
      </c>
      <c r="H43" s="30" t="s">
        <v>405</v>
      </c>
    </row>
    <row r="44" customFormat="false" ht="15" hidden="false" customHeight="true" outlineLevel="0" collapsed="false">
      <c r="B44" s="5" t="s">
        <v>485</v>
      </c>
      <c r="C44" s="28" t="s">
        <v>486</v>
      </c>
      <c r="D44" s="14" t="n">
        <v>74.9006219306892</v>
      </c>
      <c r="E44" s="5" t="s">
        <v>487</v>
      </c>
      <c r="G44" s="29" t="s">
        <v>404</v>
      </c>
      <c r="H44" s="30" t="s">
        <v>405</v>
      </c>
    </row>
    <row r="45" customFormat="false" ht="15" hidden="false" customHeight="true" outlineLevel="0" collapsed="false">
      <c r="B45" s="5" t="s">
        <v>488</v>
      </c>
      <c r="C45" s="28" t="s">
        <v>489</v>
      </c>
      <c r="D45" s="14" t="n">
        <v>19.6681328995229</v>
      </c>
      <c r="E45" s="5" t="s">
        <v>487</v>
      </c>
      <c r="G45" s="29" t="s">
        <v>404</v>
      </c>
      <c r="H45" s="30" t="s">
        <v>405</v>
      </c>
    </row>
    <row r="46" customFormat="false" ht="15" hidden="false" customHeight="true" outlineLevel="0" collapsed="false">
      <c r="B46" s="5" t="s">
        <v>490</v>
      </c>
      <c r="C46" s="28" t="s">
        <v>491</v>
      </c>
      <c r="D46" s="21" t="n">
        <v>0.27180344043065</v>
      </c>
      <c r="E46" s="5" t="s">
        <v>492</v>
      </c>
      <c r="G46" s="29" t="s">
        <v>404</v>
      </c>
      <c r="H46" s="30" t="s">
        <v>405</v>
      </c>
    </row>
    <row r="47" customFormat="false" ht="15" hidden="false" customHeight="true" outlineLevel="0" collapsed="false">
      <c r="B47" s="5" t="s">
        <v>493</v>
      </c>
      <c r="C47" s="28" t="s">
        <v>494</v>
      </c>
      <c r="D47" s="21" t="n">
        <v>0.308131487840917</v>
      </c>
      <c r="E47" s="5" t="s">
        <v>492</v>
      </c>
      <c r="G47" s="29" t="s">
        <v>404</v>
      </c>
      <c r="H47" s="30" t="s">
        <v>405</v>
      </c>
    </row>
    <row r="48" customFormat="false" ht="15" hidden="false" customHeight="true" outlineLevel="0" collapsed="false">
      <c r="B48" s="5" t="s">
        <v>495</v>
      </c>
      <c r="C48" s="28" t="s">
        <v>496</v>
      </c>
      <c r="D48" s="13" t="n">
        <v>85868.32</v>
      </c>
      <c r="E48" s="5" t="s">
        <v>487</v>
      </c>
      <c r="G48" s="29" t="s">
        <v>404</v>
      </c>
      <c r="H48" s="30" t="s">
        <v>405</v>
      </c>
    </row>
    <row r="49" customFormat="false" ht="15" hidden="false" customHeight="true" outlineLevel="0" collapsed="false">
      <c r="B49" s="5" t="s">
        <v>497</v>
      </c>
      <c r="C49" s="28" t="s">
        <v>498</v>
      </c>
      <c r="D49" s="13" t="n">
        <v>1146.43</v>
      </c>
      <c r="E49" s="5" t="s">
        <v>487</v>
      </c>
      <c r="G49" s="29" t="s">
        <v>404</v>
      </c>
      <c r="H49" s="30" t="s">
        <v>405</v>
      </c>
    </row>
    <row r="50" customFormat="false" ht="15" hidden="false" customHeight="true" outlineLevel="0" collapsed="false">
      <c r="B50" s="5" t="s">
        <v>499</v>
      </c>
      <c r="C50" s="28" t="s">
        <v>500</v>
      </c>
      <c r="D50" s="21" t="n">
        <v>7.88</v>
      </c>
      <c r="E50" s="5" t="s">
        <v>487</v>
      </c>
      <c r="G50" s="29" t="s">
        <v>404</v>
      </c>
      <c r="H50" s="30" t="s">
        <v>405</v>
      </c>
    </row>
    <row r="51" customFormat="false" ht="15" hidden="false" customHeight="true" outlineLevel="0" collapsed="false">
      <c r="B51" s="5" t="s">
        <v>501</v>
      </c>
      <c r="C51" s="28" t="s">
        <v>502</v>
      </c>
      <c r="D51" s="6" t="n">
        <v>24</v>
      </c>
      <c r="E51" s="5" t="s">
        <v>35</v>
      </c>
      <c r="F51" s="22" t="s">
        <v>503</v>
      </c>
      <c r="G51" s="29" t="s">
        <v>404</v>
      </c>
      <c r="H51" s="30" t="s">
        <v>405</v>
      </c>
    </row>
    <row r="52" customFormat="false" ht="15" hidden="false" customHeight="true" outlineLevel="0" collapsed="false">
      <c r="B52" s="5" t="s">
        <v>504</v>
      </c>
      <c r="C52" s="28" t="s">
        <v>505</v>
      </c>
      <c r="D52" s="13" t="n">
        <v>192671.23</v>
      </c>
      <c r="E52" s="5" t="s">
        <v>35</v>
      </c>
      <c r="F52" s="22" t="s">
        <v>149</v>
      </c>
      <c r="G52" s="29" t="s">
        <v>404</v>
      </c>
      <c r="H52" s="30" t="s">
        <v>405</v>
      </c>
    </row>
    <row r="53" customFormat="false" ht="15" hidden="false" customHeight="true" outlineLevel="0" collapsed="false">
      <c r="B53" s="5" t="s">
        <v>506</v>
      </c>
      <c r="C53" s="28" t="s">
        <v>507</v>
      </c>
      <c r="D53" s="21" t="n">
        <v>0.259919265681971</v>
      </c>
      <c r="E53" s="5" t="s">
        <v>35</v>
      </c>
      <c r="G53" s="29" t="s">
        <v>404</v>
      </c>
      <c r="H53" s="30" t="s">
        <v>405</v>
      </c>
    </row>
    <row r="54" customFormat="false" ht="15" hidden="false" customHeight="true" outlineLevel="0" collapsed="false">
      <c r="B54" s="5" t="s">
        <v>508</v>
      </c>
      <c r="C54" s="28" t="s">
        <v>509</v>
      </c>
      <c r="D54" s="13" t="n">
        <v>198</v>
      </c>
      <c r="E54" s="5" t="s">
        <v>35</v>
      </c>
      <c r="F54" s="22" t="s">
        <v>510</v>
      </c>
      <c r="G54" s="29" t="s">
        <v>404</v>
      </c>
      <c r="H54" s="30" t="s">
        <v>405</v>
      </c>
    </row>
    <row r="55" customFormat="false" ht="15" hidden="false" customHeight="true" outlineLevel="0" collapsed="false">
      <c r="B55" s="5" t="s">
        <v>511</v>
      </c>
      <c r="C55" s="28" t="s">
        <v>512</v>
      </c>
      <c r="D55" s="21" t="n">
        <v>0.0721290925118053</v>
      </c>
      <c r="E55" s="5" t="s">
        <v>422</v>
      </c>
      <c r="G55" s="29" t="s">
        <v>404</v>
      </c>
      <c r="H55" s="30" t="s">
        <v>405</v>
      </c>
    </row>
    <row r="56" customFormat="false" ht="15" hidden="false" customHeight="true" outlineLevel="0" collapsed="false">
      <c r="B56" s="5" t="s">
        <v>513</v>
      </c>
      <c r="C56" s="28" t="s">
        <v>514</v>
      </c>
      <c r="D56" s="14" t="n">
        <v>74.9006219306892</v>
      </c>
      <c r="E56" s="5" t="s">
        <v>487</v>
      </c>
      <c r="G56" s="29" t="s">
        <v>404</v>
      </c>
      <c r="H56" s="30" t="s">
        <v>405</v>
      </c>
    </row>
    <row r="60" customFormat="false" ht="15" hidden="false" customHeight="true" outlineLevel="0" collapsed="false">
      <c r="B60" s="4" t="s">
        <v>62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63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64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65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66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515</v>
      </c>
      <c r="C65" s="3"/>
      <c r="D65" s="3"/>
      <c r="E65" s="3"/>
      <c r="F65" s="3"/>
    </row>
  </sheetData>
  <mergeCells count="8">
    <mergeCell ref="B2:F2"/>
    <mergeCell ref="B3:F3"/>
    <mergeCell ref="B60:F60"/>
    <mergeCell ref="B61:F61"/>
    <mergeCell ref="B62:F62"/>
    <mergeCell ref="B63:F63"/>
    <mergeCell ref="B64:F64"/>
    <mergeCell ref="B65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516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517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518</v>
      </c>
      <c r="C5" s="27" t="s">
        <v>519</v>
      </c>
      <c r="D5" s="27" t="s">
        <v>338</v>
      </c>
      <c r="E5" s="27" t="s">
        <v>520</v>
      </c>
      <c r="F5" s="27" t="s">
        <v>521</v>
      </c>
      <c r="G5" s="27" t="s">
        <v>522</v>
      </c>
      <c r="H5" s="27" t="s">
        <v>523</v>
      </c>
      <c r="I5" s="27" t="s">
        <v>524</v>
      </c>
      <c r="J5" s="27" t="s">
        <v>368</v>
      </c>
      <c r="K5" s="27" t="s">
        <v>399</v>
      </c>
    </row>
    <row r="6" customFormat="false" ht="23.85" hidden="false" customHeight="false" outlineLevel="0" collapsed="false">
      <c r="B6" s="33" t="s">
        <v>525</v>
      </c>
      <c r="C6" s="33" t="s">
        <v>526</v>
      </c>
      <c r="D6" s="33" t="s">
        <v>527</v>
      </c>
      <c r="E6" s="30" t="s">
        <v>528</v>
      </c>
      <c r="F6" s="33" t="s">
        <v>529</v>
      </c>
      <c r="G6" s="33" t="s">
        <v>530</v>
      </c>
      <c r="H6" s="34" t="n">
        <v>793</v>
      </c>
      <c r="I6" s="33" t="n">
        <v>0</v>
      </c>
      <c r="J6" s="33" t="s">
        <v>531</v>
      </c>
      <c r="K6" s="35" t="s">
        <v>532</v>
      </c>
    </row>
    <row r="7" customFormat="false" ht="46.25" hidden="false" customHeight="false" outlineLevel="0" collapsed="false">
      <c r="B7" s="33" t="s">
        <v>533</v>
      </c>
      <c r="C7" s="33" t="s">
        <v>526</v>
      </c>
      <c r="D7" s="33" t="s">
        <v>534</v>
      </c>
      <c r="E7" s="30" t="s">
        <v>535</v>
      </c>
      <c r="F7" s="33" t="s">
        <v>529</v>
      </c>
      <c r="G7" s="33" t="s">
        <v>536</v>
      </c>
      <c r="H7" s="34" t="n">
        <v>47149</v>
      </c>
      <c r="I7" s="33" t="n">
        <v>0</v>
      </c>
      <c r="J7" s="33" t="s">
        <v>531</v>
      </c>
      <c r="K7" s="35" t="s">
        <v>537</v>
      </c>
    </row>
    <row r="8" customFormat="false" ht="19.4" hidden="false" customHeight="false" outlineLevel="0" collapsed="false">
      <c r="B8" s="33" t="s">
        <v>538</v>
      </c>
      <c r="C8" s="33" t="s">
        <v>526</v>
      </c>
      <c r="D8" s="33" t="s">
        <v>4</v>
      </c>
      <c r="E8" s="30" t="s">
        <v>539</v>
      </c>
      <c r="F8" s="33" t="s">
        <v>540</v>
      </c>
      <c r="G8" s="33" t="s">
        <v>541</v>
      </c>
      <c r="H8" s="36" t="n">
        <v>0</v>
      </c>
      <c r="I8" s="33" t="n">
        <v>0</v>
      </c>
      <c r="J8" s="33" t="s">
        <v>531</v>
      </c>
      <c r="K8" s="35" t="s">
        <v>542</v>
      </c>
    </row>
    <row r="9" customFormat="false" ht="23.85" hidden="false" customHeight="false" outlineLevel="0" collapsed="false">
      <c r="B9" s="33" t="s">
        <v>543</v>
      </c>
      <c r="C9" s="33" t="s">
        <v>526</v>
      </c>
      <c r="D9" s="33" t="s">
        <v>4</v>
      </c>
      <c r="E9" s="30" t="s">
        <v>544</v>
      </c>
      <c r="F9" s="33" t="s">
        <v>545</v>
      </c>
      <c r="G9" s="33"/>
      <c r="H9" s="36" t="n">
        <v>0</v>
      </c>
      <c r="I9" s="33" t="n">
        <v>0</v>
      </c>
      <c r="J9" s="33" t="s">
        <v>531</v>
      </c>
      <c r="K9" s="35" t="s">
        <v>546</v>
      </c>
    </row>
    <row r="10" customFormat="false" ht="19.4" hidden="false" customHeight="false" outlineLevel="0" collapsed="false">
      <c r="B10" s="33" t="s">
        <v>547</v>
      </c>
      <c r="C10" s="33" t="s">
        <v>526</v>
      </c>
      <c r="D10" s="33" t="s">
        <v>4</v>
      </c>
      <c r="E10" s="30" t="s">
        <v>548</v>
      </c>
      <c r="F10" s="33" t="s">
        <v>549</v>
      </c>
      <c r="G10" s="33" t="s">
        <v>550</v>
      </c>
      <c r="H10" s="36" t="n">
        <v>0</v>
      </c>
      <c r="I10" s="33" t="n">
        <v>0</v>
      </c>
      <c r="J10" s="33" t="s">
        <v>531</v>
      </c>
      <c r="K10" s="35" t="s">
        <v>551</v>
      </c>
    </row>
    <row r="11" customFormat="false" ht="23.85" hidden="false" customHeight="false" outlineLevel="0" collapsed="false">
      <c r="B11" s="33" t="s">
        <v>552</v>
      </c>
      <c r="C11" s="33" t="s">
        <v>526</v>
      </c>
      <c r="D11" s="33" t="s">
        <v>4</v>
      </c>
      <c r="E11" s="30" t="s">
        <v>553</v>
      </c>
      <c r="F11" s="33" t="s">
        <v>549</v>
      </c>
      <c r="G11" s="33"/>
      <c r="H11" s="36" t="n">
        <v>0</v>
      </c>
      <c r="I11" s="33" t="n">
        <v>0</v>
      </c>
      <c r="J11" s="33" t="s">
        <v>531</v>
      </c>
      <c r="K11" s="35" t="s">
        <v>554</v>
      </c>
    </row>
    <row r="12" customFormat="false" ht="23.85" hidden="false" customHeight="false" outlineLevel="0" collapsed="false">
      <c r="B12" s="33" t="s">
        <v>555</v>
      </c>
      <c r="C12" s="33" t="s">
        <v>526</v>
      </c>
      <c r="D12" s="33" t="s">
        <v>4</v>
      </c>
      <c r="E12" s="30" t="s">
        <v>556</v>
      </c>
      <c r="F12" s="33" t="s">
        <v>540</v>
      </c>
      <c r="G12" s="33"/>
      <c r="H12" s="36" t="n">
        <v>0</v>
      </c>
      <c r="I12" s="33" t="n">
        <v>0</v>
      </c>
      <c r="J12" s="33" t="s">
        <v>531</v>
      </c>
      <c r="K12" s="35" t="s">
        <v>557</v>
      </c>
    </row>
    <row r="13" customFormat="false" ht="23.85" hidden="false" customHeight="false" outlineLevel="0" collapsed="false">
      <c r="B13" s="33" t="s">
        <v>558</v>
      </c>
      <c r="C13" s="33" t="s">
        <v>526</v>
      </c>
      <c r="D13" s="33" t="s">
        <v>4</v>
      </c>
      <c r="E13" s="30" t="s">
        <v>559</v>
      </c>
      <c r="F13" s="33" t="s">
        <v>540</v>
      </c>
      <c r="G13" s="33"/>
      <c r="H13" s="36" t="n">
        <v>0</v>
      </c>
      <c r="I13" s="33" t="n">
        <v>0</v>
      </c>
      <c r="J13" s="33" t="s">
        <v>531</v>
      </c>
      <c r="K13" s="35" t="s">
        <v>560</v>
      </c>
    </row>
    <row r="14" customFormat="false" ht="35.05" hidden="false" customHeight="false" outlineLevel="0" collapsed="false">
      <c r="B14" s="33" t="s">
        <v>561</v>
      </c>
      <c r="C14" s="33" t="s">
        <v>526</v>
      </c>
      <c r="D14" s="33" t="s">
        <v>4</v>
      </c>
      <c r="E14" s="30" t="s">
        <v>562</v>
      </c>
      <c r="F14" s="33" t="s">
        <v>549</v>
      </c>
      <c r="G14" s="33"/>
      <c r="H14" s="36" t="n">
        <v>0</v>
      </c>
      <c r="I14" s="33" t="n">
        <v>0</v>
      </c>
      <c r="J14" s="33" t="s">
        <v>531</v>
      </c>
      <c r="K14" s="35" t="s">
        <v>563</v>
      </c>
    </row>
    <row r="15" customFormat="false" ht="23.85" hidden="false" customHeight="false" outlineLevel="0" collapsed="false">
      <c r="B15" s="33" t="s">
        <v>564</v>
      </c>
      <c r="C15" s="33" t="s">
        <v>565</v>
      </c>
      <c r="D15" s="33" t="s">
        <v>4</v>
      </c>
      <c r="E15" s="30" t="s">
        <v>566</v>
      </c>
      <c r="F15" s="33" t="s">
        <v>545</v>
      </c>
      <c r="G15" s="33"/>
      <c r="H15" s="36" t="n">
        <v>0</v>
      </c>
      <c r="I15" s="33" t="n">
        <v>0</v>
      </c>
      <c r="J15" s="33" t="s">
        <v>531</v>
      </c>
      <c r="K15" s="35" t="s">
        <v>567</v>
      </c>
    </row>
    <row r="16" customFormat="false" ht="15" hidden="false" customHeight="false" outlineLevel="0" collapsed="false">
      <c r="B16" s="33" t="s">
        <v>568</v>
      </c>
      <c r="C16" s="33" t="s">
        <v>526</v>
      </c>
      <c r="D16" s="33" t="s">
        <v>569</v>
      </c>
      <c r="E16" s="30" t="s">
        <v>570</v>
      </c>
      <c r="F16" s="33" t="s">
        <v>549</v>
      </c>
      <c r="G16" s="33" t="s">
        <v>571</v>
      </c>
      <c r="H16" s="36" t="n">
        <v>0</v>
      </c>
      <c r="I16" s="33" t="n">
        <v>0</v>
      </c>
      <c r="J16" s="33" t="s">
        <v>531</v>
      </c>
      <c r="K16" s="35" t="s">
        <v>572</v>
      </c>
    </row>
    <row r="17" customFormat="false" ht="23.85" hidden="false" customHeight="false" outlineLevel="0" collapsed="false">
      <c r="B17" s="33" t="s">
        <v>573</v>
      </c>
      <c r="C17" s="33" t="s">
        <v>526</v>
      </c>
      <c r="D17" s="33" t="s">
        <v>574</v>
      </c>
      <c r="E17" s="30" t="s">
        <v>575</v>
      </c>
      <c r="F17" s="33" t="s">
        <v>540</v>
      </c>
      <c r="G17" s="33" t="s">
        <v>576</v>
      </c>
      <c r="H17" s="36" t="n">
        <v>0</v>
      </c>
      <c r="I17" s="33" t="n">
        <v>0</v>
      </c>
      <c r="J17" s="33" t="s">
        <v>531</v>
      </c>
      <c r="K17" s="35" t="s">
        <v>577</v>
      </c>
    </row>
    <row r="18" customFormat="false" ht="19.4" hidden="false" customHeight="false" outlineLevel="0" collapsed="false">
      <c r="B18" s="33" t="s">
        <v>578</v>
      </c>
      <c r="C18" s="33" t="s">
        <v>526</v>
      </c>
      <c r="D18" s="33" t="s">
        <v>4</v>
      </c>
      <c r="E18" s="30" t="s">
        <v>579</v>
      </c>
      <c r="F18" s="33" t="s">
        <v>580</v>
      </c>
      <c r="G18" s="33"/>
      <c r="H18" s="36" t="n">
        <v>0</v>
      </c>
      <c r="I18" s="33" t="n">
        <v>0</v>
      </c>
      <c r="J18" s="33" t="s">
        <v>531</v>
      </c>
      <c r="K18" s="35" t="s">
        <v>581</v>
      </c>
    </row>
    <row r="19" customFormat="false" ht="19.4" hidden="false" customHeight="false" outlineLevel="0" collapsed="false">
      <c r="B19" s="33" t="s">
        <v>582</v>
      </c>
      <c r="C19" s="33" t="s">
        <v>526</v>
      </c>
      <c r="D19" s="33" t="s">
        <v>4</v>
      </c>
      <c r="E19" s="30" t="s">
        <v>583</v>
      </c>
      <c r="F19" s="33" t="s">
        <v>584</v>
      </c>
      <c r="G19" s="33" t="s">
        <v>585</v>
      </c>
      <c r="H19" s="36" t="n">
        <v>0</v>
      </c>
      <c r="I19" s="33" t="n">
        <v>0</v>
      </c>
      <c r="J19" s="33" t="s">
        <v>531</v>
      </c>
      <c r="K19" s="35" t="s">
        <v>586</v>
      </c>
    </row>
    <row r="20" customFormat="false" ht="23.85" hidden="false" customHeight="false" outlineLevel="0" collapsed="false">
      <c r="B20" s="33" t="s">
        <v>587</v>
      </c>
      <c r="C20" s="33" t="s">
        <v>526</v>
      </c>
      <c r="D20" s="33" t="s">
        <v>4</v>
      </c>
      <c r="E20" s="30" t="s">
        <v>588</v>
      </c>
      <c r="F20" s="33" t="s">
        <v>540</v>
      </c>
      <c r="G20" s="33"/>
      <c r="H20" s="36" t="n">
        <v>0</v>
      </c>
      <c r="I20" s="33" t="n">
        <v>0</v>
      </c>
      <c r="J20" s="33" t="s">
        <v>531</v>
      </c>
      <c r="K20" s="35" t="s">
        <v>589</v>
      </c>
    </row>
    <row r="21" customFormat="false" ht="23.85" hidden="false" customHeight="false" outlineLevel="0" collapsed="false">
      <c r="B21" s="33" t="s">
        <v>590</v>
      </c>
      <c r="C21" s="33" t="s">
        <v>526</v>
      </c>
      <c r="D21" s="33" t="s">
        <v>4</v>
      </c>
      <c r="E21" s="30" t="s">
        <v>591</v>
      </c>
      <c r="F21" s="33" t="s">
        <v>549</v>
      </c>
      <c r="G21" s="33"/>
      <c r="H21" s="36" t="n">
        <v>0</v>
      </c>
      <c r="I21" s="33" t="n">
        <v>0</v>
      </c>
      <c r="J21" s="33" t="s">
        <v>531</v>
      </c>
      <c r="K21" s="35" t="s">
        <v>592</v>
      </c>
    </row>
    <row r="22" customFormat="false" ht="23.85" hidden="false" customHeight="false" outlineLevel="0" collapsed="false">
      <c r="B22" s="33" t="s">
        <v>593</v>
      </c>
      <c r="C22" s="33" t="s">
        <v>526</v>
      </c>
      <c r="D22" s="33" t="s">
        <v>4</v>
      </c>
      <c r="E22" s="30" t="s">
        <v>594</v>
      </c>
      <c r="F22" s="33" t="s">
        <v>549</v>
      </c>
      <c r="G22" s="33"/>
      <c r="H22" s="36" t="n">
        <v>0</v>
      </c>
      <c r="I22" s="33" t="n">
        <v>0</v>
      </c>
      <c r="J22" s="33" t="s">
        <v>531</v>
      </c>
      <c r="K22" s="35" t="s">
        <v>595</v>
      </c>
    </row>
    <row r="23" customFormat="false" ht="15" hidden="false" customHeight="false" outlineLevel="0" collapsed="false">
      <c r="B23" s="33" t="s">
        <v>530</v>
      </c>
      <c r="C23" s="33" t="s">
        <v>596</v>
      </c>
      <c r="D23" s="33" t="s">
        <v>597</v>
      </c>
      <c r="E23" s="30" t="s">
        <v>598</v>
      </c>
      <c r="F23" s="33" t="s">
        <v>599</v>
      </c>
      <c r="G23" s="33" t="s">
        <v>525</v>
      </c>
      <c r="H23" s="36" t="n">
        <v>0</v>
      </c>
      <c r="I23" s="33" t="n">
        <v>0</v>
      </c>
      <c r="J23" s="33" t="s">
        <v>600</v>
      </c>
      <c r="K23" s="35" t="s">
        <v>601</v>
      </c>
    </row>
    <row r="24" customFormat="false" ht="15" hidden="false" customHeight="false" outlineLevel="0" collapsed="false">
      <c r="B24" s="33" t="s">
        <v>536</v>
      </c>
      <c r="C24" s="33" t="s">
        <v>596</v>
      </c>
      <c r="D24" s="33" t="s">
        <v>602</v>
      </c>
      <c r="E24" s="30" t="s">
        <v>603</v>
      </c>
      <c r="F24" s="33" t="s">
        <v>599</v>
      </c>
      <c r="G24" s="33" t="s">
        <v>533</v>
      </c>
      <c r="H24" s="36" t="n">
        <v>0</v>
      </c>
      <c r="I24" s="33" t="n">
        <v>0</v>
      </c>
      <c r="J24" s="33" t="s">
        <v>600</v>
      </c>
      <c r="K24" s="35" t="s">
        <v>604</v>
      </c>
    </row>
    <row r="25" customFormat="false" ht="15" hidden="false" customHeight="false" outlineLevel="0" collapsed="false">
      <c r="B25" s="33" t="s">
        <v>541</v>
      </c>
      <c r="C25" s="33" t="s">
        <v>596</v>
      </c>
      <c r="D25" s="33" t="s">
        <v>4</v>
      </c>
      <c r="E25" s="30" t="s">
        <v>605</v>
      </c>
      <c r="F25" s="33" t="s">
        <v>599</v>
      </c>
      <c r="G25" s="33" t="s">
        <v>538</v>
      </c>
      <c r="H25" s="36" t="n">
        <v>0</v>
      </c>
      <c r="I25" s="33" t="n">
        <v>0</v>
      </c>
      <c r="J25" s="33" t="s">
        <v>600</v>
      </c>
      <c r="K25" s="35" t="s">
        <v>606</v>
      </c>
    </row>
    <row r="26" customFormat="false" ht="15" hidden="false" customHeight="false" outlineLevel="0" collapsed="false">
      <c r="B26" s="33" t="s">
        <v>607</v>
      </c>
      <c r="C26" s="33" t="s">
        <v>596</v>
      </c>
      <c r="D26" s="33" t="s">
        <v>4</v>
      </c>
      <c r="E26" s="30" t="s">
        <v>608</v>
      </c>
      <c r="F26" s="33" t="s">
        <v>599</v>
      </c>
      <c r="G26" s="33"/>
      <c r="H26" s="36" t="n">
        <v>0</v>
      </c>
      <c r="I26" s="33" t="n">
        <v>0</v>
      </c>
      <c r="J26" s="33" t="s">
        <v>600</v>
      </c>
      <c r="K26" s="35" t="s">
        <v>609</v>
      </c>
    </row>
    <row r="27" customFormat="false" ht="15" hidden="false" customHeight="false" outlineLevel="0" collapsed="false">
      <c r="B27" s="33" t="s">
        <v>610</v>
      </c>
      <c r="C27" s="33" t="s">
        <v>596</v>
      </c>
      <c r="D27" s="33" t="s">
        <v>4</v>
      </c>
      <c r="E27" s="30" t="s">
        <v>611</v>
      </c>
      <c r="F27" s="33" t="s">
        <v>599</v>
      </c>
      <c r="G27" s="33"/>
      <c r="H27" s="36" t="n">
        <v>0</v>
      </c>
      <c r="I27" s="33" t="n">
        <v>0</v>
      </c>
      <c r="J27" s="33" t="s">
        <v>600</v>
      </c>
      <c r="K27" s="35" t="s">
        <v>612</v>
      </c>
    </row>
    <row r="28" customFormat="false" ht="23.85" hidden="false" customHeight="false" outlineLevel="0" collapsed="false">
      <c r="B28" s="33" t="s">
        <v>585</v>
      </c>
      <c r="C28" s="33" t="s">
        <v>596</v>
      </c>
      <c r="D28" s="33" t="s">
        <v>4</v>
      </c>
      <c r="E28" s="30" t="s">
        <v>613</v>
      </c>
      <c r="F28" s="33" t="s">
        <v>584</v>
      </c>
      <c r="G28" s="33" t="s">
        <v>582</v>
      </c>
      <c r="H28" s="36" t="n">
        <v>0</v>
      </c>
      <c r="I28" s="33" t="n">
        <v>0</v>
      </c>
      <c r="J28" s="33" t="s">
        <v>600</v>
      </c>
      <c r="K28" s="35" t="s">
        <v>614</v>
      </c>
    </row>
    <row r="29" customFormat="false" ht="15" hidden="false" customHeight="false" outlineLevel="0" collapsed="false">
      <c r="B29" s="33" t="s">
        <v>571</v>
      </c>
      <c r="C29" s="33" t="s">
        <v>615</v>
      </c>
      <c r="D29" s="33" t="s">
        <v>569</v>
      </c>
      <c r="E29" s="30" t="s">
        <v>616</v>
      </c>
      <c r="F29" s="33" t="s">
        <v>549</v>
      </c>
      <c r="G29" s="33" t="s">
        <v>568</v>
      </c>
      <c r="H29" s="36" t="n">
        <v>0</v>
      </c>
      <c r="I29" s="33" t="n">
        <v>0</v>
      </c>
      <c r="J29" s="33" t="s">
        <v>600</v>
      </c>
      <c r="K29" s="35" t="s">
        <v>617</v>
      </c>
    </row>
    <row r="30" customFormat="false" ht="15" hidden="false" customHeight="false" outlineLevel="0" collapsed="false">
      <c r="B30" s="33" t="s">
        <v>576</v>
      </c>
      <c r="C30" s="33" t="s">
        <v>615</v>
      </c>
      <c r="D30" s="33" t="s">
        <v>574</v>
      </c>
      <c r="E30" s="30" t="s">
        <v>618</v>
      </c>
      <c r="F30" s="33" t="s">
        <v>549</v>
      </c>
      <c r="G30" s="33" t="s">
        <v>573</v>
      </c>
      <c r="H30" s="36" t="n">
        <v>0</v>
      </c>
      <c r="I30" s="33" t="n">
        <v>0</v>
      </c>
      <c r="J30" s="33" t="s">
        <v>600</v>
      </c>
      <c r="K30" s="35" t="s">
        <v>619</v>
      </c>
    </row>
    <row r="31" customFormat="false" ht="15" hidden="false" customHeight="false" outlineLevel="0" collapsed="false">
      <c r="B31" s="33" t="s">
        <v>550</v>
      </c>
      <c r="C31" s="33" t="s">
        <v>615</v>
      </c>
      <c r="D31" s="33" t="s">
        <v>4</v>
      </c>
      <c r="E31" s="30" t="s">
        <v>620</v>
      </c>
      <c r="F31" s="33" t="s">
        <v>549</v>
      </c>
      <c r="G31" s="33" t="s">
        <v>547</v>
      </c>
      <c r="H31" s="36" t="n">
        <v>0</v>
      </c>
      <c r="I31" s="33" t="n">
        <v>0</v>
      </c>
      <c r="J31" s="33" t="s">
        <v>600</v>
      </c>
      <c r="K31" s="35" t="s">
        <v>621</v>
      </c>
    </row>
    <row r="32" customFormat="false" ht="35.05" hidden="false" customHeight="false" outlineLevel="0" collapsed="false">
      <c r="B32" s="33" t="s">
        <v>622</v>
      </c>
      <c r="C32" s="33" t="s">
        <v>623</v>
      </c>
      <c r="D32" s="33" t="s">
        <v>624</v>
      </c>
      <c r="E32" s="30" t="s">
        <v>625</v>
      </c>
      <c r="F32" s="33" t="s">
        <v>549</v>
      </c>
      <c r="G32" s="33"/>
      <c r="H32" s="36" t="n">
        <v>0</v>
      </c>
      <c r="I32" s="33" t="n">
        <v>0</v>
      </c>
      <c r="J32" s="33" t="s">
        <v>626</v>
      </c>
      <c r="K32" s="35" t="s">
        <v>627</v>
      </c>
    </row>
    <row r="33" customFormat="false" ht="23.85" hidden="false" customHeight="false" outlineLevel="0" collapsed="false">
      <c r="B33" s="33" t="s">
        <v>628</v>
      </c>
      <c r="C33" s="33" t="s">
        <v>629</v>
      </c>
      <c r="D33" s="33" t="s">
        <v>630</v>
      </c>
      <c r="E33" s="30" t="s">
        <v>631</v>
      </c>
      <c r="F33" s="33" t="s">
        <v>632</v>
      </c>
      <c r="G33" s="33"/>
      <c r="H33" s="36" t="n">
        <v>0</v>
      </c>
      <c r="I33" s="33" t="n">
        <v>0</v>
      </c>
      <c r="J33" s="33" t="s">
        <v>531</v>
      </c>
      <c r="K33" s="35" t="s">
        <v>633</v>
      </c>
    </row>
    <row r="34" customFormat="false" ht="35.05" hidden="false" customHeight="false" outlineLevel="0" collapsed="false">
      <c r="B34" s="33" t="s">
        <v>634</v>
      </c>
      <c r="C34" s="33" t="s">
        <v>629</v>
      </c>
      <c r="D34" s="33" t="s">
        <v>624</v>
      </c>
      <c r="E34" s="30" t="s">
        <v>635</v>
      </c>
      <c r="F34" s="33" t="s">
        <v>632</v>
      </c>
      <c r="G34" s="33" t="s">
        <v>533</v>
      </c>
      <c r="H34" s="36" t="n">
        <v>0</v>
      </c>
      <c r="I34" s="33" t="n">
        <v>0</v>
      </c>
      <c r="J34" s="33" t="s">
        <v>531</v>
      </c>
      <c r="K34" s="35" t="s">
        <v>636</v>
      </c>
    </row>
    <row r="35" customFormat="false" ht="35.05" hidden="false" customHeight="false" outlineLevel="0" collapsed="false">
      <c r="B35" s="33" t="s">
        <v>637</v>
      </c>
      <c r="C35" s="33" t="s">
        <v>623</v>
      </c>
      <c r="D35" s="33" t="s">
        <v>4</v>
      </c>
      <c r="E35" s="30" t="s">
        <v>638</v>
      </c>
      <c r="F35" s="33" t="s">
        <v>639</v>
      </c>
      <c r="G35" s="33"/>
      <c r="H35" s="36" t="n">
        <v>0</v>
      </c>
      <c r="I35" s="33" t="n">
        <v>0</v>
      </c>
      <c r="J35" s="33" t="s">
        <v>640</v>
      </c>
      <c r="K35" s="35" t="s">
        <v>641</v>
      </c>
    </row>
    <row r="36" customFormat="false" ht="35.05" hidden="false" customHeight="false" outlineLevel="0" collapsed="false">
      <c r="B36" s="33" t="s">
        <v>642</v>
      </c>
      <c r="C36" s="33" t="s">
        <v>623</v>
      </c>
      <c r="D36" s="33" t="s">
        <v>4</v>
      </c>
      <c r="E36" s="30" t="s">
        <v>643</v>
      </c>
      <c r="F36" s="33" t="s">
        <v>639</v>
      </c>
      <c r="G36" s="33"/>
      <c r="H36" s="36" t="n">
        <v>0</v>
      </c>
      <c r="I36" s="33" t="n">
        <v>0</v>
      </c>
      <c r="J36" s="33" t="s">
        <v>640</v>
      </c>
      <c r="K36" s="35" t="s">
        <v>644</v>
      </c>
    </row>
    <row r="38" customFormat="false" ht="15" hidden="false" customHeight="false" outlineLevel="0" collapsed="false">
      <c r="B38" s="37" t="s">
        <v>38</v>
      </c>
      <c r="H38" s="38" t="n">
        <f aca="false">SUM(H6:H36)</f>
        <v>47942</v>
      </c>
      <c r="I38" s="37" t="n">
        <f aca="false">SUM(I6:I36)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645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646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647</v>
      </c>
    </row>
    <row r="6" customFormat="false" ht="15" hidden="false" customHeight="false" outlineLevel="0" collapsed="false">
      <c r="B6" s="27" t="s">
        <v>648</v>
      </c>
      <c r="C6" s="27" t="s">
        <v>649</v>
      </c>
      <c r="D6" s="27" t="s">
        <v>650</v>
      </c>
      <c r="E6" s="27" t="s">
        <v>651</v>
      </c>
      <c r="F6" s="27" t="s">
        <v>652</v>
      </c>
      <c r="G6" s="27" t="s">
        <v>273</v>
      </c>
    </row>
    <row r="7" customFormat="false" ht="15" hidden="false" customHeight="false" outlineLevel="0" collapsed="false">
      <c r="B7" s="30" t="s">
        <v>653</v>
      </c>
      <c r="C7" s="33" t="n">
        <v>2</v>
      </c>
      <c r="D7" s="36" t="n">
        <v>47149</v>
      </c>
      <c r="E7" s="40" t="n">
        <f aca="false">C7/31</f>
        <v>0.0645161290322581</v>
      </c>
      <c r="F7" s="30" t="s">
        <v>654</v>
      </c>
      <c r="G7" s="30" t="s">
        <v>655</v>
      </c>
    </row>
    <row r="8" customFormat="false" ht="15" hidden="false" customHeight="false" outlineLevel="0" collapsed="false">
      <c r="B8" s="30" t="s">
        <v>656</v>
      </c>
      <c r="C8" s="33" t="n">
        <v>3</v>
      </c>
      <c r="D8" s="36" t="n">
        <v>793</v>
      </c>
      <c r="E8" s="40" t="n">
        <f aca="false">C8/31</f>
        <v>0.0967741935483871</v>
      </c>
      <c r="F8" s="30" t="s">
        <v>657</v>
      </c>
      <c r="G8" s="30" t="s">
        <v>658</v>
      </c>
    </row>
    <row r="9" customFormat="false" ht="15" hidden="false" customHeight="false" outlineLevel="0" collapsed="false">
      <c r="B9" s="30" t="s">
        <v>659</v>
      </c>
      <c r="C9" s="33" t="n">
        <v>15</v>
      </c>
      <c r="D9" s="36" t="n">
        <v>0</v>
      </c>
      <c r="E9" s="40" t="n">
        <f aca="false">C9/31</f>
        <v>0.483870967741936</v>
      </c>
      <c r="F9" s="30" t="s">
        <v>657</v>
      </c>
      <c r="G9" s="30" t="s">
        <v>539</v>
      </c>
    </row>
    <row r="10" customFormat="false" ht="15" hidden="false" customHeight="false" outlineLevel="0" collapsed="false">
      <c r="B10" s="30" t="s">
        <v>660</v>
      </c>
      <c r="C10" s="33" t="n">
        <v>1</v>
      </c>
      <c r="D10" s="36" t="n">
        <v>0</v>
      </c>
      <c r="E10" s="40" t="n">
        <f aca="false">C10/31</f>
        <v>0.032258064516129</v>
      </c>
      <c r="F10" s="30" t="s">
        <v>661</v>
      </c>
      <c r="G10" s="30" t="s">
        <v>579</v>
      </c>
    </row>
    <row r="11" customFormat="false" ht="15" hidden="false" customHeight="false" outlineLevel="0" collapsed="false">
      <c r="B11" s="30" t="s">
        <v>662</v>
      </c>
      <c r="C11" s="33" t="n">
        <v>1</v>
      </c>
      <c r="D11" s="36" t="n">
        <v>0</v>
      </c>
      <c r="E11" s="40" t="n">
        <f aca="false">C11/31</f>
        <v>0.032258064516129</v>
      </c>
      <c r="F11" s="30" t="s">
        <v>661</v>
      </c>
      <c r="G11" s="30" t="s">
        <v>566</v>
      </c>
    </row>
    <row r="12" customFormat="false" ht="15" hidden="false" customHeight="false" outlineLevel="0" collapsed="false">
      <c r="B12" s="30" t="s">
        <v>663</v>
      </c>
      <c r="C12" s="33" t="n">
        <v>4</v>
      </c>
      <c r="D12" s="36" t="n">
        <v>0</v>
      </c>
      <c r="E12" s="40" t="n">
        <f aca="false">C12/31</f>
        <v>0.129032258064516</v>
      </c>
      <c r="F12" s="30" t="s">
        <v>654</v>
      </c>
      <c r="G12" s="30" t="s">
        <v>544</v>
      </c>
    </row>
    <row r="13" customFormat="false" ht="15" hidden="false" customHeight="false" outlineLevel="0" collapsed="false">
      <c r="B13" s="30" t="s">
        <v>664</v>
      </c>
      <c r="C13" s="33" t="n">
        <v>3</v>
      </c>
      <c r="D13" s="36" t="n">
        <v>0</v>
      </c>
      <c r="E13" s="40" t="n">
        <f aca="false">C13/31</f>
        <v>0.0967741935483871</v>
      </c>
      <c r="F13" s="30" t="s">
        <v>657</v>
      </c>
      <c r="G13" s="30" t="s">
        <v>559</v>
      </c>
    </row>
    <row r="14" customFormat="false" ht="15" hidden="false" customHeight="false" outlineLevel="0" collapsed="false">
      <c r="B14" s="30" t="s">
        <v>665</v>
      </c>
      <c r="C14" s="33" t="n">
        <v>2</v>
      </c>
      <c r="D14" s="36" t="n">
        <v>0</v>
      </c>
      <c r="E14" s="40" t="n">
        <f aca="false">C14/31</f>
        <v>0.0645161290322581</v>
      </c>
      <c r="F14" s="30" t="s">
        <v>654</v>
      </c>
      <c r="G14" s="30" t="s">
        <v>666</v>
      </c>
    </row>
    <row r="15" customFormat="false" ht="15" hidden="false" customHeight="false" outlineLevel="0" collapsed="false">
      <c r="B15" s="37" t="s">
        <v>38</v>
      </c>
      <c r="C15" s="37" t="n">
        <f aca="false">SUM(C7:C14)</f>
        <v>31</v>
      </c>
      <c r="D15" s="38" t="n">
        <f aca="false">SUM(D7:D14)</f>
        <v>47942</v>
      </c>
    </row>
    <row r="18" customFormat="false" ht="15" hidden="false" customHeight="false" outlineLevel="0" collapsed="false">
      <c r="B18" s="39" t="s">
        <v>667</v>
      </c>
    </row>
    <row r="19" customFormat="false" ht="15" hidden="false" customHeight="false" outlineLevel="0" collapsed="false">
      <c r="B19" s="27" t="s">
        <v>668</v>
      </c>
      <c r="C19" s="27" t="s">
        <v>649</v>
      </c>
      <c r="D19" s="27" t="s">
        <v>669</v>
      </c>
      <c r="E19" s="27" t="s">
        <v>670</v>
      </c>
    </row>
    <row r="20" customFormat="false" ht="23.85" hidden="false" customHeight="false" outlineLevel="0" collapsed="false">
      <c r="B20" s="30" t="s">
        <v>657</v>
      </c>
      <c r="C20" s="33" t="n">
        <v>21</v>
      </c>
      <c r="D20" s="36" t="n">
        <v>793</v>
      </c>
      <c r="E20" s="30" t="s">
        <v>671</v>
      </c>
    </row>
    <row r="21" customFormat="false" ht="23.85" hidden="false" customHeight="false" outlineLevel="0" collapsed="false">
      <c r="B21" s="30" t="s">
        <v>654</v>
      </c>
      <c r="C21" s="33" t="n">
        <v>7</v>
      </c>
      <c r="D21" s="36" t="n">
        <v>47149</v>
      </c>
      <c r="E21" s="30" t="s">
        <v>671</v>
      </c>
    </row>
    <row r="22" customFormat="false" ht="15" hidden="false" customHeight="false" outlineLevel="0" collapsed="false">
      <c r="B22" s="30" t="s">
        <v>661</v>
      </c>
      <c r="C22" s="33" t="n">
        <v>3</v>
      </c>
      <c r="D22" s="36" t="n">
        <v>0</v>
      </c>
      <c r="E22" s="30" t="s">
        <v>672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673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674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675</v>
      </c>
    </row>
    <row r="6" customFormat="false" ht="15" hidden="false" customHeight="false" outlineLevel="0" collapsed="false">
      <c r="B6" s="27" t="s">
        <v>676</v>
      </c>
      <c r="C6" s="27" t="s">
        <v>677</v>
      </c>
      <c r="D6" s="27" t="s">
        <v>678</v>
      </c>
      <c r="E6" s="27" t="s">
        <v>368</v>
      </c>
      <c r="F6" s="27" t="s">
        <v>679</v>
      </c>
    </row>
    <row r="7" customFormat="false" ht="15" hidden="false" customHeight="false" outlineLevel="0" collapsed="false">
      <c r="B7" s="30" t="s">
        <v>680</v>
      </c>
      <c r="C7" s="41" t="n">
        <v>90</v>
      </c>
      <c r="D7" s="33" t="s">
        <v>681</v>
      </c>
      <c r="E7" s="30" t="s">
        <v>682</v>
      </c>
      <c r="F7" s="30" t="s">
        <v>683</v>
      </c>
    </row>
    <row r="8" customFormat="false" ht="15" hidden="false" customHeight="false" outlineLevel="0" collapsed="false">
      <c r="B8" s="30" t="s">
        <v>684</v>
      </c>
      <c r="C8" s="33" t="s">
        <v>685</v>
      </c>
      <c r="D8" s="33" t="s">
        <v>686</v>
      </c>
      <c r="E8" s="30" t="s">
        <v>682</v>
      </c>
      <c r="F8" s="30" t="s">
        <v>687</v>
      </c>
    </row>
    <row r="9" customFormat="false" ht="15" hidden="false" customHeight="false" outlineLevel="0" collapsed="false">
      <c r="B9" s="30" t="s">
        <v>688</v>
      </c>
      <c r="C9" s="33" t="s">
        <v>689</v>
      </c>
      <c r="D9" s="33" t="s">
        <v>690</v>
      </c>
      <c r="E9" s="30" t="s">
        <v>691</v>
      </c>
      <c r="F9" s="30" t="s">
        <v>692</v>
      </c>
    </row>
    <row r="10" customFormat="false" ht="15" hidden="false" customHeight="false" outlineLevel="0" collapsed="false">
      <c r="B10" s="30" t="s">
        <v>693</v>
      </c>
      <c r="C10" s="41" t="n">
        <v>6</v>
      </c>
      <c r="D10" s="33" t="s">
        <v>694</v>
      </c>
      <c r="E10" s="42" t="s">
        <v>695</v>
      </c>
      <c r="F10" s="30" t="s">
        <v>696</v>
      </c>
    </row>
    <row r="11" customFormat="false" ht="15" hidden="false" customHeight="false" outlineLevel="0" collapsed="false">
      <c r="B11" s="30" t="s">
        <v>697</v>
      </c>
      <c r="C11" s="41" t="n">
        <v>0</v>
      </c>
      <c r="D11" s="33" t="s">
        <v>698</v>
      </c>
      <c r="E11" s="43" t="s">
        <v>699</v>
      </c>
      <c r="F11" s="30" t="s">
        <v>700</v>
      </c>
    </row>
    <row r="12" customFormat="false" ht="15" hidden="false" customHeight="false" outlineLevel="0" collapsed="false">
      <c r="B12" s="30" t="s">
        <v>701</v>
      </c>
      <c r="C12" s="41" t="n">
        <v>16</v>
      </c>
      <c r="D12" s="33" t="s">
        <v>698</v>
      </c>
      <c r="E12" s="42" t="s">
        <v>695</v>
      </c>
      <c r="F12" s="30" t="s">
        <v>702</v>
      </c>
    </row>
    <row r="13" customFormat="false" ht="15" hidden="false" customHeight="false" outlineLevel="0" collapsed="false">
      <c r="B13" s="30" t="s">
        <v>703</v>
      </c>
      <c r="C13" s="41" t="n">
        <v>1</v>
      </c>
      <c r="D13" s="33" t="s">
        <v>704</v>
      </c>
      <c r="E13" s="43" t="s">
        <v>699</v>
      </c>
      <c r="F13" s="30" t="s">
        <v>705</v>
      </c>
    </row>
    <row r="14" customFormat="false" ht="15" hidden="false" customHeight="false" outlineLevel="0" collapsed="false">
      <c r="B14" s="30" t="s">
        <v>706</v>
      </c>
      <c r="C14" s="41" t="n">
        <v>7</v>
      </c>
      <c r="D14" s="33" t="s">
        <v>707</v>
      </c>
      <c r="E14" s="43" t="s">
        <v>699</v>
      </c>
      <c r="F14" s="30" t="s">
        <v>708</v>
      </c>
    </row>
    <row r="15" customFormat="false" ht="15" hidden="false" customHeight="false" outlineLevel="0" collapsed="false">
      <c r="B15" s="30" t="s">
        <v>709</v>
      </c>
      <c r="C15" s="41" t="n">
        <v>47942</v>
      </c>
      <c r="D15" s="33" t="s">
        <v>710</v>
      </c>
      <c r="E15" s="43" t="s">
        <v>711</v>
      </c>
      <c r="F15" s="30" t="s">
        <v>712</v>
      </c>
    </row>
    <row r="18" customFormat="false" ht="15" hidden="false" customHeight="false" outlineLevel="0" collapsed="false">
      <c r="B18" s="39" t="s">
        <v>713</v>
      </c>
    </row>
    <row r="19" customFormat="false" ht="15" hidden="false" customHeight="false" outlineLevel="0" collapsed="false">
      <c r="B19" s="27" t="s">
        <v>714</v>
      </c>
      <c r="C19" s="27" t="s">
        <v>715</v>
      </c>
      <c r="D19" s="27" t="s">
        <v>398</v>
      </c>
      <c r="E19" s="27" t="s">
        <v>716</v>
      </c>
      <c r="F19" s="27" t="s">
        <v>717</v>
      </c>
    </row>
    <row r="20" customFormat="false" ht="15" hidden="false" customHeight="false" outlineLevel="0" collapsed="false">
      <c r="B20" s="30" t="s">
        <v>718</v>
      </c>
      <c r="C20" s="44" t="n">
        <f aca="false">'Benchmark KPIs'!D55</f>
        <v>0.0721290925118053</v>
      </c>
      <c r="D20" s="33" t="s">
        <v>30</v>
      </c>
      <c r="E20" s="30" t="s">
        <v>719</v>
      </c>
      <c r="F20" s="30" t="s">
        <v>720</v>
      </c>
    </row>
    <row r="21" customFormat="false" ht="15" hidden="false" customHeight="false" outlineLevel="0" collapsed="false">
      <c r="B21" s="30" t="s">
        <v>721</v>
      </c>
      <c r="C21" s="45" t="n">
        <f aca="false">'Benchmark KPIs'!D21</f>
        <v>1583004.56</v>
      </c>
      <c r="D21" s="33" t="s">
        <v>30</v>
      </c>
      <c r="E21" s="30" t="s">
        <v>719</v>
      </c>
      <c r="F21" s="30" t="s">
        <v>722</v>
      </c>
    </row>
    <row r="22" customFormat="false" ht="15" hidden="false" customHeight="false" outlineLevel="0" collapsed="false">
      <c r="B22" s="30" t="s">
        <v>723</v>
      </c>
      <c r="C22" s="44" t="n">
        <f aca="false">'Benchmark KPIs'!D20</f>
        <v>0.262589714111095</v>
      </c>
      <c r="D22" s="33" t="s">
        <v>30</v>
      </c>
      <c r="E22" s="30" t="s">
        <v>719</v>
      </c>
      <c r="F22" s="30" t="s">
        <v>724</v>
      </c>
    </row>
    <row r="23" customFormat="false" ht="15" hidden="false" customHeight="false" outlineLevel="0" collapsed="false">
      <c r="B23" s="30" t="s">
        <v>725</v>
      </c>
      <c r="C23" s="33" t="n">
        <v>22</v>
      </c>
      <c r="D23" s="33" t="s">
        <v>726</v>
      </c>
      <c r="E23" s="30" t="s">
        <v>727</v>
      </c>
      <c r="F23" s="30" t="s">
        <v>728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729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730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731</v>
      </c>
      <c r="C5" s="27" t="s">
        <v>732</v>
      </c>
      <c r="D5" s="27" t="s">
        <v>733</v>
      </c>
      <c r="E5" s="27" t="s">
        <v>41</v>
      </c>
      <c r="F5" s="27" t="s">
        <v>734</v>
      </c>
      <c r="G5" s="27" t="s">
        <v>735</v>
      </c>
      <c r="H5" s="27" t="s">
        <v>398</v>
      </c>
      <c r="I5" s="27" t="s">
        <v>736</v>
      </c>
      <c r="J5" s="27" t="s">
        <v>737</v>
      </c>
    </row>
    <row r="6" customFormat="false" ht="15" hidden="false" customHeight="false" outlineLevel="0" collapsed="false">
      <c r="B6" s="33" t="n">
        <v>1</v>
      </c>
      <c r="C6" s="30" t="s">
        <v>401</v>
      </c>
      <c r="D6" s="30" t="s">
        <v>400</v>
      </c>
      <c r="E6" s="33" t="str">
        <f aca="false">'Benchmark KPIs'!D6</f>
        <v>2015</v>
      </c>
      <c r="F6" s="33" t="s">
        <v>738</v>
      </c>
      <c r="G6" s="30" t="s">
        <v>394</v>
      </c>
      <c r="H6" s="29" t="s">
        <v>404</v>
      </c>
      <c r="I6" s="30" t="s">
        <v>739</v>
      </c>
      <c r="J6" s="30" t="s">
        <v>740</v>
      </c>
    </row>
    <row r="7" customFormat="false" ht="35.05" hidden="false" customHeight="false" outlineLevel="0" collapsed="false">
      <c r="B7" s="33" t="n">
        <v>2</v>
      </c>
      <c r="C7" s="30" t="s">
        <v>407</v>
      </c>
      <c r="D7" s="30" t="s">
        <v>406</v>
      </c>
      <c r="E7" s="33" t="str">
        <f aca="false">'Benchmark KPIs'!D7</f>
        <v>Exxel Pacific Rooster Apts + Portage Bay Cafe</v>
      </c>
      <c r="F7" s="33" t="s">
        <v>741</v>
      </c>
      <c r="G7" s="30" t="s">
        <v>394</v>
      </c>
      <c r="H7" s="29" t="s">
        <v>404</v>
      </c>
      <c r="I7" s="30" t="s">
        <v>742</v>
      </c>
      <c r="J7" s="30" t="s">
        <v>740</v>
      </c>
    </row>
    <row r="8" customFormat="false" ht="15" hidden="false" customHeight="false" outlineLevel="0" collapsed="false">
      <c r="B8" s="33" t="n">
        <v>3</v>
      </c>
      <c r="C8" s="30" t="s">
        <v>408</v>
      </c>
      <c r="D8" s="30" t="s">
        <v>7</v>
      </c>
      <c r="E8" s="33" t="str">
        <f aca="false">'Benchmark KPIs'!D8</f>
        <v>Exxel Pacific, Inc.</v>
      </c>
      <c r="F8" s="33" t="s">
        <v>741</v>
      </c>
      <c r="G8" s="30" t="s">
        <v>394</v>
      </c>
      <c r="H8" s="29" t="s">
        <v>404</v>
      </c>
      <c r="I8" s="30" t="s">
        <v>742</v>
      </c>
      <c r="J8" s="30" t="s">
        <v>740</v>
      </c>
    </row>
    <row r="9" customFormat="false" ht="15" hidden="false" customHeight="false" outlineLevel="0" collapsed="false">
      <c r="B9" s="33" t="n">
        <v>4</v>
      </c>
      <c r="C9" s="30" t="s">
        <v>409</v>
      </c>
      <c r="D9" s="30" t="s">
        <v>9</v>
      </c>
      <c r="E9" s="33" t="str">
        <f aca="false">'Benchmark KPIs'!D9</f>
        <v>Seattle, WA</v>
      </c>
      <c r="F9" s="33" t="s">
        <v>741</v>
      </c>
      <c r="G9" s="30" t="s">
        <v>394</v>
      </c>
      <c r="H9" s="29" t="s">
        <v>404</v>
      </c>
      <c r="I9" s="30" t="s">
        <v>743</v>
      </c>
      <c r="J9" s="30" t="s">
        <v>740</v>
      </c>
    </row>
    <row r="10" customFormat="false" ht="35.05" hidden="false" customHeight="false" outlineLevel="0" collapsed="false">
      <c r="B10" s="33" t="n">
        <v>5</v>
      </c>
      <c r="C10" s="30" t="s">
        <v>411</v>
      </c>
      <c r="D10" s="30" t="s">
        <v>410</v>
      </c>
      <c r="E10" s="33" t="str">
        <f aca="false">'Benchmark KPIs'!D10</f>
        <v>Mixed-use 6-story apartments + ground-floor restaurant TI</v>
      </c>
      <c r="F10" s="33" t="s">
        <v>741</v>
      </c>
      <c r="G10" s="30" t="s">
        <v>394</v>
      </c>
      <c r="H10" s="29" t="s">
        <v>404</v>
      </c>
      <c r="I10" s="30" t="s">
        <v>744</v>
      </c>
      <c r="J10" s="30" t="s">
        <v>740</v>
      </c>
    </row>
    <row r="11" customFormat="false" ht="15" hidden="false" customHeight="false" outlineLevel="0" collapsed="false">
      <c r="B11" s="33" t="n">
        <v>6</v>
      </c>
      <c r="C11" s="30" t="s">
        <v>414</v>
      </c>
      <c r="D11" s="30" t="s">
        <v>413</v>
      </c>
      <c r="E11" s="33" t="n">
        <f aca="false">'Benchmark KPIs'!D11</f>
        <v>25</v>
      </c>
      <c r="F11" s="33" t="s">
        <v>745</v>
      </c>
      <c r="G11" s="30" t="s">
        <v>394</v>
      </c>
      <c r="H11" s="29" t="s">
        <v>404</v>
      </c>
      <c r="I11" s="30" t="s">
        <v>746</v>
      </c>
      <c r="J11" s="30" t="s">
        <v>740</v>
      </c>
    </row>
    <row r="12" customFormat="false" ht="15" hidden="false" customHeight="false" outlineLevel="0" collapsed="false">
      <c r="B12" s="33" t="n">
        <v>7</v>
      </c>
      <c r="C12" s="30" t="s">
        <v>416</v>
      </c>
      <c r="D12" s="30" t="s">
        <v>415</v>
      </c>
      <c r="E12" s="45" t="n">
        <f aca="false">'Benchmark KPIs'!D12</f>
        <v>197</v>
      </c>
      <c r="F12" s="33" t="s">
        <v>284</v>
      </c>
      <c r="G12" s="30" t="s">
        <v>394</v>
      </c>
      <c r="H12" s="29" t="s">
        <v>404</v>
      </c>
      <c r="I12" s="30" t="s">
        <v>747</v>
      </c>
      <c r="J12" s="30" t="s">
        <v>740</v>
      </c>
    </row>
    <row r="13" customFormat="false" ht="15" hidden="false" customHeight="false" outlineLevel="0" collapsed="false">
      <c r="B13" s="33" t="n">
        <v>8</v>
      </c>
      <c r="C13" s="30" t="s">
        <v>417</v>
      </c>
      <c r="D13" s="30" t="s">
        <v>47</v>
      </c>
      <c r="E13" s="45" t="n">
        <f aca="false">'Benchmark KPIs'!D13</f>
        <v>1349</v>
      </c>
      <c r="F13" s="33" t="s">
        <v>748</v>
      </c>
      <c r="G13" s="30" t="s">
        <v>394</v>
      </c>
      <c r="H13" s="29" t="s">
        <v>404</v>
      </c>
      <c r="I13" s="30" t="s">
        <v>749</v>
      </c>
      <c r="J13" s="30" t="s">
        <v>740</v>
      </c>
    </row>
    <row r="14" customFormat="false" ht="15" hidden="false" customHeight="false" outlineLevel="0" collapsed="false">
      <c r="B14" s="33" t="n">
        <v>9</v>
      </c>
      <c r="C14" s="30" t="s">
        <v>421</v>
      </c>
      <c r="D14" s="30" t="s">
        <v>750</v>
      </c>
      <c r="E14" s="45" t="n">
        <f aca="false">'Benchmark KPIs'!D15</f>
        <v>2002285</v>
      </c>
      <c r="F14" s="33" t="s">
        <v>751</v>
      </c>
      <c r="G14" s="30" t="s">
        <v>394</v>
      </c>
      <c r="H14" s="29" t="s">
        <v>404</v>
      </c>
      <c r="I14" s="30" t="s">
        <v>752</v>
      </c>
      <c r="J14" s="30" t="s">
        <v>740</v>
      </c>
    </row>
    <row r="15" customFormat="false" ht="15" hidden="false" customHeight="false" outlineLevel="0" collapsed="false">
      <c r="B15" s="33" t="n">
        <v>10</v>
      </c>
      <c r="C15" s="30" t="s">
        <v>424</v>
      </c>
      <c r="D15" s="30" t="s">
        <v>753</v>
      </c>
      <c r="E15" s="45" t="n">
        <f aca="false">'Benchmark KPIs'!D16</f>
        <v>2146708</v>
      </c>
      <c r="F15" s="33" t="s">
        <v>751</v>
      </c>
      <c r="G15" s="30" t="s">
        <v>394</v>
      </c>
      <c r="H15" s="29" t="s">
        <v>404</v>
      </c>
      <c r="I15" s="30" t="s">
        <v>754</v>
      </c>
      <c r="J15" s="30" t="s">
        <v>740</v>
      </c>
    </row>
    <row r="16" customFormat="false" ht="15" hidden="false" customHeight="false" outlineLevel="0" collapsed="false">
      <c r="B16" s="33" t="n">
        <v>11</v>
      </c>
      <c r="C16" s="30" t="s">
        <v>427</v>
      </c>
      <c r="D16" s="30" t="s">
        <v>426</v>
      </c>
      <c r="E16" s="45" t="n">
        <f aca="false">'Benchmark KPIs'!D17</f>
        <v>144423</v>
      </c>
      <c r="F16" s="33" t="s">
        <v>751</v>
      </c>
      <c r="G16" s="30" t="s">
        <v>394</v>
      </c>
      <c r="H16" s="29" t="s">
        <v>404</v>
      </c>
      <c r="I16" s="30" t="s">
        <v>755</v>
      </c>
      <c r="J16" s="30" t="s">
        <v>740</v>
      </c>
    </row>
    <row r="17" customFormat="false" ht="15" hidden="false" customHeight="false" outlineLevel="0" collapsed="false">
      <c r="B17" s="33" t="n">
        <v>12</v>
      </c>
      <c r="C17" s="30" t="s">
        <v>429</v>
      </c>
      <c r="D17" s="30" t="s">
        <v>428</v>
      </c>
      <c r="E17" s="45" t="n">
        <f aca="false">'Benchmark KPIs'!D18</f>
        <v>2146708</v>
      </c>
      <c r="F17" s="33" t="s">
        <v>751</v>
      </c>
      <c r="G17" s="30" t="s">
        <v>394</v>
      </c>
      <c r="H17" s="29" t="s">
        <v>404</v>
      </c>
      <c r="I17" s="30" t="s">
        <v>756</v>
      </c>
      <c r="J17" s="30" t="s">
        <v>740</v>
      </c>
    </row>
    <row r="18" customFormat="false" ht="15" hidden="false" customHeight="false" outlineLevel="0" collapsed="false">
      <c r="B18" s="33" t="n">
        <v>13</v>
      </c>
      <c r="C18" s="30" t="s">
        <v>431</v>
      </c>
      <c r="D18" s="30" t="s">
        <v>430</v>
      </c>
      <c r="E18" s="45" t="n">
        <f aca="false">'Benchmark KPIs'!D19</f>
        <v>563703.44</v>
      </c>
      <c r="F18" s="33" t="s">
        <v>751</v>
      </c>
      <c r="G18" s="30" t="s">
        <v>394</v>
      </c>
      <c r="H18" s="29" t="s">
        <v>404</v>
      </c>
      <c r="I18" s="30" t="s">
        <v>757</v>
      </c>
      <c r="J18" s="30" t="s">
        <v>740</v>
      </c>
    </row>
    <row r="19" customFormat="false" ht="15" hidden="false" customHeight="false" outlineLevel="0" collapsed="false">
      <c r="B19" s="33" t="n">
        <v>14</v>
      </c>
      <c r="C19" s="30" t="s">
        <v>433</v>
      </c>
      <c r="D19" s="30" t="s">
        <v>758</v>
      </c>
      <c r="E19" s="44" t="n">
        <f aca="false">'Benchmark KPIs'!D20</f>
        <v>0.262589714111095</v>
      </c>
      <c r="F19" s="33" t="s">
        <v>759</v>
      </c>
      <c r="G19" s="30" t="s">
        <v>394</v>
      </c>
      <c r="H19" s="29" t="s">
        <v>404</v>
      </c>
      <c r="I19" s="30" t="s">
        <v>760</v>
      </c>
      <c r="J19" s="30" t="s">
        <v>740</v>
      </c>
    </row>
    <row r="20" customFormat="false" ht="15" hidden="false" customHeight="false" outlineLevel="0" collapsed="false">
      <c r="B20" s="33" t="n">
        <v>15</v>
      </c>
      <c r="C20" s="30" t="s">
        <v>434</v>
      </c>
      <c r="D20" s="30" t="s">
        <v>127</v>
      </c>
      <c r="E20" s="45" t="n">
        <f aca="false">'Benchmark KPIs'!D21</f>
        <v>1583004.56</v>
      </c>
      <c r="F20" s="33" t="s">
        <v>751</v>
      </c>
      <c r="G20" s="30" t="s">
        <v>394</v>
      </c>
      <c r="H20" s="29" t="s">
        <v>404</v>
      </c>
      <c r="I20" s="30" t="s">
        <v>761</v>
      </c>
      <c r="J20" s="30" t="s">
        <v>740</v>
      </c>
    </row>
    <row r="21" customFormat="false" ht="15" hidden="false" customHeight="false" outlineLevel="0" collapsed="false">
      <c r="B21" s="33" t="n">
        <v>16</v>
      </c>
      <c r="C21" s="30" t="s">
        <v>436</v>
      </c>
      <c r="D21" s="30" t="s">
        <v>435</v>
      </c>
      <c r="E21" s="45" t="n">
        <f aca="false">'Benchmark KPIs'!D22</f>
        <v>583482.62</v>
      </c>
      <c r="F21" s="33" t="s">
        <v>751</v>
      </c>
      <c r="G21" s="30" t="s">
        <v>394</v>
      </c>
      <c r="H21" s="29" t="s">
        <v>404</v>
      </c>
      <c r="I21" s="30" t="s">
        <v>762</v>
      </c>
      <c r="J21" s="30" t="s">
        <v>740</v>
      </c>
    </row>
    <row r="22" customFormat="false" ht="15" hidden="false" customHeight="false" outlineLevel="0" collapsed="false">
      <c r="B22" s="33" t="n">
        <v>17</v>
      </c>
      <c r="C22" s="30" t="s">
        <v>439</v>
      </c>
      <c r="D22" s="30" t="s">
        <v>438</v>
      </c>
      <c r="E22" s="45" t="n">
        <f aca="false">'Benchmark KPIs'!D23</f>
        <v>661468.33</v>
      </c>
      <c r="F22" s="33" t="s">
        <v>751</v>
      </c>
      <c r="G22" s="30" t="s">
        <v>394</v>
      </c>
      <c r="H22" s="29" t="s">
        <v>404</v>
      </c>
      <c r="I22" s="30" t="s">
        <v>763</v>
      </c>
      <c r="J22" s="30" t="s">
        <v>740</v>
      </c>
    </row>
    <row r="23" customFormat="false" ht="15" hidden="false" customHeight="false" outlineLevel="0" collapsed="false">
      <c r="B23" s="33" t="n">
        <v>18</v>
      </c>
      <c r="C23" s="30" t="s">
        <v>442</v>
      </c>
      <c r="D23" s="30" t="s">
        <v>441</v>
      </c>
      <c r="E23" s="45" t="n">
        <f aca="false">'Benchmark KPIs'!D24</f>
        <v>43335.38</v>
      </c>
      <c r="F23" s="33" t="s">
        <v>751</v>
      </c>
      <c r="G23" s="30" t="s">
        <v>394</v>
      </c>
      <c r="H23" s="29" t="s">
        <v>404</v>
      </c>
      <c r="I23" s="30" t="s">
        <v>764</v>
      </c>
      <c r="J23" s="30" t="s">
        <v>740</v>
      </c>
    </row>
    <row r="24" customFormat="false" ht="15" hidden="false" customHeight="false" outlineLevel="0" collapsed="false">
      <c r="B24" s="33" t="n">
        <v>19</v>
      </c>
      <c r="C24" s="30" t="s">
        <v>445</v>
      </c>
      <c r="D24" s="30" t="s">
        <v>444</v>
      </c>
      <c r="E24" s="45" t="n">
        <f aca="false">'Benchmark KPIs'!D25</f>
        <v>294718.23</v>
      </c>
      <c r="F24" s="33" t="s">
        <v>751</v>
      </c>
      <c r="G24" s="30" t="s">
        <v>394</v>
      </c>
      <c r="H24" s="29" t="s">
        <v>404</v>
      </c>
      <c r="I24" s="30" t="s">
        <v>765</v>
      </c>
      <c r="J24" s="30" t="s">
        <v>740</v>
      </c>
    </row>
    <row r="25" customFormat="false" ht="15" hidden="false" customHeight="false" outlineLevel="0" collapsed="false">
      <c r="B25" s="33" t="n">
        <v>20</v>
      </c>
      <c r="C25" s="30" t="s">
        <v>447</v>
      </c>
      <c r="D25" s="30" t="s">
        <v>369</v>
      </c>
      <c r="E25" s="45" t="n">
        <f aca="false">'Benchmark KPIs'!D26</f>
        <v>103985</v>
      </c>
      <c r="F25" s="33" t="s">
        <v>751</v>
      </c>
      <c r="G25" s="30" t="s">
        <v>394</v>
      </c>
      <c r="H25" s="29" t="s">
        <v>404</v>
      </c>
      <c r="I25" s="30" t="s">
        <v>766</v>
      </c>
      <c r="J25" s="30" t="s">
        <v>740</v>
      </c>
    </row>
    <row r="26" customFormat="false" ht="15" hidden="false" customHeight="false" outlineLevel="0" collapsed="false">
      <c r="B26" s="33" t="n">
        <v>21</v>
      </c>
      <c r="C26" s="30" t="s">
        <v>470</v>
      </c>
      <c r="D26" s="30" t="s">
        <v>469</v>
      </c>
      <c r="E26" s="45" t="n">
        <f aca="false">'Benchmark KPIs'!D37</f>
        <v>28660.75</v>
      </c>
      <c r="F26" s="33" t="s">
        <v>767</v>
      </c>
      <c r="G26" s="30" t="s">
        <v>394</v>
      </c>
      <c r="H26" s="29" t="s">
        <v>404</v>
      </c>
      <c r="I26" s="30" t="s">
        <v>768</v>
      </c>
      <c r="J26" s="30" t="s">
        <v>740</v>
      </c>
    </row>
    <row r="27" customFormat="false" ht="15" hidden="false" customHeight="false" outlineLevel="0" collapsed="false">
      <c r="B27" s="33" t="n">
        <v>22</v>
      </c>
      <c r="C27" s="30" t="s">
        <v>473</v>
      </c>
      <c r="D27" s="30" t="s">
        <v>472</v>
      </c>
      <c r="E27" s="33" t="n">
        <f aca="false">'Benchmark KPIs'!D38</f>
        <v>53</v>
      </c>
      <c r="F27" s="33" t="s">
        <v>748</v>
      </c>
      <c r="G27" s="30" t="s">
        <v>394</v>
      </c>
      <c r="H27" s="29" t="s">
        <v>404</v>
      </c>
      <c r="I27" s="30" t="s">
        <v>769</v>
      </c>
      <c r="J27" s="30" t="s">
        <v>740</v>
      </c>
    </row>
    <row r="28" customFormat="false" ht="15" hidden="false" customHeight="false" outlineLevel="0" collapsed="false">
      <c r="B28" s="33" t="n">
        <v>23</v>
      </c>
      <c r="C28" s="30" t="s">
        <v>475</v>
      </c>
      <c r="D28" s="30" t="s">
        <v>243</v>
      </c>
      <c r="E28" s="46" t="n">
        <f aca="false">'Benchmark KPIs'!D39</f>
        <v>17.8710431513481</v>
      </c>
      <c r="F28" s="33" t="s">
        <v>770</v>
      </c>
      <c r="G28" s="30" t="s">
        <v>394</v>
      </c>
      <c r="H28" s="29" t="s">
        <v>404</v>
      </c>
      <c r="I28" s="30" t="s">
        <v>771</v>
      </c>
      <c r="J28" s="30" t="s">
        <v>740</v>
      </c>
    </row>
    <row r="29" customFormat="false" ht="15" hidden="false" customHeight="false" outlineLevel="0" collapsed="false">
      <c r="B29" s="33" t="n">
        <v>24</v>
      </c>
      <c r="C29" s="30" t="s">
        <v>502</v>
      </c>
      <c r="D29" s="30" t="s">
        <v>501</v>
      </c>
      <c r="E29" s="33" t="n">
        <f aca="false">'Benchmark KPIs'!D51</f>
        <v>24</v>
      </c>
      <c r="F29" s="33" t="s">
        <v>748</v>
      </c>
      <c r="G29" s="30" t="s">
        <v>394</v>
      </c>
      <c r="H29" s="29" t="s">
        <v>404</v>
      </c>
      <c r="I29" s="30" t="s">
        <v>772</v>
      </c>
      <c r="J29" s="30" t="s">
        <v>740</v>
      </c>
    </row>
    <row r="30" customFormat="false" ht="15" hidden="false" customHeight="false" outlineLevel="0" collapsed="false">
      <c r="B30" s="33" t="n">
        <v>25</v>
      </c>
      <c r="C30" s="30" t="s">
        <v>509</v>
      </c>
      <c r="D30" s="30" t="s">
        <v>508</v>
      </c>
      <c r="E30" s="45" t="n">
        <f aca="false">'Benchmark KPIs'!D54</f>
        <v>198</v>
      </c>
      <c r="F30" s="33" t="s">
        <v>748</v>
      </c>
      <c r="G30" s="30" t="s">
        <v>394</v>
      </c>
      <c r="H30" s="29" t="s">
        <v>404</v>
      </c>
      <c r="I30" s="30" t="s">
        <v>773</v>
      </c>
      <c r="J30" s="30" t="s">
        <v>740</v>
      </c>
    </row>
    <row r="31" customFormat="false" ht="15" hidden="false" customHeight="false" outlineLevel="0" collapsed="false">
      <c r="B31" s="33" t="n">
        <v>26</v>
      </c>
      <c r="C31" s="30" t="s">
        <v>512</v>
      </c>
      <c r="D31" s="30" t="s">
        <v>774</v>
      </c>
      <c r="E31" s="44" t="n">
        <f aca="false">'Benchmark KPIs'!D55</f>
        <v>0.0721290925118053</v>
      </c>
      <c r="F31" s="33" t="s">
        <v>759</v>
      </c>
      <c r="G31" s="30" t="s">
        <v>394</v>
      </c>
      <c r="H31" s="29" t="s">
        <v>404</v>
      </c>
      <c r="I31" s="30" t="s">
        <v>760</v>
      </c>
      <c r="J31" s="30" t="s">
        <v>740</v>
      </c>
    </row>
    <row r="32" customFormat="false" ht="15" hidden="false" customHeight="false" outlineLevel="0" collapsed="false">
      <c r="B32" s="33" t="n">
        <v>27</v>
      </c>
      <c r="C32" s="30" t="s">
        <v>775</v>
      </c>
      <c r="D32" s="30" t="s">
        <v>776</v>
      </c>
      <c r="E32" s="33" t="n">
        <v>90</v>
      </c>
      <c r="F32" s="33" t="s">
        <v>748</v>
      </c>
      <c r="G32" s="30" t="s">
        <v>777</v>
      </c>
      <c r="H32" s="29" t="s">
        <v>404</v>
      </c>
      <c r="I32" s="30" t="s">
        <v>778</v>
      </c>
      <c r="J32" s="30" t="s">
        <v>779</v>
      </c>
    </row>
    <row r="33" customFormat="false" ht="15" hidden="false" customHeight="false" outlineLevel="0" collapsed="false">
      <c r="B33" s="33" t="n">
        <v>28</v>
      </c>
      <c r="C33" s="30" t="s">
        <v>780</v>
      </c>
      <c r="D33" s="30" t="s">
        <v>781</v>
      </c>
      <c r="E33" s="33" t="n">
        <v>6</v>
      </c>
      <c r="F33" s="33" t="s">
        <v>748</v>
      </c>
      <c r="G33" s="30" t="s">
        <v>782</v>
      </c>
      <c r="H33" s="29" t="s">
        <v>404</v>
      </c>
      <c r="I33" s="30" t="s">
        <v>783</v>
      </c>
      <c r="J33" s="30" t="s">
        <v>784</v>
      </c>
    </row>
    <row r="34" customFormat="false" ht="15" hidden="false" customHeight="false" outlineLevel="0" collapsed="false">
      <c r="B34" s="33" t="n">
        <v>29</v>
      </c>
      <c r="C34" s="30" t="s">
        <v>785</v>
      </c>
      <c r="D34" s="30" t="s">
        <v>701</v>
      </c>
      <c r="E34" s="33" t="n">
        <v>16</v>
      </c>
      <c r="F34" s="33" t="s">
        <v>748</v>
      </c>
      <c r="G34" s="30" t="s">
        <v>782</v>
      </c>
      <c r="H34" s="29" t="s">
        <v>404</v>
      </c>
      <c r="I34" s="30" t="s">
        <v>786</v>
      </c>
      <c r="J34" s="30" t="s">
        <v>784</v>
      </c>
    </row>
    <row r="35" customFormat="false" ht="15" hidden="false" customHeight="false" outlineLevel="0" collapsed="false">
      <c r="B35" s="33" t="n">
        <v>30</v>
      </c>
      <c r="C35" s="30" t="s">
        <v>787</v>
      </c>
      <c r="D35" s="30" t="s">
        <v>697</v>
      </c>
      <c r="E35" s="33" t="n">
        <v>0</v>
      </c>
      <c r="F35" s="33" t="s">
        <v>748</v>
      </c>
      <c r="G35" s="30" t="s">
        <v>782</v>
      </c>
      <c r="H35" s="29" t="s">
        <v>404</v>
      </c>
      <c r="I35" s="30" t="s">
        <v>788</v>
      </c>
      <c r="J35" s="30" t="s">
        <v>784</v>
      </c>
    </row>
    <row r="36" customFormat="false" ht="15" hidden="false" customHeight="false" outlineLevel="0" collapsed="false">
      <c r="B36" s="33" t="n">
        <v>31</v>
      </c>
      <c r="C36" s="30" t="s">
        <v>789</v>
      </c>
      <c r="D36" s="30" t="s">
        <v>703</v>
      </c>
      <c r="E36" s="33" t="n">
        <v>1</v>
      </c>
      <c r="F36" s="33" t="s">
        <v>748</v>
      </c>
      <c r="G36" s="30" t="s">
        <v>782</v>
      </c>
      <c r="H36" s="29" t="s">
        <v>404</v>
      </c>
      <c r="I36" s="30" t="s">
        <v>790</v>
      </c>
      <c r="J36" s="30" t="s">
        <v>784</v>
      </c>
    </row>
    <row r="37" customFormat="false" ht="15" hidden="false" customHeight="false" outlineLevel="0" collapsed="false">
      <c r="B37" s="33" t="n">
        <v>32</v>
      </c>
      <c r="C37" s="30" t="s">
        <v>791</v>
      </c>
      <c r="D37" s="30" t="s">
        <v>792</v>
      </c>
      <c r="E37" s="33" t="n">
        <v>7</v>
      </c>
      <c r="F37" s="33" t="s">
        <v>748</v>
      </c>
      <c r="G37" s="30" t="s">
        <v>777</v>
      </c>
      <c r="H37" s="29" t="s">
        <v>404</v>
      </c>
      <c r="I37" s="30" t="s">
        <v>793</v>
      </c>
      <c r="J37" s="30" t="s">
        <v>779</v>
      </c>
    </row>
    <row r="38" customFormat="false" ht="15" hidden="false" customHeight="false" outlineLevel="0" collapsed="false">
      <c r="B38" s="33" t="n">
        <v>33</v>
      </c>
      <c r="C38" s="30" t="s">
        <v>794</v>
      </c>
      <c r="D38" s="30" t="s">
        <v>795</v>
      </c>
      <c r="E38" s="33" t="n">
        <v>31</v>
      </c>
      <c r="F38" s="33" t="s">
        <v>748</v>
      </c>
      <c r="G38" s="30" t="s">
        <v>782</v>
      </c>
      <c r="H38" s="29" t="s">
        <v>404</v>
      </c>
      <c r="I38" s="30" t="s">
        <v>796</v>
      </c>
      <c r="J38" s="30" t="s">
        <v>784</v>
      </c>
    </row>
    <row r="39" customFormat="false" ht="15" hidden="false" customHeight="false" outlineLevel="0" collapsed="false">
      <c r="B39" s="33" t="n">
        <v>34</v>
      </c>
      <c r="C39" s="30" t="s">
        <v>797</v>
      </c>
      <c r="D39" s="30" t="s">
        <v>798</v>
      </c>
      <c r="E39" s="36" t="n">
        <f aca="false">'Change Log'!H38</f>
        <v>47942</v>
      </c>
      <c r="F39" s="33" t="s">
        <v>751</v>
      </c>
      <c r="G39" s="30" t="s">
        <v>782</v>
      </c>
      <c r="H39" s="29" t="s">
        <v>404</v>
      </c>
      <c r="I39" s="30" t="s">
        <v>799</v>
      </c>
      <c r="J39" s="30" t="s">
        <v>784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800</v>
      </c>
      <c r="C2" s="2"/>
      <c r="D2" s="2"/>
      <c r="E2" s="2"/>
      <c r="F2" s="2"/>
    </row>
    <row r="3" customFormat="false" ht="15" hidden="false" customHeight="false" outlineLevel="0" collapsed="false">
      <c r="B3" s="47" t="s">
        <v>801</v>
      </c>
    </row>
    <row r="4" customFormat="false" ht="15" hidden="false" customHeight="true" outlineLevel="0" collapsed="false">
      <c r="B4" s="10" t="s">
        <v>802</v>
      </c>
      <c r="C4" s="10" t="s">
        <v>803</v>
      </c>
      <c r="D4" s="10" t="s">
        <v>804</v>
      </c>
      <c r="E4" s="10" t="s">
        <v>367</v>
      </c>
      <c r="F4" s="10" t="s">
        <v>368</v>
      </c>
    </row>
    <row r="5" customFormat="false" ht="15" hidden="false" customHeight="true" outlineLevel="0" collapsed="false">
      <c r="B5" s="4" t="s">
        <v>805</v>
      </c>
      <c r="C5" s="4"/>
      <c r="D5" s="4"/>
      <c r="E5" s="4"/>
      <c r="F5" s="4"/>
    </row>
    <row r="6" customFormat="false" ht="15" hidden="false" customHeight="true" outlineLevel="0" collapsed="false">
      <c r="B6" s="5" t="s">
        <v>806</v>
      </c>
      <c r="C6" s="11" t="n">
        <v>583482.62</v>
      </c>
      <c r="D6" s="11" t="n">
        <v>583482.62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807</v>
      </c>
      <c r="C7" s="11" t="n">
        <v>661468.33</v>
      </c>
      <c r="D7" s="11" t="n">
        <v>661468.33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808</v>
      </c>
      <c r="C8" s="11" t="n">
        <v>43335.38</v>
      </c>
      <c r="D8" s="11" t="n">
        <v>43335.38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809</v>
      </c>
      <c r="C9" s="11" t="n">
        <v>294718.23</v>
      </c>
      <c r="D9" s="11" t="n">
        <v>294718.23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810</v>
      </c>
      <c r="C10" s="11" t="n">
        <v>1583004.56</v>
      </c>
      <c r="D10" s="11" t="n">
        <v>1583004.56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811</v>
      </c>
      <c r="C11" s="11" t="n">
        <v>2146708</v>
      </c>
      <c r="D11" s="11" t="n">
        <v>2146708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812</v>
      </c>
      <c r="C12" s="11" t="n">
        <v>563703.44</v>
      </c>
      <c r="D12" s="11" t="n">
        <v>563703.44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813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814</v>
      </c>
      <c r="C15" s="48" t="n">
        <v>28660.75</v>
      </c>
      <c r="D15" s="48" t="n">
        <v>28660.75</v>
      </c>
      <c r="E15" s="4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815</v>
      </c>
      <c r="C16" s="48" t="n">
        <v>25955.5</v>
      </c>
      <c r="D16" s="48" t="n">
        <v>28660.75</v>
      </c>
      <c r="E16" s="48" t="n">
        <f aca="false">C16-D16</f>
        <v>-2705.25</v>
      </c>
      <c r="F16" s="6" t="str">
        <f aca="false">IF(ABS(E16)&lt;=5,"TIES",IF(ABS(E16)&lt;=ABS(D16)*0.05,"WITHIN","OFF"))</f>
        <v>OFF</v>
      </c>
    </row>
    <row r="18" customFormat="false" ht="15" hidden="false" customHeight="true" outlineLevel="0" collapsed="false">
      <c r="B18" s="4" t="s">
        <v>816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333</v>
      </c>
      <c r="C19" s="11" t="n">
        <v>2079708</v>
      </c>
      <c r="D19" s="11" t="n">
        <v>2146708</v>
      </c>
      <c r="E19" s="11" t="n">
        <f aca="false">C19-D19</f>
        <v>-67000</v>
      </c>
      <c r="F19" s="6" t="str">
        <f aca="false">IF(ABS(E19)&lt;=1,"TIES",IF(ABS(E19)&lt;=ABS(D19)*0.05,"WITHIN","OFF"))</f>
        <v>WITHIN</v>
      </c>
    </row>
    <row r="20" customFormat="false" ht="15" hidden="false" customHeight="true" outlineLevel="0" collapsed="false">
      <c r="B20" s="5" t="s">
        <v>369</v>
      </c>
      <c r="C20" s="11" t="n">
        <v>103985</v>
      </c>
      <c r="D20" s="11" t="n">
        <v>103985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127</v>
      </c>
      <c r="C21" s="11" t="n">
        <v>1583004.56</v>
      </c>
      <c r="D21" s="11" t="n">
        <v>1641584</v>
      </c>
      <c r="E21" s="11" t="n">
        <f aca="false">C21-D21</f>
        <v>-58579.4399999999</v>
      </c>
      <c r="F21" s="6" t="str">
        <f aca="false">IF(ABS(E21)&lt;=1,"TIES",IF(ABS(E21)&lt;=ABS(D21)*0.05,"WITHIN","OFF"))</f>
        <v>WITHIN</v>
      </c>
    </row>
    <row r="23" customFormat="false" ht="15" hidden="false" customHeight="true" outlineLevel="0" collapsed="false">
      <c r="B23" s="4" t="s">
        <v>817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818</v>
      </c>
      <c r="C24" s="11" t="n">
        <v>741273.37</v>
      </c>
      <c r="D24" s="11" t="n">
        <v>690359</v>
      </c>
      <c r="E24" s="11" t="n">
        <f aca="false">C24-D24</f>
        <v>50914.37</v>
      </c>
      <c r="F24" s="6" t="str">
        <f aca="false">IF(ABS(E24)&lt;=5,"TIES",IF(ABS(E24)&lt;=ABS(D24)*0.05,"WITHIN","OFF"))</f>
        <v>OFF</v>
      </c>
    </row>
    <row r="28" customFormat="false" ht="15" hidden="false" customHeight="true" outlineLevel="0" collapsed="false">
      <c r="B28" s="4" t="s">
        <v>62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63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64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65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66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819</v>
      </c>
      <c r="C33" s="3"/>
      <c r="D33" s="3"/>
      <c r="E33" s="3"/>
      <c r="F33" s="3"/>
    </row>
    <row r="48" customFormat="false" ht="15" hidden="false" customHeight="false" outlineLevel="0" collapsed="false">
      <c r="B48" s="49" t="s">
        <v>820</v>
      </c>
      <c r="C48" s="50"/>
      <c r="D48" s="50"/>
      <c r="E48" s="50"/>
      <c r="F48" s="50"/>
      <c r="G48" s="50"/>
      <c r="H48" s="51"/>
      <c r="I48" s="51"/>
    </row>
    <row r="49" customFormat="false" ht="15" hidden="false" customHeight="false" outlineLevel="0" collapsed="false">
      <c r="B49" s="52" t="s">
        <v>821</v>
      </c>
      <c r="C49" s="52" t="n">
        <v>31</v>
      </c>
      <c r="D49" s="52" t="n">
        <f aca="false">'Root Cause Analysis'!C15</f>
        <v>31</v>
      </c>
      <c r="E49" s="52" t="n">
        <f aca="false">C49-D49</f>
        <v>0</v>
      </c>
      <c r="F49" s="52" t="str">
        <f aca="false">IF(ABS(E49)&lt;=1,"TIES",IF(ABS(E49)&lt;=ABS(D49)*0.05,"WITHIN","OFF"))</f>
        <v>TIES</v>
      </c>
      <c r="G49" s="52" t="s">
        <v>822</v>
      </c>
      <c r="H49" s="51"/>
      <c r="I49" s="51"/>
    </row>
    <row r="50" customFormat="false" ht="15" hidden="false" customHeight="false" outlineLevel="0" collapsed="false">
      <c r="B50" s="52" t="s">
        <v>709</v>
      </c>
      <c r="C50" s="53" t="n">
        <f aca="false">'Change Log'!H38</f>
        <v>47942</v>
      </c>
      <c r="D50" s="53" t="n">
        <f aca="false">'Root Cause Analysis'!D15</f>
        <v>47942</v>
      </c>
      <c r="E50" s="52" t="n">
        <f aca="false">C50-D50</f>
        <v>0</v>
      </c>
      <c r="F50" s="52" t="str">
        <f aca="false">IF(ABS(E50)&lt;=1,"TIES",IF(ABS(E50)&lt;=ABS(D50)*0.05,"WITHIN","OFF"))</f>
        <v>TIES</v>
      </c>
      <c r="G50" s="52" t="s">
        <v>822</v>
      </c>
      <c r="H50" s="51"/>
      <c r="I50" s="51"/>
    </row>
    <row r="51" customFormat="false" ht="15" hidden="false" customHeight="false" outlineLevel="0" collapsed="false">
      <c r="B51" s="51"/>
      <c r="C51" s="51"/>
      <c r="D51" s="51"/>
      <c r="E51" s="51"/>
      <c r="F51" s="51"/>
      <c r="G51" s="51"/>
      <c r="H51" s="51"/>
      <c r="I51" s="51"/>
    </row>
    <row r="52" customFormat="false" ht="15" hidden="false" customHeight="false" outlineLevel="0" collapsed="false">
      <c r="B52" s="49" t="s">
        <v>823</v>
      </c>
      <c r="C52" s="50"/>
      <c r="D52" s="50"/>
      <c r="E52" s="50"/>
      <c r="F52" s="50"/>
      <c r="G52" s="50"/>
      <c r="H52" s="51"/>
      <c r="I52" s="51"/>
    </row>
    <row r="53" customFormat="false" ht="15" hidden="false" customHeight="false" outlineLevel="0" collapsed="false">
      <c r="B53" s="52" t="s">
        <v>824</v>
      </c>
      <c r="C53" s="52" t="n">
        <v>0</v>
      </c>
      <c r="D53" s="52" t="n">
        <f aca="false">COUNTIF('Change Log'!C6:C37,"Backcharge")</f>
        <v>0</v>
      </c>
      <c r="E53" s="52" t="n">
        <f aca="false">C53-D53</f>
        <v>0</v>
      </c>
      <c r="F53" s="52" t="str">
        <f aca="false">IF(ABS(E53)&lt;=1,"TIES",IF(ABS(E53)&lt;=ABS(D53)*0.05,"WITHIN","OFF"))</f>
        <v>TIES</v>
      </c>
      <c r="G53" s="52" t="s">
        <v>825</v>
      </c>
      <c r="H53" s="51"/>
      <c r="I53" s="51"/>
    </row>
    <row r="54" customFormat="false" ht="15" hidden="false" customHeight="false" outlineLevel="0" collapsed="false">
      <c r="B54" s="51"/>
      <c r="C54" s="51"/>
      <c r="D54" s="51"/>
      <c r="E54" s="51"/>
      <c r="F54" s="51"/>
      <c r="G54" s="51"/>
      <c r="H54" s="51"/>
      <c r="I54" s="51"/>
    </row>
    <row r="55" customFormat="false" ht="15" hidden="false" customHeight="false" outlineLevel="0" collapsed="false">
      <c r="B55" s="49" t="s">
        <v>826</v>
      </c>
      <c r="C55" s="50"/>
      <c r="D55" s="50"/>
      <c r="E55" s="50"/>
      <c r="F55" s="50"/>
      <c r="G55" s="50"/>
      <c r="H55" s="51"/>
      <c r="I55" s="51"/>
    </row>
    <row r="56" customFormat="false" ht="15" hidden="false" customHeight="false" outlineLevel="0" collapsed="false">
      <c r="B56" s="52" t="s">
        <v>827</v>
      </c>
      <c r="C56" s="54" t="n">
        <f aca="false">'Metric Registry'!E17</f>
        <v>2146708</v>
      </c>
      <c r="D56" s="54" t="n">
        <f aca="false">'Benchmark KPIs'!D18</f>
        <v>2146708</v>
      </c>
      <c r="E56" s="52" t="n">
        <f aca="false">C56-D56</f>
        <v>0</v>
      </c>
      <c r="F56" s="52" t="str">
        <f aca="false">IF(ABS(E56)&lt;=1,"TIES",IF(ABS(E56)&lt;=ABS(D56)*0.05,"WITHIN","OFF"))</f>
        <v>TIES</v>
      </c>
      <c r="G56" s="52" t="s">
        <v>828</v>
      </c>
      <c r="H56" s="51"/>
      <c r="I56" s="51"/>
    </row>
    <row r="57" customFormat="false" ht="15" hidden="false" customHeight="false" outlineLevel="0" collapsed="false">
      <c r="B57" s="52" t="s">
        <v>829</v>
      </c>
      <c r="C57" s="54" t="n">
        <f aca="false">'Metric Registry'!E12</f>
        <v>197</v>
      </c>
      <c r="D57" s="54" t="n">
        <f aca="false">'Benchmark KPIs'!D12</f>
        <v>197</v>
      </c>
      <c r="E57" s="52" t="n">
        <f aca="false">C57-D57</f>
        <v>0</v>
      </c>
      <c r="F57" s="52" t="str">
        <f aca="false">IF(ABS(E57)&lt;=1,"TIES",IF(ABS(E57)&lt;=ABS(D57)*0.05,"WITHIN","OFF"))</f>
        <v>TIES</v>
      </c>
      <c r="G57" s="52" t="s">
        <v>828</v>
      </c>
      <c r="H57" s="51"/>
      <c r="I57" s="51"/>
    </row>
    <row r="58" customFormat="false" ht="15" hidden="false" customHeight="false" outlineLevel="0" collapsed="false">
      <c r="B58" s="52" t="s">
        <v>830</v>
      </c>
      <c r="C58" s="54" t="n">
        <f aca="false">'Metric Registry'!E13</f>
        <v>1349</v>
      </c>
      <c r="D58" s="54" t="n">
        <f aca="false">'Benchmark KPIs'!D13</f>
        <v>1349</v>
      </c>
      <c r="E58" s="52" t="n">
        <f aca="false">C58-D58</f>
        <v>0</v>
      </c>
      <c r="F58" s="52" t="str">
        <f aca="false">IF(ABS(E58)&lt;=1,"TIES",IF(ABS(E58)&lt;=ABS(D58)*0.05,"WITHIN","OFF"))</f>
        <v>TIES</v>
      </c>
      <c r="G58" s="52" t="s">
        <v>828</v>
      </c>
      <c r="H58" s="51"/>
      <c r="I58" s="51"/>
    </row>
    <row r="59" customFormat="false" ht="15" hidden="false" customHeight="false" outlineLevel="0" collapsed="false">
      <c r="B59" s="52" t="s">
        <v>831</v>
      </c>
      <c r="C59" s="55" t="n">
        <f aca="false">'Metric Registry'!E19</f>
        <v>0.262589714111095</v>
      </c>
      <c r="D59" s="54" t="n">
        <f aca="false">'Benchmark KPIs'!D21</f>
        <v>1583004.56</v>
      </c>
      <c r="E59" s="52" t="n">
        <f aca="false">C59-D59</f>
        <v>-1583004.29741029</v>
      </c>
      <c r="F59" s="52" t="str">
        <f aca="false">IF(ABS(E59)&lt;=1,"TIES",IF(ABS(E59)&lt;=ABS(D59)*0.05,"WITHIN","OFF"))</f>
        <v>OFF</v>
      </c>
      <c r="G59" s="52" t="s">
        <v>828</v>
      </c>
      <c r="H59" s="51"/>
      <c r="I59" s="51"/>
    </row>
    <row r="60" customFormat="false" ht="15" hidden="false" customHeight="false" outlineLevel="0" collapsed="false">
      <c r="B60" s="52" t="s">
        <v>832</v>
      </c>
      <c r="C60" s="54" t="n">
        <f aca="false">'Metric Registry'!E30</f>
        <v>198</v>
      </c>
      <c r="D60" s="54" t="n">
        <f aca="false">'Benchmark KPIs'!D54</f>
        <v>198</v>
      </c>
      <c r="E60" s="52" t="n">
        <f aca="false">C60-D60</f>
        <v>0</v>
      </c>
      <c r="F60" s="52" t="str">
        <f aca="false">IF(ABS(E60)&lt;=1,"TIES",IF(ABS(E60)&lt;=ABS(D60)*0.05,"WITHIN","OFF"))</f>
        <v>TIES</v>
      </c>
      <c r="G60" s="52" t="s">
        <v>828</v>
      </c>
      <c r="H60" s="51"/>
      <c r="I60" s="51"/>
    </row>
    <row r="61" customFormat="false" ht="15" hidden="false" customHeight="false" outlineLevel="0" collapsed="false">
      <c r="B61" s="51"/>
      <c r="C61" s="51"/>
      <c r="D61" s="51"/>
      <c r="E61" s="51"/>
      <c r="F61" s="51"/>
      <c r="G61" s="51"/>
      <c r="H61" s="51"/>
      <c r="I61" s="51"/>
    </row>
    <row r="62" customFormat="false" ht="15" hidden="false" customHeight="false" outlineLevel="0" collapsed="false">
      <c r="B62" s="49" t="s">
        <v>833</v>
      </c>
      <c r="C62" s="50"/>
      <c r="D62" s="50"/>
      <c r="E62" s="50"/>
      <c r="F62" s="50"/>
      <c r="G62" s="50"/>
      <c r="H62" s="51"/>
      <c r="I62" s="51"/>
    </row>
    <row r="63" customFormat="false" ht="15" hidden="false" customHeight="false" outlineLevel="0" collapsed="false">
      <c r="B63" s="52" t="s">
        <v>794</v>
      </c>
      <c r="C63" s="52" t="n">
        <f aca="false">'Metric Registry'!E36</f>
        <v>1</v>
      </c>
      <c r="D63" s="52" t="n">
        <v>31</v>
      </c>
      <c r="E63" s="52" t="n">
        <f aca="false">C63-D63</f>
        <v>-30</v>
      </c>
      <c r="F63" s="52" t="str">
        <f aca="false">IF(ABS(E63)&lt;=1,"TIES",IF(ABS(E63)&lt;=ABS(D63)*0.05,"WITHIN","OFF"))</f>
        <v>OFF</v>
      </c>
      <c r="G63" s="52" t="s">
        <v>834</v>
      </c>
      <c r="H63" s="51"/>
      <c r="I63" s="51"/>
    </row>
    <row r="64" customFormat="false" ht="15" hidden="false" customHeight="false" outlineLevel="0" collapsed="false">
      <c r="B64" s="51"/>
      <c r="C64" s="51"/>
      <c r="D64" s="51"/>
      <c r="E64" s="51"/>
      <c r="F64" s="51"/>
      <c r="G64" s="51"/>
      <c r="H64" s="51"/>
      <c r="I64" s="51"/>
    </row>
    <row r="65" customFormat="false" ht="15" hidden="false" customHeight="false" outlineLevel="0" collapsed="false">
      <c r="B65" s="51"/>
      <c r="C65" s="51"/>
      <c r="D65" s="51"/>
      <c r="E65" s="51"/>
      <c r="F65" s="51"/>
      <c r="G65" s="51"/>
      <c r="H65" s="51"/>
      <c r="I65" s="51"/>
    </row>
    <row r="66" customFormat="false" ht="15" hidden="false" customHeight="false" outlineLevel="0" collapsed="false">
      <c r="B66" s="56" t="s">
        <v>62</v>
      </c>
      <c r="C66" s="57"/>
      <c r="D66" s="57"/>
      <c r="E66" s="57"/>
      <c r="F66" s="57"/>
      <c r="G66" s="57"/>
      <c r="H66" s="51"/>
      <c r="I66" s="51"/>
    </row>
    <row r="67" customFormat="false" ht="15" hidden="false" customHeight="false" outlineLevel="0" collapsed="false">
      <c r="B67" s="58" t="s">
        <v>835</v>
      </c>
      <c r="C67" s="51"/>
      <c r="D67" s="51"/>
      <c r="E67" s="51"/>
      <c r="F67" s="51"/>
      <c r="G67" s="51"/>
      <c r="H67" s="51"/>
      <c r="I67" s="51"/>
    </row>
    <row r="68" customFormat="false" ht="15" hidden="false" customHeight="false" outlineLevel="0" collapsed="false">
      <c r="B68" s="58" t="s">
        <v>836</v>
      </c>
      <c r="C68" s="51"/>
      <c r="D68" s="51"/>
      <c r="E68" s="51"/>
      <c r="F68" s="51"/>
      <c r="G68" s="51"/>
      <c r="H68" s="51"/>
      <c r="I68" s="51"/>
    </row>
    <row r="69" customFormat="false" ht="15" hidden="false" customHeight="false" outlineLevel="0" collapsed="false">
      <c r="B69" s="58" t="s">
        <v>837</v>
      </c>
      <c r="C69" s="51"/>
      <c r="D69" s="51"/>
      <c r="E69" s="51"/>
      <c r="F69" s="51"/>
      <c r="G69" s="51"/>
      <c r="H69" s="51"/>
      <c r="I69" s="51"/>
    </row>
    <row r="70" customFormat="false" ht="15" hidden="false" customHeight="false" outlineLevel="0" collapsed="false">
      <c r="B70" s="59" t="s">
        <v>838</v>
      </c>
    </row>
    <row r="71" customFormat="false" ht="15" hidden="false" customHeight="false" outlineLevel="0" collapsed="false">
      <c r="B71" s="59" t="s">
        <v>839</v>
      </c>
    </row>
    <row r="72" customFormat="false" ht="15" hidden="false" customHeight="false" outlineLevel="0" collapsed="false">
      <c r="B72" s="59" t="s">
        <v>840</v>
      </c>
    </row>
    <row r="73" customFormat="false" ht="15" hidden="false" customHeight="false" outlineLevel="0" collapsed="false">
      <c r="B73" s="59" t="s">
        <v>841</v>
      </c>
    </row>
    <row r="74" customFormat="false" ht="15" hidden="false" customHeight="false" outlineLevel="0" collapsed="false">
      <c r="B74" s="59" t="s">
        <v>842</v>
      </c>
    </row>
  </sheetData>
  <mergeCells count="11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0" t="s">
        <v>843</v>
      </c>
      <c r="B1" s="60"/>
      <c r="C1" s="60"/>
      <c r="D1" s="60"/>
      <c r="E1" s="60"/>
      <c r="F1" s="60"/>
      <c r="G1" s="60"/>
    </row>
    <row r="3" customFormat="false" ht="15" hidden="false" customHeight="true" outlineLevel="0" collapsed="false">
      <c r="A3" s="61" t="s">
        <v>844</v>
      </c>
      <c r="B3" s="62" t="n">
        <v>24</v>
      </c>
      <c r="D3" s="61" t="s">
        <v>845</v>
      </c>
      <c r="E3" s="62" t="s">
        <v>149</v>
      </c>
    </row>
    <row r="4" customFormat="false" ht="15" hidden="false" customHeight="true" outlineLevel="0" collapsed="false">
      <c r="A4" s="61" t="s">
        <v>846</v>
      </c>
      <c r="B4" s="62" t="n">
        <v>368</v>
      </c>
      <c r="D4" s="61" t="s">
        <v>847</v>
      </c>
      <c r="E4" s="63" t="n">
        <f aca="false">473267.85/741273.37</f>
        <v>0.638452518535773</v>
      </c>
    </row>
    <row r="5" customFormat="false" ht="15" hidden="false" customHeight="true" outlineLevel="0" collapsed="false">
      <c r="A5" s="61" t="s">
        <v>848</v>
      </c>
      <c r="B5" s="64" t="n">
        <v>741273.37</v>
      </c>
      <c r="D5" s="61" t="s">
        <v>849</v>
      </c>
      <c r="E5" s="65" t="s">
        <v>850</v>
      </c>
    </row>
    <row r="6" customFormat="false" ht="15" hidden="false" customHeight="true" outlineLevel="0" collapsed="false">
      <c r="A6" s="61" t="s">
        <v>851</v>
      </c>
      <c r="B6" s="66" t="n">
        <f aca="false">B5/B4</f>
        <v>2014.32980978261</v>
      </c>
    </row>
    <row r="8" customFormat="false" ht="19.5" hidden="false" customHeight="true" outlineLevel="0" collapsed="false">
      <c r="A8" s="67" t="s">
        <v>852</v>
      </c>
      <c r="B8" s="67" t="s">
        <v>144</v>
      </c>
      <c r="C8" s="67" t="s">
        <v>853</v>
      </c>
      <c r="D8" s="67" t="s">
        <v>846</v>
      </c>
      <c r="E8" s="67" t="s">
        <v>146</v>
      </c>
      <c r="F8" s="67" t="s">
        <v>147</v>
      </c>
      <c r="G8" s="67" t="s">
        <v>854</v>
      </c>
    </row>
    <row r="9" customFormat="false" ht="15" hidden="false" customHeight="true" outlineLevel="0" collapsed="false">
      <c r="A9" s="68" t="n">
        <v>1</v>
      </c>
      <c r="B9" s="69" t="s">
        <v>149</v>
      </c>
      <c r="C9" s="68"/>
      <c r="D9" s="68" t="n">
        <v>89</v>
      </c>
      <c r="E9" s="70" t="n">
        <v>192671.23</v>
      </c>
      <c r="F9" s="71" t="n">
        <f aca="false">E9/E$33</f>
        <v>0.259919265681971</v>
      </c>
      <c r="G9" s="72" t="n">
        <f aca="false">E9/D9</f>
        <v>2164.84528089888</v>
      </c>
    </row>
    <row r="10" customFormat="false" ht="15" hidden="false" customHeight="true" outlineLevel="0" collapsed="false">
      <c r="A10" s="68" t="n">
        <v>2</v>
      </c>
      <c r="B10" s="69" t="s">
        <v>150</v>
      </c>
      <c r="C10" s="68"/>
      <c r="D10" s="68" t="n">
        <v>80</v>
      </c>
      <c r="E10" s="70" t="n">
        <v>153391.68</v>
      </c>
      <c r="F10" s="71" t="n">
        <f aca="false">E10/E$33</f>
        <v>0.206929975104866</v>
      </c>
      <c r="G10" s="72" t="n">
        <f aca="false">E10/D10</f>
        <v>1917.396</v>
      </c>
    </row>
    <row r="11" customFormat="false" ht="15" hidden="false" customHeight="true" outlineLevel="0" collapsed="false">
      <c r="A11" s="68" t="n">
        <v>3</v>
      </c>
      <c r="B11" s="69" t="s">
        <v>151</v>
      </c>
      <c r="C11" s="68"/>
      <c r="D11" s="68" t="n">
        <v>82</v>
      </c>
      <c r="E11" s="70" t="n">
        <v>127204.94</v>
      </c>
      <c r="F11" s="71" t="n">
        <f aca="false">E11/E$33</f>
        <v>0.171603277748936</v>
      </c>
      <c r="G11" s="72" t="n">
        <f aca="false">E11/D11</f>
        <v>1551.27975609756</v>
      </c>
    </row>
    <row r="12" customFormat="false" ht="15" hidden="false" customHeight="true" outlineLevel="0" collapsed="false">
      <c r="A12" s="73" t="n">
        <v>4</v>
      </c>
      <c r="B12" s="74" t="s">
        <v>152</v>
      </c>
      <c r="C12" s="73"/>
      <c r="D12" s="73" t="n">
        <v>3</v>
      </c>
      <c r="E12" s="75" t="n">
        <v>67768.3</v>
      </c>
      <c r="F12" s="76" t="n">
        <f aca="false">E12/E$33</f>
        <v>0.0914214684388298</v>
      </c>
      <c r="G12" s="77" t="n">
        <f aca="false">E12/D12</f>
        <v>22589.4333333333</v>
      </c>
    </row>
    <row r="13" customFormat="false" ht="15" hidden="false" customHeight="true" outlineLevel="0" collapsed="false">
      <c r="A13" s="78" t="n">
        <v>5</v>
      </c>
      <c r="B13" s="79" t="s">
        <v>153</v>
      </c>
      <c r="C13" s="78"/>
      <c r="D13" s="78" t="n">
        <v>11</v>
      </c>
      <c r="E13" s="80" t="n">
        <v>44962.5</v>
      </c>
      <c r="F13" s="81" t="n">
        <f aca="false">E13/E$33</f>
        <v>0.0606557605057362</v>
      </c>
      <c r="G13" s="82" t="n">
        <f aca="false">E13/D13</f>
        <v>4087.5</v>
      </c>
    </row>
    <row r="14" customFormat="false" ht="15" hidden="false" customHeight="true" outlineLevel="0" collapsed="false">
      <c r="A14" s="73" t="n">
        <v>6</v>
      </c>
      <c r="B14" s="74" t="s">
        <v>154</v>
      </c>
      <c r="C14" s="73"/>
      <c r="D14" s="73" t="n">
        <v>5</v>
      </c>
      <c r="E14" s="75" t="n">
        <v>31310</v>
      </c>
      <c r="F14" s="76" t="n">
        <f aca="false">E14/E$33</f>
        <v>0.0422381286946812</v>
      </c>
      <c r="G14" s="77" t="n">
        <f aca="false">E14/D14</f>
        <v>6262</v>
      </c>
    </row>
    <row r="15" customFormat="false" ht="15" hidden="false" customHeight="true" outlineLevel="0" collapsed="false">
      <c r="A15" s="78" t="n">
        <v>7</v>
      </c>
      <c r="B15" s="79" t="s">
        <v>155</v>
      </c>
      <c r="C15" s="78"/>
      <c r="D15" s="78" t="n">
        <v>4</v>
      </c>
      <c r="E15" s="80" t="n">
        <v>30250</v>
      </c>
      <c r="F15" s="81" t="n">
        <f aca="false">E15/E$33</f>
        <v>0.0408081569151742</v>
      </c>
      <c r="G15" s="82" t="n">
        <f aca="false">E15/D15</f>
        <v>7562.5</v>
      </c>
    </row>
    <row r="16" customFormat="false" ht="15" hidden="false" customHeight="true" outlineLevel="0" collapsed="false">
      <c r="A16" s="73" t="n">
        <v>8</v>
      </c>
      <c r="B16" s="74" t="s">
        <v>156</v>
      </c>
      <c r="C16" s="73"/>
      <c r="D16" s="73" t="n">
        <v>22</v>
      </c>
      <c r="E16" s="75" t="n">
        <v>26432.13</v>
      </c>
      <c r="F16" s="76" t="n">
        <f aca="false">E16/E$33</f>
        <v>0.0356577358228854</v>
      </c>
      <c r="G16" s="77" t="n">
        <f aca="false">E16/D16</f>
        <v>1201.46045454545</v>
      </c>
    </row>
    <row r="17" customFormat="false" ht="15" hidden="false" customHeight="true" outlineLevel="0" collapsed="false">
      <c r="A17" s="78" t="n">
        <v>9</v>
      </c>
      <c r="B17" s="79" t="s">
        <v>157</v>
      </c>
      <c r="C17" s="78"/>
      <c r="D17" s="78" t="n">
        <v>6</v>
      </c>
      <c r="E17" s="80" t="n">
        <v>23106</v>
      </c>
      <c r="F17" s="81" t="n">
        <f aca="false">E17/E$33</f>
        <v>0.0311706867332898</v>
      </c>
      <c r="G17" s="82" t="n">
        <f aca="false">E17/D17</f>
        <v>3851</v>
      </c>
    </row>
    <row r="18" customFormat="false" ht="15" hidden="false" customHeight="true" outlineLevel="0" collapsed="false">
      <c r="A18" s="73" t="n">
        <v>10</v>
      </c>
      <c r="B18" s="74" t="s">
        <v>158</v>
      </c>
      <c r="C18" s="73"/>
      <c r="D18" s="73" t="n">
        <v>7</v>
      </c>
      <c r="E18" s="75" t="n">
        <v>12653</v>
      </c>
      <c r="F18" s="76" t="n">
        <f aca="false">E18/E$33</f>
        <v>0.0170692763453785</v>
      </c>
      <c r="G18" s="77" t="n">
        <f aca="false">E18/D18</f>
        <v>1807.57142857143</v>
      </c>
    </row>
    <row r="19" customFormat="false" ht="15" hidden="false" customHeight="true" outlineLevel="0" collapsed="false">
      <c r="A19" s="78" t="n">
        <v>11</v>
      </c>
      <c r="B19" s="79" t="s">
        <v>159</v>
      </c>
      <c r="C19" s="78"/>
      <c r="D19" s="78" t="n">
        <v>6</v>
      </c>
      <c r="E19" s="80" t="n">
        <v>8279</v>
      </c>
      <c r="F19" s="81" t="n">
        <f aca="false">E19/E$33</f>
        <v>0.0111686192099414</v>
      </c>
      <c r="G19" s="82" t="n">
        <f aca="false">E19/D19</f>
        <v>1379.83333333333</v>
      </c>
    </row>
    <row r="20" customFormat="false" ht="15" hidden="false" customHeight="true" outlineLevel="0" collapsed="false">
      <c r="A20" s="73" t="n">
        <v>12</v>
      </c>
      <c r="B20" s="74" t="s">
        <v>160</v>
      </c>
      <c r="C20" s="73"/>
      <c r="D20" s="73" t="n">
        <v>10</v>
      </c>
      <c r="E20" s="75" t="n">
        <v>5848.82</v>
      </c>
      <c r="F20" s="76" t="n">
        <f aca="false">E20/E$33</f>
        <v>0.00789023353152427</v>
      </c>
      <c r="G20" s="77" t="n">
        <f aca="false">E20/D20</f>
        <v>584.882</v>
      </c>
    </row>
    <row r="21" customFormat="false" ht="15" hidden="false" customHeight="true" outlineLevel="0" collapsed="false">
      <c r="A21" s="78" t="n">
        <v>13</v>
      </c>
      <c r="B21" s="79" t="s">
        <v>161</v>
      </c>
      <c r="C21" s="78"/>
      <c r="D21" s="78" t="n">
        <v>6</v>
      </c>
      <c r="E21" s="80" t="n">
        <v>3895</v>
      </c>
      <c r="F21" s="81" t="n">
        <f aca="false">E21/E$33</f>
        <v>0.00525447177469764</v>
      </c>
      <c r="G21" s="82" t="n">
        <f aca="false">E21/D21</f>
        <v>649.166666666667</v>
      </c>
    </row>
    <row r="22" customFormat="false" ht="15" hidden="false" customHeight="true" outlineLevel="0" collapsed="false">
      <c r="A22" s="73" t="n">
        <v>14</v>
      </c>
      <c r="B22" s="74" t="s">
        <v>162</v>
      </c>
      <c r="C22" s="73"/>
      <c r="D22" s="73" t="n">
        <v>3</v>
      </c>
      <c r="E22" s="75" t="n">
        <v>3080</v>
      </c>
      <c r="F22" s="76" t="n">
        <f aca="false">E22/E$33</f>
        <v>0.0041550123404541</v>
      </c>
      <c r="G22" s="77" t="n">
        <f aca="false">E22/D22</f>
        <v>1026.66666666667</v>
      </c>
    </row>
    <row r="23" customFormat="false" ht="15" hidden="false" customHeight="true" outlineLevel="0" collapsed="false">
      <c r="A23" s="78" t="n">
        <v>15</v>
      </c>
      <c r="B23" s="79" t="s">
        <v>163</v>
      </c>
      <c r="C23" s="78"/>
      <c r="D23" s="78" t="n">
        <v>3</v>
      </c>
      <c r="E23" s="80" t="n">
        <v>2700</v>
      </c>
      <c r="F23" s="81" t="n">
        <f aca="false">E23/E$33</f>
        <v>0.00364238094780067</v>
      </c>
      <c r="G23" s="82" t="n">
        <f aca="false">E23/D23</f>
        <v>900</v>
      </c>
    </row>
    <row r="24" customFormat="false" ht="15" hidden="false" customHeight="true" outlineLevel="0" collapsed="false">
      <c r="A24" s="73" t="n">
        <v>16</v>
      </c>
      <c r="B24" s="74" t="s">
        <v>164</v>
      </c>
      <c r="C24" s="73"/>
      <c r="D24" s="73" t="n">
        <v>5</v>
      </c>
      <c r="E24" s="75" t="n">
        <v>2674.97</v>
      </c>
      <c r="F24" s="76" t="n">
        <f aca="false">E24/E$33</f>
        <v>0.00360861472738458</v>
      </c>
      <c r="G24" s="77" t="n">
        <f aca="false">E24/D24</f>
        <v>534.994</v>
      </c>
    </row>
    <row r="25" customFormat="false" ht="15" hidden="false" customHeight="true" outlineLevel="0" collapsed="false">
      <c r="A25" s="78" t="n">
        <v>17</v>
      </c>
      <c r="B25" s="79" t="s">
        <v>165</v>
      </c>
      <c r="C25" s="78"/>
      <c r="D25" s="78" t="n">
        <v>7</v>
      </c>
      <c r="E25" s="80" t="n">
        <v>2315.27</v>
      </c>
      <c r="F25" s="81" t="n">
        <f aca="false">E25/E$33</f>
        <v>0.00312336864333869</v>
      </c>
      <c r="G25" s="82" t="n">
        <f aca="false">E25/D25</f>
        <v>330.752857142857</v>
      </c>
    </row>
    <row r="26" customFormat="false" ht="15" hidden="false" customHeight="true" outlineLevel="0" collapsed="false">
      <c r="A26" s="73" t="n">
        <v>18</v>
      </c>
      <c r="B26" s="74" t="s">
        <v>166</v>
      </c>
      <c r="C26" s="73"/>
      <c r="D26" s="73" t="n">
        <v>5</v>
      </c>
      <c r="E26" s="75" t="n">
        <v>715.13</v>
      </c>
      <c r="F26" s="76" t="n">
        <f aca="false">E26/E$33</f>
        <v>0.000964731810074332</v>
      </c>
      <c r="G26" s="77" t="n">
        <f aca="false">E26/D26</f>
        <v>143.026</v>
      </c>
    </row>
    <row r="27" customFormat="false" ht="15" hidden="false" customHeight="true" outlineLevel="0" collapsed="false">
      <c r="A27" s="78" t="n">
        <v>19</v>
      </c>
      <c r="B27" s="79" t="s">
        <v>167</v>
      </c>
      <c r="C27" s="78"/>
      <c r="D27" s="78" t="n">
        <v>1</v>
      </c>
      <c r="E27" s="80" t="n">
        <v>606.32</v>
      </c>
      <c r="F27" s="81" t="n">
        <f aca="false">E27/E$33</f>
        <v>0.000817943857877965</v>
      </c>
      <c r="G27" s="82" t="n">
        <f aca="false">E27/D27</f>
        <v>606.32</v>
      </c>
    </row>
    <row r="28" customFormat="false" ht="15" hidden="false" customHeight="true" outlineLevel="0" collapsed="false">
      <c r="A28" s="73" t="n">
        <v>20</v>
      </c>
      <c r="B28" s="74" t="s">
        <v>168</v>
      </c>
      <c r="C28" s="73"/>
      <c r="D28" s="73" t="n">
        <v>4</v>
      </c>
      <c r="E28" s="75" t="n">
        <v>432.88</v>
      </c>
      <c r="F28" s="76" t="n">
        <f aca="false">E28/E$33</f>
        <v>0.000583968098031095</v>
      </c>
      <c r="G28" s="77" t="n">
        <f aca="false">E28/D28</f>
        <v>108.22</v>
      </c>
    </row>
    <row r="29" customFormat="false" ht="15" hidden="false" customHeight="true" outlineLevel="0" collapsed="false">
      <c r="A29" s="78" t="n">
        <v>21</v>
      </c>
      <c r="B29" s="79" t="s">
        <v>169</v>
      </c>
      <c r="C29" s="78"/>
      <c r="D29" s="78" t="n">
        <v>5</v>
      </c>
      <c r="E29" s="80" t="n">
        <v>352.83</v>
      </c>
      <c r="F29" s="81" t="n">
        <f aca="false">E29/E$33</f>
        <v>0.000475978248078708</v>
      </c>
      <c r="G29" s="82" t="n">
        <f aca="false">E29/D29</f>
        <v>70.566</v>
      </c>
    </row>
    <row r="30" customFormat="false" ht="15" hidden="false" customHeight="true" outlineLevel="0" collapsed="false">
      <c r="A30" s="73" t="n">
        <v>22</v>
      </c>
      <c r="B30" s="74" t="s">
        <v>170</v>
      </c>
      <c r="C30" s="73"/>
      <c r="D30" s="73" t="n">
        <v>1</v>
      </c>
      <c r="E30" s="75" t="n">
        <v>257.4</v>
      </c>
      <c r="F30" s="76" t="n">
        <f aca="false">E30/E$33</f>
        <v>0.000347240317023664</v>
      </c>
      <c r="G30" s="77" t="n">
        <f aca="false">E30/D30</f>
        <v>257.4</v>
      </c>
    </row>
    <row r="31" customFormat="false" ht="15" hidden="false" customHeight="true" outlineLevel="0" collapsed="false">
      <c r="A31" s="78" t="n">
        <v>23</v>
      </c>
      <c r="B31" s="79" t="s">
        <v>171</v>
      </c>
      <c r="C31" s="78"/>
      <c r="D31" s="78" t="n">
        <v>2</v>
      </c>
      <c r="E31" s="80" t="n">
        <v>257</v>
      </c>
      <c r="F31" s="81" t="n">
        <f aca="false">E31/E$33</f>
        <v>0.000346700705031398</v>
      </c>
      <c r="G31" s="82" t="n">
        <f aca="false">E31/D31</f>
        <v>128.5</v>
      </c>
    </row>
    <row r="32" customFormat="false" ht="15" hidden="false" customHeight="true" outlineLevel="0" collapsed="false">
      <c r="A32" s="73" t="n">
        <v>24</v>
      </c>
      <c r="B32" s="74" t="s">
        <v>172</v>
      </c>
      <c r="C32" s="73"/>
      <c r="D32" s="73" t="n">
        <v>1</v>
      </c>
      <c r="E32" s="75" t="n">
        <v>108.97</v>
      </c>
      <c r="F32" s="76" t="n">
        <f aca="false">E32/E$33</f>
        <v>0.000147003796993274</v>
      </c>
      <c r="G32" s="77" t="n">
        <f aca="false">E32/D32</f>
        <v>108.97</v>
      </c>
    </row>
    <row r="33" customFormat="false" ht="15" hidden="false" customHeight="true" outlineLevel="0" collapsed="false">
      <c r="A33" s="83"/>
      <c r="B33" s="84" t="s">
        <v>38</v>
      </c>
      <c r="C33" s="83"/>
      <c r="D33" s="85" t="n">
        <f aca="false">SUM(D9:D32)</f>
        <v>368</v>
      </c>
      <c r="E33" s="86" t="n">
        <f aca="false">SUM(E9:E32)</f>
        <v>741273.37</v>
      </c>
      <c r="F33" s="87" t="n">
        <f aca="false">SUM(F9:F32)</f>
        <v>1</v>
      </c>
      <c r="G33" s="86" t="n">
        <f aca="false">E33/D33</f>
        <v>2014.32980978261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2026-04-10T14:36:11Z</dcterms:created>
  <dc:creator>openpyxl</dc:creator>
  <dc:description/>
  <dc:language>en-US</dc:language>
  <cp:lastModifiedBy/>
  <dcterms:modified xsi:type="dcterms:W3CDTF">2026-04-13T20:57:02Z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