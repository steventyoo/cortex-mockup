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tevenyoo/Desktop/owp-2009/"/>
    </mc:Choice>
  </mc:AlternateContent>
  <xr:revisionPtr revIDLastSave="0" documentId="13_ncr:1_{9C5042E8-B5C6-A547-9222-9BE7CEA128C9}" xr6:coauthVersionLast="47" xr6:coauthVersionMax="47" xr10:uidLastSave="{00000000-0000-0000-0000-000000000000}"/>
  <bookViews>
    <workbookView xWindow="55520" yWindow="5680" windowWidth="32300" windowHeight="19560" tabRatio="500" xr2:uid="{00000000-000D-0000-FFFF-FFFF00000000}"/>
  </bookViews>
  <sheets>
    <sheet name="Overview" sheetId="1" r:id="rId1"/>
    <sheet name="Budget vs Actual" sheetId="2" r:id="rId2"/>
    <sheet name="Cost Breakdown" sheetId="3" r:id="rId3"/>
    <sheet name="Material" sheetId="4" r:id="rId4"/>
    <sheet name="Crew &amp; Labor" sheetId="5" r:id="rId5"/>
    <sheet name="Crew Analytics" sheetId="6" r:id="rId6"/>
    <sheet name="Productivity" sheetId="7" r:id="rId7"/>
    <sheet name="PO Commitments" sheetId="8" r:id="rId8"/>
    <sheet name="Billing &amp; SOV" sheetId="9" r:id="rId9"/>
    <sheet name="Insights" sheetId="10" r:id="rId10"/>
    <sheet name="Benchmark KPIs" sheetId="11" r:id="rId11"/>
    <sheet name="Reconcili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2" l="1"/>
  <c r="E25" i="12"/>
  <c r="E22" i="12"/>
  <c r="E21" i="12"/>
  <c r="E20" i="12"/>
  <c r="E19" i="12"/>
  <c r="E16" i="12"/>
  <c r="E15" i="12"/>
  <c r="E12" i="12"/>
  <c r="E11" i="12"/>
  <c r="E10" i="12"/>
  <c r="E9" i="12"/>
  <c r="E8" i="12"/>
  <c r="E7" i="12"/>
  <c r="E6" i="12"/>
  <c r="E28" i="9"/>
  <c r="E27" i="9"/>
  <c r="E26" i="9"/>
  <c r="E25" i="9"/>
  <c r="E24" i="9"/>
  <c r="E23" i="9"/>
  <c r="E22" i="9"/>
  <c r="E21" i="9"/>
  <c r="E20" i="9"/>
  <c r="E19" i="9"/>
  <c r="E18" i="9"/>
  <c r="E17" i="9"/>
  <c r="F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8" i="6"/>
  <c r="F7" i="6"/>
  <c r="F6" i="6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H33" i="4"/>
  <c r="E33" i="4"/>
  <c r="H32" i="4"/>
  <c r="E32" i="4"/>
  <c r="H31" i="4"/>
  <c r="E31" i="4"/>
  <c r="H30" i="4"/>
  <c r="E30" i="4"/>
  <c r="H29" i="4"/>
  <c r="E29" i="4"/>
  <c r="H28" i="4"/>
  <c r="E28" i="4"/>
  <c r="H27" i="4"/>
  <c r="E27" i="4"/>
  <c r="H26" i="4"/>
  <c r="E26" i="4"/>
  <c r="H25" i="4"/>
  <c r="E25" i="4"/>
  <c r="H24" i="4"/>
  <c r="E24" i="4"/>
  <c r="H23" i="4"/>
  <c r="E23" i="4"/>
  <c r="H22" i="4"/>
  <c r="E22" i="4"/>
  <c r="H21" i="4"/>
  <c r="E21" i="4"/>
  <c r="I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H36" i="2"/>
  <c r="G36" i="2"/>
  <c r="H35" i="2"/>
  <c r="G35" i="2"/>
  <c r="H34" i="2"/>
  <c r="G34" i="2"/>
  <c r="H32" i="2"/>
  <c r="G32" i="2"/>
  <c r="H31" i="2"/>
  <c r="G31" i="2"/>
  <c r="H30" i="2"/>
  <c r="G30" i="2"/>
  <c r="H29" i="2"/>
  <c r="G29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</calcChain>
</file>

<file path=xl/sharedStrings.xml><?xml version="1.0" encoding="utf-8"?>
<sst xmlns="http://schemas.openxmlformats.org/spreadsheetml/2006/main" count="740" uniqueCount="492">
  <si>
    <t>Job #2009 · Chinn Greenwood Apartments</t>
  </si>
  <si>
    <t>Cortex JCR Summary  •  Chinn Construction, LLC  •  Seattle, WA  •  168-unit apartment building  •  Jul 2012 – Oct 2013</t>
  </si>
  <si>
    <t>CONTRACT VALUE</t>
  </si>
  <si>
    <t>NET PROFIT</t>
  </si>
  <si>
    <t>DIRECT COST</t>
  </si>
  <si>
    <t>LABOR HOURS</t>
  </si>
  <si>
    <t>$394,208</t>
  </si>
  <si>
    <t>$106,309</t>
  </si>
  <si>
    <t>$287,899</t>
  </si>
  <si>
    <t>4,116</t>
  </si>
  <si>
    <t>Original $385k (+9k COs)</t>
  </si>
  <si>
    <t>27.0% margin</t>
  </si>
  <si>
    <t>73.0% of revenue</t>
  </si>
  <si>
    <t>23 workers</t>
  </si>
  <si>
    <t>COST BREAKDOWN</t>
  </si>
  <si>
    <t>Category</t>
  </si>
  <si>
    <t>Budget</t>
  </si>
  <si>
    <t>Actual</t>
  </si>
  <si>
    <t>Variance</t>
  </si>
  <si>
    <t>% Budget</t>
  </si>
  <si>
    <t>% of Cost</t>
  </si>
  <si>
    <t>Labor</t>
  </si>
  <si>
    <t>Material</t>
  </si>
  <si>
    <t>Overhead</t>
  </si>
  <si>
    <t>Burden</t>
  </si>
  <si>
    <t>TOTAL</t>
  </si>
  <si>
    <t>PROJECT PROFILE</t>
  </si>
  <si>
    <t>Metric</t>
  </si>
  <si>
    <t>Value</t>
  </si>
  <si>
    <t>Plumbing Units</t>
  </si>
  <si>
    <t>168</t>
  </si>
  <si>
    <t>Water Closets</t>
  </si>
  <si>
    <t>140</t>
  </si>
  <si>
    <t>Kitchen Sinks</t>
  </si>
  <si>
    <t>Total Fixtures</t>
  </si>
  <si>
    <t>812</t>
  </si>
  <si>
    <t>Lavatories</t>
  </si>
  <si>
    <t>56</t>
  </si>
  <si>
    <t>Showers</t>
  </si>
  <si>
    <t>0</t>
  </si>
  <si>
    <t>Fixtures / Unit</t>
  </si>
  <si>
    <t>4.83</t>
  </si>
  <si>
    <t>Tubs</t>
  </si>
  <si>
    <t>224</t>
  </si>
  <si>
    <t>Auto Washers</t>
  </si>
  <si>
    <t>Stacks</t>
  </si>
  <si>
    <t>19</t>
  </si>
  <si>
    <t>Duration</t>
  </si>
  <si>
    <t>16 mo</t>
  </si>
  <si>
    <t>Cost Codes Used</t>
  </si>
  <si>
    <t>28</t>
  </si>
  <si>
    <t>SOURCES</t>
  </si>
  <si>
    <t>Job #2009 — Chinn Greenwood Apartments  •  GC: Chinn Construction, LLC  •  Seattle, WA</t>
  </si>
  <si>
    <t>Canonical source: 2009 Job Detail Report.pdf (49 pages, OWP Sage Timberline export)</t>
  </si>
  <si>
    <t>Unit + fixture counts: greenwood h20 stacks.xls &amp; greenwood waste stacks.xls</t>
  </si>
  <si>
    <t>Apartment building: 140 WCs, 56 lavs, 168 kitchen sinks across ~18 floors + LW</t>
  </si>
  <si>
    <t>Budget vs Actual — All Cost Codes</t>
  </si>
  <si>
    <t>Code</t>
  </si>
  <si>
    <t>Description</t>
  </si>
  <si>
    <t>Orig Budget</t>
  </si>
  <si>
    <t>Rev Budget</t>
  </si>
  <si>
    <t>% Used</t>
  </si>
  <si>
    <t>LABOR</t>
  </si>
  <si>
    <t>011</t>
  </si>
  <si>
    <t>DS &amp; RD Labor</t>
  </si>
  <si>
    <t>100</t>
  </si>
  <si>
    <t>Supervision</t>
  </si>
  <si>
    <t>101</t>
  </si>
  <si>
    <t>Takeoff &amp; Purchase Labor</t>
  </si>
  <si>
    <t>110</t>
  </si>
  <si>
    <t>Underground Labor</t>
  </si>
  <si>
    <t>111</t>
  </si>
  <si>
    <t>Garage Labor</t>
  </si>
  <si>
    <t>112</t>
  </si>
  <si>
    <t>Canout Labor</t>
  </si>
  <si>
    <t>120</t>
  </si>
  <si>
    <t>Roughin Labor</t>
  </si>
  <si>
    <t>130</t>
  </si>
  <si>
    <t>Finish Labor</t>
  </si>
  <si>
    <t>141</t>
  </si>
  <si>
    <t>Water Main/Insulation Lab</t>
  </si>
  <si>
    <t>142</t>
  </si>
  <si>
    <t>Mech Room Labor</t>
  </si>
  <si>
    <t>145</t>
  </si>
  <si>
    <t>Tub/Shower Labor</t>
  </si>
  <si>
    <t>150</t>
  </si>
  <si>
    <t>Warranty Labor</t>
  </si>
  <si>
    <t>MATERIAL</t>
  </si>
  <si>
    <t>039</t>
  </si>
  <si>
    <t>DS &amp; RD Material</t>
  </si>
  <si>
    <t>210</t>
  </si>
  <si>
    <t>Underground Material</t>
  </si>
  <si>
    <t>211</t>
  </si>
  <si>
    <t>Garage Material</t>
  </si>
  <si>
    <t>212</t>
  </si>
  <si>
    <t>Canout Material</t>
  </si>
  <si>
    <t>220</t>
  </si>
  <si>
    <t>Roughin Material</t>
  </si>
  <si>
    <t>230</t>
  </si>
  <si>
    <t>Finish Material</t>
  </si>
  <si>
    <t>241</t>
  </si>
  <si>
    <t>Water Main/Insulation Mat</t>
  </si>
  <si>
    <t>242</t>
  </si>
  <si>
    <t>Mech Room Material</t>
  </si>
  <si>
    <t>245</t>
  </si>
  <si>
    <t>Tub/Shower Material</t>
  </si>
  <si>
    <t>OVERHEAD</t>
  </si>
  <si>
    <t>600</t>
  </si>
  <si>
    <t>Subcontractor</t>
  </si>
  <si>
    <t>601</t>
  </si>
  <si>
    <t>Engineering/Plans</t>
  </si>
  <si>
    <t>603</t>
  </si>
  <si>
    <t>Permits &amp; Licenses</t>
  </si>
  <si>
    <t>607</t>
  </si>
  <si>
    <t>Other Expenses</t>
  </si>
  <si>
    <t>BURDEN</t>
  </si>
  <si>
    <t>995</t>
  </si>
  <si>
    <t>Payroll Burden</t>
  </si>
  <si>
    <t>998</t>
  </si>
  <si>
    <t>Payroll Taxes</t>
  </si>
  <si>
    <t>Direct Cost</t>
  </si>
  <si>
    <t>Total codes parsed: 28. All cost code actuals sum to exactly $287,899 (JCR Job Totals Expenses line).</t>
  </si>
  <si>
    <t>Cost Breakdown — Category Deep Dive</t>
  </si>
  <si>
    <t>A. CATEGORY SHARE OF DIRECT COST</t>
  </si>
  <si>
    <t># Codes</t>
  </si>
  <si>
    <t>Per Unit</t>
  </si>
  <si>
    <t>B. LARGEST OVERRUNS (Actual &gt; Revised Budget)</t>
  </si>
  <si>
    <t>Overrun</t>
  </si>
  <si>
    <t>% Over</t>
  </si>
  <si>
    <t>C. LARGEST SAVINGS (Actual &lt; Revised Budget)</t>
  </si>
  <si>
    <t>Savings</t>
  </si>
  <si>
    <t>% Under</t>
  </si>
  <si>
    <t>Overrun/savings calculated vs Revised Budget (post-CO). Thresholds filter out trivial (&lt;$100) differences.</t>
  </si>
  <si>
    <t>Material Spend Analysis</t>
  </si>
  <si>
    <t>11 material cost codes  •  $151,064 total spend  •  13 AP vendors</t>
  </si>
  <si>
    <t>A. MATERIAL BY COST CODE</t>
  </si>
  <si>
    <t>% of Mat</t>
  </si>
  <si>
    <t>All Material</t>
  </si>
  <si>
    <t>B. VENDORS BY SPEND (AP)</t>
  </si>
  <si>
    <t>Vendor</t>
  </si>
  <si>
    <t># Invoices</t>
  </si>
  <si>
    <t>Total Spend</t>
  </si>
  <si>
    <t>% of AP</t>
  </si>
  <si>
    <t>Avg Invoice</t>
  </si>
  <si>
    <t>Ferguson Enterprises, Inc.</t>
  </si>
  <si>
    <t>Mechanical Sales, Inc.</t>
  </si>
  <si>
    <t>Keller Supply Company</t>
  </si>
  <si>
    <t>Franklin Engineering</t>
  </si>
  <si>
    <t>Mickelo Construction LLC</t>
  </si>
  <si>
    <t>Quality Concrete Products, Inc.</t>
  </si>
  <si>
    <t>Rosen Supply Company, Inc.</t>
  </si>
  <si>
    <t>Ferguson Enterprises, Inc. #3007</t>
  </si>
  <si>
    <t>Bank of America CC</t>
  </si>
  <si>
    <t>Capital One Credit Card</t>
  </si>
  <si>
    <t>R.A. Brown Backflow Testing</t>
  </si>
  <si>
    <t>C.M. Hoskins Company</t>
  </si>
  <si>
    <t>DRSi</t>
  </si>
  <si>
    <t>Vendor AP ties exactly to JCR 'by Source: AP: $158,779.15' line.</t>
  </si>
  <si>
    <t>Ferguson Enterprises is by far the dominant supplier (73% of all AP), followed by Mech Sales and Keller Supply.</t>
  </si>
  <si>
    <t>Crew &amp; Labor — Per-Worker Breakdown</t>
  </si>
  <si>
    <t>Worker</t>
  </si>
  <si>
    <t>Hours</t>
  </si>
  <si>
    <t>Gross Pay</t>
  </si>
  <si>
    <t>$/Hour</t>
  </si>
  <si>
    <t>Tier</t>
  </si>
  <si>
    <t>Quintanilla, Esteban R</t>
  </si>
  <si>
    <t>Mid</t>
  </si>
  <si>
    <t>Sanders, Allen O</t>
  </si>
  <si>
    <t>Mazil, Antonio</t>
  </si>
  <si>
    <t>Apprentice</t>
  </si>
  <si>
    <t>Castro Hernandez, Carlos E</t>
  </si>
  <si>
    <t>Palma Vides, Hugo</t>
  </si>
  <si>
    <t>Ramirez, Lorenzo A</t>
  </si>
  <si>
    <t>Castro Hernandez, Jose A</t>
  </si>
  <si>
    <t>Arreola, Israel A</t>
  </si>
  <si>
    <t>Soto Cruz, Jovani</t>
  </si>
  <si>
    <t>Cortes Mendiola, Victor H</t>
  </si>
  <si>
    <t>Meza Fuentes, Erick A</t>
  </si>
  <si>
    <t>Gerard, Jeffrey S</t>
  </si>
  <si>
    <t>Senior</t>
  </si>
  <si>
    <t>Waites, Thaddeus Z</t>
  </si>
  <si>
    <t>Barnhart, Joseph N</t>
  </si>
  <si>
    <t>Paco Leyva, Orlando</t>
  </si>
  <si>
    <t>Veley, Nathaniel S</t>
  </si>
  <si>
    <t>McCabe, Thomas C</t>
  </si>
  <si>
    <t>Reed, Reuben H</t>
  </si>
  <si>
    <t>Sepulveda Gonzalez, Alfredo</t>
  </si>
  <si>
    <t>Soto Serna, Cesar E</t>
  </si>
  <si>
    <t>Hubbard, Robert W</t>
  </si>
  <si>
    <t>Lima Romero, Melvin A</t>
  </si>
  <si>
    <t>Hubbard, Dustin R</t>
  </si>
  <si>
    <t>TOTAL (23 workers)</t>
  </si>
  <si>
    <t>PR transactions parsed from JCR. Tier: Apprentice &lt;$18/hr, Mid $18–30, Senior &gt;$30</t>
  </si>
  <si>
    <t>Worker hours (4,204) slightly differ from code-rollup hours (4,116) due to OT row split in PDF.</t>
  </si>
  <si>
    <t>Crew Analytics</t>
  </si>
  <si>
    <t>A. TIER DISTRIBUTION</t>
  </si>
  <si>
    <t># Workers</t>
  </si>
  <si>
    <t>% of Hours</t>
  </si>
  <si>
    <t>B. WAGE STATISTICS</t>
  </si>
  <si>
    <t>Blended Gross Wage</t>
  </si>
  <si>
    <t>Payroll $ ÷ payroll hours (pre-burden)</t>
  </si>
  <si>
    <t>Fully-Loaded Wage</t>
  </si>
  <si>
    <t>(Labor + Burden) ÷ total hours</t>
  </si>
  <si>
    <t>Burden Multiplier</t>
  </si>
  <si>
    <t>Fully loaded ÷ gross wage</t>
  </si>
  <si>
    <t>Min Worker Rate</t>
  </si>
  <si>
    <t>Cheapest apprentice hour</t>
  </si>
  <si>
    <t>Max Worker Rate</t>
  </si>
  <si>
    <t>Most expensive foreman hour</t>
  </si>
  <si>
    <t>Avg Hours / Worker</t>
  </si>
  <si>
    <t>Crew continuity indicator</t>
  </si>
  <si>
    <t>Burden multiplier uses JCR codes 995 (Payroll Burden) + 998 (Payroll Taxes) added to labor.</t>
  </si>
  <si>
    <t>Productivity — Phase &amp; Unit Metrics</t>
  </si>
  <si>
    <t>A. LABOR HOURS BY PHASE</t>
  </si>
  <si>
    <t>Phase</t>
  </si>
  <si>
    <t>Labor Code</t>
  </si>
  <si>
    <t>% of Total</t>
  </si>
  <si>
    <t>Hours / Unit</t>
  </si>
  <si>
    <t>DS &amp; RD</t>
  </si>
  <si>
    <t>Takeoff &amp; Purchasing</t>
  </si>
  <si>
    <t>Underground</t>
  </si>
  <si>
    <t>Garage</t>
  </si>
  <si>
    <t>Canout</t>
  </si>
  <si>
    <t>Roughin</t>
  </si>
  <si>
    <t>Finish</t>
  </si>
  <si>
    <t>Water Main / Insulation</t>
  </si>
  <si>
    <t>Mech Room</t>
  </si>
  <si>
    <t>Tub / Shower</t>
  </si>
  <si>
    <t>B. PRODUCTIVITY RATIOS</t>
  </si>
  <si>
    <t>Units</t>
  </si>
  <si>
    <t>Notes</t>
  </si>
  <si>
    <t>hrs</t>
  </si>
  <si>
    <t>Labor hours per residential unit</t>
  </si>
  <si>
    <t>Hours / Fixture</t>
  </si>
  <si>
    <t>Labor hours per plumbing fixture</t>
  </si>
  <si>
    <t>Revenue / Hour</t>
  </si>
  <si>
    <t>$</t>
  </si>
  <si>
    <t>Top-line per labor hour</t>
  </si>
  <si>
    <t>Profit / Hour</t>
  </si>
  <si>
    <t>Bottom-line per labor hour</t>
  </si>
  <si>
    <t>Units / Month</t>
  </si>
  <si>
    <t>units</t>
  </si>
  <si>
    <t>Build velocity</t>
  </si>
  <si>
    <t>Fixtures / Month</t>
  </si>
  <si>
    <t>fix</t>
  </si>
  <si>
    <t>Fixture install pace</t>
  </si>
  <si>
    <t>Hours / Month</t>
  </si>
  <si>
    <t>Monthly labor burn</t>
  </si>
  <si>
    <t>Revenue / Month</t>
  </si>
  <si>
    <t>Monthly billing rate</t>
  </si>
  <si>
    <t>Per-unit and per-fixture metrics are the canonical cross-job benchmarks.</t>
  </si>
  <si>
    <t>Purchase Order Commitments</t>
  </si>
  <si>
    <t>49 POs  •  Total committed $154,025  •  102% of material</t>
  </si>
  <si>
    <t>A. COMMITMENTS BY COST CODE</t>
  </si>
  <si>
    <t>OWP Code</t>
  </si>
  <si>
    <t>Description → JCR</t>
  </si>
  <si>
    <t>PO Count</t>
  </si>
  <si>
    <t>PO Committed</t>
  </si>
  <si>
    <t>JCR Material</t>
  </si>
  <si>
    <t>30</t>
  </si>
  <si>
    <t>110+210 Underground</t>
  </si>
  <si>
    <t>31</t>
  </si>
  <si>
    <t>120+220 Roughin</t>
  </si>
  <si>
    <t>32</t>
  </si>
  <si>
    <t>130+230 Trim/Finish</t>
  </si>
  <si>
    <t>34</t>
  </si>
  <si>
    <t>111+211 Garage</t>
  </si>
  <si>
    <t>35</t>
  </si>
  <si>
    <t>112+212 Canout</t>
  </si>
  <si>
    <t>39</t>
  </si>
  <si>
    <t>011+039 DS &amp; RD</t>
  </si>
  <si>
    <t>40</t>
  </si>
  <si>
    <t>141+241 Water Main/Ins</t>
  </si>
  <si>
    <t>B. PO COVERAGE ANALYSIS</t>
  </si>
  <si>
    <t>Total Material Actual (JCR)</t>
  </si>
  <si>
    <t>Total PO Committed</t>
  </si>
  <si>
    <t>PO Coverage %</t>
  </si>
  <si>
    <t>Uncommitted (direct AP)</t>
  </si>
  <si>
    <t>PO source: '2009-Chinn, Greenwood/PO Scheduled/' (49 PO files)</t>
  </si>
  <si>
    <t>PO coverage at 102% of material spend.</t>
  </si>
  <si>
    <t>Revenue &amp; Billing Reconciliation</t>
  </si>
  <si>
    <t>12 pay applications  •  Original contract $384,900  •  Net COs +9,308 = Final $394,208</t>
  </si>
  <si>
    <t>A. CONTRACT SUMMARY &amp; CHANGE ORDERS</t>
  </si>
  <si>
    <t>Original Contract</t>
  </si>
  <si>
    <t xml:space="preserve">  CO at pay app #1 (Additive)</t>
  </si>
  <si>
    <t xml:space="preserve">  CO at pay app #10 (Additive)</t>
  </si>
  <si>
    <t xml:space="preserve">  CO at pay app #11 (Additive)</t>
  </si>
  <si>
    <t>Final Contract Value</t>
  </si>
  <si>
    <t>Retainage (5%)</t>
  </si>
  <si>
    <t>Net Paid to OWP</t>
  </si>
  <si>
    <t>B. PAY APPLICATION TIMELINE</t>
  </si>
  <si>
    <t>App#</t>
  </si>
  <si>
    <t>Contract</t>
  </si>
  <si>
    <t>Billed To Date</t>
  </si>
  <si>
    <t>% Complete</t>
  </si>
  <si>
    <t>Retainage</t>
  </si>
  <si>
    <t>This Period</t>
  </si>
  <si>
    <t>Source: '2009-Chinn, Greenwood/greenwood billing/' (12 monthly billing summaries + aggregate)</t>
  </si>
  <si>
    <t>CO schedule derived from contract-value deltas between sequential pay apps.</t>
  </si>
  <si>
    <t>Key Insights — Job #2009 Chinn Greenwood</t>
  </si>
  <si>
    <t>Narrative observations distilled from the full JCR analysis</t>
  </si>
  <si>
    <t>SOLID MARGIN</t>
  </si>
  <si>
    <t>Net profit of $106,309 on $394,208 revenue = 27.0% gross margin. Comparable to 2011/2012 base profile — a healthy, on-the-money apartment project.</t>
  </si>
  <si>
    <t>FERGUSON DOMINANCE</t>
  </si>
  <si>
    <t>Ferguson Enterprises alone = $115,565 (73% of all AP) across 65 invoices. Top 3 vendors (Ferguson, Mech Sales, Keller) = 93% of material spend — extreme single-supplier concentration.</t>
  </si>
  <si>
    <t>LIGHT CREW</t>
  </si>
  <si>
    <t>23 workers for 4,116 hours = 179 avg hrs/worker. Top 3 workers (Quintanilla, Sanders, Mazil) logged ~1,458 hrs combined (35% of all labor).</t>
  </si>
  <si>
    <t>ROUGHIN-DOMINANT</t>
  </si>
  <si>
    <t>Code 120 Roughin Labor = 2,311 hrs (~56% of all labor) and $46,114 actual. Code 230 Finish Material = $109,976 dwarfs every other line item — 38% of total cost.</t>
  </si>
  <si>
    <t>ON-BUDGET DELIVERY</t>
  </si>
  <si>
    <t>Revised budget was $324,090; actual direct cost $287,899 → $36,191 variance. Tight estimating discipline with minor overruns on Roughin Labor ($8,584 over).</t>
  </si>
  <si>
    <t>MODEST CONTRACT GROWTH</t>
  </si>
  <si>
    <t>Contract grew from $384,900 to $394,208 — net +$9,308 (~2.4%). A retention release at the tail end accounts for the final $19,710.</t>
  </si>
  <si>
    <t>HIGH PO DISCIPLINE</t>
  </si>
  <si>
    <t>PO coverage = 102% of material spend across 49 POs ($154,025). Most POs flow through Ferguson — a single-vendor procurement strategy.</t>
  </si>
  <si>
    <t>SHORT, FOCUSED PROJECT</t>
  </si>
  <si>
    <t>~16 months from Jul 2012 to Oct 2013. At 257 hours/month, this is a moderate-intensity build relative to 2011/2012.</t>
  </si>
  <si>
    <t>APARTMENT FIXTURE PROFILE</t>
  </si>
  <si>
    <t>140 WCs, 56 lavs, 168 kitchen sinks, 224 tubs. Standard ~4 fixtures/unit — straightforward apartment plumbing.</t>
  </si>
  <si>
    <t>SMOOTH BILLING</t>
  </si>
  <si>
    <t>12 pay apps spread across ~16 months. Peak billing in Oct-Nov 2012 ($200K combined) aligned with the Roughin phase.</t>
  </si>
  <si>
    <t>SMALLEST OWP JOB IN SET</t>
  </si>
  <si>
    <t>At $394,208 revenue this is the smallest of the 4 projects (vs $568K/$1.39M/$1.39M for 2011/2010/2012). Useful as a baseline for OWP's small-project economics.</t>
  </si>
  <si>
    <t>BURDEN RATIO</t>
  </si>
  <si>
    <t>Burden codes 995 + 998 = $40,891 on $84,698 labor base = 48.3%. In line with OWP's typical 48-50% labor burden.</t>
  </si>
  <si>
    <t>BIGGEST QUESTION</t>
  </si>
  <si>
    <t>This is OWP's smallest project in the benchmark set at $394,208 revenue and 27.0% margin. Is the 27.0% margin sustainable on small jobs, or is it inflated by the heavy reliance on a single supplier (Ferguson 73%) that may have offered preferred pricing? Replicating this concentration on future small apartments would test the model.</t>
  </si>
  <si>
    <t>Benchmark KPIs</t>
  </si>
  <si>
    <t>Normalized metrics designed for apples-to-apples comparison across all OWP projects</t>
  </si>
  <si>
    <t>KPI</t>
  </si>
  <si>
    <t>Data Name</t>
  </si>
  <si>
    <t>Job Number</t>
  </si>
  <si>
    <t>job_number</t>
  </si>
  <si>
    <t>2009</t>
  </si>
  <si>
    <t>Profile</t>
  </si>
  <si>
    <t>OWP job ID</t>
  </si>
  <si>
    <t>Job Name</t>
  </si>
  <si>
    <t>job_name</t>
  </si>
  <si>
    <t>Chinn Greenwood Apartments</t>
  </si>
  <si>
    <t>General Contractor</t>
  </si>
  <si>
    <t>general_contractor</t>
  </si>
  <si>
    <t>Chinn Construction, LLC</t>
  </si>
  <si>
    <t>Location</t>
  </si>
  <si>
    <t>location</t>
  </si>
  <si>
    <t>Seattle, WA</t>
  </si>
  <si>
    <t>Project Type</t>
  </si>
  <si>
    <t>project_type</t>
  </si>
  <si>
    <t>Apartment Building</t>
  </si>
  <si>
    <t>Multi-floor residential</t>
  </si>
  <si>
    <t>Duration (months)</t>
  </si>
  <si>
    <t>duration_months</t>
  </si>
  <si>
    <t>Jul 2012 – Oct 2013</t>
  </si>
  <si>
    <t>Unit Count</t>
  </si>
  <si>
    <t>unit_count</t>
  </si>
  <si>
    <t>Per stack takeoff (WC count)</t>
  </si>
  <si>
    <t>total_fixtures</t>
  </si>
  <si>
    <t>WC+LAV+TUB+SHOW+KS+AW</t>
  </si>
  <si>
    <t>Fixtures per Unit</t>
  </si>
  <si>
    <t>fixtures_per_unit</t>
  </si>
  <si>
    <t>Contract Value (Orig)</t>
  </si>
  <si>
    <t>contract_original</t>
  </si>
  <si>
    <t>Financial</t>
  </si>
  <si>
    <t>Contract Value (Final)</t>
  </si>
  <si>
    <t>contract_final</t>
  </si>
  <si>
    <t>After deductive COs</t>
  </si>
  <si>
    <t>Change Orders ($)</t>
  </si>
  <si>
    <t>change_orders</t>
  </si>
  <si>
    <t>Net deductive</t>
  </si>
  <si>
    <t>Revenue</t>
  </si>
  <si>
    <t>revenue</t>
  </si>
  <si>
    <t>Net Profit</t>
  </si>
  <si>
    <t>net_profit</t>
  </si>
  <si>
    <t>Gross Margin</t>
  </si>
  <si>
    <t>gross_margin</t>
  </si>
  <si>
    <t>direct_cost</t>
  </si>
  <si>
    <t>Labor Cost</t>
  </si>
  <si>
    <t>labor_cost</t>
  </si>
  <si>
    <t>Sum of 15 labor codes</t>
  </si>
  <si>
    <t>Material Cost</t>
  </si>
  <si>
    <t>material_cost</t>
  </si>
  <si>
    <t>Sum of 11 material codes</t>
  </si>
  <si>
    <t>Overhead Cost</t>
  </si>
  <si>
    <t>overhead_cost</t>
  </si>
  <si>
    <t>Subcontractor + Engineering + Permits + Rental</t>
  </si>
  <si>
    <t>Burden Cost</t>
  </si>
  <si>
    <t>burden_cost</t>
  </si>
  <si>
    <t>Payroll burden + taxes (995, 998)</t>
  </si>
  <si>
    <t>retainage</t>
  </si>
  <si>
    <t>5% withheld</t>
  </si>
  <si>
    <t>Revenue per Unit</t>
  </si>
  <si>
    <t>revenue_per_unit</t>
  </si>
  <si>
    <t>Profit per Unit</t>
  </si>
  <si>
    <t>profit_per_unit</t>
  </si>
  <si>
    <t>Direct Cost per Unit</t>
  </si>
  <si>
    <t>cost_per_unit</t>
  </si>
  <si>
    <t>Labor Cost per Unit</t>
  </si>
  <si>
    <t>labor_per_unit</t>
  </si>
  <si>
    <t>Material Cost per Unit</t>
  </si>
  <si>
    <t>material_per_unit</t>
  </si>
  <si>
    <t>Revenue per Fixture</t>
  </si>
  <si>
    <t>revenue_per_fixture</t>
  </si>
  <si>
    <t>Profit per Fixture</t>
  </si>
  <si>
    <t>profit_per_fixture</t>
  </si>
  <si>
    <t>Cost per Fixture</t>
  </si>
  <si>
    <t>cost_per_fixture</t>
  </si>
  <si>
    <t>Labor per Fixture</t>
  </si>
  <si>
    <t>labor_per_fixture</t>
  </si>
  <si>
    <t>Material per Fixture</t>
  </si>
  <si>
    <t>material_per_fixture</t>
  </si>
  <si>
    <t>Total Labor Hours</t>
  </si>
  <si>
    <t>total_hours</t>
  </si>
  <si>
    <t>Sum of JCR cost code hours</t>
  </si>
  <si>
    <t>Total Workers</t>
  </si>
  <si>
    <t>total_workers</t>
  </si>
  <si>
    <t>Unique payroll IDs</t>
  </si>
  <si>
    <t>blended_gross_wage</t>
  </si>
  <si>
    <t>Pre-burden</t>
  </si>
  <si>
    <t>fully_loaded_wage</t>
  </si>
  <si>
    <t>Post-burden</t>
  </si>
  <si>
    <t>burden_multiplier</t>
  </si>
  <si>
    <t>Hours per Unit</t>
  </si>
  <si>
    <t>hours_per_unit</t>
  </si>
  <si>
    <t>Key benchmark</t>
  </si>
  <si>
    <t>Hours per Fixture</t>
  </si>
  <si>
    <t>hours_per_fixture</t>
  </si>
  <si>
    <t>Revenue per Hour</t>
  </si>
  <si>
    <t>revenue_per_hour</t>
  </si>
  <si>
    <t>Productivity</t>
  </si>
  <si>
    <t>Profit per Hour</t>
  </si>
  <si>
    <t>profit_per_hour</t>
  </si>
  <si>
    <t>Labor % of Revenue</t>
  </si>
  <si>
    <t>labor_pct_revenue</t>
  </si>
  <si>
    <t>Cost Mix</t>
  </si>
  <si>
    <t>Material % of Revenue</t>
  </si>
  <si>
    <t>material_pct_revenue</t>
  </si>
  <si>
    <t>Revenue per Month</t>
  </si>
  <si>
    <t>revenue_per_month</t>
  </si>
  <si>
    <t>Hours per Month</t>
  </si>
  <si>
    <t>hours_per_month</t>
  </si>
  <si>
    <t>Units per Month</t>
  </si>
  <si>
    <t>units_per_month</t>
  </si>
  <si>
    <t>Total Vendors</t>
  </si>
  <si>
    <t>total_vendors</t>
  </si>
  <si>
    <t>Unique AP vendors</t>
  </si>
  <si>
    <t>Top Vendor Spend</t>
  </si>
  <si>
    <t>top_vendor_spend</t>
  </si>
  <si>
    <t>Ferguson Enterprises</t>
  </si>
  <si>
    <t>Top Vendor Concentration</t>
  </si>
  <si>
    <t>top_vendor_pct</t>
  </si>
  <si>
    <t>Total POs</t>
  </si>
  <si>
    <t>total_pos</t>
  </si>
  <si>
    <t>po_committed</t>
  </si>
  <si>
    <t>po_coverage_pct</t>
  </si>
  <si>
    <t>51 KPIs with snake_case data_name identifiers for database ingestion.</t>
  </si>
  <si>
    <t>Reconciliation — Tie-out Proofs</t>
  </si>
  <si>
    <t>Check</t>
  </si>
  <si>
    <t>Computed</t>
  </si>
  <si>
    <t>Expected</t>
  </si>
  <si>
    <t>Δ</t>
  </si>
  <si>
    <t>Status</t>
  </si>
  <si>
    <t>A. JCR COST CODE ROLLUP</t>
  </si>
  <si>
    <t>Labor subtotal (15 codes)</t>
  </si>
  <si>
    <t>TIES</t>
  </si>
  <si>
    <t>Material subtotal (11 codes)</t>
  </si>
  <si>
    <t>Overhead subtotal (5 codes)</t>
  </si>
  <si>
    <t>Burden subtotal (2 codes)</t>
  </si>
  <si>
    <t>Direct Cost (all categories)</t>
  </si>
  <si>
    <t>Revenue (code 999)</t>
  </si>
  <si>
    <t>Net Profit (Revenue - Expenses)</t>
  </si>
  <si>
    <t>B. LABOR HOURS ROLLUP</t>
  </si>
  <si>
    <t>JCR Cost Code hours (Payroll Hours lines)</t>
  </si>
  <si>
    <t>Per-worker hours (sum of PR Regular+OT)</t>
  </si>
  <si>
    <t>C. BILLING (SOV) ↔ JCR</t>
  </si>
  <si>
    <t>Final Contract (SOV #13)</t>
  </si>
  <si>
    <t>Final Billed to Date (SOV #13)</t>
  </si>
  <si>
    <t>Final Retainage (SOV #13)</t>
  </si>
  <si>
    <t>Original Contract + Net COs = Final</t>
  </si>
  <si>
    <t>D. VENDOR AP ↔ JCR</t>
  </si>
  <si>
    <t>Vendor AP total (sum of invoices)</t>
  </si>
  <si>
    <t>E. PO COVERAGE</t>
  </si>
  <si>
    <t>PARTIAL</t>
  </si>
  <si>
    <t xml:space="preserve">  PO coverage: 102.0% of material spend had a PO</t>
  </si>
  <si>
    <t>TIES = within $1 or 5 hrs  •  WITHIN = small data drift  •  OFF = investigate</t>
  </si>
  <si>
    <t>All 'Expected' values are the canonical JCR numbers parsed directly from the PDF.</t>
  </si>
  <si>
    <t>PROJECT OVERVIEW</t>
  </si>
  <si>
    <t>Project Name:</t>
  </si>
  <si>
    <t>Project Duration</t>
  </si>
  <si>
    <t>Seattle, WA (Greenwood &amp; 107th)</t>
  </si>
  <si>
    <t>Project Job #</t>
  </si>
  <si>
    <t>Jul 2012 - Aug 2013 (~13 months)</t>
  </si>
  <si>
    <t>Total Unique Documents</t>
  </si>
  <si>
    <t>317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</si>
</sst>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"/>
    <numFmt numFmtId="165" formatCode="\$#,##0;[Red]&quot;-$&quot;#,##0"/>
    <numFmt numFmtId="166" formatCode="0.0%"/>
    <numFmt numFmtId="167" formatCode="\+0.0%"/>
    <numFmt numFmtId="168" formatCode="\-0.0%"/>
    <numFmt numFmtId="169" formatCode="\$#,##0.00"/>
    <numFmt numFmtId="170" formatCode="0.00\x"/>
    <numFmt numFmtId="171" formatCode="#,##0&quot; hrs&quot;"/>
    <numFmt numFmtId="172" formatCode="0.00&quot; hrs&quot;"/>
    <numFmt numFmtId="173" formatCode="#,##0;[Red]\-#,##0"/>
  </numFmts>
  <fonts count="34">
    <font>
      <sz val="11"/>
      <color theme="1"/>
      <name val="Calibri"/>
      <family val="2"/>
      <charset val="1"/>
    </font>
    <font>
      <b/>
      <sz val="24"/>
      <color rgb="FF2E2E2E"/>
      <name val="Inter"/>
      <charset val="1"/>
    </font>
    <font>
      <sz val="11"/>
      <color rgb="FF787878"/>
      <name val="Inter"/>
      <charset val="1"/>
    </font>
    <font>
      <b/>
      <sz val="9"/>
      <color rgb="FF14532D"/>
      <name val="Inter"/>
      <charset val="1"/>
    </font>
    <font>
      <b/>
      <sz val="9"/>
      <color rgb="FF1E3A8A"/>
      <name val="Inter"/>
      <charset val="1"/>
    </font>
    <font>
      <b/>
      <sz val="9"/>
      <color rgb="FF5B21B6"/>
      <name val="Inter"/>
      <charset val="1"/>
    </font>
    <font>
      <b/>
      <sz val="18"/>
      <color rgb="FF2E2E2E"/>
      <name val="Inter"/>
      <charset val="1"/>
    </font>
    <font>
      <i/>
      <sz val="9"/>
      <color rgb="FF787878"/>
      <name val="Inter"/>
      <charset val="1"/>
    </font>
    <font>
      <b/>
      <sz val="12"/>
      <color rgb="FF2E2E2E"/>
      <name val="Inter"/>
      <charset val="1"/>
    </font>
    <font>
      <b/>
      <sz val="10"/>
      <color rgb="FF2E2E2E"/>
      <name val="Inter"/>
      <charset val="1"/>
    </font>
    <font>
      <sz val="10"/>
      <color rgb="FF2E2E2E"/>
      <name val="Inter"/>
      <charset val="1"/>
    </font>
    <font>
      <b/>
      <sz val="9"/>
      <color rgb="FF64473A"/>
      <name val="Inter"/>
      <charset val="1"/>
    </font>
    <font>
      <b/>
      <sz val="9"/>
      <color rgb="FF4A4A4A"/>
      <name val="Inter"/>
      <charset val="1"/>
    </font>
    <font>
      <b/>
      <sz val="9"/>
      <color rgb="FF78350F"/>
      <name val="Inter"/>
      <charset val="1"/>
    </font>
    <font>
      <sz val="10"/>
      <color rgb="FF787878"/>
      <name val="Inter"/>
      <charset val="1"/>
    </font>
    <font>
      <b/>
      <sz val="9"/>
      <color rgb="FF787878"/>
      <name val="Inter"/>
      <charset val="1"/>
    </font>
    <font>
      <i/>
      <sz val="9"/>
      <color rgb="FF9A9A9A"/>
      <name val="Inter"/>
      <charset val="1"/>
    </font>
    <font>
      <b/>
      <sz val="10"/>
      <color rgb="FF1E3A8A"/>
      <name val="Inter"/>
      <charset val="1"/>
    </font>
    <font>
      <b/>
      <sz val="10"/>
      <color rgb="FF64473A"/>
      <name val="Inter"/>
      <charset val="1"/>
    </font>
    <font>
      <b/>
      <sz val="10"/>
      <color rgb="FF4A4A4A"/>
      <name val="Inter"/>
      <charset val="1"/>
    </font>
    <font>
      <b/>
      <sz val="10"/>
      <color rgb="FF78350F"/>
      <name val="Inter"/>
      <charset val="1"/>
    </font>
    <font>
      <b/>
      <sz val="11"/>
      <color rgb="FF2E2E2E"/>
      <name val="Inter"/>
      <charset val="1"/>
    </font>
    <font>
      <b/>
      <sz val="11"/>
      <color rgb="FF1E3A8A"/>
      <name val="Inter"/>
      <charset val="1"/>
    </font>
    <font>
      <b/>
      <sz val="11"/>
      <color rgb="FF9B2C2C"/>
      <name val="Inter"/>
      <charset val="1"/>
    </font>
    <font>
      <b/>
      <sz val="11"/>
      <color rgb="FF14532D"/>
      <name val="Inter"/>
      <charset val="1"/>
    </font>
    <font>
      <i/>
      <sz val="10"/>
      <color rgb="FF787878"/>
      <name val="Inter"/>
      <charset val="1"/>
    </font>
    <font>
      <b/>
      <sz val="11"/>
      <color rgb="FF64473A"/>
      <name val="Inter"/>
      <charset val="1"/>
    </font>
    <font>
      <b/>
      <sz val="11"/>
      <color rgb="FF5B21B6"/>
      <name val="Inter"/>
      <charset val="1"/>
    </font>
    <font>
      <sz val="10"/>
      <color rgb="FF14532D"/>
      <name val="Inter"/>
      <charset val="1"/>
    </font>
    <font>
      <sz val="10"/>
      <color rgb="FF78350F"/>
      <name val="Inter"/>
      <charset val="1"/>
    </font>
    <font>
      <b/>
      <sz val="10"/>
      <color rgb="FF14532D"/>
      <name val="Inter"/>
      <charset val="1"/>
    </font>
    <font>
      <i/>
      <sz val="10"/>
      <color rgb="FF2E2E2E"/>
      <name val="Inter"/>
      <charset val="1"/>
    </font>
    <font>
      <sz val="9"/>
      <color rgb="FF787878"/>
      <name val="Inter"/>
      <charset val="1"/>
    </font>
    <font>
      <b/>
      <sz val="11"/>
      <color rgb="FF78350F"/>
      <name val="Inter"/>
      <charset val="1"/>
    </font>
  </fonts>
  <fills count="11">
    <fill>
      <patternFill patternType="none"/>
    </fill>
    <fill>
      <patternFill patternType="gray125"/>
    </fill>
    <fill>
      <patternFill patternType="solid">
        <fgColor rgb="FFDCFCE7"/>
        <bgColor rgb="FFF1F1F0"/>
      </patternFill>
    </fill>
    <fill>
      <patternFill patternType="solid">
        <fgColor rgb="FFDBEAFE"/>
        <bgColor rgb="FFEAEAEA"/>
      </patternFill>
    </fill>
    <fill>
      <patternFill patternType="solid">
        <fgColor rgb="FFE9D5FF"/>
        <bgColor rgb="FFEAEAEA"/>
      </patternFill>
    </fill>
    <fill>
      <patternFill patternType="solid">
        <fgColor rgb="FFFFFFFF"/>
        <bgColor rgb="FFF7F6F3"/>
      </patternFill>
    </fill>
    <fill>
      <patternFill patternType="solid">
        <fgColor rgb="FFF7F6F3"/>
        <bgColor rgb="FFF1F1F0"/>
      </patternFill>
    </fill>
    <fill>
      <patternFill patternType="solid">
        <fgColor rgb="FFF1E8DE"/>
        <bgColor rgb="FFEAEAEA"/>
      </patternFill>
    </fill>
    <fill>
      <patternFill patternType="solid">
        <fgColor rgb="FFF1F1F0"/>
        <bgColor rgb="FFF7F6F3"/>
      </patternFill>
    </fill>
    <fill>
      <patternFill patternType="solid">
        <fgColor rgb="FFFEF3C7"/>
        <bgColor rgb="FFF1E8DE"/>
      </patternFill>
    </fill>
    <fill>
      <patternFill patternType="solid">
        <fgColor rgb="FFFBE4E4"/>
        <bgColor rgb="FFF1E8DE"/>
      </patternFill>
    </fill>
  </fills>
  <borders count="3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rgb="FFEAEAEA"/>
      </left>
      <right/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9" fillId="8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6" fontId="10" fillId="0" borderId="1" xfId="0" applyNumberFormat="1" applyFont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164" fontId="9" fillId="6" borderId="1" xfId="0" applyNumberFormat="1" applyFont="1" applyFill="1" applyBorder="1" applyAlignment="1">
      <alignment horizontal="left" vertical="center"/>
    </xf>
    <xf numFmtId="165" fontId="9" fillId="6" borderId="1" xfId="0" applyNumberFormat="1" applyFont="1" applyFill="1" applyBorder="1" applyAlignment="1">
      <alignment horizontal="left" vertical="center"/>
    </xf>
    <xf numFmtId="166" fontId="9" fillId="6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164" fontId="21" fillId="6" borderId="1" xfId="0" applyNumberFormat="1" applyFont="1" applyFill="1" applyBorder="1" applyAlignment="1">
      <alignment horizontal="left" vertical="center"/>
    </xf>
    <xf numFmtId="165" fontId="21" fillId="6" borderId="1" xfId="0" applyNumberFormat="1" applyFont="1" applyFill="1" applyBorder="1" applyAlignment="1">
      <alignment horizontal="left" vertical="center"/>
    </xf>
    <xf numFmtId="166" fontId="21" fillId="6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3" fontId="10" fillId="0" borderId="1" xfId="0" applyNumberFormat="1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167" fontId="10" fillId="0" borderId="1" xfId="0" applyNumberFormat="1" applyFont="1" applyBorder="1" applyAlignment="1">
      <alignment horizontal="left" vertical="center"/>
    </xf>
    <xf numFmtId="168" fontId="10" fillId="0" borderId="1" xfId="0" applyNumberFormat="1" applyFont="1" applyBorder="1" applyAlignment="1">
      <alignment horizontal="left" vertical="center"/>
    </xf>
    <xf numFmtId="169" fontId="10" fillId="0" borderId="1" xfId="0" applyNumberFormat="1" applyFont="1" applyBorder="1" applyAlignment="1">
      <alignment horizontal="left" vertical="center"/>
    </xf>
    <xf numFmtId="3" fontId="9" fillId="6" borderId="1" xfId="0" applyNumberFormat="1" applyFont="1" applyFill="1" applyBorder="1" applyAlignment="1">
      <alignment horizontal="left" vertical="center"/>
    </xf>
    <xf numFmtId="169" fontId="9" fillId="6" borderId="1" xfId="0" applyNumberFormat="1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69" fontId="9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0" fontId="9" fillId="0" borderId="1" xfId="0" applyNumberFormat="1" applyFont="1" applyBorder="1" applyAlignment="1">
      <alignment horizontal="left" vertical="center"/>
    </xf>
    <xf numFmtId="171" fontId="9" fillId="0" borderId="1" xfId="0" applyNumberFormat="1" applyFont="1" applyBorder="1" applyAlignment="1">
      <alignment horizontal="left" vertical="center"/>
    </xf>
    <xf numFmtId="172" fontId="10" fillId="0" borderId="1" xfId="0" applyNumberFormat="1" applyFont="1" applyBorder="1" applyAlignment="1">
      <alignment horizontal="left" vertical="center"/>
    </xf>
    <xf numFmtId="172" fontId="9" fillId="6" borderId="1" xfId="0" applyNumberFormat="1" applyFont="1" applyFill="1" applyBorder="1" applyAlignment="1">
      <alignment horizontal="left" vertical="center"/>
    </xf>
    <xf numFmtId="4" fontId="9" fillId="0" borderId="1" xfId="0" applyNumberFormat="1" applyFont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166" fontId="9" fillId="0" borderId="1" xfId="0" applyNumberFormat="1" applyFont="1" applyBorder="1" applyAlignment="1">
      <alignment horizontal="left" vertical="center"/>
    </xf>
    <xf numFmtId="165" fontId="28" fillId="0" borderId="1" xfId="0" applyNumberFormat="1" applyFont="1" applyBorder="1" applyAlignment="1">
      <alignment horizontal="left" vertical="center"/>
    </xf>
    <xf numFmtId="164" fontId="29" fillId="0" borderId="1" xfId="0" applyNumberFormat="1" applyFont="1" applyBorder="1" applyAlignment="1">
      <alignment horizontal="left" vertical="center"/>
    </xf>
    <xf numFmtId="164" fontId="30" fillId="0" borderId="1" xfId="0" applyNumberFormat="1" applyFont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2" fontId="10" fillId="0" borderId="1" xfId="0" applyNumberFormat="1" applyFont="1" applyBorder="1" applyAlignment="1">
      <alignment horizontal="left" vertical="center"/>
    </xf>
    <xf numFmtId="170" fontId="10" fillId="0" borderId="1" xfId="0" applyNumberFormat="1" applyFont="1" applyBorder="1" applyAlignment="1">
      <alignment horizontal="left" vertical="center"/>
    </xf>
    <xf numFmtId="171" fontId="10" fillId="0" borderId="1" xfId="0" applyNumberFormat="1" applyFont="1" applyBorder="1" applyAlignment="1">
      <alignment horizontal="left" vertical="center"/>
    </xf>
    <xf numFmtId="173" fontId="10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7" borderId="0" xfId="0" applyFont="1" applyFill="1" applyAlignment="1">
      <alignment horizontal="left" vertical="center"/>
    </xf>
    <xf numFmtId="0" fontId="27" fillId="4" borderId="0" xfId="0" applyFont="1" applyFill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3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F1F1F0"/>
      <rgbColor rgb="FF787878"/>
      <rgbColor rgb="FF9999FF"/>
      <rgbColor rgb="FF78350F"/>
      <rgbColor rgb="FFFEF3C7"/>
      <rgbColor rgb="FFDCFCE7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AEAEA"/>
      <rgbColor rgb="FFF1E8DE"/>
      <rgbColor rgb="FFF7F6F3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14532D"/>
      <rgbColor rgb="FF4A4A4A"/>
      <rgbColor rgb="FF9B2C2C"/>
      <rgbColor rgb="FF64473A"/>
      <rgbColor rgb="FF1E3A8A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0"/>
  <sheetViews>
    <sheetView showGridLines="0" tabSelected="1" zoomScaleNormal="100" workbookViewId="0">
      <selection activeCell="C46" sqref="C46"/>
    </sheetView>
  </sheetViews>
  <sheetFormatPr baseColWidth="10" defaultColWidth="8.6640625" defaultRowHeight="15"/>
  <cols>
    <col min="1" max="1" width="2" customWidth="1"/>
    <col min="2" max="2" width="28" customWidth="1"/>
    <col min="3" max="8" width="22" customWidth="1"/>
    <col min="9" max="9" width="2" customWidth="1"/>
  </cols>
  <sheetData>
    <row r="2" spans="2:9" ht="33.75" customHeight="1">
      <c r="B2" s="14" t="s">
        <v>0</v>
      </c>
      <c r="C2" s="14"/>
      <c r="D2" s="14"/>
      <c r="E2" s="14"/>
      <c r="F2" s="14"/>
      <c r="G2" s="14"/>
      <c r="H2" s="14"/>
    </row>
    <row r="3" spans="2:9">
      <c r="B3" s="13" t="s">
        <v>1</v>
      </c>
      <c r="C3" s="13"/>
      <c r="D3" s="13"/>
      <c r="E3" s="13"/>
      <c r="F3" s="13"/>
      <c r="G3" s="13"/>
      <c r="H3" s="13"/>
    </row>
    <row r="5" spans="2:9" ht="16">
      <c r="B5" s="7" t="s">
        <v>484</v>
      </c>
      <c r="C5" s="7"/>
      <c r="D5" s="7"/>
      <c r="E5" s="7"/>
      <c r="F5" s="7"/>
      <c r="G5" s="7"/>
      <c r="H5" s="7"/>
    </row>
    <row r="6" spans="2:9">
      <c r="B6" t="s">
        <v>488</v>
      </c>
      <c r="C6">
        <v>2009</v>
      </c>
    </row>
    <row r="7" spans="2:9">
      <c r="B7" t="s">
        <v>485</v>
      </c>
      <c r="C7" t="s">
        <v>338</v>
      </c>
    </row>
    <row r="8" spans="2:9">
      <c r="B8" t="s">
        <v>339</v>
      </c>
      <c r="C8" t="s">
        <v>341</v>
      </c>
    </row>
    <row r="9" spans="2:9">
      <c r="B9" t="s">
        <v>342</v>
      </c>
      <c r="C9" t="s">
        <v>487</v>
      </c>
    </row>
    <row r="10" spans="2:9">
      <c r="B10" t="s">
        <v>486</v>
      </c>
      <c r="C10" t="s">
        <v>489</v>
      </c>
    </row>
    <row r="11" spans="2:9">
      <c r="B11" t="s">
        <v>490</v>
      </c>
      <c r="C11" t="s">
        <v>491</v>
      </c>
    </row>
    <row r="13" spans="2:9" ht="21.75" customHeight="1">
      <c r="B13" s="12" t="s">
        <v>2</v>
      </c>
      <c r="C13" s="12"/>
      <c r="D13" s="12" t="s">
        <v>3</v>
      </c>
      <c r="E13" s="12"/>
      <c r="F13" s="11" t="s">
        <v>4</v>
      </c>
      <c r="G13" s="11"/>
      <c r="H13" s="10" t="s">
        <v>5</v>
      </c>
      <c r="I13" s="10"/>
    </row>
    <row r="14" spans="2:9" ht="30" customHeight="1">
      <c r="B14" s="9" t="s">
        <v>6</v>
      </c>
      <c r="C14" s="9"/>
      <c r="D14" s="9" t="s">
        <v>7</v>
      </c>
      <c r="E14" s="9"/>
      <c r="F14" s="9" t="s">
        <v>8</v>
      </c>
      <c r="G14" s="9"/>
      <c r="H14" s="9" t="s">
        <v>9</v>
      </c>
      <c r="I14" s="9"/>
    </row>
    <row r="15" spans="2:9" ht="18" customHeight="1">
      <c r="B15" s="8" t="s">
        <v>10</v>
      </c>
      <c r="C15" s="8"/>
      <c r="D15" s="8" t="s">
        <v>11</v>
      </c>
      <c r="E15" s="8"/>
      <c r="F15" s="8" t="s">
        <v>12</v>
      </c>
      <c r="G15" s="8"/>
      <c r="H15" s="8" t="s">
        <v>13</v>
      </c>
      <c r="I15" s="8"/>
    </row>
    <row r="18" spans="2:8" ht="16">
      <c r="B18" s="7" t="s">
        <v>14</v>
      </c>
      <c r="C18" s="7"/>
      <c r="D18" s="7"/>
      <c r="E18" s="7"/>
      <c r="F18" s="7"/>
      <c r="G18" s="7"/>
      <c r="H18" s="7"/>
    </row>
    <row r="19" spans="2:8">
      <c r="B19" s="18" t="s">
        <v>15</v>
      </c>
      <c r="C19" s="18" t="s">
        <v>16</v>
      </c>
      <c r="D19" s="18" t="s">
        <v>17</v>
      </c>
      <c r="E19" s="18" t="s">
        <v>18</v>
      </c>
      <c r="F19" s="18" t="s">
        <v>19</v>
      </c>
      <c r="G19" s="18" t="s">
        <v>20</v>
      </c>
    </row>
    <row r="20" spans="2:8">
      <c r="B20" s="16" t="s">
        <v>21</v>
      </c>
      <c r="C20" s="19">
        <v>75420</v>
      </c>
      <c r="D20" s="19">
        <v>84698</v>
      </c>
      <c r="E20" s="20">
        <f>C20-D20</f>
        <v>-9278</v>
      </c>
      <c r="F20" s="21">
        <f>IF(C20=0,0,D20/C20)</f>
        <v>1.1230177671705117</v>
      </c>
      <c r="G20" s="21">
        <f>D20/$D$24</f>
        <v>0.29419344978620976</v>
      </c>
    </row>
    <row r="21" spans="2:8">
      <c r="B21" s="22" t="s">
        <v>22</v>
      </c>
      <c r="C21" s="19">
        <v>195311</v>
      </c>
      <c r="D21" s="19">
        <v>151064.39000000001</v>
      </c>
      <c r="E21" s="20">
        <f>C21-D21</f>
        <v>44246.609999999986</v>
      </c>
      <c r="F21" s="21">
        <f>IF(C21=0,0,D21/C21)</f>
        <v>0.77345561693913811</v>
      </c>
      <c r="G21" s="21">
        <f>D21/$D$24</f>
        <v>0.52471314592964902</v>
      </c>
    </row>
    <row r="22" spans="2:8">
      <c r="B22" s="23" t="s">
        <v>23</v>
      </c>
      <c r="C22" s="19">
        <v>14895</v>
      </c>
      <c r="D22" s="19">
        <v>11245.52</v>
      </c>
      <c r="E22" s="20">
        <f>C22-D22</f>
        <v>3649.4799999999996</v>
      </c>
      <c r="F22" s="21">
        <f>IF(C22=0,0,D22/C22)</f>
        <v>0.75498623699227929</v>
      </c>
      <c r="G22" s="21">
        <f>D22/$D$24</f>
        <v>3.9060642794869038E-2</v>
      </c>
    </row>
    <row r="23" spans="2:8">
      <c r="B23" s="24" t="s">
        <v>24</v>
      </c>
      <c r="C23" s="19">
        <v>38464.22</v>
      </c>
      <c r="D23" s="19">
        <v>40891.46</v>
      </c>
      <c r="E23" s="20">
        <f>C23-D23</f>
        <v>-2427.239999999998</v>
      </c>
      <c r="F23" s="21">
        <f>IF(C23=0,0,D23/C23)</f>
        <v>1.0631038404002473</v>
      </c>
      <c r="G23" s="21">
        <f>D23/$D$24</f>
        <v>0.14203404666219752</v>
      </c>
    </row>
    <row r="24" spans="2:8">
      <c r="B24" s="18" t="s">
        <v>25</v>
      </c>
      <c r="C24" s="25">
        <v>324090.21999999997</v>
      </c>
      <c r="D24" s="25">
        <v>287899</v>
      </c>
      <c r="E24" s="26">
        <f>C24-D24</f>
        <v>36191.219999999972</v>
      </c>
      <c r="F24" s="27">
        <f>D24/C24</f>
        <v>0.88832979902941844</v>
      </c>
      <c r="G24" s="27">
        <v>1</v>
      </c>
    </row>
    <row r="27" spans="2:8" ht="16">
      <c r="B27" s="7" t="s">
        <v>26</v>
      </c>
      <c r="C27" s="7"/>
      <c r="D27" s="7"/>
      <c r="E27" s="7"/>
      <c r="F27" s="7"/>
      <c r="G27" s="7"/>
      <c r="H27" s="7"/>
    </row>
    <row r="28" spans="2:8">
      <c r="B28" s="18" t="s">
        <v>27</v>
      </c>
      <c r="C28" s="18" t="s">
        <v>28</v>
      </c>
      <c r="D28" s="18" t="s">
        <v>27</v>
      </c>
      <c r="E28" s="18" t="s">
        <v>28</v>
      </c>
      <c r="F28" s="18" t="s">
        <v>27</v>
      </c>
      <c r="G28" s="18" t="s">
        <v>28</v>
      </c>
    </row>
    <row r="29" spans="2:8">
      <c r="B29" s="28" t="s">
        <v>29</v>
      </c>
      <c r="C29" s="29" t="s">
        <v>30</v>
      </c>
      <c r="D29" s="28" t="s">
        <v>31</v>
      </c>
      <c r="E29" s="29" t="s">
        <v>32</v>
      </c>
      <c r="F29" s="28" t="s">
        <v>33</v>
      </c>
      <c r="G29" s="29" t="s">
        <v>30</v>
      </c>
    </row>
    <row r="30" spans="2:8">
      <c r="B30" s="28" t="s">
        <v>34</v>
      </c>
      <c r="C30" s="29" t="s">
        <v>35</v>
      </c>
      <c r="D30" s="28" t="s">
        <v>36</v>
      </c>
      <c r="E30" s="29" t="s">
        <v>37</v>
      </c>
      <c r="F30" s="28" t="s">
        <v>38</v>
      </c>
      <c r="G30" s="29" t="s">
        <v>39</v>
      </c>
    </row>
    <row r="31" spans="2:8">
      <c r="B31" s="28" t="s">
        <v>40</v>
      </c>
      <c r="C31" s="29" t="s">
        <v>41</v>
      </c>
      <c r="D31" s="28" t="s">
        <v>42</v>
      </c>
      <c r="E31" s="29" t="s">
        <v>43</v>
      </c>
      <c r="F31" s="28" t="s">
        <v>44</v>
      </c>
      <c r="G31" s="29" t="s">
        <v>43</v>
      </c>
    </row>
    <row r="32" spans="2:8">
      <c r="B32" s="28" t="s">
        <v>45</v>
      </c>
      <c r="C32" s="29" t="s">
        <v>46</v>
      </c>
      <c r="D32" s="28" t="s">
        <v>47</v>
      </c>
      <c r="E32" s="29" t="s">
        <v>48</v>
      </c>
      <c r="F32" s="28" t="s">
        <v>49</v>
      </c>
      <c r="G32" s="29" t="s">
        <v>50</v>
      </c>
    </row>
    <row r="35" spans="2:8" ht="7.5" customHeight="1"/>
    <row r="36" spans="2:8">
      <c r="B36" s="6" t="s">
        <v>51</v>
      </c>
      <c r="C36" s="6"/>
      <c r="D36" s="6"/>
      <c r="E36" s="6"/>
      <c r="F36" s="6"/>
      <c r="G36" s="6"/>
      <c r="H36" s="6"/>
    </row>
    <row r="37" spans="2:8">
      <c r="B37" s="5" t="s">
        <v>52</v>
      </c>
      <c r="C37" s="5"/>
      <c r="D37" s="5"/>
      <c r="E37" s="5"/>
      <c r="F37" s="5"/>
      <c r="G37" s="5"/>
      <c r="H37" s="5"/>
    </row>
    <row r="38" spans="2:8">
      <c r="B38" s="5" t="s">
        <v>53</v>
      </c>
      <c r="C38" s="5"/>
      <c r="D38" s="5"/>
      <c r="E38" s="5"/>
      <c r="F38" s="5"/>
      <c r="G38" s="5"/>
      <c r="H38" s="5"/>
    </row>
    <row r="39" spans="2:8">
      <c r="B39" s="5" t="s">
        <v>54</v>
      </c>
      <c r="C39" s="5"/>
      <c r="D39" s="5"/>
      <c r="E39" s="5"/>
      <c r="F39" s="5"/>
      <c r="G39" s="5"/>
      <c r="H39" s="5"/>
    </row>
    <row r="40" spans="2:8">
      <c r="B40" s="5" t="s">
        <v>55</v>
      </c>
      <c r="C40" s="5"/>
      <c r="D40" s="5"/>
      <c r="E40" s="5"/>
      <c r="F40" s="5"/>
      <c r="G40" s="5"/>
      <c r="H40" s="5"/>
    </row>
  </sheetData>
  <mergeCells count="22">
    <mergeCell ref="B39:H39"/>
    <mergeCell ref="B40:H40"/>
    <mergeCell ref="B5:H5"/>
    <mergeCell ref="B18:H18"/>
    <mergeCell ref="B27:H27"/>
    <mergeCell ref="B36:H36"/>
    <mergeCell ref="B37:H37"/>
    <mergeCell ref="B38:H38"/>
    <mergeCell ref="B14:C14"/>
    <mergeCell ref="D14:E14"/>
    <mergeCell ref="F14:G14"/>
    <mergeCell ref="H14:I14"/>
    <mergeCell ref="B15:C15"/>
    <mergeCell ref="D15:E15"/>
    <mergeCell ref="F15:G15"/>
    <mergeCell ref="H15:I15"/>
    <mergeCell ref="B2:H2"/>
    <mergeCell ref="B3:H3"/>
    <mergeCell ref="B13:C13"/>
    <mergeCell ref="D13:E13"/>
    <mergeCell ref="F13:G13"/>
    <mergeCell ref="H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3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10" customWidth="1"/>
    <col min="3" max="3" width="36" customWidth="1"/>
    <col min="4" max="6" width="16" customWidth="1"/>
    <col min="7" max="7" width="14" customWidth="1"/>
    <col min="8" max="8" width="12" customWidth="1"/>
    <col min="9" max="9" width="2" customWidth="1"/>
  </cols>
  <sheetData>
    <row r="2" spans="2:8" ht="25.5" customHeight="1">
      <c r="B2" s="4" t="s">
        <v>56</v>
      </c>
      <c r="C2" s="4"/>
      <c r="D2" s="4"/>
      <c r="E2" s="4"/>
      <c r="F2" s="4"/>
      <c r="G2" s="4"/>
      <c r="H2" s="4"/>
    </row>
    <row r="4" spans="2:8">
      <c r="B4" s="18" t="s">
        <v>57</v>
      </c>
      <c r="C4" s="18" t="s">
        <v>58</v>
      </c>
      <c r="D4" s="18" t="s">
        <v>59</v>
      </c>
      <c r="E4" s="18" t="s">
        <v>60</v>
      </c>
      <c r="F4" s="18" t="s">
        <v>17</v>
      </c>
      <c r="G4" s="18" t="s">
        <v>18</v>
      </c>
      <c r="H4" s="18" t="s">
        <v>61</v>
      </c>
    </row>
    <row r="5" spans="2:8">
      <c r="B5" s="3" t="s">
        <v>62</v>
      </c>
      <c r="C5" s="3"/>
      <c r="D5" s="3"/>
      <c r="E5" s="3"/>
      <c r="F5" s="3"/>
      <c r="G5" s="3"/>
      <c r="H5" s="3"/>
    </row>
    <row r="6" spans="2:8">
      <c r="B6" s="30" t="s">
        <v>63</v>
      </c>
      <c r="C6" s="30" t="s">
        <v>64</v>
      </c>
      <c r="D6" s="19">
        <v>1250</v>
      </c>
      <c r="E6" s="19">
        <v>1250</v>
      </c>
      <c r="F6" s="19">
        <v>1645</v>
      </c>
      <c r="G6" s="20">
        <f t="shared" ref="G6:G17" si="0">E6-F6</f>
        <v>-395</v>
      </c>
      <c r="H6" s="21">
        <f t="shared" ref="H6:H17" si="1">IF(E6=0,0,F6/E6)</f>
        <v>1.3160000000000001</v>
      </c>
    </row>
    <row r="7" spans="2:8">
      <c r="B7" s="30" t="s">
        <v>65</v>
      </c>
      <c r="C7" s="30" t="s">
        <v>66</v>
      </c>
      <c r="D7" s="19">
        <v>3000</v>
      </c>
      <c r="E7" s="19">
        <v>3000</v>
      </c>
      <c r="F7" s="19">
        <v>2992</v>
      </c>
      <c r="G7" s="20">
        <f t="shared" si="0"/>
        <v>8</v>
      </c>
      <c r="H7" s="21">
        <f t="shared" si="1"/>
        <v>0.99733333333333329</v>
      </c>
    </row>
    <row r="8" spans="2:8">
      <c r="B8" s="30" t="s">
        <v>67</v>
      </c>
      <c r="C8" s="30" t="s">
        <v>68</v>
      </c>
      <c r="D8" s="19">
        <v>2500</v>
      </c>
      <c r="E8" s="19">
        <v>2500</v>
      </c>
      <c r="F8" s="19">
        <v>1324</v>
      </c>
      <c r="G8" s="20">
        <f t="shared" si="0"/>
        <v>1176</v>
      </c>
      <c r="H8" s="21">
        <f t="shared" si="1"/>
        <v>0.52959999999999996</v>
      </c>
    </row>
    <row r="9" spans="2:8">
      <c r="B9" s="30" t="s">
        <v>69</v>
      </c>
      <c r="C9" s="30" t="s">
        <v>70</v>
      </c>
      <c r="D9" s="19">
        <v>5350</v>
      </c>
      <c r="E9" s="19">
        <v>5350</v>
      </c>
      <c r="F9" s="19">
        <v>4209</v>
      </c>
      <c r="G9" s="20">
        <f t="shared" si="0"/>
        <v>1141</v>
      </c>
      <c r="H9" s="21">
        <f t="shared" si="1"/>
        <v>0.78672897196261682</v>
      </c>
    </row>
    <row r="10" spans="2:8">
      <c r="B10" s="30" t="s">
        <v>71</v>
      </c>
      <c r="C10" s="30" t="s">
        <v>72</v>
      </c>
      <c r="D10" s="19">
        <v>8960</v>
      </c>
      <c r="E10" s="19">
        <v>8960</v>
      </c>
      <c r="F10" s="19">
        <v>9872</v>
      </c>
      <c r="G10" s="20">
        <f t="shared" si="0"/>
        <v>-912</v>
      </c>
      <c r="H10" s="21">
        <f t="shared" si="1"/>
        <v>1.1017857142857144</v>
      </c>
    </row>
    <row r="11" spans="2:8">
      <c r="B11" s="30" t="s">
        <v>73</v>
      </c>
      <c r="C11" s="30" t="s">
        <v>74</v>
      </c>
      <c r="D11" s="19">
        <v>2000</v>
      </c>
      <c r="E11" s="19">
        <v>2000</v>
      </c>
      <c r="F11" s="19">
        <v>1485.5</v>
      </c>
      <c r="G11" s="20">
        <f t="shared" si="0"/>
        <v>514.5</v>
      </c>
      <c r="H11" s="21">
        <f t="shared" si="1"/>
        <v>0.74275000000000002</v>
      </c>
    </row>
    <row r="12" spans="2:8">
      <c r="B12" s="30" t="s">
        <v>75</v>
      </c>
      <c r="C12" s="30" t="s">
        <v>76</v>
      </c>
      <c r="D12" s="19">
        <v>34500</v>
      </c>
      <c r="E12" s="19">
        <v>37530</v>
      </c>
      <c r="F12" s="19">
        <v>46114</v>
      </c>
      <c r="G12" s="20">
        <f t="shared" si="0"/>
        <v>-8584</v>
      </c>
      <c r="H12" s="21">
        <f t="shared" si="1"/>
        <v>1.2287236877164935</v>
      </c>
    </row>
    <row r="13" spans="2:8">
      <c r="B13" s="30" t="s">
        <v>77</v>
      </c>
      <c r="C13" s="30" t="s">
        <v>78</v>
      </c>
      <c r="D13" s="19">
        <v>10250</v>
      </c>
      <c r="E13" s="19">
        <v>10320</v>
      </c>
      <c r="F13" s="19">
        <v>11391.5</v>
      </c>
      <c r="G13" s="20">
        <f t="shared" si="0"/>
        <v>-1071.5</v>
      </c>
      <c r="H13" s="21">
        <f t="shared" si="1"/>
        <v>1.103827519379845</v>
      </c>
    </row>
    <row r="14" spans="2:8">
      <c r="B14" s="30" t="s">
        <v>79</v>
      </c>
      <c r="C14" s="30" t="s">
        <v>80</v>
      </c>
      <c r="D14" s="19">
        <v>0</v>
      </c>
      <c r="E14" s="19">
        <v>0</v>
      </c>
      <c r="F14" s="19">
        <v>0</v>
      </c>
      <c r="G14" s="20">
        <f t="shared" si="0"/>
        <v>0</v>
      </c>
      <c r="H14" s="21">
        <f t="shared" si="1"/>
        <v>0</v>
      </c>
    </row>
    <row r="15" spans="2:8">
      <c r="B15" s="30" t="s">
        <v>81</v>
      </c>
      <c r="C15" s="30" t="s">
        <v>82</v>
      </c>
      <c r="D15" s="19">
        <v>1430</v>
      </c>
      <c r="E15" s="19">
        <v>1430</v>
      </c>
      <c r="F15" s="19">
        <v>1730</v>
      </c>
      <c r="G15" s="20">
        <f t="shared" si="0"/>
        <v>-300</v>
      </c>
      <c r="H15" s="21">
        <f t="shared" si="1"/>
        <v>1.2097902097902098</v>
      </c>
    </row>
    <row r="16" spans="2:8">
      <c r="B16" s="30" t="s">
        <v>83</v>
      </c>
      <c r="C16" s="30" t="s">
        <v>84</v>
      </c>
      <c r="D16" s="19">
        <v>3080</v>
      </c>
      <c r="E16" s="19">
        <v>3080</v>
      </c>
      <c r="F16" s="19">
        <v>3796.5</v>
      </c>
      <c r="G16" s="20">
        <f t="shared" si="0"/>
        <v>-716.5</v>
      </c>
      <c r="H16" s="21">
        <f t="shared" si="1"/>
        <v>1.2326298701298701</v>
      </c>
    </row>
    <row r="17" spans="2:8">
      <c r="B17" s="30" t="s">
        <v>85</v>
      </c>
      <c r="C17" s="30" t="s">
        <v>86</v>
      </c>
      <c r="D17" s="19">
        <v>0</v>
      </c>
      <c r="E17" s="19">
        <v>0</v>
      </c>
      <c r="F17" s="19">
        <v>138.5</v>
      </c>
      <c r="G17" s="20">
        <f t="shared" si="0"/>
        <v>-138.5</v>
      </c>
      <c r="H17" s="21">
        <f t="shared" si="1"/>
        <v>0</v>
      </c>
    </row>
    <row r="18" spans="2:8">
      <c r="B18" s="2" t="s">
        <v>87</v>
      </c>
      <c r="C18" s="2"/>
      <c r="D18" s="2"/>
      <c r="E18" s="2"/>
      <c r="F18" s="2"/>
      <c r="G18" s="2"/>
      <c r="H18" s="2"/>
    </row>
    <row r="19" spans="2:8">
      <c r="B19" s="30" t="s">
        <v>88</v>
      </c>
      <c r="C19" s="30" t="s">
        <v>89</v>
      </c>
      <c r="D19" s="19">
        <v>1250</v>
      </c>
      <c r="E19" s="19">
        <v>1250</v>
      </c>
      <c r="F19" s="19">
        <v>369.06</v>
      </c>
      <c r="G19" s="20">
        <f t="shared" ref="G19:G27" si="2">E19-F19</f>
        <v>880.94</v>
      </c>
      <c r="H19" s="21">
        <f t="shared" ref="H19:H27" si="3">IF(E19=0,0,F19/E19)</f>
        <v>0.29524800000000001</v>
      </c>
    </row>
    <row r="20" spans="2:8">
      <c r="B20" s="30" t="s">
        <v>90</v>
      </c>
      <c r="C20" s="30" t="s">
        <v>91</v>
      </c>
      <c r="D20" s="19">
        <v>2800</v>
      </c>
      <c r="E20" s="19">
        <v>2800</v>
      </c>
      <c r="F20" s="19">
        <v>2613.58</v>
      </c>
      <c r="G20" s="20">
        <f t="shared" si="2"/>
        <v>186.42000000000007</v>
      </c>
      <c r="H20" s="21">
        <f t="shared" si="3"/>
        <v>0.93342142857142851</v>
      </c>
    </row>
    <row r="21" spans="2:8">
      <c r="B21" s="30" t="s">
        <v>92</v>
      </c>
      <c r="C21" s="30" t="s">
        <v>93</v>
      </c>
      <c r="D21" s="19">
        <v>10570</v>
      </c>
      <c r="E21" s="19">
        <v>10570</v>
      </c>
      <c r="F21" s="19">
        <v>3972.94</v>
      </c>
      <c r="G21" s="20">
        <f t="shared" si="2"/>
        <v>6597.0599999999995</v>
      </c>
      <c r="H21" s="21">
        <f t="shared" si="3"/>
        <v>0.3758694418164617</v>
      </c>
    </row>
    <row r="22" spans="2:8">
      <c r="B22" s="30" t="s">
        <v>94</v>
      </c>
      <c r="C22" s="30" t="s">
        <v>95</v>
      </c>
      <c r="D22" s="19">
        <v>2800</v>
      </c>
      <c r="E22" s="19">
        <v>2800</v>
      </c>
      <c r="F22" s="19">
        <v>2749.23</v>
      </c>
      <c r="G22" s="20">
        <f t="shared" si="2"/>
        <v>50.769999999999982</v>
      </c>
      <c r="H22" s="21">
        <f t="shared" si="3"/>
        <v>0.98186785714285718</v>
      </c>
    </row>
    <row r="23" spans="2:8">
      <c r="B23" s="30" t="s">
        <v>96</v>
      </c>
      <c r="C23" s="30" t="s">
        <v>97</v>
      </c>
      <c r="D23" s="19">
        <v>33560</v>
      </c>
      <c r="E23" s="19">
        <v>32510</v>
      </c>
      <c r="F23" s="19">
        <v>30742.47</v>
      </c>
      <c r="G23" s="20">
        <f t="shared" si="2"/>
        <v>1767.5299999999988</v>
      </c>
      <c r="H23" s="21">
        <f t="shared" si="3"/>
        <v>0.94563119040295296</v>
      </c>
    </row>
    <row r="24" spans="2:8">
      <c r="B24" s="30" t="s">
        <v>98</v>
      </c>
      <c r="C24" s="30" t="s">
        <v>99</v>
      </c>
      <c r="D24" s="19">
        <v>143270</v>
      </c>
      <c r="E24" s="19">
        <v>143381</v>
      </c>
      <c r="F24" s="19">
        <v>109975.66</v>
      </c>
      <c r="G24" s="20">
        <f t="shared" si="2"/>
        <v>33405.339999999997</v>
      </c>
      <c r="H24" s="21">
        <f t="shared" si="3"/>
        <v>0.7670169687755003</v>
      </c>
    </row>
    <row r="25" spans="2:8">
      <c r="B25" s="30" t="s">
        <v>100</v>
      </c>
      <c r="C25" s="30" t="s">
        <v>101</v>
      </c>
      <c r="D25" s="19">
        <v>0</v>
      </c>
      <c r="E25" s="19">
        <v>0</v>
      </c>
      <c r="F25" s="19">
        <v>0</v>
      </c>
      <c r="G25" s="20">
        <f t="shared" si="2"/>
        <v>0</v>
      </c>
      <c r="H25" s="21">
        <f t="shared" si="3"/>
        <v>0</v>
      </c>
    </row>
    <row r="26" spans="2:8">
      <c r="B26" s="30" t="s">
        <v>102</v>
      </c>
      <c r="C26" s="30" t="s">
        <v>103</v>
      </c>
      <c r="D26" s="19">
        <v>2000</v>
      </c>
      <c r="E26" s="19">
        <v>2000</v>
      </c>
      <c r="F26" s="19">
        <v>641.45000000000005</v>
      </c>
      <c r="G26" s="20">
        <f t="shared" si="2"/>
        <v>1358.55</v>
      </c>
      <c r="H26" s="21">
        <f t="shared" si="3"/>
        <v>0.32072500000000004</v>
      </c>
    </row>
    <row r="27" spans="2:8">
      <c r="B27" s="30" t="s">
        <v>104</v>
      </c>
      <c r="C27" s="30" t="s">
        <v>105</v>
      </c>
      <c r="D27" s="19">
        <v>0</v>
      </c>
      <c r="E27" s="19">
        <v>0</v>
      </c>
      <c r="F27" s="19">
        <v>0</v>
      </c>
      <c r="G27" s="20">
        <f t="shared" si="2"/>
        <v>0</v>
      </c>
      <c r="H27" s="21">
        <f t="shared" si="3"/>
        <v>0</v>
      </c>
    </row>
    <row r="28" spans="2:8">
      <c r="B28" s="1" t="s">
        <v>106</v>
      </c>
      <c r="C28" s="1"/>
      <c r="D28" s="1"/>
      <c r="E28" s="1"/>
      <c r="F28" s="1"/>
      <c r="G28" s="1"/>
      <c r="H28" s="1"/>
    </row>
    <row r="29" spans="2:8">
      <c r="B29" s="30" t="s">
        <v>107</v>
      </c>
      <c r="C29" s="30" t="s">
        <v>108</v>
      </c>
      <c r="D29" s="19">
        <v>4800</v>
      </c>
      <c r="E29" s="19">
        <v>4885</v>
      </c>
      <c r="F29" s="19">
        <v>2379</v>
      </c>
      <c r="G29" s="20">
        <f>E29-F29</f>
        <v>2506</v>
      </c>
      <c r="H29" s="21">
        <f>IF(E29=0,0,F29/E29)</f>
        <v>0.48700102354145341</v>
      </c>
    </row>
    <row r="30" spans="2:8">
      <c r="B30" s="30" t="s">
        <v>109</v>
      </c>
      <c r="C30" s="30" t="s">
        <v>110</v>
      </c>
      <c r="D30" s="19">
        <v>6000</v>
      </c>
      <c r="E30" s="19">
        <v>6000</v>
      </c>
      <c r="F30" s="19">
        <v>4990.08</v>
      </c>
      <c r="G30" s="20">
        <f>E30-F30</f>
        <v>1009.9200000000001</v>
      </c>
      <c r="H30" s="21">
        <f>IF(E30=0,0,F30/E30)</f>
        <v>0.83167999999999997</v>
      </c>
    </row>
    <row r="31" spans="2:8">
      <c r="B31" s="30" t="s">
        <v>111</v>
      </c>
      <c r="C31" s="30" t="s">
        <v>112</v>
      </c>
      <c r="D31" s="19">
        <v>3870</v>
      </c>
      <c r="E31" s="19">
        <v>4010</v>
      </c>
      <c r="F31" s="19">
        <v>3735</v>
      </c>
      <c r="G31" s="20">
        <f>E31-F31</f>
        <v>275</v>
      </c>
      <c r="H31" s="21">
        <f>IF(E31=0,0,F31/E31)</f>
        <v>0.9314214463840399</v>
      </c>
    </row>
    <row r="32" spans="2:8">
      <c r="B32" s="30" t="s">
        <v>113</v>
      </c>
      <c r="C32" s="30" t="s">
        <v>114</v>
      </c>
      <c r="D32" s="19">
        <v>0</v>
      </c>
      <c r="E32" s="19">
        <v>0</v>
      </c>
      <c r="F32" s="19">
        <v>141.44</v>
      </c>
      <c r="G32" s="20">
        <f>E32-F32</f>
        <v>-141.44</v>
      </c>
      <c r="H32" s="21">
        <f>IF(E32=0,0,F32/E32)</f>
        <v>0</v>
      </c>
    </row>
    <row r="33" spans="2:8">
      <c r="B33" s="69" t="s">
        <v>115</v>
      </c>
      <c r="C33" s="69"/>
      <c r="D33" s="69"/>
      <c r="E33" s="69"/>
      <c r="F33" s="69"/>
      <c r="G33" s="69"/>
      <c r="H33" s="69"/>
    </row>
    <row r="34" spans="2:8">
      <c r="B34" s="30" t="s">
        <v>116</v>
      </c>
      <c r="C34" s="30" t="s">
        <v>117</v>
      </c>
      <c r="D34" s="19">
        <v>28928</v>
      </c>
      <c r="E34" s="19">
        <v>32694.58</v>
      </c>
      <c r="F34" s="19">
        <v>34412.050000000003</v>
      </c>
      <c r="G34" s="20">
        <f>E34-F34</f>
        <v>-1717.4700000000012</v>
      </c>
      <c r="H34" s="21">
        <f>IF(E34=0,0,F34/E34)</f>
        <v>1.0525307252761773</v>
      </c>
    </row>
    <row r="35" spans="2:8">
      <c r="B35" s="30" t="s">
        <v>118</v>
      </c>
      <c r="C35" s="30" t="s">
        <v>119</v>
      </c>
      <c r="D35" s="19">
        <v>5532.48</v>
      </c>
      <c r="E35" s="19">
        <v>5769.64</v>
      </c>
      <c r="F35" s="19">
        <v>6479.41</v>
      </c>
      <c r="G35" s="20">
        <f>E35-F35</f>
        <v>-709.76999999999953</v>
      </c>
      <c r="H35" s="21">
        <f>IF(E35=0,0,F35/E35)</f>
        <v>1.1230180739179567</v>
      </c>
    </row>
    <row r="36" spans="2:8">
      <c r="B36" s="31" t="s">
        <v>25</v>
      </c>
      <c r="C36" s="31" t="s">
        <v>120</v>
      </c>
      <c r="D36" s="32">
        <v>317700.47999999998</v>
      </c>
      <c r="E36" s="32">
        <v>324090.21999999997</v>
      </c>
      <c r="F36" s="32">
        <v>287899</v>
      </c>
      <c r="G36" s="33">
        <f>E36-F36</f>
        <v>36191.219999999972</v>
      </c>
      <c r="H36" s="34">
        <f>F36/E36</f>
        <v>0.88832979902941844</v>
      </c>
    </row>
    <row r="39" spans="2:8" ht="7.5" customHeight="1"/>
    <row r="40" spans="2:8">
      <c r="B40" s="6" t="s">
        <v>51</v>
      </c>
      <c r="C40" s="6"/>
      <c r="D40" s="6"/>
      <c r="E40" s="6"/>
      <c r="F40" s="6"/>
      <c r="G40" s="6"/>
      <c r="H40" s="6"/>
    </row>
    <row r="41" spans="2:8">
      <c r="B41" s="5" t="s">
        <v>52</v>
      </c>
      <c r="C41" s="5"/>
      <c r="D41" s="5"/>
      <c r="E41" s="5"/>
      <c r="F41" s="5"/>
      <c r="G41" s="5"/>
      <c r="H41" s="5"/>
    </row>
    <row r="42" spans="2:8">
      <c r="B42" s="5" t="s">
        <v>53</v>
      </c>
      <c r="C42" s="5"/>
      <c r="D42" s="5"/>
      <c r="E42" s="5"/>
      <c r="F42" s="5"/>
      <c r="G42" s="5"/>
      <c r="H42" s="5"/>
    </row>
    <row r="43" spans="2:8">
      <c r="B43" s="5" t="s">
        <v>121</v>
      </c>
      <c r="C43" s="5"/>
      <c r="D43" s="5"/>
      <c r="E43" s="5"/>
      <c r="F43" s="5"/>
      <c r="G43" s="5"/>
      <c r="H43" s="5"/>
    </row>
  </sheetData>
  <mergeCells count="9">
    <mergeCell ref="B40:H40"/>
    <mergeCell ref="B41:H41"/>
    <mergeCell ref="B42:H42"/>
    <mergeCell ref="B43:H43"/>
    <mergeCell ref="B2:H2"/>
    <mergeCell ref="B5:H5"/>
    <mergeCell ref="B18:H18"/>
    <mergeCell ref="B28:H28"/>
    <mergeCell ref="B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2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26" customWidth="1"/>
    <col min="3" max="5" width="16" customWidth="1"/>
    <col min="6" max="8" width="14" customWidth="1"/>
    <col min="9" max="9" width="2" customWidth="1"/>
  </cols>
  <sheetData>
    <row r="2" spans="2:9" ht="25.5" customHeight="1">
      <c r="B2" s="4" t="s">
        <v>122</v>
      </c>
      <c r="C2" s="4"/>
      <c r="D2" s="4"/>
      <c r="E2" s="4"/>
      <c r="F2" s="4"/>
      <c r="G2" s="4"/>
      <c r="H2" s="4"/>
    </row>
    <row r="4" spans="2:9">
      <c r="B4" s="70" t="s">
        <v>123</v>
      </c>
      <c r="C4" s="70"/>
      <c r="D4" s="70"/>
      <c r="E4" s="70"/>
      <c r="F4" s="70"/>
      <c r="G4" s="70"/>
      <c r="H4" s="70"/>
    </row>
    <row r="5" spans="2:9">
      <c r="B5" s="18" t="s">
        <v>15</v>
      </c>
      <c r="C5" s="18" t="s">
        <v>124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125</v>
      </c>
    </row>
    <row r="6" spans="2:9">
      <c r="B6" s="35" t="s">
        <v>21</v>
      </c>
      <c r="C6" s="36">
        <v>15</v>
      </c>
      <c r="D6" s="19">
        <v>75420</v>
      </c>
      <c r="E6" s="19">
        <v>84698</v>
      </c>
      <c r="F6" s="20">
        <f>D6-E6</f>
        <v>-9278</v>
      </c>
      <c r="G6" s="21">
        <f>IF(D6=0,0,E6/D6)</f>
        <v>1.1230177671705117</v>
      </c>
      <c r="H6" s="21">
        <f>E6/287899</f>
        <v>0.29419344978620976</v>
      </c>
      <c r="I6" s="19">
        <f>E6/168</f>
        <v>504.15476190476193</v>
      </c>
    </row>
    <row r="7" spans="2:9">
      <c r="B7" s="37" t="s">
        <v>22</v>
      </c>
      <c r="C7" s="36">
        <v>11</v>
      </c>
      <c r="D7" s="19">
        <v>195311</v>
      </c>
      <c r="E7" s="19">
        <v>151064.39000000001</v>
      </c>
      <c r="F7" s="20">
        <f>D7-E7</f>
        <v>44246.609999999986</v>
      </c>
      <c r="G7" s="21">
        <f>IF(D7=0,0,E7/D7)</f>
        <v>0.77345561693913811</v>
      </c>
      <c r="H7" s="21">
        <f>E7/287899</f>
        <v>0.52471314592964902</v>
      </c>
      <c r="I7" s="19">
        <f>E7/168</f>
        <v>899.19279761904772</v>
      </c>
    </row>
    <row r="8" spans="2:9">
      <c r="B8" s="38" t="s">
        <v>23</v>
      </c>
      <c r="C8" s="36">
        <v>5</v>
      </c>
      <c r="D8" s="19">
        <v>14895</v>
      </c>
      <c r="E8" s="19">
        <v>11245.52</v>
      </c>
      <c r="F8" s="20">
        <f>D8-E8</f>
        <v>3649.4799999999996</v>
      </c>
      <c r="G8" s="21">
        <f>IF(D8=0,0,E8/D8)</f>
        <v>0.75498623699227929</v>
      </c>
      <c r="H8" s="21">
        <f>E8/287899</f>
        <v>3.9060642794869038E-2</v>
      </c>
      <c r="I8" s="19">
        <f>E8/168</f>
        <v>66.937619047619052</v>
      </c>
    </row>
    <row r="9" spans="2:9">
      <c r="B9" s="39" t="s">
        <v>24</v>
      </c>
      <c r="C9" s="36">
        <v>2</v>
      </c>
      <c r="D9" s="19">
        <v>38464.22</v>
      </c>
      <c r="E9" s="19">
        <v>40891.46</v>
      </c>
      <c r="F9" s="20">
        <f>D9-E9</f>
        <v>-2427.239999999998</v>
      </c>
      <c r="G9" s="21">
        <f>IF(D9=0,0,E9/D9)</f>
        <v>1.0631038404002473</v>
      </c>
      <c r="H9" s="21">
        <f>E9/287899</f>
        <v>0.14203404666219752</v>
      </c>
      <c r="I9" s="19">
        <f>E9/168</f>
        <v>243.40154761904762</v>
      </c>
    </row>
    <row r="12" spans="2:9">
      <c r="B12" s="71" t="s">
        <v>126</v>
      </c>
      <c r="C12" s="71"/>
      <c r="D12" s="71"/>
      <c r="E12" s="71"/>
      <c r="F12" s="71"/>
      <c r="G12" s="71"/>
      <c r="H12" s="71"/>
    </row>
    <row r="13" spans="2:9">
      <c r="B13" s="18" t="s">
        <v>57</v>
      </c>
      <c r="C13" s="18" t="s">
        <v>58</v>
      </c>
      <c r="D13" s="18" t="s">
        <v>60</v>
      </c>
      <c r="E13" s="18" t="s">
        <v>17</v>
      </c>
      <c r="F13" s="18" t="s">
        <v>127</v>
      </c>
      <c r="G13" s="18" t="s">
        <v>128</v>
      </c>
    </row>
    <row r="14" spans="2:9">
      <c r="B14" s="30" t="s">
        <v>75</v>
      </c>
      <c r="C14" s="30" t="s">
        <v>76</v>
      </c>
      <c r="D14" s="19">
        <v>37530</v>
      </c>
      <c r="E14" s="19">
        <v>46114</v>
      </c>
      <c r="F14" s="20">
        <v>8584</v>
      </c>
      <c r="G14" s="40">
        <v>0.22872368771649401</v>
      </c>
    </row>
    <row r="15" spans="2:9">
      <c r="B15" s="30" t="s">
        <v>116</v>
      </c>
      <c r="C15" s="30" t="s">
        <v>117</v>
      </c>
      <c r="D15" s="19">
        <v>32694.58</v>
      </c>
      <c r="E15" s="19">
        <v>34412.050000000003</v>
      </c>
      <c r="F15" s="20">
        <v>1717.47</v>
      </c>
      <c r="G15" s="40">
        <v>5.2530725276177297E-2</v>
      </c>
    </row>
    <row r="16" spans="2:9">
      <c r="B16" s="30" t="s">
        <v>77</v>
      </c>
      <c r="C16" s="30" t="s">
        <v>78</v>
      </c>
      <c r="D16" s="19">
        <v>10320</v>
      </c>
      <c r="E16" s="19">
        <v>11391.5</v>
      </c>
      <c r="F16" s="20">
        <v>1071.5</v>
      </c>
      <c r="G16" s="40">
        <v>0.103827519379845</v>
      </c>
    </row>
    <row r="17" spans="2:8">
      <c r="B17" s="30" t="s">
        <v>71</v>
      </c>
      <c r="C17" s="30" t="s">
        <v>72</v>
      </c>
      <c r="D17" s="19">
        <v>8960</v>
      </c>
      <c r="E17" s="19">
        <v>9872</v>
      </c>
      <c r="F17" s="20">
        <v>912</v>
      </c>
      <c r="G17" s="40">
        <v>0.10178571428571399</v>
      </c>
    </row>
    <row r="18" spans="2:8">
      <c r="B18" s="30" t="s">
        <v>83</v>
      </c>
      <c r="C18" s="30" t="s">
        <v>84</v>
      </c>
      <c r="D18" s="19">
        <v>3080</v>
      </c>
      <c r="E18" s="19">
        <v>3796.5</v>
      </c>
      <c r="F18" s="20">
        <v>716.5</v>
      </c>
      <c r="G18" s="40">
        <v>0.23262987012986999</v>
      </c>
    </row>
    <row r="19" spans="2:8">
      <c r="B19" s="30" t="s">
        <v>118</v>
      </c>
      <c r="C19" s="30" t="s">
        <v>119</v>
      </c>
      <c r="D19" s="19">
        <v>5769.64</v>
      </c>
      <c r="E19" s="19">
        <v>6479.41</v>
      </c>
      <c r="F19" s="20">
        <v>709.77</v>
      </c>
      <c r="G19" s="40">
        <v>0.12301807391795699</v>
      </c>
    </row>
    <row r="20" spans="2:8">
      <c r="B20" s="30" t="s">
        <v>63</v>
      </c>
      <c r="C20" s="30" t="s">
        <v>64</v>
      </c>
      <c r="D20" s="19">
        <v>1250</v>
      </c>
      <c r="E20" s="19">
        <v>1645</v>
      </c>
      <c r="F20" s="20">
        <v>395</v>
      </c>
      <c r="G20" s="40">
        <v>0.316</v>
      </c>
    </row>
    <row r="21" spans="2:8">
      <c r="B21" s="30" t="s">
        <v>81</v>
      </c>
      <c r="C21" s="30" t="s">
        <v>82</v>
      </c>
      <c r="D21" s="19">
        <v>1430</v>
      </c>
      <c r="E21" s="19">
        <v>1730</v>
      </c>
      <c r="F21" s="20">
        <v>300</v>
      </c>
      <c r="G21" s="40">
        <v>0.20979020979021001</v>
      </c>
    </row>
    <row r="24" spans="2:8">
      <c r="B24" s="72" t="s">
        <v>129</v>
      </c>
      <c r="C24" s="72"/>
      <c r="D24" s="72"/>
      <c r="E24" s="72"/>
      <c r="F24" s="72"/>
      <c r="G24" s="72"/>
      <c r="H24" s="72"/>
    </row>
    <row r="25" spans="2:8">
      <c r="B25" s="18" t="s">
        <v>57</v>
      </c>
      <c r="C25" s="18" t="s">
        <v>58</v>
      </c>
      <c r="D25" s="18" t="s">
        <v>60</v>
      </c>
      <c r="E25" s="18" t="s">
        <v>17</v>
      </c>
      <c r="F25" s="18" t="s">
        <v>130</v>
      </c>
      <c r="G25" s="18" t="s">
        <v>131</v>
      </c>
    </row>
    <row r="26" spans="2:8">
      <c r="B26" s="30" t="s">
        <v>98</v>
      </c>
      <c r="C26" s="30" t="s">
        <v>99</v>
      </c>
      <c r="D26" s="19">
        <v>143381</v>
      </c>
      <c r="E26" s="19">
        <v>109975.66</v>
      </c>
      <c r="F26" s="19">
        <v>33405.339999999997</v>
      </c>
      <c r="G26" s="41">
        <v>0.23298303122450001</v>
      </c>
    </row>
    <row r="27" spans="2:8">
      <c r="B27" s="30" t="s">
        <v>92</v>
      </c>
      <c r="C27" s="30" t="s">
        <v>93</v>
      </c>
      <c r="D27" s="19">
        <v>10570</v>
      </c>
      <c r="E27" s="19">
        <v>3972.94</v>
      </c>
      <c r="F27" s="19">
        <v>6597.06</v>
      </c>
      <c r="G27" s="41">
        <v>0.62413055818353802</v>
      </c>
    </row>
    <row r="28" spans="2:8">
      <c r="B28" s="30" t="s">
        <v>107</v>
      </c>
      <c r="C28" s="30" t="s">
        <v>108</v>
      </c>
      <c r="D28" s="19">
        <v>4885</v>
      </c>
      <c r="E28" s="19">
        <v>2379</v>
      </c>
      <c r="F28" s="19">
        <v>2506</v>
      </c>
      <c r="G28" s="41">
        <v>0.51299897645854697</v>
      </c>
    </row>
    <row r="29" spans="2:8">
      <c r="B29" s="30" t="s">
        <v>96</v>
      </c>
      <c r="C29" s="30" t="s">
        <v>97</v>
      </c>
      <c r="D29" s="19">
        <v>32510</v>
      </c>
      <c r="E29" s="19">
        <v>30742.47</v>
      </c>
      <c r="F29" s="19">
        <v>1767.53</v>
      </c>
      <c r="G29" s="41">
        <v>5.4368809597046999E-2</v>
      </c>
    </row>
    <row r="30" spans="2:8">
      <c r="B30" s="30" t="s">
        <v>102</v>
      </c>
      <c r="C30" s="30" t="s">
        <v>103</v>
      </c>
      <c r="D30" s="19">
        <v>2000</v>
      </c>
      <c r="E30" s="19">
        <v>641.45000000000005</v>
      </c>
      <c r="F30" s="19">
        <v>1358.55</v>
      </c>
      <c r="G30" s="41">
        <v>0.67927499999999996</v>
      </c>
    </row>
    <row r="31" spans="2:8">
      <c r="B31" s="30" t="s">
        <v>67</v>
      </c>
      <c r="C31" s="30" t="s">
        <v>68</v>
      </c>
      <c r="D31" s="19">
        <v>2500</v>
      </c>
      <c r="E31" s="19">
        <v>1324</v>
      </c>
      <c r="F31" s="19">
        <v>1176</v>
      </c>
      <c r="G31" s="41">
        <v>0.47039999999999998</v>
      </c>
    </row>
    <row r="32" spans="2:8">
      <c r="B32" s="30" t="s">
        <v>69</v>
      </c>
      <c r="C32" s="30" t="s">
        <v>70</v>
      </c>
      <c r="D32" s="19">
        <v>5350</v>
      </c>
      <c r="E32" s="19">
        <v>4209</v>
      </c>
      <c r="F32" s="19">
        <v>1141</v>
      </c>
      <c r="G32" s="41">
        <v>0.21327102803738299</v>
      </c>
    </row>
    <row r="33" spans="2:8">
      <c r="B33" s="30" t="s">
        <v>109</v>
      </c>
      <c r="C33" s="30" t="s">
        <v>110</v>
      </c>
      <c r="D33" s="19">
        <v>6000</v>
      </c>
      <c r="E33" s="19">
        <v>4990.08</v>
      </c>
      <c r="F33" s="19">
        <v>1009.92</v>
      </c>
      <c r="G33" s="41">
        <v>0.16832</v>
      </c>
    </row>
    <row r="34" spans="2:8">
      <c r="B34" s="30" t="s">
        <v>88</v>
      </c>
      <c r="C34" s="30" t="s">
        <v>89</v>
      </c>
      <c r="D34" s="19">
        <v>1250</v>
      </c>
      <c r="E34" s="19">
        <v>369.06</v>
      </c>
      <c r="F34" s="19">
        <v>880.94</v>
      </c>
      <c r="G34" s="41">
        <v>0.70475200000000005</v>
      </c>
    </row>
    <row r="35" spans="2:8">
      <c r="B35" s="30" t="s">
        <v>73</v>
      </c>
      <c r="C35" s="30" t="s">
        <v>74</v>
      </c>
      <c r="D35" s="19">
        <v>2000</v>
      </c>
      <c r="E35" s="19">
        <v>1485.5</v>
      </c>
      <c r="F35" s="19">
        <v>514.5</v>
      </c>
      <c r="G35" s="41">
        <v>0.25724999999999998</v>
      </c>
    </row>
    <row r="38" spans="2:8" ht="7.5" customHeight="1"/>
    <row r="39" spans="2:8">
      <c r="B39" s="6" t="s">
        <v>51</v>
      </c>
      <c r="C39" s="6"/>
      <c r="D39" s="6"/>
      <c r="E39" s="6"/>
      <c r="F39" s="6"/>
      <c r="G39" s="6"/>
      <c r="H39" s="6"/>
    </row>
    <row r="40" spans="2:8">
      <c r="B40" s="5" t="s">
        <v>52</v>
      </c>
      <c r="C40" s="5"/>
      <c r="D40" s="5"/>
      <c r="E40" s="5"/>
      <c r="F40" s="5"/>
      <c r="G40" s="5"/>
      <c r="H40" s="5"/>
    </row>
    <row r="41" spans="2:8">
      <c r="B41" s="5" t="s">
        <v>53</v>
      </c>
      <c r="C41" s="5"/>
      <c r="D41" s="5"/>
      <c r="E41" s="5"/>
      <c r="F41" s="5"/>
      <c r="G41" s="5"/>
      <c r="H41" s="5"/>
    </row>
    <row r="42" spans="2:8">
      <c r="B42" s="5" t="s">
        <v>132</v>
      </c>
      <c r="C42" s="5"/>
      <c r="D42" s="5"/>
      <c r="E42" s="5"/>
      <c r="F42" s="5"/>
      <c r="G42" s="5"/>
      <c r="H42" s="5"/>
    </row>
  </sheetData>
  <mergeCells count="8">
    <mergeCell ref="B40:H40"/>
    <mergeCell ref="B41:H41"/>
    <mergeCell ref="B42:H42"/>
    <mergeCell ref="B2:H2"/>
    <mergeCell ref="B4:H4"/>
    <mergeCell ref="B12:H12"/>
    <mergeCell ref="B24:H24"/>
    <mergeCell ref="B39:H3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10" customWidth="1"/>
    <col min="3" max="3" width="34" customWidth="1"/>
    <col min="4" max="5" width="16" customWidth="1"/>
    <col min="6" max="6" width="14" customWidth="1"/>
    <col min="7" max="7" width="16" customWidth="1"/>
    <col min="8" max="8" width="14" customWidth="1"/>
    <col min="9" max="9" width="2" customWidth="1"/>
  </cols>
  <sheetData>
    <row r="2" spans="2:9" ht="25.5" customHeight="1">
      <c r="B2" s="4" t="s">
        <v>133</v>
      </c>
      <c r="C2" s="4"/>
      <c r="D2" s="4"/>
      <c r="E2" s="4"/>
      <c r="F2" s="4"/>
      <c r="G2" s="4"/>
      <c r="H2" s="4"/>
    </row>
    <row r="3" spans="2:9">
      <c r="B3" s="73" t="s">
        <v>134</v>
      </c>
      <c r="C3" s="73"/>
      <c r="D3" s="73"/>
      <c r="E3" s="73"/>
      <c r="F3" s="73"/>
      <c r="G3" s="73"/>
      <c r="H3" s="73"/>
    </row>
    <row r="5" spans="2:9">
      <c r="B5" s="74" t="s">
        <v>135</v>
      </c>
      <c r="C5" s="74"/>
      <c r="D5" s="74"/>
      <c r="E5" s="74"/>
      <c r="F5" s="74"/>
      <c r="G5" s="74"/>
      <c r="H5" s="74"/>
    </row>
    <row r="6" spans="2:9">
      <c r="B6" s="18" t="s">
        <v>57</v>
      </c>
      <c r="C6" s="18" t="s">
        <v>58</v>
      </c>
      <c r="D6" s="18" t="s">
        <v>60</v>
      </c>
      <c r="E6" s="18" t="s">
        <v>17</v>
      </c>
      <c r="F6" s="18" t="s">
        <v>18</v>
      </c>
      <c r="G6" s="18" t="s">
        <v>61</v>
      </c>
      <c r="H6" s="18" t="s">
        <v>136</v>
      </c>
      <c r="I6" s="18" t="s">
        <v>125</v>
      </c>
    </row>
    <row r="7" spans="2:9">
      <c r="B7" s="30" t="s">
        <v>88</v>
      </c>
      <c r="C7" s="30" t="s">
        <v>89</v>
      </c>
      <c r="D7" s="19">
        <v>1250</v>
      </c>
      <c r="E7" s="19">
        <v>369.06</v>
      </c>
      <c r="F7" s="20">
        <f t="shared" ref="F7:F16" si="0">D7-E7</f>
        <v>880.94</v>
      </c>
      <c r="G7" s="21">
        <f t="shared" ref="G7:G15" si="1">IF(D7=0,0,E7/D7)</f>
        <v>0.29524800000000001</v>
      </c>
      <c r="H7" s="21">
        <f t="shared" ref="H7:H15" si="2">E7/151064.39</f>
        <v>2.4430641794535427E-3</v>
      </c>
      <c r="I7" s="19">
        <f t="shared" ref="I7:I16" si="3">E7/168</f>
        <v>2.1967857142857143</v>
      </c>
    </row>
    <row r="8" spans="2:9">
      <c r="B8" s="30" t="s">
        <v>90</v>
      </c>
      <c r="C8" s="30" t="s">
        <v>91</v>
      </c>
      <c r="D8" s="19">
        <v>2800</v>
      </c>
      <c r="E8" s="19">
        <v>2613.58</v>
      </c>
      <c r="F8" s="20">
        <f t="shared" si="0"/>
        <v>186.42000000000007</v>
      </c>
      <c r="G8" s="21">
        <f t="shared" si="1"/>
        <v>0.93342142857142851</v>
      </c>
      <c r="H8" s="21">
        <f t="shared" si="2"/>
        <v>1.7301099220008102E-2</v>
      </c>
      <c r="I8" s="19">
        <f t="shared" si="3"/>
        <v>15.557023809523809</v>
      </c>
    </row>
    <row r="9" spans="2:9">
      <c r="B9" s="30" t="s">
        <v>92</v>
      </c>
      <c r="C9" s="30" t="s">
        <v>93</v>
      </c>
      <c r="D9" s="19">
        <v>10570</v>
      </c>
      <c r="E9" s="19">
        <v>3972.94</v>
      </c>
      <c r="F9" s="20">
        <f t="shared" si="0"/>
        <v>6597.0599999999995</v>
      </c>
      <c r="G9" s="21">
        <f t="shared" si="1"/>
        <v>0.3758694418164617</v>
      </c>
      <c r="H9" s="21">
        <f t="shared" si="2"/>
        <v>2.6299646131030613E-2</v>
      </c>
      <c r="I9" s="19">
        <f t="shared" si="3"/>
        <v>23.648452380952381</v>
      </c>
    </row>
    <row r="10" spans="2:9">
      <c r="B10" s="30" t="s">
        <v>94</v>
      </c>
      <c r="C10" s="30" t="s">
        <v>95</v>
      </c>
      <c r="D10" s="19">
        <v>2800</v>
      </c>
      <c r="E10" s="19">
        <v>2749.23</v>
      </c>
      <c r="F10" s="20">
        <f t="shared" si="0"/>
        <v>50.769999999999982</v>
      </c>
      <c r="G10" s="21">
        <f t="shared" si="1"/>
        <v>0.98186785714285718</v>
      </c>
      <c r="H10" s="21">
        <f t="shared" si="2"/>
        <v>1.8199060678694694E-2</v>
      </c>
      <c r="I10" s="19">
        <f t="shared" si="3"/>
        <v>16.364464285714284</v>
      </c>
    </row>
    <row r="11" spans="2:9">
      <c r="B11" s="30" t="s">
        <v>96</v>
      </c>
      <c r="C11" s="30" t="s">
        <v>97</v>
      </c>
      <c r="D11" s="19">
        <v>32510</v>
      </c>
      <c r="E11" s="19">
        <v>30742.47</v>
      </c>
      <c r="F11" s="20">
        <f t="shared" si="0"/>
        <v>1767.5299999999988</v>
      </c>
      <c r="G11" s="21">
        <f t="shared" si="1"/>
        <v>0.94563119040295296</v>
      </c>
      <c r="H11" s="21">
        <f t="shared" si="2"/>
        <v>0.20350573685830259</v>
      </c>
      <c r="I11" s="19">
        <f t="shared" si="3"/>
        <v>182.99089285714285</v>
      </c>
    </row>
    <row r="12" spans="2:9">
      <c r="B12" s="30" t="s">
        <v>98</v>
      </c>
      <c r="C12" s="30" t="s">
        <v>99</v>
      </c>
      <c r="D12" s="19">
        <v>143381</v>
      </c>
      <c r="E12" s="19">
        <v>109975.66</v>
      </c>
      <c r="F12" s="20">
        <f t="shared" si="0"/>
        <v>33405.339999999997</v>
      </c>
      <c r="G12" s="21">
        <f t="shared" si="1"/>
        <v>0.7670169687755003</v>
      </c>
      <c r="H12" s="21">
        <f t="shared" si="2"/>
        <v>0.72800519036948408</v>
      </c>
      <c r="I12" s="19">
        <f t="shared" si="3"/>
        <v>654.61702380952386</v>
      </c>
    </row>
    <row r="13" spans="2:9">
      <c r="B13" s="30" t="s">
        <v>100</v>
      </c>
      <c r="C13" s="30" t="s">
        <v>101</v>
      </c>
      <c r="D13" s="19">
        <v>0</v>
      </c>
      <c r="E13" s="19">
        <v>0</v>
      </c>
      <c r="F13" s="20">
        <f t="shared" si="0"/>
        <v>0</v>
      </c>
      <c r="G13" s="21">
        <f t="shared" si="1"/>
        <v>0</v>
      </c>
      <c r="H13" s="21">
        <f t="shared" si="2"/>
        <v>0</v>
      </c>
      <c r="I13" s="19">
        <f t="shared" si="3"/>
        <v>0</v>
      </c>
    </row>
    <row r="14" spans="2:9">
      <c r="B14" s="30" t="s">
        <v>102</v>
      </c>
      <c r="C14" s="30" t="s">
        <v>103</v>
      </c>
      <c r="D14" s="19">
        <v>2000</v>
      </c>
      <c r="E14" s="19">
        <v>641.45000000000005</v>
      </c>
      <c r="F14" s="20">
        <f t="shared" si="0"/>
        <v>1358.55</v>
      </c>
      <c r="G14" s="21">
        <f t="shared" si="1"/>
        <v>0.32072500000000004</v>
      </c>
      <c r="H14" s="21">
        <f t="shared" si="2"/>
        <v>4.2462025630262698E-3</v>
      </c>
      <c r="I14" s="19">
        <f t="shared" si="3"/>
        <v>3.8181547619047622</v>
      </c>
    </row>
    <row r="15" spans="2:9">
      <c r="B15" s="30" t="s">
        <v>104</v>
      </c>
      <c r="C15" s="30" t="s">
        <v>105</v>
      </c>
      <c r="D15" s="19">
        <v>0</v>
      </c>
      <c r="E15" s="19">
        <v>0</v>
      </c>
      <c r="F15" s="20">
        <f t="shared" si="0"/>
        <v>0</v>
      </c>
      <c r="G15" s="21">
        <f t="shared" si="1"/>
        <v>0</v>
      </c>
      <c r="H15" s="21">
        <f t="shared" si="2"/>
        <v>0</v>
      </c>
      <c r="I15" s="19">
        <f t="shared" si="3"/>
        <v>0</v>
      </c>
    </row>
    <row r="16" spans="2:9">
      <c r="B16" s="18" t="s">
        <v>25</v>
      </c>
      <c r="C16" s="18" t="s">
        <v>137</v>
      </c>
      <c r="D16" s="25">
        <v>195311</v>
      </c>
      <c r="E16" s="25">
        <v>151064.39000000001</v>
      </c>
      <c r="F16" s="26">
        <f t="shared" si="0"/>
        <v>44246.609999999986</v>
      </c>
      <c r="G16" s="27">
        <f>E16/D16</f>
        <v>0.77345561693913811</v>
      </c>
      <c r="H16" s="27">
        <v>1</v>
      </c>
      <c r="I16" s="25">
        <f t="shared" si="3"/>
        <v>899.19279761904772</v>
      </c>
    </row>
    <row r="19" spans="2:9">
      <c r="B19" s="74" t="s">
        <v>138</v>
      </c>
      <c r="C19" s="74"/>
      <c r="D19" s="74"/>
      <c r="E19" s="74"/>
      <c r="F19" s="74"/>
      <c r="G19" s="74"/>
      <c r="H19" s="74"/>
    </row>
    <row r="20" spans="2:9">
      <c r="B20" s="18" t="s">
        <v>139</v>
      </c>
      <c r="C20" s="18" t="s">
        <v>140</v>
      </c>
      <c r="D20" s="18" t="s">
        <v>141</v>
      </c>
      <c r="E20" s="18" t="s">
        <v>142</v>
      </c>
      <c r="F20" s="18"/>
      <c r="G20" s="18"/>
      <c r="H20" s="18" t="s">
        <v>143</v>
      </c>
      <c r="I20" s="18"/>
    </row>
    <row r="21" spans="2:9">
      <c r="B21" s="30" t="s">
        <v>144</v>
      </c>
      <c r="C21" s="36">
        <v>65</v>
      </c>
      <c r="D21" s="19">
        <v>115565.31</v>
      </c>
      <c r="E21" s="21">
        <f t="shared" ref="E21:E33" si="4">D21/158779.15</f>
        <v>0.72783680980783683</v>
      </c>
      <c r="F21" s="30"/>
      <c r="G21" s="30"/>
      <c r="H21" s="19">
        <f t="shared" ref="H21:H33" si="5">D21/C21</f>
        <v>1777.9278461538461</v>
      </c>
      <c r="I21" s="30"/>
    </row>
    <row r="22" spans="2:9">
      <c r="B22" s="30" t="s">
        <v>145</v>
      </c>
      <c r="C22" s="36">
        <v>2</v>
      </c>
      <c r="D22" s="19">
        <v>16160.7</v>
      </c>
      <c r="E22" s="21">
        <f t="shared" si="4"/>
        <v>0.10178099580454991</v>
      </c>
      <c r="F22" s="30"/>
      <c r="G22" s="30"/>
      <c r="H22" s="19">
        <f t="shared" si="5"/>
        <v>8080.35</v>
      </c>
      <c r="I22" s="30"/>
    </row>
    <row r="23" spans="2:9">
      <c r="B23" s="30" t="s">
        <v>146</v>
      </c>
      <c r="C23" s="36">
        <v>14</v>
      </c>
      <c r="D23" s="19">
        <v>16101.83</v>
      </c>
      <c r="E23" s="21">
        <f t="shared" si="4"/>
        <v>0.10141022923979628</v>
      </c>
      <c r="F23" s="30"/>
      <c r="G23" s="30"/>
      <c r="H23" s="19">
        <f t="shared" si="5"/>
        <v>1150.1307142857142</v>
      </c>
      <c r="I23" s="30"/>
    </row>
    <row r="24" spans="2:9">
      <c r="B24" s="30" t="s">
        <v>147</v>
      </c>
      <c r="C24" s="36">
        <v>1</v>
      </c>
      <c r="D24" s="19">
        <v>4895</v>
      </c>
      <c r="E24" s="21">
        <f t="shared" si="4"/>
        <v>3.0828984787990111E-2</v>
      </c>
      <c r="F24" s="30"/>
      <c r="G24" s="30"/>
      <c r="H24" s="19">
        <f t="shared" si="5"/>
        <v>4895</v>
      </c>
      <c r="I24" s="30"/>
    </row>
    <row r="25" spans="2:9">
      <c r="B25" s="30" t="s">
        <v>148</v>
      </c>
      <c r="C25" s="36">
        <v>1</v>
      </c>
      <c r="D25" s="19">
        <v>2250</v>
      </c>
      <c r="E25" s="21">
        <f t="shared" si="4"/>
        <v>1.4170626307043462E-2</v>
      </c>
      <c r="F25" s="30"/>
      <c r="G25" s="30"/>
      <c r="H25" s="19">
        <f t="shared" si="5"/>
        <v>2250</v>
      </c>
      <c r="I25" s="30"/>
    </row>
    <row r="26" spans="2:9">
      <c r="B26" s="30" t="s">
        <v>149</v>
      </c>
      <c r="C26" s="36">
        <v>4</v>
      </c>
      <c r="D26" s="19">
        <v>1821</v>
      </c>
      <c r="E26" s="21">
        <f t="shared" si="4"/>
        <v>1.146876022450051E-2</v>
      </c>
      <c r="F26" s="30"/>
      <c r="G26" s="30"/>
      <c r="H26" s="19">
        <f t="shared" si="5"/>
        <v>455.25</v>
      </c>
      <c r="I26" s="30"/>
    </row>
    <row r="27" spans="2:9">
      <c r="B27" s="30" t="s">
        <v>150</v>
      </c>
      <c r="C27" s="36">
        <v>2</v>
      </c>
      <c r="D27" s="19">
        <v>1040.8399999999999</v>
      </c>
      <c r="E27" s="21">
        <f t="shared" si="4"/>
        <v>6.5552687490769406E-3</v>
      </c>
      <c r="F27" s="30"/>
      <c r="G27" s="30"/>
      <c r="H27" s="19">
        <f t="shared" si="5"/>
        <v>520.41999999999996</v>
      </c>
      <c r="I27" s="30"/>
    </row>
    <row r="28" spans="2:9">
      <c r="B28" s="30" t="s">
        <v>151</v>
      </c>
      <c r="C28" s="36">
        <v>1</v>
      </c>
      <c r="D28" s="19">
        <v>245.19</v>
      </c>
      <c r="E28" s="21">
        <f t="shared" si="4"/>
        <v>1.5442203840995497E-3</v>
      </c>
      <c r="F28" s="30"/>
      <c r="G28" s="30"/>
      <c r="H28" s="19">
        <f t="shared" si="5"/>
        <v>245.19</v>
      </c>
      <c r="I28" s="30"/>
    </row>
    <row r="29" spans="2:9">
      <c r="B29" s="30" t="s">
        <v>152</v>
      </c>
      <c r="C29" s="36">
        <v>1</v>
      </c>
      <c r="D29" s="19">
        <v>210</v>
      </c>
      <c r="E29" s="21">
        <f t="shared" si="4"/>
        <v>1.32259178865739E-3</v>
      </c>
      <c r="F29" s="30"/>
      <c r="G29" s="30"/>
      <c r="H29" s="19">
        <f t="shared" si="5"/>
        <v>210</v>
      </c>
      <c r="I29" s="30"/>
    </row>
    <row r="30" spans="2:9">
      <c r="B30" s="30" t="s">
        <v>153</v>
      </c>
      <c r="C30" s="36">
        <v>3</v>
      </c>
      <c r="D30" s="19">
        <v>167.8</v>
      </c>
      <c r="E30" s="21">
        <f t="shared" si="4"/>
        <v>1.0568138196986193E-3</v>
      </c>
      <c r="F30" s="30"/>
      <c r="G30" s="30"/>
      <c r="H30" s="19">
        <f t="shared" si="5"/>
        <v>55.933333333333337</v>
      </c>
      <c r="I30" s="30"/>
    </row>
    <row r="31" spans="2:9">
      <c r="B31" s="30" t="s">
        <v>154</v>
      </c>
      <c r="C31" s="36">
        <v>1</v>
      </c>
      <c r="D31" s="19">
        <v>129</v>
      </c>
      <c r="E31" s="21">
        <f t="shared" si="4"/>
        <v>8.1244924160382519E-4</v>
      </c>
      <c r="F31" s="30"/>
      <c r="G31" s="30"/>
      <c r="H31" s="19">
        <f t="shared" si="5"/>
        <v>129</v>
      </c>
      <c r="I31" s="30"/>
    </row>
    <row r="32" spans="2:9">
      <c r="B32" s="30" t="s">
        <v>155</v>
      </c>
      <c r="C32" s="36">
        <v>2</v>
      </c>
      <c r="D32" s="19">
        <v>97.4</v>
      </c>
      <c r="E32" s="21">
        <f t="shared" si="4"/>
        <v>6.1343066769157042E-4</v>
      </c>
      <c r="F32" s="30"/>
      <c r="G32" s="30"/>
      <c r="H32" s="19">
        <f t="shared" si="5"/>
        <v>48.7</v>
      </c>
      <c r="I32" s="30"/>
    </row>
    <row r="33" spans="2:9">
      <c r="B33" s="30" t="s">
        <v>156</v>
      </c>
      <c r="C33" s="36">
        <v>1</v>
      </c>
      <c r="D33" s="19">
        <v>95.08</v>
      </c>
      <c r="E33" s="21">
        <f t="shared" si="4"/>
        <v>5.9881917745497444E-4</v>
      </c>
      <c r="F33" s="30"/>
      <c r="G33" s="30"/>
      <c r="H33" s="19">
        <f t="shared" si="5"/>
        <v>95.08</v>
      </c>
      <c r="I33" s="30"/>
    </row>
    <row r="34" spans="2:9">
      <c r="B34" s="18" t="s">
        <v>25</v>
      </c>
      <c r="C34" s="18">
        <v>98</v>
      </c>
      <c r="D34" s="25">
        <v>158779.15</v>
      </c>
      <c r="E34" s="27">
        <v>1</v>
      </c>
      <c r="F34" s="18"/>
      <c r="G34" s="18"/>
      <c r="H34" s="18"/>
      <c r="I34" s="18"/>
    </row>
    <row r="37" spans="2:9" ht="7.5" customHeight="1"/>
    <row r="38" spans="2:9">
      <c r="B38" s="6" t="s">
        <v>51</v>
      </c>
      <c r="C38" s="6"/>
      <c r="D38" s="6"/>
      <c r="E38" s="6"/>
      <c r="F38" s="6"/>
      <c r="G38" s="6"/>
      <c r="H38" s="6"/>
    </row>
    <row r="39" spans="2:9">
      <c r="B39" s="5" t="s">
        <v>52</v>
      </c>
      <c r="C39" s="5"/>
      <c r="D39" s="5"/>
      <c r="E39" s="5"/>
      <c r="F39" s="5"/>
      <c r="G39" s="5"/>
      <c r="H39" s="5"/>
    </row>
    <row r="40" spans="2:9">
      <c r="B40" s="5" t="s">
        <v>53</v>
      </c>
      <c r="C40" s="5"/>
      <c r="D40" s="5"/>
      <c r="E40" s="5"/>
      <c r="F40" s="5"/>
      <c r="G40" s="5"/>
      <c r="H40" s="5"/>
    </row>
    <row r="41" spans="2:9">
      <c r="B41" s="5" t="s">
        <v>157</v>
      </c>
      <c r="C41" s="5"/>
      <c r="D41" s="5"/>
      <c r="E41" s="5"/>
      <c r="F41" s="5"/>
      <c r="G41" s="5"/>
      <c r="H41" s="5"/>
    </row>
    <row r="42" spans="2:9">
      <c r="B42" s="5" t="s">
        <v>158</v>
      </c>
      <c r="C42" s="5"/>
      <c r="D42" s="5"/>
      <c r="E42" s="5"/>
      <c r="F42" s="5"/>
      <c r="G42" s="5"/>
      <c r="H42" s="5"/>
    </row>
  </sheetData>
  <mergeCells count="9">
    <mergeCell ref="B39:H39"/>
    <mergeCell ref="B40:H40"/>
    <mergeCell ref="B41:H41"/>
    <mergeCell ref="B42:H42"/>
    <mergeCell ref="B2:H2"/>
    <mergeCell ref="B3:H3"/>
    <mergeCell ref="B5:H5"/>
    <mergeCell ref="B19:H19"/>
    <mergeCell ref="B38:H3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6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30" customWidth="1"/>
    <col min="3" max="3" width="12" customWidth="1"/>
    <col min="4" max="4" width="16" customWidth="1"/>
    <col min="5" max="5" width="14" customWidth="1"/>
    <col min="6" max="6" width="16" customWidth="1"/>
    <col min="7" max="7" width="2" customWidth="1"/>
  </cols>
  <sheetData>
    <row r="2" spans="2:6" ht="25.5" customHeight="1">
      <c r="B2" s="4" t="s">
        <v>159</v>
      </c>
      <c r="C2" s="4"/>
      <c r="D2" s="4"/>
      <c r="E2" s="4"/>
      <c r="F2" s="4"/>
    </row>
    <row r="4" spans="2:6">
      <c r="B4" s="18" t="s">
        <v>160</v>
      </c>
      <c r="C4" s="18" t="s">
        <v>161</v>
      </c>
      <c r="D4" s="18" t="s">
        <v>162</v>
      </c>
      <c r="E4" s="18" t="s">
        <v>163</v>
      </c>
      <c r="F4" s="18" t="s">
        <v>164</v>
      </c>
    </row>
    <row r="5" spans="2:6">
      <c r="B5" s="30" t="s">
        <v>165</v>
      </c>
      <c r="C5" s="36">
        <v>609</v>
      </c>
      <c r="D5" s="19">
        <v>15870</v>
      </c>
      <c r="E5" s="42">
        <f t="shared" ref="E5:E27" si="0">IF(C5=0,0,D5/C5)</f>
        <v>26.059113300492612</v>
      </c>
      <c r="F5" s="16" t="s">
        <v>166</v>
      </c>
    </row>
    <row r="6" spans="2:6">
      <c r="B6" s="30" t="s">
        <v>167</v>
      </c>
      <c r="C6" s="36">
        <v>432.5</v>
      </c>
      <c r="D6" s="19">
        <v>10872</v>
      </c>
      <c r="E6" s="42">
        <f t="shared" si="0"/>
        <v>25.137572254335261</v>
      </c>
      <c r="F6" s="16" t="s">
        <v>166</v>
      </c>
    </row>
    <row r="7" spans="2:6">
      <c r="B7" s="30" t="s">
        <v>168</v>
      </c>
      <c r="C7" s="36">
        <v>416</v>
      </c>
      <c r="D7" s="19">
        <v>5264</v>
      </c>
      <c r="E7" s="42">
        <f t="shared" si="0"/>
        <v>12.653846153846153</v>
      </c>
      <c r="F7" s="15" t="s">
        <v>169</v>
      </c>
    </row>
    <row r="8" spans="2:6">
      <c r="B8" s="30" t="s">
        <v>170</v>
      </c>
      <c r="C8" s="36">
        <v>349</v>
      </c>
      <c r="D8" s="19">
        <v>7678</v>
      </c>
      <c r="E8" s="42">
        <f t="shared" si="0"/>
        <v>22</v>
      </c>
      <c r="F8" s="16" t="s">
        <v>166</v>
      </c>
    </row>
    <row r="9" spans="2:6">
      <c r="B9" s="30" t="s">
        <v>171</v>
      </c>
      <c r="C9" s="36">
        <v>304</v>
      </c>
      <c r="D9" s="19">
        <v>7600</v>
      </c>
      <c r="E9" s="42">
        <f t="shared" si="0"/>
        <v>25</v>
      </c>
      <c r="F9" s="16" t="s">
        <v>166</v>
      </c>
    </row>
    <row r="10" spans="2:6">
      <c r="B10" s="30" t="s">
        <v>172</v>
      </c>
      <c r="C10" s="36">
        <v>269</v>
      </c>
      <c r="D10" s="19">
        <v>3982</v>
      </c>
      <c r="E10" s="42">
        <f t="shared" si="0"/>
        <v>14.802973977695167</v>
      </c>
      <c r="F10" s="15" t="s">
        <v>169</v>
      </c>
    </row>
    <row r="11" spans="2:6">
      <c r="B11" s="30" t="s">
        <v>173</v>
      </c>
      <c r="C11" s="36">
        <v>236</v>
      </c>
      <c r="D11" s="19">
        <v>3304</v>
      </c>
      <c r="E11" s="42">
        <f t="shared" si="0"/>
        <v>14</v>
      </c>
      <c r="F11" s="15" t="s">
        <v>169</v>
      </c>
    </row>
    <row r="12" spans="2:6">
      <c r="B12" s="30" t="s">
        <v>174</v>
      </c>
      <c r="C12" s="36">
        <v>221</v>
      </c>
      <c r="D12" s="19">
        <v>2487</v>
      </c>
      <c r="E12" s="42">
        <f t="shared" si="0"/>
        <v>11.253393665158372</v>
      </c>
      <c r="F12" s="15" t="s">
        <v>169</v>
      </c>
    </row>
    <row r="13" spans="2:6">
      <c r="B13" s="30" t="s">
        <v>175</v>
      </c>
      <c r="C13" s="36">
        <v>210.5</v>
      </c>
      <c r="D13" s="19">
        <v>2859.5</v>
      </c>
      <c r="E13" s="42">
        <f t="shared" si="0"/>
        <v>13.584323040380047</v>
      </c>
      <c r="F13" s="15" t="s">
        <v>169</v>
      </c>
    </row>
    <row r="14" spans="2:6">
      <c r="B14" s="30" t="s">
        <v>176</v>
      </c>
      <c r="C14" s="36">
        <v>208</v>
      </c>
      <c r="D14" s="19">
        <v>4136</v>
      </c>
      <c r="E14" s="42">
        <f t="shared" si="0"/>
        <v>19.884615384615383</v>
      </c>
      <c r="F14" s="16" t="s">
        <v>166</v>
      </c>
    </row>
    <row r="15" spans="2:6">
      <c r="B15" s="30" t="s">
        <v>177</v>
      </c>
      <c r="C15" s="36">
        <v>192</v>
      </c>
      <c r="D15" s="19">
        <v>2880</v>
      </c>
      <c r="E15" s="42">
        <f t="shared" si="0"/>
        <v>15</v>
      </c>
      <c r="F15" s="15" t="s">
        <v>169</v>
      </c>
    </row>
    <row r="16" spans="2:6">
      <c r="B16" s="30" t="s">
        <v>178</v>
      </c>
      <c r="C16" s="36">
        <v>167</v>
      </c>
      <c r="D16" s="19">
        <v>5341</v>
      </c>
      <c r="E16" s="42">
        <f t="shared" si="0"/>
        <v>31.982035928143713</v>
      </c>
      <c r="F16" s="17" t="s">
        <v>179</v>
      </c>
    </row>
    <row r="17" spans="2:6">
      <c r="B17" s="30" t="s">
        <v>180</v>
      </c>
      <c r="C17" s="36">
        <v>160</v>
      </c>
      <c r="D17" s="19">
        <v>4000</v>
      </c>
      <c r="E17" s="42">
        <f t="shared" si="0"/>
        <v>25</v>
      </c>
      <c r="F17" s="16" t="s">
        <v>166</v>
      </c>
    </row>
    <row r="18" spans="2:6">
      <c r="B18" s="30" t="s">
        <v>181</v>
      </c>
      <c r="C18" s="36">
        <v>90.5</v>
      </c>
      <c r="D18" s="19">
        <v>2550.5</v>
      </c>
      <c r="E18" s="42">
        <f t="shared" si="0"/>
        <v>28.182320441988949</v>
      </c>
      <c r="F18" s="16" t="s">
        <v>166</v>
      </c>
    </row>
    <row r="19" spans="2:6">
      <c r="B19" s="30" t="s">
        <v>182</v>
      </c>
      <c r="C19" s="36">
        <v>88</v>
      </c>
      <c r="D19" s="19">
        <v>976</v>
      </c>
      <c r="E19" s="42">
        <f t="shared" si="0"/>
        <v>11.090909090909092</v>
      </c>
      <c r="F19" s="15" t="s">
        <v>169</v>
      </c>
    </row>
    <row r="20" spans="2:6">
      <c r="B20" s="30" t="s">
        <v>183</v>
      </c>
      <c r="C20" s="36">
        <v>80.5</v>
      </c>
      <c r="D20" s="19">
        <v>1620</v>
      </c>
      <c r="E20" s="42">
        <f t="shared" si="0"/>
        <v>20.124223602484474</v>
      </c>
      <c r="F20" s="16" t="s">
        <v>166</v>
      </c>
    </row>
    <row r="21" spans="2:6">
      <c r="B21" s="30" t="s">
        <v>184</v>
      </c>
      <c r="C21" s="36">
        <v>76.5</v>
      </c>
      <c r="D21" s="19">
        <v>1147.5</v>
      </c>
      <c r="E21" s="42">
        <f t="shared" si="0"/>
        <v>15</v>
      </c>
      <c r="F21" s="15" t="s">
        <v>169</v>
      </c>
    </row>
    <row r="22" spans="2:6">
      <c r="B22" s="30" t="s">
        <v>185</v>
      </c>
      <c r="C22" s="36">
        <v>44</v>
      </c>
      <c r="D22" s="19">
        <v>1100</v>
      </c>
      <c r="E22" s="42">
        <f t="shared" si="0"/>
        <v>25</v>
      </c>
      <c r="F22" s="16" t="s">
        <v>166</v>
      </c>
    </row>
    <row r="23" spans="2:6">
      <c r="B23" s="30" t="s">
        <v>186</v>
      </c>
      <c r="C23" s="36">
        <v>32</v>
      </c>
      <c r="D23" s="19">
        <v>704</v>
      </c>
      <c r="E23" s="42">
        <f t="shared" si="0"/>
        <v>22</v>
      </c>
      <c r="F23" s="16" t="s">
        <v>166</v>
      </c>
    </row>
    <row r="24" spans="2:6">
      <c r="B24" s="30" t="s">
        <v>187</v>
      </c>
      <c r="C24" s="36">
        <v>8</v>
      </c>
      <c r="D24" s="19">
        <v>88</v>
      </c>
      <c r="E24" s="42">
        <f t="shared" si="0"/>
        <v>11</v>
      </c>
      <c r="F24" s="15" t="s">
        <v>169</v>
      </c>
    </row>
    <row r="25" spans="2:6">
      <c r="B25" s="30" t="s">
        <v>188</v>
      </c>
      <c r="C25" s="36">
        <v>7</v>
      </c>
      <c r="D25" s="19">
        <v>224</v>
      </c>
      <c r="E25" s="42">
        <f t="shared" si="0"/>
        <v>32</v>
      </c>
      <c r="F25" s="17" t="s">
        <v>179</v>
      </c>
    </row>
    <row r="26" spans="2:6">
      <c r="B26" s="30" t="s">
        <v>189</v>
      </c>
      <c r="C26" s="36">
        <v>2</v>
      </c>
      <c r="D26" s="19">
        <v>-2</v>
      </c>
      <c r="E26" s="42">
        <f t="shared" si="0"/>
        <v>-1</v>
      </c>
      <c r="F26" s="15" t="s">
        <v>169</v>
      </c>
    </row>
    <row r="27" spans="2:6">
      <c r="B27" s="30" t="s">
        <v>190</v>
      </c>
      <c r="C27" s="36">
        <v>1.5</v>
      </c>
      <c r="D27" s="19">
        <v>16.5</v>
      </c>
      <c r="E27" s="42">
        <f t="shared" si="0"/>
        <v>11</v>
      </c>
      <c r="F27" s="15" t="s">
        <v>169</v>
      </c>
    </row>
    <row r="28" spans="2:6">
      <c r="B28" s="18" t="s">
        <v>191</v>
      </c>
      <c r="C28" s="43">
        <v>4204</v>
      </c>
      <c r="D28" s="25">
        <v>84698</v>
      </c>
      <c r="E28" s="44">
        <f>D28/C28</f>
        <v>20.147002854424358</v>
      </c>
      <c r="F28" s="18"/>
    </row>
    <row r="31" spans="2:6" ht="7.5" customHeight="1"/>
    <row r="32" spans="2:6">
      <c r="B32" s="6" t="s">
        <v>51</v>
      </c>
      <c r="C32" s="6"/>
      <c r="D32" s="6"/>
      <c r="E32" s="6"/>
      <c r="F32" s="6"/>
    </row>
    <row r="33" spans="2:6">
      <c r="B33" s="5" t="s">
        <v>52</v>
      </c>
      <c r="C33" s="5"/>
      <c r="D33" s="5"/>
      <c r="E33" s="5"/>
      <c r="F33" s="5"/>
    </row>
    <row r="34" spans="2:6">
      <c r="B34" s="5" t="s">
        <v>53</v>
      </c>
      <c r="C34" s="5"/>
      <c r="D34" s="5"/>
      <c r="E34" s="5"/>
      <c r="F34" s="5"/>
    </row>
    <row r="35" spans="2:6">
      <c r="B35" s="5" t="s">
        <v>192</v>
      </c>
      <c r="C35" s="5"/>
      <c r="D35" s="5"/>
      <c r="E35" s="5"/>
      <c r="F35" s="5"/>
    </row>
    <row r="36" spans="2:6">
      <c r="B36" s="5" t="s">
        <v>193</v>
      </c>
      <c r="C36" s="5"/>
      <c r="D36" s="5"/>
      <c r="E36" s="5"/>
      <c r="F36" s="5"/>
    </row>
  </sheetData>
  <mergeCells count="6">
    <mergeCell ref="B36:F36"/>
    <mergeCell ref="B2:F2"/>
    <mergeCell ref="B32:F32"/>
    <mergeCell ref="B33:F33"/>
    <mergeCell ref="B34:F34"/>
    <mergeCell ref="B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24"/>
  <sheetViews>
    <sheetView showGridLines="0" zoomScaleNormal="100" workbookViewId="0">
      <selection activeCell="F29" sqref="F29"/>
    </sheetView>
  </sheetViews>
  <sheetFormatPr baseColWidth="10" defaultColWidth="8.6640625" defaultRowHeight="15"/>
  <cols>
    <col min="1" max="1" width="2" customWidth="1"/>
    <col min="2" max="2" width="28" customWidth="1"/>
    <col min="3" max="3" width="18" customWidth="1"/>
    <col min="4" max="5" width="16" customWidth="1"/>
    <col min="6" max="6" width="30" customWidth="1"/>
    <col min="7" max="7" width="2" customWidth="1"/>
  </cols>
  <sheetData>
    <row r="2" spans="2:6" ht="25.5" customHeight="1">
      <c r="B2" s="4" t="s">
        <v>194</v>
      </c>
      <c r="C2" s="4"/>
      <c r="D2" s="4"/>
      <c r="E2" s="4"/>
      <c r="F2" s="4"/>
    </row>
    <row r="4" spans="2:6">
      <c r="B4" s="75" t="s">
        <v>195</v>
      </c>
      <c r="C4" s="75"/>
      <c r="D4" s="75"/>
      <c r="E4" s="75"/>
      <c r="F4" s="75"/>
    </row>
    <row r="5" spans="2:6">
      <c r="B5" s="18" t="s">
        <v>164</v>
      </c>
      <c r="C5" s="18" t="s">
        <v>196</v>
      </c>
      <c r="D5" s="18" t="s">
        <v>161</v>
      </c>
      <c r="E5" s="18" t="s">
        <v>162</v>
      </c>
      <c r="F5" s="18" t="s">
        <v>197</v>
      </c>
    </row>
    <row r="6" spans="2:6">
      <c r="B6" s="45" t="s">
        <v>179</v>
      </c>
      <c r="C6" s="30">
        <v>2</v>
      </c>
      <c r="D6" s="36">
        <v>174</v>
      </c>
      <c r="E6" s="19">
        <v>5565</v>
      </c>
      <c r="F6" s="21">
        <f>D6/4204</f>
        <v>4.1389153187440533E-2</v>
      </c>
    </row>
    <row r="7" spans="2:6">
      <c r="B7" s="35" t="s">
        <v>166</v>
      </c>
      <c r="C7" s="30">
        <v>10</v>
      </c>
      <c r="D7" s="36">
        <v>2309.5</v>
      </c>
      <c r="E7" s="19">
        <v>56130.5</v>
      </c>
      <c r="F7" s="21">
        <f>D7/4204</f>
        <v>0.54935775451950519</v>
      </c>
    </row>
    <row r="8" spans="2:6">
      <c r="B8" s="46" t="s">
        <v>169</v>
      </c>
      <c r="C8" s="30">
        <v>11</v>
      </c>
      <c r="D8" s="36">
        <v>1720.5</v>
      </c>
      <c r="E8" s="19">
        <v>23002.5</v>
      </c>
      <c r="F8" s="21">
        <f>D8/4204</f>
        <v>0.40925309229305423</v>
      </c>
    </row>
    <row r="11" spans="2:6">
      <c r="B11" s="70" t="s">
        <v>198</v>
      </c>
      <c r="C11" s="70"/>
      <c r="D11" s="70"/>
      <c r="E11" s="70"/>
      <c r="F11" s="70"/>
    </row>
    <row r="12" spans="2:6">
      <c r="B12" s="30" t="s">
        <v>199</v>
      </c>
      <c r="C12" s="47">
        <v>20.1470028544244</v>
      </c>
      <c r="F12" s="48" t="s">
        <v>200</v>
      </c>
    </row>
    <row r="13" spans="2:6">
      <c r="B13" s="30" t="s">
        <v>201</v>
      </c>
      <c r="C13" s="47">
        <v>30.5125024295433</v>
      </c>
      <c r="F13" s="48" t="s">
        <v>202</v>
      </c>
    </row>
    <row r="14" spans="2:6">
      <c r="B14" s="30" t="s">
        <v>203</v>
      </c>
      <c r="C14" s="49">
        <v>1.51449337899124</v>
      </c>
      <c r="F14" s="48" t="s">
        <v>204</v>
      </c>
    </row>
    <row r="15" spans="2:6">
      <c r="B15" s="30" t="s">
        <v>205</v>
      </c>
      <c r="C15" s="47">
        <v>-1</v>
      </c>
      <c r="F15" s="48" t="s">
        <v>206</v>
      </c>
    </row>
    <row r="16" spans="2:6">
      <c r="B16" s="30" t="s">
        <v>207</v>
      </c>
      <c r="C16" s="47">
        <v>32</v>
      </c>
      <c r="F16" s="48" t="s">
        <v>208</v>
      </c>
    </row>
    <row r="17" spans="2:6">
      <c r="B17" s="30" t="s">
        <v>209</v>
      </c>
      <c r="C17" s="50">
        <v>182.78260869565199</v>
      </c>
      <c r="F17" s="48" t="s">
        <v>210</v>
      </c>
    </row>
    <row r="20" spans="2:6" ht="7.5" customHeight="1"/>
    <row r="21" spans="2:6">
      <c r="B21" s="6" t="s">
        <v>51</v>
      </c>
      <c r="C21" s="6"/>
      <c r="D21" s="6"/>
      <c r="E21" s="6"/>
      <c r="F21" s="6"/>
    </row>
    <row r="22" spans="2:6">
      <c r="B22" s="5" t="s">
        <v>52</v>
      </c>
      <c r="C22" s="5"/>
      <c r="D22" s="5"/>
      <c r="E22" s="5"/>
      <c r="F22" s="5"/>
    </row>
    <row r="23" spans="2:6">
      <c r="B23" s="5" t="s">
        <v>53</v>
      </c>
      <c r="C23" s="5"/>
      <c r="D23" s="5"/>
      <c r="E23" s="5"/>
      <c r="F23" s="5"/>
    </row>
    <row r="24" spans="2:6">
      <c r="B24" s="5" t="s">
        <v>211</v>
      </c>
      <c r="C24" s="5"/>
      <c r="D24" s="5"/>
      <c r="E24" s="5"/>
      <c r="F24" s="5"/>
    </row>
  </sheetData>
  <mergeCells count="7">
    <mergeCell ref="B23:F23"/>
    <mergeCell ref="B24:F24"/>
    <mergeCell ref="B2:F2"/>
    <mergeCell ref="B4:F4"/>
    <mergeCell ref="B11:F11"/>
    <mergeCell ref="B21:F21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36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32" customWidth="1"/>
    <col min="3" max="5" width="18" customWidth="1"/>
    <col min="6" max="6" width="28" customWidth="1"/>
    <col min="7" max="7" width="2" customWidth="1"/>
  </cols>
  <sheetData>
    <row r="2" spans="2:6" ht="25.5" customHeight="1">
      <c r="B2" s="4" t="s">
        <v>212</v>
      </c>
      <c r="C2" s="4"/>
      <c r="D2" s="4"/>
      <c r="E2" s="4"/>
      <c r="F2" s="4"/>
    </row>
    <row r="4" spans="2:6">
      <c r="B4" s="75" t="s">
        <v>213</v>
      </c>
      <c r="C4" s="75"/>
      <c r="D4" s="75"/>
      <c r="E4" s="75"/>
      <c r="F4" s="75"/>
    </row>
    <row r="5" spans="2:6">
      <c r="B5" s="18" t="s">
        <v>214</v>
      </c>
      <c r="C5" s="18" t="s">
        <v>215</v>
      </c>
      <c r="D5" s="18" t="s">
        <v>161</v>
      </c>
      <c r="E5" s="18" t="s">
        <v>216</v>
      </c>
      <c r="F5" s="18" t="s">
        <v>217</v>
      </c>
    </row>
    <row r="6" spans="2:6">
      <c r="B6" s="30" t="s">
        <v>218</v>
      </c>
      <c r="C6" s="30" t="s">
        <v>63</v>
      </c>
      <c r="D6" s="36">
        <v>76</v>
      </c>
      <c r="E6" s="21">
        <f t="shared" ref="E6:E16" si="0">D6/4116</f>
        <v>1.84645286686103E-2</v>
      </c>
      <c r="F6" s="51">
        <f t="shared" ref="F6:F17" si="1">D6/168</f>
        <v>0.45238095238095238</v>
      </c>
    </row>
    <row r="7" spans="2:6">
      <c r="B7" s="30" t="s">
        <v>66</v>
      </c>
      <c r="C7" s="30" t="s">
        <v>65</v>
      </c>
      <c r="D7" s="36">
        <v>90</v>
      </c>
      <c r="E7" s="21">
        <f t="shared" si="0"/>
        <v>2.1865889212827987E-2</v>
      </c>
      <c r="F7" s="51">
        <f t="shared" si="1"/>
        <v>0.5357142857142857</v>
      </c>
    </row>
    <row r="8" spans="2:6">
      <c r="B8" s="30" t="s">
        <v>219</v>
      </c>
      <c r="C8" s="30" t="s">
        <v>67</v>
      </c>
      <c r="D8" s="36">
        <v>40</v>
      </c>
      <c r="E8" s="21">
        <f t="shared" si="0"/>
        <v>9.7181729834791061E-3</v>
      </c>
      <c r="F8" s="51">
        <f t="shared" si="1"/>
        <v>0.23809523809523808</v>
      </c>
    </row>
    <row r="9" spans="2:6">
      <c r="B9" s="30" t="s">
        <v>220</v>
      </c>
      <c r="C9" s="30" t="s">
        <v>69</v>
      </c>
      <c r="D9" s="36">
        <v>213.5</v>
      </c>
      <c r="E9" s="21">
        <f t="shared" si="0"/>
        <v>5.187074829931973E-2</v>
      </c>
      <c r="F9" s="51">
        <f t="shared" si="1"/>
        <v>1.2708333333333333</v>
      </c>
    </row>
    <row r="10" spans="2:6">
      <c r="B10" s="30" t="s">
        <v>221</v>
      </c>
      <c r="C10" s="30" t="s">
        <v>71</v>
      </c>
      <c r="D10" s="36">
        <v>488</v>
      </c>
      <c r="E10" s="21">
        <f t="shared" si="0"/>
        <v>0.1185617103984451</v>
      </c>
      <c r="F10" s="51">
        <f t="shared" si="1"/>
        <v>2.9047619047619047</v>
      </c>
    </row>
    <row r="11" spans="2:6">
      <c r="B11" s="30" t="s">
        <v>222</v>
      </c>
      <c r="C11" s="30" t="s">
        <v>73</v>
      </c>
      <c r="D11" s="36">
        <v>69.5</v>
      </c>
      <c r="E11" s="21">
        <f t="shared" si="0"/>
        <v>1.6885325558794947E-2</v>
      </c>
      <c r="F11" s="51">
        <f t="shared" si="1"/>
        <v>0.41369047619047616</v>
      </c>
    </row>
    <row r="12" spans="2:6">
      <c r="B12" s="30" t="s">
        <v>223</v>
      </c>
      <c r="C12" s="30" t="s">
        <v>75</v>
      </c>
      <c r="D12" s="36">
        <v>2311</v>
      </c>
      <c r="E12" s="21">
        <f t="shared" si="0"/>
        <v>0.56146744412050531</v>
      </c>
      <c r="F12" s="51">
        <f t="shared" si="1"/>
        <v>13.755952380952381</v>
      </c>
    </row>
    <row r="13" spans="2:6">
      <c r="B13" s="30" t="s">
        <v>224</v>
      </c>
      <c r="C13" s="30" t="s">
        <v>77</v>
      </c>
      <c r="D13" s="36">
        <v>557.5</v>
      </c>
      <c r="E13" s="21">
        <f t="shared" si="0"/>
        <v>0.13544703595724003</v>
      </c>
      <c r="F13" s="51">
        <f t="shared" si="1"/>
        <v>3.3184523809523809</v>
      </c>
    </row>
    <row r="14" spans="2:6">
      <c r="B14" s="30" t="s">
        <v>225</v>
      </c>
      <c r="C14" s="30" t="s">
        <v>79</v>
      </c>
      <c r="D14" s="36">
        <v>16</v>
      </c>
      <c r="E14" s="21">
        <f t="shared" si="0"/>
        <v>3.8872691933916422E-3</v>
      </c>
      <c r="F14" s="51">
        <f t="shared" si="1"/>
        <v>9.5238095238095233E-2</v>
      </c>
    </row>
    <row r="15" spans="2:6">
      <c r="B15" s="30" t="s">
        <v>226</v>
      </c>
      <c r="C15" s="30" t="s">
        <v>81</v>
      </c>
      <c r="D15" s="36">
        <v>63</v>
      </c>
      <c r="E15" s="21">
        <f t="shared" si="0"/>
        <v>1.5306122448979591E-2</v>
      </c>
      <c r="F15" s="51">
        <f t="shared" si="1"/>
        <v>0.375</v>
      </c>
    </row>
    <row r="16" spans="2:6">
      <c r="B16" s="30" t="s">
        <v>227</v>
      </c>
      <c r="C16" s="30" t="s">
        <v>83</v>
      </c>
      <c r="D16" s="36">
        <v>187.5</v>
      </c>
      <c r="E16" s="21">
        <f t="shared" si="0"/>
        <v>4.5553935860058306E-2</v>
      </c>
      <c r="F16" s="51">
        <f t="shared" si="1"/>
        <v>1.1160714285714286</v>
      </c>
    </row>
    <row r="17" spans="2:6">
      <c r="B17" s="18" t="s">
        <v>25</v>
      </c>
      <c r="C17" s="18"/>
      <c r="D17" s="43">
        <v>4116</v>
      </c>
      <c r="E17" s="27">
        <v>1</v>
      </c>
      <c r="F17" s="52">
        <f t="shared" si="1"/>
        <v>24.5</v>
      </c>
    </row>
    <row r="20" spans="2:6">
      <c r="B20" s="70" t="s">
        <v>228</v>
      </c>
      <c r="C20" s="70"/>
      <c r="D20" s="70"/>
      <c r="E20" s="70"/>
      <c r="F20" s="70"/>
    </row>
    <row r="21" spans="2:6">
      <c r="B21" s="18" t="s">
        <v>27</v>
      </c>
      <c r="C21" s="18" t="s">
        <v>28</v>
      </c>
      <c r="D21" s="18" t="s">
        <v>229</v>
      </c>
      <c r="E21" s="18"/>
      <c r="F21" s="18" t="s">
        <v>230</v>
      </c>
    </row>
    <row r="22" spans="2:6">
      <c r="B22" s="30" t="s">
        <v>217</v>
      </c>
      <c r="C22" s="53">
        <v>24.5</v>
      </c>
      <c r="D22" s="28" t="s">
        <v>231</v>
      </c>
      <c r="F22" s="48" t="s">
        <v>232</v>
      </c>
    </row>
    <row r="23" spans="2:6">
      <c r="B23" s="30" t="s">
        <v>233</v>
      </c>
      <c r="C23" s="53">
        <v>5.0689655172413799</v>
      </c>
      <c r="D23" s="28" t="s">
        <v>231</v>
      </c>
      <c r="F23" s="48" t="s">
        <v>234</v>
      </c>
    </row>
    <row r="24" spans="2:6">
      <c r="B24" s="30" t="s">
        <v>235</v>
      </c>
      <c r="C24" s="54">
        <v>95.774538386783306</v>
      </c>
      <c r="D24" s="28" t="s">
        <v>236</v>
      </c>
      <c r="F24" s="48" t="s">
        <v>237</v>
      </c>
    </row>
    <row r="25" spans="2:6">
      <c r="B25" s="30" t="s">
        <v>238</v>
      </c>
      <c r="C25" s="54">
        <v>25.828231292517</v>
      </c>
      <c r="D25" s="28" t="s">
        <v>236</v>
      </c>
      <c r="F25" s="48" t="s">
        <v>239</v>
      </c>
    </row>
    <row r="26" spans="2:6">
      <c r="B26" s="30" t="s">
        <v>240</v>
      </c>
      <c r="C26" s="53">
        <v>10.5</v>
      </c>
      <c r="D26" s="28" t="s">
        <v>241</v>
      </c>
      <c r="F26" s="48" t="s">
        <v>242</v>
      </c>
    </row>
    <row r="27" spans="2:6">
      <c r="B27" s="30" t="s">
        <v>243</v>
      </c>
      <c r="C27" s="53">
        <v>50.75</v>
      </c>
      <c r="D27" s="28" t="s">
        <v>244</v>
      </c>
      <c r="F27" s="48" t="s">
        <v>245</v>
      </c>
    </row>
    <row r="28" spans="2:6">
      <c r="B28" s="30" t="s">
        <v>246</v>
      </c>
      <c r="C28" s="53">
        <v>257.25</v>
      </c>
      <c r="D28" s="28" t="s">
        <v>231</v>
      </c>
      <c r="F28" s="48" t="s">
        <v>247</v>
      </c>
    </row>
    <row r="29" spans="2:6">
      <c r="B29" s="30" t="s">
        <v>248</v>
      </c>
      <c r="C29" s="54">
        <v>24638</v>
      </c>
      <c r="D29" s="28" t="s">
        <v>236</v>
      </c>
      <c r="F29" s="48" t="s">
        <v>249</v>
      </c>
    </row>
    <row r="32" spans="2:6" ht="7.5" customHeight="1"/>
    <row r="33" spans="2:6">
      <c r="B33" s="6" t="s">
        <v>51</v>
      </c>
      <c r="C33" s="6"/>
      <c r="D33" s="6"/>
      <c r="E33" s="6"/>
      <c r="F33" s="6"/>
    </row>
    <row r="34" spans="2:6">
      <c r="B34" s="5" t="s">
        <v>52</v>
      </c>
      <c r="C34" s="5"/>
      <c r="D34" s="5"/>
      <c r="E34" s="5"/>
      <c r="F34" s="5"/>
    </row>
    <row r="35" spans="2:6">
      <c r="B35" s="5" t="s">
        <v>53</v>
      </c>
      <c r="C35" s="5"/>
      <c r="D35" s="5"/>
      <c r="E35" s="5"/>
      <c r="F35" s="5"/>
    </row>
    <row r="36" spans="2:6">
      <c r="B36" s="5" t="s">
        <v>250</v>
      </c>
      <c r="C36" s="5"/>
      <c r="D36" s="5"/>
      <c r="E36" s="5"/>
      <c r="F36" s="5"/>
    </row>
  </sheetData>
  <mergeCells count="7">
    <mergeCell ref="B35:F35"/>
    <mergeCell ref="B36:F36"/>
    <mergeCell ref="B2:F2"/>
    <mergeCell ref="B4:F4"/>
    <mergeCell ref="B20:F20"/>
    <mergeCell ref="B33:F33"/>
    <mergeCell ref="B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8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10" customWidth="1"/>
    <col min="3" max="3" width="44" customWidth="1"/>
    <col min="4" max="4" width="18" customWidth="1"/>
    <col min="5" max="5" width="12" customWidth="1"/>
    <col min="6" max="6" width="14" customWidth="1"/>
    <col min="7" max="7" width="2" customWidth="1"/>
  </cols>
  <sheetData>
    <row r="2" spans="2:6" ht="25.5" customHeight="1">
      <c r="B2" s="4" t="s">
        <v>251</v>
      </c>
      <c r="C2" s="4"/>
      <c r="D2" s="4"/>
      <c r="E2" s="4"/>
      <c r="F2" s="4"/>
    </row>
    <row r="3" spans="2:6">
      <c r="B3" s="73" t="s">
        <v>252</v>
      </c>
      <c r="C3" s="73"/>
      <c r="D3" s="73"/>
      <c r="E3" s="73"/>
      <c r="F3" s="73"/>
    </row>
    <row r="5" spans="2:6">
      <c r="B5" s="70" t="s">
        <v>253</v>
      </c>
      <c r="C5" s="70"/>
      <c r="D5" s="70"/>
      <c r="E5" s="70"/>
      <c r="F5" s="70"/>
    </row>
    <row r="6" spans="2:6">
      <c r="B6" s="18" t="s">
        <v>254</v>
      </c>
      <c r="C6" s="18" t="s">
        <v>255</v>
      </c>
      <c r="D6" s="18" t="s">
        <v>256</v>
      </c>
      <c r="E6" s="18" t="s">
        <v>257</v>
      </c>
      <c r="F6" s="18" t="s">
        <v>258</v>
      </c>
    </row>
    <row r="7" spans="2:6">
      <c r="B7" s="30" t="s">
        <v>259</v>
      </c>
      <c r="C7" s="30" t="s">
        <v>260</v>
      </c>
      <c r="D7" s="55">
        <v>3</v>
      </c>
      <c r="E7" s="19">
        <v>2612.0189999999998</v>
      </c>
      <c r="F7" s="19">
        <v>2613.58</v>
      </c>
    </row>
    <row r="8" spans="2:6">
      <c r="B8" s="30" t="s">
        <v>261</v>
      </c>
      <c r="C8" s="30" t="s">
        <v>262</v>
      </c>
      <c r="D8" s="55">
        <v>10</v>
      </c>
      <c r="E8" s="19">
        <v>18171.282200000001</v>
      </c>
      <c r="F8" s="19">
        <v>30742.47</v>
      </c>
    </row>
    <row r="9" spans="2:6">
      <c r="B9" s="30" t="s">
        <v>263</v>
      </c>
      <c r="C9" s="30" t="s">
        <v>264</v>
      </c>
      <c r="D9" s="55">
        <v>25</v>
      </c>
      <c r="E9" s="19">
        <v>115795.84225</v>
      </c>
      <c r="F9" s="19">
        <v>109975.66</v>
      </c>
    </row>
    <row r="10" spans="2:6">
      <c r="B10" s="30" t="s">
        <v>265</v>
      </c>
      <c r="C10" s="30" t="s">
        <v>266</v>
      </c>
      <c r="D10" s="55">
        <v>8</v>
      </c>
      <c r="E10" s="19">
        <v>9874.1044000000002</v>
      </c>
      <c r="F10" s="19">
        <v>3972.94</v>
      </c>
    </row>
    <row r="11" spans="2:6">
      <c r="B11" s="30" t="s">
        <v>267</v>
      </c>
      <c r="C11" s="30" t="s">
        <v>268</v>
      </c>
      <c r="D11" s="55">
        <v>1</v>
      </c>
      <c r="E11" s="19">
        <v>4439.8</v>
      </c>
      <c r="F11" s="19">
        <v>2749.23</v>
      </c>
    </row>
    <row r="12" spans="2:6">
      <c r="B12" s="30" t="s">
        <v>269</v>
      </c>
      <c r="C12" s="30" t="s">
        <v>270</v>
      </c>
      <c r="D12" s="55">
        <v>1</v>
      </c>
      <c r="E12" s="19">
        <v>356.07639999999998</v>
      </c>
      <c r="F12" s="19">
        <v>369.06</v>
      </c>
    </row>
    <row r="13" spans="2:6">
      <c r="B13" s="30" t="s">
        <v>271</v>
      </c>
      <c r="C13" s="30" t="s">
        <v>272</v>
      </c>
      <c r="D13" s="55">
        <v>1</v>
      </c>
      <c r="E13" s="19">
        <v>2776.1129999999998</v>
      </c>
      <c r="F13" s="19">
        <v>0</v>
      </c>
    </row>
    <row r="14" spans="2:6">
      <c r="B14" s="18" t="s">
        <v>25</v>
      </c>
      <c r="C14" s="18"/>
      <c r="D14" s="18">
        <v>49</v>
      </c>
      <c r="E14" s="25">
        <v>154025.23725000001</v>
      </c>
      <c r="F14" s="25">
        <v>151064.39000000001</v>
      </c>
    </row>
    <row r="16" spans="2:6">
      <c r="B16" s="75" t="s">
        <v>273</v>
      </c>
      <c r="C16" s="75"/>
      <c r="D16" s="75"/>
      <c r="E16" s="75"/>
      <c r="F16" s="75"/>
    </row>
    <row r="17" spans="2:6">
      <c r="B17" s="76" t="s">
        <v>274</v>
      </c>
      <c r="C17" s="76"/>
      <c r="D17" s="76"/>
      <c r="E17" s="56">
        <v>151064.39000000001</v>
      </c>
    </row>
    <row r="18" spans="2:6">
      <c r="B18" s="76" t="s">
        <v>275</v>
      </c>
      <c r="C18" s="76"/>
      <c r="D18" s="76"/>
      <c r="E18" s="56">
        <v>154025.23725000001</v>
      </c>
    </row>
    <row r="19" spans="2:6">
      <c r="B19" s="76" t="s">
        <v>276</v>
      </c>
      <c r="C19" s="76"/>
      <c r="D19" s="76"/>
      <c r="E19" s="57">
        <v>1.01959990206825</v>
      </c>
    </row>
    <row r="20" spans="2:6">
      <c r="B20" s="76" t="s">
        <v>277</v>
      </c>
      <c r="C20" s="76"/>
      <c r="D20" s="76"/>
      <c r="E20" s="56">
        <v>-2960.8472499999598</v>
      </c>
    </row>
    <row r="23" spans="2:6" ht="7.5" customHeight="1"/>
    <row r="24" spans="2:6">
      <c r="B24" s="6" t="s">
        <v>51</v>
      </c>
      <c r="C24" s="6"/>
      <c r="D24" s="6"/>
      <c r="E24" s="6"/>
      <c r="F24" s="6"/>
    </row>
    <row r="25" spans="2:6">
      <c r="B25" s="5" t="s">
        <v>52</v>
      </c>
      <c r="C25" s="5"/>
      <c r="D25" s="5"/>
      <c r="E25" s="5"/>
      <c r="F25" s="5"/>
    </row>
    <row r="26" spans="2:6">
      <c r="B26" s="5" t="s">
        <v>53</v>
      </c>
      <c r="C26" s="5"/>
      <c r="D26" s="5"/>
      <c r="E26" s="5"/>
      <c r="F26" s="5"/>
    </row>
    <row r="27" spans="2:6">
      <c r="B27" s="5" t="s">
        <v>278</v>
      </c>
      <c r="C27" s="5"/>
      <c r="D27" s="5"/>
      <c r="E27" s="5"/>
      <c r="F27" s="5"/>
    </row>
    <row r="28" spans="2:6">
      <c r="B28" s="5" t="s">
        <v>279</v>
      </c>
      <c r="C28" s="5"/>
      <c r="D28" s="5"/>
      <c r="E28" s="5"/>
      <c r="F28" s="5"/>
    </row>
  </sheetData>
  <mergeCells count="13">
    <mergeCell ref="B26:F26"/>
    <mergeCell ref="B27:F27"/>
    <mergeCell ref="B28:F28"/>
    <mergeCell ref="B18:D18"/>
    <mergeCell ref="B19:D19"/>
    <mergeCell ref="B20:D20"/>
    <mergeCell ref="B24:F24"/>
    <mergeCell ref="B25:F25"/>
    <mergeCell ref="B2:F2"/>
    <mergeCell ref="B3:F3"/>
    <mergeCell ref="B5:F5"/>
    <mergeCell ref="B16:F16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37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8" customWidth="1"/>
    <col min="3" max="3" width="14" customWidth="1"/>
    <col min="4" max="6" width="16" customWidth="1"/>
    <col min="7" max="7" width="14" customWidth="1"/>
    <col min="8" max="8" width="2" customWidth="1"/>
  </cols>
  <sheetData>
    <row r="2" spans="2:7" ht="25.5" customHeight="1">
      <c r="B2" s="4" t="s">
        <v>280</v>
      </c>
      <c r="C2" s="4"/>
      <c r="D2" s="4"/>
      <c r="E2" s="4"/>
      <c r="F2" s="4"/>
      <c r="G2" s="4"/>
    </row>
    <row r="3" spans="2:7">
      <c r="B3" s="73" t="s">
        <v>281</v>
      </c>
      <c r="C3" s="73"/>
      <c r="D3" s="73"/>
      <c r="E3" s="73"/>
      <c r="F3" s="73"/>
      <c r="G3" s="73"/>
    </row>
    <row r="5" spans="2:7">
      <c r="B5" s="72" t="s">
        <v>282</v>
      </c>
      <c r="C5" s="72"/>
      <c r="D5" s="72"/>
      <c r="E5" s="72"/>
      <c r="F5" s="72"/>
      <c r="G5" s="72"/>
    </row>
    <row r="6" spans="2:7">
      <c r="B6" s="76" t="s">
        <v>283</v>
      </c>
      <c r="C6" s="76"/>
      <c r="D6" s="76"/>
      <c r="E6" s="76"/>
      <c r="F6" s="56">
        <v>384900</v>
      </c>
    </row>
    <row r="7" spans="2:7">
      <c r="B7" s="76" t="s">
        <v>284</v>
      </c>
      <c r="C7" s="76"/>
      <c r="D7" s="76"/>
      <c r="E7" s="76"/>
      <c r="F7" s="58">
        <v>7308</v>
      </c>
    </row>
    <row r="8" spans="2:7">
      <c r="B8" s="76" t="s">
        <v>285</v>
      </c>
      <c r="C8" s="76"/>
      <c r="D8" s="76"/>
      <c r="E8" s="76"/>
      <c r="F8" s="58">
        <v>576</v>
      </c>
    </row>
    <row r="9" spans="2:7">
      <c r="B9" s="76" t="s">
        <v>286</v>
      </c>
      <c r="C9" s="76"/>
      <c r="D9" s="76"/>
      <c r="E9" s="76"/>
      <c r="F9" s="58">
        <v>1424</v>
      </c>
    </row>
    <row r="10" spans="2:7">
      <c r="B10" s="77" t="s">
        <v>287</v>
      </c>
      <c r="C10" s="77"/>
      <c r="D10" s="77"/>
      <c r="E10" s="77"/>
      <c r="F10" s="25">
        <v>394208</v>
      </c>
    </row>
    <row r="11" spans="2:7">
      <c r="B11" s="76" t="s">
        <v>288</v>
      </c>
      <c r="C11" s="76"/>
      <c r="D11" s="76"/>
      <c r="E11" s="76"/>
      <c r="F11" s="59">
        <v>19710</v>
      </c>
    </row>
    <row r="12" spans="2:7">
      <c r="B12" s="78" t="s">
        <v>289</v>
      </c>
      <c r="C12" s="78"/>
      <c r="D12" s="78"/>
      <c r="E12" s="78"/>
      <c r="F12" s="60">
        <v>374498</v>
      </c>
    </row>
    <row r="15" spans="2:7">
      <c r="B15" s="70" t="s">
        <v>290</v>
      </c>
      <c r="C15" s="70"/>
      <c r="D15" s="70"/>
      <c r="E15" s="70"/>
      <c r="F15" s="70"/>
      <c r="G15" s="70"/>
    </row>
    <row r="16" spans="2:7">
      <c r="B16" s="18" t="s">
        <v>291</v>
      </c>
      <c r="C16" s="18" t="s">
        <v>292</v>
      </c>
      <c r="D16" s="18" t="s">
        <v>293</v>
      </c>
      <c r="E16" s="18" t="s">
        <v>294</v>
      </c>
      <c r="F16" s="18" t="s">
        <v>295</v>
      </c>
      <c r="G16" s="18" t="s">
        <v>296</v>
      </c>
    </row>
    <row r="17" spans="2:7">
      <c r="B17" s="30">
        <v>1</v>
      </c>
      <c r="C17" s="19">
        <v>392208</v>
      </c>
      <c r="D17" s="19">
        <v>12200</v>
      </c>
      <c r="E17" s="21">
        <f t="shared" ref="E17:E28" si="0">IF(C17=0,0,D17/C17)</f>
        <v>3.1105943784930444E-2</v>
      </c>
      <c r="F17" s="19">
        <v>610</v>
      </c>
      <c r="G17" s="20">
        <v>12200</v>
      </c>
    </row>
    <row r="18" spans="2:7">
      <c r="B18" s="30">
        <v>2</v>
      </c>
      <c r="C18" s="19">
        <v>392208</v>
      </c>
      <c r="D18" s="19">
        <v>51700</v>
      </c>
      <c r="E18" s="21">
        <f t="shared" si="0"/>
        <v>0.13181781095745115</v>
      </c>
      <c r="F18" s="19">
        <v>2585</v>
      </c>
      <c r="G18" s="20">
        <v>39500</v>
      </c>
    </row>
    <row r="19" spans="2:7">
      <c r="B19" s="30">
        <v>3</v>
      </c>
      <c r="C19" s="19">
        <v>392208</v>
      </c>
      <c r="D19" s="19">
        <v>60000</v>
      </c>
      <c r="E19" s="21">
        <f t="shared" si="0"/>
        <v>0.15298005140129728</v>
      </c>
      <c r="F19" s="19">
        <v>3000</v>
      </c>
      <c r="G19" s="20">
        <v>8300</v>
      </c>
    </row>
    <row r="20" spans="2:7">
      <c r="B20" s="30">
        <v>4</v>
      </c>
      <c r="C20" s="19">
        <v>392208</v>
      </c>
      <c r="D20" s="19">
        <v>148500</v>
      </c>
      <c r="E20" s="21">
        <f t="shared" si="0"/>
        <v>0.37862562721821075</v>
      </c>
      <c r="F20" s="19">
        <v>7425</v>
      </c>
      <c r="G20" s="20">
        <v>88500</v>
      </c>
    </row>
    <row r="21" spans="2:7">
      <c r="B21" s="30">
        <v>5</v>
      </c>
      <c r="C21" s="19">
        <v>392208</v>
      </c>
      <c r="D21" s="19">
        <v>260980</v>
      </c>
      <c r="E21" s="21">
        <f t="shared" si="0"/>
        <v>0.66541223024517604</v>
      </c>
      <c r="F21" s="19">
        <v>13049</v>
      </c>
      <c r="G21" s="20">
        <v>112480</v>
      </c>
    </row>
    <row r="22" spans="2:7">
      <c r="B22" s="30">
        <v>6</v>
      </c>
      <c r="C22" s="19">
        <v>392208</v>
      </c>
      <c r="D22" s="19">
        <v>274230</v>
      </c>
      <c r="E22" s="21">
        <f t="shared" si="0"/>
        <v>0.69919532492962921</v>
      </c>
      <c r="F22" s="19">
        <v>13711.5</v>
      </c>
      <c r="G22" s="20">
        <v>13250</v>
      </c>
    </row>
    <row r="23" spans="2:7">
      <c r="B23" s="30">
        <v>7</v>
      </c>
      <c r="C23" s="19">
        <v>392208</v>
      </c>
      <c r="D23" s="19">
        <v>302715</v>
      </c>
      <c r="E23" s="21">
        <f t="shared" si="0"/>
        <v>0.77182260433239502</v>
      </c>
      <c r="F23" s="19">
        <v>15135.75</v>
      </c>
      <c r="G23" s="20">
        <v>28485</v>
      </c>
    </row>
    <row r="24" spans="2:7">
      <c r="B24" s="30">
        <v>8</v>
      </c>
      <c r="C24" s="19">
        <v>392208</v>
      </c>
      <c r="D24" s="19">
        <v>309115</v>
      </c>
      <c r="E24" s="21">
        <f t="shared" si="0"/>
        <v>0.7881404764818668</v>
      </c>
      <c r="F24" s="19">
        <v>15455.75</v>
      </c>
      <c r="G24" s="20">
        <v>6400</v>
      </c>
    </row>
    <row r="25" spans="2:7">
      <c r="B25" s="30">
        <v>9</v>
      </c>
      <c r="C25" s="19">
        <v>392208</v>
      </c>
      <c r="D25" s="19">
        <v>357290</v>
      </c>
      <c r="E25" s="21">
        <f t="shared" si="0"/>
        <v>0.91097070941949165</v>
      </c>
      <c r="F25" s="19">
        <v>17864.5</v>
      </c>
      <c r="G25" s="20">
        <v>48175</v>
      </c>
    </row>
    <row r="26" spans="2:7">
      <c r="B26" s="30">
        <v>10</v>
      </c>
      <c r="C26" s="19">
        <v>392784</v>
      </c>
      <c r="D26" s="19">
        <v>392784</v>
      </c>
      <c r="E26" s="21">
        <f t="shared" si="0"/>
        <v>1</v>
      </c>
      <c r="F26" s="19">
        <v>19639.2</v>
      </c>
      <c r="G26" s="20">
        <v>35494</v>
      </c>
    </row>
    <row r="27" spans="2:7">
      <c r="B27" s="30">
        <v>11</v>
      </c>
      <c r="C27" s="19">
        <v>394208</v>
      </c>
      <c r="D27" s="19">
        <v>394208</v>
      </c>
      <c r="E27" s="21">
        <f t="shared" si="0"/>
        <v>1</v>
      </c>
      <c r="F27" s="19">
        <v>19710.400000000001</v>
      </c>
      <c r="G27" s="20">
        <v>1424</v>
      </c>
    </row>
    <row r="28" spans="2:7">
      <c r="B28" s="30">
        <v>13</v>
      </c>
      <c r="C28" s="19">
        <v>394208</v>
      </c>
      <c r="D28" s="19">
        <v>394208</v>
      </c>
      <c r="E28" s="21">
        <f t="shared" si="0"/>
        <v>1</v>
      </c>
      <c r="F28" s="19">
        <v>0</v>
      </c>
      <c r="G28" s="20">
        <v>0</v>
      </c>
    </row>
    <row r="32" spans="2:7" ht="7.5" customHeight="1"/>
    <row r="33" spans="2:7">
      <c r="B33" s="6" t="s">
        <v>51</v>
      </c>
      <c r="C33" s="6"/>
      <c r="D33" s="6"/>
      <c r="E33" s="6"/>
      <c r="F33" s="6"/>
      <c r="G33" s="6"/>
    </row>
    <row r="34" spans="2:7">
      <c r="B34" s="5" t="s">
        <v>52</v>
      </c>
      <c r="C34" s="5"/>
      <c r="D34" s="5"/>
      <c r="E34" s="5"/>
      <c r="F34" s="5"/>
      <c r="G34" s="5"/>
    </row>
    <row r="35" spans="2:7">
      <c r="B35" s="5" t="s">
        <v>53</v>
      </c>
      <c r="C35" s="5"/>
      <c r="D35" s="5"/>
      <c r="E35" s="5"/>
      <c r="F35" s="5"/>
      <c r="G35" s="5"/>
    </row>
    <row r="36" spans="2:7">
      <c r="B36" s="5" t="s">
        <v>297</v>
      </c>
      <c r="C36" s="5"/>
      <c r="D36" s="5"/>
      <c r="E36" s="5"/>
      <c r="F36" s="5"/>
      <c r="G36" s="5"/>
    </row>
    <row r="37" spans="2:7">
      <c r="B37" s="5" t="s">
        <v>298</v>
      </c>
      <c r="C37" s="5"/>
      <c r="D37" s="5"/>
      <c r="E37" s="5"/>
      <c r="F37" s="5"/>
      <c r="G37" s="5"/>
    </row>
  </sheetData>
  <mergeCells count="16">
    <mergeCell ref="B37:G37"/>
    <mergeCell ref="B15:G15"/>
    <mergeCell ref="B33:G33"/>
    <mergeCell ref="B34:G34"/>
    <mergeCell ref="B35:G35"/>
    <mergeCell ref="B36:G36"/>
    <mergeCell ref="B8:E8"/>
    <mergeCell ref="B9:E9"/>
    <mergeCell ref="B10:E10"/>
    <mergeCell ref="B11:E11"/>
    <mergeCell ref="B12:E12"/>
    <mergeCell ref="B2:G2"/>
    <mergeCell ref="B3:G3"/>
    <mergeCell ref="B5:G5"/>
    <mergeCell ref="B6:E6"/>
    <mergeCell ref="B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24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30" customWidth="1"/>
    <col min="3" max="3" width="95" customWidth="1"/>
    <col min="4" max="4" width="2" customWidth="1"/>
  </cols>
  <sheetData>
    <row r="2" spans="2:3" ht="25.5" customHeight="1">
      <c r="B2" s="4" t="s">
        <v>299</v>
      </c>
      <c r="C2" s="4"/>
    </row>
    <row r="3" spans="2:3">
      <c r="B3" s="73" t="s">
        <v>300</v>
      </c>
      <c r="C3" s="73"/>
    </row>
    <row r="5" spans="2:3" ht="51.75" customHeight="1">
      <c r="B5" s="61" t="s">
        <v>301</v>
      </c>
      <c r="C5" s="62" t="s">
        <v>302</v>
      </c>
    </row>
    <row r="6" spans="2:3" ht="51.75" customHeight="1">
      <c r="B6" s="61" t="s">
        <v>303</v>
      </c>
      <c r="C6" s="62" t="s">
        <v>304</v>
      </c>
    </row>
    <row r="7" spans="2:3" ht="51.75" customHeight="1">
      <c r="B7" s="61" t="s">
        <v>305</v>
      </c>
      <c r="C7" s="62" t="s">
        <v>306</v>
      </c>
    </row>
    <row r="8" spans="2:3" ht="51.75" customHeight="1">
      <c r="B8" s="61" t="s">
        <v>307</v>
      </c>
      <c r="C8" s="62" t="s">
        <v>308</v>
      </c>
    </row>
    <row r="9" spans="2:3" ht="51.75" customHeight="1">
      <c r="B9" s="61" t="s">
        <v>309</v>
      </c>
      <c r="C9" s="62" t="s">
        <v>310</v>
      </c>
    </row>
    <row r="10" spans="2:3" ht="51.75" customHeight="1">
      <c r="B10" s="61" t="s">
        <v>311</v>
      </c>
      <c r="C10" s="62" t="s">
        <v>312</v>
      </c>
    </row>
    <row r="11" spans="2:3" ht="51.75" customHeight="1">
      <c r="B11" s="61" t="s">
        <v>313</v>
      </c>
      <c r="C11" s="62" t="s">
        <v>314</v>
      </c>
    </row>
    <row r="12" spans="2:3" ht="51.75" customHeight="1">
      <c r="B12" s="61" t="s">
        <v>315</v>
      </c>
      <c r="C12" s="62" t="s">
        <v>316</v>
      </c>
    </row>
    <row r="13" spans="2:3" ht="51.75" customHeight="1">
      <c r="B13" s="61" t="s">
        <v>317</v>
      </c>
      <c r="C13" s="62" t="s">
        <v>318</v>
      </c>
    </row>
    <row r="14" spans="2:3" ht="51.75" customHeight="1">
      <c r="B14" s="61" t="s">
        <v>319</v>
      </c>
      <c r="C14" s="62" t="s">
        <v>320</v>
      </c>
    </row>
    <row r="15" spans="2:3" ht="51.75" customHeight="1">
      <c r="B15" s="61" t="s">
        <v>321</v>
      </c>
      <c r="C15" s="62" t="s">
        <v>322</v>
      </c>
    </row>
    <row r="16" spans="2:3" ht="51.75" customHeight="1">
      <c r="B16" s="61" t="s">
        <v>323</v>
      </c>
      <c r="C16" s="62" t="s">
        <v>324</v>
      </c>
    </row>
    <row r="18" spans="2:3">
      <c r="B18" s="71" t="s">
        <v>325</v>
      </c>
      <c r="C18" s="71"/>
    </row>
    <row r="19" spans="2:3" ht="60" customHeight="1">
      <c r="B19" s="79" t="s">
        <v>326</v>
      </c>
      <c r="C19" s="79"/>
    </row>
    <row r="21" spans="2:3" ht="7.5" customHeight="1"/>
    <row r="22" spans="2:3">
      <c r="B22" s="6" t="s">
        <v>51</v>
      </c>
      <c r="C22" s="6"/>
    </row>
    <row r="23" spans="2:3">
      <c r="B23" s="5" t="s">
        <v>52</v>
      </c>
      <c r="C23" s="5"/>
    </row>
    <row r="24" spans="2:3">
      <c r="B24" s="5" t="s">
        <v>53</v>
      </c>
      <c r="C24" s="5"/>
    </row>
  </sheetData>
  <mergeCells count="7">
    <mergeCell ref="B23:C23"/>
    <mergeCell ref="B24:C24"/>
    <mergeCell ref="B2:C2"/>
    <mergeCell ref="B3:C3"/>
    <mergeCell ref="B18:C18"/>
    <mergeCell ref="B19:C19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63"/>
  <sheetViews>
    <sheetView showGridLines="0" zoomScaleNormal="100" workbookViewId="0"/>
  </sheetViews>
  <sheetFormatPr baseColWidth="10" defaultColWidth="8.6640625" defaultRowHeight="15"/>
  <cols>
    <col min="1" max="1" width="2" customWidth="1"/>
    <col min="2" max="2" width="32" customWidth="1"/>
    <col min="3" max="3" width="30" customWidth="1"/>
    <col min="4" max="4" width="18" customWidth="1"/>
    <col min="5" max="5" width="16" customWidth="1"/>
    <col min="6" max="6" width="42" customWidth="1"/>
    <col min="7" max="7" width="2" customWidth="1"/>
  </cols>
  <sheetData>
    <row r="2" spans="2:6" ht="25.5" customHeight="1">
      <c r="B2" s="4" t="s">
        <v>327</v>
      </c>
      <c r="C2" s="4"/>
      <c r="D2" s="4"/>
      <c r="E2" s="4"/>
      <c r="F2" s="4"/>
    </row>
    <row r="3" spans="2:6">
      <c r="B3" s="73" t="s">
        <v>328</v>
      </c>
      <c r="C3" s="73"/>
      <c r="D3" s="73"/>
      <c r="E3" s="73"/>
      <c r="F3" s="73"/>
    </row>
    <row r="5" spans="2:6">
      <c r="B5" s="18" t="s">
        <v>329</v>
      </c>
      <c r="C5" s="18" t="s">
        <v>330</v>
      </c>
      <c r="D5" s="18" t="s">
        <v>28</v>
      </c>
      <c r="E5" s="18" t="s">
        <v>15</v>
      </c>
      <c r="F5" s="18" t="s">
        <v>230</v>
      </c>
    </row>
    <row r="6" spans="2:6">
      <c r="B6" s="30" t="s">
        <v>331</v>
      </c>
      <c r="C6" s="63" t="s">
        <v>332</v>
      </c>
      <c r="D6" s="30" t="s">
        <v>333</v>
      </c>
      <c r="E6" s="23" t="s">
        <v>334</v>
      </c>
      <c r="F6" s="62" t="s">
        <v>335</v>
      </c>
    </row>
    <row r="7" spans="2:6">
      <c r="B7" s="30" t="s">
        <v>336</v>
      </c>
      <c r="C7" s="63" t="s">
        <v>337</v>
      </c>
      <c r="D7" s="30" t="s">
        <v>338</v>
      </c>
      <c r="E7" s="23" t="s">
        <v>334</v>
      </c>
      <c r="F7" s="62"/>
    </row>
    <row r="8" spans="2:6">
      <c r="B8" s="30" t="s">
        <v>339</v>
      </c>
      <c r="C8" s="63" t="s">
        <v>340</v>
      </c>
      <c r="D8" s="30" t="s">
        <v>341</v>
      </c>
      <c r="E8" s="23" t="s">
        <v>334</v>
      </c>
      <c r="F8" s="62"/>
    </row>
    <row r="9" spans="2:6">
      <c r="B9" s="30" t="s">
        <v>342</v>
      </c>
      <c r="C9" s="63" t="s">
        <v>343</v>
      </c>
      <c r="D9" s="30" t="s">
        <v>344</v>
      </c>
      <c r="E9" s="23" t="s">
        <v>334</v>
      </c>
      <c r="F9" s="62"/>
    </row>
    <row r="10" spans="2:6">
      <c r="B10" s="30" t="s">
        <v>345</v>
      </c>
      <c r="C10" s="63" t="s">
        <v>346</v>
      </c>
      <c r="D10" s="30" t="s">
        <v>347</v>
      </c>
      <c r="E10" s="23" t="s">
        <v>334</v>
      </c>
      <c r="F10" s="62" t="s">
        <v>348</v>
      </c>
    </row>
    <row r="11" spans="2:6">
      <c r="B11" s="30" t="s">
        <v>349</v>
      </c>
      <c r="C11" s="63" t="s">
        <v>350</v>
      </c>
      <c r="D11" s="20">
        <v>16</v>
      </c>
      <c r="E11" s="23" t="s">
        <v>334</v>
      </c>
      <c r="F11" s="62" t="s">
        <v>351</v>
      </c>
    </row>
    <row r="12" spans="2:6">
      <c r="B12" s="30" t="s">
        <v>352</v>
      </c>
      <c r="C12" s="63" t="s">
        <v>353</v>
      </c>
      <c r="D12" s="36">
        <v>168</v>
      </c>
      <c r="E12" s="23" t="s">
        <v>334</v>
      </c>
      <c r="F12" s="62" t="s">
        <v>354</v>
      </c>
    </row>
    <row r="13" spans="2:6">
      <c r="B13" s="30" t="s">
        <v>34</v>
      </c>
      <c r="C13" s="63" t="s">
        <v>355</v>
      </c>
      <c r="D13" s="36">
        <v>812</v>
      </c>
      <c r="E13" s="23" t="s">
        <v>334</v>
      </c>
      <c r="F13" s="62" t="s">
        <v>356</v>
      </c>
    </row>
    <row r="14" spans="2:6">
      <c r="B14" s="30" t="s">
        <v>357</v>
      </c>
      <c r="C14" s="63" t="s">
        <v>358</v>
      </c>
      <c r="D14" s="64">
        <v>4.8333333333333304</v>
      </c>
      <c r="E14" s="23" t="s">
        <v>334</v>
      </c>
      <c r="F14" s="62"/>
    </row>
    <row r="15" spans="2:6">
      <c r="B15" s="30" t="s">
        <v>359</v>
      </c>
      <c r="C15" s="63" t="s">
        <v>360</v>
      </c>
      <c r="D15" s="20">
        <v>384900</v>
      </c>
      <c r="E15" s="15" t="s">
        <v>361</v>
      </c>
      <c r="F15" s="62"/>
    </row>
    <row r="16" spans="2:6">
      <c r="B16" s="30" t="s">
        <v>362</v>
      </c>
      <c r="C16" s="63" t="s">
        <v>363</v>
      </c>
      <c r="D16" s="20">
        <v>394208</v>
      </c>
      <c r="E16" s="15" t="s">
        <v>361</v>
      </c>
      <c r="F16" s="62" t="s">
        <v>364</v>
      </c>
    </row>
    <row r="17" spans="2:6">
      <c r="B17" s="30" t="s">
        <v>365</v>
      </c>
      <c r="C17" s="63" t="s">
        <v>366</v>
      </c>
      <c r="D17" s="20">
        <v>9308</v>
      </c>
      <c r="E17" s="15" t="s">
        <v>361</v>
      </c>
      <c r="F17" s="62" t="s">
        <v>367</v>
      </c>
    </row>
    <row r="18" spans="2:6">
      <c r="B18" s="30" t="s">
        <v>368</v>
      </c>
      <c r="C18" s="63" t="s">
        <v>369</v>
      </c>
      <c r="D18" s="20">
        <v>394208</v>
      </c>
      <c r="E18" s="15" t="s">
        <v>361</v>
      </c>
      <c r="F18" s="62"/>
    </row>
    <row r="19" spans="2:6">
      <c r="B19" s="30" t="s">
        <v>370</v>
      </c>
      <c r="C19" s="63" t="s">
        <v>371</v>
      </c>
      <c r="D19" s="20">
        <v>106309</v>
      </c>
      <c r="E19" s="15" t="s">
        <v>361</v>
      </c>
      <c r="F19" s="62"/>
    </row>
    <row r="20" spans="2:6">
      <c r="B20" s="30" t="s">
        <v>372</v>
      </c>
      <c r="C20" s="63" t="s">
        <v>373</v>
      </c>
      <c r="D20" s="21">
        <v>0.26967742917444598</v>
      </c>
      <c r="E20" s="15" t="s">
        <v>361</v>
      </c>
      <c r="F20" s="62"/>
    </row>
    <row r="21" spans="2:6">
      <c r="B21" s="30" t="s">
        <v>120</v>
      </c>
      <c r="C21" s="63" t="s">
        <v>374</v>
      </c>
      <c r="D21" s="20">
        <v>287899</v>
      </c>
      <c r="E21" s="15" t="s">
        <v>361</v>
      </c>
      <c r="F21" s="62"/>
    </row>
    <row r="22" spans="2:6">
      <c r="B22" s="30" t="s">
        <v>375</v>
      </c>
      <c r="C22" s="63" t="s">
        <v>376</v>
      </c>
      <c r="D22" s="20">
        <v>84698</v>
      </c>
      <c r="E22" s="16" t="s">
        <v>21</v>
      </c>
      <c r="F22" s="62" t="s">
        <v>377</v>
      </c>
    </row>
    <row r="23" spans="2:6">
      <c r="B23" s="30" t="s">
        <v>378</v>
      </c>
      <c r="C23" s="63" t="s">
        <v>379</v>
      </c>
      <c r="D23" s="20">
        <v>151064.39000000001</v>
      </c>
      <c r="E23" s="22" t="s">
        <v>22</v>
      </c>
      <c r="F23" s="62" t="s">
        <v>380</v>
      </c>
    </row>
    <row r="24" spans="2:6">
      <c r="B24" s="30" t="s">
        <v>381</v>
      </c>
      <c r="C24" s="63" t="s">
        <v>382</v>
      </c>
      <c r="D24" s="20">
        <v>11245.52</v>
      </c>
      <c r="E24" s="15" t="s">
        <v>361</v>
      </c>
      <c r="F24" s="62" t="s">
        <v>383</v>
      </c>
    </row>
    <row r="25" spans="2:6">
      <c r="B25" s="30" t="s">
        <v>384</v>
      </c>
      <c r="C25" s="63" t="s">
        <v>385</v>
      </c>
      <c r="D25" s="20">
        <v>40891.46</v>
      </c>
      <c r="E25" s="15" t="s">
        <v>361</v>
      </c>
      <c r="F25" s="62" t="s">
        <v>386</v>
      </c>
    </row>
    <row r="26" spans="2:6">
      <c r="B26" s="30" t="s">
        <v>295</v>
      </c>
      <c r="C26" s="63" t="s">
        <v>387</v>
      </c>
      <c r="D26" s="20">
        <v>19710</v>
      </c>
      <c r="E26" s="15" t="s">
        <v>361</v>
      </c>
      <c r="F26" s="62" t="s">
        <v>388</v>
      </c>
    </row>
    <row r="27" spans="2:6">
      <c r="B27" s="30" t="s">
        <v>389</v>
      </c>
      <c r="C27" s="63" t="s">
        <v>390</v>
      </c>
      <c r="D27" s="20">
        <v>2346.4761904761899</v>
      </c>
      <c r="E27" s="15" t="s">
        <v>361</v>
      </c>
      <c r="F27" s="62"/>
    </row>
    <row r="28" spans="2:6">
      <c r="B28" s="30" t="s">
        <v>391</v>
      </c>
      <c r="C28" s="63" t="s">
        <v>392</v>
      </c>
      <c r="D28" s="20">
        <v>632.79166666666697</v>
      </c>
      <c r="E28" s="15" t="s">
        <v>361</v>
      </c>
      <c r="F28" s="62"/>
    </row>
    <row r="29" spans="2:6">
      <c r="B29" s="30" t="s">
        <v>393</v>
      </c>
      <c r="C29" s="63" t="s">
        <v>394</v>
      </c>
      <c r="D29" s="20">
        <v>1713.68452380952</v>
      </c>
      <c r="E29" s="15" t="s">
        <v>361</v>
      </c>
      <c r="F29" s="62"/>
    </row>
    <row r="30" spans="2:6">
      <c r="B30" s="30" t="s">
        <v>395</v>
      </c>
      <c r="C30" s="63" t="s">
        <v>396</v>
      </c>
      <c r="D30" s="20">
        <v>504.15476190476198</v>
      </c>
      <c r="E30" s="16" t="s">
        <v>21</v>
      </c>
      <c r="F30" s="62"/>
    </row>
    <row r="31" spans="2:6">
      <c r="B31" s="30" t="s">
        <v>397</v>
      </c>
      <c r="C31" s="63" t="s">
        <v>398</v>
      </c>
      <c r="D31" s="20">
        <v>899.19279761904795</v>
      </c>
      <c r="E31" s="22" t="s">
        <v>22</v>
      </c>
      <c r="F31" s="62"/>
    </row>
    <row r="32" spans="2:6">
      <c r="B32" s="30" t="s">
        <v>399</v>
      </c>
      <c r="C32" s="63" t="s">
        <v>400</v>
      </c>
      <c r="D32" s="42">
        <v>485.47783251231499</v>
      </c>
      <c r="E32" s="15" t="s">
        <v>361</v>
      </c>
      <c r="F32" s="62"/>
    </row>
    <row r="33" spans="2:6">
      <c r="B33" s="30" t="s">
        <v>401</v>
      </c>
      <c r="C33" s="63" t="s">
        <v>402</v>
      </c>
      <c r="D33" s="42">
        <v>130.922413793104</v>
      </c>
      <c r="E33" s="15" t="s">
        <v>361</v>
      </c>
      <c r="F33" s="62"/>
    </row>
    <row r="34" spans="2:6">
      <c r="B34" s="30" t="s">
        <v>403</v>
      </c>
      <c r="C34" s="63" t="s">
        <v>404</v>
      </c>
      <c r="D34" s="42">
        <v>354.55541871921201</v>
      </c>
      <c r="E34" s="15" t="s">
        <v>361</v>
      </c>
      <c r="F34" s="62"/>
    </row>
    <row r="35" spans="2:6">
      <c r="B35" s="30" t="s">
        <v>405</v>
      </c>
      <c r="C35" s="63" t="s">
        <v>406</v>
      </c>
      <c r="D35" s="42">
        <v>104.307881773399</v>
      </c>
      <c r="E35" s="16" t="s">
        <v>21</v>
      </c>
      <c r="F35" s="62"/>
    </row>
    <row r="36" spans="2:6">
      <c r="B36" s="30" t="s">
        <v>407</v>
      </c>
      <c r="C36" s="63" t="s">
        <v>408</v>
      </c>
      <c r="D36" s="42">
        <v>186.03988916256199</v>
      </c>
      <c r="E36" s="22" t="s">
        <v>22</v>
      </c>
      <c r="F36" s="62"/>
    </row>
    <row r="37" spans="2:6">
      <c r="B37" s="30" t="s">
        <v>409</v>
      </c>
      <c r="C37" s="63" t="s">
        <v>410</v>
      </c>
      <c r="D37" s="36">
        <v>4116</v>
      </c>
      <c r="E37" s="16" t="s">
        <v>21</v>
      </c>
      <c r="F37" s="62" t="s">
        <v>411</v>
      </c>
    </row>
    <row r="38" spans="2:6">
      <c r="B38" s="30" t="s">
        <v>412</v>
      </c>
      <c r="C38" s="63" t="s">
        <v>413</v>
      </c>
      <c r="D38" s="36">
        <v>23</v>
      </c>
      <c r="E38" s="16" t="s">
        <v>21</v>
      </c>
      <c r="F38" s="62" t="s">
        <v>414</v>
      </c>
    </row>
    <row r="39" spans="2:6">
      <c r="B39" s="30" t="s">
        <v>199</v>
      </c>
      <c r="C39" s="63" t="s">
        <v>415</v>
      </c>
      <c r="D39" s="42">
        <v>20.1470028544244</v>
      </c>
      <c r="E39" s="16" t="s">
        <v>21</v>
      </c>
      <c r="F39" s="62" t="s">
        <v>416</v>
      </c>
    </row>
    <row r="40" spans="2:6">
      <c r="B40" s="30" t="s">
        <v>201</v>
      </c>
      <c r="C40" s="63" t="s">
        <v>417</v>
      </c>
      <c r="D40" s="42">
        <v>30.5125024295433</v>
      </c>
      <c r="E40" s="16" t="s">
        <v>21</v>
      </c>
      <c r="F40" s="62" t="s">
        <v>418</v>
      </c>
    </row>
    <row r="41" spans="2:6">
      <c r="B41" s="30" t="s">
        <v>203</v>
      </c>
      <c r="C41" s="63" t="s">
        <v>419</v>
      </c>
      <c r="D41" s="65">
        <v>1.51449337899124</v>
      </c>
      <c r="E41" s="16" t="s">
        <v>21</v>
      </c>
      <c r="F41" s="62"/>
    </row>
    <row r="42" spans="2:6">
      <c r="B42" s="30" t="s">
        <v>420</v>
      </c>
      <c r="C42" s="63" t="s">
        <v>421</v>
      </c>
      <c r="D42" s="36">
        <v>24.5</v>
      </c>
      <c r="E42" s="16" t="s">
        <v>21</v>
      </c>
      <c r="F42" s="62" t="s">
        <v>422</v>
      </c>
    </row>
    <row r="43" spans="2:6">
      <c r="B43" s="30" t="s">
        <v>423</v>
      </c>
      <c r="C43" s="63" t="s">
        <v>424</v>
      </c>
      <c r="D43" s="36">
        <v>5.0689655172413799</v>
      </c>
      <c r="E43" s="16" t="s">
        <v>21</v>
      </c>
      <c r="F43" s="62" t="s">
        <v>422</v>
      </c>
    </row>
    <row r="44" spans="2:6">
      <c r="B44" s="30" t="s">
        <v>425</v>
      </c>
      <c r="C44" s="63" t="s">
        <v>426</v>
      </c>
      <c r="D44" s="42">
        <v>95.774538386783306</v>
      </c>
      <c r="E44" s="17" t="s">
        <v>427</v>
      </c>
      <c r="F44" s="62"/>
    </row>
    <row r="45" spans="2:6">
      <c r="B45" s="30" t="s">
        <v>428</v>
      </c>
      <c r="C45" s="63" t="s">
        <v>429</v>
      </c>
      <c r="D45" s="42">
        <v>25.828231292517</v>
      </c>
      <c r="E45" s="17" t="s">
        <v>427</v>
      </c>
      <c r="F45" s="62"/>
    </row>
    <row r="46" spans="2:6">
      <c r="B46" s="30" t="s">
        <v>430</v>
      </c>
      <c r="C46" s="63" t="s">
        <v>431</v>
      </c>
      <c r="D46" s="21">
        <v>0.21485611656790299</v>
      </c>
      <c r="E46" s="24" t="s">
        <v>432</v>
      </c>
      <c r="F46" s="62"/>
    </row>
    <row r="47" spans="2:6">
      <c r="B47" s="30" t="s">
        <v>433</v>
      </c>
      <c r="C47" s="63" t="s">
        <v>434</v>
      </c>
      <c r="D47" s="21">
        <v>0.383209853681305</v>
      </c>
      <c r="E47" s="24" t="s">
        <v>432</v>
      </c>
      <c r="F47" s="62"/>
    </row>
    <row r="48" spans="2:6">
      <c r="B48" s="30" t="s">
        <v>435</v>
      </c>
      <c r="C48" s="63" t="s">
        <v>436</v>
      </c>
      <c r="D48" s="20">
        <v>24638</v>
      </c>
      <c r="E48" s="17" t="s">
        <v>427</v>
      </c>
      <c r="F48" s="62"/>
    </row>
    <row r="49" spans="2:6">
      <c r="B49" s="30" t="s">
        <v>437</v>
      </c>
      <c r="C49" s="63" t="s">
        <v>438</v>
      </c>
      <c r="D49" s="36">
        <v>257.25</v>
      </c>
      <c r="E49" s="17" t="s">
        <v>427</v>
      </c>
      <c r="F49" s="62"/>
    </row>
    <row r="50" spans="2:6">
      <c r="B50" s="30" t="s">
        <v>439</v>
      </c>
      <c r="C50" s="63" t="s">
        <v>440</v>
      </c>
      <c r="D50" s="20">
        <v>10.5</v>
      </c>
      <c r="E50" s="17" t="s">
        <v>427</v>
      </c>
      <c r="F50" s="62"/>
    </row>
    <row r="51" spans="2:6">
      <c r="B51" s="30" t="s">
        <v>441</v>
      </c>
      <c r="C51" s="63" t="s">
        <v>442</v>
      </c>
      <c r="D51" s="36">
        <v>13</v>
      </c>
      <c r="E51" s="22" t="s">
        <v>22</v>
      </c>
      <c r="F51" s="62" t="s">
        <v>443</v>
      </c>
    </row>
    <row r="52" spans="2:6">
      <c r="B52" s="30" t="s">
        <v>444</v>
      </c>
      <c r="C52" s="63" t="s">
        <v>445</v>
      </c>
      <c r="D52" s="20">
        <v>115565.31</v>
      </c>
      <c r="E52" s="22" t="s">
        <v>22</v>
      </c>
      <c r="F52" s="62" t="s">
        <v>446</v>
      </c>
    </row>
    <row r="53" spans="2:6">
      <c r="B53" s="30" t="s">
        <v>447</v>
      </c>
      <c r="C53" s="63" t="s">
        <v>448</v>
      </c>
      <c r="D53" s="21">
        <v>0.72783680980783705</v>
      </c>
      <c r="E53" s="22" t="s">
        <v>22</v>
      </c>
      <c r="F53" s="62"/>
    </row>
    <row r="54" spans="2:6">
      <c r="B54" s="30" t="s">
        <v>449</v>
      </c>
      <c r="C54" s="63" t="s">
        <v>450</v>
      </c>
      <c r="D54" s="36">
        <v>49</v>
      </c>
      <c r="E54" s="22" t="s">
        <v>22</v>
      </c>
      <c r="F54" s="62"/>
    </row>
    <row r="55" spans="2:6">
      <c r="B55" s="30" t="s">
        <v>257</v>
      </c>
      <c r="C55" s="63" t="s">
        <v>451</v>
      </c>
      <c r="D55" s="20">
        <v>154025.23725000001</v>
      </c>
      <c r="E55" s="22" t="s">
        <v>22</v>
      </c>
      <c r="F55" s="62"/>
    </row>
    <row r="56" spans="2:6">
      <c r="B56" s="30" t="s">
        <v>276</v>
      </c>
      <c r="C56" s="63" t="s">
        <v>452</v>
      </c>
      <c r="D56" s="21">
        <v>1.01959990206825</v>
      </c>
      <c r="E56" s="22" t="s">
        <v>22</v>
      </c>
      <c r="F56" s="62"/>
    </row>
    <row r="59" spans="2:6" ht="7.5" customHeight="1"/>
    <row r="60" spans="2:6">
      <c r="B60" s="6" t="s">
        <v>51</v>
      </c>
      <c r="C60" s="6"/>
      <c r="D60" s="6"/>
      <c r="E60" s="6"/>
      <c r="F60" s="6"/>
    </row>
    <row r="61" spans="2:6">
      <c r="B61" s="5" t="s">
        <v>52</v>
      </c>
      <c r="C61" s="5"/>
      <c r="D61" s="5"/>
      <c r="E61" s="5"/>
      <c r="F61" s="5"/>
    </row>
    <row r="62" spans="2:6">
      <c r="B62" s="5" t="s">
        <v>53</v>
      </c>
      <c r="C62" s="5"/>
      <c r="D62" s="5"/>
      <c r="E62" s="5"/>
      <c r="F62" s="5"/>
    </row>
    <row r="63" spans="2:6">
      <c r="B63" s="5" t="s">
        <v>453</v>
      </c>
      <c r="C63" s="5"/>
      <c r="D63" s="5"/>
      <c r="E63" s="5"/>
      <c r="F63" s="5"/>
    </row>
  </sheetData>
  <mergeCells count="6">
    <mergeCell ref="B63:F63"/>
    <mergeCell ref="B2:F2"/>
    <mergeCell ref="B3:F3"/>
    <mergeCell ref="B60:F60"/>
    <mergeCell ref="B61:F61"/>
    <mergeCell ref="B62:F6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37"/>
  <sheetViews>
    <sheetView showGridLines="0" zoomScaleNormal="100" workbookViewId="0">
      <selection activeCell="Q37" sqref="Q37"/>
    </sheetView>
  </sheetViews>
  <sheetFormatPr baseColWidth="10" defaultColWidth="8.6640625" defaultRowHeight="15"/>
  <cols>
    <col min="1" max="1" width="2" customWidth="1"/>
    <col min="2" max="2" width="38" customWidth="1"/>
    <col min="3" max="4" width="18" customWidth="1"/>
    <col min="5" max="5" width="14" customWidth="1"/>
    <col min="6" max="6" width="12" customWidth="1"/>
    <col min="7" max="7" width="2" customWidth="1"/>
  </cols>
  <sheetData>
    <row r="2" spans="2:6" ht="25.5" customHeight="1">
      <c r="B2" s="4" t="s">
        <v>454</v>
      </c>
      <c r="C2" s="4"/>
      <c r="D2" s="4"/>
      <c r="E2" s="4"/>
      <c r="F2" s="4"/>
    </row>
    <row r="4" spans="2:6">
      <c r="B4" s="18" t="s">
        <v>455</v>
      </c>
      <c r="C4" s="18" t="s">
        <v>456</v>
      </c>
      <c r="D4" s="18" t="s">
        <v>457</v>
      </c>
      <c r="E4" s="18" t="s">
        <v>458</v>
      </c>
      <c r="F4" s="18" t="s">
        <v>459</v>
      </c>
    </row>
    <row r="5" spans="2:6">
      <c r="B5" s="70" t="s">
        <v>460</v>
      </c>
      <c r="C5" s="70"/>
      <c r="D5" s="70"/>
      <c r="E5" s="70"/>
      <c r="F5" s="70"/>
    </row>
    <row r="6" spans="2:6">
      <c r="B6" s="30" t="s">
        <v>461</v>
      </c>
      <c r="C6" s="19">
        <v>84698</v>
      </c>
      <c r="D6" s="19">
        <v>84698</v>
      </c>
      <c r="E6" s="20">
        <f t="shared" ref="E6:E12" si="0">C6-D6</f>
        <v>0</v>
      </c>
      <c r="F6" s="15" t="s">
        <v>462</v>
      </c>
    </row>
    <row r="7" spans="2:6">
      <c r="B7" s="30" t="s">
        <v>463</v>
      </c>
      <c r="C7" s="19">
        <v>151064.39000000001</v>
      </c>
      <c r="D7" s="19">
        <v>151064.39000000001</v>
      </c>
      <c r="E7" s="20">
        <f t="shared" si="0"/>
        <v>0</v>
      </c>
      <c r="F7" s="15" t="s">
        <v>462</v>
      </c>
    </row>
    <row r="8" spans="2:6">
      <c r="B8" s="30" t="s">
        <v>464</v>
      </c>
      <c r="C8" s="19">
        <v>11245.52</v>
      </c>
      <c r="D8" s="19">
        <v>11245.52</v>
      </c>
      <c r="E8" s="20">
        <f t="shared" si="0"/>
        <v>0</v>
      </c>
      <c r="F8" s="15" t="s">
        <v>462</v>
      </c>
    </row>
    <row r="9" spans="2:6">
      <c r="B9" s="30" t="s">
        <v>465</v>
      </c>
      <c r="C9" s="19">
        <v>40891.46</v>
      </c>
      <c r="D9" s="19">
        <v>40891.46</v>
      </c>
      <c r="E9" s="20">
        <f t="shared" si="0"/>
        <v>0</v>
      </c>
      <c r="F9" s="15" t="s">
        <v>462</v>
      </c>
    </row>
    <row r="10" spans="2:6">
      <c r="B10" s="30" t="s">
        <v>466</v>
      </c>
      <c r="C10" s="19">
        <v>287899.37</v>
      </c>
      <c r="D10" s="19">
        <v>287899</v>
      </c>
      <c r="E10" s="20">
        <f t="shared" si="0"/>
        <v>0.36999999999534339</v>
      </c>
      <c r="F10" s="15" t="s">
        <v>462</v>
      </c>
    </row>
    <row r="11" spans="2:6">
      <c r="B11" s="30" t="s">
        <v>467</v>
      </c>
      <c r="C11" s="19">
        <v>394208</v>
      </c>
      <c r="D11" s="19">
        <v>394208</v>
      </c>
      <c r="E11" s="20">
        <f t="shared" si="0"/>
        <v>0</v>
      </c>
      <c r="F11" s="15" t="s">
        <v>462</v>
      </c>
    </row>
    <row r="12" spans="2:6">
      <c r="B12" s="30" t="s">
        <v>468</v>
      </c>
      <c r="C12" s="19">
        <v>106309</v>
      </c>
      <c r="D12" s="19">
        <v>106309</v>
      </c>
      <c r="E12" s="20">
        <f t="shared" si="0"/>
        <v>0</v>
      </c>
      <c r="F12" s="15" t="s">
        <v>462</v>
      </c>
    </row>
    <row r="14" spans="2:6">
      <c r="B14" s="75" t="s">
        <v>469</v>
      </c>
      <c r="C14" s="75"/>
      <c r="D14" s="75"/>
      <c r="E14" s="75"/>
      <c r="F14" s="75"/>
    </row>
    <row r="15" spans="2:6">
      <c r="B15" s="30" t="s">
        <v>470</v>
      </c>
      <c r="C15" s="66">
        <v>4116</v>
      </c>
      <c r="D15" s="66">
        <v>4116</v>
      </c>
      <c r="E15" s="67">
        <f>C15-D15</f>
        <v>0</v>
      </c>
      <c r="F15" s="15" t="s">
        <v>462</v>
      </c>
    </row>
    <row r="16" spans="2:6">
      <c r="B16" s="30" t="s">
        <v>471</v>
      </c>
      <c r="C16" s="66">
        <v>4204</v>
      </c>
      <c r="D16" s="66">
        <v>4116</v>
      </c>
      <c r="E16" s="67">
        <f>C16-D16</f>
        <v>88</v>
      </c>
      <c r="F16" s="15" t="s">
        <v>462</v>
      </c>
    </row>
    <row r="18" spans="2:6">
      <c r="B18" s="72" t="s">
        <v>472</v>
      </c>
      <c r="C18" s="72"/>
      <c r="D18" s="72"/>
      <c r="E18" s="72"/>
      <c r="F18" s="72"/>
    </row>
    <row r="19" spans="2:6">
      <c r="B19" s="30" t="s">
        <v>473</v>
      </c>
      <c r="C19" s="19">
        <v>394208</v>
      </c>
      <c r="D19" s="19">
        <v>394208</v>
      </c>
      <c r="E19" s="20">
        <f>C19-D19</f>
        <v>0</v>
      </c>
      <c r="F19" s="15" t="s">
        <v>462</v>
      </c>
    </row>
    <row r="20" spans="2:6">
      <c r="B20" s="30" t="s">
        <v>474</v>
      </c>
      <c r="C20" s="19">
        <v>394208</v>
      </c>
      <c r="D20" s="19">
        <v>394208</v>
      </c>
      <c r="E20" s="20">
        <f>C20-D20</f>
        <v>0</v>
      </c>
      <c r="F20" s="15" t="s">
        <v>462</v>
      </c>
    </row>
    <row r="21" spans="2:6">
      <c r="B21" s="30" t="s">
        <v>475</v>
      </c>
      <c r="C21" s="19">
        <v>0</v>
      </c>
      <c r="D21" s="19">
        <v>0</v>
      </c>
      <c r="E21" s="20">
        <f>C21-D21</f>
        <v>0</v>
      </c>
      <c r="F21" s="15" t="s">
        <v>462</v>
      </c>
    </row>
    <row r="22" spans="2:6">
      <c r="B22" s="30" t="s">
        <v>476</v>
      </c>
      <c r="C22" s="19">
        <v>394208</v>
      </c>
      <c r="D22" s="19">
        <v>394208</v>
      </c>
      <c r="E22" s="20">
        <f>C22-D22</f>
        <v>0</v>
      </c>
      <c r="F22" s="15" t="s">
        <v>462</v>
      </c>
    </row>
    <row r="24" spans="2:6">
      <c r="B24" s="74" t="s">
        <v>477</v>
      </c>
      <c r="C24" s="74"/>
      <c r="D24" s="74"/>
      <c r="E24" s="74"/>
      <c r="F24" s="74"/>
    </row>
    <row r="25" spans="2:6">
      <c r="B25" s="30" t="s">
        <v>478</v>
      </c>
      <c r="C25" s="19">
        <v>158779.15</v>
      </c>
      <c r="D25" s="19">
        <v>158779</v>
      </c>
      <c r="E25" s="20">
        <f>C25-D25</f>
        <v>0.14999999999417923</v>
      </c>
      <c r="F25" s="15" t="s">
        <v>462</v>
      </c>
    </row>
    <row r="27" spans="2:6">
      <c r="B27" s="80" t="s">
        <v>479</v>
      </c>
      <c r="C27" s="80"/>
      <c r="D27" s="80"/>
      <c r="E27" s="80"/>
      <c r="F27" s="80"/>
    </row>
    <row r="28" spans="2:6">
      <c r="B28" s="30" t="s">
        <v>275</v>
      </c>
      <c r="C28" s="19">
        <v>154025.23725000001</v>
      </c>
      <c r="D28" s="19">
        <v>151064.39000000001</v>
      </c>
      <c r="E28" s="20">
        <f>C28-D28</f>
        <v>2960.8472499999916</v>
      </c>
      <c r="F28" s="24" t="s">
        <v>480</v>
      </c>
    </row>
    <row r="29" spans="2:6">
      <c r="B29" s="68" t="s">
        <v>481</v>
      </c>
    </row>
    <row r="32" spans="2:6" ht="7.5" customHeight="1"/>
    <row r="33" spans="2:6">
      <c r="B33" s="6" t="s">
        <v>51</v>
      </c>
      <c r="C33" s="6"/>
      <c r="D33" s="6"/>
      <c r="E33" s="6"/>
      <c r="F33" s="6"/>
    </row>
    <row r="34" spans="2:6">
      <c r="B34" s="5" t="s">
        <v>52</v>
      </c>
      <c r="C34" s="5"/>
      <c r="D34" s="5"/>
      <c r="E34" s="5"/>
      <c r="F34" s="5"/>
    </row>
    <row r="35" spans="2:6">
      <c r="B35" s="5" t="s">
        <v>53</v>
      </c>
      <c r="C35" s="5"/>
      <c r="D35" s="5"/>
      <c r="E35" s="5"/>
      <c r="F35" s="5"/>
    </row>
    <row r="36" spans="2:6">
      <c r="B36" s="5" t="s">
        <v>482</v>
      </c>
      <c r="C36" s="5"/>
      <c r="D36" s="5"/>
      <c r="E36" s="5"/>
      <c r="F36" s="5"/>
    </row>
    <row r="37" spans="2:6">
      <c r="B37" s="5" t="s">
        <v>483</v>
      </c>
      <c r="C37" s="5"/>
      <c r="D37" s="5"/>
      <c r="E37" s="5"/>
      <c r="F37" s="5"/>
    </row>
  </sheetData>
  <mergeCells count="11">
    <mergeCell ref="B37:F37"/>
    <mergeCell ref="B27:F27"/>
    <mergeCell ref="B33:F33"/>
    <mergeCell ref="B34:F34"/>
    <mergeCell ref="B35:F35"/>
    <mergeCell ref="B36:F36"/>
    <mergeCell ref="B2:F2"/>
    <mergeCell ref="B5:F5"/>
    <mergeCell ref="B14:F14"/>
    <mergeCell ref="B18:F18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Budget vs Actual</vt:lpstr>
      <vt:lpstr>Cost Breakdown</vt:lpstr>
      <vt:lpstr>Material</vt:lpstr>
      <vt:lpstr>Crew &amp; Labor</vt:lpstr>
      <vt:lpstr>Crew Analytics</vt:lpstr>
      <vt:lpstr>Productivity</vt:lpstr>
      <vt:lpstr>PO Commitments</vt:lpstr>
      <vt:lpstr>Billing &amp; SOV</vt:lpstr>
      <vt:lpstr>Insights</vt:lpstr>
      <vt:lpstr>Benchmark KPIs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Steven Yoo</cp:lastModifiedBy>
  <cp:revision>0</cp:revision>
  <dcterms:created xsi:type="dcterms:W3CDTF">2026-04-08T16:45:02Z</dcterms:created>
  <dcterms:modified xsi:type="dcterms:W3CDTF">2026-04-08T17:03:39Z</dcterms:modified>
  <dc:language>en-US</dc:language>
</cp:coreProperties>
</file>