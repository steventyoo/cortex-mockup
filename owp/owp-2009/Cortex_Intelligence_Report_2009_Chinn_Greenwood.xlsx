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rofitability Summary" sheetId="2" state="visible" r:id="rId4"/>
    <sheet name="Labor &amp; Productivity" sheetId="3" state="visible" r:id="rId5"/>
    <sheet name="Master Document List" sheetId="4" state="visible" r:id="rId6"/>
    <sheet name="Duplicates" sheetId="5" state="visible" r:id="rId7"/>
    <sheet name="Relational Map" sheetId="6" state="visible" r:id="rId8"/>
    <sheet name="Missing Documents" sheetId="7" state="visible" r:id="rId9"/>
    <sheet name="Key Insights" sheetId="8" state="visible" r:id="rId10"/>
    <sheet name="Not Asking" sheetId="9" state="visible" r:id="rId11"/>
    <sheet name="Schema Coverage" sheetId="10" state="visible" r:id="rId12"/>
  </sheets>
  <definedNames>
    <definedName function="false" hidden="true" localSheetId="3" name="_xlnm._FilterDatabase" vbProcedure="false">'Master Document List'!$A$1:$G$318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<sst xmlns="http://schemas.openxmlformats.org/spreadsheetml/2006/main" count="3486" uniqueCount="1444">
  <si>
    <t xml:space="preserve">CORTEX PROJECT INTELLIGENCE REPORT</t>
  </si>
  <si>
    <t xml:space="preserve">Project: 2009 - Chinn Greenwood Ave Apartments</t>
  </si>
  <si>
    <t xml:space="preserve">Contractor: OWP, LLC (One-Way Plumbing)</t>
  </si>
  <si>
    <t xml:space="preserve">GC: Chinn Construction, LLC</t>
  </si>
  <si>
    <t xml:space="preserve">Report Date: April 5, 2026</t>
  </si>
  <si>
    <t xml:space="preserve">SECTION</t>
  </si>
  <si>
    <t xml:space="preserve">METRIC</t>
  </si>
  <si>
    <t xml:space="preserve">VALUE</t>
  </si>
  <si>
    <t xml:space="preserve">NOTES</t>
  </si>
  <si>
    <t xml:space="preserve">Project Overview</t>
  </si>
  <si>
    <t xml:space="preserve">Job Number</t>
  </si>
  <si>
    <t xml:space="preserve">2009</t>
  </si>
  <si>
    <t xml:space="preserve">Chinn Greenwood Ave Apts</t>
  </si>
  <si>
    <t xml:space="preserve">Location</t>
  </si>
  <si>
    <t xml:space="preserve">Seattle, WA (Greenwood &amp; 107th)</t>
  </si>
  <si>
    <t xml:space="preserve">Multi-family residential apartments</t>
  </si>
  <si>
    <t xml:space="preserve">Trade</t>
  </si>
  <si>
    <t xml:space="preserve">Plumbing</t>
  </si>
  <si>
    <t xml:space="preserve">Specialty subcontractor</t>
  </si>
  <si>
    <t xml:space="preserve">General Contractor</t>
  </si>
  <si>
    <t xml:space="preserve">Chinn Construction, LLC</t>
  </si>
  <si>
    <t xml:space="preserve">Identified from AR invoices in JDR</t>
  </si>
  <si>
    <t xml:space="preserve">Project Duration</t>
  </si>
  <si>
    <t xml:space="preserve">Jul 2012 - Aug 2013 (~13 months)</t>
  </si>
  <si>
    <t xml:space="preserve">Permit to final billing</t>
  </si>
  <si>
    <t xml:space="preserve">Total Documents</t>
  </si>
  <si>
    <t xml:space="preserve">317 files</t>
  </si>
  <si>
    <t xml:space="preserve">124 PDF, 164 XLS/XLSX, 26 DOC/DOCX, 2 ZIP, 1 DB</t>
  </si>
  <si>
    <t xml:space="preserve">Duplicate Files</t>
  </si>
  <si>
    <t xml:space="preserve">79 exact duplicate groups (158 files)</t>
  </si>
  <si>
    <t xml:space="preserve">25% of all files are duplicates</t>
  </si>
  <si>
    <t xml:space="preserve">Financial Summary</t>
  </si>
  <si>
    <t xml:space="preserve">Total Revenue (Billed)</t>
  </si>
  <si>
    <t xml:space="preserve">$394,208.00</t>
  </si>
  <si>
    <t xml:space="preserve">12 invoices to Chinn Construction</t>
  </si>
  <si>
    <t xml:space="preserve">Total Expenses</t>
  </si>
  <si>
    <t xml:space="preserve">$287,899.37</t>
  </si>
  <si>
    <t xml:space="preserve">GL $3,531 + AP $158,779 + PR $125,589</t>
  </si>
  <si>
    <t xml:space="preserve">Net Profit</t>
  </si>
  <si>
    <t xml:space="preserve">$106,308.63</t>
  </si>
  <si>
    <t xml:space="preserve">27.0% profit margin</t>
  </si>
  <si>
    <t xml:space="preserve">Retainage Outstanding</t>
  </si>
  <si>
    <t xml:space="preserve">$19,710.40</t>
  </si>
  <si>
    <t xml:space="preserve">5% of revenue - still held</t>
  </si>
  <si>
    <t xml:space="preserve">Budget vs Actual</t>
  </si>
  <si>
    <t xml:space="preserve">$9,308 better than budget</t>
  </si>
  <si>
    <t xml:space="preserve">Revenue +2.4%, material savings offset labor overruns</t>
  </si>
  <si>
    <t xml:space="preserve">Expense Breakdown</t>
  </si>
  <si>
    <t xml:space="preserve">Direct Labor</t>
  </si>
  <si>
    <t xml:space="preserve">$84,698.00</t>
  </si>
  <si>
    <t xml:space="preserve">29.4% of expenses | 4,116 hours | $20.58/hr avg</t>
  </si>
  <si>
    <t xml:space="preserve">Payroll Burden</t>
  </si>
  <si>
    <t xml:space="preserve">$34,412.05</t>
  </si>
  <si>
    <t xml:space="preserve">11.9% of expenses</t>
  </si>
  <si>
    <t xml:space="preserve">Payroll Taxes</t>
  </si>
  <si>
    <t xml:space="preserve">$6,479.41</t>
  </si>
  <si>
    <t xml:space="preserve">2.2% of expenses</t>
  </si>
  <si>
    <t xml:space="preserve">Materials</t>
  </si>
  <si>
    <t xml:space="preserve">$151,064.39</t>
  </si>
  <si>
    <t xml:space="preserve">52.5% of expenses | 23% under budget</t>
  </si>
  <si>
    <t xml:space="preserve">Subcontractor</t>
  </si>
  <si>
    <t xml:space="preserve">$2,379.00</t>
  </si>
  <si>
    <t xml:space="preserve">0.8% | Backflow testing, concrete</t>
  </si>
  <si>
    <t xml:space="preserve">Engineering/Plans</t>
  </si>
  <si>
    <t xml:space="preserve">$4,990.08</t>
  </si>
  <si>
    <t xml:space="preserve">1.7% | DRSi, Franklin Engineering</t>
  </si>
  <si>
    <t xml:space="preserve">Permits &amp; Licenses</t>
  </si>
  <si>
    <t xml:space="preserve">$3,735.00</t>
  </si>
  <si>
    <t xml:space="preserve">1.3%</t>
  </si>
  <si>
    <t xml:space="preserve">Other Expenses</t>
  </si>
  <si>
    <t xml:space="preserve">$141.44</t>
  </si>
  <si>
    <t xml:space="preserve">&lt;0.1%</t>
  </si>
  <si>
    <t xml:space="preserve">Key Findings</t>
  </si>
  <si>
    <t xml:space="preserve">Profit Margin</t>
  </si>
  <si>
    <t xml:space="preserve">27.0% - Strong</t>
  </si>
  <si>
    <t xml:space="preserve">Well above 15-20% industry avg for plumbing subs</t>
  </si>
  <si>
    <t xml:space="preserve">Labor:Material Ratio</t>
  </si>
  <si>
    <t xml:space="preserve">44:52</t>
  </si>
  <si>
    <t xml:space="preserve">Normal range (industry: 40-60% labor, 30-50% material)</t>
  </si>
  <si>
    <t xml:space="preserve">Biggest Budget Overrun</t>
  </si>
  <si>
    <t xml:space="preserve">Roughin Labor +$11,614 (+33.7%)</t>
  </si>
  <si>
    <t xml:space="preserve">2,311 hours vs budgeted — scope/complexity underestimated</t>
  </si>
  <si>
    <t xml:space="preserve">Biggest Savings</t>
  </si>
  <si>
    <t xml:space="preserve">Finish Material -$33,294 (-23.2%)</t>
  </si>
  <si>
    <t xml:space="preserve">Strong procurement/buyout on fixtures</t>
  </si>
  <si>
    <t xml:space="preserve">Workforce</t>
  </si>
  <si>
    <t xml:space="preserve">22 workers, peak crew ~12</t>
  </si>
  <si>
    <t xml:space="preserve">Superintendent: Jeffrey Gerard (full project)</t>
  </si>
  <si>
    <t xml:space="preserve">Cortex Coverage</t>
  </si>
  <si>
    <t xml:space="preserve">Schemas Present</t>
  </si>
  <si>
    <t xml:space="preserve">5 of 13</t>
  </si>
  <si>
    <t xml:space="preserve">Submittal, Pay Apps, Job Cost, Design Changes, PO</t>
  </si>
  <si>
    <t xml:space="preserve">Schemas Missing</t>
  </si>
  <si>
    <t xml:space="preserve">8 of 13</t>
  </si>
  <si>
    <t xml:space="preserve">Contract Clause, Change Order, RFI, Daily Report, etc.</t>
  </si>
  <si>
    <t xml:space="preserve">Use Cases Unlockable</t>
  </si>
  <si>
    <t xml:space="preserve">~8 of 30</t>
  </si>
  <si>
    <t xml:space="preserve">Limited by missing schemas</t>
  </si>
  <si>
    <t xml:space="preserve">Estimated Coverage</t>
  </si>
  <si>
    <t xml:space="preserve">18.6%</t>
  </si>
  <si>
    <t xml:space="preserve">64 of 344 Cortex fields coverable</t>
  </si>
  <si>
    <t xml:space="preserve">PROFITABILITY SUMMARY — JOB 2009 CHINN GREENWOOD</t>
  </si>
  <si>
    <t xml:space="preserve">FINANCIAL OVERVIEW</t>
  </si>
  <si>
    <t xml:space="preserve">Metric</t>
  </si>
  <si>
    <t xml:space="preserve">Amount</t>
  </si>
  <si>
    <t xml:space="preserve">Notes</t>
  </si>
  <si>
    <t xml:space="preserve">Total Revenue (Billed to GC)</t>
  </si>
  <si>
    <t xml:space="preserve">12 invoices to Chinn Construction, LLC</t>
  </si>
  <si>
    <t xml:space="preserve">GL $3,530.76 + AP $158,779.15 + PR $125,589.46</t>
  </si>
  <si>
    <t xml:space="preserve">Formula</t>
  </si>
  <si>
    <t xml:space="preserve">Profit Margin %</t>
  </si>
  <si>
    <t xml:space="preserve">5% of revenue — still held by GC</t>
  </si>
  <si>
    <t xml:space="preserve">Original Revenue Budget</t>
  </si>
  <si>
    <t xml:space="preserve">From JDR Org Budget</t>
  </si>
  <si>
    <t xml:space="preserve">Revenue vs Budget Variance</t>
  </si>
  <si>
    <t xml:space="preserve">COST BREAKDOWN BY CATEGORY</t>
  </si>
  <si>
    <t xml:space="preserve">Category</t>
  </si>
  <si>
    <t xml:space="preserve">Cost Code Range</t>
  </si>
  <si>
    <t xml:space="preserve">Org Budget</t>
  </si>
  <si>
    <t xml:space="preserve">Actual Amount</t>
  </si>
  <si>
    <t xml:space="preserve">Budget Variance</t>
  </si>
  <si>
    <t xml:space="preserve">% of Expenses</t>
  </si>
  <si>
    <t xml:space="preserve">Assessment</t>
  </si>
  <si>
    <t xml:space="preserve">011-150</t>
  </si>
  <si>
    <t xml:space="preserve">17.1% over budget — Roughin drove overrun</t>
  </si>
  <si>
    <t xml:space="preserve">995</t>
  </si>
  <si>
    <t xml:space="preserve">Scales with labor hours</t>
  </si>
  <si>
    <t xml:space="preserve">998</t>
  </si>
  <si>
    <t xml:space="preserve">039, 210-245</t>
  </si>
  <si>
    <t xml:space="preserve">23% UNDER budget — strong buyout savings</t>
  </si>
  <si>
    <t xml:space="preserve">600</t>
  </si>
  <si>
    <t xml:space="preserve">Backflow testing, concrete work</t>
  </si>
  <si>
    <t xml:space="preserve">601</t>
  </si>
  <si>
    <t xml:space="preserve">DRSi, Franklin Engineering</t>
  </si>
  <si>
    <t xml:space="preserve">603</t>
  </si>
  <si>
    <t xml:space="preserve">Seattle plumbing + backflow permits</t>
  </si>
  <si>
    <t xml:space="preserve">607</t>
  </si>
  <si>
    <t xml:space="preserve">Miscellaneous</t>
  </si>
  <si>
    <t xml:space="preserve">TOTAL EXPENSES</t>
  </si>
  <si>
    <t xml:space="preserve">COST CODE DETAIL — ALL 28 CODES</t>
  </si>
  <si>
    <t xml:space="preserve">Code</t>
  </si>
  <si>
    <t xml:space="preserve">Description</t>
  </si>
  <si>
    <t xml:space="preserve">Type</t>
  </si>
  <si>
    <t xml:space="preserve">Rev Budget</t>
  </si>
  <si>
    <t xml:space="preserve">+/- Budget</t>
  </si>
  <si>
    <t xml:space="preserve">Bgt Var %</t>
  </si>
  <si>
    <t xml:space="preserve">011</t>
  </si>
  <si>
    <t xml:space="preserve">DS &amp; RD Labor</t>
  </si>
  <si>
    <t xml:space="preserve">Labor</t>
  </si>
  <si>
    <t xml:space="preserve">039</t>
  </si>
  <si>
    <t xml:space="preserve">DS &amp; RD Material</t>
  </si>
  <si>
    <t xml:space="preserve">Material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</si>
  <si>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</si>
  <si>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</si>
  <si>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</si>
  <si>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</si>
  <si>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</si>
  <si>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</si>
  <si>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</si>
  <si>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</si>
  <si>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</si>
  <si>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</si>
  <si>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</si>
  <si>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</si>
  <si>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</si>
  <si>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</si>
  <si>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</si>
  <si>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</si>
  <si>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</si>
  <si>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</si>
  <si>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</si>
  <si>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</si>
  <si>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</si>
  <si>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</si>
  <si>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</si>
  <si>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</si>
  <si>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</si>
  <si>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</si>
  <si>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</si>
  <si>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</si>
  <si>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</si>
  <si>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</si>
  <si>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</si>
  <si>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</si>
  <si>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241</t>
  </si>
  <si>
    <t xml:space="preserve">Water Main/Insul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</si>
  <si>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</si>
  <si>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</si>
  <si>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</si>
  <si>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</si>
  <si>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Other</t>
  </si>
  <si>
    <t xml:space="preserve">Overhead</t>
  </si>
  <si>
    <t xml:space="preserve">999</t>
  </si>
  <si>
    <t xml:space="preserve">Sales (Revenue)</t>
  </si>
  <si>
    <t xml:space="preserve">Revenue</t>
  </si>
  <si>
    <t xml:space="preserve">REVENUE DETAIL — BILLINGS TO CHINN CONSTRUCTION, LLC</t>
  </si>
  <si>
    <t xml:space="preserve">Date</t>
  </si>
  <si>
    <t xml:space="preserve">Invoice #</t>
  </si>
  <si>
    <t xml:space="preserve">Retainage (5%)</t>
  </si>
  <si>
    <t xml:space="preserve">07/19/12</t>
  </si>
  <si>
    <t xml:space="preserve">036335</t>
  </si>
  <si>
    <t xml:space="preserve">$3,300 + $4,300 + $4,600</t>
  </si>
  <si>
    <t xml:space="preserve">$165 + $215 + $230</t>
  </si>
  <si>
    <t xml:space="preserve">Underground phase</t>
  </si>
  <si>
    <t xml:space="preserve">08/16/12</t>
  </si>
  <si>
    <t xml:space="preserve">036340</t>
  </si>
  <si>
    <t xml:space="preserve">$9,600 + $29,900</t>
  </si>
  <si>
    <t xml:space="preserve">$480 + $1,495</t>
  </si>
  <si>
    <t xml:space="preserve">Underground + Roughin start</t>
  </si>
  <si>
    <t xml:space="preserve">09/20/12</t>
  </si>
  <si>
    <t xml:space="preserve">036344</t>
  </si>
  <si>
    <t xml:space="preserve">$8,300</t>
  </si>
  <si>
    <t xml:space="preserve">$415</t>
  </si>
  <si>
    <t xml:space="preserve">Roughin</t>
  </si>
  <si>
    <t xml:space="preserve">10/18/12</t>
  </si>
  <si>
    <t xml:space="preserve">036351</t>
  </si>
  <si>
    <t xml:space="preserve">$44,500 + $35,000 + $9,000</t>
  </si>
  <si>
    <t xml:space="preserve">$2,225 + $1,750 + $450</t>
  </si>
  <si>
    <t xml:space="preserve">Peak roughin billing</t>
  </si>
  <si>
    <t xml:space="preserve">11/15/12</t>
  </si>
  <si>
    <t xml:space="preserve">036356</t>
  </si>
  <si>
    <t xml:space="preserve">$1,010 + $9,100 + $9,090 + $35,100 + $9,090 + $40,000 + $9,090</t>
  </si>
  <si>
    <t xml:space="preserve">$50.50 + various</t>
  </si>
  <si>
    <t xml:space="preserve">Major roughin billing</t>
  </si>
  <si>
    <t xml:space="preserve">12/20/12</t>
  </si>
  <si>
    <t xml:space="preserve">036364</t>
  </si>
  <si>
    <t xml:space="preserve">$11,100 + $4,100 + $1,950 credit</t>
  </si>
  <si>
    <t xml:space="preserve">$555 + $205 + $97.50 credit</t>
  </si>
  <si>
    <t xml:space="preserve">Roughin close-out</t>
  </si>
  <si>
    <t xml:space="preserve">02/19/13</t>
  </si>
  <si>
    <t xml:space="preserve">036373</t>
  </si>
  <si>
    <t xml:space="preserve">$180 + $17,200 + multi items</t>
  </si>
  <si>
    <t xml:space="preserve">$9 + $860 + various</t>
  </si>
  <si>
    <t xml:space="preserve">Trim start + retainage adj</t>
  </si>
  <si>
    <t xml:space="preserve">03/19/13</t>
  </si>
  <si>
    <t xml:space="preserve">036379</t>
  </si>
  <si>
    <t xml:space="preserve">$6,400</t>
  </si>
  <si>
    <t xml:space="preserve">$320</t>
  </si>
  <si>
    <t xml:space="preserve">Trim</t>
  </si>
  <si>
    <t xml:space="preserve">04/18/13</t>
  </si>
  <si>
    <t xml:space="preserve">036389</t>
  </si>
  <si>
    <t xml:space="preserve">$20,000 + $25,740 + others</t>
  </si>
  <si>
    <t xml:space="preserve">$1,000 + $1,287 + various</t>
  </si>
  <si>
    <t xml:space="preserve">Trim major billing</t>
  </si>
  <si>
    <t xml:space="preserve">05/16/13</t>
  </si>
  <si>
    <t xml:space="preserve">036400</t>
  </si>
  <si>
    <t xml:space="preserve">$2,860 + $25,740 + $5,740 + others</t>
  </si>
  <si>
    <t xml:space="preserve">$143 + $1,287 + various</t>
  </si>
  <si>
    <t xml:space="preserve">Trim + finish billing</t>
  </si>
  <si>
    <t xml:space="preserve">08/20/13</t>
  </si>
  <si>
    <t xml:space="preserve">036419</t>
  </si>
  <si>
    <t xml:space="preserve">$71 credit</t>
  </si>
  <si>
    <t xml:space="preserve">$3.55 credit</t>
  </si>
  <si>
    <t xml:space="preserve">Adjustment</t>
  </si>
  <si>
    <t xml:space="preserve">08/27/13</t>
  </si>
  <si>
    <t xml:space="preserve">036418</t>
  </si>
  <si>
    <t xml:space="preserve">$1,353 credit</t>
  </si>
  <si>
    <t xml:space="preserve">$67.65 credit</t>
  </si>
  <si>
    <t xml:space="preserve">Final adjustment</t>
  </si>
  <si>
    <t xml:space="preserve">TOTAL BILLED</t>
  </si>
  <si>
    <t xml:space="preserve">LABOR &amp; PRODUCTIVITY ANALYSIS</t>
  </si>
  <si>
    <t xml:space="preserve">LABOR HOURS &amp; COST BY PHASE</t>
  </si>
  <si>
    <t xml:space="preserve">Phase</t>
  </si>
  <si>
    <t xml:space="preserve">Hours</t>
  </si>
  <si>
    <t xml:space="preserve">$/Hour</t>
  </si>
  <si>
    <t xml:space="preserve">Budget Var $</t>
  </si>
  <si>
    <t xml:space="preserve">Budget Var %</t>
  </si>
  <si>
    <t xml:space="preserve">DS &amp; RD</t>
  </si>
  <si>
    <t xml:space="preserve">Takeoff &amp; Purchase</t>
  </si>
  <si>
    <t xml:space="preserve">Underground</t>
  </si>
  <si>
    <t xml:space="preserve">Garage</t>
  </si>
  <si>
    <t xml:space="preserve">Canout</t>
  </si>
  <si>
    <t xml:space="preserve">Finish/Trim</t>
  </si>
  <si>
    <t xml:space="preserve">Water Main/Insulation</t>
  </si>
  <si>
    <t xml:space="preserve">Mech Room</t>
  </si>
  <si>
    <t xml:space="preserve">Tub/Shower</t>
  </si>
  <si>
    <t xml:space="preserve">Warranty</t>
  </si>
  <si>
    <t xml:space="preserve">TOTAL</t>
  </si>
  <si>
    <t xml:space="preserve">KEY LABOR METRICS</t>
  </si>
  <si>
    <t xml:space="preserve">Total Direct Labor Cost</t>
  </si>
  <si>
    <t xml:space="preserve">Total Labor Hours</t>
  </si>
  <si>
    <t xml:space="preserve">Effective Labor Rate (avg)</t>
  </si>
  <si>
    <t xml:space="preserve">Labor as % of Total Expenses</t>
  </si>
  <si>
    <t xml:space="preserve">Labor + Burden + Tax as % of Expenses</t>
  </si>
  <si>
    <t xml:space="preserve">Roughin % of Total Labor</t>
  </si>
  <si>
    <t xml:space="preserve">Roughin % of Total Hours</t>
  </si>
  <si>
    <t xml:space="preserve">Peak Crew Size (Oct 2012 roughin)</t>
  </si>
  <si>
    <t xml:space="preserve">Unique Workers on Project</t>
  </si>
  <si>
    <t xml:space="preserve">WORKER ROSTER</t>
  </si>
  <si>
    <t xml:space="preserve">Name</t>
  </si>
  <si>
    <t xml:space="preserve">Employee Code</t>
  </si>
  <si>
    <t xml:space="preserve">Role</t>
  </si>
  <si>
    <t xml:space="preserve">Primary Phase(s)</t>
  </si>
  <si>
    <t xml:space="preserve">Gerard, Jeffrey S</t>
  </si>
  <si>
    <t xml:space="preserve">GE69</t>
  </si>
  <si>
    <t xml:space="preserve">Superintendent/PM</t>
  </si>
  <si>
    <t xml:space="preserve">All phases (Jul 2012 - Jun 2013)</t>
  </si>
  <si>
    <t xml:space="preserve">Quintanilla, Esteban R</t>
  </si>
  <si>
    <t xml:space="preserve">QU35</t>
  </si>
  <si>
    <t xml:space="preserve">Lead Plumber</t>
  </si>
  <si>
    <t xml:space="preserve">Roughin, Garage, Mech Room (highest hours)</t>
  </si>
  <si>
    <t xml:space="preserve">Castro Hernandez, Carlos E</t>
  </si>
  <si>
    <t xml:space="preserve">CA75</t>
  </si>
  <si>
    <t xml:space="preserve">Journeyman</t>
  </si>
  <si>
    <t xml:space="preserve">Roughin, Finish</t>
  </si>
  <si>
    <t xml:space="preserve">Castro Hernandez, Jose A</t>
  </si>
  <si>
    <t xml:space="preserve">CA77</t>
  </si>
  <si>
    <t xml:space="preserve">Palma Vides, Hugo</t>
  </si>
  <si>
    <t xml:space="preserve">PA46</t>
  </si>
  <si>
    <t xml:space="preserve">Roughin (40hr weeks)</t>
  </si>
  <si>
    <t xml:space="preserve">Sanders, Allen O</t>
  </si>
  <si>
    <t xml:space="preserve">SA54</t>
  </si>
  <si>
    <t xml:space="preserve">Roughin, Finish, Trim</t>
  </si>
  <si>
    <t xml:space="preserve">Ramirez, Lorenzo A</t>
  </si>
  <si>
    <t xml:space="preserve">RA50</t>
  </si>
  <si>
    <t xml:space="preserve">Mazil, Antonio</t>
  </si>
  <si>
    <t xml:space="preserve">MA98</t>
  </si>
  <si>
    <t xml:space="preserve">Cortes Mendiola, Victor H</t>
  </si>
  <si>
    <t xml:space="preserve">CO71</t>
  </si>
  <si>
    <t xml:space="preserve">Arreola, Israel A</t>
  </si>
  <si>
    <t xml:space="preserve">AR70</t>
  </si>
  <si>
    <t xml:space="preserve">Veley, Nathaniel S</t>
  </si>
  <si>
    <t xml:space="preserve">VE45</t>
  </si>
  <si>
    <t xml:space="preserve">Hubbard, Robert W</t>
  </si>
  <si>
    <t xml:space="preserve">HU06</t>
  </si>
  <si>
    <t xml:space="preserve">Apprentice</t>
  </si>
  <si>
    <t xml:space="preserve">Meza Fuentes, Erick A</t>
  </si>
  <si>
    <t xml:space="preserve">ME98</t>
  </si>
  <si>
    <t xml:space="preserve">McCabe, Thomas C</t>
  </si>
  <si>
    <t xml:space="preserve">MC09</t>
  </si>
  <si>
    <t xml:space="preserve">DS&amp;RD, Finish</t>
  </si>
  <si>
    <t xml:space="preserve">Waites, Thaddeus Z</t>
  </si>
  <si>
    <t xml:space="preserve">WA35</t>
  </si>
  <si>
    <t xml:space="preserve">Barnhart, Joseph N</t>
  </si>
  <si>
    <t xml:space="preserve">BA70</t>
  </si>
  <si>
    <t xml:space="preserve">Finish, Trim</t>
  </si>
  <si>
    <t xml:space="preserve">Soto Cruz, Jovani</t>
  </si>
  <si>
    <t xml:space="preserve">SO78</t>
  </si>
  <si>
    <t xml:space="preserve">Paco Leyva, Orlando</t>
  </si>
  <si>
    <t xml:space="preserve">PA11</t>
  </si>
  <si>
    <t xml:space="preserve">Reed, Reuben H</t>
  </si>
  <si>
    <t xml:space="preserve">RE18</t>
  </si>
  <si>
    <t xml:space="preserve">Underground (short stint)</t>
  </si>
  <si>
    <t xml:space="preserve">Sepulveda Gonzalez, Alfredo</t>
  </si>
  <si>
    <t xml:space="preserve">SE64</t>
  </si>
  <si>
    <t xml:space="preserve">Finish</t>
  </si>
  <si>
    <t xml:space="preserve">Lima Romero, Melvin A</t>
  </si>
  <si>
    <t xml:space="preserve">LI49</t>
  </si>
  <si>
    <t xml:space="preserve">Finish (limited hours)</t>
  </si>
  <si>
    <t xml:space="preserve">Soto Serna, Cesar E</t>
  </si>
  <si>
    <t xml:space="preserve">SO79</t>
  </si>
  <si>
    <t xml:space="preserve">Finish (limited)</t>
  </si>
  <si>
    <t xml:space="preserve">File Name</t>
  </si>
  <si>
    <t xml:space="preserve">Relative Path</t>
  </si>
  <si>
    <t xml:space="preserve">Directory</t>
  </si>
  <si>
    <t xml:space="preserve">Extension</t>
  </si>
  <si>
    <t xml:space="preserve">Size (KB)</t>
  </si>
  <si>
    <t xml:space="preserve">Document Category</t>
  </si>
  <si>
    <t xml:space="preserve">Cortex Schema</t>
  </si>
  <si>
    <t xml:space="preserve">greenwood waste stacks.xls</t>
  </si>
  <si>
    <t xml:space="preserve">.</t>
  </si>
  <si>
    <t xml:space="preserve">.xls</t>
  </si>
  <si>
    <t xml:space="preserve">50.5</t>
  </si>
  <si>
    <t xml:space="preserve">Unclassified</t>
  </si>
  <si>
    <t xml:space="preserve">greenwood h20 stacks.xls</t>
  </si>
  <si>
    <t xml:space="preserve">52.0</t>
  </si>
  <si>
    <t xml:space="preserve">Chinn Greenwood P-tag list and front page detail.xlsx</t>
  </si>
  <si>
    <t xml:space="preserve">.xlsx</t>
  </si>
  <si>
    <t xml:space="preserve">31.2</t>
  </si>
  <si>
    <t xml:space="preserve">Chinn Greenwood P-tag list and front page detail.xls</t>
  </si>
  <si>
    <t xml:space="preserve">60.0</t>
  </si>
  <si>
    <t xml:space="preserve">GREENWOOD WATTS.xls</t>
  </si>
  <si>
    <t xml:space="preserve">PO Scheduled/GREENWOOD WATTS.xls</t>
  </si>
  <si>
    <t xml:space="preserve">PO Scheduled</t>
  </si>
  <si>
    <t xml:space="preserve">35.0</t>
  </si>
  <si>
    <t xml:space="preserve">Purchase Order</t>
  </si>
  <si>
    <t xml:space="preserve">Job Cost Report</t>
  </si>
  <si>
    <t xml:space="preserve">GREENWOOD SIOUX CHIEF QUOTE.xls</t>
  </si>
  <si>
    <t xml:space="preserve">PO Scheduled/GREENWOOD SIOUX CHIEF QUOTE.xls</t>
  </si>
  <si>
    <t xml:space="preserve">GREENWOODDRAINS L-1.xls</t>
  </si>
  <si>
    <t xml:space="preserve">PO Scheduled/GREENWOODDRAINS L-1.xls</t>
  </si>
  <si>
    <t xml:space="preserve">38.0</t>
  </si>
  <si>
    <t xml:space="preserve">GREENWOOD 5-7-13 45169.xls</t>
  </si>
  <si>
    <t xml:space="preserve">PO Scheduled/GREENWOOD 5-7-13 45169.xls</t>
  </si>
  <si>
    <t xml:space="preserve">34.5</t>
  </si>
  <si>
    <t xml:space="preserve">GREENWOOD PEX MAINS.xls</t>
  </si>
  <si>
    <t xml:space="preserve">PO Scheduled/GREENWOOD PEX MAINS.xls</t>
  </si>
  <si>
    <t xml:space="preserve">39.5</t>
  </si>
  <si>
    <t xml:space="preserve">Greenwood lsp direct FEI 15553 ROB.xlsx</t>
  </si>
  <si>
    <t xml:space="preserve">PO Scheduled/Greenwood lsp direct FEI 15553 ROB.xlsx</t>
  </si>
  <si>
    <t xml:space="preserve">18.2</t>
  </si>
  <si>
    <t xml:space="preserve">GREENWOOD STALLS.xls</t>
  </si>
  <si>
    <t xml:space="preserve">PO Scheduled/GREENWOOD STALLS.xls</t>
  </si>
  <si>
    <t xml:space="preserve">GREENWOOD ZOELLER.xls</t>
  </si>
  <si>
    <t xml:space="preserve">PO Scheduled/GREENWOOD ZOELLER.xls</t>
  </si>
  <si>
    <t xml:space="preserve">Greenwood GARAGE BASINS.xls</t>
  </si>
  <si>
    <t xml:space="preserve">PO Scheduled/Greenwood GARAGE BASINS.xls</t>
  </si>
  <si>
    <t xml:space="preserve">36.0</t>
  </si>
  <si>
    <t xml:space="preserve">Greenwood water service copper.xls</t>
  </si>
  <si>
    <t xml:space="preserve">PO Scheduled/Greenwood water service copper.xls</t>
  </si>
  <si>
    <t xml:space="preserve">GREENWOOD TRIM L-1 15626.xlsx</t>
  </si>
  <si>
    <t xml:space="preserve">PO Scheduled/GREENWOOD TRIM L-1 15626.xlsx</t>
  </si>
  <si>
    <t xml:space="preserve">19.2</t>
  </si>
  <si>
    <t xml:space="preserve">GREENWOOD RELIEF PAN DRAINS.xls</t>
  </si>
  <si>
    <t xml:space="preserve">PO Scheduled/GREENWOOD RELIEF PAN DRAINS.xls</t>
  </si>
  <si>
    <t xml:space="preserve">35.5</t>
  </si>
  <si>
    <t xml:space="preserve">GREENWOOD MISC 45084 11-29-12.xls</t>
  </si>
  <si>
    <t xml:space="preserve">PO Scheduled/GREENWOOD MISC 45084 11-29-12.xls</t>
  </si>
  <si>
    <t xml:space="preserve">Greenwood PROSET.xls</t>
  </si>
  <si>
    <t xml:space="preserve">PO Scheduled/Greenwood PROSET.xls</t>
  </si>
  <si>
    <t xml:space="preserve">GREENWOOD MISC 11-7-12.xls</t>
  </si>
  <si>
    <t xml:space="preserve">PO Scheduled/GREENWOOD MISC 11-7-12.xls</t>
  </si>
  <si>
    <t xml:space="preserve">GREENWOOD ADA KITCHEN SINKS 15674.xlsx</t>
  </si>
  <si>
    <t xml:space="preserve">PO Scheduled/GREENWOOD ADA KITCHEN SINKS 15674.xlsx</t>
  </si>
  <si>
    <t xml:space="preserve">20.4</t>
  </si>
  <si>
    <t xml:space="preserve">Greenwood UNIT PEX FEI.xls</t>
  </si>
  <si>
    <t xml:space="preserve">PO Scheduled/Greenwood UNIT PEX FEI.xls</t>
  </si>
  <si>
    <t xml:space="preserve">36.5</t>
  </si>
  <si>
    <t xml:space="preserve">GREENWOOD RI MATERIAL PVC.xls</t>
  </si>
  <si>
    <t xml:space="preserve">PO Scheduled/GREENWOOD RI MATERIAL PVC.xls</t>
  </si>
  <si>
    <t xml:space="preserve">Greenwood lsp direct FEI 15553.xlsx</t>
  </si>
  <si>
    <t xml:space="preserve">PO Scheduled/Greenwood lsp direct FEI 15553.xlsx</t>
  </si>
  <si>
    <t xml:space="preserve">18.1</t>
  </si>
  <si>
    <t xml:space="preserve">GREENWOOD ADA COVERS 45180 6-12-13.xls</t>
  </si>
  <si>
    <t xml:space="preserve">PO Scheduled/GREENWOOD ADA COVERS 45180 6-12-13.xls</t>
  </si>
  <si>
    <t xml:space="preserve">GREENWOOD MISC TRIM 15676.xls</t>
  </si>
  <si>
    <t xml:space="preserve">PO Scheduled/GREENWOOD MISC TRIM 15676.xls</t>
  </si>
  <si>
    <t xml:space="preserve">GREENWOOD TRIM L-3 lva faucets 15675.xlsx</t>
  </si>
  <si>
    <t xml:space="preserve">PO Scheduled/GREENWOOD TRIM L-3 lva faucets 15675.xlsx</t>
  </si>
  <si>
    <t xml:space="preserve">17.9</t>
  </si>
  <si>
    <t xml:space="preserve">GREENWOOD FAUCET BRETT.xls</t>
  </si>
  <si>
    <t xml:space="preserve">PO Scheduled/GREENWOOD FAUCET BRETT.xls</t>
  </si>
  <si>
    <t xml:space="preserve">Greenwood MSI BOOSTER PUMP.xls</t>
  </si>
  <si>
    <t xml:space="preserve">PO Scheduled/Greenwood MSI BOOSTER PUMP.xls</t>
  </si>
  <si>
    <t xml:space="preserve">GREENWOOD MISC MATERIAL 10-31-12.xls</t>
  </si>
  <si>
    <t xml:space="preserve">PO Scheduled/GREENWOOD MISC MATERIAL 10-31-12.xls</t>
  </si>
  <si>
    <t xml:space="preserve">GREENWOOD TRIM L-2 15625.xlsx</t>
  </si>
  <si>
    <t xml:space="preserve">PO Scheduled/GREENWOOD TRIM L-2 15625.xlsx</t>
  </si>
  <si>
    <t xml:space="preserve">Greenwood trench drain KELLER.xls</t>
  </si>
  <si>
    <t xml:space="preserve">PO Scheduled/Greenwood trench drain KELLER.xls</t>
  </si>
  <si>
    <t xml:space="preserve">GREENWOOD 3-21-13 45139.xls</t>
  </si>
  <si>
    <t xml:space="preserve">PO Scheduled/GREENWOOD 3-21-13 45139.xls</t>
  </si>
  <si>
    <t xml:space="preserve">GREENWOOD SPECIALTY PRODUCTS ROB.xls</t>
  </si>
  <si>
    <t xml:space="preserve">PO Scheduled/GREENWOOD SPECIALTY PRODUCTS ROB.xls</t>
  </si>
  <si>
    <t xml:space="preserve">GREENWOOD 12-14-12 45092.xls</t>
  </si>
  <si>
    <t xml:space="preserve">PO Scheduled/GREENWOOD 12-14-12 45092.xls</t>
  </si>
  <si>
    <t xml:space="preserve">GREENWOOD GARAGE MATERIAL PVC.xls</t>
  </si>
  <si>
    <t xml:space="preserve">PO Scheduled/GREENWOOD GARAGE MATERIAL PVC.xls</t>
  </si>
  <si>
    <t xml:space="preserve">38.5</t>
  </si>
  <si>
    <t xml:space="preserve">GREENWOOD 5-1-13 45167.xls</t>
  </si>
  <si>
    <t xml:space="preserve">PO Scheduled/GREENWOOD 5-1-13 45167.xls</t>
  </si>
  <si>
    <t xml:space="preserve">GREENWOOD TRIM L-3 15624.xlsx</t>
  </si>
  <si>
    <t xml:space="preserve">PO Scheduled/GREENWOOD TRIM L-3 15624.xlsx</t>
  </si>
  <si>
    <t xml:space="preserve">19.1</t>
  </si>
  <si>
    <t xml:space="preserve">GREENWOOD PVC 10-8-12.xls</t>
  </si>
  <si>
    <t xml:space="preserve">PO Scheduled/GREENWOOD PVC 10-8-12.xls</t>
  </si>
  <si>
    <t xml:space="preserve">GREENWOOD 5-1-13 45166.xls</t>
  </si>
  <si>
    <t xml:space="preserve">PO Scheduled/GREENWOOD 5-1-13 45166.xls</t>
  </si>
  <si>
    <t xml:space="preserve">GREENWOOD SPECIALTY PRODUCTS.xls</t>
  </si>
  <si>
    <t xml:space="preserve">PO Scheduled/GREENWOOD SPECIALTY PRODUCTS.xls</t>
  </si>
  <si>
    <t xml:space="preserve">GREENWOOD STORM MATERIAL PVC.xls</t>
  </si>
  <si>
    <t xml:space="preserve">PO Scheduled/GREENWOOD STORM MATERIAL PVC.xls</t>
  </si>
  <si>
    <t xml:space="preserve">GREENWOOD ROOFDECK FAUCET 15715.xls</t>
  </si>
  <si>
    <t xml:space="preserve">PO Scheduled/GREENWOOD ROOFDECK FAUCET 15715.xls</t>
  </si>
  <si>
    <t xml:space="preserve">GREENWOOD MISC 10-25-12.xls</t>
  </si>
  <si>
    <t xml:space="preserve">PO Scheduled/GREENWOOD MISC 10-25-12.xls</t>
  </si>
  <si>
    <t xml:space="preserve">GREENWOOD 2-15-13 45118.xls</t>
  </si>
  <si>
    <t xml:space="preserve">PO Scheduled/GREENWOOD 2-15-13 45118.xls</t>
  </si>
  <si>
    <t xml:space="preserve">GREENWOOD GARAGE MATERIAL PVC 10-15-12.xls</t>
  </si>
  <si>
    <t xml:space="preserve">PO Scheduled/GREENWOOD GARAGE MATERIAL PVC 10-15-12.xls</t>
  </si>
  <si>
    <t xml:space="preserve">GREENWOOD TRIM LW 15627.xlsx</t>
  </si>
  <si>
    <t xml:space="preserve">PO Scheduled/GREENWOOD TRIM LW 15627.xlsx</t>
  </si>
  <si>
    <t xml:space="preserve">GREENWOOD CI MATERIAL 10-12-12.xls</t>
  </si>
  <si>
    <t xml:space="preserve">PO Scheduled/GREENWOOD CI MATERIAL 10-12-12.xls</t>
  </si>
  <si>
    <t xml:space="preserve">GREENWOOD STRUT 10-17-12.xls</t>
  </si>
  <si>
    <t xml:space="preserve">PO Scheduled/GREENWOOD STRUT 10-17-12.xls</t>
  </si>
  <si>
    <t xml:space="preserve">GREENWOOD MISC TRIM 15688.xls</t>
  </si>
  <si>
    <t xml:space="preserve">PO Scheduled/GREENWOOD MISC TRIM 15688.xls</t>
  </si>
  <si>
    <t xml:space="preserve">GREENWOOD RI VALVES.xls</t>
  </si>
  <si>
    <t xml:space="preserve">PO Scheduled/GREENWOOD RI VALVES.xls</t>
  </si>
  <si>
    <t xml:space="preserve">GREENWOOD GW.xls</t>
  </si>
  <si>
    <t xml:space="preserve">PO Scheduled/GREENWOOD GW.xls</t>
  </si>
  <si>
    <t xml:space="preserve">GREENWOOD CI MATERIAL.xls</t>
  </si>
  <si>
    <t xml:space="preserve">PO Scheduled/GREENWOOD CI MATERIAL.xls</t>
  </si>
  <si>
    <t xml:space="preserve">GREENWOOD PVCGW8-27-12.xls</t>
  </si>
  <si>
    <t xml:space="preserve">PO Scheduled/GREENWOOD PVCGW8-27-12.xls</t>
  </si>
  <si>
    <t xml:space="preserve">33.5</t>
  </si>
  <si>
    <t xml:space="preserve">Natural and Built Environments Sedona schedule of values.xls</t>
  </si>
  <si>
    <t xml:space="preserve">greenwood billing/Natural and Built Environments Sedona schedule of values.xls</t>
  </si>
  <si>
    <t xml:space="preserve">greenwood billing</t>
  </si>
  <si>
    <t xml:space="preserve">63.0</t>
  </si>
  <si>
    <t xml:space="preserve">Billing/Invoice</t>
  </si>
  <si>
    <t xml:space="preserve">Project Admin Docs (Pay Apps)</t>
  </si>
  <si>
    <t xml:space="preserve">Greenwood Apt  -  Monthly Billing Summary - 5 -11-15-12.xls</t>
  </si>
  <si>
    <t xml:space="preserve">greenwood billing/Greenwood Apt  -  Monthly Billing Summary - 5 -11-15-12.xls</t>
  </si>
  <si>
    <t xml:space="preserve">31.5</t>
  </si>
  <si>
    <t xml:space="preserve">Progress Payment Lien Release - Greenwood Apartments-3.doc</t>
  </si>
  <si>
    <t xml:space="preserve">greenwood billing/Progress Payment Lien Release - Greenwood Apartments-3.doc</t>
  </si>
  <si>
    <t xml:space="preserve">.doc</t>
  </si>
  <si>
    <t xml:space="preserve">37.0</t>
  </si>
  <si>
    <t xml:space="preserve">Greenwood schedule of values- 8 - 3-20-13.xlsx</t>
  </si>
  <si>
    <t xml:space="preserve">greenwood billing/Greenwood schedule of values- 8 - 3-20-13.xlsx</t>
  </si>
  <si>
    <t xml:space="preserve">31.8</t>
  </si>
  <si>
    <t xml:space="preserve">Progress Payment Lien Release - Greenwood Apartments-7.docx</t>
  </si>
  <si>
    <t xml:space="preserve">greenwood billing/Progress Payment Lien Release - Greenwood Apartments-7.docx</t>
  </si>
  <si>
    <t xml:space="preserve">.docx</t>
  </si>
  <si>
    <t xml:space="preserve">21.8</t>
  </si>
  <si>
    <t xml:space="preserve">Greenwood Apt  -  Monthly Billing Summary - 10 -5-16-13.xlsx</t>
  </si>
  <si>
    <t xml:space="preserve">greenwood billing/Greenwood Apt  -  Monthly Billing Summary - 10 -5-16-13.xlsx</t>
  </si>
  <si>
    <t xml:space="preserve">15.2</t>
  </si>
  <si>
    <t xml:space="preserve">Greenwood Apt  -  Monthly Billing Summary - 11 -8-13-13.xlsx</t>
  </si>
  <si>
    <t xml:space="preserve">greenwood billing/Greenwood Apt  -  Monthly Billing Summary - 11 -8-13-13.xlsx</t>
  </si>
  <si>
    <t xml:space="preserve">15.1</t>
  </si>
  <si>
    <t xml:space="preserve">Greenwood Apt  -  Monthly Billing Summary - 7 -2-19-13.xlsx</t>
  </si>
  <si>
    <t xml:space="preserve">greenwood billing/Greenwood Apt  -  Monthly Billing Summary - 7 -2-19-13.xlsx</t>
  </si>
  <si>
    <t xml:space="preserve">Greenwood Apt  -  Monthly Billing Summary - 11 -8-13-13 with Mike D revision Aug 19 2013.xlsx</t>
  </si>
  <si>
    <t xml:space="preserve">greenwood billing/Greenwood Apt  -  Monthly Billing Summary - 11 -8-13-13 with Mike D revision Aug 19 2013.xlsx</t>
  </si>
  <si>
    <t xml:space="preserve">Greenwood schedule of values- 4 - 10-18-12.xls</t>
  </si>
  <si>
    <t xml:space="preserve">greenwood billing/Greenwood schedule of values- 4 - 10-18-12.xls</t>
  </si>
  <si>
    <t xml:space="preserve">61.0</t>
  </si>
  <si>
    <t xml:space="preserve">Greenwood schedule of values- 5 - 11-15-12.xls</t>
  </si>
  <si>
    <t xml:space="preserve">greenwood billing/Greenwood schedule of values- 5 - 11-15-12.xls</t>
  </si>
  <si>
    <t xml:space="preserve">Greenwood Apt  -  Monthly Billing Summary - 6 -12-20-12.xlsx</t>
  </si>
  <si>
    <t xml:space="preserve">greenwood billing/Greenwood Apt  -  Monthly Billing Summary - 6 -12-20-12.xlsx</t>
  </si>
  <si>
    <t xml:space="preserve">Greenwood schedule of values- 3 - 9-20-12.xls</t>
  </si>
  <si>
    <t xml:space="preserve">greenwood billing/Greenwood schedule of values- 3 - 9-20-12.xls</t>
  </si>
  <si>
    <t xml:space="preserve">Greenwood schedule of values- 7 - 2-20-13.xlsx</t>
  </si>
  <si>
    <t xml:space="preserve">greenwood billing/Greenwood schedule of values- 7 - 2-20-13.xlsx</t>
  </si>
  <si>
    <t xml:space="preserve">Progress Payment Lien Release - Greenwood Apartments-2.doc</t>
  </si>
  <si>
    <t xml:space="preserve">greenwood billing/Progress Payment Lien Release - Greenwood Apartments-2.doc</t>
  </si>
  <si>
    <t xml:space="preserve">Greenwood schedule of values- 11 - 8-20-13 revised.xlsx</t>
  </si>
  <si>
    <t xml:space="preserve">greenwood billing/Greenwood schedule of values- 11 - 8-20-13 revised.xlsx</t>
  </si>
  <si>
    <t xml:space="preserve">32.2</t>
  </si>
  <si>
    <t xml:space="preserve">Greenwood Apt  -  Monthly Billing Summary - 1 - 7-19-12.xls</t>
  </si>
  <si>
    <t xml:space="preserve">greenwood billing/Greenwood Apt  -  Monthly Billing Summary - 1 - 7-19-12.xls</t>
  </si>
  <si>
    <t xml:space="preserve">Greenwood schedule of values- 11 - 8-20-13.xlsx</t>
  </si>
  <si>
    <t xml:space="preserve">greenwood billing/Greenwood schedule of values- 11 - 8-20-13.xlsx</t>
  </si>
  <si>
    <t xml:space="preserve">32.0</t>
  </si>
  <si>
    <t xml:space="preserve">Greenwood schedule of values- 10 - 5-20-13.xlsx</t>
  </si>
  <si>
    <t xml:space="preserve">greenwood billing/Greenwood schedule of values- 10 - 5-20-13.xlsx</t>
  </si>
  <si>
    <t xml:space="preserve">Progress Payment Lien Release - Greenwood Apartments-11 revised.docx</t>
  </si>
  <si>
    <t xml:space="preserve">greenwood billing/Progress Payment Lien Release - Greenwood Apartments-11 revised.docx</t>
  </si>
  <si>
    <t xml:space="preserve">GREENWOOD AGGREGATE BILLING.xlsx</t>
  </si>
  <si>
    <t xml:space="preserve">greenwood billing/GREENWOOD AGGREGATE BILLING.xlsx</t>
  </si>
  <si>
    <t xml:space="preserve">14.7</t>
  </si>
  <si>
    <t xml:space="preserve">Greenwood Apt  -  Monthly Billing Summary - 9 -4-18-13.xlsx</t>
  </si>
  <si>
    <t xml:space="preserve">greenwood billing/Greenwood Apt  -  Monthly Billing Summary - 9 -4-18-13.xlsx</t>
  </si>
  <si>
    <t xml:space="preserve">Greenwood Apt  -  Monthly Billing Summary - 4 -10-18-12.xls</t>
  </si>
  <si>
    <t xml:space="preserve">greenwood billing/Greenwood Apt  -  Monthly Billing Summary - 4 -10-18-12.xls</t>
  </si>
  <si>
    <t xml:space="preserve">Greenwood schedule of values- 2 - 8-20-12.xls</t>
  </si>
  <si>
    <t xml:space="preserve">greenwood billing/Greenwood schedule of values- 2 - 8-20-12.xls</t>
  </si>
  <si>
    <t xml:space="preserve">Progress Payment Lien Release - Greenwood Apartments-10.docx</t>
  </si>
  <si>
    <t xml:space="preserve">greenwood billing/Progress Payment Lien Release - Greenwood Apartments-10.docx</t>
  </si>
  <si>
    <t xml:space="preserve">Progress Payment Lien Release - Greenwood Apartments-5.doc</t>
  </si>
  <si>
    <t xml:space="preserve">greenwood billing/Progress Payment Lien Release - Greenwood Apartments-5.doc</t>
  </si>
  <si>
    <t xml:space="preserve">Progress Payment Lien Release - Greenwood Apartments-6.docx</t>
  </si>
  <si>
    <t xml:space="preserve">greenwood billing/Progress Payment Lien Release - Greenwood Apartments-6.docx</t>
  </si>
  <si>
    <t xml:space="preserve">21.7</t>
  </si>
  <si>
    <t xml:space="preserve">Copy of Greenwood Apt  - Subcontractor Monthly Billing Summary Form.xls</t>
  </si>
  <si>
    <t xml:space="preserve">greenwood billing/Copy of Greenwood Apt  - Subcontractor Monthly Billing Summary Form.xls</t>
  </si>
  <si>
    <t xml:space="preserve">30.0</t>
  </si>
  <si>
    <t xml:space="preserve">Progress Payment Lien Release - Greenwood Apartments.doc</t>
  </si>
  <si>
    <t xml:space="preserve">greenwood billing/Progress Payment Lien Release - Greenwood Apartments.doc</t>
  </si>
  <si>
    <t xml:space="preserve">Greenwood Apt  -  Monthly Billing Summary - 3 - 9-20-12.xls</t>
  </si>
  <si>
    <t xml:space="preserve">greenwood billing/Greenwood Apt  -  Monthly Billing Summary - 3 - 9-20-12.xls</t>
  </si>
  <si>
    <t xml:space="preserve">Copy of Chinn Construction Greenwood schedule of values.xls</t>
  </si>
  <si>
    <t xml:space="preserve">greenwood billing/Copy of Chinn Construction Greenwood schedule of values.xls</t>
  </si>
  <si>
    <t xml:space="preserve">Greenwood schedule of values- 6 - 12-20-12 co 1.xlsx</t>
  </si>
  <si>
    <t xml:space="preserve">greenwood billing/Greenwood schedule of values- 6 - 12-20-12 co 1.xlsx</t>
  </si>
  <si>
    <t xml:space="preserve">31.7</t>
  </si>
  <si>
    <t xml:space="preserve">Progress Payment Lien Release - Greenwood Apartments-11.docx</t>
  </si>
  <si>
    <t xml:space="preserve">greenwood billing/Progress Payment Lien Release - Greenwood Apartments-11.docx</t>
  </si>
  <si>
    <t xml:space="preserve">Progress Payment Lien Release - Greenwood Apartments-1.doc</t>
  </si>
  <si>
    <t xml:space="preserve">greenwood billing/Progress Payment Lien Release - Greenwood Apartments-1.doc</t>
  </si>
  <si>
    <t xml:space="preserve">Progress Payment Lien Release - Greenwood Apartments-8.docx</t>
  </si>
  <si>
    <t xml:space="preserve">greenwood billing/Progress Payment Lien Release - Greenwood Apartments-8.docx</t>
  </si>
  <si>
    <t xml:space="preserve">Progress Payment Lien Release - Greenwood Apartments-4.doc</t>
  </si>
  <si>
    <t xml:space="preserve">greenwood billing/Progress Payment Lien Release - Greenwood Apartments-4.doc</t>
  </si>
  <si>
    <t xml:space="preserve">Greenwood schedule of values- 9 - 4-20-13 co4.xlsx</t>
  </si>
  <si>
    <t xml:space="preserve">greenwood billing/Greenwood schedule of values- 9 - 4-20-13 co4.xlsx</t>
  </si>
  <si>
    <t xml:space="preserve">31.9</t>
  </si>
  <si>
    <t xml:space="preserve">Greenwood Apt  -  Monthly Billing Summary - 8 -3-19-13.xlsx</t>
  </si>
  <si>
    <t xml:space="preserve">greenwood billing/Greenwood Apt  -  Monthly Billing Summary - 8 -3-19-13.xlsx</t>
  </si>
  <si>
    <t xml:space="preserve">Greenwood Apt  -  Monthly Billing Summary - 2 - 8-20-12.xls</t>
  </si>
  <si>
    <t xml:space="preserve">greenwood billing/Greenwood Apt  -  Monthly Billing Summary - 2 - 8-20-12.xls</t>
  </si>
  <si>
    <t xml:space="preserve">Greenwood schedule of values- 1 - 7-19-12.xls</t>
  </si>
  <si>
    <t xml:space="preserve">greenwood billing/Greenwood schedule of values- 1 - 7-19-12.xls</t>
  </si>
  <si>
    <t xml:space="preserve">Progress Payment Lien Release - Greenwood Apartments-9.docx</t>
  </si>
  <si>
    <t xml:space="preserve">greenwood billing/Progress Payment Lien Release - Greenwood Apartments-9.docx</t>
  </si>
  <si>
    <t xml:space="preserve">JOB ORDER SUMMARY GREENWOOD.xlsx</t>
  </si>
  <si>
    <t xml:space="preserve">2009-Chinn, Greenwood/JOB ORDER SUMMARY GREENWOOD.xlsx</t>
  </si>
  <si>
    <t xml:space="preserve">2009-Chinn, Greenwood</t>
  </si>
  <si>
    <t xml:space="preserve">13.1</t>
  </si>
  <si>
    <t xml:space="preserve">Greenwood OWP AS BUILT DRAWINGS.pdf</t>
  </si>
  <si>
    <t xml:space="preserve">2009-Chinn, Greenwood/Greenwood OWP AS BUILT DRAWINGS.pdf</t>
  </si>
  <si>
    <t xml:space="preserve">.pdf</t>
  </si>
  <si>
    <t xml:space="preserve">18994.8</t>
  </si>
  <si>
    <t xml:space="preserve">Plans/Drawings</t>
  </si>
  <si>
    <t xml:space="preserve">Design Changes &amp; Pre-CO</t>
  </si>
  <si>
    <t xml:space="preserve">2009-Chinn, Greenwood/greenwood waste stacks.xls</t>
  </si>
  <si>
    <t xml:space="preserve">greenwood plumbing permit.pdf</t>
  </si>
  <si>
    <t xml:space="preserve">2009-Chinn, Greenwood/greenwood plumbing permit.pdf</t>
  </si>
  <si>
    <t xml:space="preserve">246.5</t>
  </si>
  <si>
    <t xml:space="preserve">Permit</t>
  </si>
  <si>
    <t xml:space="preserve">Project Admin Docs</t>
  </si>
  <si>
    <t xml:space="preserve">2009-Chinn, Greenwood/greenwood h20 stacks.xls</t>
  </si>
  <si>
    <t xml:space="preserve">2009-Chinn, Greenwood/Chinn Greenwood P-tag list and front page detail.xlsx</t>
  </si>
  <si>
    <t xml:space="preserve">2009-Chinn, Greenwood/Chinn Greenwood P-tag list and front page detail.xls</t>
  </si>
  <si>
    <t xml:space="preserve">greenwood rpba permit.pdf</t>
  </si>
  <si>
    <t xml:space="preserve">2009-Chinn, Greenwood/greenwood rpba permit.pdf</t>
  </si>
  <si>
    <t xml:space="preserve">237.0</t>
  </si>
  <si>
    <t xml:space="preserve">2009-Chinn, Greenwood/PO Scheduled/GREENWOOD WATTS.xls</t>
  </si>
  <si>
    <t xml:space="preserve">2009-Chinn, Greenwood/PO Scheduled</t>
  </si>
  <si>
    <t xml:space="preserve">2009-Chinn, Greenwood/PO Scheduled/GREENWOOD SIOUX CHIEF QUOTE.xls</t>
  </si>
  <si>
    <t xml:space="preserve">2009-Chinn, Greenwood/PO Scheduled/GREENWOODDRAINS L-1.xls</t>
  </si>
  <si>
    <t xml:space="preserve">2009-Chinn, Greenwood/PO Scheduled/GREENWOOD 5-7-13 45169.xls</t>
  </si>
  <si>
    <t xml:space="preserve">2009-Chinn, Greenwood/PO Scheduled/GREENWOOD PEX MAINS.xls</t>
  </si>
  <si>
    <t xml:space="preserve">2009-Chinn, Greenwood/PO Scheduled/Greenwood lsp direct FEI 15553 ROB.xlsx</t>
  </si>
  <si>
    <t xml:space="preserve">2009-Chinn, Greenwood/PO Scheduled/GREENWOOD STALLS.xls</t>
  </si>
  <si>
    <t xml:space="preserve">2009-Chinn, Greenwood/PO Scheduled/GREENWOOD ZOELLER.xls</t>
  </si>
  <si>
    <t xml:space="preserve">2009-Chinn, Greenwood/PO Scheduled/Greenwood GARAGE BASINS.xls</t>
  </si>
  <si>
    <t xml:space="preserve">2009-Chinn, Greenwood/PO Scheduled/Greenwood water service copper.xls</t>
  </si>
  <si>
    <t xml:space="preserve">2009-Chinn, Greenwood/PO Scheduled/GREENWOOD TRIM L-1 15626.xlsx</t>
  </si>
  <si>
    <t xml:space="preserve">2009-Chinn, Greenwood/PO Scheduled/GREENWOOD RELIEF PAN DRAINS.xls</t>
  </si>
  <si>
    <t xml:space="preserve">2009-Chinn, Greenwood/PO Scheduled/GREENWOOD MISC 45084 11-29-12.xls</t>
  </si>
  <si>
    <t xml:space="preserve">2009-Chinn, Greenwood/PO Scheduled/Greenwood PROSET.xls</t>
  </si>
  <si>
    <t xml:space="preserve">2009-Chinn, Greenwood/PO Scheduled/GREENWOOD MISC 11-7-12.xls</t>
  </si>
  <si>
    <t xml:space="preserve">2009-Chinn, Greenwood/PO Scheduled/GREENWOOD ADA KITCHEN SINKS 15674.xlsx</t>
  </si>
  <si>
    <t xml:space="preserve">2009-Chinn, Greenwood/PO Scheduled/Greenwood UNIT PEX FEI.xls</t>
  </si>
  <si>
    <t xml:space="preserve">2009-Chinn, Greenwood/PO Scheduled/GREENWOOD RI MATERIAL PVC.xls</t>
  </si>
  <si>
    <t xml:space="preserve">2009-Chinn, Greenwood/PO Scheduled/Greenwood lsp direct FEI 15553.xlsx</t>
  </si>
  <si>
    <t xml:space="preserve">2009-Chinn, Greenwood/PO Scheduled/GREENWOOD ADA COVERS 45180 6-12-13.xls</t>
  </si>
  <si>
    <t xml:space="preserve">2009-Chinn, Greenwood/PO Scheduled/GREENWOOD MISC TRIM 15676.xls</t>
  </si>
  <si>
    <t xml:space="preserve">2009-Chinn, Greenwood/PO Scheduled/GREENWOOD TRIM L-3 lva faucets 15675.xlsx</t>
  </si>
  <si>
    <t xml:space="preserve">2009-Chinn, Greenwood/PO Scheduled/GREENWOOD FAUCET BRETT.xls</t>
  </si>
  <si>
    <t xml:space="preserve">2009-Chinn, Greenwood/PO Scheduled/Greenwood MSI BOOSTER PUMP.xls</t>
  </si>
  <si>
    <t xml:space="preserve">2009-Chinn, Greenwood/PO Scheduled/GREENWOOD MISC MATERIAL 10-31-12.xls</t>
  </si>
  <si>
    <t xml:space="preserve">2009-Chinn, Greenwood/PO Scheduled/GREENWOOD TRIM L-2 15625.xlsx</t>
  </si>
  <si>
    <t xml:space="preserve">2009-Chinn, Greenwood/PO Scheduled/Greenwood trench drain KELLER.xls</t>
  </si>
  <si>
    <t xml:space="preserve">2009-Chinn, Greenwood/PO Scheduled/GREENWOOD 3-21-13 45139.xls</t>
  </si>
  <si>
    <t xml:space="preserve">2009-Chinn, Greenwood/PO Scheduled/GREENWOOD SPECIALTY PRODUCTS ROB.xls</t>
  </si>
  <si>
    <t xml:space="preserve">2009-Chinn, Greenwood/PO Scheduled/GREENWOOD 12-14-12 45092.xls</t>
  </si>
  <si>
    <t xml:space="preserve">2009-Chinn, Greenwood/PO Scheduled/GREENWOOD GARAGE MATERIAL PVC.xls</t>
  </si>
  <si>
    <t xml:space="preserve">2009-Chinn, Greenwood/PO Scheduled/GREENWOOD 5-1-13 45167.xls</t>
  </si>
  <si>
    <t xml:space="preserve">2009-Chinn, Greenwood/PO Scheduled/GREENWOOD TRIM L-3 15624.xlsx</t>
  </si>
  <si>
    <t xml:space="preserve">2009-Chinn, Greenwood/PO Scheduled/GREENWOOD PVC 10-8-12.xls</t>
  </si>
  <si>
    <t xml:space="preserve">2009-Chinn, Greenwood/PO Scheduled/GREENWOOD 5-1-13 45166.xls</t>
  </si>
  <si>
    <t xml:space="preserve">2009-Chinn, Greenwood/PO Scheduled/GREENWOOD SPECIALTY PRODUCTS.xls</t>
  </si>
  <si>
    <t xml:space="preserve">2009-Chinn, Greenwood/PO Scheduled/GREENWOOD STORM MATERIAL PVC.xls</t>
  </si>
  <si>
    <t xml:space="preserve">2009-Chinn, Greenwood/PO Scheduled/GREENWOOD ROOFDECK FAUCET 15715.xls</t>
  </si>
  <si>
    <t xml:space="preserve">2009-Chinn, Greenwood/PO Scheduled/GREENWOOD MISC 10-25-12.xls</t>
  </si>
  <si>
    <t xml:space="preserve">2009-Chinn, Greenwood/PO Scheduled/GREENWOOD 2-15-13 45118.xls</t>
  </si>
  <si>
    <t xml:space="preserve">2009-Chinn, Greenwood/PO Scheduled/GREENWOOD GARAGE MATERIAL PVC 10-15-12.xls</t>
  </si>
  <si>
    <t xml:space="preserve">2009-Chinn, Greenwood/PO Scheduled/GREENWOOD TRIM LW 15627.xlsx</t>
  </si>
  <si>
    <t xml:space="preserve">18.9</t>
  </si>
  <si>
    <t xml:space="preserve">2009-Chinn, Greenwood/PO Scheduled/GREENWOOD CI MATERIAL 10-12-12.xls</t>
  </si>
  <si>
    <t xml:space="preserve">2009-Chinn, Greenwood/PO Scheduled/GREENWOOD STRUT 10-17-12.xls</t>
  </si>
  <si>
    <t xml:space="preserve">2009-Chinn, Greenwood/PO Scheduled/GREENWOOD MISC TRIM 15688.xls</t>
  </si>
  <si>
    <t xml:space="preserve">2009-Chinn, Greenwood/PO Scheduled/GREENWOOD RI VALVES.xls</t>
  </si>
  <si>
    <t xml:space="preserve">2009-Chinn, Greenwood/PO Scheduled/GREENWOOD GW.xls</t>
  </si>
  <si>
    <t xml:space="preserve">2009-Chinn, Greenwood/PO Scheduled/GREENWOOD CI MATERIAL.xls</t>
  </si>
  <si>
    <t xml:space="preserve">2009-Chinn, Greenwood/PO Scheduled/GREENWOOD PVCGW8-27-12.xls</t>
  </si>
  <si>
    <t xml:space="preserve">2009-Chinn, Greenwood/GREENWOOD ASBUILTS/Greenwood OWP AS BUILT DRAWINGS.pdf</t>
  </si>
  <si>
    <t xml:space="preserve">2009-Chinn, Greenwood/GREENWOOD ASBUILTS</t>
  </si>
  <si>
    <t xml:space="preserve">Tab 7 HB1, HB2 hosebibs.pdf</t>
  </si>
  <si>
    <t xml:space="preserve">2009-Chinn, Greenwood/Closeout Documents/Chinn O and M files/Tab 7 HB1, HB2 hosebibs.pdf</t>
  </si>
  <si>
    <t xml:space="preserve">2009-Chinn, Greenwood/Closeout Documents/Chinn O and M files</t>
  </si>
  <si>
    <t xml:space="preserve">2625.8</t>
  </si>
  <si>
    <t xml:space="preserve">Closeout/O&amp;M</t>
  </si>
  <si>
    <t xml:space="preserve">Project Admin Docs (Punch List/Closeout)</t>
  </si>
  <si>
    <t xml:space="preserve">tab 6 P13 amenity water heater.pdf</t>
  </si>
  <si>
    <t xml:space="preserve">2009-Chinn, Greenwood/Closeout Documents/Chinn O and M files/tab 6 P13 amenity water heater.pdf</t>
  </si>
  <si>
    <t xml:space="preserve">306.2</t>
  </si>
  <si>
    <t xml:space="preserve">Tab 3 shower valve parts.pdf</t>
  </si>
  <si>
    <t xml:space="preserve">2009-Chinn, Greenwood/Closeout Documents/Chinn O and M files/Tab 3 shower valve parts.pdf</t>
  </si>
  <si>
    <t xml:space="preserve">276.6</t>
  </si>
  <si>
    <t xml:space="preserve">Tab 5 P10 resident unit water heater.pdf</t>
  </si>
  <si>
    <t xml:space="preserve">2009-Chinn, Greenwood/Closeout Documents/Chinn O and M files/Tab 5 P10 resident unit water heater.pdf</t>
  </si>
  <si>
    <t xml:space="preserve">53.7</t>
  </si>
  <si>
    <t xml:space="preserve">Tab 3 P4, P5 shower valve.pdf</t>
  </si>
  <si>
    <t xml:space="preserve">2009-Chinn, Greenwood/Closeout Documents/Chinn O and M files/Tab 3 P4, P5 shower valve.pdf</t>
  </si>
  <si>
    <t xml:space="preserve">512.3</t>
  </si>
  <si>
    <t xml:space="preserve">Tab 9 storm pumps.pdf</t>
  </si>
  <si>
    <t xml:space="preserve">2009-Chinn, Greenwood/Closeout Documents/Chinn O and M files/Tab 9 storm pumps.pdf</t>
  </si>
  <si>
    <t xml:space="preserve">763.9</t>
  </si>
  <si>
    <t xml:space="preserve">Tab 2 P3, P12 lavatory faucet.pdf</t>
  </si>
  <si>
    <t xml:space="preserve">2009-Chinn, Greenwood/Closeout Documents/Chinn O and M files/Tab 2 P3, P12 lavatory faucet.pdf</t>
  </si>
  <si>
    <t xml:space="preserve">396.0</t>
  </si>
  <si>
    <t xml:space="preserve">Tab 1 P2, P11 toilets.pdf</t>
  </si>
  <si>
    <t xml:space="preserve">2009-Chinn, Greenwood/Closeout Documents/Chinn O and M files/Tab 1 P2, P11 toilets.pdf</t>
  </si>
  <si>
    <t xml:space="preserve">869.7</t>
  </si>
  <si>
    <t xml:space="preserve">Tab 4 P6 kitchen garbage disposal.pdf</t>
  </si>
  <si>
    <t xml:space="preserve">2009-Chinn, Greenwood/Closeout Documents/Chinn O and M files/Tab 4 P6 kitchen garbage disposal.pdf</t>
  </si>
  <si>
    <t xml:space="preserve">1618.6</t>
  </si>
  <si>
    <t xml:space="preserve">tab 10 BFP-1 backflow preventor.pdf</t>
  </si>
  <si>
    <t xml:space="preserve">2009-Chinn, Greenwood/Closeout Documents/Chinn O and M files/tab 10 BFP-1 backflow preventor.pdf</t>
  </si>
  <si>
    <t xml:space="preserve">1358.5</t>
  </si>
  <si>
    <t xml:space="preserve">Tab 8 BP booster pump package.pdf</t>
  </si>
  <si>
    <t xml:space="preserve">2009-Chinn, Greenwood/Closeout Documents/Chinn O and M files/Tab 8 BP booster pump package.pdf</t>
  </si>
  <si>
    <t xml:space="preserve">372.9</t>
  </si>
  <si>
    <t xml:space="preserve">Tab 3 P4, P5 shower valves.pdf</t>
  </si>
  <si>
    <t xml:space="preserve">2009-Chinn, Greenwood/Closeout Documents/Chinn O and M files/Tab 3 P4, P5 shower valves.pdf</t>
  </si>
  <si>
    <t xml:space="preserve">1521.8</t>
  </si>
  <si>
    <t xml:space="preserve">warranties.pdf</t>
  </si>
  <si>
    <t xml:space="preserve">2009-Chinn, Greenwood/Closeout Documents/Chinn O and M files/warranties.pdf</t>
  </si>
  <si>
    <t xml:space="preserve">7323.1</t>
  </si>
  <si>
    <t xml:space="preserve">Tab 1 P1 toilets.pdf</t>
  </si>
  <si>
    <t xml:space="preserve">2009-Chinn, Greenwood/Closeout Documents/Chinn O and M files/Tab 1 P1 toilets.pdf</t>
  </si>
  <si>
    <t xml:space="preserve">547.6</t>
  </si>
  <si>
    <t xml:space="preserve">x cleaning instructions.pdf</t>
  </si>
  <si>
    <t xml:space="preserve">2009-Chinn, Greenwood/Closeout Documents/Chinn O and M files/x cleaning instructions.pdf</t>
  </si>
  <si>
    <t xml:space="preserve">1469.2</t>
  </si>
  <si>
    <t xml:space="preserve">Tab 4 P6 kitchen sink faucet.pdf</t>
  </si>
  <si>
    <t xml:space="preserve">2009-Chinn, Greenwood/Closeout Documents/Chinn O and M files/Tab 4 P6 kitchen sink faucet.pdf</t>
  </si>
  <si>
    <t xml:space="preserve">690.8</t>
  </si>
  <si>
    <t xml:space="preserve">z Periodic inspection list.pdf</t>
  </si>
  <si>
    <t xml:space="preserve">2009-Chinn, Greenwood/Closeout Documents/Chinn O and M files/z Periodic inspection list.pdf</t>
  </si>
  <si>
    <t xml:space="preserve">160.4</t>
  </si>
  <si>
    <t xml:space="preserve">2009-Chinn, Greenwood/greenwood billing/Natural and Built Environments Sedona schedule of values.xls</t>
  </si>
  <si>
    <t xml:space="preserve">2009-Chinn, Greenwood/greenwood billing</t>
  </si>
  <si>
    <t xml:space="preserve">2009-Chinn, Greenwood/greenwood billing/Greenwood Apt  -  Monthly Billing Summary - 5 -11-15-12.xls</t>
  </si>
  <si>
    <t xml:space="preserve">2009-Chinn, Greenwood/greenwood billing/Progress Payment Lien Release - Greenwood Apartments-3.doc</t>
  </si>
  <si>
    <t xml:space="preserve">2009-Chinn, Greenwood/greenwood billing/Greenwood schedule of values- 8 - 3-20-13.xlsx</t>
  </si>
  <si>
    <t xml:space="preserve">2009-Chinn, Greenwood/greenwood billing/Progress Payment Lien Release - Greenwood Apartments-7.docx</t>
  </si>
  <si>
    <t xml:space="preserve">2009-Chinn, Greenwood/greenwood billing/Greenwood Apt  -  Monthly Billing Summary - 10 -5-16-13.xlsx</t>
  </si>
  <si>
    <t xml:space="preserve">2009-Chinn, Greenwood/greenwood billing/Greenwood Apt  -  Monthly Billing Summary - 11 -8-13-13.xlsx</t>
  </si>
  <si>
    <t xml:space="preserve">2009-Chinn, Greenwood/greenwood billing/Greenwood Apt  -  Monthly Billing Summary - 7 -2-19-13.xlsx</t>
  </si>
  <si>
    <t xml:space="preserve">2009-Chinn, Greenwood/greenwood billing/Greenwood Apt  -  Monthly Billing Summary - 11 -8-13-13 with Mike D revision Aug 19 2013.xlsx</t>
  </si>
  <si>
    <t xml:space="preserve">2009-Chinn, Greenwood/greenwood billing/Greenwood schedule of values- 4 - 10-18-12.xls</t>
  </si>
  <si>
    <t xml:space="preserve">2009-Chinn, Greenwood/greenwood billing/Greenwood schedule of values- 5 - 11-15-12.xls</t>
  </si>
  <si>
    <t xml:space="preserve">2009-Chinn, Greenwood/greenwood billing/Greenwood Apt  -  Monthly Billing Summary - 6 -12-20-12.xlsx</t>
  </si>
  <si>
    <t xml:space="preserve">2009-Chinn, Greenwood/greenwood billing/Greenwood schedule of values- 3 - 9-20-12.xls</t>
  </si>
  <si>
    <t xml:space="preserve">2009-Chinn, Greenwood/greenwood billing/Greenwood schedule of values- 7 - 2-20-13.xlsx</t>
  </si>
  <si>
    <t xml:space="preserve">2009-Chinn, Greenwood/greenwood billing/Progress Payment Lien Release - Greenwood Apartments-2.doc</t>
  </si>
  <si>
    <t xml:space="preserve">2009-Chinn, Greenwood/greenwood billing/Greenwood schedule of values- 11 - 8-20-13 revised.xlsx</t>
  </si>
  <si>
    <t xml:space="preserve">2009-Chinn, Greenwood/greenwood billing/Greenwood Apt  -  Monthly Billing Summary - 1 - 7-19-12.xls</t>
  </si>
  <si>
    <t xml:space="preserve">2009-Chinn, Greenwood/greenwood billing/Greenwood schedule of values- 11 - 8-20-13.xlsx</t>
  </si>
  <si>
    <t xml:space="preserve">2009-Chinn, Greenwood/greenwood billing/Greenwood schedule of values- 10 - 5-20-13.xlsx</t>
  </si>
  <si>
    <t xml:space="preserve">2009-Chinn, Greenwood/greenwood billing/Progress Payment Lien Release - Greenwood Apartments-11 revised.docx</t>
  </si>
  <si>
    <t xml:space="preserve">2009-Chinn, Greenwood/greenwood billing/GREENWOOD AGGREGATE BILLING.xlsx</t>
  </si>
  <si>
    <t xml:space="preserve">2009-Chinn, Greenwood/greenwood billing/Greenwood Apt  -  Monthly Billing Summary - 9 -4-18-13.xlsx</t>
  </si>
  <si>
    <t xml:space="preserve">2009-Chinn, Greenwood/greenwood billing/Greenwood Apt  -  Monthly Billing Summary - 4 -10-18-12.xls</t>
  </si>
  <si>
    <t xml:space="preserve">2009-Chinn, Greenwood/greenwood billing/Greenwood schedule of values- 2 - 8-20-12.xls</t>
  </si>
  <si>
    <t xml:space="preserve">2009-Chinn, Greenwood/greenwood billing/Progress Payment Lien Release - Greenwood Apartments-10.docx</t>
  </si>
  <si>
    <t xml:space="preserve">2009-Chinn, Greenwood/greenwood billing/Progress Payment Lien Release - Greenwood Apartments-5.doc</t>
  </si>
  <si>
    <t xml:space="preserve">2009-Chinn, Greenwood/greenwood billing/Progress Payment Lien Release - Greenwood Apartments-6.docx</t>
  </si>
  <si>
    <t xml:space="preserve">2009-Chinn, Greenwood/greenwood billing/Copy of Greenwood Apt  - Subcontractor Monthly Billing Summary Form.xls</t>
  </si>
  <si>
    <t xml:space="preserve">2009-Chinn, Greenwood/greenwood billing/Progress Payment Lien Release - Greenwood Apartments.doc</t>
  </si>
  <si>
    <t xml:space="preserve">2009-Chinn, Greenwood/greenwood billing/Greenwood Apt  -  Monthly Billing Summary - 3 - 9-20-12.xls</t>
  </si>
  <si>
    <t xml:space="preserve">2009-Chinn, Greenwood/greenwood billing/Copy of Chinn Construction Greenwood schedule of values.xls</t>
  </si>
  <si>
    <t xml:space="preserve">2009-Chinn, Greenwood/greenwood billing/Greenwood schedule of values- 6 - 12-20-12 co 1.xlsx</t>
  </si>
  <si>
    <t xml:space="preserve">2009-Chinn, Greenwood/greenwood billing/Progress Payment Lien Release - Greenwood Apartments-11.docx</t>
  </si>
  <si>
    <t xml:space="preserve">2009-Chinn, Greenwood/greenwood billing/Progress Payment Lien Release - Greenwood Apartments-1.doc</t>
  </si>
  <si>
    <t xml:space="preserve">2009-Chinn, Greenwood/greenwood billing/Progress Payment Lien Release - Greenwood Apartments-8.docx</t>
  </si>
  <si>
    <t xml:space="preserve">2009-Chinn, Greenwood/greenwood billing/Progress Payment Lien Release - Greenwood Apartments-4.doc</t>
  </si>
  <si>
    <t xml:space="preserve">2009-Chinn, Greenwood/greenwood billing/Greenwood schedule of values- 9 - 4-20-13 co4.xlsx</t>
  </si>
  <si>
    <t xml:space="preserve">2009-Chinn, Greenwood/greenwood billing/Greenwood Apt  -  Monthly Billing Summary - 8 -3-19-13.xlsx</t>
  </si>
  <si>
    <t xml:space="preserve">2009-Chinn, Greenwood/greenwood billing/Greenwood Apt  -  Monthly Billing Summary - 2 - 8-20-12.xls</t>
  </si>
  <si>
    <t xml:space="preserve">2009-Chinn, Greenwood/greenwood billing/Greenwood schedule of values- 1 - 7-19-12.xls</t>
  </si>
  <si>
    <t xml:space="preserve">2009-Chinn, Greenwood/greenwood billing/Progress Payment Lien Release - Greenwood Apartments-9.docx</t>
  </si>
  <si>
    <t xml:space="preserve">WB-2 icemaker box with shock arrester.pdf</t>
  </si>
  <si>
    <t xml:space="preserve">2009-Chinn, Greenwood/Submittals/Chinn Greenwood/WB-2 icemaker box with shock arrester.pdf</t>
  </si>
  <si>
    <t xml:space="preserve">2009-Chinn, Greenwood/Submittals/Chinn Greenwood</t>
  </si>
  <si>
    <t xml:space="preserve">503.7</t>
  </si>
  <si>
    <t xml:space="preserve">Submittal</t>
  </si>
  <si>
    <t xml:space="preserve">Kohler K3609 elongated toilet.pdf</t>
  </si>
  <si>
    <t xml:space="preserve">2009-Chinn, Greenwood/Submittals/Chinn Greenwood/Kohler K3609 elongated toilet.pdf</t>
  </si>
  <si>
    <t xml:space="preserve">68.1</t>
  </si>
  <si>
    <t xml:space="preserve">Zoeller storm pumps.pdf</t>
  </si>
  <si>
    <t xml:space="preserve">2009-Chinn, Greenwood/Submittals/Chinn Greenwood/Zoeller storm pumps.pdf</t>
  </si>
  <si>
    <t xml:space="preserve">3807.8</t>
  </si>
  <si>
    <t xml:space="preserve">Kohler K4774 elongated seat.pdf</t>
  </si>
  <si>
    <t xml:space="preserve">2009-Chinn, Greenwood/Submittals/Chinn Greenwood/Kohler K4774 elongated seat.pdf</t>
  </si>
  <si>
    <t xml:space="preserve">71.1</t>
  </si>
  <si>
    <t xml:space="preserve">Eemax SP4208 tankless heater.pdf</t>
  </si>
  <si>
    <t xml:space="preserve">2009-Chinn, Greenwood/Submittals/Chinn Greenwood/Eemax SP4208 tankless heater.pdf</t>
  </si>
  <si>
    <t xml:space="preserve">178.8</t>
  </si>
  <si>
    <t xml:space="preserve">Kohler K304-UX roughin valve.pdf</t>
  </si>
  <si>
    <t xml:space="preserve">2009-Chinn, Greenwood/Submittals/Chinn Greenwood/Kohler K304-UX roughin valve.pdf</t>
  </si>
  <si>
    <t xml:space="preserve">350.1</t>
  </si>
  <si>
    <t xml:space="preserve">P1 resident toilet.pdf</t>
  </si>
  <si>
    <t xml:space="preserve">2009-Chinn, Greenwood/Submittals/Chinn Greenwood/P1 resident toilet.pdf</t>
  </si>
  <si>
    <t xml:space="preserve">60.7</t>
  </si>
  <si>
    <t xml:space="preserve">LSP overflow trim kit.pdf</t>
  </si>
  <si>
    <t xml:space="preserve">2009-Chinn, Greenwood/Submittals/Chinn Greenwood/LSP overflow trim kit.pdf</t>
  </si>
  <si>
    <t xml:space="preserve">70.1</t>
  </si>
  <si>
    <t xml:space="preserve">Woodford 65 frostproof hosebib.pdf</t>
  </si>
  <si>
    <t xml:space="preserve">2009-Chinn, Greenwood/Submittals/Chinn Greenwood/Woodford 65 frostproof hosebib.pdf</t>
  </si>
  <si>
    <t xml:space="preserve">351.1</t>
  </si>
  <si>
    <t xml:space="preserve">Kohler K11742-E, 2.0 gpm shower head.pdf</t>
  </si>
  <si>
    <t xml:space="preserve">2009-Chinn, Greenwood/Submittals/Chinn Greenwood/Kohler K11742-E, 2.0 gpm shower head.pdf</t>
  </si>
  <si>
    <t xml:space="preserve">70.8</t>
  </si>
  <si>
    <t xml:space="preserve">backwater valve access.pdf</t>
  </si>
  <si>
    <t xml:space="preserve">2009-Chinn, Greenwood/Submittals/Chinn Greenwood/backwater valve access.pdf</t>
  </si>
  <si>
    <t xml:space="preserve">147.6</t>
  </si>
  <si>
    <t xml:space="preserve">OW-1 Sand oil seperator.pdf</t>
  </si>
  <si>
    <t xml:space="preserve">2009-Chinn, Greenwood/Submittals/Chinn Greenwood/OW-1 Sand oil seperator.pdf</t>
  </si>
  <si>
    <t xml:space="preserve">111.3</t>
  </si>
  <si>
    <t xml:space="preserve">LSP brass angle stops.pdf</t>
  </si>
  <si>
    <t xml:space="preserve">2009-Chinn, Greenwood/Submittals/Chinn Greenwood/LSP brass angle stops.pdf</t>
  </si>
  <si>
    <t xml:space="preserve">146.3</t>
  </si>
  <si>
    <t xml:space="preserve">PVC backwater valve.PDF</t>
  </si>
  <si>
    <t xml:space="preserve">2009-Chinn, Greenwood/Submittals/Chinn Greenwood/PVC backwater valve.PDF</t>
  </si>
  <si>
    <t xml:space="preserve">128.6</t>
  </si>
  <si>
    <t xml:space="preserve">Watts 957 reduced pressure backflow assembly.pdf</t>
  </si>
  <si>
    <t xml:space="preserve">2009-Chinn, Greenwood/Submittals/Chinn Greenwood/Watts 957 reduced pressure backflow assembly.pdf</t>
  </si>
  <si>
    <t xml:space="preserve">619.8</t>
  </si>
  <si>
    <t xml:space="preserve">Kohler K596 chrome kitchen faucet.pdf</t>
  </si>
  <si>
    <t xml:space="preserve">2009-Chinn, Greenwood/Submittals/Chinn Greenwood/Kohler K596 chrome kitchen faucet.pdf</t>
  </si>
  <si>
    <t xml:space="preserve">82.2</t>
  </si>
  <si>
    <t xml:space="preserve">FD-2 cast iron hub drain.PDF</t>
  </si>
  <si>
    <t xml:space="preserve">2009-Chinn, Greenwood/Submittals/Chinn Greenwood/FD-2 cast iron hub drain.PDF</t>
  </si>
  <si>
    <t xml:space="preserve">254.6</t>
  </si>
  <si>
    <t xml:space="preserve">Woodford B24 Keyless hosebib.pdf</t>
  </si>
  <si>
    <t xml:space="preserve">2009-Chinn, Greenwood/Submittals/Chinn Greenwood/Woodford B24 Keyless hosebib.pdf</t>
  </si>
  <si>
    <t xml:space="preserve">187.3</t>
  </si>
  <si>
    <t xml:space="preserve">Kohler K2699-4 china lavatory.pdf</t>
  </si>
  <si>
    <t xml:space="preserve">2009-Chinn, Greenwood/Submittals/Chinn Greenwood/Kohler K2699-4 china lavatory.pdf</t>
  </si>
  <si>
    <t xml:space="preserve">59.8</t>
  </si>
  <si>
    <t xml:space="preserve">Kohler K15597-F office restroom lav faucet.pdf</t>
  </si>
  <si>
    <t xml:space="preserve">2009-Chinn, Greenwood/Submittals/Chinn Greenwood/Kohler K15597-F office restroom lav faucet.pdf</t>
  </si>
  <si>
    <t xml:space="preserve">63.6</t>
  </si>
  <si>
    <t xml:space="preserve">Woodford B65 Keyless hosebib.pdf</t>
  </si>
  <si>
    <t xml:space="preserve">2009-Chinn, Greenwood/Submittals/Chinn Greenwood/Woodford B65 Keyless hosebib.pdf</t>
  </si>
  <si>
    <t xml:space="preserve">346.7</t>
  </si>
  <si>
    <t xml:space="preserve">Dearborn plastic P-trap.pdf</t>
  </si>
  <si>
    <t xml:space="preserve">2009-Chinn, Greenwood/Submittals/Chinn Greenwood/Dearborn plastic P-trap.pdf</t>
  </si>
  <si>
    <t xml:space="preserve">62.1</t>
  </si>
  <si>
    <t xml:space="preserve">Kohler K4775 round front seat.pdf</t>
  </si>
  <si>
    <t xml:space="preserve">2009-Chinn, Greenwood/Submittals/Chinn Greenwood/Kohler K4775 round front seat.pdf</t>
  </si>
  <si>
    <t xml:space="preserve">Moen 52710EP hand held shower.pdf</t>
  </si>
  <si>
    <t xml:space="preserve">2009-Chinn, Greenwood/Submittals/Chinn Greenwood/Moen 52710EP hand held shower.pdf</t>
  </si>
  <si>
    <t xml:space="preserve">337.2</t>
  </si>
  <si>
    <t xml:space="preserve">Kohler KT15601-4SE tub shower trim.pdf</t>
  </si>
  <si>
    <t xml:space="preserve">2009-Chinn, Greenwood/Submittals/Chinn Greenwood/Kohler KT15601-4SE tub shower trim.pdf</t>
  </si>
  <si>
    <t xml:space="preserve">61.7</t>
  </si>
  <si>
    <t xml:space="preserve">Oatey aluminium water heater pan.pdf</t>
  </si>
  <si>
    <t xml:space="preserve">2009-Chinn, Greenwood/Submittals/Chinn Greenwood/Oatey aluminium water heater pan.pdf</t>
  </si>
  <si>
    <t xml:space="preserve">445.4</t>
  </si>
  <si>
    <t xml:space="preserve">AO Smith residential electric water heaters.pdf</t>
  </si>
  <si>
    <t xml:space="preserve">2009-Chinn, Greenwood/Submittals/Chinn Greenwood/AO Smith residential electric water heaters.pdf</t>
  </si>
  <si>
    <t xml:space="preserve">480.2</t>
  </si>
  <si>
    <t xml:space="preserve">Kohler K15182-F chrome lav faucet.pdf</t>
  </si>
  <si>
    <t xml:space="preserve">2009-Chinn, Greenwood/Submittals/Chinn Greenwood/Kohler K15182-F chrome lav faucet.pdf</t>
  </si>
  <si>
    <t xml:space="preserve">54.3</t>
  </si>
  <si>
    <t xml:space="preserve">TD-1 trench drain.PDF</t>
  </si>
  <si>
    <t xml:space="preserve">2009-Chinn, Greenwood/Submittals/Chinn Greenwood/TD-1 trench drain.PDF</t>
  </si>
  <si>
    <t xml:space="preserve">1152.9</t>
  </si>
  <si>
    <t xml:space="preserve">LSP overflow kit.pdf</t>
  </si>
  <si>
    <t xml:space="preserve">2009-Chinn, Greenwood/Submittals/Chinn Greenwood/LSP overflow kit.pdf</t>
  </si>
  <si>
    <t xml:space="preserve">67.4</t>
  </si>
  <si>
    <t xml:space="preserve">Elkay ELUHAD2115-5  ADA kitchen sink.pdf</t>
  </si>
  <si>
    <t xml:space="preserve">2009-Chinn, Greenwood/Submittals/Chinn Greenwood/Elkay ELUHAD2115-5  ADA kitchen sink.pdf</t>
  </si>
  <si>
    <t xml:space="preserve">175.0</t>
  </si>
  <si>
    <t xml:space="preserve">GD-1, SD-1 concrete garage floor drain with iron grate.pdf</t>
  </si>
  <si>
    <t xml:space="preserve">2009-Chinn, Greenwood/Submittals/Chinn Greenwood/GD-1, SD-1 concrete garage floor drain with iron grate.pdf</t>
  </si>
  <si>
    <t xml:space="preserve">111.7</t>
  </si>
  <si>
    <t xml:space="preserve">Kohler K3348-4 single bowl self-rim kitchen sink.pdf</t>
  </si>
  <si>
    <t xml:space="preserve">2009-Chinn, Greenwood/Submittals/Chinn Greenwood/Kohler K3348-4 single bowl self-rim kitchen sink.pdf</t>
  </si>
  <si>
    <t xml:space="preserve">37.3</t>
  </si>
  <si>
    <t xml:space="preserve">P7 wash machine outlet box.PDF</t>
  </si>
  <si>
    <t xml:space="preserve">2009-Chinn, Greenwood/Submittals/Chinn Greenwood/P7 wash machine outlet box.PDF</t>
  </si>
  <si>
    <t xml:space="preserve">730.3</t>
  </si>
  <si>
    <t xml:space="preserve">FD-1 cast iron floor drain.PDF</t>
  </si>
  <si>
    <t xml:space="preserve">2009-Chinn, Greenwood/Submittals/Chinn Greenwood/FD-1 cast iron floor drain.PDF</t>
  </si>
  <si>
    <t xml:space="preserve">262.4</t>
  </si>
  <si>
    <t xml:space="preserve">PVC waste pipe spec.pdf</t>
  </si>
  <si>
    <t xml:space="preserve">2009-Chinn, Greenwood/Submittals/Chinn Greenwood/PVC waste pipe spec.pdf</t>
  </si>
  <si>
    <t xml:space="preserve">18.7</t>
  </si>
  <si>
    <t xml:space="preserve">Elkay EGUH2115 kitchen sink.pdf</t>
  </si>
  <si>
    <t xml:space="preserve">2009-Chinn, Greenwood/Submittals/Chinn Greenwood/Elkay EGUH2115 kitchen sink.pdf</t>
  </si>
  <si>
    <t xml:space="preserve">541.5</t>
  </si>
  <si>
    <t xml:space="preserve">Kohler K2005 wall hung lav.pdf</t>
  </si>
  <si>
    <t xml:space="preserve">2009-Chinn, Greenwood/Submittals/Chinn Greenwood/Kohler K2005 wall hung lav.pdf</t>
  </si>
  <si>
    <t xml:space="preserve">58.2</t>
  </si>
  <si>
    <t xml:space="preserve">Proflo PFXT expansion tank.pdf</t>
  </si>
  <si>
    <t xml:space="preserve">2009-Chinn, Greenwood/Submittals/Chinn Greenwood/Proflo PFXT expansion tank.pdf</t>
  </si>
  <si>
    <t xml:space="preserve">504.5</t>
  </si>
  <si>
    <t xml:space="preserve">P6 kitchen sink.PDF</t>
  </si>
  <si>
    <t xml:space="preserve">2009-Chinn, Greenwood/Submittals/Chinn Greenwood complete submittal package/2012-08-02/P6 kitchen sink.PDF</t>
  </si>
  <si>
    <t xml:space="preserve">2009-Chinn, Greenwood/Submittals/Chinn Greenwood complete submittal package/2012-08-02</t>
  </si>
  <si>
    <t xml:space="preserve">1101.8</t>
  </si>
  <si>
    <t xml:space="preserve">CPVC pipe and fitting.PDF</t>
  </si>
  <si>
    <t xml:space="preserve">2009-Chinn, Greenwood/Submittals/Chinn Greenwood complete submittal package/2012-08-02/CPVC pipe and fitting.PDF</t>
  </si>
  <si>
    <t xml:space="preserve">1496.3</t>
  </si>
  <si>
    <t xml:space="preserve">P13 leasing office water heater.PDF</t>
  </si>
  <si>
    <t xml:space="preserve">2009-Chinn, Greenwood/Submittals/Chinn Greenwood complete submittal package/2012-08-02/P13 leasing office water heater.PDF</t>
  </si>
  <si>
    <t xml:space="preserve">740.5</t>
  </si>
  <si>
    <t xml:space="preserve">P7 dishwasher connection.PDF</t>
  </si>
  <si>
    <t xml:space="preserve">2009-Chinn, Greenwood/Submittals/Chinn Greenwood complete submittal package/2012-08-02/P7 dishwasher connection.PDF</t>
  </si>
  <si>
    <t xml:space="preserve">615.7</t>
  </si>
  <si>
    <t xml:space="preserve">TD1 trench drain.PDF</t>
  </si>
  <si>
    <t xml:space="preserve">2009-Chinn, Greenwood/Submittals/Chinn Greenwood complete submittal package/2012-08-02/TD1 trench drain.PDF</t>
  </si>
  <si>
    <t xml:space="preserve">1041.7</t>
  </si>
  <si>
    <t xml:space="preserve">BP booster pump package.pdf</t>
  </si>
  <si>
    <t xml:space="preserve">2009-Chinn, Greenwood/Submittals/Chinn Greenwood complete submittal package/2012-08-02/BP booster pump package.pdf</t>
  </si>
  <si>
    <t xml:space="preserve">P1 toilet.PDF</t>
  </si>
  <si>
    <t xml:space="preserve">2009-Chinn, Greenwood/Submittals/Chinn Greenwood complete submittal package/2012-08-02/P1 toilet.PDF</t>
  </si>
  <si>
    <t xml:space="preserve">1403.4</t>
  </si>
  <si>
    <t xml:space="preserve">HD1 hub drain.PDF</t>
  </si>
  <si>
    <t xml:space="preserve">2009-Chinn, Greenwood/Submittals/Chinn Greenwood complete submittal package/2012-08-02/HD1 hub drain.PDF</t>
  </si>
  <si>
    <t xml:space="preserve">196.9</t>
  </si>
  <si>
    <t xml:space="preserve">HB2 hosebib.PDF</t>
  </si>
  <si>
    <t xml:space="preserve">2009-Chinn, Greenwood/Submittals/Chinn Greenwood complete submittal package/2012-08-02/HB2 hosebib.PDF</t>
  </si>
  <si>
    <t xml:space="preserve">391.6</t>
  </si>
  <si>
    <t xml:space="preserve">waste, vent and storm drain pipe.PDF</t>
  </si>
  <si>
    <t xml:space="preserve">2009-Chinn, Greenwood/Submittals/Chinn Greenwood complete submittal package/2012-08-02/waste, vent and storm drain pipe.PDF</t>
  </si>
  <si>
    <t xml:space="preserve">991.5</t>
  </si>
  <si>
    <t xml:space="preserve">BV backwater valve and access.PDF</t>
  </si>
  <si>
    <t xml:space="preserve">2009-Chinn, Greenwood/Submittals/Chinn Greenwood complete submittal package/2012-08-02/BV backwater valve and access.PDF</t>
  </si>
  <si>
    <t xml:space="preserve">351.8</t>
  </si>
  <si>
    <t xml:space="preserve">P5 ADA bathtub.PDF</t>
  </si>
  <si>
    <t xml:space="preserve">2009-Chinn, Greenwood/Submittals/Chinn Greenwood complete submittal package/2012-08-02/P5 ADA bathtub.PDF</t>
  </si>
  <si>
    <t xml:space="preserve">2189.5</t>
  </si>
  <si>
    <t xml:space="preserve">OW1 oil water separator.PDF</t>
  </si>
  <si>
    <t xml:space="preserve">2009-Chinn, Greenwood/Submittals/Chinn Greenwood complete submittal package/2012-08-02/OW1 oil water separator.PDF</t>
  </si>
  <si>
    <t xml:space="preserve">335.4</t>
  </si>
  <si>
    <t xml:space="preserve">BFP1 reduced pressure backflow assembly.PDF</t>
  </si>
  <si>
    <t xml:space="preserve">2009-Chinn, Greenwood/Submittals/Chinn Greenwood complete submittal package/2012-08-02/BFP1 reduced pressure backflow assembly.PDF</t>
  </si>
  <si>
    <t xml:space="preserve">1143.1</t>
  </si>
  <si>
    <t xml:space="preserve">Proset sleeve components.PDF</t>
  </si>
  <si>
    <t xml:space="preserve">2009-Chinn, Greenwood/Submittals/Chinn Greenwood complete submittal package/2012-08-02/Proset sleeve components.PDF</t>
  </si>
  <si>
    <t xml:space="preserve">980.8</t>
  </si>
  <si>
    <t xml:space="preserve">P12 leasing office lavatory.PDF</t>
  </si>
  <si>
    <t xml:space="preserve">2009-Chinn, Greenwood/Submittals/Chinn Greenwood complete submittal package/2012-08-02/P12 leasing office lavatory.PDF</t>
  </si>
  <si>
    <t xml:space="preserve">1713.7</t>
  </si>
  <si>
    <t xml:space="preserve">FD1 garage floor drain.PDF</t>
  </si>
  <si>
    <t xml:space="preserve">2009-Chinn, Greenwood/Submittals/Chinn Greenwood complete submittal package/2012-08-02/FD1 garage floor drain.PDF</t>
  </si>
  <si>
    <t xml:space="preserve">333.2</t>
  </si>
  <si>
    <t xml:space="preserve">P4 bathtub.PDF</t>
  </si>
  <si>
    <t xml:space="preserve">2009-Chinn, Greenwood/Submittals/Chinn Greenwood complete submittal package/2012-08-02/P4 bathtub.PDF</t>
  </si>
  <si>
    <t xml:space="preserve">2383.2</t>
  </si>
  <si>
    <t xml:space="preserve">P3 lavatory.PDF</t>
  </si>
  <si>
    <t xml:space="preserve">2009-Chinn, Greenwood/Submittals/Chinn Greenwood complete submittal package/2012-08-02/P3 lavatory.PDF</t>
  </si>
  <si>
    <t xml:space="preserve">1342.9</t>
  </si>
  <si>
    <t xml:space="preserve">FD2 floor drain.PDF</t>
  </si>
  <si>
    <t xml:space="preserve">2009-Chinn, Greenwood/Submittals/Chinn Greenwood complete submittal package/2012-08-02/FD2 floor drain.PDF</t>
  </si>
  <si>
    <t xml:space="preserve">202.9</t>
  </si>
  <si>
    <t xml:space="preserve">P9 wash machine box.PDF</t>
  </si>
  <si>
    <t xml:space="preserve">2009-Chinn, Greenwood/Submittals/Chinn Greenwood complete submittal package/2012-08-02/P9 wash machine box.PDF</t>
  </si>
  <si>
    <t xml:space="preserve">311.0</t>
  </si>
  <si>
    <t xml:space="preserve">P2 ADA toilet.PDF</t>
  </si>
  <si>
    <t xml:space="preserve">2009-Chinn, Greenwood/Submittals/Chinn Greenwood complete submittal package/2012-08-02/P2 ADA toilet.PDF</t>
  </si>
  <si>
    <t xml:space="preserve">1476.2</t>
  </si>
  <si>
    <t xml:space="preserve">P8 icemaker box.PDF</t>
  </si>
  <si>
    <t xml:space="preserve">2009-Chinn, Greenwood/Submittals/Chinn Greenwood complete submittal package/2012-08-02/P8 icemaker box.PDF</t>
  </si>
  <si>
    <t xml:space="preserve">266.7</t>
  </si>
  <si>
    <t xml:space="preserve">HB1 hosebib.PDF</t>
  </si>
  <si>
    <t xml:space="preserve">2009-Chinn, Greenwood/Submittals/Chinn Greenwood complete submittal package/2012-08-02/HB1 hosebib.PDF</t>
  </si>
  <si>
    <t xml:space="preserve">365.8</t>
  </si>
  <si>
    <t xml:space="preserve">P11 leasing office toilet.PDF</t>
  </si>
  <si>
    <t xml:space="preserve">2009-Chinn, Greenwood/Submittals/Chinn Greenwood complete submittal package/2012-08-02/P11 leasing office toilet.PDF</t>
  </si>
  <si>
    <t xml:space="preserve">1494.2</t>
  </si>
  <si>
    <t xml:space="preserve">SP1 storm sump pump.PDF</t>
  </si>
  <si>
    <t xml:space="preserve">2009-Chinn, Greenwood/Submittals/Chinn Greenwood complete submittal package/2012-08-02/SP1 storm sump pump.PDF</t>
  </si>
  <si>
    <t xml:space="preserve">2446.6</t>
  </si>
  <si>
    <t xml:space="preserve">PEX pipe and fitting.PDF</t>
  </si>
  <si>
    <t xml:space="preserve">2009-Chinn, Greenwood/Submittals/Chinn Greenwood complete submittal package/2012-08-02/PEX pipe and fitting.PDF</t>
  </si>
  <si>
    <t xml:space="preserve">3061.4</t>
  </si>
  <si>
    <t xml:space="preserve">P10 water heater.PDF</t>
  </si>
  <si>
    <t xml:space="preserve">2009-Chinn, Greenwood/Submittals/Chinn Greenwood complete submittal package/2012-08-02/P10 water heater.PDF</t>
  </si>
  <si>
    <t xml:space="preserve">1105.4</t>
  </si>
  <si>
    <t xml:space="preserve">Alternate kitchen sink for ADA units.pdf</t>
  </si>
  <si>
    <t xml:space="preserve">2009-Chinn, Greenwood/Submittals/Chinn Greenwood complete submittal package/2012-08-02/Alternate kitchen sink for ADA units.pdf</t>
  </si>
  <si>
    <t xml:space="preserve">41.1</t>
  </si>
  <si>
    <t xml:space="preserve">pipe hangers and supports.PDF</t>
  </si>
  <si>
    <t xml:space="preserve">2009-Chinn, Greenwood/Submittals/Chinn Greenwood complete submittal package/2012-08-02/pipe hangers and supports.PDF</t>
  </si>
  <si>
    <t xml:space="preserve">2566.1</t>
  </si>
  <si>
    <t xml:space="preserve">Chinn Greenwood complete plumbing submittal.zip</t>
  </si>
  <si>
    <t xml:space="preserve">2009-Chinn, Greenwood/Submittals/Chinn Greenwood complete submittal package/2012-08-02/Chinn Greenwood complete plumbing submittal.zip</t>
  </si>
  <si>
    <t xml:space="preserve">.zip</t>
  </si>
  <si>
    <t xml:space="preserve">31483.6</t>
  </si>
  <si>
    <t xml:space="preserve">FCO floor cleanout.PDF</t>
  </si>
  <si>
    <t xml:space="preserve">2009-Chinn, Greenwood/Submittals/Chinn Greenwood complete submittal package/2012-08-02/FCO floor cleanout.PDF</t>
  </si>
  <si>
    <t xml:space="preserve">134.5</t>
  </si>
  <si>
    <t xml:space="preserve">copper pipe and fitting.PDF</t>
  </si>
  <si>
    <t xml:space="preserve">2009-Chinn, Greenwood/Submittals/Chinn Greenwood complete submittal package/2012-08-02/copper pipe and fitting.PDF</t>
  </si>
  <si>
    <t xml:space="preserve">2138.2</t>
  </si>
  <si>
    <t xml:space="preserve">Pages from Greenwood Apartments Construction set 2.pdf</t>
  </si>
  <si>
    <t xml:space="preserve">2009 Greenwood/Pages from Greenwood Apartments Construction set 2.pdf</t>
  </si>
  <si>
    <t xml:space="preserve">2009 Greenwood</t>
  </si>
  <si>
    <t xml:space="preserve">173.0</t>
  </si>
  <si>
    <t xml:space="preserve">Greenwood Apartments Construction set.pdf</t>
  </si>
  <si>
    <t xml:space="preserve">2009 Greenwood/Greenwood Apartments Construction set.pdf</t>
  </si>
  <si>
    <t xml:space="preserve">2461.7</t>
  </si>
  <si>
    <t xml:space="preserve">Thumbs.db</t>
  </si>
  <si>
    <t xml:space="preserve">2009 Greenwood/Thumbs.db</t>
  </si>
  <si>
    <t xml:space="preserve">.db</t>
  </si>
  <si>
    <t xml:space="preserve">25.5</t>
  </si>
  <si>
    <t xml:space="preserve">BPC Booster System Rev1-Model.pdf</t>
  </si>
  <si>
    <t xml:space="preserve">2009 Greenwood/BPC Booster System Rev1-Model.pdf</t>
  </si>
  <si>
    <t xml:space="preserve">34.0</t>
  </si>
  <si>
    <t xml:space="preserve">Greenwood Water Room.pdf</t>
  </si>
  <si>
    <t xml:space="preserve">2009 Greenwood/Greenwood Water Room.pdf</t>
  </si>
  <si>
    <t xml:space="preserve">91.1</t>
  </si>
  <si>
    <t xml:space="preserve">Pages from Greenwood Apartments Construction set 1.pdf</t>
  </si>
  <si>
    <t xml:space="preserve">2009 Greenwood/Pages from Greenwood Apartments Construction set 1.pdf</t>
  </si>
  <si>
    <t xml:space="preserve">248.4</t>
  </si>
  <si>
    <t xml:space="preserve">Pages from Greenwood ASI-03 10-8-12.pdf</t>
  </si>
  <si>
    <t xml:space="preserve">2009 Greenwood/Pages from Greenwood ASI-03 10-8-12.pdf</t>
  </si>
  <si>
    <t xml:space="preserve">448.7</t>
  </si>
  <si>
    <t xml:space="preserve">ASI/RFI</t>
  </si>
  <si>
    <t xml:space="preserve">RFI / Design Changes &amp; Pre-CO</t>
  </si>
  <si>
    <t xml:space="preserve">greenwood booster pump.pdf</t>
  </si>
  <si>
    <t xml:space="preserve">2009 Greenwood/chinn greenwood/greenwood booster pump.pdf</t>
  </si>
  <si>
    <t xml:space="preserve">2009 Greenwood/chinn greenwood</t>
  </si>
  <si>
    <t xml:space="preserve">2752.9</t>
  </si>
  <si>
    <t xml:space="preserve">C-204.pdf</t>
  </si>
  <si>
    <t xml:space="preserve">2009 Greenwood/chinn greenwood/C-204.pdf</t>
  </si>
  <si>
    <t xml:space="preserve">564.1</t>
  </si>
  <si>
    <t xml:space="preserve">Greenwood ASI-03 11 x 17.pdf</t>
  </si>
  <si>
    <t xml:space="preserve">2009 Greenwood/chinn greenwood/Greenwood ASI-03 11 x 17.pdf</t>
  </si>
  <si>
    <t xml:space="preserve">4703.0</t>
  </si>
  <si>
    <t xml:space="preserve">GRE Greenwood_ Arch and Struct.zip</t>
  </si>
  <si>
    <t xml:space="preserve">2009 Greenwood/chinn greenwood/GRE Greenwood_ Arch and Struct.zip</t>
  </si>
  <si>
    <t xml:space="preserve">5247.0</t>
  </si>
  <si>
    <t xml:space="preserve">greenwood full size.pdf</t>
  </si>
  <si>
    <t xml:space="preserve">2009 Greenwood/chinn greenwood/greenwood full size.pdf</t>
  </si>
  <si>
    <t xml:space="preserve">50377.0</t>
  </si>
  <si>
    <t xml:space="preserve">greenwood irrigation.pdf</t>
  </si>
  <si>
    <t xml:space="preserve">2009 Greenwood/chinn greenwood/greenwood irrigation.pdf</t>
  </si>
  <si>
    <t xml:space="preserve">11142.9</t>
  </si>
  <si>
    <t xml:space="preserve">greenwood PLUMBING 7-23-12.pdf</t>
  </si>
  <si>
    <t xml:space="preserve">2009 Greenwood/chinn greenwood/greenwood PLUMBING 7-23-12.pdf</t>
  </si>
  <si>
    <t xml:space="preserve">3690.1</t>
  </si>
  <si>
    <t xml:space="preserve">GRENWOOD PLUMBING RUSHING.pdf</t>
  </si>
  <si>
    <t xml:space="preserve">2009 Greenwood/chinn greenwood/GRENWOOD PLUMBING RUSHING.pdf</t>
  </si>
  <si>
    <t xml:space="preserve">25565.6</t>
  </si>
  <si>
    <t xml:space="preserve">GreenwoodApts_Prelim_8-1-12.pdf</t>
  </si>
  <si>
    <t xml:space="preserve">2009 Greenwood/chinn greenwood/GreenwoodApts_Prelim_8-1-12.pdf</t>
  </si>
  <si>
    <t xml:space="preserve">2046.1</t>
  </si>
  <si>
    <t xml:space="preserve">greenwood fire shop drawings.pdf</t>
  </si>
  <si>
    <t xml:space="preserve">2009 Greenwood/chinn greenwood/greenwood fire shop drawings.pdf</t>
  </si>
  <si>
    <t xml:space="preserve">2380.2</t>
  </si>
  <si>
    <t xml:space="preserve">greenwood a101 full size.pdf</t>
  </si>
  <si>
    <t xml:space="preserve">2009 Greenwood/chinn greenwood/greenwood a101 full size.pdf</t>
  </si>
  <si>
    <t xml:space="preserve">2196.2</t>
  </si>
  <si>
    <t xml:space="preserve">Greenwood ASI-03.pdf</t>
  </si>
  <si>
    <t xml:space="preserve">2009 Greenwood/chinn greenwood/Greenwood ASI-03.pdf</t>
  </si>
  <si>
    <t xml:space="preserve">5428.5</t>
  </si>
  <si>
    <t xml:space="preserve">2009 Greenwood/chinn greenwood/Greenwood Apartments Construction set.pdf</t>
  </si>
  <si>
    <t xml:space="preserve">MCA RATING GREENWOOD.pdf</t>
  </si>
  <si>
    <t xml:space="preserve">2009 Greenwood/chinn greenwood/MCA RATING GREENWOOD.pdf</t>
  </si>
  <si>
    <t xml:space="preserve">273.5</t>
  </si>
  <si>
    <t xml:space="preserve">C-203.pdf</t>
  </si>
  <si>
    <t xml:space="preserve">2009 Greenwood/chinn greenwood/C-203.pdf</t>
  </si>
  <si>
    <t xml:space="preserve">870.4</t>
  </si>
  <si>
    <t xml:space="preserve">Copy of Chinn Greenwood Revised copy of P-tag list and front page detail.xls</t>
  </si>
  <si>
    <t xml:space="preserve">2009 Greenwood/chinn greenwood/Copy of Chinn Greenwood Revised copy of P-tag list and front page detail.xls</t>
  </si>
  <si>
    <t xml:space="preserve">greenwood a101 garage piping.pdf</t>
  </si>
  <si>
    <t xml:space="preserve">2009 Greenwood/chinn greenwood/greenwood a101 garage piping.pdf</t>
  </si>
  <si>
    <t xml:space="preserve">1284.2</t>
  </si>
  <si>
    <t xml:space="preserve">Greenwood Apartments added drains.pdf</t>
  </si>
  <si>
    <t xml:space="preserve">2009 Greenwood/chinn greenwood/Greenwood Apartments added drains.pdf</t>
  </si>
  <si>
    <t xml:space="preserve">850.2</t>
  </si>
  <si>
    <t xml:space="preserve">MSI Job Setup Sheet Greenwood.pdf</t>
  </si>
  <si>
    <t xml:space="preserve">2009 Greenwood/chinn greenwood/MSI Job Setup Sheet Greenwood.pdf</t>
  </si>
  <si>
    <t xml:space="preserve">46.8</t>
  </si>
  <si>
    <t xml:space="preserve">greenwood a102 PLUMBING.pdf</t>
  </si>
  <si>
    <t xml:space="preserve">2009 Greenwood/chinn greenwood/greenwood a102 PLUMBING.pdf</t>
  </si>
  <si>
    <t xml:space="preserve">1221.0</t>
  </si>
  <si>
    <t xml:space="preserve">greenwood 2603cth.pdf</t>
  </si>
  <si>
    <t xml:space="preserve">2009 Greenwood/chinn greenwood/greenwood 2603cth.pdf</t>
  </si>
  <si>
    <t xml:space="preserve">642.8</t>
  </si>
  <si>
    <t xml:space="preserve">Pages from Greenwood Apartments Construction set.pdf</t>
  </si>
  <si>
    <t xml:space="preserve">2009 Greenwood/chinn greenwood/Pages from Greenwood Apartments Construction set.pdf</t>
  </si>
  <si>
    <t xml:space="preserve">greenwood a101ground work.pdf</t>
  </si>
  <si>
    <t xml:space="preserve">2009 Greenwood/chinn greenwood/greenwood a101ground work.pdf</t>
  </si>
  <si>
    <t xml:space="preserve">1185.9</t>
  </si>
  <si>
    <t xml:space="preserve">Greenwood ASI-03 10-8-12.pdf</t>
  </si>
  <si>
    <t xml:space="preserve">2009 Greenwood/chinn greenwood/Greenwood ASI-03 10-8-12.pdf</t>
  </si>
  <si>
    <t xml:space="preserve">4630.1</t>
  </si>
  <si>
    <t xml:space="preserve">greenwood asi 1.pdf</t>
  </si>
  <si>
    <t xml:space="preserve">2009 Greenwood/chinn greenwood/greenwood asi 1.pdf</t>
  </si>
  <si>
    <t xml:space="preserve">1395.7</t>
  </si>
  <si>
    <t xml:space="preserve">greenwood s2.0 full size.pdf</t>
  </si>
  <si>
    <t xml:space="preserve">2009 Greenwood/chinn greenwood/greenwood s2.0 full size.pdf</t>
  </si>
  <si>
    <t xml:space="preserve">2697.5</t>
  </si>
  <si>
    <t xml:space="preserve">greenwood a102 full size.pdf</t>
  </si>
  <si>
    <t xml:space="preserve">2009 Greenwood/chinn greenwood/greenwood a102 full size.pdf</t>
  </si>
  <si>
    <t xml:space="preserve">2182.8</t>
  </si>
  <si>
    <t xml:space="preserve">greenwood storm pumps.pdf</t>
  </si>
  <si>
    <t xml:space="preserve">2009 Greenwood/chinn greenwood/greenwood storm pumps.pdf</t>
  </si>
  <si>
    <t xml:space="preserve">7238.2</t>
  </si>
  <si>
    <t xml:space="preserve">Hash</t>
  </si>
  <si>
    <t xml:space="preserve">File Path</t>
  </si>
  <si>
    <t xml:space="preserve">Group Size</t>
  </si>
  <si>
    <t xml:space="preserve">fee0a28cb7ce</t>
  </si>
  <si>
    <t xml:space="preserve">2</t>
  </si>
  <si>
    <t xml:space="preserve">4732e2d9e07a</t>
  </si>
  <si>
    <t xml:space="preserve">976f27f28193</t>
  </si>
  <si>
    <t xml:space="preserve">01d598ce5498</t>
  </si>
  <si>
    <t xml:space="preserve">c9ecd1d6680b</t>
  </si>
  <si>
    <t xml:space="preserve">697582730905</t>
  </si>
  <si>
    <t xml:space="preserve">09daaab5826f</t>
  </si>
  <si>
    <t xml:space="preserve">17a04f4e47ba</t>
  </si>
  <si>
    <t xml:space="preserve">566d9b321c02</t>
  </si>
  <si>
    <t xml:space="preserve">073a5bb9297a</t>
  </si>
  <si>
    <t xml:space="preserve">dc70216fdee2</t>
  </si>
  <si>
    <t xml:space="preserve">ca6f44073eed</t>
  </si>
  <si>
    <t xml:space="preserve">90f2e45dcade</t>
  </si>
  <si>
    <t xml:space="preserve">54598e4c51a4</t>
  </si>
  <si>
    <t xml:space="preserve">34932c3c2b3b</t>
  </si>
  <si>
    <t xml:space="preserve">0eddd334635a</t>
  </si>
  <si>
    <t xml:space="preserve">891f849dd590</t>
  </si>
  <si>
    <t xml:space="preserve">92f40e9f7a15</t>
  </si>
  <si>
    <t xml:space="preserve">4b4e680a57c5</t>
  </si>
  <si>
    <t xml:space="preserve">307ec3093038</t>
  </si>
  <si>
    <t xml:space="preserve">aeecafa90fc3</t>
  </si>
  <si>
    <t xml:space="preserve">9ca8fc6d03a1</t>
  </si>
  <si>
    <t xml:space="preserve">3cddf3e93c39</t>
  </si>
  <si>
    <t xml:space="preserve">f7a6446d4927</t>
  </si>
  <si>
    <t xml:space="preserve">035ec5adcc38</t>
  </si>
  <si>
    <t xml:space="preserve">9ea760b59af8</t>
  </si>
  <si>
    <t xml:space="preserve">2e9192302605</t>
  </si>
  <si>
    <t xml:space="preserve">143b1619d496</t>
  </si>
  <si>
    <t xml:space="preserve">0303ed468933</t>
  </si>
  <si>
    <t xml:space="preserve">d493b31d2312</t>
  </si>
  <si>
    <t xml:space="preserve">6a20b0fa18a8</t>
  </si>
  <si>
    <t xml:space="preserve">377971ce6148</t>
  </si>
  <si>
    <t xml:space="preserve">2993775dc0df</t>
  </si>
  <si>
    <t xml:space="preserve">a7fef111d290</t>
  </si>
  <si>
    <t xml:space="preserve">43d0f43870c8</t>
  </si>
  <si>
    <t xml:space="preserve">7629c3b96e60</t>
  </si>
  <si>
    <t xml:space="preserve">704b9ed4bea8</t>
  </si>
  <si>
    <t xml:space="preserve">6ca4a68d78dc</t>
  </si>
  <si>
    <t xml:space="preserve">2d6d1389d38a</t>
  </si>
  <si>
    <t xml:space="preserve">d7e57e50bf73</t>
  </si>
  <si>
    <t xml:space="preserve">9075e20d923f</t>
  </si>
  <si>
    <t xml:space="preserve">a4021592b779</t>
  </si>
  <si>
    <t xml:space="preserve">f5178b96be16</t>
  </si>
  <si>
    <t xml:space="preserve">12ee7d92e05d</t>
  </si>
  <si>
    <t xml:space="preserve">76cf2659534e</t>
  </si>
  <si>
    <t xml:space="preserve">ad8f0f15546c</t>
  </si>
  <si>
    <t xml:space="preserve">4460dfb4b303</t>
  </si>
  <si>
    <t xml:space="preserve">5c916f15fc25</t>
  </si>
  <si>
    <t xml:space="preserve">bb537b631d86</t>
  </si>
  <si>
    <t xml:space="preserve">9476b1040553</t>
  </si>
  <si>
    <t xml:space="preserve">16ae8f79f326</t>
  </si>
  <si>
    <t xml:space="preserve">102e4b387632</t>
  </si>
  <si>
    <t xml:space="preserve">a86ca1355018</t>
  </si>
  <si>
    <t xml:space="preserve">47741c0664f4</t>
  </si>
  <si>
    <t xml:space="preserve">2ac52903e096</t>
  </si>
  <si>
    <t xml:space="preserve">374601a2e706</t>
  </si>
  <si>
    <t xml:space="preserve">bcdf564eb2c5</t>
  </si>
  <si>
    <t xml:space="preserve">c03df33f7370</t>
  </si>
  <si>
    <t xml:space="preserve">9d55be481ab8</t>
  </si>
  <si>
    <t xml:space="preserve">9a16bed9e015</t>
  </si>
  <si>
    <t xml:space="preserve">9a1639c8eade</t>
  </si>
  <si>
    <t xml:space="preserve">7a06d77df465</t>
  </si>
  <si>
    <t xml:space="preserve">614ebcbdbfa0</t>
  </si>
  <si>
    <t xml:space="preserve">415691251e34</t>
  </si>
  <si>
    <t xml:space="preserve">a17b62c4224d</t>
  </si>
  <si>
    <t xml:space="preserve">553c9a4182c7</t>
  </si>
  <si>
    <t xml:space="preserve">8d48557c8061</t>
  </si>
  <si>
    <t xml:space="preserve">48e7788412a1</t>
  </si>
  <si>
    <t xml:space="preserve">3d91cd3054b1</t>
  </si>
  <si>
    <t xml:space="preserve">37eee048f007</t>
  </si>
  <si>
    <t xml:space="preserve">53034afc5045</t>
  </si>
  <si>
    <t xml:space="preserve">d2e22d5aba35</t>
  </si>
  <si>
    <t xml:space="preserve">e5e4c2182b21</t>
  </si>
  <si>
    <t xml:space="preserve">646320752341</t>
  </si>
  <si>
    <t xml:space="preserve">2b26539167fb</t>
  </si>
  <si>
    <t xml:space="preserve">b17ff8382d1f</t>
  </si>
  <si>
    <t xml:space="preserve">723f02785b46</t>
  </si>
  <si>
    <t xml:space="preserve">14e317151bba</t>
  </si>
  <si>
    <t xml:space="preserve">09f9f3914f8c</t>
  </si>
  <si>
    <t xml:space="preserve">SUMMARY</t>
  </si>
  <si>
    <t xml:space="preserve">79 exact duplicate groups | 158 total duplicate files (25% of 317)</t>
  </si>
  <si>
    <t xml:space="preserve">Root cause: parallel directory structures (files at both nested and root levels)</t>
  </si>
  <si>
    <t xml:space="preserve">Recommendation: consolidate to single canonical directory, eliminate duplicates</t>
  </si>
  <si>
    <t xml:space="preserve">DOCUMENT RELATIONSHIP MAP</t>
  </si>
  <si>
    <t xml:space="preserve">Source Document</t>
  </si>
  <si>
    <t xml:space="preserve">Related Document</t>
  </si>
  <si>
    <t xml:space="preserve">Relationship</t>
  </si>
  <si>
    <t xml:space="preserve">Link Field</t>
  </si>
  <si>
    <t xml:space="preserve">Project Example</t>
  </si>
  <si>
    <t xml:space="preserve">Purchase Orders (.xls)</t>
  </si>
  <si>
    <t xml:space="preserve">Invoices (billing folders)</t>
  </si>
  <si>
    <t xml:space="preserve">PO funds invoice payment</t>
  </si>
  <si>
    <t xml:space="preserve">PO Number, Vendor</t>
  </si>
  <si>
    <t xml:space="preserve">PO 45092 → /31-Roughin invoices</t>
  </si>
  <si>
    <t xml:space="preserve">Job Cost ↔ Project Admin</t>
  </si>
  <si>
    <t xml:space="preserve">Submittals (.pdf)</t>
  </si>
  <si>
    <t xml:space="preserve">PO procures submitted material</t>
  </si>
  <si>
    <t xml:space="preserve">Product Code</t>
  </si>
  <si>
    <t xml:space="preserve">GREENWOOD RI MATERIAL PVC → PVC spec.pdf</t>
  </si>
  <si>
    <t xml:space="preserve">Job Cost ↔ Submittal</t>
  </si>
  <si>
    <t xml:space="preserve">Plans (.pdf)</t>
  </si>
  <si>
    <t xml:space="preserve">Submittal fulfills plan spec</t>
  </si>
  <si>
    <t xml:space="preserve">Fixture Tag (P1-P13)</t>
  </si>
  <si>
    <t xml:space="preserve">P7 wash machine → Plans plumbing sheet</t>
  </si>
  <si>
    <t xml:space="preserve">Submittal ↔ Design Changes</t>
  </si>
  <si>
    <t xml:space="preserve">Schedule of Values (.xls)</t>
  </si>
  <si>
    <t xml:space="preserve">Invoices (billing)</t>
  </si>
  <si>
    <t xml:space="preserve">SOV tracks billing progress</t>
  </si>
  <si>
    <t xml:space="preserve">Phase/Line Item</t>
  </si>
  <si>
    <t xml:space="preserve">SOV Roughin line → /31-Roughin invoices</t>
  </si>
  <si>
    <t xml:space="preserve">Project Admin (internal)</t>
  </si>
  <si>
    <t xml:space="preserve">Monthly Billing (.xls)</t>
  </si>
  <si>
    <t xml:space="preserve">MBS summarizes SOV progress</t>
  </si>
  <si>
    <t xml:space="preserve">Period, Amount</t>
  </si>
  <si>
    <t xml:space="preserve">Jul 2012 billing → SOV 7/19/12</t>
  </si>
  <si>
    <t xml:space="preserve">As-Built Drawings (.pdf)</t>
  </si>
  <si>
    <t xml:space="preserve">As-builts update original plans</t>
  </si>
  <si>
    <t xml:space="preserve">Sheet Number</t>
  </si>
  <si>
    <t xml:space="preserve">OWP AS BUILT → Construction set P-sheets</t>
  </si>
  <si>
    <t xml:space="preserve">Design Changes</t>
  </si>
  <si>
    <t xml:space="preserve">ASI Documents (.pdf)</t>
  </si>
  <si>
    <t xml:space="preserve">ASI modifies original design</t>
  </si>
  <si>
    <t xml:space="preserve">ASI Number</t>
  </si>
  <si>
    <t xml:space="preserve">Greenwood ASI-03 → Construction set</t>
  </si>
  <si>
    <t xml:space="preserve">Warranty Docs (.pdf)</t>
  </si>
  <si>
    <t xml:space="preserve">Warranty covers submitted equipment</t>
  </si>
  <si>
    <t xml:space="preserve">Equipment Model</t>
  </si>
  <si>
    <t xml:space="preserve">warranties.pdf → AO Smith submittal</t>
  </si>
  <si>
    <t xml:space="preserve">Project Admin ↔ Submittal</t>
  </si>
  <si>
    <t xml:space="preserve">P-Tag List (.xls)</t>
  </si>
  <si>
    <t xml:space="preserve">P-tags index all submitted fixtures</t>
  </si>
  <si>
    <t xml:space="preserve">Fixture Tag</t>
  </si>
  <si>
    <t xml:space="preserve">P-tag → P1 toilet, P7 wash machine</t>
  </si>
  <si>
    <t xml:space="preserve">Submittal (master index)</t>
  </si>
  <si>
    <t xml:space="preserve">Job Detail Report (.pdf)</t>
  </si>
  <si>
    <t xml:space="preserve">All financial documents</t>
  </si>
  <si>
    <t xml:space="preserve">Master financial ledger</t>
  </si>
  <si>
    <t xml:space="preserve">Cost Code, Date</t>
  </si>
  <si>
    <t xml:space="preserve">JDR code 220 → Roughin Material invoices</t>
  </si>
  <si>
    <t xml:space="preserve">Job Cost Report (master)</t>
  </si>
  <si>
    <t xml:space="preserve">Lien Releases (.docx)</t>
  </si>
  <si>
    <t xml:space="preserve">Release accompanies billing</t>
  </si>
  <si>
    <t xml:space="preserve">Lien release → Monthly billing</t>
  </si>
  <si>
    <t xml:space="preserve">Project Admin</t>
  </si>
  <si>
    <t xml:space="preserve">Vendor Invoices (in JDR)</t>
  </si>
  <si>
    <t xml:space="preserve">Invoice fulfills PO</t>
  </si>
  <si>
    <t xml:space="preserve">Vendor, PO#</t>
  </si>
  <si>
    <t xml:space="preserve">Ferguson Inv 2462727 → PO 45092</t>
  </si>
  <si>
    <t xml:space="preserve">KEY MISSING DOCUMENTS</t>
  </si>
  <si>
    <t xml:space="preserve">Document Type</t>
  </si>
  <si>
    <t xml:space="preserve">Impact</t>
  </si>
  <si>
    <t xml:space="preserve">Use Cases Blocked</t>
  </si>
  <si>
    <t xml:space="preserve">Priority</t>
  </si>
  <si>
    <t xml:space="preserve">Signed Contract / Subcontract</t>
  </si>
  <si>
    <t xml:space="preserve">Contract Clause</t>
  </si>
  <si>
    <t xml:space="preserve">Cannot assess risk, LD clauses, scope</t>
  </si>
  <si>
    <t xml:space="preserve">UC4, UC6, UC9</t>
  </si>
  <si>
    <t xml:space="preserve">CRITICAL</t>
  </si>
  <si>
    <t xml:space="preserve">Change Orders (executed COs)</t>
  </si>
  <si>
    <t xml:space="preserve">Change Order</t>
  </si>
  <si>
    <t xml:space="preserve">No CO recovery or approval rate analysis</t>
  </si>
  <si>
    <t xml:space="preserve">UC1, UC3, UC4, UC8</t>
  </si>
  <si>
    <t xml:space="preserve">RFI Log / RFI Documents</t>
  </si>
  <si>
    <t xml:space="preserve">RFI</t>
  </si>
  <si>
    <t xml:space="preserve">No design issue tracking or root cause</t>
  </si>
  <si>
    <t xml:space="preserve">UC21, UC23, UC24</t>
  </si>
  <si>
    <t xml:space="preserve">Daily Field Reports</t>
  </si>
  <si>
    <t xml:space="preserve">Daily Report</t>
  </si>
  <si>
    <t xml:space="preserve">No contemporaneous delay documentation</t>
  </si>
  <si>
    <t xml:space="preserve">UC17, UC24</t>
  </si>
  <si>
    <t xml:space="preserve">HIGH</t>
  </si>
  <si>
    <t xml:space="preserve">Production/Crew Activity Logs</t>
  </si>
  <si>
    <t xml:space="preserve">Production Activity</t>
  </si>
  <si>
    <t xml:space="preserve">No labor productivity benchmarking</t>
  </si>
  <si>
    <t xml:space="preserve">UC16-UC20</t>
  </si>
  <si>
    <t xml:space="preserve">Estimate/Bid Workup</t>
  </si>
  <si>
    <t xml:space="preserve">Estimate</t>
  </si>
  <si>
    <t xml:space="preserve">No bid accuracy or sweet spot analysis</t>
  </si>
  <si>
    <t xml:space="preserve">UC11-UC15</t>
  </si>
  <si>
    <t xml:space="preserve">Meeting Minutes</t>
  </si>
  <si>
    <t xml:space="preserve">No action item or decision tracking</t>
  </si>
  <si>
    <t xml:space="preserve">UC10, UC22</t>
  </si>
  <si>
    <t xml:space="preserve">MEDIUM</t>
  </si>
  <si>
    <t xml:space="preserve">Formal Correspondence</t>
  </si>
  <si>
    <t xml:space="preserve">No contractual notice tracking</t>
  </si>
  <si>
    <t xml:space="preserve">UC4, UC26</t>
  </si>
  <si>
    <t xml:space="preserve">Punch List</t>
  </si>
  <si>
    <t xml:space="preserve">No closeout quality metrics</t>
  </si>
  <si>
    <t xml:space="preserve">UC22, UC30</t>
  </si>
  <si>
    <t xml:space="preserve">Sub Bid Tabulations</t>
  </si>
  <si>
    <t xml:space="preserve">Sub Bid Analysis</t>
  </si>
  <si>
    <t xml:space="preserve">No buyout intelligence</t>
  </si>
  <si>
    <t xml:space="preserve">UC12, UC30</t>
  </si>
  <si>
    <t xml:space="preserve">Safety/Inspection Reports</t>
  </si>
  <si>
    <t xml:space="preserve">Safety &amp; Inspection</t>
  </si>
  <si>
    <t xml:space="preserve">No safety pattern analysis</t>
  </si>
  <si>
    <t xml:space="preserve">UC9</t>
  </si>
  <si>
    <t xml:space="preserve">LOW</t>
  </si>
  <si>
    <t xml:space="preserve">GC-Approved Pay App Copies</t>
  </si>
  <si>
    <t xml:space="preserve">Cannot verify payment receipt timing</t>
  </si>
  <si>
    <t xml:space="preserve">UC2, UC7</t>
  </si>
  <si>
    <t xml:space="preserve">KEY INSIGHTS</t>
  </si>
  <si>
    <t xml:space="preserve">#</t>
  </si>
  <si>
    <t xml:space="preserve">Insight</t>
  </si>
  <si>
    <t xml:space="preserve">Evidence</t>
  </si>
  <si>
    <t xml:space="preserve">Recommendation</t>
  </si>
  <si>
    <t xml:space="preserve">1</t>
  </si>
  <si>
    <t xml:space="preserve">STRONG PROFITABILITY (27% margin): This project generated $106K net profit on $394K revenue — well above the 15-20% industry average for plumbing subcontractors.</t>
  </si>
  <si>
    <t xml:space="preserve">Revenue $394,208 vs Expenses $287,899. Profit $106,309. Budget was ~$97K profit, so actual beat budget by $9.3K.</t>
  </si>
  <si>
    <t xml:space="preserve">Benchmark this margin for future similar projects. Use as Cortex reference for UC27 (True Profitability).</t>
  </si>
  <si>
    <t xml:space="preserve">MATERIAL BUYOUT SAVED THE PROJECT: Material came in $45K (23%) under budget, which more than offset a $12K (17%) labor overrun. Procurement discipline drove profitability.</t>
  </si>
  <si>
    <t xml:space="preserve">Material budget $196,250 → Actual $151,064 (saved $45,186). Labor budget $72,320 → Actual $84,698 (over by $12,378). Net savings = $32,808.</t>
  </si>
  <si>
    <t xml:space="preserve">Track material buyout savings per Cortex Sub Bid schema. This is a repeatable competitive advantage if systematic.</t>
  </si>
  <si>
    <t xml:space="preserve">3</t>
  </si>
  <si>
    <t xml:space="preserve">ROUGHIN PHASE WAS THE BOTTLENECK: Roughin consumed 56% of all labor hours (2,311 of 4,116) and was 34% over budget — the single largest cost overrun on the project.</t>
  </si>
  <si>
    <t xml:space="preserve">Code 120 Roughin: Budget $34,500, Actual $46,114. 2,311 hours at $19.96/hr. Peak crew of 12 during Oct 2012 (40hr/week for 10+ workers).</t>
  </si>
  <si>
    <t xml:space="preserve">Roughin estimating needs recalibration for multi-family. Consider breaking roughin into sub-phases for better tracking.</t>
  </si>
  <si>
    <t xml:space="preserve">4</t>
  </si>
  <si>
    <t xml:space="preserve">FINISH MATERIAL IS 72% OF ALL MATERIAL COST: Code 230 (Finish Material) at $110K represents the bulk of procurement, dominated by Ferguson Enterprises invoices.</t>
  </si>
  <si>
    <t xml:space="preserve">Code 230: $109,976 of $151,064 total material (72.8%). Key invoices: $15,861 (Ferguson), $16,250 (Mechanical Sales booster pump), $9,864 (Ferguson).</t>
  </si>
  <si>
    <t xml:space="preserve">Negotiate volume pricing with Ferguson. The booster pump ($16,250 from Mechanical Sales) was a single major line item worth pre-negotiating.</t>
  </si>
  <si>
    <t xml:space="preserve">5</t>
  </si>
  <si>
    <t xml:space="preserve">GC IDENTIFIED AS CHINN CONSTRUCTION: The AR entries reveal Chinn Construction, LLC as the GC, with 12 invoices and 5% retainage retention — $19,710 still outstanding.</t>
  </si>
  <si>
    <t xml:space="preserve">Code 999 (Sales): All AR entries to 'Chinn Construction, LLC $Greenwood'. Retainage column totals $19,710.40. Invoice range 036335-036418.</t>
  </si>
  <si>
    <t xml:space="preserve">Pursue retainage release if not already collected. Build Chinn Construction into Cortex GC intelligence (UC6-UC10) for future projects.</t>
  </si>
  <si>
    <t xml:space="preserve">6</t>
  </si>
  <si>
    <t xml:space="preserve">ZERO CHANGE ORDER DOCUMENTATION despite T&amp;M work existing: Invoice folder 38-T&amp;M exists and Code 150 shows warranty labor, yet no COs are filed.</t>
  </si>
  <si>
    <t xml:space="preserve">T&amp;M folder exists in file structure. Warranty labor = $138.50 (4 hours). No CO, PCO, or COR documents anywhere in 317 files.</t>
  </si>
  <si>
    <t xml:space="preserve">If COs existed but weren't filed, this is a documentation gap. If extra work was done without COs, this is potential unbilled revenue (UC1).</t>
  </si>
  <si>
    <t xml:space="preserve">7</t>
  </si>
  <si>
    <t xml:space="preserve">EFFECTIVE LABOR RATE OF $20.58/HR: Across 4,116 hours and 22 workers, the blended rate is $20.58/hr. With burden ($34K) and tax ($6.5K), fully-loaded rate is ~$30.55/hr.</t>
  </si>
  <si>
    <t xml:space="preserve">Direct labor $84,698 / 4,116 hours = $20.58. Add burden $34,412 + tax $6,479 = total loaded cost $125,589 / 4,116 = $30.51/hr.</t>
  </si>
  <si>
    <t xml:space="preserve">Benchmark against current rates. If billing rates to GC were higher, the labor markup is a key profit driver.</t>
  </si>
  <si>
    <t xml:space="preserve">8</t>
  </si>
  <si>
    <t xml:space="preserve">DOCUMENT ORGANIZATION IS POOR: 25% of files are exact duplicates across parallel directories, and files lack consistent naming or version control.</t>
  </si>
  <si>
    <t xml:space="preserve">79 duplicate groups, 158 files. PO Scheduled/ and greenwood billing/ exist at two directory levels. Multiple versions of SOV and billing summaries.</t>
  </si>
  <si>
    <t xml:space="preserve">Implement Cortex document intake workflow. Deduplicate immediately. Establish canonical folder structure.</t>
  </si>
  <si>
    <t xml:space="preserve">9</t>
  </si>
  <si>
    <t xml:space="preserve">COMPREHENSIVE SUBMITTAL PACKAGE: 72 submittal documents covering every plumbing fixture (P1-P13), all pipe specs, and specialty items is the strongest documentation category.</t>
  </si>
  <si>
    <t xml:space="preserve">Complete P-tag list, individual and compiled submittal packages, ADA-specific submittals, all major manufacturers (Kohler, Watts, AO Smith, Armstrong).</t>
  </si>
  <si>
    <t xml:space="preserve">Use as Cortex Submittal schema baseline. Highest coverage category at 56% of schema fields.</t>
  </si>
  <si>
    <t xml:space="preserve">10</t>
  </si>
  <si>
    <t xml:space="preserve">PROJECT TIMELINE EFFICIENT: 13 months from permit to final billing with clear phase sequencing and no evidence of major delays.</t>
  </si>
  <si>
    <t xml:space="preserve">Permit Jul 2012 → Underground Jul-Aug → Roughin Aug-Dec → Trim Jan-Jun 2013 → Warranty Oct 2013. Sequential with appropriate overlaps.</t>
  </si>
  <si>
    <t xml:space="preserve">Use as benchmark timeline. The fact that roughin went 34% over budget in cost but stayed on schedule suggests it was a scope issue, not inefficiency.</t>
  </si>
  <si>
    <t xml:space="preserve">QUESTIONS WE ARE NOT ASKING (BUT SHOULD BE)</t>
  </si>
  <si>
    <t xml:space="preserve">Question</t>
  </si>
  <si>
    <t xml:space="preserve">Why It Matters</t>
  </si>
  <si>
    <t xml:space="preserve">Cortex Use Case</t>
  </si>
  <si>
    <t xml:space="preserve">Were there change orders on this project, and if so, were they all billed?</t>
  </si>
  <si>
    <t xml:space="preserve">Zero CO documentation for 13 months is abnormal. T&amp;M folder exists, implying extra work. Potential unbilled revenue.</t>
  </si>
  <si>
    <t xml:space="preserve">UC1: Unbilled CO Recovery</t>
  </si>
  <si>
    <t xml:space="preserve">What was the original bid/estimate and how did it compare to final cost?</t>
  </si>
  <si>
    <t xml:space="preserve">No estimate workup in files. JDR shows budgets but not the bid submitted to Chinn Construction.</t>
  </si>
  <si>
    <t xml:space="preserve">UC11-15: Estimating Intelligence</t>
  </si>
  <si>
    <t xml:space="preserve">Has the $19,710 retainage been released?</t>
  </si>
  <si>
    <t xml:space="preserve">5% retainage on $394K revenue. If held 10+ years, this is cash sitting on the table.</t>
  </si>
  <si>
    <t xml:space="preserve">UC2: Retention Float Acceleration</t>
  </si>
  <si>
    <t xml:space="preserve">What was the crew productivity rate per unit (per apartment)?</t>
  </si>
  <si>
    <t xml:space="preserve">We have total hours (4,116) but not unit count. Cannot benchmark $/unit or hours/unit for future estimates.</t>
  </si>
  <si>
    <t xml:space="preserve">UC16: Foreman Productivity Gap</t>
  </si>
  <si>
    <t xml:space="preserve">Were payments from Chinn Construction received on time?</t>
  </si>
  <si>
    <t xml:space="preserve">Only sub-side billing exists. No payment receipt tracking.</t>
  </si>
  <si>
    <t xml:space="preserve">UC7: GC Payment Velocity</t>
  </si>
  <si>
    <t xml:space="preserve">Were there any back-charges from the GC?</t>
  </si>
  <si>
    <t xml:space="preserve">No back-charge docs, no punch list, no deficiency notices.</t>
  </si>
  <si>
    <t xml:space="preserve">UC4: Back-Charge Defense</t>
  </si>
  <si>
    <t xml:space="preserve">Why was Roughin 34% over budget? Scope change or estimating error?</t>
  </si>
  <si>
    <t xml:space="preserve">$11,614 overrun is the largest variance. Root cause matters for future estimating accuracy.</t>
  </si>
  <si>
    <t xml:space="preserve">UC13: Labor Hour Variance</t>
  </si>
  <si>
    <t xml:space="preserve">How does this project compare to other OWP multi-family projects?</t>
  </si>
  <si>
    <t xml:space="preserve">Single project file — no portfolio benchmarking possible.</t>
  </si>
  <si>
    <t xml:space="preserve">UC29: Project Type Profitability</t>
  </si>
  <si>
    <t xml:space="preserve">What submittals were rejected or required resubmission?</t>
  </si>
  <si>
    <t xml:space="preserve">72 spec sheets but zero transmittal letters or approval stamps.</t>
  </si>
  <si>
    <t xml:space="preserve">UC23: Coordination Rework</t>
  </si>
  <si>
    <t xml:space="preserve">What was the safety record?</t>
  </si>
  <si>
    <t xml:space="preserve">Zero safety documentation in 317 files.</t>
  </si>
  <si>
    <t xml:space="preserve">Safety Schema</t>
  </si>
  <si>
    <t xml:space="preserve">11</t>
  </si>
  <si>
    <t xml:space="preserve">What lessons were documented for future estimating?</t>
  </si>
  <si>
    <t xml:space="preserve">No post-mortem or closeout feedback loop.</t>
  </si>
  <si>
    <t xml:space="preserve">Estimate (Post-Completion)</t>
  </si>
  <si>
    <t xml:space="preserve">12</t>
  </si>
  <si>
    <t xml:space="preserve">How many projects does OWP do per year with Chinn Construction?</t>
  </si>
  <si>
    <t xml:space="preserve">Determines GC relationship value and risk concentration.</t>
  </si>
  <si>
    <t xml:space="preserve">UC9: GC Risk Concentration</t>
  </si>
  <si>
    <t xml:space="preserve">CORTEX SCHEMA COVERAGE ANALYSIS</t>
  </si>
  <si>
    <t xml:space="preserve">Project 2009 — Chinn Greenwood Ave Apartments</t>
  </si>
  <si>
    <t xml:space="preserve">Schema</t>
  </si>
  <si>
    <t xml:space="preserve">Total Fields</t>
  </si>
  <si>
    <t xml:space="preserve">Fields Coverable</t>
  </si>
  <si>
    <t xml:space="preserve">Coverage %</t>
  </si>
  <si>
    <t xml:space="preserve">Files Present</t>
  </si>
  <si>
    <t xml:space="preserve">Key Gaps</t>
  </si>
  <si>
    <t xml:space="preserve">UCs Impacted</t>
  </si>
  <si>
    <t xml:space="preserve">1. Change Order</t>
  </si>
  <si>
    <t xml:space="preserve">0%</t>
  </si>
  <si>
    <t xml:space="preserve">None</t>
  </si>
  <si>
    <t xml:space="preserve">No CO documents</t>
  </si>
  <si>
    <t xml:space="preserve">UC1,3,4,8 BLOCKED</t>
  </si>
  <si>
    <t xml:space="preserve">2. RFI</t>
  </si>
  <si>
    <t xml:space="preserve">No RFI log</t>
  </si>
  <si>
    <t xml:space="preserve">UC21,23,24 BLOCKED</t>
  </si>
  <si>
    <t xml:space="preserve">3. Contract Clause</t>
  </si>
  <si>
    <t xml:space="preserve">No signed contract</t>
  </si>
  <si>
    <t xml:space="preserve">UC4,6,9 BLOCKED</t>
  </si>
  <si>
    <t xml:space="preserve">4. Design Changes</t>
  </si>
  <si>
    <t xml:space="preserve">12%</t>
  </si>
  <si>
    <t xml:space="preserve">ASI-03, As-builts</t>
  </si>
  <si>
    <t xml:space="preserve">Only 1 ASI, no CCD/PR</t>
  </si>
  <si>
    <t xml:space="preserve">UC21 PARTIAL</t>
  </si>
  <si>
    <t xml:space="preserve">5. Estimate</t>
  </si>
  <si>
    <t xml:space="preserve">No bid workup</t>
  </si>
  <si>
    <t xml:space="preserve">UC11-15 BLOCKED</t>
  </si>
  <si>
    <t xml:space="preserve">6. Sub Bid Analysis</t>
  </si>
  <si>
    <t xml:space="preserve">10%</t>
  </si>
  <si>
    <t xml:space="preserve">Vendor quotes (limited)</t>
  </si>
  <si>
    <t xml:space="preserve">No bid tabs</t>
  </si>
  <si>
    <t xml:space="preserve">UC12,30 BLOCKED</t>
  </si>
  <si>
    <t xml:space="preserve">7. Submittal</t>
  </si>
  <si>
    <t xml:space="preserve">56%</t>
  </si>
  <si>
    <t xml:space="preserve">72 spec sheets, P-tags</t>
  </si>
  <si>
    <t xml:space="preserve">No transmittals/approvals</t>
  </si>
  <si>
    <t xml:space="preserve">UC23 PARTIAL</t>
  </si>
  <si>
    <t xml:space="preserve">8. Daily Report</t>
  </si>
  <si>
    <t xml:space="preserve">No daily reports</t>
  </si>
  <si>
    <t xml:space="preserve">UC17,24 BLOCKED</t>
  </si>
  <si>
    <t xml:space="preserve">9. Production Activity</t>
  </si>
  <si>
    <t xml:space="preserve">No crew logs</t>
  </si>
  <si>
    <t xml:space="preserve">UC16-20 BLOCKED</t>
  </si>
  <si>
    <t xml:space="preserve">10. Job Cost Report</t>
  </si>
  <si>
    <t xml:space="preserve">54%</t>
  </si>
  <si>
    <t xml:space="preserve">JDR (49pg), 98 POs, invoices</t>
  </si>
  <si>
    <t xml:space="preserve">No budget-vs-actual detail</t>
  </si>
  <si>
    <t xml:space="preserve">UC11,27 PARTIAL</t>
  </si>
  <si>
    <t xml:space="preserve">11. Safety &amp; Inspection</t>
  </si>
  <si>
    <t xml:space="preserve">No safety docs</t>
  </si>
  <si>
    <t xml:space="preserve">UC9 PARTIAL</t>
  </si>
  <si>
    <t xml:space="preserve">12. Project Admin</t>
  </si>
  <si>
    <t xml:space="preserve">82 billing, SOV, permits, liens</t>
  </si>
  <si>
    <t xml:space="preserve">No minutes/correspondence/punch</t>
  </si>
  <si>
    <t xml:space="preserve">UC2,7,26 PARTIAL</t>
  </si>
  <si>
    <t xml:space="preserve">13. Cross-Doc Relations</t>
  </si>
  <si>
    <t xml:space="preserve">30%</t>
  </si>
  <si>
    <t xml:space="preserve">PO→Invoice, Sub→P-tag linkable</t>
  </si>
  <si>
    <t xml:space="preserve">Most links broken by missing schemas</t>
  </si>
  <si>
    <t xml:space="preserve">Compound UCs DEGRADED</t>
  </si>
  <si>
    <t xml:space="preserve">Total Cortex Fields: 344</t>
  </si>
  <si>
    <t xml:space="preserve">Fields Coverable: 64</t>
  </si>
  <si>
    <t xml:space="preserve">Overall Coverage: 18.6%</t>
  </si>
  <si>
    <t xml:space="preserve">Schemas &gt;0%: 6 of 13</t>
  </si>
  <si>
    <t xml:space="preserve">Schemas at 0%: 7 of 13</t>
  </si>
  <si>
    <t xml:space="preserve">UCs Fully Blocked: 18 of 30</t>
  </si>
  <si>
    <t xml:space="preserve">UCs Partial: 8 of 30</t>
  </si>
  <si>
    <t xml:space="preserve">UCs Fully Available: 0 of 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</si>
</sst>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#,##0.0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FF0000"/>
      <name val="Arial"/>
      <family val="0"/>
      <charset val="1"/>
    </font>
    <font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BF8F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4"/>
    <col collapsed="false" customWidth="true" hidden="false" outlineLevel="0" max="3" min="3" style="0" width="39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 t="s">
        <v>2</v>
      </c>
      <c r="B3" s="2"/>
      <c r="C3" s="2"/>
      <c r="D3" s="2"/>
    </row>
    <row r="4" customFormat="false" ht="15" hidden="false" customHeight="false" outlineLevel="0" collapsed="false">
      <c r="A4" s="2" t="s">
        <v>3</v>
      </c>
      <c r="B4" s="2"/>
      <c r="C4" s="2"/>
      <c r="D4" s="2"/>
    </row>
    <row r="5" customFormat="false" ht="15" hidden="false" customHeight="false" outlineLevel="0" collapsed="false">
      <c r="A5" s="2" t="s">
        <v>4</v>
      </c>
      <c r="B5" s="2"/>
      <c r="C5" s="2"/>
      <c r="D5" s="2"/>
    </row>
    <row r="7" customFormat="false" ht="15" hidden="false" customHeight="false" outlineLevel="0" collapsed="false">
      <c r="A7" s="3" t="s">
        <v>5</v>
      </c>
      <c r="B7" s="3" t="s">
        <v>6</v>
      </c>
      <c r="C7" s="3" t="s">
        <v>7</v>
      </c>
      <c r="D7" s="3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11</v>
      </c>
      <c r="D8" s="4" t="s">
        <v>12</v>
      </c>
    </row>
    <row r="9" customFormat="false" ht="15" hidden="false" customHeight="false" outlineLevel="0" collapsed="false">
      <c r="A9" s="5"/>
      <c r="B9" s="5" t="s">
        <v>13</v>
      </c>
      <c r="C9" s="5" t="s">
        <v>14</v>
      </c>
      <c r="D9" s="5" t="s">
        <v>15</v>
      </c>
    </row>
    <row r="10" customFormat="false" ht="15" hidden="false" customHeight="false" outlineLevel="0" collapsed="false">
      <c r="A10" s="4"/>
      <c r="B10" s="4" t="s">
        <v>16</v>
      </c>
      <c r="C10" s="4" t="s">
        <v>17</v>
      </c>
      <c r="D10" s="4" t="s">
        <v>18</v>
      </c>
    </row>
    <row r="11" customFormat="false" ht="15" hidden="false" customHeight="false" outlineLevel="0" collapsed="false">
      <c r="A11" s="5"/>
      <c r="B11" s="5" t="s">
        <v>19</v>
      </c>
      <c r="C11" s="5" t="s">
        <v>20</v>
      </c>
      <c r="D11" s="5" t="s">
        <v>21</v>
      </c>
    </row>
    <row r="12" customFormat="false" ht="15" hidden="false" customHeight="false" outlineLevel="0" collapsed="false">
      <c r="A12" s="4"/>
      <c r="B12" s="4" t="s">
        <v>22</v>
      </c>
      <c r="C12" s="4" t="s">
        <v>23</v>
      </c>
      <c r="D12" s="4" t="s">
        <v>24</v>
      </c>
    </row>
    <row r="13" customFormat="false" ht="15" hidden="false" customHeight="false" outlineLevel="0" collapsed="false">
      <c r="A13" s="5"/>
      <c r="B13" s="5" t="s">
        <v>25</v>
      </c>
      <c r="C13" s="5" t="s">
        <v>26</v>
      </c>
      <c r="D13" s="5" t="s">
        <v>27</v>
      </c>
    </row>
    <row r="14" customFormat="false" ht="15" hidden="false" customHeight="false" outlineLevel="0" collapsed="false">
      <c r="A14" s="4"/>
      <c r="B14" s="4" t="s">
        <v>28</v>
      </c>
      <c r="C14" s="4" t="s">
        <v>29</v>
      </c>
      <c r="D14" s="4" t="s">
        <v>30</v>
      </c>
    </row>
    <row r="15" customFormat="false" ht="15" hidden="false" customHeight="false" outlineLevel="0" collapsed="false">
      <c r="A15" s="5"/>
      <c r="B15" s="5"/>
      <c r="C15" s="5"/>
      <c r="D15" s="5"/>
    </row>
    <row r="16" customFormat="false" ht="15" hidden="false" customHeight="false" outlineLevel="0" collapsed="false">
      <c r="A16" s="4" t="s">
        <v>31</v>
      </c>
      <c r="B16" s="4" t="s">
        <v>32</v>
      </c>
      <c r="C16" s="4" t="s">
        <v>33</v>
      </c>
      <c r="D16" s="4" t="s">
        <v>34</v>
      </c>
    </row>
    <row r="17" customFormat="false" ht="15" hidden="false" customHeight="false" outlineLevel="0" collapsed="false">
      <c r="A17" s="5"/>
      <c r="B17" s="5" t="s">
        <v>35</v>
      </c>
      <c r="C17" s="5" t="s">
        <v>36</v>
      </c>
      <c r="D17" s="5" t="s">
        <v>37</v>
      </c>
    </row>
    <row r="18" customFormat="false" ht="15" hidden="false" customHeight="false" outlineLevel="0" collapsed="false">
      <c r="A18" s="4"/>
      <c r="B18" s="4" t="s">
        <v>38</v>
      </c>
      <c r="C18" s="4" t="s">
        <v>39</v>
      </c>
      <c r="D18" s="4" t="s">
        <v>40</v>
      </c>
    </row>
    <row r="19" customFormat="false" ht="15" hidden="false" customHeight="false" outlineLevel="0" collapsed="false">
      <c r="A19" s="5"/>
      <c r="B19" s="5" t="s">
        <v>41</v>
      </c>
      <c r="C19" s="5" t="s">
        <v>42</v>
      </c>
      <c r="D19" s="5" t="s">
        <v>43</v>
      </c>
    </row>
    <row r="20" customFormat="false" ht="15" hidden="false" customHeight="false" outlineLevel="0" collapsed="false">
      <c r="A20" s="4"/>
      <c r="B20" s="4" t="s">
        <v>44</v>
      </c>
      <c r="C20" s="4" t="s">
        <v>45</v>
      </c>
      <c r="D20" s="4" t="s">
        <v>46</v>
      </c>
    </row>
    <row r="21" customFormat="false" ht="15" hidden="false" customHeight="false" outlineLevel="0" collapsed="false">
      <c r="A21" s="5"/>
      <c r="B21" s="5"/>
      <c r="C21" s="5"/>
      <c r="D21" s="5"/>
    </row>
    <row r="22" customFormat="false" ht="15" hidden="false" customHeight="false" outlineLevel="0" collapsed="false">
      <c r="A22" s="4" t="s">
        <v>47</v>
      </c>
      <c r="B22" s="4" t="s">
        <v>48</v>
      </c>
      <c r="C22" s="4" t="s">
        <v>49</v>
      </c>
      <c r="D22" s="4" t="s">
        <v>50</v>
      </c>
    </row>
    <row r="23" customFormat="false" ht="15" hidden="false" customHeight="false" outlineLevel="0" collapsed="false">
      <c r="A23" s="5"/>
      <c r="B23" s="5" t="s">
        <v>51</v>
      </c>
      <c r="C23" s="5" t="s">
        <v>52</v>
      </c>
      <c r="D23" s="5" t="s">
        <v>53</v>
      </c>
    </row>
    <row r="24" customFormat="false" ht="15" hidden="false" customHeight="false" outlineLevel="0" collapsed="false">
      <c r="A24" s="4"/>
      <c r="B24" s="4" t="s">
        <v>54</v>
      </c>
      <c r="C24" s="4" t="s">
        <v>55</v>
      </c>
      <c r="D24" s="4" t="s">
        <v>56</v>
      </c>
    </row>
    <row r="25" customFormat="false" ht="15" hidden="false" customHeight="false" outlineLevel="0" collapsed="false">
      <c r="A25" s="5"/>
      <c r="B25" s="5" t="s">
        <v>57</v>
      </c>
      <c r="C25" s="5" t="s">
        <v>58</v>
      </c>
      <c r="D25" s="5" t="s">
        <v>59</v>
      </c>
    </row>
    <row r="26" customFormat="false" ht="15" hidden="false" customHeight="false" outlineLevel="0" collapsed="false">
      <c r="A26" s="4"/>
      <c r="B26" s="4" t="s">
        <v>60</v>
      </c>
      <c r="C26" s="4" t="s">
        <v>61</v>
      </c>
      <c r="D26" s="4" t="s">
        <v>62</v>
      </c>
    </row>
    <row r="27" customFormat="false" ht="15" hidden="false" customHeight="false" outlineLevel="0" collapsed="false">
      <c r="A27" s="5"/>
      <c r="B27" s="5" t="s">
        <v>63</v>
      </c>
      <c r="C27" s="5" t="s">
        <v>64</v>
      </c>
      <c r="D27" s="5" t="s">
        <v>65</v>
      </c>
    </row>
    <row r="28" customFormat="false" ht="15" hidden="false" customHeight="false" outlineLevel="0" collapsed="false">
      <c r="A28" s="4"/>
      <c r="B28" s="4" t="s">
        <v>66</v>
      </c>
      <c r="C28" s="4" t="s">
        <v>67</v>
      </c>
      <c r="D28" s="4" t="s">
        <v>68</v>
      </c>
    </row>
    <row r="29" customFormat="false" ht="15" hidden="false" customHeight="false" outlineLevel="0" collapsed="false">
      <c r="A29" s="5"/>
      <c r="B29" s="5" t="s">
        <v>69</v>
      </c>
      <c r="C29" s="5" t="s">
        <v>70</v>
      </c>
      <c r="D29" s="5" t="s">
        <v>71</v>
      </c>
    </row>
    <row r="30" customFormat="false" ht="15" hidden="false" customHeight="false" outlineLevel="0" collapsed="false">
      <c r="A30" s="4"/>
      <c r="B30" s="4"/>
      <c r="C30" s="4"/>
      <c r="D30" s="4"/>
    </row>
    <row r="31" customFormat="false" ht="15" hidden="false" customHeight="false" outlineLevel="0" collapsed="false">
      <c r="A31" s="5" t="s">
        <v>72</v>
      </c>
      <c r="B31" s="5" t="s">
        <v>73</v>
      </c>
      <c r="C31" s="5" t="s">
        <v>74</v>
      </c>
      <c r="D31" s="5" t="s">
        <v>75</v>
      </c>
    </row>
    <row r="32" customFormat="false" ht="15" hidden="false" customHeight="false" outlineLevel="0" collapsed="false">
      <c r="A32" s="4"/>
      <c r="B32" s="4" t="s">
        <v>76</v>
      </c>
      <c r="C32" s="4" t="s">
        <v>77</v>
      </c>
      <c r="D32" s="4" t="s">
        <v>78</v>
      </c>
    </row>
    <row r="33" customFormat="false" ht="15" hidden="false" customHeight="false" outlineLevel="0" collapsed="false">
      <c r="A33" s="5"/>
      <c r="B33" s="5" t="s">
        <v>79</v>
      </c>
      <c r="C33" s="5" t="s">
        <v>80</v>
      </c>
      <c r="D33" s="5" t="s">
        <v>81</v>
      </c>
    </row>
    <row r="34" customFormat="false" ht="15" hidden="false" customHeight="false" outlineLevel="0" collapsed="false">
      <c r="A34" s="4"/>
      <c r="B34" s="4" t="s">
        <v>82</v>
      </c>
      <c r="C34" s="4" t="s">
        <v>83</v>
      </c>
      <c r="D34" s="4" t="s">
        <v>84</v>
      </c>
    </row>
    <row r="35" customFormat="false" ht="15" hidden="false" customHeight="false" outlineLevel="0" collapsed="false">
      <c r="A35" s="5"/>
      <c r="B35" s="5" t="s">
        <v>85</v>
      </c>
      <c r="C35" s="5" t="s">
        <v>86</v>
      </c>
      <c r="D35" s="5" t="s">
        <v>87</v>
      </c>
    </row>
    <row r="36" customFormat="false" ht="15" hidden="false" customHeight="false" outlineLevel="0" collapsed="false">
      <c r="A36" s="4"/>
      <c r="B36" s="4"/>
      <c r="C36" s="4"/>
      <c r="D36" s="4"/>
    </row>
    <row r="37" customFormat="false" ht="15" hidden="false" customHeight="false" outlineLevel="0" collapsed="false">
      <c r="A37" s="5" t="s">
        <v>88</v>
      </c>
      <c r="B37" s="5" t="s">
        <v>89</v>
      </c>
      <c r="C37" s="5" t="s">
        <v>90</v>
      </c>
      <c r="D37" s="5" t="s">
        <v>91</v>
      </c>
    </row>
    <row r="38" customFormat="false" ht="15" hidden="false" customHeight="false" outlineLevel="0" collapsed="false">
      <c r="A38" s="4"/>
      <c r="B38" s="4" t="s">
        <v>92</v>
      </c>
      <c r="C38" s="4" t="s">
        <v>93</v>
      </c>
      <c r="D38" s="4" t="s">
        <v>94</v>
      </c>
    </row>
    <row r="39" customFormat="false" ht="15" hidden="false" customHeight="false" outlineLevel="0" collapsed="false">
      <c r="A39" s="5"/>
      <c r="B39" s="5" t="s">
        <v>95</v>
      </c>
      <c r="C39" s="5" t="s">
        <v>96</v>
      </c>
      <c r="D39" s="5" t="s">
        <v>97</v>
      </c>
    </row>
    <row r="40" customFormat="false" ht="15" hidden="false" customHeight="false" outlineLevel="0" collapsed="false">
      <c r="A40" s="4"/>
      <c r="B40" s="4" t="s">
        <v>98</v>
      </c>
      <c r="C40" s="4" t="s">
        <v>99</v>
      </c>
      <c r="D40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7"/>
    <col collapsed="false" customWidth="true" hidden="false" outlineLevel="0" max="3" min="3" style="0" width="52"/>
    <col collapsed="false" customWidth="true" hidden="false" outlineLevel="0" max="5" min="4" style="0" width="29"/>
    <col collapsed="false" customWidth="true" hidden="false" outlineLevel="0" max="6" min="6" style="0" width="15"/>
    <col collapsed="false" customWidth="true" hidden="false" outlineLevel="0" max="7" min="7" style="0" width="43"/>
    <col collapsed="false" customWidth="true" hidden="false" outlineLevel="0" max="8" min="8" style="0" width="37"/>
  </cols>
  <sheetData>
    <row r="1" customFormat="false" ht="17.3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6" t="s">
        <v>102</v>
      </c>
    </row>
    <row r="4" customFormat="false" ht="15" hidden="false" customHeight="false" outlineLevel="0" collapsed="false">
      <c r="A4" s="3" t="s">
        <v>103</v>
      </c>
      <c r="B4" s="3" t="s">
        <v>104</v>
      </c>
      <c r="C4" s="3" t="s">
        <v>105</v>
      </c>
    </row>
    <row r="5" customFormat="false" ht="15" hidden="false" customHeight="false" outlineLevel="0" collapsed="false">
      <c r="A5" s="5" t="s">
        <v>106</v>
      </c>
      <c r="B5" s="7" t="n">
        <v>394208</v>
      </c>
      <c r="C5" s="5" t="s">
        <v>107</v>
      </c>
    </row>
    <row r="6" customFormat="false" ht="15" hidden="false" customHeight="false" outlineLevel="0" collapsed="false">
      <c r="A6" s="4" t="s">
        <v>35</v>
      </c>
      <c r="B6" s="8" t="n">
        <v>287899.37</v>
      </c>
      <c r="C6" s="4" t="s">
        <v>108</v>
      </c>
    </row>
    <row r="7" customFormat="false" ht="15" hidden="false" customHeight="false" outlineLevel="0" collapsed="false">
      <c r="A7" s="9" t="s">
        <v>38</v>
      </c>
      <c r="B7" s="10" t="n">
        <f aca="false">B5-B6</f>
        <v>106308.63</v>
      </c>
      <c r="C7" s="5" t="s">
        <v>109</v>
      </c>
    </row>
    <row r="8" customFormat="false" ht="15" hidden="false" customHeight="false" outlineLevel="0" collapsed="false">
      <c r="A8" s="4" t="s">
        <v>110</v>
      </c>
      <c r="B8" s="11" t="n">
        <f aca="false">B7/B5</f>
        <v>0.269676490583651</v>
      </c>
      <c r="C8" s="4" t="s">
        <v>109</v>
      </c>
    </row>
    <row r="9" customFormat="false" ht="15" hidden="false" customHeight="false" outlineLevel="0" collapsed="false">
      <c r="A9" s="5" t="s">
        <v>41</v>
      </c>
      <c r="B9" s="7" t="n">
        <v>19710.4</v>
      </c>
      <c r="C9" s="5" t="s">
        <v>111</v>
      </c>
    </row>
    <row r="10" customFormat="false" ht="15" hidden="false" customHeight="false" outlineLevel="0" collapsed="false">
      <c r="A10" s="4" t="s">
        <v>112</v>
      </c>
      <c r="B10" s="8" t="n">
        <v>384900</v>
      </c>
      <c r="C10" s="4" t="s">
        <v>113</v>
      </c>
    </row>
    <row r="11" customFormat="false" ht="15" hidden="false" customHeight="false" outlineLevel="0" collapsed="false">
      <c r="A11" s="5" t="s">
        <v>114</v>
      </c>
      <c r="B11" s="7" t="n">
        <f aca="false">B5-B10</f>
        <v>9308</v>
      </c>
      <c r="C11" s="5" t="s">
        <v>109</v>
      </c>
    </row>
    <row r="13" customFormat="false" ht="15" hidden="false" customHeight="false" outlineLevel="0" collapsed="false">
      <c r="A13" s="6" t="s">
        <v>115</v>
      </c>
    </row>
    <row r="14" customFormat="false" ht="26.85" hidden="false" customHeight="false" outlineLevel="0" collapsed="false">
      <c r="A14" s="3" t="s">
        <v>116</v>
      </c>
      <c r="B14" s="3" t="s">
        <v>117</v>
      </c>
      <c r="C14" s="3" t="s">
        <v>118</v>
      </c>
      <c r="D14" s="3" t="s">
        <v>119</v>
      </c>
      <c r="E14" s="3" t="s">
        <v>120</v>
      </c>
      <c r="F14" s="3" t="s">
        <v>121</v>
      </c>
      <c r="G14" s="3" t="s">
        <v>122</v>
      </c>
    </row>
    <row r="15" customFormat="false" ht="15" hidden="false" customHeight="false" outlineLevel="0" collapsed="false">
      <c r="A15" s="5" t="s">
        <v>48</v>
      </c>
      <c r="B15" s="5" t="s">
        <v>123</v>
      </c>
      <c r="C15" s="7" t="n">
        <v>72320</v>
      </c>
      <c r="D15" s="7" t="n">
        <v>84698</v>
      </c>
      <c r="E15" s="7" t="n">
        <f aca="false">D15-C15</f>
        <v>12378</v>
      </c>
      <c r="F15" s="12" t="n">
        <f aca="false">D15/B6</f>
        <v>0.294193071697239</v>
      </c>
      <c r="G15" s="5" t="s">
        <v>124</v>
      </c>
    </row>
    <row r="16" customFormat="false" ht="15" hidden="false" customHeight="false" outlineLevel="0" collapsed="false">
      <c r="A16" s="4" t="s">
        <v>51</v>
      </c>
      <c r="B16" s="4" t="s">
        <v>125</v>
      </c>
      <c r="C16" s="8" t="n">
        <v>28928</v>
      </c>
      <c r="D16" s="8" t="n">
        <v>34412.05</v>
      </c>
      <c r="E16" s="8" t="n">
        <f aca="false">D16-C16</f>
        <v>5484.05</v>
      </c>
      <c r="F16" s="11" t="n">
        <f aca="false">D16/B6</f>
        <v>0.119528048984616</v>
      </c>
      <c r="G16" s="4" t="s">
        <v>126</v>
      </c>
    </row>
    <row r="17" customFormat="false" ht="15" hidden="false" customHeight="false" outlineLevel="0" collapsed="false">
      <c r="A17" s="5" t="s">
        <v>54</v>
      </c>
      <c r="B17" s="5" t="s">
        <v>127</v>
      </c>
      <c r="C17" s="7" t="n">
        <v>5532.48</v>
      </c>
      <c r="D17" s="7" t="n">
        <v>6479.41</v>
      </c>
      <c r="E17" s="7" t="n">
        <f aca="false">D17-C17</f>
        <v>946.93</v>
      </c>
      <c r="F17" s="12" t="n">
        <f aca="false">D17/B6</f>
        <v>0.0225058151395052</v>
      </c>
      <c r="G17" s="5" t="s">
        <v>126</v>
      </c>
    </row>
    <row r="18" customFormat="false" ht="15" hidden="false" customHeight="false" outlineLevel="0" collapsed="false">
      <c r="A18" s="4" t="s">
        <v>57</v>
      </c>
      <c r="B18" s="4" t="s">
        <v>128</v>
      </c>
      <c r="C18" s="8" t="n">
        <v>196250</v>
      </c>
      <c r="D18" s="8" t="n">
        <v>151064.39</v>
      </c>
      <c r="E18" s="8" t="n">
        <f aca="false">D18-C18</f>
        <v>-45185.61</v>
      </c>
      <c r="F18" s="11" t="n">
        <f aca="false">D18/B6</f>
        <v>0.524712471583387</v>
      </c>
      <c r="G18" s="4" t="s">
        <v>129</v>
      </c>
    </row>
    <row r="19" customFormat="false" ht="15" hidden="false" customHeight="false" outlineLevel="0" collapsed="false">
      <c r="A19" s="5" t="s">
        <v>60</v>
      </c>
      <c r="B19" s="5" t="s">
        <v>130</v>
      </c>
      <c r="C19" s="7" t="n">
        <v>4800</v>
      </c>
      <c r="D19" s="7" t="n">
        <v>2379</v>
      </c>
      <c r="E19" s="7" t="n">
        <f aca="false">D19-C19</f>
        <v>-2421</v>
      </c>
      <c r="F19" s="12" t="n">
        <f aca="false">D19/B6</f>
        <v>0.00826330394540287</v>
      </c>
      <c r="G19" s="5" t="s">
        <v>131</v>
      </c>
    </row>
    <row r="20" customFormat="false" ht="15" hidden="false" customHeight="false" outlineLevel="0" collapsed="false">
      <c r="A20" s="4" t="s">
        <v>63</v>
      </c>
      <c r="B20" s="4" t="s">
        <v>132</v>
      </c>
      <c r="C20" s="8" t="n">
        <v>6000</v>
      </c>
      <c r="D20" s="8" t="n">
        <v>4990.08</v>
      </c>
      <c r="E20" s="8" t="n">
        <f aca="false">D20-C20</f>
        <v>-1009.92</v>
      </c>
      <c r="F20" s="11" t="n">
        <f aca="false">D20/B6</f>
        <v>0.0173327228885565</v>
      </c>
      <c r="G20" s="4" t="s">
        <v>133</v>
      </c>
    </row>
    <row r="21" customFormat="false" ht="15" hidden="false" customHeight="false" outlineLevel="0" collapsed="false">
      <c r="A21" s="5" t="s">
        <v>66</v>
      </c>
      <c r="B21" s="5" t="s">
        <v>134</v>
      </c>
      <c r="C21" s="7" t="n">
        <v>3870</v>
      </c>
      <c r="D21" s="7" t="n">
        <v>3735</v>
      </c>
      <c r="E21" s="7" t="n">
        <f aca="false">D21-C21</f>
        <v>-135</v>
      </c>
      <c r="F21" s="12" t="n">
        <f aca="false">D21/B6</f>
        <v>0.0129732829912063</v>
      </c>
      <c r="G21" s="5" t="s">
        <v>135</v>
      </c>
    </row>
    <row r="22" customFormat="false" ht="15" hidden="false" customHeight="false" outlineLevel="0" collapsed="false">
      <c r="A22" s="4" t="s">
        <v>69</v>
      </c>
      <c r="B22" s="4" t="s">
        <v>136</v>
      </c>
      <c r="C22" s="8" t="n">
        <v>0</v>
      </c>
      <c r="D22" s="8" t="n">
        <v>141.44</v>
      </c>
      <c r="E22" s="8" t="n">
        <f aca="false">D22-C22</f>
        <v>141.44</v>
      </c>
      <c r="F22" s="11" t="n">
        <f aca="false">D22/B6</f>
        <v>0.00049128277008734</v>
      </c>
      <c r="G22" s="4" t="s">
        <v>137</v>
      </c>
    </row>
    <row r="23" customFormat="false" ht="15" hidden="false" customHeight="false" outlineLevel="0" collapsed="false">
      <c r="A23" s="5" t="s">
        <v>138</v>
      </c>
      <c r="B23" s="5"/>
      <c r="C23" s="7" t="n">
        <f aca="false">SUM(C15:C22)</f>
        <v>317700.48</v>
      </c>
      <c r="D23" s="7" t="n">
        <f aca="false">SUM(D15:D22)</f>
        <v>287899.37</v>
      </c>
      <c r="E23" s="7" t="n">
        <f aca="false">SUM(E15:E22)</f>
        <v>-29801.11</v>
      </c>
      <c r="F23" s="5"/>
      <c r="G23" s="5"/>
    </row>
    <row r="25" customFormat="false" ht="15" hidden="false" customHeight="false" outlineLevel="0" collapsed="false">
      <c r="A25" s="6" t="s">
        <v>139</v>
      </c>
    </row>
    <row r="26" customFormat="false" ht="15" hidden="false" customHeight="false" outlineLevel="0" collapsed="false">
      <c r="A26" s="3" t="s">
        <v>140</v>
      </c>
      <c r="B26" s="3" t="s">
        <v>141</v>
      </c>
      <c r="C26" s="3" t="s">
        <v>142</v>
      </c>
      <c r="D26" s="3" t="s">
        <v>118</v>
      </c>
      <c r="E26" s="3" t="s">
        <v>143</v>
      </c>
      <c r="F26" s="3" t="s">
        <v>144</v>
      </c>
      <c r="G26" s="3" t="s">
        <v>119</v>
      </c>
      <c r="H26" s="3" t="s">
        <v>145</v>
      </c>
    </row>
    <row r="27" customFormat="false" ht="15" hidden="false" customHeight="false" outlineLevel="0" collapsed="false">
      <c r="A27" s="5" t="s">
        <v>146</v>
      </c>
      <c r="B27" s="5" t="s">
        <v>147</v>
      </c>
      <c r="C27" s="13" t="s">
        <v>148</v>
      </c>
      <c r="D27" s="7" t="n">
        <v>1250</v>
      </c>
      <c r="E27" s="7" t="n">
        <v>1250</v>
      </c>
      <c r="F27" s="7" t="n">
        <v>395</v>
      </c>
      <c r="G27" s="7" t="n">
        <v>1645</v>
      </c>
      <c r="H27" s="12" t="n">
        <f aca="false">IF(D27=0,"N/A",(G27-D27)/ABS(D27))</f>
        <v>0.316</v>
      </c>
    </row>
    <row r="28" customFormat="false" ht="15" hidden="false" customHeight="false" outlineLevel="0" collapsed="false">
      <c r="A28" s="4" t="s">
        <v>149</v>
      </c>
      <c r="B28" s="4" t="s">
        <v>150</v>
      </c>
      <c r="C28" s="14" t="s">
        <v>151</v>
      </c>
      <c r="D28" s="8" t="n">
        <v>1250</v>
      </c>
      <c r="E28" s="8" t="n">
        <v>1250</v>
      </c>
      <c r="F28" s="8" t="n">
        <v>-880.94</v>
      </c>
      <c r="G28" s="8" t="n">
        <v>369.06</v>
      </c>
      <c r="H28" s="11" t="n">
        <f aca="false">IF(D28=0,"N/A",(G28-D28)/ABS(D28))</f>
        <v>-0.704752</v>
      </c>
    </row>
    <row r="29" customFormat="false" ht="15" hidden="false" customHeight="false" outlineLevel="0" collapsed="false">
      <c r="A29" s="5" t="s">
        <v>152</v>
      </c>
      <c r="B29" s="5" t="s">
        <v>153</v>
      </c>
      <c r="C29" s="13" t="s">
        <v>148</v>
      </c>
      <c r="D29" s="7" t="n">
        <v>3000</v>
      </c>
      <c r="E29" s="7" t="n">
        <v>3000</v>
      </c>
      <c r="F29" s="7" t="n">
        <v>-8</v>
      </c>
      <c r="G29" s="7" t="n">
        <v>2992</v>
      </c>
      <c r="H29" s="12" t="n">
        <f aca="false">IF(D29=0,"N/A",(G29-D29)/ABS(D29))</f>
        <v>-0.00266666666666667</v>
      </c>
    </row>
    <row r="30" customFormat="false" ht="15" hidden="false" customHeight="false" outlineLevel="0" collapsed="false">
      <c r="A30" s="4" t="s">
        <v>154</v>
      </c>
      <c r="B30" s="4" t="s">
        <v>155</v>
      </c>
      <c r="C30" s="15" t="s">
        <v>148</v>
      </c>
      <c r="D30" s="8" t="n">
        <v>2500</v>
      </c>
      <c r="E30" s="8" t="n">
        <v>2500</v>
      </c>
      <c r="F30" s="8" t="n">
        <v>-1176</v>
      </c>
      <c r="G30" s="8" t="n">
        <v>1324</v>
      </c>
      <c r="H30" s="11" t="n">
        <f aca="false">IF(D30=0,"N/A",(G30-D30)/ABS(D30))</f>
        <v>-0.4704</v>
      </c>
    </row>
    <row r="31" customFormat="false" ht="15" hidden="false" customHeight="false" outlineLevel="0" collapsed="false">
      <c r="A31" s="5" t="s">
        <v>156</v>
      </c>
      <c r="B31" s="5" t="s">
        <v>157</v>
      </c>
      <c r="C31" s="13" t="s">
        <v>148</v>
      </c>
      <c r="D31" s="7" t="n">
        <v>5350</v>
      </c>
      <c r="E31" s="7" t="n">
        <v>5350</v>
      </c>
      <c r="F31" s="7" t="n">
        <v>-1141</v>
      </c>
      <c r="G31" s="7" t="n">
        <v>4209</v>
      </c>
      <c r="H31" s="12" t="n">
        <f aca="false">IF(D31=0,"N/A",(G31-D31)/ABS(D31))</f>
        <v>-0.213271028037383</v>
      </c>
    </row>
    <row r="32" customFormat="false" ht="15" hidden="false" customHeight="false" outlineLevel="0" collapsed="false">
      <c r="A32" s="4" t="s">
        <v>158</v>
      </c>
      <c r="B32" s="4" t="s">
        <v>159</v>
      </c>
      <c r="C32" s="15" t="s">
        <v>148</v>
      </c>
      <c r="D32" s="8" t="n">
        <v>8960</v>
      </c>
      <c r="E32" s="8" t="n">
        <v>8960</v>
      </c>
      <c r="F32" s="8" t="n">
        <v>912</v>
      </c>
      <c r="G32" s="8" t="n">
        <v>9872</v>
      </c>
      <c r="H32" s="11" t="n">
        <f aca="false">IF(D32=0,"N/A",(G32-D32)/ABS(D32))</f>
        <v>0.101785714285714</v>
      </c>
    </row>
    <row r="33" customFormat="false" ht="15" hidden="false" customHeight="false" outlineLevel="0" collapsed="false">
      <c r="A33" s="5" t="s">
        <v>160</v>
      </c>
      <c r="B33" s="5" t="s">
        <v>161</v>
      </c>
      <c r="C33" s="13" t="s">
        <v>148</v>
      </c>
      <c r="D33" s="7" t="n">
        <v>2000</v>
      </c>
      <c r="E33" s="7" t="n">
        <v>2000</v>
      </c>
      <c r="F33" s="7" t="n">
        <v>-514.5</v>
      </c>
      <c r="G33" s="7" t="n">
        <v>1485.5</v>
      </c>
      <c r="H33" s="12" t="n">
        <f aca="false">IF(D33=0,"N/A",(G33-D33)/ABS(D33))</f>
        <v>-0.25725</v>
      </c>
    </row>
    <row r="34" customFormat="false" ht="15" hidden="false" customHeight="false" outlineLevel="0" collapsed="false">
      <c r="A34" s="4" t="s">
        <v>162</v>
      </c>
      <c r="B34" s="4" t="s">
        <v>163</v>
      </c>
      <c r="C34" s="15" t="s">
        <v>148</v>
      </c>
      <c r="D34" s="8" t="n">
        <v>34500</v>
      </c>
      <c r="E34" s="8" t="n">
        <v>37530</v>
      </c>
      <c r="F34" s="8" t="n">
        <v>8584</v>
      </c>
      <c r="G34" s="8" t="n">
        <v>46114</v>
      </c>
      <c r="H34" s="11" t="n">
        <f aca="false">IF(D34=0,"N/A",(G34-D34)/ABS(D34))</f>
        <v>0.33663768115942</v>
      </c>
    </row>
    <row r="35" customFormat="false" ht="15" hidden="false" customHeight="false" outlineLevel="0" collapsed="false">
      <c r="A35" s="5" t="s">
        <v>164</v>
      </c>
      <c r="B35" s="5" t="s">
        <v>165</v>
      </c>
      <c r="C35" s="13" t="s">
        <v>148</v>
      </c>
      <c r="D35" s="7" t="n">
        <v>10250</v>
      </c>
      <c r="E35" s="7" t="n">
        <v>10320</v>
      </c>
      <c r="F35" s="7" t="n">
        <v>1071.5</v>
      </c>
      <c r="G35" s="7" t="n">
        <v>11391.5</v>
      </c>
      <c r="H35" s="12" t="n">
        <f aca="false">IF(D35=0,"N/A",(G35-D35)/ABS(D35))</f>
        <v>0.111365853658537</v>
      </c>
    </row>
    <row r="36" customFormat="false" ht="15" hidden="false" customHeight="false" outlineLevel="0" collapsed="false">
      <c r="A36" s="4" t="s">
        <v>166</v>
      </c>
      <c r="B36" s="4" t="s">
        <v>167</v>
      </c>
      <c r="C36" s="15" t="s">
        <v>148</v>
      </c>
      <c r="D36" s="8" t="n">
        <v>0</v>
      </c>
      <c r="E36" s="8" t="n">
        <v>0</v>
      </c>
      <c r="F36" s="8" t="n">
        <v>0</v>
      </c>
      <c r="G36" s="8" t="n">
        <v>0</v>
      </c>
      <c r="H36" s="11" t="str">
        <f aca="false">IF(D36=0,"N/A",(G36-D36)/ABS(D36))</f>
        <v>N/A</v>
      </c>
    </row>
    <row r="37" customFormat="false" ht="15" hidden="false" customHeight="false" outlineLevel="0" collapsed="false">
      <c r="A37" s="5" t="s">
        <v>168</v>
      </c>
      <c r="B37" s="5" t="s">
        <v>169</v>
      </c>
      <c r="C37" s="13" t="s">
        <v>148</v>
      </c>
      <c r="D37" s="7" t="n">
        <v>1430</v>
      </c>
      <c r="E37" s="7" t="n">
        <v>1430</v>
      </c>
      <c r="F37" s="7" t="n">
        <v>300</v>
      </c>
      <c r="G37" s="7" t="n">
        <v>1730</v>
      </c>
      <c r="H37" s="12" t="n">
        <f aca="false">IF(D37=0,"N/A",(G37-D37)/ABS(D37))</f>
        <v>0.20979020979021</v>
      </c>
    </row>
    <row r="38" customFormat="false" ht="15" hidden="false" customHeight="false" outlineLevel="0" collapsed="false">
      <c r="A38" s="4" t="s">
        <v>170</v>
      </c>
      <c r="B38" s="4" t="s">
        <v>171</v>
      </c>
      <c r="C38" s="15" t="s">
        <v>148</v>
      </c>
      <c r="D38" s="8" t="n">
        <v>3080</v>
      </c>
      <c r="E38" s="8" t="n">
        <v>3080</v>
      </c>
      <c r="F38" s="8" t="n">
        <v>716.5</v>
      </c>
      <c r="G38" s="8" t="n">
        <v>3796.5</v>
      </c>
      <c r="H38" s="11" t="n">
        <f aca="false">IF(D38=0,"N/A",(G38-D38)/ABS(D38))</f>
        <v>0.23262987012987</v>
      </c>
    </row>
    <row r="39" customFormat="false" ht="15" hidden="false" customHeight="false" outlineLevel="0" collapsed="false">
      <c r="A39" s="5" t="s">
        <v>172</v>
      </c>
      <c r="B39" s="5" t="s">
        <v>173</v>
      </c>
      <c r="C39" s="13" t="s">
        <v>148</v>
      </c>
      <c r="D39" s="7" t="n">
        <v>0</v>
      </c>
      <c r="E39" s="7" t="n">
        <v>0</v>
      </c>
      <c r="F39" s="7" t="n">
        <v>138.5</v>
      </c>
      <c r="G39" s="7" t="n">
        <v>138.5</v>
      </c>
      <c r="H39" s="12" t="str">
        <f aca="false">IF(D39=0,"N/A",(G39-D39)/ABS(D39))</f>
        <v>N/A</v>
      </c>
    </row>
    <row r="40" customFormat="false" ht="15" hidden="false" customHeight="false" outlineLevel="0" collapsed="false">
      <c r="A40" s="4" t="s">
        <v>174</v>
      </c>
      <c r="B40" s="4" t="s">
        <v>175</v>
      </c>
      <c r="C40" s="14" t="s">
        <v>151</v>
      </c>
      <c r="D40" s="8" t="n">
        <v>2800</v>
      </c>
      <c r="E40" s="8" t="n">
        <v>2800</v>
      </c>
      <c r="F40" s="8" t="n">
        <v>-186.42</v>
      </c>
      <c r="G40" s="8" t="n">
        <v>2613.58</v>
      </c>
      <c r="H40" s="11" t="n">
        <f aca="false">IF(D40=0,"N/A",(G40-D40)/ABS(D40))</f>
        <v>-0.0665785714285715</v>
      </c>
    </row>
    <row r="41" customFormat="false" ht="15" hidden="false" customHeight="false" outlineLevel="0" collapsed="false">
      <c r="A41" s="5" t="s">
        <v>176</v>
      </c>
      <c r="B41" s="5" t="s">
        <v>177</v>
      </c>
      <c r="C41" s="16" t="s">
        <v>151</v>
      </c>
      <c r="D41" s="7" t="n">
        <v>10570</v>
      </c>
      <c r="E41" s="7" t="n">
        <v>10570</v>
      </c>
      <c r="F41" s="7" t="n">
        <v>-6597.06</v>
      </c>
      <c r="G41" s="7" t="n">
        <v>3972.94</v>
      </c>
      <c r="H41" s="12" t="n">
        <f aca="false">IF(D41=0,"N/A",(G41-D41)/ABS(D41))</f>
        <v>-0.624130558183538</v>
      </c>
    </row>
    <row r="42" customFormat="false" ht="15" hidden="false" customHeight="false" outlineLevel="0" collapsed="false">
      <c r="A42" s="4" t="s">
        <v>178</v>
      </c>
      <c r="B42" s="4" t="s">
        <v>179</v>
      </c>
      <c r="C42" s="14" t="s">
        <v>151</v>
      </c>
      <c r="D42" s="8" t="n">
        <v>2800</v>
      </c>
      <c r="E42" s="8" t="n">
        <v>2800</v>
      </c>
      <c r="F42" s="8" t="n">
        <v>-50.77</v>
      </c>
      <c r="G42" s="8" t="n">
        <v>2749.23</v>
      </c>
      <c r="H42" s="11" t="n">
        <f aca="false">IF(D42=0,"N/A",(G42-D42)/ABS(D42))</f>
        <v>-0.0181321428571429</v>
      </c>
    </row>
    <row r="43" customFormat="false" ht="15" hidden="false" customHeight="false" outlineLevel="0" collapsed="false">
      <c r="A43" s="5" t="s">
        <v>180</v>
      </c>
      <c r="B43" s="5" t="s">
        <v>181</v>
      </c>
      <c r="C43" s="16" t="s">
        <v>151</v>
      </c>
      <c r="D43" s="7" t="n">
        <v>33560</v>
      </c>
      <c r="E43" s="7" t="n">
        <v>32510</v>
      </c>
      <c r="F43" s="7" t="n">
        <v>-1767.53</v>
      </c>
      <c r="G43" s="7" t="n">
        <v>30742.47</v>
      </c>
      <c r="H43" s="12" t="n">
        <f aca="false">IF(D43=0,"N/A",(G43-D43)/ABS(D43))</f>
        <v>-0.0839550059594755</v>
      </c>
    </row>
    <row r="44" customFormat="false" ht="15" hidden="false" customHeight="false" outlineLevel="0" collapsed="false">
      <c r="A44" s="4" t="s">
        <v>182</v>
      </c>
      <c r="B44" s="4" t="s">
        <v>183</v>
      </c>
      <c r="C44" s="14" t="s">
        <v>151</v>
      </c>
      <c r="D44" s="8" t="n">
        <v>143270</v>
      </c>
      <c r="E44" s="8" t="n">
        <v>143381</v>
      </c>
      <c r="F44" s="8" t="n">
        <v>-33405.34</v>
      </c>
      <c r="G44" s="8" t="n">
        <v>109975.66</v>
      </c>
      <c r="H44" s="11" t="n">
        <f aca="false">IF(D44=0,"N/A",(G44-D44)/ABS(D44))</f>
        <v>-0.2323887764361</v>
      </c>
    </row>
    <row r="45" customFormat="false" ht="15" hidden="false" customHeight="false" outlineLevel="0" collapsed="false">
      <c r="A45" s="5" t="s">
        <v>184</v>
      </c>
      <c r="B45" s="5" t="s">
        <v>185</v>
      </c>
      <c r="C45" s="16" t="s">
        <v>151</v>
      </c>
      <c r="D45" s="7" t="n">
        <v>0</v>
      </c>
      <c r="E45" s="7" t="n">
        <v>0</v>
      </c>
      <c r="F45" s="7" t="n">
        <v>0</v>
      </c>
      <c r="G45" s="7" t="n">
        <v>0</v>
      </c>
      <c r="H45" s="12" t="str">
        <f aca="false">IF(D45=0,"N/A",(G45-D45)/ABS(D45))</f>
        <v>N/A</v>
      </c>
    </row>
    <row r="46" customFormat="false" ht="15" hidden="false" customHeight="false" outlineLevel="0" collapsed="false">
      <c r="A46" s="4" t="s">
        <v>186</v>
      </c>
      <c r="B46" s="4" t="s">
        <v>187</v>
      </c>
      <c r="C46" s="14" t="s">
        <v>151</v>
      </c>
      <c r="D46" s="8" t="n">
        <v>2000</v>
      </c>
      <c r="E46" s="8" t="n">
        <v>2000</v>
      </c>
      <c r="F46" s="8" t="n">
        <v>-1358.55</v>
      </c>
      <c r="G46" s="8" t="n">
        <v>641.45</v>
      </c>
      <c r="H46" s="11" t="n">
        <f aca="false">IF(D46=0,"N/A",(G46-D46)/ABS(D46))</f>
        <v>-0.679275</v>
      </c>
    </row>
    <row r="47" customFormat="false" ht="15" hidden="false" customHeight="false" outlineLevel="0" collapsed="false">
      <c r="A47" s="5" t="s">
        <v>188</v>
      </c>
      <c r="B47" s="5" t="s">
        <v>189</v>
      </c>
      <c r="C47" s="16" t="s">
        <v>151</v>
      </c>
      <c r="D47" s="7" t="n">
        <v>0</v>
      </c>
      <c r="E47" s="7" t="n">
        <v>0</v>
      </c>
      <c r="F47" s="7" t="n">
        <v>0</v>
      </c>
      <c r="G47" s="7" t="n">
        <v>0</v>
      </c>
      <c r="H47" s="12" t="str">
        <f aca="false">IF(D47=0,"N/A",(G47-D47)/ABS(D47))</f>
        <v>N/A</v>
      </c>
    </row>
    <row r="48" customFormat="false" ht="15" hidden="false" customHeight="false" outlineLevel="0" collapsed="false">
      <c r="A48" s="4" t="s">
        <v>130</v>
      </c>
      <c r="B48" s="4" t="s">
        <v>60</v>
      </c>
      <c r="C48" s="4" t="s">
        <v>190</v>
      </c>
      <c r="D48" s="8" t="n">
        <v>4800</v>
      </c>
      <c r="E48" s="8" t="n">
        <v>4800</v>
      </c>
      <c r="F48" s="8" t="n">
        <v>-2421</v>
      </c>
      <c r="G48" s="8" t="n">
        <v>2379</v>
      </c>
      <c r="H48" s="11" t="n">
        <f aca="false">IF(D48=0,"N/A",(G48-D48)/ABS(D48))</f>
        <v>-0.504375</v>
      </c>
    </row>
    <row r="49" customFormat="false" ht="15" hidden="false" customHeight="false" outlineLevel="0" collapsed="false">
      <c r="A49" s="5" t="s">
        <v>132</v>
      </c>
      <c r="B49" s="5" t="s">
        <v>63</v>
      </c>
      <c r="C49" s="5" t="s">
        <v>190</v>
      </c>
      <c r="D49" s="7" t="n">
        <v>6000</v>
      </c>
      <c r="E49" s="7" t="n">
        <v>6000</v>
      </c>
      <c r="F49" s="7" t="n">
        <v>-1009.92</v>
      </c>
      <c r="G49" s="7" t="n">
        <v>4990.08</v>
      </c>
      <c r="H49" s="12" t="n">
        <f aca="false">IF(D49=0,"N/A",(G49-D49)/ABS(D49))</f>
        <v>-0.16832</v>
      </c>
    </row>
    <row r="50" customFormat="false" ht="15" hidden="false" customHeight="false" outlineLevel="0" collapsed="false">
      <c r="A50" s="4" t="s">
        <v>134</v>
      </c>
      <c r="B50" s="4" t="s">
        <v>66</v>
      </c>
      <c r="C50" s="4" t="s">
        <v>190</v>
      </c>
      <c r="D50" s="8" t="n">
        <v>3870</v>
      </c>
      <c r="E50" s="8" t="n">
        <v>4010</v>
      </c>
      <c r="F50" s="8" t="n">
        <v>-275</v>
      </c>
      <c r="G50" s="8" t="n">
        <v>3735</v>
      </c>
      <c r="H50" s="11" t="n">
        <f aca="false">IF(D50=0,"N/A",(G50-D50)/ABS(D50))</f>
        <v>-0.0348837209302326</v>
      </c>
    </row>
    <row r="51" customFormat="false" ht="15" hidden="false" customHeight="false" outlineLevel="0" collapsed="false">
      <c r="A51" s="5" t="s">
        <v>136</v>
      </c>
      <c r="B51" s="5" t="s">
        <v>69</v>
      </c>
      <c r="C51" s="5" t="s">
        <v>190</v>
      </c>
      <c r="D51" s="7" t="n">
        <v>0</v>
      </c>
      <c r="E51" s="7" t="n">
        <v>0</v>
      </c>
      <c r="F51" s="7" t="n">
        <v>141.44</v>
      </c>
      <c r="G51" s="7" t="n">
        <v>141.44</v>
      </c>
      <c r="H51" s="12" t="str">
        <f aca="false">IF(D51=0,"N/A",(G51-D51)/ABS(D51))</f>
        <v>N/A</v>
      </c>
    </row>
    <row r="52" customFormat="false" ht="15" hidden="false" customHeight="false" outlineLevel="0" collapsed="false">
      <c r="A52" s="4" t="s">
        <v>125</v>
      </c>
      <c r="B52" s="4" t="s">
        <v>51</v>
      </c>
      <c r="C52" s="4" t="s">
        <v>191</v>
      </c>
      <c r="D52" s="8" t="n">
        <v>28928</v>
      </c>
      <c r="E52" s="8" t="n">
        <v>32694.58</v>
      </c>
      <c r="F52" s="8" t="n">
        <v>1717.47</v>
      </c>
      <c r="G52" s="8" t="n">
        <v>34412.05</v>
      </c>
      <c r="H52" s="11" t="n">
        <f aca="false">IF(D52=0,"N/A",(G52-D52)/ABS(D52))</f>
        <v>0.189575843473451</v>
      </c>
    </row>
    <row r="53" customFormat="false" ht="15" hidden="false" customHeight="false" outlineLevel="0" collapsed="false">
      <c r="A53" s="5" t="s">
        <v>127</v>
      </c>
      <c r="B53" s="5" t="s">
        <v>54</v>
      </c>
      <c r="C53" s="5" t="s">
        <v>191</v>
      </c>
      <c r="D53" s="7" t="n">
        <v>5532.48</v>
      </c>
      <c r="E53" s="7" t="n">
        <v>5769.64</v>
      </c>
      <c r="F53" s="7" t="n">
        <v>709.77</v>
      </c>
      <c r="G53" s="7" t="n">
        <v>6479.41</v>
      </c>
      <c r="H53" s="12" t="n">
        <f aca="false">IF(D53=0,"N/A",(G53-D53)/ABS(D53))</f>
        <v>0.171158323211291</v>
      </c>
    </row>
    <row r="54" customFormat="false" ht="15" hidden="false" customHeight="false" outlineLevel="0" collapsed="false">
      <c r="A54" s="4" t="s">
        <v>192</v>
      </c>
      <c r="B54" s="4" t="s">
        <v>193</v>
      </c>
      <c r="C54" s="17" t="s">
        <v>194</v>
      </c>
      <c r="D54" s="8" t="n">
        <v>-384900</v>
      </c>
      <c r="E54" s="8" t="n">
        <v>-394208</v>
      </c>
      <c r="F54" s="8" t="n">
        <v>0</v>
      </c>
      <c r="G54" s="8" t="n">
        <v>-394208</v>
      </c>
      <c r="H54" s="11" t="n">
        <f aca="false">IF(D54=0,"N/A",(G54-D54)/ABS(D54))</f>
        <v>-0.0241829046505586</v>
      </c>
    </row>
    <row r="57" customFormat="false" ht="15" hidden="false" customHeight="false" outlineLevel="0" collapsed="false">
      <c r="A57" s="6" t="s">
        <v>195</v>
      </c>
    </row>
    <row r="58" customFormat="false" ht="15" hidden="false" customHeight="false" outlineLevel="0" collapsed="false">
      <c r="A58" s="3" t="s">
        <v>196</v>
      </c>
      <c r="B58" s="3" t="s">
        <v>197</v>
      </c>
      <c r="C58" s="3" t="s">
        <v>104</v>
      </c>
      <c r="D58" s="3" t="s">
        <v>198</v>
      </c>
      <c r="E58" s="3" t="s">
        <v>105</v>
      </c>
    </row>
    <row r="59" customFormat="false" ht="15" hidden="false" customHeight="false" outlineLevel="0" collapsed="false">
      <c r="A59" s="5" t="s">
        <v>199</v>
      </c>
      <c r="B59" s="5" t="s">
        <v>200</v>
      </c>
      <c r="C59" s="5" t="s">
        <v>201</v>
      </c>
      <c r="D59" s="5" t="s">
        <v>202</v>
      </c>
      <c r="E59" s="5" t="s">
        <v>203</v>
      </c>
    </row>
    <row r="60" customFormat="false" ht="15" hidden="false" customHeight="false" outlineLevel="0" collapsed="false">
      <c r="A60" s="4" t="s">
        <v>204</v>
      </c>
      <c r="B60" s="4" t="s">
        <v>205</v>
      </c>
      <c r="C60" s="4" t="s">
        <v>206</v>
      </c>
      <c r="D60" s="4" t="s">
        <v>207</v>
      </c>
      <c r="E60" s="4" t="s">
        <v>208</v>
      </c>
    </row>
    <row r="61" customFormat="false" ht="15" hidden="false" customHeight="false" outlineLevel="0" collapsed="false">
      <c r="A61" s="5" t="s">
        <v>209</v>
      </c>
      <c r="B61" s="5" t="s">
        <v>210</v>
      </c>
      <c r="C61" s="5" t="s">
        <v>211</v>
      </c>
      <c r="D61" s="5" t="s">
        <v>212</v>
      </c>
      <c r="E61" s="5" t="s">
        <v>213</v>
      </c>
    </row>
    <row r="62" customFormat="false" ht="15" hidden="false" customHeight="false" outlineLevel="0" collapsed="false">
      <c r="A62" s="4" t="s">
        <v>214</v>
      </c>
      <c r="B62" s="4" t="s">
        <v>215</v>
      </c>
      <c r="C62" s="4" t="s">
        <v>216</v>
      </c>
      <c r="D62" s="4" t="s">
        <v>217</v>
      </c>
      <c r="E62" s="4" t="s">
        <v>218</v>
      </c>
    </row>
    <row r="63" customFormat="false" ht="23.85" hidden="false" customHeight="false" outlineLevel="0" collapsed="false">
      <c r="A63" s="5" t="s">
        <v>219</v>
      </c>
      <c r="B63" s="5" t="s">
        <v>220</v>
      </c>
      <c r="C63" s="5" t="s">
        <v>221</v>
      </c>
      <c r="D63" s="5" t="s">
        <v>222</v>
      </c>
      <c r="E63" s="5" t="s">
        <v>223</v>
      </c>
    </row>
    <row r="64" customFormat="false" ht="15" hidden="false" customHeight="false" outlineLevel="0" collapsed="false">
      <c r="A64" s="4" t="s">
        <v>224</v>
      </c>
      <c r="B64" s="4" t="s">
        <v>225</v>
      </c>
      <c r="C64" s="4" t="s">
        <v>226</v>
      </c>
      <c r="D64" s="4" t="s">
        <v>227</v>
      </c>
      <c r="E64" s="4" t="s">
        <v>228</v>
      </c>
    </row>
    <row r="65" customFormat="false" ht="15" hidden="false" customHeight="false" outlineLevel="0" collapsed="false">
      <c r="A65" s="5" t="s">
        <v>229</v>
      </c>
      <c r="B65" s="5" t="s">
        <v>230</v>
      </c>
      <c r="C65" s="5" t="s">
        <v>231</v>
      </c>
      <c r="D65" s="5" t="s">
        <v>232</v>
      </c>
      <c r="E65" s="5" t="s">
        <v>233</v>
      </c>
    </row>
    <row r="66" customFormat="false" ht="15" hidden="false" customHeight="false" outlineLevel="0" collapsed="false">
      <c r="A66" s="4" t="s">
        <v>234</v>
      </c>
      <c r="B66" s="4" t="s">
        <v>235</v>
      </c>
      <c r="C66" s="4" t="s">
        <v>236</v>
      </c>
      <c r="D66" s="4" t="s">
        <v>237</v>
      </c>
      <c r="E66" s="4" t="s">
        <v>238</v>
      </c>
    </row>
    <row r="67" customFormat="false" ht="15" hidden="false" customHeight="false" outlineLevel="0" collapsed="false">
      <c r="A67" s="5" t="s">
        <v>239</v>
      </c>
      <c r="B67" s="5" t="s">
        <v>240</v>
      </c>
      <c r="C67" s="5" t="s">
        <v>241</v>
      </c>
      <c r="D67" s="5" t="s">
        <v>242</v>
      </c>
      <c r="E67" s="5" t="s">
        <v>243</v>
      </c>
    </row>
    <row r="68" customFormat="false" ht="15" hidden="false" customHeight="false" outlineLevel="0" collapsed="false">
      <c r="A68" s="4" t="s">
        <v>244</v>
      </c>
      <c r="B68" s="4" t="s">
        <v>245</v>
      </c>
      <c r="C68" s="4" t="s">
        <v>246</v>
      </c>
      <c r="D68" s="4" t="s">
        <v>247</v>
      </c>
      <c r="E68" s="4" t="s">
        <v>248</v>
      </c>
    </row>
    <row r="69" customFormat="false" ht="15" hidden="false" customHeight="false" outlineLevel="0" collapsed="false">
      <c r="A69" s="5" t="s">
        <v>249</v>
      </c>
      <c r="B69" s="5" t="s">
        <v>250</v>
      </c>
      <c r="C69" s="5" t="s">
        <v>251</v>
      </c>
      <c r="D69" s="5" t="s">
        <v>252</v>
      </c>
      <c r="E69" s="5" t="s">
        <v>253</v>
      </c>
    </row>
    <row r="70" customFormat="false" ht="15" hidden="false" customHeight="false" outlineLevel="0" collapsed="false">
      <c r="A70" s="4" t="s">
        <v>254</v>
      </c>
      <c r="B70" s="4" t="s">
        <v>255</v>
      </c>
      <c r="C70" s="4" t="s">
        <v>256</v>
      </c>
      <c r="D70" s="4" t="s">
        <v>257</v>
      </c>
      <c r="E70" s="4" t="s">
        <v>258</v>
      </c>
    </row>
    <row r="71" customFormat="false" ht="15" hidden="false" customHeight="false" outlineLevel="0" collapsed="false">
      <c r="A71" s="6" t="s">
        <v>259</v>
      </c>
      <c r="C71" s="6" t="s">
        <v>33</v>
      </c>
      <c r="D71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37"/>
    <col collapsed="false" customWidth="true" hidden="false" outlineLevel="0" max="3" min="3" style="0" width="19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260</v>
      </c>
    </row>
    <row r="3" customFormat="false" ht="15" hidden="false" customHeight="false" outlineLevel="0" collapsed="false">
      <c r="A3" s="6" t="s">
        <v>261</v>
      </c>
    </row>
    <row r="4" customFormat="false" ht="15" hidden="false" customHeight="false" outlineLevel="0" collapsed="false">
      <c r="A4" s="3" t="s">
        <v>140</v>
      </c>
      <c r="B4" s="3" t="s">
        <v>262</v>
      </c>
      <c r="C4" s="3" t="s">
        <v>118</v>
      </c>
      <c r="D4" s="3" t="s">
        <v>119</v>
      </c>
      <c r="E4" s="3" t="s">
        <v>263</v>
      </c>
      <c r="F4" s="3" t="s">
        <v>264</v>
      </c>
      <c r="G4" s="3" t="s">
        <v>265</v>
      </c>
      <c r="H4" s="3" t="s">
        <v>266</v>
      </c>
    </row>
    <row r="5" customFormat="false" ht="15" hidden="false" customHeight="false" outlineLevel="0" collapsed="false">
      <c r="A5" s="5" t="s">
        <v>146</v>
      </c>
      <c r="B5" s="5" t="s">
        <v>267</v>
      </c>
      <c r="C5" s="7" t="n">
        <v>1250</v>
      </c>
      <c r="D5" s="7" t="n">
        <v>1645</v>
      </c>
      <c r="E5" s="18" t="n">
        <v>76</v>
      </c>
      <c r="F5" s="7" t="n">
        <f aca="false">IF(E5=0,"N/A",D5/E5)</f>
        <v>21.6447368421053</v>
      </c>
      <c r="G5" s="7" t="n">
        <f aca="false">D5-C5</f>
        <v>395</v>
      </c>
      <c r="H5" s="12" t="n">
        <f aca="false">IF(C5=0,"N/A",(D5-C5)/C5)</f>
        <v>0.316</v>
      </c>
    </row>
    <row r="6" customFormat="false" ht="15" hidden="false" customHeight="false" outlineLevel="0" collapsed="false">
      <c r="A6" s="4" t="s">
        <v>152</v>
      </c>
      <c r="B6" s="4" t="s">
        <v>153</v>
      </c>
      <c r="C6" s="8" t="n">
        <v>3000</v>
      </c>
      <c r="D6" s="8" t="n">
        <v>2992</v>
      </c>
      <c r="E6" s="19" t="n">
        <v>90</v>
      </c>
      <c r="F6" s="8" t="n">
        <f aca="false">IF(E6=0,"N/A",D6/E6)</f>
        <v>33.2444444444445</v>
      </c>
      <c r="G6" s="8" t="n">
        <f aca="false">D6-C6</f>
        <v>-8</v>
      </c>
      <c r="H6" s="11" t="n">
        <f aca="false">IF(C6=0,"N/A",(D6-C6)/C6)</f>
        <v>-0.00266666666666667</v>
      </c>
    </row>
    <row r="7" customFormat="false" ht="15" hidden="false" customHeight="false" outlineLevel="0" collapsed="false">
      <c r="A7" s="5" t="s">
        <v>154</v>
      </c>
      <c r="B7" s="5" t="s">
        <v>268</v>
      </c>
      <c r="C7" s="7" t="n">
        <v>2500</v>
      </c>
      <c r="D7" s="7" t="n">
        <v>1324</v>
      </c>
      <c r="E7" s="18" t="n">
        <v>40</v>
      </c>
      <c r="F7" s="7" t="n">
        <f aca="false">IF(E7=0,"N/A",D7/E7)</f>
        <v>33.1</v>
      </c>
      <c r="G7" s="7" t="n">
        <f aca="false">D7-C7</f>
        <v>-1176</v>
      </c>
      <c r="H7" s="12" t="n">
        <f aca="false">IF(C7=0,"N/A",(D7-C7)/C7)</f>
        <v>-0.4704</v>
      </c>
    </row>
    <row r="8" customFormat="false" ht="15" hidden="false" customHeight="false" outlineLevel="0" collapsed="false">
      <c r="A8" s="4" t="s">
        <v>156</v>
      </c>
      <c r="B8" s="4" t="s">
        <v>269</v>
      </c>
      <c r="C8" s="8" t="n">
        <v>5350</v>
      </c>
      <c r="D8" s="8" t="n">
        <v>4209</v>
      </c>
      <c r="E8" s="19" t="n">
        <v>213.5</v>
      </c>
      <c r="F8" s="8" t="n">
        <f aca="false">IF(E8=0,"N/A",D8/E8)</f>
        <v>19.7142857142857</v>
      </c>
      <c r="G8" s="8" t="n">
        <f aca="false">D8-C8</f>
        <v>-1141</v>
      </c>
      <c r="H8" s="11" t="n">
        <f aca="false">IF(C8=0,"N/A",(D8-C8)/C8)</f>
        <v>-0.213271028037383</v>
      </c>
    </row>
    <row r="9" customFormat="false" ht="15" hidden="false" customHeight="false" outlineLevel="0" collapsed="false">
      <c r="A9" s="5" t="s">
        <v>158</v>
      </c>
      <c r="B9" s="5" t="s">
        <v>270</v>
      </c>
      <c r="C9" s="7" t="n">
        <v>8960</v>
      </c>
      <c r="D9" s="7" t="n">
        <v>9872</v>
      </c>
      <c r="E9" s="18" t="n">
        <v>488</v>
      </c>
      <c r="F9" s="7" t="n">
        <f aca="false">IF(E9=0,"N/A",D9/E9)</f>
        <v>20.2295081967213</v>
      </c>
      <c r="G9" s="7" t="n">
        <f aca="false">D9-C9</f>
        <v>912</v>
      </c>
      <c r="H9" s="12" t="n">
        <f aca="false">IF(C9=0,"N/A",(D9-C9)/C9)</f>
        <v>0.101785714285714</v>
      </c>
    </row>
    <row r="10" customFormat="false" ht="15" hidden="false" customHeight="false" outlineLevel="0" collapsed="false">
      <c r="A10" s="4" t="s">
        <v>160</v>
      </c>
      <c r="B10" s="4" t="s">
        <v>271</v>
      </c>
      <c r="C10" s="8" t="n">
        <v>2000</v>
      </c>
      <c r="D10" s="8" t="n">
        <v>1485.5</v>
      </c>
      <c r="E10" s="19" t="n">
        <v>69.5</v>
      </c>
      <c r="F10" s="8" t="n">
        <f aca="false">IF(E10=0,"N/A",D10/E10)</f>
        <v>21.3741007194245</v>
      </c>
      <c r="G10" s="8" t="n">
        <f aca="false">D10-C10</f>
        <v>-514.5</v>
      </c>
      <c r="H10" s="11" t="n">
        <f aca="false">IF(C10=0,"N/A",(D10-C10)/C10)</f>
        <v>-0.25725</v>
      </c>
    </row>
    <row r="11" customFormat="false" ht="15" hidden="false" customHeight="false" outlineLevel="0" collapsed="false">
      <c r="A11" s="5" t="s">
        <v>162</v>
      </c>
      <c r="B11" s="5" t="s">
        <v>213</v>
      </c>
      <c r="C11" s="7" t="n">
        <v>34500</v>
      </c>
      <c r="D11" s="7" t="n">
        <v>46114</v>
      </c>
      <c r="E11" s="18" t="n">
        <v>2311</v>
      </c>
      <c r="F11" s="7" t="n">
        <f aca="false">IF(E11=0,"N/A",D11/E11)</f>
        <v>19.954132410212</v>
      </c>
      <c r="G11" s="7" t="n">
        <f aca="false">D11-C11</f>
        <v>11614</v>
      </c>
      <c r="H11" s="12" t="n">
        <f aca="false">IF(C11=0,"N/A",(D11-C11)/C11)</f>
        <v>0.33663768115942</v>
      </c>
    </row>
    <row r="12" customFormat="false" ht="15" hidden="false" customHeight="false" outlineLevel="0" collapsed="false">
      <c r="A12" s="4" t="s">
        <v>164</v>
      </c>
      <c r="B12" s="4" t="s">
        <v>272</v>
      </c>
      <c r="C12" s="8" t="n">
        <v>10250</v>
      </c>
      <c r="D12" s="8" t="n">
        <v>11391.5</v>
      </c>
      <c r="E12" s="19" t="n">
        <v>557.5</v>
      </c>
      <c r="F12" s="8" t="n">
        <f aca="false">IF(E12=0,"N/A",D12/E12)</f>
        <v>20.4331838565022</v>
      </c>
      <c r="G12" s="8" t="n">
        <f aca="false">D12-C12</f>
        <v>1141.5</v>
      </c>
      <c r="H12" s="11" t="n">
        <f aca="false">IF(C12=0,"N/A",(D12-C12)/C12)</f>
        <v>0.111365853658537</v>
      </c>
    </row>
    <row r="13" customFormat="false" ht="15" hidden="false" customHeight="false" outlineLevel="0" collapsed="false">
      <c r="A13" s="5" t="s">
        <v>166</v>
      </c>
      <c r="B13" s="5" t="s">
        <v>273</v>
      </c>
      <c r="C13" s="7" t="n">
        <v>0</v>
      </c>
      <c r="D13" s="7" t="n">
        <v>0</v>
      </c>
      <c r="E13" s="18" t="n">
        <v>16</v>
      </c>
      <c r="F13" s="7" t="n">
        <f aca="false">IF(E13=0,"N/A",D13/E13)</f>
        <v>0</v>
      </c>
      <c r="G13" s="7" t="n">
        <f aca="false">D13-C13</f>
        <v>0</v>
      </c>
      <c r="H13" s="12" t="str">
        <f aca="false">IF(C13=0,"N/A",(D13-C13)/C13)</f>
        <v>N/A</v>
      </c>
    </row>
    <row r="14" customFormat="false" ht="15" hidden="false" customHeight="false" outlineLevel="0" collapsed="false">
      <c r="A14" s="4" t="s">
        <v>168</v>
      </c>
      <c r="B14" s="4" t="s">
        <v>274</v>
      </c>
      <c r="C14" s="8" t="n">
        <v>1430</v>
      </c>
      <c r="D14" s="8" t="n">
        <v>1730</v>
      </c>
      <c r="E14" s="19" t="n">
        <v>63</v>
      </c>
      <c r="F14" s="8" t="n">
        <f aca="false">IF(E14=0,"N/A",D14/E14)</f>
        <v>27.4603174603175</v>
      </c>
      <c r="G14" s="8" t="n">
        <f aca="false">D14-C14</f>
        <v>300</v>
      </c>
      <c r="H14" s="11" t="n">
        <f aca="false">IF(C14=0,"N/A",(D14-C14)/C14)</f>
        <v>0.20979020979021</v>
      </c>
    </row>
    <row r="15" customFormat="false" ht="15" hidden="false" customHeight="false" outlineLevel="0" collapsed="false">
      <c r="A15" s="5" t="s">
        <v>170</v>
      </c>
      <c r="B15" s="5" t="s">
        <v>275</v>
      </c>
      <c r="C15" s="7" t="n">
        <v>3080</v>
      </c>
      <c r="D15" s="7" t="n">
        <v>3796.5</v>
      </c>
      <c r="E15" s="18" t="n">
        <v>187.5</v>
      </c>
      <c r="F15" s="7" t="n">
        <f aca="false">IF(E15=0,"N/A",D15/E15)</f>
        <v>20.248</v>
      </c>
      <c r="G15" s="7" t="n">
        <f aca="false">D15-C15</f>
        <v>716.5</v>
      </c>
      <c r="H15" s="12" t="n">
        <f aca="false">IF(C15=0,"N/A",(D15-C15)/C15)</f>
        <v>0.23262987012987</v>
      </c>
    </row>
    <row r="16" customFormat="false" ht="15" hidden="false" customHeight="false" outlineLevel="0" collapsed="false">
      <c r="A16" s="4" t="s">
        <v>172</v>
      </c>
      <c r="B16" s="4" t="s">
        <v>276</v>
      </c>
      <c r="C16" s="8" t="n">
        <v>0</v>
      </c>
      <c r="D16" s="8" t="n">
        <v>138.5</v>
      </c>
      <c r="E16" s="19" t="n">
        <v>4</v>
      </c>
      <c r="F16" s="8" t="n">
        <f aca="false">IF(E16=0,"N/A",D16/E16)</f>
        <v>34.625</v>
      </c>
      <c r="G16" s="8" t="n">
        <f aca="false">D16-C16</f>
        <v>138.5</v>
      </c>
      <c r="H16" s="11" t="str">
        <f aca="false">IF(C16=0,"N/A",(D16-C16)/C16)</f>
        <v>N/A</v>
      </c>
    </row>
    <row r="17" customFormat="false" ht="15" hidden="false" customHeight="false" outlineLevel="0" collapsed="false">
      <c r="A17" s="5" t="s">
        <v>277</v>
      </c>
      <c r="B17" s="5"/>
      <c r="C17" s="7" t="n">
        <f aca="false">SUM(C5:C16)</f>
        <v>72320</v>
      </c>
      <c r="D17" s="7" t="n">
        <f aca="false">SUM(D5:D16)</f>
        <v>84698</v>
      </c>
      <c r="E17" s="18" t="n">
        <f aca="false">SUM(E5:E16)</f>
        <v>4116</v>
      </c>
      <c r="F17" s="7" t="n">
        <f aca="false">D17/E17</f>
        <v>20.5777453838678</v>
      </c>
      <c r="G17" s="7" t="n">
        <f aca="false">SUM(G5:G16)</f>
        <v>12378</v>
      </c>
      <c r="H17" s="12" t="n">
        <f aca="false">(D17-C17)/C17</f>
        <v>0.171155973451327</v>
      </c>
    </row>
    <row r="19" customFormat="false" ht="15" hidden="false" customHeight="false" outlineLevel="0" collapsed="false">
      <c r="A19" s="6" t="s">
        <v>278</v>
      </c>
    </row>
    <row r="20" customFormat="false" ht="15" hidden="false" customHeight="false" outlineLevel="0" collapsed="false">
      <c r="A20" s="4" t="s">
        <v>279</v>
      </c>
      <c r="B20" s="8" t="n">
        <f aca="false">D17</f>
        <v>84698</v>
      </c>
      <c r="C20" s="4"/>
    </row>
    <row r="21" customFormat="false" ht="15" hidden="false" customHeight="false" outlineLevel="0" collapsed="false">
      <c r="A21" s="5" t="s">
        <v>280</v>
      </c>
      <c r="B21" s="18" t="n">
        <f aca="false">E17</f>
        <v>4116</v>
      </c>
      <c r="C21" s="5"/>
    </row>
    <row r="22" customFormat="false" ht="15" hidden="false" customHeight="false" outlineLevel="0" collapsed="false">
      <c r="A22" s="4" t="s">
        <v>281</v>
      </c>
      <c r="B22" s="8" t="n">
        <f aca="false">D17/E17</f>
        <v>20.5777453838678</v>
      </c>
      <c r="C22" s="4"/>
    </row>
    <row r="23" customFormat="false" ht="15" hidden="false" customHeight="false" outlineLevel="0" collapsed="false">
      <c r="A23" s="5" t="s">
        <v>282</v>
      </c>
      <c r="B23" s="12" t="n">
        <f aca="false">D17/287899.37</f>
        <v>0.294193071697239</v>
      </c>
      <c r="C23" s="5"/>
    </row>
    <row r="24" customFormat="false" ht="15" hidden="false" customHeight="false" outlineLevel="0" collapsed="false">
      <c r="A24" s="4" t="s">
        <v>283</v>
      </c>
      <c r="B24" s="11" t="n">
        <f aca="false">(84698+34412.05+6479.41)/287899.37</f>
        <v>0.43622693582136</v>
      </c>
      <c r="C24" s="4"/>
    </row>
    <row r="25" customFormat="false" ht="15" hidden="false" customHeight="false" outlineLevel="0" collapsed="false">
      <c r="A25" s="5" t="s">
        <v>284</v>
      </c>
      <c r="B25" s="12" t="n">
        <f aca="false">D11/D17</f>
        <v>0.544452053177171</v>
      </c>
      <c r="C25" s="5"/>
    </row>
    <row r="26" customFormat="false" ht="15" hidden="false" customHeight="false" outlineLevel="0" collapsed="false">
      <c r="A26" s="4" t="s">
        <v>285</v>
      </c>
      <c r="B26" s="11" t="n">
        <f aca="false">E11/E17</f>
        <v>0.561467444120505</v>
      </c>
      <c r="C26" s="4"/>
    </row>
    <row r="27" customFormat="false" ht="15" hidden="false" customHeight="false" outlineLevel="0" collapsed="false">
      <c r="A27" s="5" t="s">
        <v>286</v>
      </c>
      <c r="B27" s="20" t="n">
        <v>12</v>
      </c>
      <c r="C27" s="5"/>
    </row>
    <row r="28" customFormat="false" ht="15" hidden="false" customHeight="false" outlineLevel="0" collapsed="false">
      <c r="A28" s="4" t="s">
        <v>287</v>
      </c>
      <c r="B28" s="21" t="n">
        <v>22</v>
      </c>
      <c r="C28" s="4"/>
    </row>
    <row r="30" customFormat="false" ht="15" hidden="false" customHeight="false" outlineLevel="0" collapsed="false">
      <c r="A30" s="6" t="s">
        <v>288</v>
      </c>
    </row>
    <row r="31" customFormat="false" ht="15" hidden="false" customHeight="false" outlineLevel="0" collapsed="false">
      <c r="A31" s="3" t="s">
        <v>289</v>
      </c>
      <c r="B31" s="3" t="s">
        <v>290</v>
      </c>
      <c r="C31" s="3" t="s">
        <v>291</v>
      </c>
      <c r="D31" s="3" t="s">
        <v>292</v>
      </c>
    </row>
    <row r="32" customFormat="false" ht="15" hidden="false" customHeight="false" outlineLevel="0" collapsed="false">
      <c r="A32" s="4" t="s">
        <v>293</v>
      </c>
      <c r="B32" s="4" t="s">
        <v>294</v>
      </c>
      <c r="C32" s="4" t="s">
        <v>295</v>
      </c>
      <c r="D32" s="4" t="s">
        <v>296</v>
      </c>
    </row>
    <row r="33" customFormat="false" ht="15" hidden="false" customHeight="false" outlineLevel="0" collapsed="false">
      <c r="A33" s="5" t="s">
        <v>297</v>
      </c>
      <c r="B33" s="5" t="s">
        <v>298</v>
      </c>
      <c r="C33" s="5" t="s">
        <v>299</v>
      </c>
      <c r="D33" s="5" t="s">
        <v>300</v>
      </c>
    </row>
    <row r="34" customFormat="false" ht="15" hidden="false" customHeight="false" outlineLevel="0" collapsed="false">
      <c r="A34" s="4" t="s">
        <v>301</v>
      </c>
      <c r="B34" s="4" t="s">
        <v>302</v>
      </c>
      <c r="C34" s="4" t="s">
        <v>303</v>
      </c>
      <c r="D34" s="4" t="s">
        <v>304</v>
      </c>
    </row>
    <row r="35" customFormat="false" ht="15" hidden="false" customHeight="false" outlineLevel="0" collapsed="false">
      <c r="A35" s="5" t="s">
        <v>305</v>
      </c>
      <c r="B35" s="5" t="s">
        <v>306</v>
      </c>
      <c r="C35" s="5" t="s">
        <v>303</v>
      </c>
      <c r="D35" s="5" t="s">
        <v>304</v>
      </c>
    </row>
    <row r="36" customFormat="false" ht="15" hidden="false" customHeight="false" outlineLevel="0" collapsed="false">
      <c r="A36" s="4" t="s">
        <v>307</v>
      </c>
      <c r="B36" s="4" t="s">
        <v>308</v>
      </c>
      <c r="C36" s="4" t="s">
        <v>303</v>
      </c>
      <c r="D36" s="4" t="s">
        <v>309</v>
      </c>
    </row>
    <row r="37" customFormat="false" ht="15" hidden="false" customHeight="false" outlineLevel="0" collapsed="false">
      <c r="A37" s="5" t="s">
        <v>310</v>
      </c>
      <c r="B37" s="5" t="s">
        <v>311</v>
      </c>
      <c r="C37" s="5" t="s">
        <v>303</v>
      </c>
      <c r="D37" s="5" t="s">
        <v>312</v>
      </c>
    </row>
    <row r="38" customFormat="false" ht="15" hidden="false" customHeight="false" outlineLevel="0" collapsed="false">
      <c r="A38" s="4" t="s">
        <v>313</v>
      </c>
      <c r="B38" s="4" t="s">
        <v>314</v>
      </c>
      <c r="C38" s="4" t="s">
        <v>303</v>
      </c>
      <c r="D38" s="4" t="s">
        <v>213</v>
      </c>
    </row>
    <row r="39" customFormat="false" ht="15" hidden="false" customHeight="false" outlineLevel="0" collapsed="false">
      <c r="A39" s="5" t="s">
        <v>315</v>
      </c>
      <c r="B39" s="5" t="s">
        <v>316</v>
      </c>
      <c r="C39" s="5" t="s">
        <v>303</v>
      </c>
      <c r="D39" s="5" t="s">
        <v>213</v>
      </c>
    </row>
    <row r="40" customFormat="false" ht="15" hidden="false" customHeight="false" outlineLevel="0" collapsed="false">
      <c r="A40" s="4" t="s">
        <v>317</v>
      </c>
      <c r="B40" s="4" t="s">
        <v>318</v>
      </c>
      <c r="C40" s="4" t="s">
        <v>303</v>
      </c>
      <c r="D40" s="4" t="s">
        <v>213</v>
      </c>
    </row>
    <row r="41" customFormat="false" ht="15" hidden="false" customHeight="false" outlineLevel="0" collapsed="false">
      <c r="A41" s="5" t="s">
        <v>319</v>
      </c>
      <c r="B41" s="5" t="s">
        <v>320</v>
      </c>
      <c r="C41" s="5" t="s">
        <v>303</v>
      </c>
      <c r="D41" s="5" t="s">
        <v>213</v>
      </c>
    </row>
    <row r="42" customFormat="false" ht="15" hidden="false" customHeight="false" outlineLevel="0" collapsed="false">
      <c r="A42" s="4" t="s">
        <v>321</v>
      </c>
      <c r="B42" s="4" t="s">
        <v>322</v>
      </c>
      <c r="C42" s="4" t="s">
        <v>303</v>
      </c>
      <c r="D42" s="4" t="s">
        <v>269</v>
      </c>
    </row>
    <row r="43" customFormat="false" ht="15" hidden="false" customHeight="false" outlineLevel="0" collapsed="false">
      <c r="A43" s="5" t="s">
        <v>323</v>
      </c>
      <c r="B43" s="5" t="s">
        <v>324</v>
      </c>
      <c r="C43" s="5" t="s">
        <v>325</v>
      </c>
      <c r="D43" s="5" t="s">
        <v>269</v>
      </c>
    </row>
    <row r="44" customFormat="false" ht="15" hidden="false" customHeight="false" outlineLevel="0" collapsed="false">
      <c r="A44" s="4" t="s">
        <v>326</v>
      </c>
      <c r="B44" s="4" t="s">
        <v>327</v>
      </c>
      <c r="C44" s="4" t="s">
        <v>303</v>
      </c>
      <c r="D44" s="4" t="s">
        <v>304</v>
      </c>
    </row>
    <row r="45" customFormat="false" ht="15" hidden="false" customHeight="false" outlineLevel="0" collapsed="false">
      <c r="A45" s="5" t="s">
        <v>328</v>
      </c>
      <c r="B45" s="5" t="s">
        <v>329</v>
      </c>
      <c r="C45" s="5" t="s">
        <v>303</v>
      </c>
      <c r="D45" s="5" t="s">
        <v>330</v>
      </c>
    </row>
    <row r="46" customFormat="false" ht="15" hidden="false" customHeight="false" outlineLevel="0" collapsed="false">
      <c r="A46" s="4" t="s">
        <v>331</v>
      </c>
      <c r="B46" s="4" t="s">
        <v>332</v>
      </c>
      <c r="C46" s="4" t="s">
        <v>303</v>
      </c>
      <c r="D46" s="4" t="s">
        <v>213</v>
      </c>
    </row>
    <row r="47" customFormat="false" ht="15" hidden="false" customHeight="false" outlineLevel="0" collapsed="false">
      <c r="A47" s="5" t="s">
        <v>333</v>
      </c>
      <c r="B47" s="5" t="s">
        <v>334</v>
      </c>
      <c r="C47" s="5" t="s">
        <v>303</v>
      </c>
      <c r="D47" s="5" t="s">
        <v>335</v>
      </c>
    </row>
    <row r="48" customFormat="false" ht="15" hidden="false" customHeight="false" outlineLevel="0" collapsed="false">
      <c r="A48" s="4" t="s">
        <v>336</v>
      </c>
      <c r="B48" s="4" t="s">
        <v>337</v>
      </c>
      <c r="C48" s="4" t="s">
        <v>303</v>
      </c>
      <c r="D48" s="4" t="s">
        <v>335</v>
      </c>
    </row>
    <row r="49" customFormat="false" ht="15" hidden="false" customHeight="false" outlineLevel="0" collapsed="false">
      <c r="A49" s="5" t="s">
        <v>338</v>
      </c>
      <c r="B49" s="5" t="s">
        <v>339</v>
      </c>
      <c r="C49" s="5" t="s">
        <v>303</v>
      </c>
      <c r="D49" s="5" t="s">
        <v>213</v>
      </c>
    </row>
    <row r="50" customFormat="false" ht="15" hidden="false" customHeight="false" outlineLevel="0" collapsed="false">
      <c r="A50" s="4" t="s">
        <v>340</v>
      </c>
      <c r="B50" s="4" t="s">
        <v>341</v>
      </c>
      <c r="C50" s="4" t="s">
        <v>303</v>
      </c>
      <c r="D50" s="4" t="s">
        <v>342</v>
      </c>
    </row>
    <row r="51" customFormat="false" ht="15" hidden="false" customHeight="false" outlineLevel="0" collapsed="false">
      <c r="A51" s="5" t="s">
        <v>343</v>
      </c>
      <c r="B51" s="5" t="s">
        <v>344</v>
      </c>
      <c r="C51" s="5" t="s">
        <v>303</v>
      </c>
      <c r="D51" s="5" t="s">
        <v>345</v>
      </c>
    </row>
    <row r="52" customFormat="false" ht="15" hidden="false" customHeight="false" outlineLevel="0" collapsed="false">
      <c r="A52" s="4" t="s">
        <v>346</v>
      </c>
      <c r="B52" s="4" t="s">
        <v>347</v>
      </c>
      <c r="C52" s="4" t="s">
        <v>325</v>
      </c>
      <c r="D52" s="4" t="s">
        <v>348</v>
      </c>
    </row>
    <row r="53" customFormat="false" ht="15" hidden="false" customHeight="false" outlineLevel="0" collapsed="false">
      <c r="A53" s="5" t="s">
        <v>349</v>
      </c>
      <c r="B53" s="5" t="s">
        <v>350</v>
      </c>
      <c r="C53" s="5" t="s">
        <v>303</v>
      </c>
      <c r="D53" s="5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52"/>
    <col collapsed="false" customWidth="true" hidden="false" outlineLevel="0" max="5" min="4" style="0" width="12"/>
    <col collapsed="false" customWidth="true" hidden="false" outlineLevel="0" max="6" min="6" style="0" width="19"/>
    <col collapsed="false" customWidth="true" hidden="false" outlineLevel="0" max="7" min="7" style="0" width="42"/>
  </cols>
  <sheetData>
    <row r="1" customFormat="false" ht="26.85" hidden="false" customHeight="false" outlineLevel="0" collapsed="false">
      <c r="A1" s="3" t="s">
        <v>352</v>
      </c>
      <c r="B1" s="3" t="s">
        <v>353</v>
      </c>
      <c r="C1" s="3" t="s">
        <v>354</v>
      </c>
      <c r="D1" s="3" t="s">
        <v>355</v>
      </c>
      <c r="E1" s="3" t="s">
        <v>356</v>
      </c>
      <c r="F1" s="3" t="s">
        <v>357</v>
      </c>
      <c r="G1" s="3" t="s">
        <v>358</v>
      </c>
    </row>
    <row r="2" customFormat="false" ht="15" hidden="false" customHeight="false" outlineLevel="0" collapsed="false">
      <c r="A2" s="4" t="s">
        <v>359</v>
      </c>
      <c r="B2" s="4" t="s">
        <v>359</v>
      </c>
      <c r="C2" s="4" t="s">
        <v>360</v>
      </c>
      <c r="D2" s="4" t="s">
        <v>361</v>
      </c>
      <c r="E2" s="4" t="s">
        <v>362</v>
      </c>
      <c r="F2" s="4" t="s">
        <v>190</v>
      </c>
      <c r="G2" s="4" t="s">
        <v>363</v>
      </c>
    </row>
    <row r="3" customFormat="false" ht="15" hidden="false" customHeight="false" outlineLevel="0" collapsed="false">
      <c r="A3" s="5" t="s">
        <v>364</v>
      </c>
      <c r="B3" s="5" t="s">
        <v>364</v>
      </c>
      <c r="C3" s="5" t="s">
        <v>360</v>
      </c>
      <c r="D3" s="5" t="s">
        <v>361</v>
      </c>
      <c r="E3" s="5" t="s">
        <v>365</v>
      </c>
      <c r="F3" s="5" t="s">
        <v>190</v>
      </c>
      <c r="G3" s="5" t="s">
        <v>363</v>
      </c>
    </row>
    <row r="4" customFormat="false" ht="15" hidden="false" customHeight="false" outlineLevel="0" collapsed="false">
      <c r="A4" s="4" t="s">
        <v>366</v>
      </c>
      <c r="B4" s="4" t="s">
        <v>366</v>
      </c>
      <c r="C4" s="4" t="s">
        <v>360</v>
      </c>
      <c r="D4" s="4" t="s">
        <v>367</v>
      </c>
      <c r="E4" s="4" t="s">
        <v>368</v>
      </c>
      <c r="F4" s="4" t="s">
        <v>190</v>
      </c>
      <c r="G4" s="4" t="s">
        <v>363</v>
      </c>
    </row>
    <row r="5" customFormat="false" ht="15" hidden="false" customHeight="false" outlineLevel="0" collapsed="false">
      <c r="A5" s="5" t="s">
        <v>369</v>
      </c>
      <c r="B5" s="5" t="s">
        <v>369</v>
      </c>
      <c r="C5" s="5" t="s">
        <v>360</v>
      </c>
      <c r="D5" s="5" t="s">
        <v>361</v>
      </c>
      <c r="E5" s="5" t="s">
        <v>370</v>
      </c>
      <c r="F5" s="5" t="s">
        <v>190</v>
      </c>
      <c r="G5" s="5" t="s">
        <v>363</v>
      </c>
    </row>
    <row r="6" customFormat="false" ht="15" hidden="false" customHeight="false" outlineLevel="0" collapsed="false">
      <c r="A6" s="4" t="s">
        <v>371</v>
      </c>
      <c r="B6" s="4" t="s">
        <v>372</v>
      </c>
      <c r="C6" s="4" t="s">
        <v>373</v>
      </c>
      <c r="D6" s="4" t="s">
        <v>361</v>
      </c>
      <c r="E6" s="4" t="s">
        <v>374</v>
      </c>
      <c r="F6" s="4" t="s">
        <v>375</v>
      </c>
      <c r="G6" s="4" t="s">
        <v>376</v>
      </c>
    </row>
    <row r="7" customFormat="false" ht="15" hidden="false" customHeight="false" outlineLevel="0" collapsed="false">
      <c r="A7" s="5" t="s">
        <v>377</v>
      </c>
      <c r="B7" s="5" t="s">
        <v>378</v>
      </c>
      <c r="C7" s="5" t="s">
        <v>373</v>
      </c>
      <c r="D7" s="5" t="s">
        <v>361</v>
      </c>
      <c r="E7" s="5" t="s">
        <v>374</v>
      </c>
      <c r="F7" s="5" t="s">
        <v>375</v>
      </c>
      <c r="G7" s="5" t="s">
        <v>376</v>
      </c>
    </row>
    <row r="8" customFormat="false" ht="15" hidden="false" customHeight="false" outlineLevel="0" collapsed="false">
      <c r="A8" s="4" t="s">
        <v>379</v>
      </c>
      <c r="B8" s="4" t="s">
        <v>380</v>
      </c>
      <c r="C8" s="4" t="s">
        <v>373</v>
      </c>
      <c r="D8" s="4" t="s">
        <v>361</v>
      </c>
      <c r="E8" s="4" t="s">
        <v>381</v>
      </c>
      <c r="F8" s="4" t="s">
        <v>375</v>
      </c>
      <c r="G8" s="4" t="s">
        <v>376</v>
      </c>
    </row>
    <row r="9" customFormat="false" ht="15" hidden="false" customHeight="false" outlineLevel="0" collapsed="false">
      <c r="A9" s="5" t="s">
        <v>382</v>
      </c>
      <c r="B9" s="5" t="s">
        <v>383</v>
      </c>
      <c r="C9" s="5" t="s">
        <v>373</v>
      </c>
      <c r="D9" s="5" t="s">
        <v>361</v>
      </c>
      <c r="E9" s="5" t="s">
        <v>384</v>
      </c>
      <c r="F9" s="5" t="s">
        <v>375</v>
      </c>
      <c r="G9" s="5" t="s">
        <v>376</v>
      </c>
    </row>
    <row r="10" customFormat="false" ht="15" hidden="false" customHeight="false" outlineLevel="0" collapsed="false">
      <c r="A10" s="4" t="s">
        <v>385</v>
      </c>
      <c r="B10" s="4" t="s">
        <v>386</v>
      </c>
      <c r="C10" s="4" t="s">
        <v>373</v>
      </c>
      <c r="D10" s="4" t="s">
        <v>361</v>
      </c>
      <c r="E10" s="4" t="s">
        <v>387</v>
      </c>
      <c r="F10" s="4" t="s">
        <v>375</v>
      </c>
      <c r="G10" s="4" t="s">
        <v>376</v>
      </c>
    </row>
    <row r="11" customFormat="false" ht="15" hidden="false" customHeight="false" outlineLevel="0" collapsed="false">
      <c r="A11" s="5" t="s">
        <v>388</v>
      </c>
      <c r="B11" s="5" t="s">
        <v>389</v>
      </c>
      <c r="C11" s="5" t="s">
        <v>373</v>
      </c>
      <c r="D11" s="5" t="s">
        <v>367</v>
      </c>
      <c r="E11" s="5" t="s">
        <v>390</v>
      </c>
      <c r="F11" s="5" t="s">
        <v>375</v>
      </c>
      <c r="G11" s="5" t="s">
        <v>376</v>
      </c>
    </row>
    <row r="12" customFormat="false" ht="15" hidden="false" customHeight="false" outlineLevel="0" collapsed="false">
      <c r="A12" s="4" t="s">
        <v>391</v>
      </c>
      <c r="B12" s="4" t="s">
        <v>392</v>
      </c>
      <c r="C12" s="4" t="s">
        <v>373</v>
      </c>
      <c r="D12" s="4" t="s">
        <v>361</v>
      </c>
      <c r="E12" s="4" t="s">
        <v>374</v>
      </c>
      <c r="F12" s="4" t="s">
        <v>375</v>
      </c>
      <c r="G12" s="4" t="s">
        <v>376</v>
      </c>
    </row>
    <row r="13" customFormat="false" ht="15" hidden="false" customHeight="false" outlineLevel="0" collapsed="false">
      <c r="A13" s="5" t="s">
        <v>393</v>
      </c>
      <c r="B13" s="5" t="s">
        <v>394</v>
      </c>
      <c r="C13" s="5" t="s">
        <v>373</v>
      </c>
      <c r="D13" s="5" t="s">
        <v>361</v>
      </c>
      <c r="E13" s="5" t="s">
        <v>384</v>
      </c>
      <c r="F13" s="5" t="s">
        <v>375</v>
      </c>
      <c r="G13" s="5" t="s">
        <v>376</v>
      </c>
    </row>
    <row r="14" customFormat="false" ht="15" hidden="false" customHeight="false" outlineLevel="0" collapsed="false">
      <c r="A14" s="4" t="s">
        <v>395</v>
      </c>
      <c r="B14" s="4" t="s">
        <v>396</v>
      </c>
      <c r="C14" s="4" t="s">
        <v>373</v>
      </c>
      <c r="D14" s="4" t="s">
        <v>361</v>
      </c>
      <c r="E14" s="4" t="s">
        <v>397</v>
      </c>
      <c r="F14" s="4" t="s">
        <v>375</v>
      </c>
      <c r="G14" s="4" t="s">
        <v>376</v>
      </c>
    </row>
    <row r="15" customFormat="false" ht="15" hidden="false" customHeight="false" outlineLevel="0" collapsed="false">
      <c r="A15" s="5" t="s">
        <v>398</v>
      </c>
      <c r="B15" s="5" t="s">
        <v>399</v>
      </c>
      <c r="C15" s="5" t="s">
        <v>373</v>
      </c>
      <c r="D15" s="5" t="s">
        <v>361</v>
      </c>
      <c r="E15" s="5" t="s">
        <v>384</v>
      </c>
      <c r="F15" s="5" t="s">
        <v>375</v>
      </c>
      <c r="G15" s="5" t="s">
        <v>376</v>
      </c>
    </row>
    <row r="16" customFormat="false" ht="15" hidden="false" customHeight="false" outlineLevel="0" collapsed="false">
      <c r="A16" s="4" t="s">
        <v>400</v>
      </c>
      <c r="B16" s="4" t="s">
        <v>401</v>
      </c>
      <c r="C16" s="4" t="s">
        <v>373</v>
      </c>
      <c r="D16" s="4" t="s">
        <v>367</v>
      </c>
      <c r="E16" s="4" t="s">
        <v>402</v>
      </c>
      <c r="F16" s="4" t="s">
        <v>375</v>
      </c>
      <c r="G16" s="4" t="s">
        <v>376</v>
      </c>
    </row>
    <row r="17" customFormat="false" ht="15" hidden="false" customHeight="false" outlineLevel="0" collapsed="false">
      <c r="A17" s="5" t="s">
        <v>403</v>
      </c>
      <c r="B17" s="5" t="s">
        <v>404</v>
      </c>
      <c r="C17" s="5" t="s">
        <v>373</v>
      </c>
      <c r="D17" s="5" t="s">
        <v>361</v>
      </c>
      <c r="E17" s="5" t="s">
        <v>405</v>
      </c>
      <c r="F17" s="5" t="s">
        <v>375</v>
      </c>
      <c r="G17" s="5" t="s">
        <v>376</v>
      </c>
    </row>
    <row r="18" customFormat="false" ht="15" hidden="false" customHeight="false" outlineLevel="0" collapsed="false">
      <c r="A18" s="4" t="s">
        <v>406</v>
      </c>
      <c r="B18" s="4" t="s">
        <v>407</v>
      </c>
      <c r="C18" s="4" t="s">
        <v>373</v>
      </c>
      <c r="D18" s="4" t="s">
        <v>361</v>
      </c>
      <c r="E18" s="4" t="s">
        <v>374</v>
      </c>
      <c r="F18" s="4" t="s">
        <v>375</v>
      </c>
      <c r="G18" s="4" t="s">
        <v>376</v>
      </c>
    </row>
    <row r="19" customFormat="false" ht="15" hidden="false" customHeight="false" outlineLevel="0" collapsed="false">
      <c r="A19" s="5" t="s">
        <v>408</v>
      </c>
      <c r="B19" s="5" t="s">
        <v>409</v>
      </c>
      <c r="C19" s="5" t="s">
        <v>373</v>
      </c>
      <c r="D19" s="5" t="s">
        <v>361</v>
      </c>
      <c r="E19" s="5" t="s">
        <v>384</v>
      </c>
      <c r="F19" s="5" t="s">
        <v>375</v>
      </c>
      <c r="G19" s="5" t="s">
        <v>376</v>
      </c>
    </row>
    <row r="20" customFormat="false" ht="15" hidden="false" customHeight="false" outlineLevel="0" collapsed="false">
      <c r="A20" s="4" t="s">
        <v>410</v>
      </c>
      <c r="B20" s="4" t="s">
        <v>411</v>
      </c>
      <c r="C20" s="4" t="s">
        <v>373</v>
      </c>
      <c r="D20" s="4" t="s">
        <v>361</v>
      </c>
      <c r="E20" s="4" t="s">
        <v>374</v>
      </c>
      <c r="F20" s="4" t="s">
        <v>375</v>
      </c>
      <c r="G20" s="4" t="s">
        <v>376</v>
      </c>
    </row>
    <row r="21" customFormat="false" ht="23.85" hidden="false" customHeight="false" outlineLevel="0" collapsed="false">
      <c r="A21" s="5" t="s">
        <v>412</v>
      </c>
      <c r="B21" s="5" t="s">
        <v>413</v>
      </c>
      <c r="C21" s="5" t="s">
        <v>373</v>
      </c>
      <c r="D21" s="5" t="s">
        <v>367</v>
      </c>
      <c r="E21" s="5" t="s">
        <v>414</v>
      </c>
      <c r="F21" s="5" t="s">
        <v>375</v>
      </c>
      <c r="G21" s="5" t="s">
        <v>376</v>
      </c>
    </row>
    <row r="22" customFormat="false" ht="15" hidden="false" customHeight="false" outlineLevel="0" collapsed="false">
      <c r="A22" s="4" t="s">
        <v>415</v>
      </c>
      <c r="B22" s="4" t="s">
        <v>416</v>
      </c>
      <c r="C22" s="4" t="s">
        <v>373</v>
      </c>
      <c r="D22" s="4" t="s">
        <v>361</v>
      </c>
      <c r="E22" s="4" t="s">
        <v>417</v>
      </c>
      <c r="F22" s="4" t="s">
        <v>375</v>
      </c>
      <c r="G22" s="4" t="s">
        <v>376</v>
      </c>
    </row>
    <row r="23" customFormat="false" ht="15" hidden="false" customHeight="false" outlineLevel="0" collapsed="false">
      <c r="A23" s="5" t="s">
        <v>418</v>
      </c>
      <c r="B23" s="5" t="s">
        <v>419</v>
      </c>
      <c r="C23" s="5" t="s">
        <v>373</v>
      </c>
      <c r="D23" s="5" t="s">
        <v>361</v>
      </c>
      <c r="E23" s="5" t="s">
        <v>381</v>
      </c>
      <c r="F23" s="5" t="s">
        <v>375</v>
      </c>
      <c r="G23" s="5" t="s">
        <v>376</v>
      </c>
    </row>
    <row r="24" customFormat="false" ht="15" hidden="false" customHeight="false" outlineLevel="0" collapsed="false">
      <c r="A24" s="4" t="s">
        <v>420</v>
      </c>
      <c r="B24" s="4" t="s">
        <v>421</v>
      </c>
      <c r="C24" s="4" t="s">
        <v>373</v>
      </c>
      <c r="D24" s="4" t="s">
        <v>367</v>
      </c>
      <c r="E24" s="4" t="s">
        <v>422</v>
      </c>
      <c r="F24" s="4" t="s">
        <v>375</v>
      </c>
      <c r="G24" s="4" t="s">
        <v>376</v>
      </c>
    </row>
    <row r="25" customFormat="false" ht="23.85" hidden="false" customHeight="false" outlineLevel="0" collapsed="false">
      <c r="A25" s="5" t="s">
        <v>423</v>
      </c>
      <c r="B25" s="5" t="s">
        <v>424</v>
      </c>
      <c r="C25" s="5" t="s">
        <v>373</v>
      </c>
      <c r="D25" s="5" t="s">
        <v>361</v>
      </c>
      <c r="E25" s="5" t="s">
        <v>384</v>
      </c>
      <c r="F25" s="5" t="s">
        <v>375</v>
      </c>
      <c r="G25" s="5" t="s">
        <v>376</v>
      </c>
    </row>
    <row r="26" customFormat="false" ht="15" hidden="false" customHeight="false" outlineLevel="0" collapsed="false">
      <c r="A26" s="4" t="s">
        <v>425</v>
      </c>
      <c r="B26" s="4" t="s">
        <v>426</v>
      </c>
      <c r="C26" s="4" t="s">
        <v>373</v>
      </c>
      <c r="D26" s="4" t="s">
        <v>361</v>
      </c>
      <c r="E26" s="4" t="s">
        <v>397</v>
      </c>
      <c r="F26" s="4" t="s">
        <v>375</v>
      </c>
      <c r="G26" s="4" t="s">
        <v>376</v>
      </c>
    </row>
    <row r="27" customFormat="false" ht="15" hidden="false" customHeight="false" outlineLevel="0" collapsed="false">
      <c r="A27" s="5" t="s">
        <v>427</v>
      </c>
      <c r="B27" s="5" t="s">
        <v>428</v>
      </c>
      <c r="C27" s="5" t="s">
        <v>373</v>
      </c>
      <c r="D27" s="5" t="s">
        <v>367</v>
      </c>
      <c r="E27" s="5" t="s">
        <v>429</v>
      </c>
      <c r="F27" s="5" t="s">
        <v>375</v>
      </c>
      <c r="G27" s="5" t="s">
        <v>376</v>
      </c>
    </row>
    <row r="28" customFormat="false" ht="15" hidden="false" customHeight="false" outlineLevel="0" collapsed="false">
      <c r="A28" s="4" t="s">
        <v>430</v>
      </c>
      <c r="B28" s="4" t="s">
        <v>431</v>
      </c>
      <c r="C28" s="4" t="s">
        <v>373</v>
      </c>
      <c r="D28" s="4" t="s">
        <v>361</v>
      </c>
      <c r="E28" s="4" t="s">
        <v>384</v>
      </c>
      <c r="F28" s="4" t="s">
        <v>375</v>
      </c>
      <c r="G28" s="4" t="s">
        <v>376</v>
      </c>
    </row>
    <row r="29" customFormat="false" ht="15" hidden="false" customHeight="false" outlineLevel="0" collapsed="false">
      <c r="A29" s="5" t="s">
        <v>432</v>
      </c>
      <c r="B29" s="5" t="s">
        <v>433</v>
      </c>
      <c r="C29" s="5" t="s">
        <v>373</v>
      </c>
      <c r="D29" s="5" t="s">
        <v>361</v>
      </c>
      <c r="E29" s="5" t="s">
        <v>405</v>
      </c>
      <c r="F29" s="5" t="s">
        <v>375</v>
      </c>
      <c r="G29" s="5" t="s">
        <v>376</v>
      </c>
    </row>
    <row r="30" customFormat="false" ht="15" hidden="false" customHeight="false" outlineLevel="0" collapsed="false">
      <c r="A30" s="4" t="s">
        <v>434</v>
      </c>
      <c r="B30" s="4" t="s">
        <v>435</v>
      </c>
      <c r="C30" s="4" t="s">
        <v>373</v>
      </c>
      <c r="D30" s="4" t="s">
        <v>361</v>
      </c>
      <c r="E30" s="4" t="s">
        <v>405</v>
      </c>
      <c r="F30" s="4" t="s">
        <v>375</v>
      </c>
      <c r="G30" s="4" t="s">
        <v>376</v>
      </c>
    </row>
    <row r="31" customFormat="false" ht="15" hidden="false" customHeight="false" outlineLevel="0" collapsed="false">
      <c r="A31" s="5" t="s">
        <v>436</v>
      </c>
      <c r="B31" s="5" t="s">
        <v>437</v>
      </c>
      <c r="C31" s="5" t="s">
        <v>373</v>
      </c>
      <c r="D31" s="5" t="s">
        <v>367</v>
      </c>
      <c r="E31" s="5" t="s">
        <v>402</v>
      </c>
      <c r="F31" s="5" t="s">
        <v>375</v>
      </c>
      <c r="G31" s="5" t="s">
        <v>376</v>
      </c>
    </row>
    <row r="32" customFormat="false" ht="15" hidden="false" customHeight="false" outlineLevel="0" collapsed="false">
      <c r="A32" s="4" t="s">
        <v>438</v>
      </c>
      <c r="B32" s="4" t="s">
        <v>439</v>
      </c>
      <c r="C32" s="4" t="s">
        <v>373</v>
      </c>
      <c r="D32" s="4" t="s">
        <v>361</v>
      </c>
      <c r="E32" s="4" t="s">
        <v>417</v>
      </c>
      <c r="F32" s="4" t="s">
        <v>375</v>
      </c>
      <c r="G32" s="4" t="s">
        <v>376</v>
      </c>
    </row>
    <row r="33" customFormat="false" ht="15" hidden="false" customHeight="false" outlineLevel="0" collapsed="false">
      <c r="A33" s="5" t="s">
        <v>440</v>
      </c>
      <c r="B33" s="5" t="s">
        <v>441</v>
      </c>
      <c r="C33" s="5" t="s">
        <v>373</v>
      </c>
      <c r="D33" s="5" t="s">
        <v>361</v>
      </c>
      <c r="E33" s="5" t="s">
        <v>397</v>
      </c>
      <c r="F33" s="5" t="s">
        <v>375</v>
      </c>
      <c r="G33" s="5" t="s">
        <v>376</v>
      </c>
    </row>
    <row r="34" customFormat="false" ht="23.85" hidden="false" customHeight="false" outlineLevel="0" collapsed="false">
      <c r="A34" s="4" t="s">
        <v>442</v>
      </c>
      <c r="B34" s="4" t="s">
        <v>443</v>
      </c>
      <c r="C34" s="4" t="s">
        <v>373</v>
      </c>
      <c r="D34" s="4" t="s">
        <v>361</v>
      </c>
      <c r="E34" s="4" t="s">
        <v>374</v>
      </c>
      <c r="F34" s="4" t="s">
        <v>375</v>
      </c>
      <c r="G34" s="4" t="s">
        <v>376</v>
      </c>
    </row>
    <row r="35" customFormat="false" ht="15" hidden="false" customHeight="false" outlineLevel="0" collapsed="false">
      <c r="A35" s="5" t="s">
        <v>444</v>
      </c>
      <c r="B35" s="5" t="s">
        <v>445</v>
      </c>
      <c r="C35" s="5" t="s">
        <v>373</v>
      </c>
      <c r="D35" s="5" t="s">
        <v>361</v>
      </c>
      <c r="E35" s="5" t="s">
        <v>374</v>
      </c>
      <c r="F35" s="5" t="s">
        <v>375</v>
      </c>
      <c r="G35" s="5" t="s">
        <v>376</v>
      </c>
    </row>
    <row r="36" customFormat="false" ht="15" hidden="false" customHeight="false" outlineLevel="0" collapsed="false">
      <c r="A36" s="4" t="s">
        <v>446</v>
      </c>
      <c r="B36" s="4" t="s">
        <v>447</v>
      </c>
      <c r="C36" s="4" t="s">
        <v>373</v>
      </c>
      <c r="D36" s="4" t="s">
        <v>361</v>
      </c>
      <c r="E36" s="4" t="s">
        <v>448</v>
      </c>
      <c r="F36" s="4" t="s">
        <v>375</v>
      </c>
      <c r="G36" s="4" t="s">
        <v>376</v>
      </c>
    </row>
    <row r="37" customFormat="false" ht="15" hidden="false" customHeight="false" outlineLevel="0" collapsed="false">
      <c r="A37" s="5" t="s">
        <v>449</v>
      </c>
      <c r="B37" s="5" t="s">
        <v>450</v>
      </c>
      <c r="C37" s="5" t="s">
        <v>373</v>
      </c>
      <c r="D37" s="5" t="s">
        <v>361</v>
      </c>
      <c r="E37" s="5" t="s">
        <v>384</v>
      </c>
      <c r="F37" s="5" t="s">
        <v>375</v>
      </c>
      <c r="G37" s="5" t="s">
        <v>376</v>
      </c>
    </row>
    <row r="38" customFormat="false" ht="15" hidden="false" customHeight="false" outlineLevel="0" collapsed="false">
      <c r="A38" s="4" t="s">
        <v>451</v>
      </c>
      <c r="B38" s="4" t="s">
        <v>452</v>
      </c>
      <c r="C38" s="4" t="s">
        <v>373</v>
      </c>
      <c r="D38" s="4" t="s">
        <v>367</v>
      </c>
      <c r="E38" s="4" t="s">
        <v>453</v>
      </c>
      <c r="F38" s="4" t="s">
        <v>375</v>
      </c>
      <c r="G38" s="4" t="s">
        <v>376</v>
      </c>
    </row>
    <row r="39" customFormat="false" ht="15" hidden="false" customHeight="false" outlineLevel="0" collapsed="false">
      <c r="A39" s="5" t="s">
        <v>454</v>
      </c>
      <c r="B39" s="5" t="s">
        <v>455</v>
      </c>
      <c r="C39" s="5" t="s">
        <v>373</v>
      </c>
      <c r="D39" s="5" t="s">
        <v>361</v>
      </c>
      <c r="E39" s="5" t="s">
        <v>405</v>
      </c>
      <c r="F39" s="5" t="s">
        <v>375</v>
      </c>
      <c r="G39" s="5" t="s">
        <v>376</v>
      </c>
    </row>
    <row r="40" customFormat="false" ht="15" hidden="false" customHeight="false" outlineLevel="0" collapsed="false">
      <c r="A40" s="4" t="s">
        <v>456</v>
      </c>
      <c r="B40" s="4" t="s">
        <v>457</v>
      </c>
      <c r="C40" s="4" t="s">
        <v>373</v>
      </c>
      <c r="D40" s="4" t="s">
        <v>361</v>
      </c>
      <c r="E40" s="4" t="s">
        <v>384</v>
      </c>
      <c r="F40" s="4" t="s">
        <v>375</v>
      </c>
      <c r="G40" s="4" t="s">
        <v>376</v>
      </c>
    </row>
    <row r="41" customFormat="false" ht="15" hidden="false" customHeight="false" outlineLevel="0" collapsed="false">
      <c r="A41" s="5" t="s">
        <v>458</v>
      </c>
      <c r="B41" s="5" t="s">
        <v>459</v>
      </c>
      <c r="C41" s="5" t="s">
        <v>373</v>
      </c>
      <c r="D41" s="5" t="s">
        <v>361</v>
      </c>
      <c r="E41" s="5" t="s">
        <v>384</v>
      </c>
      <c r="F41" s="5" t="s">
        <v>375</v>
      </c>
      <c r="G41" s="5" t="s">
        <v>376</v>
      </c>
    </row>
    <row r="42" customFormat="false" ht="15" hidden="false" customHeight="false" outlineLevel="0" collapsed="false">
      <c r="A42" s="4" t="s">
        <v>460</v>
      </c>
      <c r="B42" s="4" t="s">
        <v>461</v>
      </c>
      <c r="C42" s="4" t="s">
        <v>373</v>
      </c>
      <c r="D42" s="4" t="s">
        <v>361</v>
      </c>
      <c r="E42" s="4" t="s">
        <v>405</v>
      </c>
      <c r="F42" s="4" t="s">
        <v>375</v>
      </c>
      <c r="G42" s="4" t="s">
        <v>376</v>
      </c>
    </row>
    <row r="43" customFormat="false" ht="15" hidden="false" customHeight="false" outlineLevel="0" collapsed="false">
      <c r="A43" s="5" t="s">
        <v>462</v>
      </c>
      <c r="B43" s="5" t="s">
        <v>463</v>
      </c>
      <c r="C43" s="5" t="s">
        <v>373</v>
      </c>
      <c r="D43" s="5" t="s">
        <v>361</v>
      </c>
      <c r="E43" s="5" t="s">
        <v>384</v>
      </c>
      <c r="F43" s="5" t="s">
        <v>375</v>
      </c>
      <c r="G43" s="5" t="s">
        <v>376</v>
      </c>
    </row>
    <row r="44" customFormat="false" ht="15" hidden="false" customHeight="false" outlineLevel="0" collapsed="false">
      <c r="A44" s="4" t="s">
        <v>464</v>
      </c>
      <c r="B44" s="4" t="s">
        <v>465</v>
      </c>
      <c r="C44" s="4" t="s">
        <v>373</v>
      </c>
      <c r="D44" s="4" t="s">
        <v>361</v>
      </c>
      <c r="E44" s="4" t="s">
        <v>374</v>
      </c>
      <c r="F44" s="4" t="s">
        <v>375</v>
      </c>
      <c r="G44" s="4" t="s">
        <v>376</v>
      </c>
    </row>
    <row r="45" customFormat="false" ht="15" hidden="false" customHeight="false" outlineLevel="0" collapsed="false">
      <c r="A45" s="5" t="s">
        <v>466</v>
      </c>
      <c r="B45" s="5" t="s">
        <v>467</v>
      </c>
      <c r="C45" s="5" t="s">
        <v>373</v>
      </c>
      <c r="D45" s="5" t="s">
        <v>361</v>
      </c>
      <c r="E45" s="5" t="s">
        <v>405</v>
      </c>
      <c r="F45" s="5" t="s">
        <v>375</v>
      </c>
      <c r="G45" s="5" t="s">
        <v>376</v>
      </c>
    </row>
    <row r="46" customFormat="false" ht="23.85" hidden="false" customHeight="false" outlineLevel="0" collapsed="false">
      <c r="A46" s="4" t="s">
        <v>468</v>
      </c>
      <c r="B46" s="4" t="s">
        <v>469</v>
      </c>
      <c r="C46" s="4" t="s">
        <v>373</v>
      </c>
      <c r="D46" s="4" t="s">
        <v>361</v>
      </c>
      <c r="E46" s="4" t="s">
        <v>397</v>
      </c>
      <c r="F46" s="4" t="s">
        <v>375</v>
      </c>
      <c r="G46" s="4" t="s">
        <v>376</v>
      </c>
    </row>
    <row r="47" customFormat="false" ht="15" hidden="false" customHeight="false" outlineLevel="0" collapsed="false">
      <c r="A47" s="5" t="s">
        <v>470</v>
      </c>
      <c r="B47" s="5" t="s">
        <v>471</v>
      </c>
      <c r="C47" s="5" t="s">
        <v>373</v>
      </c>
      <c r="D47" s="5" t="s">
        <v>367</v>
      </c>
      <c r="E47" s="5" t="s">
        <v>402</v>
      </c>
      <c r="F47" s="5" t="s">
        <v>375</v>
      </c>
      <c r="G47" s="5" t="s">
        <v>376</v>
      </c>
    </row>
    <row r="48" customFormat="false" ht="15" hidden="false" customHeight="false" outlineLevel="0" collapsed="false">
      <c r="A48" s="4" t="s">
        <v>472</v>
      </c>
      <c r="B48" s="4" t="s">
        <v>473</v>
      </c>
      <c r="C48" s="4" t="s">
        <v>373</v>
      </c>
      <c r="D48" s="4" t="s">
        <v>361</v>
      </c>
      <c r="E48" s="4" t="s">
        <v>405</v>
      </c>
      <c r="F48" s="4" t="s">
        <v>375</v>
      </c>
      <c r="G48" s="4" t="s">
        <v>376</v>
      </c>
    </row>
    <row r="49" customFormat="false" ht="15" hidden="false" customHeight="false" outlineLevel="0" collapsed="false">
      <c r="A49" s="5" t="s">
        <v>474</v>
      </c>
      <c r="B49" s="5" t="s">
        <v>475</v>
      </c>
      <c r="C49" s="5" t="s">
        <v>373</v>
      </c>
      <c r="D49" s="5" t="s">
        <v>361</v>
      </c>
      <c r="E49" s="5" t="s">
        <v>374</v>
      </c>
      <c r="F49" s="5" t="s">
        <v>375</v>
      </c>
      <c r="G49" s="5" t="s">
        <v>376</v>
      </c>
    </row>
    <row r="50" customFormat="false" ht="15" hidden="false" customHeight="false" outlineLevel="0" collapsed="false">
      <c r="A50" s="4" t="s">
        <v>476</v>
      </c>
      <c r="B50" s="4" t="s">
        <v>477</v>
      </c>
      <c r="C50" s="4" t="s">
        <v>373</v>
      </c>
      <c r="D50" s="4" t="s">
        <v>361</v>
      </c>
      <c r="E50" s="4" t="s">
        <v>374</v>
      </c>
      <c r="F50" s="4" t="s">
        <v>375</v>
      </c>
      <c r="G50" s="4" t="s">
        <v>376</v>
      </c>
    </row>
    <row r="51" customFormat="false" ht="15" hidden="false" customHeight="false" outlineLevel="0" collapsed="false">
      <c r="A51" s="5" t="s">
        <v>478</v>
      </c>
      <c r="B51" s="5" t="s">
        <v>479</v>
      </c>
      <c r="C51" s="5" t="s">
        <v>373</v>
      </c>
      <c r="D51" s="5" t="s">
        <v>361</v>
      </c>
      <c r="E51" s="5" t="s">
        <v>384</v>
      </c>
      <c r="F51" s="5" t="s">
        <v>375</v>
      </c>
      <c r="G51" s="5" t="s">
        <v>376</v>
      </c>
    </row>
    <row r="52" customFormat="false" ht="15" hidden="false" customHeight="false" outlineLevel="0" collapsed="false">
      <c r="A52" s="4" t="s">
        <v>480</v>
      </c>
      <c r="B52" s="4" t="s">
        <v>481</v>
      </c>
      <c r="C52" s="4" t="s">
        <v>373</v>
      </c>
      <c r="D52" s="4" t="s">
        <v>361</v>
      </c>
      <c r="E52" s="4" t="s">
        <v>448</v>
      </c>
      <c r="F52" s="4" t="s">
        <v>375</v>
      </c>
      <c r="G52" s="4" t="s">
        <v>376</v>
      </c>
    </row>
    <row r="53" customFormat="false" ht="15" hidden="false" customHeight="false" outlineLevel="0" collapsed="false">
      <c r="A53" s="5" t="s">
        <v>482</v>
      </c>
      <c r="B53" s="5" t="s">
        <v>483</v>
      </c>
      <c r="C53" s="5" t="s">
        <v>373</v>
      </c>
      <c r="D53" s="5" t="s">
        <v>361</v>
      </c>
      <c r="E53" s="5" t="s">
        <v>397</v>
      </c>
      <c r="F53" s="5" t="s">
        <v>375</v>
      </c>
      <c r="G53" s="5" t="s">
        <v>376</v>
      </c>
    </row>
    <row r="54" customFormat="false" ht="15" hidden="false" customHeight="false" outlineLevel="0" collapsed="false">
      <c r="A54" s="4" t="s">
        <v>484</v>
      </c>
      <c r="B54" s="4" t="s">
        <v>485</v>
      </c>
      <c r="C54" s="4" t="s">
        <v>373</v>
      </c>
      <c r="D54" s="4" t="s">
        <v>361</v>
      </c>
      <c r="E54" s="4" t="s">
        <v>486</v>
      </c>
      <c r="F54" s="4" t="s">
        <v>375</v>
      </c>
      <c r="G54" s="4" t="s">
        <v>376</v>
      </c>
    </row>
    <row r="55" customFormat="false" ht="23.85" hidden="false" customHeight="false" outlineLevel="0" collapsed="false">
      <c r="A55" s="5" t="s">
        <v>487</v>
      </c>
      <c r="B55" s="5" t="s">
        <v>488</v>
      </c>
      <c r="C55" s="5" t="s">
        <v>489</v>
      </c>
      <c r="D55" s="5" t="s">
        <v>361</v>
      </c>
      <c r="E55" s="5" t="s">
        <v>490</v>
      </c>
      <c r="F55" s="5" t="s">
        <v>491</v>
      </c>
      <c r="G55" s="5" t="s">
        <v>492</v>
      </c>
    </row>
    <row r="56" customFormat="false" ht="23.85" hidden="false" customHeight="false" outlineLevel="0" collapsed="false">
      <c r="A56" s="4" t="s">
        <v>493</v>
      </c>
      <c r="B56" s="4" t="s">
        <v>494</v>
      </c>
      <c r="C56" s="4" t="s">
        <v>489</v>
      </c>
      <c r="D56" s="4" t="s">
        <v>361</v>
      </c>
      <c r="E56" s="4" t="s">
        <v>495</v>
      </c>
      <c r="F56" s="4" t="s">
        <v>491</v>
      </c>
      <c r="G56" s="4" t="s">
        <v>492</v>
      </c>
    </row>
    <row r="57" customFormat="false" ht="23.85" hidden="false" customHeight="false" outlineLevel="0" collapsed="false">
      <c r="A57" s="5" t="s">
        <v>496</v>
      </c>
      <c r="B57" s="5" t="s">
        <v>497</v>
      </c>
      <c r="C57" s="5" t="s">
        <v>489</v>
      </c>
      <c r="D57" s="5" t="s">
        <v>498</v>
      </c>
      <c r="E57" s="5" t="s">
        <v>499</v>
      </c>
      <c r="F57" s="5" t="s">
        <v>491</v>
      </c>
      <c r="G57" s="5" t="s">
        <v>492</v>
      </c>
    </row>
    <row r="58" customFormat="false" ht="23.85" hidden="false" customHeight="false" outlineLevel="0" collapsed="false">
      <c r="A58" s="4" t="s">
        <v>500</v>
      </c>
      <c r="B58" s="4" t="s">
        <v>501</v>
      </c>
      <c r="C58" s="4" t="s">
        <v>489</v>
      </c>
      <c r="D58" s="4" t="s">
        <v>367</v>
      </c>
      <c r="E58" s="4" t="s">
        <v>502</v>
      </c>
      <c r="F58" s="4" t="s">
        <v>491</v>
      </c>
      <c r="G58" s="4" t="s">
        <v>492</v>
      </c>
    </row>
    <row r="59" customFormat="false" ht="23.85" hidden="false" customHeight="false" outlineLevel="0" collapsed="false">
      <c r="A59" s="5" t="s">
        <v>503</v>
      </c>
      <c r="B59" s="5" t="s">
        <v>504</v>
      </c>
      <c r="C59" s="5" t="s">
        <v>489</v>
      </c>
      <c r="D59" s="5" t="s">
        <v>505</v>
      </c>
      <c r="E59" s="5" t="s">
        <v>506</v>
      </c>
      <c r="F59" s="5" t="s">
        <v>491</v>
      </c>
      <c r="G59" s="5" t="s">
        <v>492</v>
      </c>
    </row>
    <row r="60" customFormat="false" ht="23.85" hidden="false" customHeight="false" outlineLevel="0" collapsed="false">
      <c r="A60" s="4" t="s">
        <v>507</v>
      </c>
      <c r="B60" s="4" t="s">
        <v>508</v>
      </c>
      <c r="C60" s="4" t="s">
        <v>489</v>
      </c>
      <c r="D60" s="4" t="s">
        <v>367</v>
      </c>
      <c r="E60" s="4" t="s">
        <v>509</v>
      </c>
      <c r="F60" s="4" t="s">
        <v>491</v>
      </c>
      <c r="G60" s="4" t="s">
        <v>492</v>
      </c>
    </row>
    <row r="61" customFormat="false" ht="23.85" hidden="false" customHeight="false" outlineLevel="0" collapsed="false">
      <c r="A61" s="5" t="s">
        <v>510</v>
      </c>
      <c r="B61" s="5" t="s">
        <v>511</v>
      </c>
      <c r="C61" s="5" t="s">
        <v>489</v>
      </c>
      <c r="D61" s="5" t="s">
        <v>367</v>
      </c>
      <c r="E61" s="5" t="s">
        <v>512</v>
      </c>
      <c r="F61" s="5" t="s">
        <v>491</v>
      </c>
      <c r="G61" s="5" t="s">
        <v>492</v>
      </c>
    </row>
    <row r="62" customFormat="false" ht="23.85" hidden="false" customHeight="false" outlineLevel="0" collapsed="false">
      <c r="A62" s="4" t="s">
        <v>513</v>
      </c>
      <c r="B62" s="4" t="s">
        <v>514</v>
      </c>
      <c r="C62" s="4" t="s">
        <v>489</v>
      </c>
      <c r="D62" s="4" t="s">
        <v>367</v>
      </c>
      <c r="E62" s="4" t="s">
        <v>509</v>
      </c>
      <c r="F62" s="4" t="s">
        <v>491</v>
      </c>
      <c r="G62" s="4" t="s">
        <v>492</v>
      </c>
    </row>
    <row r="63" customFormat="false" ht="23.85" hidden="false" customHeight="false" outlineLevel="0" collapsed="false">
      <c r="A63" s="5" t="s">
        <v>515</v>
      </c>
      <c r="B63" s="5" t="s">
        <v>516</v>
      </c>
      <c r="C63" s="5" t="s">
        <v>489</v>
      </c>
      <c r="D63" s="5" t="s">
        <v>367</v>
      </c>
      <c r="E63" s="5" t="s">
        <v>509</v>
      </c>
      <c r="F63" s="5" t="s">
        <v>491</v>
      </c>
      <c r="G63" s="5" t="s">
        <v>492</v>
      </c>
    </row>
    <row r="64" customFormat="false" ht="23.85" hidden="false" customHeight="false" outlineLevel="0" collapsed="false">
      <c r="A64" s="4" t="s">
        <v>517</v>
      </c>
      <c r="B64" s="4" t="s">
        <v>518</v>
      </c>
      <c r="C64" s="4" t="s">
        <v>489</v>
      </c>
      <c r="D64" s="4" t="s">
        <v>361</v>
      </c>
      <c r="E64" s="4" t="s">
        <v>519</v>
      </c>
      <c r="F64" s="4" t="s">
        <v>491</v>
      </c>
      <c r="G64" s="4" t="s">
        <v>492</v>
      </c>
    </row>
    <row r="65" customFormat="false" ht="23.85" hidden="false" customHeight="false" outlineLevel="0" collapsed="false">
      <c r="A65" s="5" t="s">
        <v>520</v>
      </c>
      <c r="B65" s="5" t="s">
        <v>521</v>
      </c>
      <c r="C65" s="5" t="s">
        <v>489</v>
      </c>
      <c r="D65" s="5" t="s">
        <v>361</v>
      </c>
      <c r="E65" s="5" t="s">
        <v>519</v>
      </c>
      <c r="F65" s="5" t="s">
        <v>491</v>
      </c>
      <c r="G65" s="5" t="s">
        <v>492</v>
      </c>
    </row>
    <row r="66" customFormat="false" ht="23.85" hidden="false" customHeight="false" outlineLevel="0" collapsed="false">
      <c r="A66" s="4" t="s">
        <v>522</v>
      </c>
      <c r="B66" s="4" t="s">
        <v>523</v>
      </c>
      <c r="C66" s="4" t="s">
        <v>489</v>
      </c>
      <c r="D66" s="4" t="s">
        <v>367</v>
      </c>
      <c r="E66" s="4" t="s">
        <v>509</v>
      </c>
      <c r="F66" s="4" t="s">
        <v>491</v>
      </c>
      <c r="G66" s="4" t="s">
        <v>492</v>
      </c>
    </row>
    <row r="67" customFormat="false" ht="23.85" hidden="false" customHeight="false" outlineLevel="0" collapsed="false">
      <c r="A67" s="5" t="s">
        <v>524</v>
      </c>
      <c r="B67" s="5" t="s">
        <v>525</v>
      </c>
      <c r="C67" s="5" t="s">
        <v>489</v>
      </c>
      <c r="D67" s="5" t="s">
        <v>361</v>
      </c>
      <c r="E67" s="5" t="s">
        <v>519</v>
      </c>
      <c r="F67" s="5" t="s">
        <v>491</v>
      </c>
      <c r="G67" s="5" t="s">
        <v>492</v>
      </c>
    </row>
    <row r="68" customFormat="false" ht="23.85" hidden="false" customHeight="false" outlineLevel="0" collapsed="false">
      <c r="A68" s="4" t="s">
        <v>526</v>
      </c>
      <c r="B68" s="4" t="s">
        <v>527</v>
      </c>
      <c r="C68" s="4" t="s">
        <v>489</v>
      </c>
      <c r="D68" s="4" t="s">
        <v>367</v>
      </c>
      <c r="E68" s="4" t="s">
        <v>502</v>
      </c>
      <c r="F68" s="4" t="s">
        <v>491</v>
      </c>
      <c r="G68" s="4" t="s">
        <v>492</v>
      </c>
    </row>
    <row r="69" customFormat="false" ht="23.85" hidden="false" customHeight="false" outlineLevel="0" collapsed="false">
      <c r="A69" s="5" t="s">
        <v>528</v>
      </c>
      <c r="B69" s="5" t="s">
        <v>529</v>
      </c>
      <c r="C69" s="5" t="s">
        <v>489</v>
      </c>
      <c r="D69" s="5" t="s">
        <v>498</v>
      </c>
      <c r="E69" s="5" t="s">
        <v>397</v>
      </c>
      <c r="F69" s="5" t="s">
        <v>491</v>
      </c>
      <c r="G69" s="5" t="s">
        <v>492</v>
      </c>
    </row>
    <row r="70" customFormat="false" ht="23.85" hidden="false" customHeight="false" outlineLevel="0" collapsed="false">
      <c r="A70" s="4" t="s">
        <v>530</v>
      </c>
      <c r="B70" s="4" t="s">
        <v>531</v>
      </c>
      <c r="C70" s="4" t="s">
        <v>489</v>
      </c>
      <c r="D70" s="4" t="s">
        <v>367</v>
      </c>
      <c r="E70" s="4" t="s">
        <v>532</v>
      </c>
      <c r="F70" s="4" t="s">
        <v>491</v>
      </c>
      <c r="G70" s="4" t="s">
        <v>492</v>
      </c>
    </row>
    <row r="71" customFormat="false" ht="23.85" hidden="false" customHeight="false" outlineLevel="0" collapsed="false">
      <c r="A71" s="5" t="s">
        <v>533</v>
      </c>
      <c r="B71" s="5" t="s">
        <v>534</v>
      </c>
      <c r="C71" s="5" t="s">
        <v>489</v>
      </c>
      <c r="D71" s="5" t="s">
        <v>361</v>
      </c>
      <c r="E71" s="5" t="s">
        <v>495</v>
      </c>
      <c r="F71" s="5" t="s">
        <v>491</v>
      </c>
      <c r="G71" s="5" t="s">
        <v>492</v>
      </c>
    </row>
    <row r="72" customFormat="false" ht="23.85" hidden="false" customHeight="false" outlineLevel="0" collapsed="false">
      <c r="A72" s="4" t="s">
        <v>535</v>
      </c>
      <c r="B72" s="4" t="s">
        <v>536</v>
      </c>
      <c r="C72" s="4" t="s">
        <v>489</v>
      </c>
      <c r="D72" s="4" t="s">
        <v>367</v>
      </c>
      <c r="E72" s="4" t="s">
        <v>537</v>
      </c>
      <c r="F72" s="4" t="s">
        <v>491</v>
      </c>
      <c r="G72" s="4" t="s">
        <v>492</v>
      </c>
    </row>
    <row r="73" customFormat="false" ht="23.85" hidden="false" customHeight="false" outlineLevel="0" collapsed="false">
      <c r="A73" s="5" t="s">
        <v>538</v>
      </c>
      <c r="B73" s="5" t="s">
        <v>539</v>
      </c>
      <c r="C73" s="5" t="s">
        <v>489</v>
      </c>
      <c r="D73" s="5" t="s">
        <v>367</v>
      </c>
      <c r="E73" s="5" t="s">
        <v>537</v>
      </c>
      <c r="F73" s="5" t="s">
        <v>491</v>
      </c>
      <c r="G73" s="5" t="s">
        <v>492</v>
      </c>
    </row>
    <row r="74" customFormat="false" ht="23.85" hidden="false" customHeight="false" outlineLevel="0" collapsed="false">
      <c r="A74" s="4" t="s">
        <v>540</v>
      </c>
      <c r="B74" s="4" t="s">
        <v>541</v>
      </c>
      <c r="C74" s="4" t="s">
        <v>489</v>
      </c>
      <c r="D74" s="4" t="s">
        <v>505</v>
      </c>
      <c r="E74" s="4" t="s">
        <v>506</v>
      </c>
      <c r="F74" s="4" t="s">
        <v>491</v>
      </c>
      <c r="G74" s="4" t="s">
        <v>492</v>
      </c>
    </row>
    <row r="75" customFormat="false" ht="15" hidden="false" customHeight="false" outlineLevel="0" collapsed="false">
      <c r="A75" s="5" t="s">
        <v>542</v>
      </c>
      <c r="B75" s="5" t="s">
        <v>543</v>
      </c>
      <c r="C75" s="5" t="s">
        <v>489</v>
      </c>
      <c r="D75" s="5" t="s">
        <v>367</v>
      </c>
      <c r="E75" s="5" t="s">
        <v>544</v>
      </c>
      <c r="F75" s="5" t="s">
        <v>491</v>
      </c>
      <c r="G75" s="5" t="s">
        <v>492</v>
      </c>
    </row>
    <row r="76" customFormat="false" ht="23.85" hidden="false" customHeight="false" outlineLevel="0" collapsed="false">
      <c r="A76" s="4" t="s">
        <v>545</v>
      </c>
      <c r="B76" s="4" t="s">
        <v>546</v>
      </c>
      <c r="C76" s="4" t="s">
        <v>489</v>
      </c>
      <c r="D76" s="4" t="s">
        <v>367</v>
      </c>
      <c r="E76" s="4" t="s">
        <v>509</v>
      </c>
      <c r="F76" s="4" t="s">
        <v>491</v>
      </c>
      <c r="G76" s="4" t="s">
        <v>492</v>
      </c>
    </row>
    <row r="77" customFormat="false" ht="23.85" hidden="false" customHeight="false" outlineLevel="0" collapsed="false">
      <c r="A77" s="5" t="s">
        <v>547</v>
      </c>
      <c r="B77" s="5" t="s">
        <v>548</v>
      </c>
      <c r="C77" s="5" t="s">
        <v>489</v>
      </c>
      <c r="D77" s="5" t="s">
        <v>361</v>
      </c>
      <c r="E77" s="5" t="s">
        <v>495</v>
      </c>
      <c r="F77" s="5" t="s">
        <v>491</v>
      </c>
      <c r="G77" s="5" t="s">
        <v>492</v>
      </c>
    </row>
    <row r="78" customFormat="false" ht="23.85" hidden="false" customHeight="false" outlineLevel="0" collapsed="false">
      <c r="A78" s="4" t="s">
        <v>549</v>
      </c>
      <c r="B78" s="4" t="s">
        <v>550</v>
      </c>
      <c r="C78" s="4" t="s">
        <v>489</v>
      </c>
      <c r="D78" s="4" t="s">
        <v>361</v>
      </c>
      <c r="E78" s="4" t="s">
        <v>519</v>
      </c>
      <c r="F78" s="4" t="s">
        <v>491</v>
      </c>
      <c r="G78" s="4" t="s">
        <v>492</v>
      </c>
    </row>
    <row r="79" customFormat="false" ht="23.85" hidden="false" customHeight="false" outlineLevel="0" collapsed="false">
      <c r="A79" s="5" t="s">
        <v>551</v>
      </c>
      <c r="B79" s="5" t="s">
        <v>552</v>
      </c>
      <c r="C79" s="5" t="s">
        <v>489</v>
      </c>
      <c r="D79" s="5" t="s">
        <v>505</v>
      </c>
      <c r="E79" s="5" t="s">
        <v>506</v>
      </c>
      <c r="F79" s="5" t="s">
        <v>491</v>
      </c>
      <c r="G79" s="5" t="s">
        <v>492</v>
      </c>
    </row>
    <row r="80" customFormat="false" ht="23.85" hidden="false" customHeight="false" outlineLevel="0" collapsed="false">
      <c r="A80" s="4" t="s">
        <v>553</v>
      </c>
      <c r="B80" s="4" t="s">
        <v>554</v>
      </c>
      <c r="C80" s="4" t="s">
        <v>489</v>
      </c>
      <c r="D80" s="4" t="s">
        <v>498</v>
      </c>
      <c r="E80" s="4" t="s">
        <v>499</v>
      </c>
      <c r="F80" s="4" t="s">
        <v>491</v>
      </c>
      <c r="G80" s="4" t="s">
        <v>492</v>
      </c>
    </row>
    <row r="81" customFormat="false" ht="23.85" hidden="false" customHeight="false" outlineLevel="0" collapsed="false">
      <c r="A81" s="5" t="s">
        <v>555</v>
      </c>
      <c r="B81" s="5" t="s">
        <v>556</v>
      </c>
      <c r="C81" s="5" t="s">
        <v>489</v>
      </c>
      <c r="D81" s="5" t="s">
        <v>505</v>
      </c>
      <c r="E81" s="5" t="s">
        <v>557</v>
      </c>
      <c r="F81" s="5" t="s">
        <v>491</v>
      </c>
      <c r="G81" s="5" t="s">
        <v>492</v>
      </c>
    </row>
    <row r="82" customFormat="false" ht="23.85" hidden="false" customHeight="false" outlineLevel="0" collapsed="false">
      <c r="A82" s="4" t="s">
        <v>558</v>
      </c>
      <c r="B82" s="4" t="s">
        <v>559</v>
      </c>
      <c r="C82" s="4" t="s">
        <v>489</v>
      </c>
      <c r="D82" s="4" t="s">
        <v>361</v>
      </c>
      <c r="E82" s="4" t="s">
        <v>560</v>
      </c>
      <c r="F82" s="4" t="s">
        <v>491</v>
      </c>
      <c r="G82" s="4" t="s">
        <v>492</v>
      </c>
    </row>
    <row r="83" customFormat="false" ht="23.85" hidden="false" customHeight="false" outlineLevel="0" collapsed="false">
      <c r="A83" s="5" t="s">
        <v>561</v>
      </c>
      <c r="B83" s="5" t="s">
        <v>562</v>
      </c>
      <c r="C83" s="5" t="s">
        <v>489</v>
      </c>
      <c r="D83" s="5" t="s">
        <v>498</v>
      </c>
      <c r="E83" s="5" t="s">
        <v>405</v>
      </c>
      <c r="F83" s="5" t="s">
        <v>491</v>
      </c>
      <c r="G83" s="5" t="s">
        <v>492</v>
      </c>
    </row>
    <row r="84" customFormat="false" ht="23.85" hidden="false" customHeight="false" outlineLevel="0" collapsed="false">
      <c r="A84" s="4" t="s">
        <v>563</v>
      </c>
      <c r="B84" s="4" t="s">
        <v>564</v>
      </c>
      <c r="C84" s="4" t="s">
        <v>489</v>
      </c>
      <c r="D84" s="4" t="s">
        <v>361</v>
      </c>
      <c r="E84" s="4" t="s">
        <v>495</v>
      </c>
      <c r="F84" s="4" t="s">
        <v>491</v>
      </c>
      <c r="G84" s="4" t="s">
        <v>492</v>
      </c>
    </row>
    <row r="85" customFormat="false" ht="23.85" hidden="false" customHeight="false" outlineLevel="0" collapsed="false">
      <c r="A85" s="5" t="s">
        <v>565</v>
      </c>
      <c r="B85" s="5" t="s">
        <v>566</v>
      </c>
      <c r="C85" s="5" t="s">
        <v>489</v>
      </c>
      <c r="D85" s="5" t="s">
        <v>361</v>
      </c>
      <c r="E85" s="5" t="s">
        <v>519</v>
      </c>
      <c r="F85" s="5" t="s">
        <v>491</v>
      </c>
      <c r="G85" s="5" t="s">
        <v>492</v>
      </c>
    </row>
    <row r="86" customFormat="false" ht="23.85" hidden="false" customHeight="false" outlineLevel="0" collapsed="false">
      <c r="A86" s="4" t="s">
        <v>567</v>
      </c>
      <c r="B86" s="4" t="s">
        <v>568</v>
      </c>
      <c r="C86" s="4" t="s">
        <v>489</v>
      </c>
      <c r="D86" s="4" t="s">
        <v>367</v>
      </c>
      <c r="E86" s="4" t="s">
        <v>569</v>
      </c>
      <c r="F86" s="4" t="s">
        <v>491</v>
      </c>
      <c r="G86" s="4" t="s">
        <v>492</v>
      </c>
    </row>
    <row r="87" customFormat="false" ht="23.85" hidden="false" customHeight="false" outlineLevel="0" collapsed="false">
      <c r="A87" s="5" t="s">
        <v>570</v>
      </c>
      <c r="B87" s="5" t="s">
        <v>571</v>
      </c>
      <c r="C87" s="5" t="s">
        <v>489</v>
      </c>
      <c r="D87" s="5" t="s">
        <v>505</v>
      </c>
      <c r="E87" s="5" t="s">
        <v>506</v>
      </c>
      <c r="F87" s="5" t="s">
        <v>491</v>
      </c>
      <c r="G87" s="5" t="s">
        <v>492</v>
      </c>
    </row>
    <row r="88" customFormat="false" ht="23.85" hidden="false" customHeight="false" outlineLevel="0" collapsed="false">
      <c r="A88" s="4" t="s">
        <v>572</v>
      </c>
      <c r="B88" s="4" t="s">
        <v>573</v>
      </c>
      <c r="C88" s="4" t="s">
        <v>489</v>
      </c>
      <c r="D88" s="4" t="s">
        <v>498</v>
      </c>
      <c r="E88" s="4" t="s">
        <v>405</v>
      </c>
      <c r="F88" s="4" t="s">
        <v>491</v>
      </c>
      <c r="G88" s="4" t="s">
        <v>492</v>
      </c>
    </row>
    <row r="89" customFormat="false" ht="23.85" hidden="false" customHeight="false" outlineLevel="0" collapsed="false">
      <c r="A89" s="5" t="s">
        <v>574</v>
      </c>
      <c r="B89" s="5" t="s">
        <v>575</v>
      </c>
      <c r="C89" s="5" t="s">
        <v>489</v>
      </c>
      <c r="D89" s="5" t="s">
        <v>505</v>
      </c>
      <c r="E89" s="5" t="s">
        <v>557</v>
      </c>
      <c r="F89" s="5" t="s">
        <v>491</v>
      </c>
      <c r="G89" s="5" t="s">
        <v>492</v>
      </c>
    </row>
    <row r="90" customFormat="false" ht="23.85" hidden="false" customHeight="false" outlineLevel="0" collapsed="false">
      <c r="A90" s="4" t="s">
        <v>576</v>
      </c>
      <c r="B90" s="4" t="s">
        <v>577</v>
      </c>
      <c r="C90" s="4" t="s">
        <v>489</v>
      </c>
      <c r="D90" s="4" t="s">
        <v>498</v>
      </c>
      <c r="E90" s="4" t="s">
        <v>499</v>
      </c>
      <c r="F90" s="4" t="s">
        <v>491</v>
      </c>
      <c r="G90" s="4" t="s">
        <v>492</v>
      </c>
    </row>
    <row r="91" customFormat="false" ht="23.85" hidden="false" customHeight="false" outlineLevel="0" collapsed="false">
      <c r="A91" s="5" t="s">
        <v>578</v>
      </c>
      <c r="B91" s="5" t="s">
        <v>579</v>
      </c>
      <c r="C91" s="5" t="s">
        <v>489</v>
      </c>
      <c r="D91" s="5" t="s">
        <v>367</v>
      </c>
      <c r="E91" s="5" t="s">
        <v>580</v>
      </c>
      <c r="F91" s="5" t="s">
        <v>491</v>
      </c>
      <c r="G91" s="5" t="s">
        <v>492</v>
      </c>
    </row>
    <row r="92" customFormat="false" ht="23.85" hidden="false" customHeight="false" outlineLevel="0" collapsed="false">
      <c r="A92" s="4" t="s">
        <v>581</v>
      </c>
      <c r="B92" s="4" t="s">
        <v>582</v>
      </c>
      <c r="C92" s="4" t="s">
        <v>489</v>
      </c>
      <c r="D92" s="4" t="s">
        <v>367</v>
      </c>
      <c r="E92" s="4" t="s">
        <v>509</v>
      </c>
      <c r="F92" s="4" t="s">
        <v>491</v>
      </c>
      <c r="G92" s="4" t="s">
        <v>492</v>
      </c>
    </row>
    <row r="93" customFormat="false" ht="23.85" hidden="false" customHeight="false" outlineLevel="0" collapsed="false">
      <c r="A93" s="5" t="s">
        <v>583</v>
      </c>
      <c r="B93" s="5" t="s">
        <v>584</v>
      </c>
      <c r="C93" s="5" t="s">
        <v>489</v>
      </c>
      <c r="D93" s="5" t="s">
        <v>361</v>
      </c>
      <c r="E93" s="5" t="s">
        <v>495</v>
      </c>
      <c r="F93" s="5" t="s">
        <v>491</v>
      </c>
      <c r="G93" s="5" t="s">
        <v>492</v>
      </c>
    </row>
    <row r="94" customFormat="false" ht="23.85" hidden="false" customHeight="false" outlineLevel="0" collapsed="false">
      <c r="A94" s="4" t="s">
        <v>585</v>
      </c>
      <c r="B94" s="4" t="s">
        <v>586</v>
      </c>
      <c r="C94" s="4" t="s">
        <v>489</v>
      </c>
      <c r="D94" s="4" t="s">
        <v>361</v>
      </c>
      <c r="E94" s="4" t="s">
        <v>519</v>
      </c>
      <c r="F94" s="4" t="s">
        <v>491</v>
      </c>
      <c r="G94" s="4" t="s">
        <v>492</v>
      </c>
    </row>
    <row r="95" customFormat="false" ht="23.85" hidden="false" customHeight="false" outlineLevel="0" collapsed="false">
      <c r="A95" s="5" t="s">
        <v>587</v>
      </c>
      <c r="B95" s="5" t="s">
        <v>588</v>
      </c>
      <c r="C95" s="5" t="s">
        <v>489</v>
      </c>
      <c r="D95" s="5" t="s">
        <v>505</v>
      </c>
      <c r="E95" s="5" t="s">
        <v>506</v>
      </c>
      <c r="F95" s="5" t="s">
        <v>491</v>
      </c>
      <c r="G95" s="5" t="s">
        <v>492</v>
      </c>
    </row>
    <row r="96" customFormat="false" ht="23.85" hidden="false" customHeight="false" outlineLevel="0" collapsed="false">
      <c r="A96" s="4" t="s">
        <v>589</v>
      </c>
      <c r="B96" s="4" t="s">
        <v>590</v>
      </c>
      <c r="C96" s="4" t="s">
        <v>591</v>
      </c>
      <c r="D96" s="4" t="s">
        <v>367</v>
      </c>
      <c r="E96" s="4" t="s">
        <v>592</v>
      </c>
      <c r="F96" s="4" t="s">
        <v>190</v>
      </c>
      <c r="G96" s="4" t="s">
        <v>363</v>
      </c>
    </row>
    <row r="97" customFormat="false" ht="23.85" hidden="false" customHeight="false" outlineLevel="0" collapsed="false">
      <c r="A97" s="5" t="s">
        <v>593</v>
      </c>
      <c r="B97" s="5" t="s">
        <v>594</v>
      </c>
      <c r="C97" s="5" t="s">
        <v>591</v>
      </c>
      <c r="D97" s="5" t="s">
        <v>595</v>
      </c>
      <c r="E97" s="5" t="s">
        <v>596</v>
      </c>
      <c r="F97" s="5" t="s">
        <v>597</v>
      </c>
      <c r="G97" s="5" t="s">
        <v>598</v>
      </c>
    </row>
    <row r="98" customFormat="false" ht="15" hidden="false" customHeight="false" outlineLevel="0" collapsed="false">
      <c r="A98" s="4" t="s">
        <v>359</v>
      </c>
      <c r="B98" s="4" t="s">
        <v>599</v>
      </c>
      <c r="C98" s="4" t="s">
        <v>591</v>
      </c>
      <c r="D98" s="4" t="s">
        <v>361</v>
      </c>
      <c r="E98" s="4" t="s">
        <v>362</v>
      </c>
      <c r="F98" s="4" t="s">
        <v>190</v>
      </c>
      <c r="G98" s="4" t="s">
        <v>363</v>
      </c>
    </row>
    <row r="99" customFormat="false" ht="15" hidden="false" customHeight="false" outlineLevel="0" collapsed="false">
      <c r="A99" s="5" t="s">
        <v>600</v>
      </c>
      <c r="B99" s="5" t="s">
        <v>601</v>
      </c>
      <c r="C99" s="5" t="s">
        <v>591</v>
      </c>
      <c r="D99" s="5" t="s">
        <v>595</v>
      </c>
      <c r="E99" s="5" t="s">
        <v>602</v>
      </c>
      <c r="F99" s="5" t="s">
        <v>603</v>
      </c>
      <c r="G99" s="5" t="s">
        <v>604</v>
      </c>
    </row>
    <row r="100" customFormat="false" ht="15" hidden="false" customHeight="false" outlineLevel="0" collapsed="false">
      <c r="A100" s="4" t="s">
        <v>364</v>
      </c>
      <c r="B100" s="4" t="s">
        <v>605</v>
      </c>
      <c r="C100" s="4" t="s">
        <v>591</v>
      </c>
      <c r="D100" s="4" t="s">
        <v>361</v>
      </c>
      <c r="E100" s="4" t="s">
        <v>365</v>
      </c>
      <c r="F100" s="4" t="s">
        <v>190</v>
      </c>
      <c r="G100" s="4" t="s">
        <v>363</v>
      </c>
    </row>
    <row r="101" customFormat="false" ht="23.85" hidden="false" customHeight="false" outlineLevel="0" collapsed="false">
      <c r="A101" s="5" t="s">
        <v>366</v>
      </c>
      <c r="B101" s="5" t="s">
        <v>606</v>
      </c>
      <c r="C101" s="5" t="s">
        <v>591</v>
      </c>
      <c r="D101" s="5" t="s">
        <v>367</v>
      </c>
      <c r="E101" s="5" t="s">
        <v>368</v>
      </c>
      <c r="F101" s="5" t="s">
        <v>190</v>
      </c>
      <c r="G101" s="5" t="s">
        <v>363</v>
      </c>
    </row>
    <row r="102" customFormat="false" ht="23.85" hidden="false" customHeight="false" outlineLevel="0" collapsed="false">
      <c r="A102" s="4" t="s">
        <v>369</v>
      </c>
      <c r="B102" s="4" t="s">
        <v>607</v>
      </c>
      <c r="C102" s="4" t="s">
        <v>591</v>
      </c>
      <c r="D102" s="4" t="s">
        <v>361</v>
      </c>
      <c r="E102" s="4" t="s">
        <v>370</v>
      </c>
      <c r="F102" s="4" t="s">
        <v>190</v>
      </c>
      <c r="G102" s="4" t="s">
        <v>363</v>
      </c>
    </row>
    <row r="103" customFormat="false" ht="15" hidden="false" customHeight="false" outlineLevel="0" collapsed="false">
      <c r="A103" s="5" t="s">
        <v>608</v>
      </c>
      <c r="B103" s="5" t="s">
        <v>609</v>
      </c>
      <c r="C103" s="5" t="s">
        <v>591</v>
      </c>
      <c r="D103" s="5" t="s">
        <v>595</v>
      </c>
      <c r="E103" s="5" t="s">
        <v>610</v>
      </c>
      <c r="F103" s="5" t="s">
        <v>603</v>
      </c>
      <c r="G103" s="5" t="s">
        <v>604</v>
      </c>
    </row>
    <row r="104" customFormat="false" ht="23.85" hidden="false" customHeight="false" outlineLevel="0" collapsed="false">
      <c r="A104" s="4" t="s">
        <v>371</v>
      </c>
      <c r="B104" s="4" t="s">
        <v>611</v>
      </c>
      <c r="C104" s="4" t="s">
        <v>612</v>
      </c>
      <c r="D104" s="4" t="s">
        <v>361</v>
      </c>
      <c r="E104" s="4" t="s">
        <v>374</v>
      </c>
      <c r="F104" s="4" t="s">
        <v>375</v>
      </c>
      <c r="G104" s="4" t="s">
        <v>376</v>
      </c>
    </row>
    <row r="105" customFormat="false" ht="23.85" hidden="false" customHeight="false" outlineLevel="0" collapsed="false">
      <c r="A105" s="5" t="s">
        <v>377</v>
      </c>
      <c r="B105" s="5" t="s">
        <v>613</v>
      </c>
      <c r="C105" s="5" t="s">
        <v>612</v>
      </c>
      <c r="D105" s="5" t="s">
        <v>361</v>
      </c>
      <c r="E105" s="5" t="s">
        <v>374</v>
      </c>
      <c r="F105" s="5" t="s">
        <v>375</v>
      </c>
      <c r="G105" s="5" t="s">
        <v>376</v>
      </c>
    </row>
    <row r="106" customFormat="false" ht="23.85" hidden="false" customHeight="false" outlineLevel="0" collapsed="false">
      <c r="A106" s="4" t="s">
        <v>379</v>
      </c>
      <c r="B106" s="4" t="s">
        <v>614</v>
      </c>
      <c r="C106" s="4" t="s">
        <v>612</v>
      </c>
      <c r="D106" s="4" t="s">
        <v>361</v>
      </c>
      <c r="E106" s="4" t="s">
        <v>381</v>
      </c>
      <c r="F106" s="4" t="s">
        <v>375</v>
      </c>
      <c r="G106" s="4" t="s">
        <v>376</v>
      </c>
    </row>
    <row r="107" customFormat="false" ht="23.85" hidden="false" customHeight="false" outlineLevel="0" collapsed="false">
      <c r="A107" s="5" t="s">
        <v>382</v>
      </c>
      <c r="B107" s="5" t="s">
        <v>615</v>
      </c>
      <c r="C107" s="5" t="s">
        <v>612</v>
      </c>
      <c r="D107" s="5" t="s">
        <v>361</v>
      </c>
      <c r="E107" s="5" t="s">
        <v>384</v>
      </c>
      <c r="F107" s="5" t="s">
        <v>375</v>
      </c>
      <c r="G107" s="5" t="s">
        <v>376</v>
      </c>
    </row>
    <row r="108" customFormat="false" ht="23.85" hidden="false" customHeight="false" outlineLevel="0" collapsed="false">
      <c r="A108" s="4" t="s">
        <v>385</v>
      </c>
      <c r="B108" s="4" t="s">
        <v>616</v>
      </c>
      <c r="C108" s="4" t="s">
        <v>612</v>
      </c>
      <c r="D108" s="4" t="s">
        <v>361</v>
      </c>
      <c r="E108" s="4" t="s">
        <v>387</v>
      </c>
      <c r="F108" s="4" t="s">
        <v>375</v>
      </c>
      <c r="G108" s="4" t="s">
        <v>376</v>
      </c>
    </row>
    <row r="109" customFormat="false" ht="23.85" hidden="false" customHeight="false" outlineLevel="0" collapsed="false">
      <c r="A109" s="5" t="s">
        <v>388</v>
      </c>
      <c r="B109" s="5" t="s">
        <v>617</v>
      </c>
      <c r="C109" s="5" t="s">
        <v>612</v>
      </c>
      <c r="D109" s="5" t="s">
        <v>367</v>
      </c>
      <c r="E109" s="5" t="s">
        <v>390</v>
      </c>
      <c r="F109" s="5" t="s">
        <v>375</v>
      </c>
      <c r="G109" s="5" t="s">
        <v>376</v>
      </c>
    </row>
    <row r="110" customFormat="false" ht="23.85" hidden="false" customHeight="false" outlineLevel="0" collapsed="false">
      <c r="A110" s="4" t="s">
        <v>391</v>
      </c>
      <c r="B110" s="4" t="s">
        <v>618</v>
      </c>
      <c r="C110" s="4" t="s">
        <v>612</v>
      </c>
      <c r="D110" s="4" t="s">
        <v>361</v>
      </c>
      <c r="E110" s="4" t="s">
        <v>374</v>
      </c>
      <c r="F110" s="4" t="s">
        <v>375</v>
      </c>
      <c r="G110" s="4" t="s">
        <v>376</v>
      </c>
    </row>
    <row r="111" customFormat="false" ht="23.85" hidden="false" customHeight="false" outlineLevel="0" collapsed="false">
      <c r="A111" s="5" t="s">
        <v>393</v>
      </c>
      <c r="B111" s="5" t="s">
        <v>619</v>
      </c>
      <c r="C111" s="5" t="s">
        <v>612</v>
      </c>
      <c r="D111" s="5" t="s">
        <v>361</v>
      </c>
      <c r="E111" s="5" t="s">
        <v>384</v>
      </c>
      <c r="F111" s="5" t="s">
        <v>375</v>
      </c>
      <c r="G111" s="5" t="s">
        <v>376</v>
      </c>
    </row>
    <row r="112" customFormat="false" ht="23.85" hidden="false" customHeight="false" outlineLevel="0" collapsed="false">
      <c r="A112" s="4" t="s">
        <v>395</v>
      </c>
      <c r="B112" s="4" t="s">
        <v>620</v>
      </c>
      <c r="C112" s="4" t="s">
        <v>612</v>
      </c>
      <c r="D112" s="4" t="s">
        <v>361</v>
      </c>
      <c r="E112" s="4" t="s">
        <v>397</v>
      </c>
      <c r="F112" s="4" t="s">
        <v>375</v>
      </c>
      <c r="G112" s="4" t="s">
        <v>376</v>
      </c>
    </row>
    <row r="113" customFormat="false" ht="23.85" hidden="false" customHeight="false" outlineLevel="0" collapsed="false">
      <c r="A113" s="5" t="s">
        <v>398</v>
      </c>
      <c r="B113" s="5" t="s">
        <v>621</v>
      </c>
      <c r="C113" s="5" t="s">
        <v>612</v>
      </c>
      <c r="D113" s="5" t="s">
        <v>361</v>
      </c>
      <c r="E113" s="5" t="s">
        <v>384</v>
      </c>
      <c r="F113" s="5" t="s">
        <v>375</v>
      </c>
      <c r="G113" s="5" t="s">
        <v>376</v>
      </c>
    </row>
    <row r="114" customFormat="false" ht="23.85" hidden="false" customHeight="false" outlineLevel="0" collapsed="false">
      <c r="A114" s="4" t="s">
        <v>400</v>
      </c>
      <c r="B114" s="4" t="s">
        <v>622</v>
      </c>
      <c r="C114" s="4" t="s">
        <v>612</v>
      </c>
      <c r="D114" s="4" t="s">
        <v>367</v>
      </c>
      <c r="E114" s="4" t="s">
        <v>402</v>
      </c>
      <c r="F114" s="4" t="s">
        <v>375</v>
      </c>
      <c r="G114" s="4" t="s">
        <v>376</v>
      </c>
    </row>
    <row r="115" customFormat="false" ht="23.85" hidden="false" customHeight="false" outlineLevel="0" collapsed="false">
      <c r="A115" s="5" t="s">
        <v>403</v>
      </c>
      <c r="B115" s="5" t="s">
        <v>623</v>
      </c>
      <c r="C115" s="5" t="s">
        <v>612</v>
      </c>
      <c r="D115" s="5" t="s">
        <v>361</v>
      </c>
      <c r="E115" s="5" t="s">
        <v>405</v>
      </c>
      <c r="F115" s="5" t="s">
        <v>375</v>
      </c>
      <c r="G115" s="5" t="s">
        <v>376</v>
      </c>
    </row>
    <row r="116" customFormat="false" ht="23.85" hidden="false" customHeight="false" outlineLevel="0" collapsed="false">
      <c r="A116" s="4" t="s">
        <v>406</v>
      </c>
      <c r="B116" s="4" t="s">
        <v>624</v>
      </c>
      <c r="C116" s="4" t="s">
        <v>612</v>
      </c>
      <c r="D116" s="4" t="s">
        <v>361</v>
      </c>
      <c r="E116" s="4" t="s">
        <v>374</v>
      </c>
      <c r="F116" s="4" t="s">
        <v>375</v>
      </c>
      <c r="G116" s="4" t="s">
        <v>376</v>
      </c>
    </row>
    <row r="117" customFormat="false" ht="23.85" hidden="false" customHeight="false" outlineLevel="0" collapsed="false">
      <c r="A117" s="5" t="s">
        <v>408</v>
      </c>
      <c r="B117" s="5" t="s">
        <v>625</v>
      </c>
      <c r="C117" s="5" t="s">
        <v>612</v>
      </c>
      <c r="D117" s="5" t="s">
        <v>361</v>
      </c>
      <c r="E117" s="5" t="s">
        <v>384</v>
      </c>
      <c r="F117" s="5" t="s">
        <v>375</v>
      </c>
      <c r="G117" s="5" t="s">
        <v>376</v>
      </c>
    </row>
    <row r="118" customFormat="false" ht="23.85" hidden="false" customHeight="false" outlineLevel="0" collapsed="false">
      <c r="A118" s="4" t="s">
        <v>410</v>
      </c>
      <c r="B118" s="4" t="s">
        <v>626</v>
      </c>
      <c r="C118" s="4" t="s">
        <v>612</v>
      </c>
      <c r="D118" s="4" t="s">
        <v>361</v>
      </c>
      <c r="E118" s="4" t="s">
        <v>374</v>
      </c>
      <c r="F118" s="4" t="s">
        <v>375</v>
      </c>
      <c r="G118" s="4" t="s">
        <v>376</v>
      </c>
    </row>
    <row r="119" customFormat="false" ht="23.85" hidden="false" customHeight="false" outlineLevel="0" collapsed="false">
      <c r="A119" s="5" t="s">
        <v>412</v>
      </c>
      <c r="B119" s="5" t="s">
        <v>627</v>
      </c>
      <c r="C119" s="5" t="s">
        <v>612</v>
      </c>
      <c r="D119" s="5" t="s">
        <v>367</v>
      </c>
      <c r="E119" s="5" t="s">
        <v>414</v>
      </c>
      <c r="F119" s="5" t="s">
        <v>375</v>
      </c>
      <c r="G119" s="5" t="s">
        <v>376</v>
      </c>
    </row>
    <row r="120" customFormat="false" ht="23.85" hidden="false" customHeight="false" outlineLevel="0" collapsed="false">
      <c r="A120" s="4" t="s">
        <v>415</v>
      </c>
      <c r="B120" s="4" t="s">
        <v>628</v>
      </c>
      <c r="C120" s="4" t="s">
        <v>612</v>
      </c>
      <c r="D120" s="4" t="s">
        <v>361</v>
      </c>
      <c r="E120" s="4" t="s">
        <v>417</v>
      </c>
      <c r="F120" s="4" t="s">
        <v>375</v>
      </c>
      <c r="G120" s="4" t="s">
        <v>376</v>
      </c>
    </row>
    <row r="121" customFormat="false" ht="23.85" hidden="false" customHeight="false" outlineLevel="0" collapsed="false">
      <c r="A121" s="5" t="s">
        <v>418</v>
      </c>
      <c r="B121" s="5" t="s">
        <v>629</v>
      </c>
      <c r="C121" s="5" t="s">
        <v>612</v>
      </c>
      <c r="D121" s="5" t="s">
        <v>361</v>
      </c>
      <c r="E121" s="5" t="s">
        <v>381</v>
      </c>
      <c r="F121" s="5" t="s">
        <v>375</v>
      </c>
      <c r="G121" s="5" t="s">
        <v>376</v>
      </c>
    </row>
    <row r="122" customFormat="false" ht="23.85" hidden="false" customHeight="false" outlineLevel="0" collapsed="false">
      <c r="A122" s="4" t="s">
        <v>420</v>
      </c>
      <c r="B122" s="4" t="s">
        <v>630</v>
      </c>
      <c r="C122" s="4" t="s">
        <v>612</v>
      </c>
      <c r="D122" s="4" t="s">
        <v>367</v>
      </c>
      <c r="E122" s="4" t="s">
        <v>422</v>
      </c>
      <c r="F122" s="4" t="s">
        <v>375</v>
      </c>
      <c r="G122" s="4" t="s">
        <v>376</v>
      </c>
    </row>
    <row r="123" customFormat="false" ht="23.85" hidden="false" customHeight="false" outlineLevel="0" collapsed="false">
      <c r="A123" s="5" t="s">
        <v>423</v>
      </c>
      <c r="B123" s="5" t="s">
        <v>631</v>
      </c>
      <c r="C123" s="5" t="s">
        <v>612</v>
      </c>
      <c r="D123" s="5" t="s">
        <v>361</v>
      </c>
      <c r="E123" s="5" t="s">
        <v>384</v>
      </c>
      <c r="F123" s="5" t="s">
        <v>375</v>
      </c>
      <c r="G123" s="5" t="s">
        <v>376</v>
      </c>
    </row>
    <row r="124" customFormat="false" ht="23.85" hidden="false" customHeight="false" outlineLevel="0" collapsed="false">
      <c r="A124" s="4" t="s">
        <v>425</v>
      </c>
      <c r="B124" s="4" t="s">
        <v>632</v>
      </c>
      <c r="C124" s="4" t="s">
        <v>612</v>
      </c>
      <c r="D124" s="4" t="s">
        <v>361</v>
      </c>
      <c r="E124" s="4" t="s">
        <v>397</v>
      </c>
      <c r="F124" s="4" t="s">
        <v>375</v>
      </c>
      <c r="G124" s="4" t="s">
        <v>376</v>
      </c>
    </row>
    <row r="125" customFormat="false" ht="23.85" hidden="false" customHeight="false" outlineLevel="0" collapsed="false">
      <c r="A125" s="5" t="s">
        <v>427</v>
      </c>
      <c r="B125" s="5" t="s">
        <v>633</v>
      </c>
      <c r="C125" s="5" t="s">
        <v>612</v>
      </c>
      <c r="D125" s="5" t="s">
        <v>367</v>
      </c>
      <c r="E125" s="5" t="s">
        <v>429</v>
      </c>
      <c r="F125" s="5" t="s">
        <v>375</v>
      </c>
      <c r="G125" s="5" t="s">
        <v>376</v>
      </c>
    </row>
    <row r="126" customFormat="false" ht="23.85" hidden="false" customHeight="false" outlineLevel="0" collapsed="false">
      <c r="A126" s="4" t="s">
        <v>430</v>
      </c>
      <c r="B126" s="4" t="s">
        <v>634</v>
      </c>
      <c r="C126" s="4" t="s">
        <v>612</v>
      </c>
      <c r="D126" s="4" t="s">
        <v>361</v>
      </c>
      <c r="E126" s="4" t="s">
        <v>384</v>
      </c>
      <c r="F126" s="4" t="s">
        <v>375</v>
      </c>
      <c r="G126" s="4" t="s">
        <v>376</v>
      </c>
    </row>
    <row r="127" customFormat="false" ht="23.85" hidden="false" customHeight="false" outlineLevel="0" collapsed="false">
      <c r="A127" s="5" t="s">
        <v>432</v>
      </c>
      <c r="B127" s="5" t="s">
        <v>635</v>
      </c>
      <c r="C127" s="5" t="s">
        <v>612</v>
      </c>
      <c r="D127" s="5" t="s">
        <v>361</v>
      </c>
      <c r="E127" s="5" t="s">
        <v>405</v>
      </c>
      <c r="F127" s="5" t="s">
        <v>375</v>
      </c>
      <c r="G127" s="5" t="s">
        <v>376</v>
      </c>
    </row>
    <row r="128" customFormat="false" ht="23.85" hidden="false" customHeight="false" outlineLevel="0" collapsed="false">
      <c r="A128" s="4" t="s">
        <v>434</v>
      </c>
      <c r="B128" s="4" t="s">
        <v>636</v>
      </c>
      <c r="C128" s="4" t="s">
        <v>612</v>
      </c>
      <c r="D128" s="4" t="s">
        <v>361</v>
      </c>
      <c r="E128" s="4" t="s">
        <v>405</v>
      </c>
      <c r="F128" s="4" t="s">
        <v>375</v>
      </c>
      <c r="G128" s="4" t="s">
        <v>376</v>
      </c>
    </row>
    <row r="129" customFormat="false" ht="23.85" hidden="false" customHeight="false" outlineLevel="0" collapsed="false">
      <c r="A129" s="5" t="s">
        <v>436</v>
      </c>
      <c r="B129" s="5" t="s">
        <v>637</v>
      </c>
      <c r="C129" s="5" t="s">
        <v>612</v>
      </c>
      <c r="D129" s="5" t="s">
        <v>367</v>
      </c>
      <c r="E129" s="5" t="s">
        <v>402</v>
      </c>
      <c r="F129" s="5" t="s">
        <v>375</v>
      </c>
      <c r="G129" s="5" t="s">
        <v>376</v>
      </c>
    </row>
    <row r="130" customFormat="false" ht="23.85" hidden="false" customHeight="false" outlineLevel="0" collapsed="false">
      <c r="A130" s="4" t="s">
        <v>438</v>
      </c>
      <c r="B130" s="4" t="s">
        <v>638</v>
      </c>
      <c r="C130" s="4" t="s">
        <v>612</v>
      </c>
      <c r="D130" s="4" t="s">
        <v>361</v>
      </c>
      <c r="E130" s="4" t="s">
        <v>417</v>
      </c>
      <c r="F130" s="4" t="s">
        <v>375</v>
      </c>
      <c r="G130" s="4" t="s">
        <v>376</v>
      </c>
    </row>
    <row r="131" customFormat="false" ht="23.85" hidden="false" customHeight="false" outlineLevel="0" collapsed="false">
      <c r="A131" s="5" t="s">
        <v>440</v>
      </c>
      <c r="B131" s="5" t="s">
        <v>639</v>
      </c>
      <c r="C131" s="5" t="s">
        <v>612</v>
      </c>
      <c r="D131" s="5" t="s">
        <v>361</v>
      </c>
      <c r="E131" s="5" t="s">
        <v>397</v>
      </c>
      <c r="F131" s="5" t="s">
        <v>375</v>
      </c>
      <c r="G131" s="5" t="s">
        <v>376</v>
      </c>
    </row>
    <row r="132" customFormat="false" ht="23.85" hidden="false" customHeight="false" outlineLevel="0" collapsed="false">
      <c r="A132" s="4" t="s">
        <v>442</v>
      </c>
      <c r="B132" s="4" t="s">
        <v>640</v>
      </c>
      <c r="C132" s="4" t="s">
        <v>612</v>
      </c>
      <c r="D132" s="4" t="s">
        <v>361</v>
      </c>
      <c r="E132" s="4" t="s">
        <v>374</v>
      </c>
      <c r="F132" s="4" t="s">
        <v>375</v>
      </c>
      <c r="G132" s="4" t="s">
        <v>376</v>
      </c>
    </row>
    <row r="133" customFormat="false" ht="23.85" hidden="false" customHeight="false" outlineLevel="0" collapsed="false">
      <c r="A133" s="5" t="s">
        <v>444</v>
      </c>
      <c r="B133" s="5" t="s">
        <v>641</v>
      </c>
      <c r="C133" s="5" t="s">
        <v>612</v>
      </c>
      <c r="D133" s="5" t="s">
        <v>361</v>
      </c>
      <c r="E133" s="5" t="s">
        <v>374</v>
      </c>
      <c r="F133" s="5" t="s">
        <v>375</v>
      </c>
      <c r="G133" s="5" t="s">
        <v>376</v>
      </c>
    </row>
    <row r="134" customFormat="false" ht="23.85" hidden="false" customHeight="false" outlineLevel="0" collapsed="false">
      <c r="A134" s="4" t="s">
        <v>446</v>
      </c>
      <c r="B134" s="4" t="s">
        <v>642</v>
      </c>
      <c r="C134" s="4" t="s">
        <v>612</v>
      </c>
      <c r="D134" s="4" t="s">
        <v>361</v>
      </c>
      <c r="E134" s="4" t="s">
        <v>448</v>
      </c>
      <c r="F134" s="4" t="s">
        <v>375</v>
      </c>
      <c r="G134" s="4" t="s">
        <v>376</v>
      </c>
    </row>
    <row r="135" customFormat="false" ht="23.85" hidden="false" customHeight="false" outlineLevel="0" collapsed="false">
      <c r="A135" s="5" t="s">
        <v>449</v>
      </c>
      <c r="B135" s="5" t="s">
        <v>643</v>
      </c>
      <c r="C135" s="5" t="s">
        <v>612</v>
      </c>
      <c r="D135" s="5" t="s">
        <v>361</v>
      </c>
      <c r="E135" s="5" t="s">
        <v>384</v>
      </c>
      <c r="F135" s="5" t="s">
        <v>375</v>
      </c>
      <c r="G135" s="5" t="s">
        <v>376</v>
      </c>
    </row>
    <row r="136" customFormat="false" ht="23.85" hidden="false" customHeight="false" outlineLevel="0" collapsed="false">
      <c r="A136" s="4" t="s">
        <v>451</v>
      </c>
      <c r="B136" s="4" t="s">
        <v>644</v>
      </c>
      <c r="C136" s="4" t="s">
        <v>612</v>
      </c>
      <c r="D136" s="4" t="s">
        <v>367</v>
      </c>
      <c r="E136" s="4" t="s">
        <v>453</v>
      </c>
      <c r="F136" s="4" t="s">
        <v>375</v>
      </c>
      <c r="G136" s="4" t="s">
        <v>376</v>
      </c>
    </row>
    <row r="137" customFormat="false" ht="23.85" hidden="false" customHeight="false" outlineLevel="0" collapsed="false">
      <c r="A137" s="5" t="s">
        <v>454</v>
      </c>
      <c r="B137" s="5" t="s">
        <v>645</v>
      </c>
      <c r="C137" s="5" t="s">
        <v>612</v>
      </c>
      <c r="D137" s="5" t="s">
        <v>361</v>
      </c>
      <c r="E137" s="5" t="s">
        <v>405</v>
      </c>
      <c r="F137" s="5" t="s">
        <v>375</v>
      </c>
      <c r="G137" s="5" t="s">
        <v>376</v>
      </c>
    </row>
    <row r="138" customFormat="false" ht="23.85" hidden="false" customHeight="false" outlineLevel="0" collapsed="false">
      <c r="A138" s="4" t="s">
        <v>456</v>
      </c>
      <c r="B138" s="4" t="s">
        <v>646</v>
      </c>
      <c r="C138" s="4" t="s">
        <v>612</v>
      </c>
      <c r="D138" s="4" t="s">
        <v>361</v>
      </c>
      <c r="E138" s="4" t="s">
        <v>384</v>
      </c>
      <c r="F138" s="4" t="s">
        <v>375</v>
      </c>
      <c r="G138" s="4" t="s">
        <v>376</v>
      </c>
    </row>
    <row r="139" customFormat="false" ht="23.85" hidden="false" customHeight="false" outlineLevel="0" collapsed="false">
      <c r="A139" s="5" t="s">
        <v>458</v>
      </c>
      <c r="B139" s="5" t="s">
        <v>647</v>
      </c>
      <c r="C139" s="5" t="s">
        <v>612</v>
      </c>
      <c r="D139" s="5" t="s">
        <v>361</v>
      </c>
      <c r="E139" s="5" t="s">
        <v>384</v>
      </c>
      <c r="F139" s="5" t="s">
        <v>375</v>
      </c>
      <c r="G139" s="5" t="s">
        <v>376</v>
      </c>
    </row>
    <row r="140" customFormat="false" ht="23.85" hidden="false" customHeight="false" outlineLevel="0" collapsed="false">
      <c r="A140" s="4" t="s">
        <v>460</v>
      </c>
      <c r="B140" s="4" t="s">
        <v>648</v>
      </c>
      <c r="C140" s="4" t="s">
        <v>612</v>
      </c>
      <c r="D140" s="4" t="s">
        <v>361</v>
      </c>
      <c r="E140" s="4" t="s">
        <v>405</v>
      </c>
      <c r="F140" s="4" t="s">
        <v>375</v>
      </c>
      <c r="G140" s="4" t="s">
        <v>376</v>
      </c>
    </row>
    <row r="141" customFormat="false" ht="23.85" hidden="false" customHeight="false" outlineLevel="0" collapsed="false">
      <c r="A141" s="5" t="s">
        <v>462</v>
      </c>
      <c r="B141" s="5" t="s">
        <v>649</v>
      </c>
      <c r="C141" s="5" t="s">
        <v>612</v>
      </c>
      <c r="D141" s="5" t="s">
        <v>361</v>
      </c>
      <c r="E141" s="5" t="s">
        <v>384</v>
      </c>
      <c r="F141" s="5" t="s">
        <v>375</v>
      </c>
      <c r="G141" s="5" t="s">
        <v>376</v>
      </c>
    </row>
    <row r="142" customFormat="false" ht="23.85" hidden="false" customHeight="false" outlineLevel="0" collapsed="false">
      <c r="A142" s="4" t="s">
        <v>464</v>
      </c>
      <c r="B142" s="4" t="s">
        <v>650</v>
      </c>
      <c r="C142" s="4" t="s">
        <v>612</v>
      </c>
      <c r="D142" s="4" t="s">
        <v>361</v>
      </c>
      <c r="E142" s="4" t="s">
        <v>374</v>
      </c>
      <c r="F142" s="4" t="s">
        <v>375</v>
      </c>
      <c r="G142" s="4" t="s">
        <v>376</v>
      </c>
    </row>
    <row r="143" customFormat="false" ht="23.85" hidden="false" customHeight="false" outlineLevel="0" collapsed="false">
      <c r="A143" s="5" t="s">
        <v>466</v>
      </c>
      <c r="B143" s="5" t="s">
        <v>651</v>
      </c>
      <c r="C143" s="5" t="s">
        <v>612</v>
      </c>
      <c r="D143" s="5" t="s">
        <v>361</v>
      </c>
      <c r="E143" s="5" t="s">
        <v>405</v>
      </c>
      <c r="F143" s="5" t="s">
        <v>375</v>
      </c>
      <c r="G143" s="5" t="s">
        <v>376</v>
      </c>
    </row>
    <row r="144" customFormat="false" ht="23.85" hidden="false" customHeight="false" outlineLevel="0" collapsed="false">
      <c r="A144" s="4" t="s">
        <v>468</v>
      </c>
      <c r="B144" s="4" t="s">
        <v>652</v>
      </c>
      <c r="C144" s="4" t="s">
        <v>612</v>
      </c>
      <c r="D144" s="4" t="s">
        <v>361</v>
      </c>
      <c r="E144" s="4" t="s">
        <v>397</v>
      </c>
      <c r="F144" s="4" t="s">
        <v>375</v>
      </c>
      <c r="G144" s="4" t="s">
        <v>376</v>
      </c>
    </row>
    <row r="145" customFormat="false" ht="23.85" hidden="false" customHeight="false" outlineLevel="0" collapsed="false">
      <c r="A145" s="5" t="s">
        <v>470</v>
      </c>
      <c r="B145" s="5" t="s">
        <v>653</v>
      </c>
      <c r="C145" s="5" t="s">
        <v>612</v>
      </c>
      <c r="D145" s="5" t="s">
        <v>367</v>
      </c>
      <c r="E145" s="5" t="s">
        <v>654</v>
      </c>
      <c r="F145" s="5" t="s">
        <v>375</v>
      </c>
      <c r="G145" s="5" t="s">
        <v>376</v>
      </c>
    </row>
    <row r="146" customFormat="false" ht="23.85" hidden="false" customHeight="false" outlineLevel="0" collapsed="false">
      <c r="A146" s="4" t="s">
        <v>472</v>
      </c>
      <c r="B146" s="4" t="s">
        <v>655</v>
      </c>
      <c r="C146" s="4" t="s">
        <v>612</v>
      </c>
      <c r="D146" s="4" t="s">
        <v>361</v>
      </c>
      <c r="E146" s="4" t="s">
        <v>405</v>
      </c>
      <c r="F146" s="4" t="s">
        <v>375</v>
      </c>
      <c r="G146" s="4" t="s">
        <v>376</v>
      </c>
    </row>
    <row r="147" customFormat="false" ht="23.85" hidden="false" customHeight="false" outlineLevel="0" collapsed="false">
      <c r="A147" s="5" t="s">
        <v>474</v>
      </c>
      <c r="B147" s="5" t="s">
        <v>656</v>
      </c>
      <c r="C147" s="5" t="s">
        <v>612</v>
      </c>
      <c r="D147" s="5" t="s">
        <v>361</v>
      </c>
      <c r="E147" s="5" t="s">
        <v>374</v>
      </c>
      <c r="F147" s="5" t="s">
        <v>375</v>
      </c>
      <c r="G147" s="5" t="s">
        <v>376</v>
      </c>
    </row>
    <row r="148" customFormat="false" ht="23.85" hidden="false" customHeight="false" outlineLevel="0" collapsed="false">
      <c r="A148" s="4" t="s">
        <v>476</v>
      </c>
      <c r="B148" s="4" t="s">
        <v>657</v>
      </c>
      <c r="C148" s="4" t="s">
        <v>612</v>
      </c>
      <c r="D148" s="4" t="s">
        <v>361</v>
      </c>
      <c r="E148" s="4" t="s">
        <v>374</v>
      </c>
      <c r="F148" s="4" t="s">
        <v>375</v>
      </c>
      <c r="G148" s="4" t="s">
        <v>376</v>
      </c>
    </row>
    <row r="149" customFormat="false" ht="23.85" hidden="false" customHeight="false" outlineLevel="0" collapsed="false">
      <c r="A149" s="5" t="s">
        <v>478</v>
      </c>
      <c r="B149" s="5" t="s">
        <v>658</v>
      </c>
      <c r="C149" s="5" t="s">
        <v>612</v>
      </c>
      <c r="D149" s="5" t="s">
        <v>361</v>
      </c>
      <c r="E149" s="5" t="s">
        <v>384</v>
      </c>
      <c r="F149" s="5" t="s">
        <v>375</v>
      </c>
      <c r="G149" s="5" t="s">
        <v>376</v>
      </c>
    </row>
    <row r="150" customFormat="false" ht="15" hidden="false" customHeight="false" outlineLevel="0" collapsed="false">
      <c r="A150" s="4" t="s">
        <v>480</v>
      </c>
      <c r="B150" s="4" t="s">
        <v>659</v>
      </c>
      <c r="C150" s="4" t="s">
        <v>612</v>
      </c>
      <c r="D150" s="4" t="s">
        <v>361</v>
      </c>
      <c r="E150" s="4" t="s">
        <v>448</v>
      </c>
      <c r="F150" s="4" t="s">
        <v>375</v>
      </c>
      <c r="G150" s="4" t="s">
        <v>376</v>
      </c>
    </row>
    <row r="151" customFormat="false" ht="23.85" hidden="false" customHeight="false" outlineLevel="0" collapsed="false">
      <c r="A151" s="5" t="s">
        <v>482</v>
      </c>
      <c r="B151" s="5" t="s">
        <v>660</v>
      </c>
      <c r="C151" s="5" t="s">
        <v>612</v>
      </c>
      <c r="D151" s="5" t="s">
        <v>361</v>
      </c>
      <c r="E151" s="5" t="s">
        <v>397</v>
      </c>
      <c r="F151" s="5" t="s">
        <v>375</v>
      </c>
      <c r="G151" s="5" t="s">
        <v>376</v>
      </c>
    </row>
    <row r="152" customFormat="false" ht="23.85" hidden="false" customHeight="false" outlineLevel="0" collapsed="false">
      <c r="A152" s="4" t="s">
        <v>484</v>
      </c>
      <c r="B152" s="4" t="s">
        <v>661</v>
      </c>
      <c r="C152" s="4" t="s">
        <v>612</v>
      </c>
      <c r="D152" s="4" t="s">
        <v>361</v>
      </c>
      <c r="E152" s="4" t="s">
        <v>486</v>
      </c>
      <c r="F152" s="4" t="s">
        <v>375</v>
      </c>
      <c r="G152" s="4" t="s">
        <v>376</v>
      </c>
    </row>
    <row r="153" customFormat="false" ht="23.85" hidden="false" customHeight="false" outlineLevel="0" collapsed="false">
      <c r="A153" s="5" t="s">
        <v>593</v>
      </c>
      <c r="B153" s="5" t="s">
        <v>662</v>
      </c>
      <c r="C153" s="5" t="s">
        <v>663</v>
      </c>
      <c r="D153" s="5" t="s">
        <v>595</v>
      </c>
      <c r="E153" s="5" t="s">
        <v>596</v>
      </c>
      <c r="F153" s="5" t="s">
        <v>597</v>
      </c>
      <c r="G153" s="5" t="s">
        <v>598</v>
      </c>
    </row>
    <row r="154" customFormat="false" ht="23.85" hidden="false" customHeight="false" outlineLevel="0" collapsed="false">
      <c r="A154" s="4" t="s">
        <v>664</v>
      </c>
      <c r="B154" s="4" t="s">
        <v>665</v>
      </c>
      <c r="C154" s="4" t="s">
        <v>666</v>
      </c>
      <c r="D154" s="4" t="s">
        <v>595</v>
      </c>
      <c r="E154" s="4" t="s">
        <v>667</v>
      </c>
      <c r="F154" s="4" t="s">
        <v>668</v>
      </c>
      <c r="G154" s="4" t="s">
        <v>669</v>
      </c>
    </row>
    <row r="155" customFormat="false" ht="23.85" hidden="false" customHeight="false" outlineLevel="0" collapsed="false">
      <c r="A155" s="5" t="s">
        <v>670</v>
      </c>
      <c r="B155" s="5" t="s">
        <v>671</v>
      </c>
      <c r="C155" s="5" t="s">
        <v>666</v>
      </c>
      <c r="D155" s="5" t="s">
        <v>595</v>
      </c>
      <c r="E155" s="5" t="s">
        <v>672</v>
      </c>
      <c r="F155" s="5" t="s">
        <v>668</v>
      </c>
      <c r="G155" s="5" t="s">
        <v>669</v>
      </c>
    </row>
    <row r="156" customFormat="false" ht="23.85" hidden="false" customHeight="false" outlineLevel="0" collapsed="false">
      <c r="A156" s="4" t="s">
        <v>673</v>
      </c>
      <c r="B156" s="4" t="s">
        <v>674</v>
      </c>
      <c r="C156" s="4" t="s">
        <v>666</v>
      </c>
      <c r="D156" s="4" t="s">
        <v>595</v>
      </c>
      <c r="E156" s="4" t="s">
        <v>675</v>
      </c>
      <c r="F156" s="4" t="s">
        <v>668</v>
      </c>
      <c r="G156" s="4" t="s">
        <v>669</v>
      </c>
    </row>
    <row r="157" customFormat="false" ht="23.85" hidden="false" customHeight="false" outlineLevel="0" collapsed="false">
      <c r="A157" s="5" t="s">
        <v>676</v>
      </c>
      <c r="B157" s="5" t="s">
        <v>677</v>
      </c>
      <c r="C157" s="5" t="s">
        <v>666</v>
      </c>
      <c r="D157" s="5" t="s">
        <v>595</v>
      </c>
      <c r="E157" s="5" t="s">
        <v>678</v>
      </c>
      <c r="F157" s="5" t="s">
        <v>668</v>
      </c>
      <c r="G157" s="5" t="s">
        <v>669</v>
      </c>
    </row>
    <row r="158" customFormat="false" ht="23.85" hidden="false" customHeight="false" outlineLevel="0" collapsed="false">
      <c r="A158" s="4" t="s">
        <v>679</v>
      </c>
      <c r="B158" s="4" t="s">
        <v>680</v>
      </c>
      <c r="C158" s="4" t="s">
        <v>666</v>
      </c>
      <c r="D158" s="4" t="s">
        <v>595</v>
      </c>
      <c r="E158" s="4" t="s">
        <v>681</v>
      </c>
      <c r="F158" s="4" t="s">
        <v>668</v>
      </c>
      <c r="G158" s="4" t="s">
        <v>669</v>
      </c>
    </row>
    <row r="159" customFormat="false" ht="23.85" hidden="false" customHeight="false" outlineLevel="0" collapsed="false">
      <c r="A159" s="5" t="s">
        <v>682</v>
      </c>
      <c r="B159" s="5" t="s">
        <v>683</v>
      </c>
      <c r="C159" s="5" t="s">
        <v>666</v>
      </c>
      <c r="D159" s="5" t="s">
        <v>595</v>
      </c>
      <c r="E159" s="5" t="s">
        <v>684</v>
      </c>
      <c r="F159" s="5" t="s">
        <v>668</v>
      </c>
      <c r="G159" s="5" t="s">
        <v>669</v>
      </c>
    </row>
    <row r="160" customFormat="false" ht="23.85" hidden="false" customHeight="false" outlineLevel="0" collapsed="false">
      <c r="A160" s="4" t="s">
        <v>685</v>
      </c>
      <c r="B160" s="4" t="s">
        <v>686</v>
      </c>
      <c r="C160" s="4" t="s">
        <v>666</v>
      </c>
      <c r="D160" s="4" t="s">
        <v>595</v>
      </c>
      <c r="E160" s="4" t="s">
        <v>687</v>
      </c>
      <c r="F160" s="4" t="s">
        <v>668</v>
      </c>
      <c r="G160" s="4" t="s">
        <v>669</v>
      </c>
    </row>
    <row r="161" customFormat="false" ht="23.85" hidden="false" customHeight="false" outlineLevel="0" collapsed="false">
      <c r="A161" s="5" t="s">
        <v>688</v>
      </c>
      <c r="B161" s="5" t="s">
        <v>689</v>
      </c>
      <c r="C161" s="5" t="s">
        <v>666</v>
      </c>
      <c r="D161" s="5" t="s">
        <v>595</v>
      </c>
      <c r="E161" s="5" t="s">
        <v>690</v>
      </c>
      <c r="F161" s="5" t="s">
        <v>668</v>
      </c>
      <c r="G161" s="5" t="s">
        <v>669</v>
      </c>
    </row>
    <row r="162" customFormat="false" ht="23.85" hidden="false" customHeight="false" outlineLevel="0" collapsed="false">
      <c r="A162" s="4" t="s">
        <v>691</v>
      </c>
      <c r="B162" s="4" t="s">
        <v>692</v>
      </c>
      <c r="C162" s="4" t="s">
        <v>666</v>
      </c>
      <c r="D162" s="4" t="s">
        <v>595</v>
      </c>
      <c r="E162" s="4" t="s">
        <v>693</v>
      </c>
      <c r="F162" s="4" t="s">
        <v>668</v>
      </c>
      <c r="G162" s="4" t="s">
        <v>669</v>
      </c>
    </row>
    <row r="163" customFormat="false" ht="23.85" hidden="false" customHeight="false" outlineLevel="0" collapsed="false">
      <c r="A163" s="5" t="s">
        <v>694</v>
      </c>
      <c r="B163" s="5" t="s">
        <v>695</v>
      </c>
      <c r="C163" s="5" t="s">
        <v>666</v>
      </c>
      <c r="D163" s="5" t="s">
        <v>595</v>
      </c>
      <c r="E163" s="5" t="s">
        <v>696</v>
      </c>
      <c r="F163" s="5" t="s">
        <v>668</v>
      </c>
      <c r="G163" s="5" t="s">
        <v>669</v>
      </c>
    </row>
    <row r="164" customFormat="false" ht="23.85" hidden="false" customHeight="false" outlineLevel="0" collapsed="false">
      <c r="A164" s="4" t="s">
        <v>697</v>
      </c>
      <c r="B164" s="4" t="s">
        <v>698</v>
      </c>
      <c r="C164" s="4" t="s">
        <v>666</v>
      </c>
      <c r="D164" s="4" t="s">
        <v>595</v>
      </c>
      <c r="E164" s="4" t="s">
        <v>699</v>
      </c>
      <c r="F164" s="4" t="s">
        <v>668</v>
      </c>
      <c r="G164" s="4" t="s">
        <v>669</v>
      </c>
    </row>
    <row r="165" customFormat="false" ht="23.85" hidden="false" customHeight="false" outlineLevel="0" collapsed="false">
      <c r="A165" s="5" t="s">
        <v>700</v>
      </c>
      <c r="B165" s="5" t="s">
        <v>701</v>
      </c>
      <c r="C165" s="5" t="s">
        <v>666</v>
      </c>
      <c r="D165" s="5" t="s">
        <v>595</v>
      </c>
      <c r="E165" s="5" t="s">
        <v>702</v>
      </c>
      <c r="F165" s="5" t="s">
        <v>668</v>
      </c>
      <c r="G165" s="5" t="s">
        <v>669</v>
      </c>
    </row>
    <row r="166" customFormat="false" ht="23.85" hidden="false" customHeight="false" outlineLevel="0" collapsed="false">
      <c r="A166" s="4" t="s">
        <v>703</v>
      </c>
      <c r="B166" s="4" t="s">
        <v>704</v>
      </c>
      <c r="C166" s="4" t="s">
        <v>666</v>
      </c>
      <c r="D166" s="4" t="s">
        <v>595</v>
      </c>
      <c r="E166" s="4" t="s">
        <v>705</v>
      </c>
      <c r="F166" s="4" t="s">
        <v>668</v>
      </c>
      <c r="G166" s="4" t="s">
        <v>669</v>
      </c>
    </row>
    <row r="167" customFormat="false" ht="23.85" hidden="false" customHeight="false" outlineLevel="0" collapsed="false">
      <c r="A167" s="5" t="s">
        <v>706</v>
      </c>
      <c r="B167" s="5" t="s">
        <v>707</v>
      </c>
      <c r="C167" s="5" t="s">
        <v>666</v>
      </c>
      <c r="D167" s="5" t="s">
        <v>595</v>
      </c>
      <c r="E167" s="5" t="s">
        <v>708</v>
      </c>
      <c r="F167" s="5" t="s">
        <v>668</v>
      </c>
      <c r="G167" s="5" t="s">
        <v>669</v>
      </c>
    </row>
    <row r="168" customFormat="false" ht="23.85" hidden="false" customHeight="false" outlineLevel="0" collapsed="false">
      <c r="A168" s="4" t="s">
        <v>709</v>
      </c>
      <c r="B168" s="4" t="s">
        <v>710</v>
      </c>
      <c r="C168" s="4" t="s">
        <v>666</v>
      </c>
      <c r="D168" s="4" t="s">
        <v>595</v>
      </c>
      <c r="E168" s="4" t="s">
        <v>711</v>
      </c>
      <c r="F168" s="4" t="s">
        <v>668</v>
      </c>
      <c r="G168" s="4" t="s">
        <v>669</v>
      </c>
    </row>
    <row r="169" customFormat="false" ht="23.85" hidden="false" customHeight="false" outlineLevel="0" collapsed="false">
      <c r="A169" s="5" t="s">
        <v>712</v>
      </c>
      <c r="B169" s="5" t="s">
        <v>713</v>
      </c>
      <c r="C169" s="5" t="s">
        <v>666</v>
      </c>
      <c r="D169" s="5" t="s">
        <v>595</v>
      </c>
      <c r="E169" s="5" t="s">
        <v>714</v>
      </c>
      <c r="F169" s="5" t="s">
        <v>668</v>
      </c>
      <c r="G169" s="5" t="s">
        <v>669</v>
      </c>
    </row>
    <row r="170" customFormat="false" ht="23.85" hidden="false" customHeight="false" outlineLevel="0" collapsed="false">
      <c r="A170" s="4" t="s">
        <v>715</v>
      </c>
      <c r="B170" s="4" t="s">
        <v>716</v>
      </c>
      <c r="C170" s="4" t="s">
        <v>666</v>
      </c>
      <c r="D170" s="4" t="s">
        <v>595</v>
      </c>
      <c r="E170" s="4" t="s">
        <v>717</v>
      </c>
      <c r="F170" s="4" t="s">
        <v>668</v>
      </c>
      <c r="G170" s="4" t="s">
        <v>669</v>
      </c>
    </row>
    <row r="171" customFormat="false" ht="23.85" hidden="false" customHeight="false" outlineLevel="0" collapsed="false">
      <c r="A171" s="5" t="s">
        <v>487</v>
      </c>
      <c r="B171" s="5" t="s">
        <v>718</v>
      </c>
      <c r="C171" s="5" t="s">
        <v>719</v>
      </c>
      <c r="D171" s="5" t="s">
        <v>361</v>
      </c>
      <c r="E171" s="5" t="s">
        <v>490</v>
      </c>
      <c r="F171" s="5" t="s">
        <v>491</v>
      </c>
      <c r="G171" s="5" t="s">
        <v>492</v>
      </c>
    </row>
    <row r="172" customFormat="false" ht="23.85" hidden="false" customHeight="false" outlineLevel="0" collapsed="false">
      <c r="A172" s="4" t="s">
        <v>493</v>
      </c>
      <c r="B172" s="4" t="s">
        <v>720</v>
      </c>
      <c r="C172" s="4" t="s">
        <v>719</v>
      </c>
      <c r="D172" s="4" t="s">
        <v>361</v>
      </c>
      <c r="E172" s="4" t="s">
        <v>495</v>
      </c>
      <c r="F172" s="4" t="s">
        <v>491</v>
      </c>
      <c r="G172" s="4" t="s">
        <v>492</v>
      </c>
    </row>
    <row r="173" customFormat="false" ht="23.85" hidden="false" customHeight="false" outlineLevel="0" collapsed="false">
      <c r="A173" s="5" t="s">
        <v>496</v>
      </c>
      <c r="B173" s="5" t="s">
        <v>721</v>
      </c>
      <c r="C173" s="5" t="s">
        <v>719</v>
      </c>
      <c r="D173" s="5" t="s">
        <v>498</v>
      </c>
      <c r="E173" s="5" t="s">
        <v>499</v>
      </c>
      <c r="F173" s="5" t="s">
        <v>491</v>
      </c>
      <c r="G173" s="5" t="s">
        <v>492</v>
      </c>
    </row>
    <row r="174" customFormat="false" ht="23.85" hidden="false" customHeight="false" outlineLevel="0" collapsed="false">
      <c r="A174" s="4" t="s">
        <v>500</v>
      </c>
      <c r="B174" s="4" t="s">
        <v>722</v>
      </c>
      <c r="C174" s="4" t="s">
        <v>719</v>
      </c>
      <c r="D174" s="4" t="s">
        <v>367</v>
      </c>
      <c r="E174" s="4" t="s">
        <v>502</v>
      </c>
      <c r="F174" s="4" t="s">
        <v>491</v>
      </c>
      <c r="G174" s="4" t="s">
        <v>492</v>
      </c>
    </row>
    <row r="175" customFormat="false" ht="23.85" hidden="false" customHeight="false" outlineLevel="0" collapsed="false">
      <c r="A175" s="5" t="s">
        <v>503</v>
      </c>
      <c r="B175" s="5" t="s">
        <v>723</v>
      </c>
      <c r="C175" s="5" t="s">
        <v>719</v>
      </c>
      <c r="D175" s="5" t="s">
        <v>505</v>
      </c>
      <c r="E175" s="5" t="s">
        <v>506</v>
      </c>
      <c r="F175" s="5" t="s">
        <v>491</v>
      </c>
      <c r="G175" s="5" t="s">
        <v>492</v>
      </c>
    </row>
    <row r="176" customFormat="false" ht="23.85" hidden="false" customHeight="false" outlineLevel="0" collapsed="false">
      <c r="A176" s="4" t="s">
        <v>507</v>
      </c>
      <c r="B176" s="4" t="s">
        <v>724</v>
      </c>
      <c r="C176" s="4" t="s">
        <v>719</v>
      </c>
      <c r="D176" s="4" t="s">
        <v>367</v>
      </c>
      <c r="E176" s="4" t="s">
        <v>509</v>
      </c>
      <c r="F176" s="4" t="s">
        <v>491</v>
      </c>
      <c r="G176" s="4" t="s">
        <v>492</v>
      </c>
    </row>
    <row r="177" customFormat="false" ht="23.85" hidden="false" customHeight="false" outlineLevel="0" collapsed="false">
      <c r="A177" s="5" t="s">
        <v>510</v>
      </c>
      <c r="B177" s="5" t="s">
        <v>725</v>
      </c>
      <c r="C177" s="5" t="s">
        <v>719</v>
      </c>
      <c r="D177" s="5" t="s">
        <v>367</v>
      </c>
      <c r="E177" s="5" t="s">
        <v>512</v>
      </c>
      <c r="F177" s="5" t="s">
        <v>491</v>
      </c>
      <c r="G177" s="5" t="s">
        <v>492</v>
      </c>
    </row>
    <row r="178" customFormat="false" ht="23.85" hidden="false" customHeight="false" outlineLevel="0" collapsed="false">
      <c r="A178" s="4" t="s">
        <v>513</v>
      </c>
      <c r="B178" s="4" t="s">
        <v>726</v>
      </c>
      <c r="C178" s="4" t="s">
        <v>719</v>
      </c>
      <c r="D178" s="4" t="s">
        <v>367</v>
      </c>
      <c r="E178" s="4" t="s">
        <v>509</v>
      </c>
      <c r="F178" s="4" t="s">
        <v>491</v>
      </c>
      <c r="G178" s="4" t="s">
        <v>492</v>
      </c>
    </row>
    <row r="179" customFormat="false" ht="35.05" hidden="false" customHeight="false" outlineLevel="0" collapsed="false">
      <c r="A179" s="5" t="s">
        <v>515</v>
      </c>
      <c r="B179" s="5" t="s">
        <v>727</v>
      </c>
      <c r="C179" s="5" t="s">
        <v>719</v>
      </c>
      <c r="D179" s="5" t="s">
        <v>367</v>
      </c>
      <c r="E179" s="5" t="s">
        <v>509</v>
      </c>
      <c r="F179" s="5" t="s">
        <v>491</v>
      </c>
      <c r="G179" s="5" t="s">
        <v>492</v>
      </c>
    </row>
    <row r="180" customFormat="false" ht="23.85" hidden="false" customHeight="false" outlineLevel="0" collapsed="false">
      <c r="A180" s="4" t="s">
        <v>517</v>
      </c>
      <c r="B180" s="4" t="s">
        <v>728</v>
      </c>
      <c r="C180" s="4" t="s">
        <v>719</v>
      </c>
      <c r="D180" s="4" t="s">
        <v>361</v>
      </c>
      <c r="E180" s="4" t="s">
        <v>519</v>
      </c>
      <c r="F180" s="4" t="s">
        <v>491</v>
      </c>
      <c r="G180" s="4" t="s">
        <v>492</v>
      </c>
    </row>
    <row r="181" customFormat="false" ht="23.85" hidden="false" customHeight="false" outlineLevel="0" collapsed="false">
      <c r="A181" s="5" t="s">
        <v>520</v>
      </c>
      <c r="B181" s="5" t="s">
        <v>729</v>
      </c>
      <c r="C181" s="5" t="s">
        <v>719</v>
      </c>
      <c r="D181" s="5" t="s">
        <v>361</v>
      </c>
      <c r="E181" s="5" t="s">
        <v>519</v>
      </c>
      <c r="F181" s="5" t="s">
        <v>491</v>
      </c>
      <c r="G181" s="5" t="s">
        <v>492</v>
      </c>
    </row>
    <row r="182" customFormat="false" ht="23.85" hidden="false" customHeight="false" outlineLevel="0" collapsed="false">
      <c r="A182" s="4" t="s">
        <v>522</v>
      </c>
      <c r="B182" s="4" t="s">
        <v>730</v>
      </c>
      <c r="C182" s="4" t="s">
        <v>719</v>
      </c>
      <c r="D182" s="4" t="s">
        <v>367</v>
      </c>
      <c r="E182" s="4" t="s">
        <v>509</v>
      </c>
      <c r="F182" s="4" t="s">
        <v>491</v>
      </c>
      <c r="G182" s="4" t="s">
        <v>492</v>
      </c>
    </row>
    <row r="183" customFormat="false" ht="23.85" hidden="false" customHeight="false" outlineLevel="0" collapsed="false">
      <c r="A183" s="5" t="s">
        <v>524</v>
      </c>
      <c r="B183" s="5" t="s">
        <v>731</v>
      </c>
      <c r="C183" s="5" t="s">
        <v>719</v>
      </c>
      <c r="D183" s="5" t="s">
        <v>361</v>
      </c>
      <c r="E183" s="5" t="s">
        <v>519</v>
      </c>
      <c r="F183" s="5" t="s">
        <v>491</v>
      </c>
      <c r="G183" s="5" t="s">
        <v>492</v>
      </c>
    </row>
    <row r="184" customFormat="false" ht="23.85" hidden="false" customHeight="false" outlineLevel="0" collapsed="false">
      <c r="A184" s="4" t="s">
        <v>526</v>
      </c>
      <c r="B184" s="4" t="s">
        <v>732</v>
      </c>
      <c r="C184" s="4" t="s">
        <v>719</v>
      </c>
      <c r="D184" s="4" t="s">
        <v>367</v>
      </c>
      <c r="E184" s="4" t="s">
        <v>502</v>
      </c>
      <c r="F184" s="4" t="s">
        <v>491</v>
      </c>
      <c r="G184" s="4" t="s">
        <v>492</v>
      </c>
    </row>
    <row r="185" customFormat="false" ht="23.85" hidden="false" customHeight="false" outlineLevel="0" collapsed="false">
      <c r="A185" s="5" t="s">
        <v>528</v>
      </c>
      <c r="B185" s="5" t="s">
        <v>733</v>
      </c>
      <c r="C185" s="5" t="s">
        <v>719</v>
      </c>
      <c r="D185" s="5" t="s">
        <v>498</v>
      </c>
      <c r="E185" s="5" t="s">
        <v>397</v>
      </c>
      <c r="F185" s="5" t="s">
        <v>491</v>
      </c>
      <c r="G185" s="5" t="s">
        <v>492</v>
      </c>
    </row>
    <row r="186" customFormat="false" ht="23.85" hidden="false" customHeight="false" outlineLevel="0" collapsed="false">
      <c r="A186" s="4" t="s">
        <v>530</v>
      </c>
      <c r="B186" s="4" t="s">
        <v>734</v>
      </c>
      <c r="C186" s="4" t="s">
        <v>719</v>
      </c>
      <c r="D186" s="4" t="s">
        <v>367</v>
      </c>
      <c r="E186" s="4" t="s">
        <v>532</v>
      </c>
      <c r="F186" s="4" t="s">
        <v>491</v>
      </c>
      <c r="G186" s="4" t="s">
        <v>492</v>
      </c>
    </row>
    <row r="187" customFormat="false" ht="23.85" hidden="false" customHeight="false" outlineLevel="0" collapsed="false">
      <c r="A187" s="5" t="s">
        <v>533</v>
      </c>
      <c r="B187" s="5" t="s">
        <v>735</v>
      </c>
      <c r="C187" s="5" t="s">
        <v>719</v>
      </c>
      <c r="D187" s="5" t="s">
        <v>361</v>
      </c>
      <c r="E187" s="5" t="s">
        <v>495</v>
      </c>
      <c r="F187" s="5" t="s">
        <v>491</v>
      </c>
      <c r="G187" s="5" t="s">
        <v>492</v>
      </c>
    </row>
    <row r="188" customFormat="false" ht="23.85" hidden="false" customHeight="false" outlineLevel="0" collapsed="false">
      <c r="A188" s="4" t="s">
        <v>535</v>
      </c>
      <c r="B188" s="4" t="s">
        <v>736</v>
      </c>
      <c r="C188" s="4" t="s">
        <v>719</v>
      </c>
      <c r="D188" s="4" t="s">
        <v>367</v>
      </c>
      <c r="E188" s="4" t="s">
        <v>537</v>
      </c>
      <c r="F188" s="4" t="s">
        <v>491</v>
      </c>
      <c r="G188" s="4" t="s">
        <v>492</v>
      </c>
    </row>
    <row r="189" customFormat="false" ht="23.85" hidden="false" customHeight="false" outlineLevel="0" collapsed="false">
      <c r="A189" s="5" t="s">
        <v>538</v>
      </c>
      <c r="B189" s="5" t="s">
        <v>737</v>
      </c>
      <c r="C189" s="5" t="s">
        <v>719</v>
      </c>
      <c r="D189" s="5" t="s">
        <v>367</v>
      </c>
      <c r="E189" s="5" t="s">
        <v>537</v>
      </c>
      <c r="F189" s="5" t="s">
        <v>491</v>
      </c>
      <c r="G189" s="5" t="s">
        <v>492</v>
      </c>
    </row>
    <row r="190" customFormat="false" ht="23.85" hidden="false" customHeight="false" outlineLevel="0" collapsed="false">
      <c r="A190" s="4" t="s">
        <v>540</v>
      </c>
      <c r="B190" s="4" t="s">
        <v>738</v>
      </c>
      <c r="C190" s="4" t="s">
        <v>719</v>
      </c>
      <c r="D190" s="4" t="s">
        <v>505</v>
      </c>
      <c r="E190" s="4" t="s">
        <v>506</v>
      </c>
      <c r="F190" s="4" t="s">
        <v>491</v>
      </c>
      <c r="G190" s="4" t="s">
        <v>492</v>
      </c>
    </row>
    <row r="191" customFormat="false" ht="23.85" hidden="false" customHeight="false" outlineLevel="0" collapsed="false">
      <c r="A191" s="5" t="s">
        <v>542</v>
      </c>
      <c r="B191" s="5" t="s">
        <v>739</v>
      </c>
      <c r="C191" s="5" t="s">
        <v>719</v>
      </c>
      <c r="D191" s="5" t="s">
        <v>367</v>
      </c>
      <c r="E191" s="5" t="s">
        <v>544</v>
      </c>
      <c r="F191" s="5" t="s">
        <v>491</v>
      </c>
      <c r="G191" s="5" t="s">
        <v>492</v>
      </c>
    </row>
    <row r="192" customFormat="false" ht="23.85" hidden="false" customHeight="false" outlineLevel="0" collapsed="false">
      <c r="A192" s="4" t="s">
        <v>545</v>
      </c>
      <c r="B192" s="4" t="s">
        <v>740</v>
      </c>
      <c r="C192" s="4" t="s">
        <v>719</v>
      </c>
      <c r="D192" s="4" t="s">
        <v>367</v>
      </c>
      <c r="E192" s="4" t="s">
        <v>509</v>
      </c>
      <c r="F192" s="4" t="s">
        <v>491</v>
      </c>
      <c r="G192" s="4" t="s">
        <v>492</v>
      </c>
    </row>
    <row r="193" customFormat="false" ht="23.85" hidden="false" customHeight="false" outlineLevel="0" collapsed="false">
      <c r="A193" s="5" t="s">
        <v>547</v>
      </c>
      <c r="B193" s="5" t="s">
        <v>741</v>
      </c>
      <c r="C193" s="5" t="s">
        <v>719</v>
      </c>
      <c r="D193" s="5" t="s">
        <v>361</v>
      </c>
      <c r="E193" s="5" t="s">
        <v>495</v>
      </c>
      <c r="F193" s="5" t="s">
        <v>491</v>
      </c>
      <c r="G193" s="5" t="s">
        <v>492</v>
      </c>
    </row>
    <row r="194" customFormat="false" ht="23.85" hidden="false" customHeight="false" outlineLevel="0" collapsed="false">
      <c r="A194" s="4" t="s">
        <v>549</v>
      </c>
      <c r="B194" s="4" t="s">
        <v>742</v>
      </c>
      <c r="C194" s="4" t="s">
        <v>719</v>
      </c>
      <c r="D194" s="4" t="s">
        <v>361</v>
      </c>
      <c r="E194" s="4" t="s">
        <v>519</v>
      </c>
      <c r="F194" s="4" t="s">
        <v>491</v>
      </c>
      <c r="G194" s="4" t="s">
        <v>492</v>
      </c>
    </row>
    <row r="195" customFormat="false" ht="23.85" hidden="false" customHeight="false" outlineLevel="0" collapsed="false">
      <c r="A195" s="5" t="s">
        <v>551</v>
      </c>
      <c r="B195" s="5" t="s">
        <v>743</v>
      </c>
      <c r="C195" s="5" t="s">
        <v>719</v>
      </c>
      <c r="D195" s="5" t="s">
        <v>505</v>
      </c>
      <c r="E195" s="5" t="s">
        <v>506</v>
      </c>
      <c r="F195" s="5" t="s">
        <v>491</v>
      </c>
      <c r="G195" s="5" t="s">
        <v>492</v>
      </c>
    </row>
    <row r="196" customFormat="false" ht="23.85" hidden="false" customHeight="false" outlineLevel="0" collapsed="false">
      <c r="A196" s="4" t="s">
        <v>553</v>
      </c>
      <c r="B196" s="4" t="s">
        <v>744</v>
      </c>
      <c r="C196" s="4" t="s">
        <v>719</v>
      </c>
      <c r="D196" s="4" t="s">
        <v>498</v>
      </c>
      <c r="E196" s="4" t="s">
        <v>499</v>
      </c>
      <c r="F196" s="4" t="s">
        <v>491</v>
      </c>
      <c r="G196" s="4" t="s">
        <v>492</v>
      </c>
    </row>
    <row r="197" customFormat="false" ht="23.85" hidden="false" customHeight="false" outlineLevel="0" collapsed="false">
      <c r="A197" s="5" t="s">
        <v>555</v>
      </c>
      <c r="B197" s="5" t="s">
        <v>745</v>
      </c>
      <c r="C197" s="5" t="s">
        <v>719</v>
      </c>
      <c r="D197" s="5" t="s">
        <v>505</v>
      </c>
      <c r="E197" s="5" t="s">
        <v>557</v>
      </c>
      <c r="F197" s="5" t="s">
        <v>491</v>
      </c>
      <c r="G197" s="5" t="s">
        <v>492</v>
      </c>
    </row>
    <row r="198" customFormat="false" ht="23.85" hidden="false" customHeight="false" outlineLevel="0" collapsed="false">
      <c r="A198" s="4" t="s">
        <v>558</v>
      </c>
      <c r="B198" s="4" t="s">
        <v>746</v>
      </c>
      <c r="C198" s="4" t="s">
        <v>719</v>
      </c>
      <c r="D198" s="4" t="s">
        <v>361</v>
      </c>
      <c r="E198" s="4" t="s">
        <v>560</v>
      </c>
      <c r="F198" s="4" t="s">
        <v>491</v>
      </c>
      <c r="G198" s="4" t="s">
        <v>492</v>
      </c>
    </row>
    <row r="199" customFormat="false" ht="23.85" hidden="false" customHeight="false" outlineLevel="0" collapsed="false">
      <c r="A199" s="5" t="s">
        <v>561</v>
      </c>
      <c r="B199" s="5" t="s">
        <v>747</v>
      </c>
      <c r="C199" s="5" t="s">
        <v>719</v>
      </c>
      <c r="D199" s="5" t="s">
        <v>498</v>
      </c>
      <c r="E199" s="5" t="s">
        <v>405</v>
      </c>
      <c r="F199" s="5" t="s">
        <v>491</v>
      </c>
      <c r="G199" s="5" t="s">
        <v>492</v>
      </c>
    </row>
    <row r="200" customFormat="false" ht="23.85" hidden="false" customHeight="false" outlineLevel="0" collapsed="false">
      <c r="A200" s="4" t="s">
        <v>563</v>
      </c>
      <c r="B200" s="4" t="s">
        <v>748</v>
      </c>
      <c r="C200" s="4" t="s">
        <v>719</v>
      </c>
      <c r="D200" s="4" t="s">
        <v>361</v>
      </c>
      <c r="E200" s="4" t="s">
        <v>495</v>
      </c>
      <c r="F200" s="4" t="s">
        <v>491</v>
      </c>
      <c r="G200" s="4" t="s">
        <v>492</v>
      </c>
    </row>
    <row r="201" customFormat="false" ht="23.85" hidden="false" customHeight="false" outlineLevel="0" collapsed="false">
      <c r="A201" s="5" t="s">
        <v>565</v>
      </c>
      <c r="B201" s="5" t="s">
        <v>749</v>
      </c>
      <c r="C201" s="5" t="s">
        <v>719</v>
      </c>
      <c r="D201" s="5" t="s">
        <v>361</v>
      </c>
      <c r="E201" s="5" t="s">
        <v>519</v>
      </c>
      <c r="F201" s="5" t="s">
        <v>491</v>
      </c>
      <c r="G201" s="5" t="s">
        <v>492</v>
      </c>
    </row>
    <row r="202" customFormat="false" ht="23.85" hidden="false" customHeight="false" outlineLevel="0" collapsed="false">
      <c r="A202" s="4" t="s">
        <v>567</v>
      </c>
      <c r="B202" s="4" t="s">
        <v>750</v>
      </c>
      <c r="C202" s="4" t="s">
        <v>719</v>
      </c>
      <c r="D202" s="4" t="s">
        <v>367</v>
      </c>
      <c r="E202" s="4" t="s">
        <v>569</v>
      </c>
      <c r="F202" s="4" t="s">
        <v>491</v>
      </c>
      <c r="G202" s="4" t="s">
        <v>492</v>
      </c>
    </row>
    <row r="203" customFormat="false" ht="23.85" hidden="false" customHeight="false" outlineLevel="0" collapsed="false">
      <c r="A203" s="5" t="s">
        <v>570</v>
      </c>
      <c r="B203" s="5" t="s">
        <v>751</v>
      </c>
      <c r="C203" s="5" t="s">
        <v>719</v>
      </c>
      <c r="D203" s="5" t="s">
        <v>505</v>
      </c>
      <c r="E203" s="5" t="s">
        <v>506</v>
      </c>
      <c r="F203" s="5" t="s">
        <v>491</v>
      </c>
      <c r="G203" s="5" t="s">
        <v>492</v>
      </c>
    </row>
    <row r="204" customFormat="false" ht="23.85" hidden="false" customHeight="false" outlineLevel="0" collapsed="false">
      <c r="A204" s="4" t="s">
        <v>572</v>
      </c>
      <c r="B204" s="4" t="s">
        <v>752</v>
      </c>
      <c r="C204" s="4" t="s">
        <v>719</v>
      </c>
      <c r="D204" s="4" t="s">
        <v>498</v>
      </c>
      <c r="E204" s="4" t="s">
        <v>405</v>
      </c>
      <c r="F204" s="4" t="s">
        <v>491</v>
      </c>
      <c r="G204" s="4" t="s">
        <v>492</v>
      </c>
    </row>
    <row r="205" customFormat="false" ht="23.85" hidden="false" customHeight="false" outlineLevel="0" collapsed="false">
      <c r="A205" s="5" t="s">
        <v>574</v>
      </c>
      <c r="B205" s="5" t="s">
        <v>753</v>
      </c>
      <c r="C205" s="5" t="s">
        <v>719</v>
      </c>
      <c r="D205" s="5" t="s">
        <v>505</v>
      </c>
      <c r="E205" s="5" t="s">
        <v>557</v>
      </c>
      <c r="F205" s="5" t="s">
        <v>491</v>
      </c>
      <c r="G205" s="5" t="s">
        <v>492</v>
      </c>
    </row>
    <row r="206" customFormat="false" ht="23.85" hidden="false" customHeight="false" outlineLevel="0" collapsed="false">
      <c r="A206" s="4" t="s">
        <v>576</v>
      </c>
      <c r="B206" s="4" t="s">
        <v>754</v>
      </c>
      <c r="C206" s="4" t="s">
        <v>719</v>
      </c>
      <c r="D206" s="4" t="s">
        <v>498</v>
      </c>
      <c r="E206" s="4" t="s">
        <v>499</v>
      </c>
      <c r="F206" s="4" t="s">
        <v>491</v>
      </c>
      <c r="G206" s="4" t="s">
        <v>492</v>
      </c>
    </row>
    <row r="207" customFormat="false" ht="23.85" hidden="false" customHeight="false" outlineLevel="0" collapsed="false">
      <c r="A207" s="5" t="s">
        <v>578</v>
      </c>
      <c r="B207" s="5" t="s">
        <v>755</v>
      </c>
      <c r="C207" s="5" t="s">
        <v>719</v>
      </c>
      <c r="D207" s="5" t="s">
        <v>367</v>
      </c>
      <c r="E207" s="5" t="s">
        <v>580</v>
      </c>
      <c r="F207" s="5" t="s">
        <v>491</v>
      </c>
      <c r="G207" s="5" t="s">
        <v>492</v>
      </c>
    </row>
    <row r="208" customFormat="false" ht="23.85" hidden="false" customHeight="false" outlineLevel="0" collapsed="false">
      <c r="A208" s="4" t="s">
        <v>581</v>
      </c>
      <c r="B208" s="4" t="s">
        <v>756</v>
      </c>
      <c r="C208" s="4" t="s">
        <v>719</v>
      </c>
      <c r="D208" s="4" t="s">
        <v>367</v>
      </c>
      <c r="E208" s="4" t="s">
        <v>509</v>
      </c>
      <c r="F208" s="4" t="s">
        <v>491</v>
      </c>
      <c r="G208" s="4" t="s">
        <v>492</v>
      </c>
    </row>
    <row r="209" customFormat="false" ht="23.85" hidden="false" customHeight="false" outlineLevel="0" collapsed="false">
      <c r="A209" s="5" t="s">
        <v>583</v>
      </c>
      <c r="B209" s="5" t="s">
        <v>757</v>
      </c>
      <c r="C209" s="5" t="s">
        <v>719</v>
      </c>
      <c r="D209" s="5" t="s">
        <v>361</v>
      </c>
      <c r="E209" s="5" t="s">
        <v>495</v>
      </c>
      <c r="F209" s="5" t="s">
        <v>491</v>
      </c>
      <c r="G209" s="5" t="s">
        <v>492</v>
      </c>
    </row>
    <row r="210" customFormat="false" ht="23.85" hidden="false" customHeight="false" outlineLevel="0" collapsed="false">
      <c r="A210" s="4" t="s">
        <v>585</v>
      </c>
      <c r="B210" s="4" t="s">
        <v>758</v>
      </c>
      <c r="C210" s="4" t="s">
        <v>719</v>
      </c>
      <c r="D210" s="4" t="s">
        <v>361</v>
      </c>
      <c r="E210" s="4" t="s">
        <v>519</v>
      </c>
      <c r="F210" s="4" t="s">
        <v>491</v>
      </c>
      <c r="G210" s="4" t="s">
        <v>492</v>
      </c>
    </row>
    <row r="211" customFormat="false" ht="23.85" hidden="false" customHeight="false" outlineLevel="0" collapsed="false">
      <c r="A211" s="5" t="s">
        <v>587</v>
      </c>
      <c r="B211" s="5" t="s">
        <v>759</v>
      </c>
      <c r="C211" s="5" t="s">
        <v>719</v>
      </c>
      <c r="D211" s="5" t="s">
        <v>505</v>
      </c>
      <c r="E211" s="5" t="s">
        <v>506</v>
      </c>
      <c r="F211" s="5" t="s">
        <v>491</v>
      </c>
      <c r="G211" s="5" t="s">
        <v>492</v>
      </c>
    </row>
    <row r="212" customFormat="false" ht="23.85" hidden="false" customHeight="false" outlineLevel="0" collapsed="false">
      <c r="A212" s="4" t="s">
        <v>760</v>
      </c>
      <c r="B212" s="4" t="s">
        <v>761</v>
      </c>
      <c r="C212" s="4" t="s">
        <v>762</v>
      </c>
      <c r="D212" s="4" t="s">
        <v>595</v>
      </c>
      <c r="E212" s="4" t="s">
        <v>763</v>
      </c>
      <c r="F212" s="4" t="s">
        <v>764</v>
      </c>
      <c r="G212" s="4" t="s">
        <v>764</v>
      </c>
    </row>
    <row r="213" customFormat="false" ht="23.85" hidden="false" customHeight="false" outlineLevel="0" collapsed="false">
      <c r="A213" s="5" t="s">
        <v>765</v>
      </c>
      <c r="B213" s="5" t="s">
        <v>766</v>
      </c>
      <c r="C213" s="5" t="s">
        <v>762</v>
      </c>
      <c r="D213" s="5" t="s">
        <v>595</v>
      </c>
      <c r="E213" s="5" t="s">
        <v>767</v>
      </c>
      <c r="F213" s="5" t="s">
        <v>764</v>
      </c>
      <c r="G213" s="5" t="s">
        <v>764</v>
      </c>
    </row>
    <row r="214" customFormat="false" ht="23.85" hidden="false" customHeight="false" outlineLevel="0" collapsed="false">
      <c r="A214" s="4" t="s">
        <v>768</v>
      </c>
      <c r="B214" s="4" t="s">
        <v>769</v>
      </c>
      <c r="C214" s="4" t="s">
        <v>762</v>
      </c>
      <c r="D214" s="4" t="s">
        <v>595</v>
      </c>
      <c r="E214" s="4" t="s">
        <v>770</v>
      </c>
      <c r="F214" s="4" t="s">
        <v>764</v>
      </c>
      <c r="G214" s="4" t="s">
        <v>764</v>
      </c>
    </row>
    <row r="215" customFormat="false" ht="23.85" hidden="false" customHeight="false" outlineLevel="0" collapsed="false">
      <c r="A215" s="5" t="s">
        <v>771</v>
      </c>
      <c r="B215" s="5" t="s">
        <v>772</v>
      </c>
      <c r="C215" s="5" t="s">
        <v>762</v>
      </c>
      <c r="D215" s="5" t="s">
        <v>595</v>
      </c>
      <c r="E215" s="5" t="s">
        <v>773</v>
      </c>
      <c r="F215" s="5" t="s">
        <v>764</v>
      </c>
      <c r="G215" s="5" t="s">
        <v>764</v>
      </c>
    </row>
    <row r="216" customFormat="false" ht="23.85" hidden="false" customHeight="false" outlineLevel="0" collapsed="false">
      <c r="A216" s="4" t="s">
        <v>774</v>
      </c>
      <c r="B216" s="4" t="s">
        <v>775</v>
      </c>
      <c r="C216" s="4" t="s">
        <v>762</v>
      </c>
      <c r="D216" s="4" t="s">
        <v>595</v>
      </c>
      <c r="E216" s="4" t="s">
        <v>776</v>
      </c>
      <c r="F216" s="4" t="s">
        <v>764</v>
      </c>
      <c r="G216" s="4" t="s">
        <v>764</v>
      </c>
    </row>
    <row r="217" customFormat="false" ht="23.85" hidden="false" customHeight="false" outlineLevel="0" collapsed="false">
      <c r="A217" s="5" t="s">
        <v>777</v>
      </c>
      <c r="B217" s="5" t="s">
        <v>778</v>
      </c>
      <c r="C217" s="5" t="s">
        <v>762</v>
      </c>
      <c r="D217" s="5" t="s">
        <v>595</v>
      </c>
      <c r="E217" s="5" t="s">
        <v>779</v>
      </c>
      <c r="F217" s="5" t="s">
        <v>764</v>
      </c>
      <c r="G217" s="5" t="s">
        <v>764</v>
      </c>
    </row>
    <row r="218" customFormat="false" ht="23.85" hidden="false" customHeight="false" outlineLevel="0" collapsed="false">
      <c r="A218" s="4" t="s">
        <v>780</v>
      </c>
      <c r="B218" s="4" t="s">
        <v>781</v>
      </c>
      <c r="C218" s="4" t="s">
        <v>762</v>
      </c>
      <c r="D218" s="4" t="s">
        <v>595</v>
      </c>
      <c r="E218" s="4" t="s">
        <v>782</v>
      </c>
      <c r="F218" s="4" t="s">
        <v>764</v>
      </c>
      <c r="G218" s="4" t="s">
        <v>764</v>
      </c>
    </row>
    <row r="219" customFormat="false" ht="23.85" hidden="false" customHeight="false" outlineLevel="0" collapsed="false">
      <c r="A219" s="5" t="s">
        <v>783</v>
      </c>
      <c r="B219" s="5" t="s">
        <v>784</v>
      </c>
      <c r="C219" s="5" t="s">
        <v>762</v>
      </c>
      <c r="D219" s="5" t="s">
        <v>595</v>
      </c>
      <c r="E219" s="5" t="s">
        <v>785</v>
      </c>
      <c r="F219" s="5" t="s">
        <v>764</v>
      </c>
      <c r="G219" s="5" t="s">
        <v>764</v>
      </c>
    </row>
    <row r="220" customFormat="false" ht="23.85" hidden="false" customHeight="false" outlineLevel="0" collapsed="false">
      <c r="A220" s="4" t="s">
        <v>786</v>
      </c>
      <c r="B220" s="4" t="s">
        <v>787</v>
      </c>
      <c r="C220" s="4" t="s">
        <v>762</v>
      </c>
      <c r="D220" s="4" t="s">
        <v>595</v>
      </c>
      <c r="E220" s="4" t="s">
        <v>788</v>
      </c>
      <c r="F220" s="4" t="s">
        <v>764</v>
      </c>
      <c r="G220" s="4" t="s">
        <v>764</v>
      </c>
    </row>
    <row r="221" customFormat="false" ht="23.85" hidden="false" customHeight="false" outlineLevel="0" collapsed="false">
      <c r="A221" s="5" t="s">
        <v>789</v>
      </c>
      <c r="B221" s="5" t="s">
        <v>790</v>
      </c>
      <c r="C221" s="5" t="s">
        <v>762</v>
      </c>
      <c r="D221" s="5" t="s">
        <v>595</v>
      </c>
      <c r="E221" s="5" t="s">
        <v>791</v>
      </c>
      <c r="F221" s="5" t="s">
        <v>764</v>
      </c>
      <c r="G221" s="5" t="s">
        <v>764</v>
      </c>
    </row>
    <row r="222" customFormat="false" ht="23.85" hidden="false" customHeight="false" outlineLevel="0" collapsed="false">
      <c r="A222" s="4" t="s">
        <v>792</v>
      </c>
      <c r="B222" s="4" t="s">
        <v>793</v>
      </c>
      <c r="C222" s="4" t="s">
        <v>762</v>
      </c>
      <c r="D222" s="4" t="s">
        <v>595</v>
      </c>
      <c r="E222" s="4" t="s">
        <v>794</v>
      </c>
      <c r="F222" s="4" t="s">
        <v>764</v>
      </c>
      <c r="G222" s="4" t="s">
        <v>764</v>
      </c>
    </row>
    <row r="223" customFormat="false" ht="23.85" hidden="false" customHeight="false" outlineLevel="0" collapsed="false">
      <c r="A223" s="5" t="s">
        <v>795</v>
      </c>
      <c r="B223" s="5" t="s">
        <v>796</v>
      </c>
      <c r="C223" s="5" t="s">
        <v>762</v>
      </c>
      <c r="D223" s="5" t="s">
        <v>595</v>
      </c>
      <c r="E223" s="5" t="s">
        <v>797</v>
      </c>
      <c r="F223" s="5" t="s">
        <v>764</v>
      </c>
      <c r="G223" s="5" t="s">
        <v>764</v>
      </c>
    </row>
    <row r="224" customFormat="false" ht="23.85" hidden="false" customHeight="false" outlineLevel="0" collapsed="false">
      <c r="A224" s="4" t="s">
        <v>798</v>
      </c>
      <c r="B224" s="4" t="s">
        <v>799</v>
      </c>
      <c r="C224" s="4" t="s">
        <v>762</v>
      </c>
      <c r="D224" s="4" t="s">
        <v>595</v>
      </c>
      <c r="E224" s="4" t="s">
        <v>800</v>
      </c>
      <c r="F224" s="4" t="s">
        <v>764</v>
      </c>
      <c r="G224" s="4" t="s">
        <v>764</v>
      </c>
    </row>
    <row r="225" customFormat="false" ht="23.85" hidden="false" customHeight="false" outlineLevel="0" collapsed="false">
      <c r="A225" s="5" t="s">
        <v>801</v>
      </c>
      <c r="B225" s="5" t="s">
        <v>802</v>
      </c>
      <c r="C225" s="5" t="s">
        <v>762</v>
      </c>
      <c r="D225" s="5" t="s">
        <v>595</v>
      </c>
      <c r="E225" s="5" t="s">
        <v>803</v>
      </c>
      <c r="F225" s="5" t="s">
        <v>764</v>
      </c>
      <c r="G225" s="5" t="s">
        <v>764</v>
      </c>
    </row>
    <row r="226" customFormat="false" ht="23.85" hidden="false" customHeight="false" outlineLevel="0" collapsed="false">
      <c r="A226" s="4" t="s">
        <v>804</v>
      </c>
      <c r="B226" s="4" t="s">
        <v>805</v>
      </c>
      <c r="C226" s="4" t="s">
        <v>762</v>
      </c>
      <c r="D226" s="4" t="s">
        <v>595</v>
      </c>
      <c r="E226" s="4" t="s">
        <v>806</v>
      </c>
      <c r="F226" s="4" t="s">
        <v>764</v>
      </c>
      <c r="G226" s="4" t="s">
        <v>764</v>
      </c>
    </row>
    <row r="227" customFormat="false" ht="23.85" hidden="false" customHeight="false" outlineLevel="0" collapsed="false">
      <c r="A227" s="5" t="s">
        <v>807</v>
      </c>
      <c r="B227" s="5" t="s">
        <v>808</v>
      </c>
      <c r="C227" s="5" t="s">
        <v>762</v>
      </c>
      <c r="D227" s="5" t="s">
        <v>595</v>
      </c>
      <c r="E227" s="5" t="s">
        <v>809</v>
      </c>
      <c r="F227" s="5" t="s">
        <v>764</v>
      </c>
      <c r="G227" s="5" t="s">
        <v>764</v>
      </c>
    </row>
    <row r="228" customFormat="false" ht="23.85" hidden="false" customHeight="false" outlineLevel="0" collapsed="false">
      <c r="A228" s="4" t="s">
        <v>810</v>
      </c>
      <c r="B228" s="4" t="s">
        <v>811</v>
      </c>
      <c r="C228" s="4" t="s">
        <v>762</v>
      </c>
      <c r="D228" s="4" t="s">
        <v>595</v>
      </c>
      <c r="E228" s="4" t="s">
        <v>812</v>
      </c>
      <c r="F228" s="4" t="s">
        <v>764</v>
      </c>
      <c r="G228" s="4" t="s">
        <v>764</v>
      </c>
    </row>
    <row r="229" customFormat="false" ht="23.85" hidden="false" customHeight="false" outlineLevel="0" collapsed="false">
      <c r="A229" s="5" t="s">
        <v>813</v>
      </c>
      <c r="B229" s="5" t="s">
        <v>814</v>
      </c>
      <c r="C229" s="5" t="s">
        <v>762</v>
      </c>
      <c r="D229" s="5" t="s">
        <v>595</v>
      </c>
      <c r="E229" s="5" t="s">
        <v>815</v>
      </c>
      <c r="F229" s="5" t="s">
        <v>764</v>
      </c>
      <c r="G229" s="5" t="s">
        <v>764</v>
      </c>
    </row>
    <row r="230" customFormat="false" ht="23.85" hidden="false" customHeight="false" outlineLevel="0" collapsed="false">
      <c r="A230" s="4" t="s">
        <v>816</v>
      </c>
      <c r="B230" s="4" t="s">
        <v>817</v>
      </c>
      <c r="C230" s="4" t="s">
        <v>762</v>
      </c>
      <c r="D230" s="4" t="s">
        <v>595</v>
      </c>
      <c r="E230" s="4" t="s">
        <v>818</v>
      </c>
      <c r="F230" s="4" t="s">
        <v>764</v>
      </c>
      <c r="G230" s="4" t="s">
        <v>764</v>
      </c>
    </row>
    <row r="231" customFormat="false" ht="23.85" hidden="false" customHeight="false" outlineLevel="0" collapsed="false">
      <c r="A231" s="5" t="s">
        <v>819</v>
      </c>
      <c r="B231" s="5" t="s">
        <v>820</v>
      </c>
      <c r="C231" s="5" t="s">
        <v>762</v>
      </c>
      <c r="D231" s="5" t="s">
        <v>595</v>
      </c>
      <c r="E231" s="5" t="s">
        <v>821</v>
      </c>
      <c r="F231" s="5" t="s">
        <v>764</v>
      </c>
      <c r="G231" s="5" t="s">
        <v>764</v>
      </c>
    </row>
    <row r="232" customFormat="false" ht="23.85" hidden="false" customHeight="false" outlineLevel="0" collapsed="false">
      <c r="A232" s="4" t="s">
        <v>822</v>
      </c>
      <c r="B232" s="4" t="s">
        <v>823</v>
      </c>
      <c r="C232" s="4" t="s">
        <v>762</v>
      </c>
      <c r="D232" s="4" t="s">
        <v>595</v>
      </c>
      <c r="E232" s="4" t="s">
        <v>824</v>
      </c>
      <c r="F232" s="4" t="s">
        <v>764</v>
      </c>
      <c r="G232" s="4" t="s">
        <v>764</v>
      </c>
    </row>
    <row r="233" customFormat="false" ht="23.85" hidden="false" customHeight="false" outlineLevel="0" collapsed="false">
      <c r="A233" s="5" t="s">
        <v>825</v>
      </c>
      <c r="B233" s="5" t="s">
        <v>826</v>
      </c>
      <c r="C233" s="5" t="s">
        <v>762</v>
      </c>
      <c r="D233" s="5" t="s">
        <v>595</v>
      </c>
      <c r="E233" s="5" t="s">
        <v>827</v>
      </c>
      <c r="F233" s="5" t="s">
        <v>764</v>
      </c>
      <c r="G233" s="5" t="s">
        <v>764</v>
      </c>
    </row>
    <row r="234" customFormat="false" ht="23.85" hidden="false" customHeight="false" outlineLevel="0" collapsed="false">
      <c r="A234" s="4" t="s">
        <v>828</v>
      </c>
      <c r="B234" s="4" t="s">
        <v>829</v>
      </c>
      <c r="C234" s="4" t="s">
        <v>762</v>
      </c>
      <c r="D234" s="4" t="s">
        <v>595</v>
      </c>
      <c r="E234" s="4" t="s">
        <v>773</v>
      </c>
      <c r="F234" s="4" t="s">
        <v>764</v>
      </c>
      <c r="G234" s="4" t="s">
        <v>764</v>
      </c>
    </row>
    <row r="235" customFormat="false" ht="23.85" hidden="false" customHeight="false" outlineLevel="0" collapsed="false">
      <c r="A235" s="5" t="s">
        <v>830</v>
      </c>
      <c r="B235" s="5" t="s">
        <v>831</v>
      </c>
      <c r="C235" s="5" t="s">
        <v>762</v>
      </c>
      <c r="D235" s="5" t="s">
        <v>595</v>
      </c>
      <c r="E235" s="5" t="s">
        <v>832</v>
      </c>
      <c r="F235" s="5" t="s">
        <v>764</v>
      </c>
      <c r="G235" s="5" t="s">
        <v>764</v>
      </c>
    </row>
    <row r="236" customFormat="false" ht="23.85" hidden="false" customHeight="false" outlineLevel="0" collapsed="false">
      <c r="A236" s="4" t="s">
        <v>833</v>
      </c>
      <c r="B236" s="4" t="s">
        <v>834</v>
      </c>
      <c r="C236" s="4" t="s">
        <v>762</v>
      </c>
      <c r="D236" s="4" t="s">
        <v>595</v>
      </c>
      <c r="E236" s="4" t="s">
        <v>835</v>
      </c>
      <c r="F236" s="4" t="s">
        <v>764</v>
      </c>
      <c r="G236" s="4" t="s">
        <v>764</v>
      </c>
    </row>
    <row r="237" customFormat="false" ht="23.85" hidden="false" customHeight="false" outlineLevel="0" collapsed="false">
      <c r="A237" s="5" t="s">
        <v>836</v>
      </c>
      <c r="B237" s="5" t="s">
        <v>837</v>
      </c>
      <c r="C237" s="5" t="s">
        <v>762</v>
      </c>
      <c r="D237" s="5" t="s">
        <v>595</v>
      </c>
      <c r="E237" s="5" t="s">
        <v>838</v>
      </c>
      <c r="F237" s="5" t="s">
        <v>764</v>
      </c>
      <c r="G237" s="5" t="s">
        <v>764</v>
      </c>
    </row>
    <row r="238" customFormat="false" ht="23.85" hidden="false" customHeight="false" outlineLevel="0" collapsed="false">
      <c r="A238" s="4" t="s">
        <v>839</v>
      </c>
      <c r="B238" s="4" t="s">
        <v>840</v>
      </c>
      <c r="C238" s="4" t="s">
        <v>762</v>
      </c>
      <c r="D238" s="4" t="s">
        <v>595</v>
      </c>
      <c r="E238" s="4" t="s">
        <v>841</v>
      </c>
      <c r="F238" s="4" t="s">
        <v>764</v>
      </c>
      <c r="G238" s="4" t="s">
        <v>764</v>
      </c>
    </row>
    <row r="239" customFormat="false" ht="23.85" hidden="false" customHeight="false" outlineLevel="0" collapsed="false">
      <c r="A239" s="5" t="s">
        <v>842</v>
      </c>
      <c r="B239" s="5" t="s">
        <v>843</v>
      </c>
      <c r="C239" s="5" t="s">
        <v>762</v>
      </c>
      <c r="D239" s="5" t="s">
        <v>595</v>
      </c>
      <c r="E239" s="5" t="s">
        <v>844</v>
      </c>
      <c r="F239" s="5" t="s">
        <v>764</v>
      </c>
      <c r="G239" s="5" t="s">
        <v>764</v>
      </c>
    </row>
    <row r="240" customFormat="false" ht="23.85" hidden="false" customHeight="false" outlineLevel="0" collapsed="false">
      <c r="A240" s="4" t="s">
        <v>845</v>
      </c>
      <c r="B240" s="4" t="s">
        <v>846</v>
      </c>
      <c r="C240" s="4" t="s">
        <v>762</v>
      </c>
      <c r="D240" s="4" t="s">
        <v>595</v>
      </c>
      <c r="E240" s="4" t="s">
        <v>847</v>
      </c>
      <c r="F240" s="4" t="s">
        <v>764</v>
      </c>
      <c r="G240" s="4" t="s">
        <v>764</v>
      </c>
    </row>
    <row r="241" customFormat="false" ht="23.85" hidden="false" customHeight="false" outlineLevel="0" collapsed="false">
      <c r="A241" s="5" t="s">
        <v>848</v>
      </c>
      <c r="B241" s="5" t="s">
        <v>849</v>
      </c>
      <c r="C241" s="5" t="s">
        <v>762</v>
      </c>
      <c r="D241" s="5" t="s">
        <v>595</v>
      </c>
      <c r="E241" s="5" t="s">
        <v>850</v>
      </c>
      <c r="F241" s="5" t="s">
        <v>764</v>
      </c>
      <c r="G241" s="5" t="s">
        <v>764</v>
      </c>
    </row>
    <row r="242" customFormat="false" ht="23.85" hidden="false" customHeight="false" outlineLevel="0" collapsed="false">
      <c r="A242" s="4" t="s">
        <v>851</v>
      </c>
      <c r="B242" s="4" t="s">
        <v>852</v>
      </c>
      <c r="C242" s="4" t="s">
        <v>762</v>
      </c>
      <c r="D242" s="4" t="s">
        <v>595</v>
      </c>
      <c r="E242" s="4" t="s">
        <v>853</v>
      </c>
      <c r="F242" s="4" t="s">
        <v>764</v>
      </c>
      <c r="G242" s="4" t="s">
        <v>764</v>
      </c>
    </row>
    <row r="243" customFormat="false" ht="23.85" hidden="false" customHeight="false" outlineLevel="0" collapsed="false">
      <c r="A243" s="5" t="s">
        <v>854</v>
      </c>
      <c r="B243" s="5" t="s">
        <v>855</v>
      </c>
      <c r="C243" s="5" t="s">
        <v>762</v>
      </c>
      <c r="D243" s="5" t="s">
        <v>595</v>
      </c>
      <c r="E243" s="5" t="s">
        <v>856</v>
      </c>
      <c r="F243" s="5" t="s">
        <v>764</v>
      </c>
      <c r="G243" s="5" t="s">
        <v>764</v>
      </c>
    </row>
    <row r="244" customFormat="false" ht="23.85" hidden="false" customHeight="false" outlineLevel="0" collapsed="false">
      <c r="A244" s="4" t="s">
        <v>857</v>
      </c>
      <c r="B244" s="4" t="s">
        <v>858</v>
      </c>
      <c r="C244" s="4" t="s">
        <v>762</v>
      </c>
      <c r="D244" s="4" t="s">
        <v>595</v>
      </c>
      <c r="E244" s="4" t="s">
        <v>859</v>
      </c>
      <c r="F244" s="4" t="s">
        <v>764</v>
      </c>
      <c r="G244" s="4" t="s">
        <v>764</v>
      </c>
    </row>
    <row r="245" customFormat="false" ht="23.85" hidden="false" customHeight="false" outlineLevel="0" collapsed="false">
      <c r="A245" s="5" t="s">
        <v>860</v>
      </c>
      <c r="B245" s="5" t="s">
        <v>861</v>
      </c>
      <c r="C245" s="5" t="s">
        <v>762</v>
      </c>
      <c r="D245" s="5" t="s">
        <v>595</v>
      </c>
      <c r="E245" s="5" t="s">
        <v>862</v>
      </c>
      <c r="F245" s="5" t="s">
        <v>764</v>
      </c>
      <c r="G245" s="5" t="s">
        <v>764</v>
      </c>
    </row>
    <row r="246" customFormat="false" ht="23.85" hidden="false" customHeight="false" outlineLevel="0" collapsed="false">
      <c r="A246" s="4" t="s">
        <v>863</v>
      </c>
      <c r="B246" s="4" t="s">
        <v>864</v>
      </c>
      <c r="C246" s="4" t="s">
        <v>762</v>
      </c>
      <c r="D246" s="4" t="s">
        <v>595</v>
      </c>
      <c r="E246" s="4" t="s">
        <v>865</v>
      </c>
      <c r="F246" s="4" t="s">
        <v>764</v>
      </c>
      <c r="G246" s="4" t="s">
        <v>764</v>
      </c>
    </row>
    <row r="247" customFormat="false" ht="23.85" hidden="false" customHeight="false" outlineLevel="0" collapsed="false">
      <c r="A247" s="5" t="s">
        <v>866</v>
      </c>
      <c r="B247" s="5" t="s">
        <v>867</v>
      </c>
      <c r="C247" s="5" t="s">
        <v>762</v>
      </c>
      <c r="D247" s="5" t="s">
        <v>595</v>
      </c>
      <c r="E247" s="5" t="s">
        <v>868</v>
      </c>
      <c r="F247" s="5" t="s">
        <v>764</v>
      </c>
      <c r="G247" s="5" t="s">
        <v>764</v>
      </c>
    </row>
    <row r="248" customFormat="false" ht="23.85" hidden="false" customHeight="false" outlineLevel="0" collapsed="false">
      <c r="A248" s="4" t="s">
        <v>869</v>
      </c>
      <c r="B248" s="4" t="s">
        <v>870</v>
      </c>
      <c r="C248" s="4" t="s">
        <v>762</v>
      </c>
      <c r="D248" s="4" t="s">
        <v>595</v>
      </c>
      <c r="E248" s="4" t="s">
        <v>871</v>
      </c>
      <c r="F248" s="4" t="s">
        <v>764</v>
      </c>
      <c r="G248" s="4" t="s">
        <v>764</v>
      </c>
    </row>
    <row r="249" customFormat="false" ht="23.85" hidden="false" customHeight="false" outlineLevel="0" collapsed="false">
      <c r="A249" s="5" t="s">
        <v>872</v>
      </c>
      <c r="B249" s="5" t="s">
        <v>873</v>
      </c>
      <c r="C249" s="5" t="s">
        <v>762</v>
      </c>
      <c r="D249" s="5" t="s">
        <v>595</v>
      </c>
      <c r="E249" s="5" t="s">
        <v>874</v>
      </c>
      <c r="F249" s="5" t="s">
        <v>764</v>
      </c>
      <c r="G249" s="5" t="s">
        <v>764</v>
      </c>
    </row>
    <row r="250" customFormat="false" ht="23.85" hidden="false" customHeight="false" outlineLevel="0" collapsed="false">
      <c r="A250" s="4" t="s">
        <v>875</v>
      </c>
      <c r="B250" s="4" t="s">
        <v>876</v>
      </c>
      <c r="C250" s="4" t="s">
        <v>762</v>
      </c>
      <c r="D250" s="4" t="s">
        <v>595</v>
      </c>
      <c r="E250" s="4" t="s">
        <v>877</v>
      </c>
      <c r="F250" s="4" t="s">
        <v>764</v>
      </c>
      <c r="G250" s="4" t="s">
        <v>764</v>
      </c>
    </row>
    <row r="251" customFormat="false" ht="23.85" hidden="false" customHeight="false" outlineLevel="0" collapsed="false">
      <c r="A251" s="5" t="s">
        <v>878</v>
      </c>
      <c r="B251" s="5" t="s">
        <v>879</v>
      </c>
      <c r="C251" s="5" t="s">
        <v>880</v>
      </c>
      <c r="D251" s="5" t="s">
        <v>595</v>
      </c>
      <c r="E251" s="5" t="s">
        <v>881</v>
      </c>
      <c r="F251" s="5" t="s">
        <v>764</v>
      </c>
      <c r="G251" s="5" t="s">
        <v>764</v>
      </c>
    </row>
    <row r="252" customFormat="false" ht="35.05" hidden="false" customHeight="false" outlineLevel="0" collapsed="false">
      <c r="A252" s="4" t="s">
        <v>882</v>
      </c>
      <c r="B252" s="4" t="s">
        <v>883</v>
      </c>
      <c r="C252" s="4" t="s">
        <v>880</v>
      </c>
      <c r="D252" s="4" t="s">
        <v>595</v>
      </c>
      <c r="E252" s="4" t="s">
        <v>884</v>
      </c>
      <c r="F252" s="4" t="s">
        <v>764</v>
      </c>
      <c r="G252" s="4" t="s">
        <v>764</v>
      </c>
    </row>
    <row r="253" customFormat="false" ht="35.05" hidden="false" customHeight="false" outlineLevel="0" collapsed="false">
      <c r="A253" s="5" t="s">
        <v>885</v>
      </c>
      <c r="B253" s="5" t="s">
        <v>886</v>
      </c>
      <c r="C253" s="5" t="s">
        <v>880</v>
      </c>
      <c r="D253" s="5" t="s">
        <v>595</v>
      </c>
      <c r="E253" s="5" t="s">
        <v>887</v>
      </c>
      <c r="F253" s="5" t="s">
        <v>764</v>
      </c>
      <c r="G253" s="5" t="s">
        <v>764</v>
      </c>
    </row>
    <row r="254" customFormat="false" ht="35.05" hidden="false" customHeight="false" outlineLevel="0" collapsed="false">
      <c r="A254" s="4" t="s">
        <v>888</v>
      </c>
      <c r="B254" s="4" t="s">
        <v>889</v>
      </c>
      <c r="C254" s="4" t="s">
        <v>880</v>
      </c>
      <c r="D254" s="4" t="s">
        <v>595</v>
      </c>
      <c r="E254" s="4" t="s">
        <v>890</v>
      </c>
      <c r="F254" s="4" t="s">
        <v>764</v>
      </c>
      <c r="G254" s="4" t="s">
        <v>764</v>
      </c>
    </row>
    <row r="255" customFormat="false" ht="23.85" hidden="false" customHeight="false" outlineLevel="0" collapsed="false">
      <c r="A255" s="5" t="s">
        <v>891</v>
      </c>
      <c r="B255" s="5" t="s">
        <v>892</v>
      </c>
      <c r="C255" s="5" t="s">
        <v>880</v>
      </c>
      <c r="D255" s="5" t="s">
        <v>595</v>
      </c>
      <c r="E255" s="5" t="s">
        <v>893</v>
      </c>
      <c r="F255" s="5" t="s">
        <v>764</v>
      </c>
      <c r="G255" s="5" t="s">
        <v>764</v>
      </c>
    </row>
    <row r="256" customFormat="false" ht="35.05" hidden="false" customHeight="false" outlineLevel="0" collapsed="false">
      <c r="A256" s="4" t="s">
        <v>894</v>
      </c>
      <c r="B256" s="4" t="s">
        <v>895</v>
      </c>
      <c r="C256" s="4" t="s">
        <v>880</v>
      </c>
      <c r="D256" s="4" t="s">
        <v>595</v>
      </c>
      <c r="E256" s="4" t="s">
        <v>699</v>
      </c>
      <c r="F256" s="4" t="s">
        <v>764</v>
      </c>
      <c r="G256" s="4" t="s">
        <v>764</v>
      </c>
    </row>
    <row r="257" customFormat="false" ht="23.85" hidden="false" customHeight="false" outlineLevel="0" collapsed="false">
      <c r="A257" s="5" t="s">
        <v>896</v>
      </c>
      <c r="B257" s="5" t="s">
        <v>897</v>
      </c>
      <c r="C257" s="5" t="s">
        <v>880</v>
      </c>
      <c r="D257" s="5" t="s">
        <v>595</v>
      </c>
      <c r="E257" s="5" t="s">
        <v>898</v>
      </c>
      <c r="F257" s="5" t="s">
        <v>764</v>
      </c>
      <c r="G257" s="5" t="s">
        <v>764</v>
      </c>
    </row>
    <row r="258" customFormat="false" ht="23.85" hidden="false" customHeight="false" outlineLevel="0" collapsed="false">
      <c r="A258" s="4" t="s">
        <v>899</v>
      </c>
      <c r="B258" s="4" t="s">
        <v>900</v>
      </c>
      <c r="C258" s="4" t="s">
        <v>880</v>
      </c>
      <c r="D258" s="4" t="s">
        <v>595</v>
      </c>
      <c r="E258" s="4" t="s">
        <v>901</v>
      </c>
      <c r="F258" s="4" t="s">
        <v>764</v>
      </c>
      <c r="G258" s="4" t="s">
        <v>764</v>
      </c>
    </row>
    <row r="259" customFormat="false" ht="23.85" hidden="false" customHeight="false" outlineLevel="0" collapsed="false">
      <c r="A259" s="5" t="s">
        <v>902</v>
      </c>
      <c r="B259" s="5" t="s">
        <v>903</v>
      </c>
      <c r="C259" s="5" t="s">
        <v>880</v>
      </c>
      <c r="D259" s="5" t="s">
        <v>595</v>
      </c>
      <c r="E259" s="5" t="s">
        <v>904</v>
      </c>
      <c r="F259" s="5" t="s">
        <v>764</v>
      </c>
      <c r="G259" s="5" t="s">
        <v>764</v>
      </c>
    </row>
    <row r="260" customFormat="false" ht="35.05" hidden="false" customHeight="false" outlineLevel="0" collapsed="false">
      <c r="A260" s="4" t="s">
        <v>905</v>
      </c>
      <c r="B260" s="4" t="s">
        <v>906</v>
      </c>
      <c r="C260" s="4" t="s">
        <v>880</v>
      </c>
      <c r="D260" s="4" t="s">
        <v>595</v>
      </c>
      <c r="E260" s="4" t="s">
        <v>907</v>
      </c>
      <c r="F260" s="4" t="s">
        <v>764</v>
      </c>
      <c r="G260" s="4" t="s">
        <v>764</v>
      </c>
    </row>
    <row r="261" customFormat="false" ht="35.05" hidden="false" customHeight="false" outlineLevel="0" collapsed="false">
      <c r="A261" s="5" t="s">
        <v>908</v>
      </c>
      <c r="B261" s="5" t="s">
        <v>909</v>
      </c>
      <c r="C261" s="5" t="s">
        <v>880</v>
      </c>
      <c r="D261" s="5" t="s">
        <v>595</v>
      </c>
      <c r="E261" s="5" t="s">
        <v>910</v>
      </c>
      <c r="F261" s="5" t="s">
        <v>764</v>
      </c>
      <c r="G261" s="5" t="s">
        <v>764</v>
      </c>
    </row>
    <row r="262" customFormat="false" ht="23.85" hidden="false" customHeight="false" outlineLevel="0" collapsed="false">
      <c r="A262" s="4" t="s">
        <v>911</v>
      </c>
      <c r="B262" s="4" t="s">
        <v>912</v>
      </c>
      <c r="C262" s="4" t="s">
        <v>880</v>
      </c>
      <c r="D262" s="4" t="s">
        <v>595</v>
      </c>
      <c r="E262" s="4" t="s">
        <v>913</v>
      </c>
      <c r="F262" s="4" t="s">
        <v>764</v>
      </c>
      <c r="G262" s="4" t="s">
        <v>764</v>
      </c>
    </row>
    <row r="263" customFormat="false" ht="35.05" hidden="false" customHeight="false" outlineLevel="0" collapsed="false">
      <c r="A263" s="5" t="s">
        <v>914</v>
      </c>
      <c r="B263" s="5" t="s">
        <v>915</v>
      </c>
      <c r="C263" s="5" t="s">
        <v>880</v>
      </c>
      <c r="D263" s="5" t="s">
        <v>595</v>
      </c>
      <c r="E263" s="5" t="s">
        <v>916</v>
      </c>
      <c r="F263" s="5" t="s">
        <v>764</v>
      </c>
      <c r="G263" s="5" t="s">
        <v>764</v>
      </c>
    </row>
    <row r="264" customFormat="false" ht="35.05" hidden="false" customHeight="false" outlineLevel="0" collapsed="false">
      <c r="A264" s="4" t="s">
        <v>917</v>
      </c>
      <c r="B264" s="4" t="s">
        <v>918</v>
      </c>
      <c r="C264" s="4" t="s">
        <v>880</v>
      </c>
      <c r="D264" s="4" t="s">
        <v>595</v>
      </c>
      <c r="E264" s="4" t="s">
        <v>919</v>
      </c>
      <c r="F264" s="4" t="s">
        <v>764</v>
      </c>
      <c r="G264" s="4" t="s">
        <v>764</v>
      </c>
    </row>
    <row r="265" customFormat="false" ht="35.05" hidden="false" customHeight="false" outlineLevel="0" collapsed="false">
      <c r="A265" s="5" t="s">
        <v>920</v>
      </c>
      <c r="B265" s="5" t="s">
        <v>921</v>
      </c>
      <c r="C265" s="5" t="s">
        <v>880</v>
      </c>
      <c r="D265" s="5" t="s">
        <v>595</v>
      </c>
      <c r="E265" s="5" t="s">
        <v>922</v>
      </c>
      <c r="F265" s="5" t="s">
        <v>764</v>
      </c>
      <c r="G265" s="5" t="s">
        <v>764</v>
      </c>
    </row>
    <row r="266" customFormat="false" ht="35.05" hidden="false" customHeight="false" outlineLevel="0" collapsed="false">
      <c r="A266" s="4" t="s">
        <v>923</v>
      </c>
      <c r="B266" s="4" t="s">
        <v>924</v>
      </c>
      <c r="C266" s="4" t="s">
        <v>880</v>
      </c>
      <c r="D266" s="4" t="s">
        <v>595</v>
      </c>
      <c r="E266" s="4" t="s">
        <v>925</v>
      </c>
      <c r="F266" s="4" t="s">
        <v>764</v>
      </c>
      <c r="G266" s="4" t="s">
        <v>764</v>
      </c>
    </row>
    <row r="267" customFormat="false" ht="35.05" hidden="false" customHeight="false" outlineLevel="0" collapsed="false">
      <c r="A267" s="5" t="s">
        <v>926</v>
      </c>
      <c r="B267" s="5" t="s">
        <v>927</v>
      </c>
      <c r="C267" s="5" t="s">
        <v>880</v>
      </c>
      <c r="D267" s="5" t="s">
        <v>595</v>
      </c>
      <c r="E267" s="5" t="s">
        <v>928</v>
      </c>
      <c r="F267" s="5" t="s">
        <v>764</v>
      </c>
      <c r="G267" s="5" t="s">
        <v>764</v>
      </c>
    </row>
    <row r="268" customFormat="false" ht="23.85" hidden="false" customHeight="false" outlineLevel="0" collapsed="false">
      <c r="A268" s="4" t="s">
        <v>929</v>
      </c>
      <c r="B268" s="4" t="s">
        <v>930</v>
      </c>
      <c r="C268" s="4" t="s">
        <v>880</v>
      </c>
      <c r="D268" s="4" t="s">
        <v>595</v>
      </c>
      <c r="E268" s="4" t="s">
        <v>931</v>
      </c>
      <c r="F268" s="4" t="s">
        <v>764</v>
      </c>
      <c r="G268" s="4" t="s">
        <v>764</v>
      </c>
    </row>
    <row r="269" customFormat="false" ht="23.85" hidden="false" customHeight="false" outlineLevel="0" collapsed="false">
      <c r="A269" s="5" t="s">
        <v>932</v>
      </c>
      <c r="B269" s="5" t="s">
        <v>933</v>
      </c>
      <c r="C269" s="5" t="s">
        <v>880</v>
      </c>
      <c r="D269" s="5" t="s">
        <v>595</v>
      </c>
      <c r="E269" s="5" t="s">
        <v>934</v>
      </c>
      <c r="F269" s="5" t="s">
        <v>764</v>
      </c>
      <c r="G269" s="5" t="s">
        <v>764</v>
      </c>
    </row>
    <row r="270" customFormat="false" ht="23.85" hidden="false" customHeight="false" outlineLevel="0" collapsed="false">
      <c r="A270" s="4" t="s">
        <v>935</v>
      </c>
      <c r="B270" s="4" t="s">
        <v>936</v>
      </c>
      <c r="C270" s="4" t="s">
        <v>880</v>
      </c>
      <c r="D270" s="4" t="s">
        <v>595</v>
      </c>
      <c r="E270" s="4" t="s">
        <v>937</v>
      </c>
      <c r="F270" s="4" t="s">
        <v>764</v>
      </c>
      <c r="G270" s="4" t="s">
        <v>764</v>
      </c>
    </row>
    <row r="271" customFormat="false" ht="35.05" hidden="false" customHeight="false" outlineLevel="0" collapsed="false">
      <c r="A271" s="5" t="s">
        <v>938</v>
      </c>
      <c r="B271" s="5" t="s">
        <v>939</v>
      </c>
      <c r="C271" s="5" t="s">
        <v>880</v>
      </c>
      <c r="D271" s="5" t="s">
        <v>595</v>
      </c>
      <c r="E271" s="5" t="s">
        <v>940</v>
      </c>
      <c r="F271" s="5" t="s">
        <v>764</v>
      </c>
      <c r="G271" s="5" t="s">
        <v>764</v>
      </c>
    </row>
    <row r="272" customFormat="false" ht="23.85" hidden="false" customHeight="false" outlineLevel="0" collapsed="false">
      <c r="A272" s="4" t="s">
        <v>941</v>
      </c>
      <c r="B272" s="4" t="s">
        <v>942</v>
      </c>
      <c r="C272" s="4" t="s">
        <v>880</v>
      </c>
      <c r="D272" s="4" t="s">
        <v>595</v>
      </c>
      <c r="E272" s="4" t="s">
        <v>943</v>
      </c>
      <c r="F272" s="4" t="s">
        <v>764</v>
      </c>
      <c r="G272" s="4" t="s">
        <v>764</v>
      </c>
    </row>
    <row r="273" customFormat="false" ht="23.85" hidden="false" customHeight="false" outlineLevel="0" collapsed="false">
      <c r="A273" s="5" t="s">
        <v>944</v>
      </c>
      <c r="B273" s="5" t="s">
        <v>945</v>
      </c>
      <c r="C273" s="5" t="s">
        <v>880</v>
      </c>
      <c r="D273" s="5" t="s">
        <v>595</v>
      </c>
      <c r="E273" s="5" t="s">
        <v>946</v>
      </c>
      <c r="F273" s="5" t="s">
        <v>764</v>
      </c>
      <c r="G273" s="5" t="s">
        <v>764</v>
      </c>
    </row>
    <row r="274" customFormat="false" ht="23.85" hidden="false" customHeight="false" outlineLevel="0" collapsed="false">
      <c r="A274" s="4" t="s">
        <v>947</v>
      </c>
      <c r="B274" s="4" t="s">
        <v>948</v>
      </c>
      <c r="C274" s="4" t="s">
        <v>880</v>
      </c>
      <c r="D274" s="4" t="s">
        <v>595</v>
      </c>
      <c r="E274" s="4" t="s">
        <v>949</v>
      </c>
      <c r="F274" s="4" t="s">
        <v>764</v>
      </c>
      <c r="G274" s="4" t="s">
        <v>764</v>
      </c>
    </row>
    <row r="275" customFormat="false" ht="35.05" hidden="false" customHeight="false" outlineLevel="0" collapsed="false">
      <c r="A275" s="5" t="s">
        <v>950</v>
      </c>
      <c r="B275" s="5" t="s">
        <v>951</v>
      </c>
      <c r="C275" s="5" t="s">
        <v>880</v>
      </c>
      <c r="D275" s="5" t="s">
        <v>595</v>
      </c>
      <c r="E275" s="5" t="s">
        <v>952</v>
      </c>
      <c r="F275" s="5" t="s">
        <v>764</v>
      </c>
      <c r="G275" s="5" t="s">
        <v>764</v>
      </c>
    </row>
    <row r="276" customFormat="false" ht="35.05" hidden="false" customHeight="false" outlineLevel="0" collapsed="false">
      <c r="A276" s="4" t="s">
        <v>953</v>
      </c>
      <c r="B276" s="4" t="s">
        <v>954</v>
      </c>
      <c r="C276" s="4" t="s">
        <v>880</v>
      </c>
      <c r="D276" s="4" t="s">
        <v>595</v>
      </c>
      <c r="E276" s="4" t="s">
        <v>955</v>
      </c>
      <c r="F276" s="4" t="s">
        <v>764</v>
      </c>
      <c r="G276" s="4" t="s">
        <v>764</v>
      </c>
    </row>
    <row r="277" customFormat="false" ht="35.05" hidden="false" customHeight="false" outlineLevel="0" collapsed="false">
      <c r="A277" s="5" t="s">
        <v>956</v>
      </c>
      <c r="B277" s="5" t="s">
        <v>957</v>
      </c>
      <c r="C277" s="5" t="s">
        <v>880</v>
      </c>
      <c r="D277" s="5" t="s">
        <v>595</v>
      </c>
      <c r="E277" s="5" t="s">
        <v>958</v>
      </c>
      <c r="F277" s="5" t="s">
        <v>764</v>
      </c>
      <c r="G277" s="5" t="s">
        <v>764</v>
      </c>
    </row>
    <row r="278" customFormat="false" ht="23.85" hidden="false" customHeight="false" outlineLevel="0" collapsed="false">
      <c r="A278" s="4" t="s">
        <v>959</v>
      </c>
      <c r="B278" s="4" t="s">
        <v>960</v>
      </c>
      <c r="C278" s="4" t="s">
        <v>880</v>
      </c>
      <c r="D278" s="4" t="s">
        <v>595</v>
      </c>
      <c r="E278" s="4" t="s">
        <v>961</v>
      </c>
      <c r="F278" s="4" t="s">
        <v>764</v>
      </c>
      <c r="G278" s="4" t="s">
        <v>764</v>
      </c>
    </row>
    <row r="279" customFormat="false" ht="35.05" hidden="false" customHeight="false" outlineLevel="0" collapsed="false">
      <c r="A279" s="5" t="s">
        <v>962</v>
      </c>
      <c r="B279" s="5" t="s">
        <v>963</v>
      </c>
      <c r="C279" s="5" t="s">
        <v>880</v>
      </c>
      <c r="D279" s="5" t="s">
        <v>595</v>
      </c>
      <c r="E279" s="5" t="s">
        <v>964</v>
      </c>
      <c r="F279" s="5" t="s">
        <v>764</v>
      </c>
      <c r="G279" s="5" t="s">
        <v>764</v>
      </c>
    </row>
    <row r="280" customFormat="false" ht="35.05" hidden="false" customHeight="false" outlineLevel="0" collapsed="false">
      <c r="A280" s="4" t="s">
        <v>965</v>
      </c>
      <c r="B280" s="4" t="s">
        <v>966</v>
      </c>
      <c r="C280" s="4" t="s">
        <v>880</v>
      </c>
      <c r="D280" s="4" t="s">
        <v>595</v>
      </c>
      <c r="E280" s="4" t="s">
        <v>967</v>
      </c>
      <c r="F280" s="4" t="s">
        <v>764</v>
      </c>
      <c r="G280" s="4" t="s">
        <v>764</v>
      </c>
    </row>
    <row r="281" customFormat="false" ht="35.05" hidden="false" customHeight="false" outlineLevel="0" collapsed="false">
      <c r="A281" s="5" t="s">
        <v>968</v>
      </c>
      <c r="B281" s="5" t="s">
        <v>969</v>
      </c>
      <c r="C281" s="5" t="s">
        <v>880</v>
      </c>
      <c r="D281" s="5" t="s">
        <v>970</v>
      </c>
      <c r="E281" s="5" t="s">
        <v>971</v>
      </c>
      <c r="F281" s="5" t="s">
        <v>764</v>
      </c>
      <c r="G281" s="5" t="s">
        <v>764</v>
      </c>
    </row>
    <row r="282" customFormat="false" ht="35.05" hidden="false" customHeight="false" outlineLevel="0" collapsed="false">
      <c r="A282" s="4" t="s">
        <v>972</v>
      </c>
      <c r="B282" s="4" t="s">
        <v>973</v>
      </c>
      <c r="C282" s="4" t="s">
        <v>880</v>
      </c>
      <c r="D282" s="4" t="s">
        <v>595</v>
      </c>
      <c r="E282" s="4" t="s">
        <v>974</v>
      </c>
      <c r="F282" s="4" t="s">
        <v>764</v>
      </c>
      <c r="G282" s="4" t="s">
        <v>764</v>
      </c>
    </row>
    <row r="283" customFormat="false" ht="35.05" hidden="false" customHeight="false" outlineLevel="0" collapsed="false">
      <c r="A283" s="5" t="s">
        <v>975</v>
      </c>
      <c r="B283" s="5" t="s">
        <v>976</v>
      </c>
      <c r="C283" s="5" t="s">
        <v>880</v>
      </c>
      <c r="D283" s="5" t="s">
        <v>595</v>
      </c>
      <c r="E283" s="5" t="s">
        <v>977</v>
      </c>
      <c r="F283" s="5" t="s">
        <v>764</v>
      </c>
      <c r="G283" s="5" t="s">
        <v>764</v>
      </c>
    </row>
    <row r="284" customFormat="false" ht="23.85" hidden="false" customHeight="false" outlineLevel="0" collapsed="false">
      <c r="A284" s="4" t="s">
        <v>978</v>
      </c>
      <c r="B284" s="4" t="s">
        <v>979</v>
      </c>
      <c r="C284" s="4" t="s">
        <v>980</v>
      </c>
      <c r="D284" s="4" t="s">
        <v>595</v>
      </c>
      <c r="E284" s="4" t="s">
        <v>981</v>
      </c>
      <c r="F284" s="4" t="s">
        <v>597</v>
      </c>
      <c r="G284" s="4" t="s">
        <v>598</v>
      </c>
    </row>
    <row r="285" customFormat="false" ht="15" hidden="false" customHeight="false" outlineLevel="0" collapsed="false">
      <c r="A285" s="5" t="s">
        <v>982</v>
      </c>
      <c r="B285" s="5" t="s">
        <v>983</v>
      </c>
      <c r="C285" s="5" t="s">
        <v>980</v>
      </c>
      <c r="D285" s="5" t="s">
        <v>595</v>
      </c>
      <c r="E285" s="5" t="s">
        <v>984</v>
      </c>
      <c r="F285" s="5" t="s">
        <v>597</v>
      </c>
      <c r="G285" s="5" t="s">
        <v>598</v>
      </c>
    </row>
    <row r="286" customFormat="false" ht="15" hidden="false" customHeight="false" outlineLevel="0" collapsed="false">
      <c r="A286" s="4" t="s">
        <v>985</v>
      </c>
      <c r="B286" s="4" t="s">
        <v>986</v>
      </c>
      <c r="C286" s="4" t="s">
        <v>980</v>
      </c>
      <c r="D286" s="4" t="s">
        <v>987</v>
      </c>
      <c r="E286" s="4" t="s">
        <v>988</v>
      </c>
      <c r="F286" s="4" t="s">
        <v>190</v>
      </c>
      <c r="G286" s="4" t="s">
        <v>363</v>
      </c>
    </row>
    <row r="287" customFormat="false" ht="15" hidden="false" customHeight="false" outlineLevel="0" collapsed="false">
      <c r="A287" s="5" t="s">
        <v>989</v>
      </c>
      <c r="B287" s="5" t="s">
        <v>990</v>
      </c>
      <c r="C287" s="5" t="s">
        <v>980</v>
      </c>
      <c r="D287" s="5" t="s">
        <v>595</v>
      </c>
      <c r="E287" s="5" t="s">
        <v>991</v>
      </c>
      <c r="F287" s="5" t="s">
        <v>190</v>
      </c>
      <c r="G287" s="5" t="s">
        <v>363</v>
      </c>
    </row>
    <row r="288" customFormat="false" ht="15" hidden="false" customHeight="false" outlineLevel="0" collapsed="false">
      <c r="A288" s="4" t="s">
        <v>992</v>
      </c>
      <c r="B288" s="4" t="s">
        <v>993</v>
      </c>
      <c r="C288" s="4" t="s">
        <v>980</v>
      </c>
      <c r="D288" s="4" t="s">
        <v>595</v>
      </c>
      <c r="E288" s="4" t="s">
        <v>994</v>
      </c>
      <c r="F288" s="4" t="s">
        <v>190</v>
      </c>
      <c r="G288" s="4" t="s">
        <v>363</v>
      </c>
    </row>
    <row r="289" customFormat="false" ht="23.85" hidden="false" customHeight="false" outlineLevel="0" collapsed="false">
      <c r="A289" s="5" t="s">
        <v>995</v>
      </c>
      <c r="B289" s="5" t="s">
        <v>996</v>
      </c>
      <c r="C289" s="5" t="s">
        <v>980</v>
      </c>
      <c r="D289" s="5" t="s">
        <v>595</v>
      </c>
      <c r="E289" s="5" t="s">
        <v>997</v>
      </c>
      <c r="F289" s="5" t="s">
        <v>597</v>
      </c>
      <c r="G289" s="5" t="s">
        <v>598</v>
      </c>
    </row>
    <row r="290" customFormat="false" ht="15" hidden="false" customHeight="false" outlineLevel="0" collapsed="false">
      <c r="A290" s="4" t="s">
        <v>998</v>
      </c>
      <c r="B290" s="4" t="s">
        <v>999</v>
      </c>
      <c r="C290" s="4" t="s">
        <v>980</v>
      </c>
      <c r="D290" s="4" t="s">
        <v>595</v>
      </c>
      <c r="E290" s="4" t="s">
        <v>1000</v>
      </c>
      <c r="F290" s="4" t="s">
        <v>1001</v>
      </c>
      <c r="G290" s="4" t="s">
        <v>1002</v>
      </c>
    </row>
    <row r="291" customFormat="false" ht="23.85" hidden="false" customHeight="false" outlineLevel="0" collapsed="false">
      <c r="A291" s="5" t="s">
        <v>1003</v>
      </c>
      <c r="B291" s="5" t="s">
        <v>1004</v>
      </c>
      <c r="C291" s="5" t="s">
        <v>1005</v>
      </c>
      <c r="D291" s="5" t="s">
        <v>595</v>
      </c>
      <c r="E291" s="5" t="s">
        <v>1006</v>
      </c>
      <c r="F291" s="5" t="s">
        <v>190</v>
      </c>
      <c r="G291" s="5" t="s">
        <v>363</v>
      </c>
    </row>
    <row r="292" customFormat="false" ht="15" hidden="false" customHeight="false" outlineLevel="0" collapsed="false">
      <c r="A292" s="4" t="s">
        <v>1007</v>
      </c>
      <c r="B292" s="4" t="s">
        <v>1008</v>
      </c>
      <c r="C292" s="4" t="s">
        <v>1005</v>
      </c>
      <c r="D292" s="4" t="s">
        <v>595</v>
      </c>
      <c r="E292" s="4" t="s">
        <v>1009</v>
      </c>
      <c r="F292" s="4" t="s">
        <v>190</v>
      </c>
      <c r="G292" s="4" t="s">
        <v>363</v>
      </c>
    </row>
    <row r="293" customFormat="false" ht="23.85" hidden="false" customHeight="false" outlineLevel="0" collapsed="false">
      <c r="A293" s="5" t="s">
        <v>1010</v>
      </c>
      <c r="B293" s="5" t="s">
        <v>1011</v>
      </c>
      <c r="C293" s="5" t="s">
        <v>1005</v>
      </c>
      <c r="D293" s="5" t="s">
        <v>595</v>
      </c>
      <c r="E293" s="5" t="s">
        <v>1012</v>
      </c>
      <c r="F293" s="5" t="s">
        <v>1001</v>
      </c>
      <c r="G293" s="5" t="s">
        <v>1002</v>
      </c>
    </row>
    <row r="294" customFormat="false" ht="23.85" hidden="false" customHeight="false" outlineLevel="0" collapsed="false">
      <c r="A294" s="4" t="s">
        <v>1013</v>
      </c>
      <c r="B294" s="4" t="s">
        <v>1014</v>
      </c>
      <c r="C294" s="4" t="s">
        <v>1005</v>
      </c>
      <c r="D294" s="4" t="s">
        <v>970</v>
      </c>
      <c r="E294" s="4" t="s">
        <v>1015</v>
      </c>
      <c r="F294" s="4" t="s">
        <v>190</v>
      </c>
      <c r="G294" s="4" t="s">
        <v>363</v>
      </c>
    </row>
    <row r="295" customFormat="false" ht="15" hidden="false" customHeight="false" outlineLevel="0" collapsed="false">
      <c r="A295" s="5" t="s">
        <v>1016</v>
      </c>
      <c r="B295" s="5" t="s">
        <v>1017</v>
      </c>
      <c r="C295" s="5" t="s">
        <v>1005</v>
      </c>
      <c r="D295" s="5" t="s">
        <v>595</v>
      </c>
      <c r="E295" s="5" t="s">
        <v>1018</v>
      </c>
      <c r="F295" s="5" t="s">
        <v>190</v>
      </c>
      <c r="G295" s="5" t="s">
        <v>363</v>
      </c>
    </row>
    <row r="296" customFormat="false" ht="15" hidden="false" customHeight="false" outlineLevel="0" collapsed="false">
      <c r="A296" s="4" t="s">
        <v>1019</v>
      </c>
      <c r="B296" s="4" t="s">
        <v>1020</v>
      </c>
      <c r="C296" s="4" t="s">
        <v>1005</v>
      </c>
      <c r="D296" s="4" t="s">
        <v>595</v>
      </c>
      <c r="E296" s="4" t="s">
        <v>1021</v>
      </c>
      <c r="F296" s="4" t="s">
        <v>190</v>
      </c>
      <c r="G296" s="4" t="s">
        <v>363</v>
      </c>
    </row>
    <row r="297" customFormat="false" ht="23.85" hidden="false" customHeight="false" outlineLevel="0" collapsed="false">
      <c r="A297" s="5" t="s">
        <v>1022</v>
      </c>
      <c r="B297" s="5" t="s">
        <v>1023</v>
      </c>
      <c r="C297" s="5" t="s">
        <v>1005</v>
      </c>
      <c r="D297" s="5" t="s">
        <v>595</v>
      </c>
      <c r="E297" s="5" t="s">
        <v>1024</v>
      </c>
      <c r="F297" s="5" t="s">
        <v>190</v>
      </c>
      <c r="G297" s="5" t="s">
        <v>363</v>
      </c>
    </row>
    <row r="298" customFormat="false" ht="23.85" hidden="false" customHeight="false" outlineLevel="0" collapsed="false">
      <c r="A298" s="4" t="s">
        <v>1025</v>
      </c>
      <c r="B298" s="4" t="s">
        <v>1026</v>
      </c>
      <c r="C298" s="4" t="s">
        <v>1005</v>
      </c>
      <c r="D298" s="4" t="s">
        <v>595</v>
      </c>
      <c r="E298" s="4" t="s">
        <v>1027</v>
      </c>
      <c r="F298" s="4" t="s">
        <v>190</v>
      </c>
      <c r="G298" s="4" t="s">
        <v>363</v>
      </c>
    </row>
    <row r="299" customFormat="false" ht="23.85" hidden="false" customHeight="false" outlineLevel="0" collapsed="false">
      <c r="A299" s="5" t="s">
        <v>1028</v>
      </c>
      <c r="B299" s="5" t="s">
        <v>1029</v>
      </c>
      <c r="C299" s="5" t="s">
        <v>1005</v>
      </c>
      <c r="D299" s="5" t="s">
        <v>595</v>
      </c>
      <c r="E299" s="5" t="s">
        <v>1030</v>
      </c>
      <c r="F299" s="5" t="s">
        <v>190</v>
      </c>
      <c r="G299" s="5" t="s">
        <v>363</v>
      </c>
    </row>
    <row r="300" customFormat="false" ht="23.85" hidden="false" customHeight="false" outlineLevel="0" collapsed="false">
      <c r="A300" s="4" t="s">
        <v>1031</v>
      </c>
      <c r="B300" s="4" t="s">
        <v>1032</v>
      </c>
      <c r="C300" s="4" t="s">
        <v>1005</v>
      </c>
      <c r="D300" s="4" t="s">
        <v>595</v>
      </c>
      <c r="E300" s="4" t="s">
        <v>1033</v>
      </c>
      <c r="F300" s="4" t="s">
        <v>190</v>
      </c>
      <c r="G300" s="4" t="s">
        <v>363</v>
      </c>
    </row>
    <row r="301" customFormat="false" ht="23.85" hidden="false" customHeight="false" outlineLevel="0" collapsed="false">
      <c r="A301" s="5" t="s">
        <v>1034</v>
      </c>
      <c r="B301" s="5" t="s">
        <v>1035</v>
      </c>
      <c r="C301" s="5" t="s">
        <v>1005</v>
      </c>
      <c r="D301" s="5" t="s">
        <v>595</v>
      </c>
      <c r="E301" s="5" t="s">
        <v>1036</v>
      </c>
      <c r="F301" s="5" t="s">
        <v>190</v>
      </c>
      <c r="G301" s="5" t="s">
        <v>363</v>
      </c>
    </row>
    <row r="302" customFormat="false" ht="15" hidden="false" customHeight="false" outlineLevel="0" collapsed="false">
      <c r="A302" s="4" t="s">
        <v>1037</v>
      </c>
      <c r="B302" s="4" t="s">
        <v>1038</v>
      </c>
      <c r="C302" s="4" t="s">
        <v>1005</v>
      </c>
      <c r="D302" s="4" t="s">
        <v>595</v>
      </c>
      <c r="E302" s="4" t="s">
        <v>1039</v>
      </c>
      <c r="F302" s="4" t="s">
        <v>1001</v>
      </c>
      <c r="G302" s="4" t="s">
        <v>1002</v>
      </c>
    </row>
    <row r="303" customFormat="false" ht="23.85" hidden="false" customHeight="false" outlineLevel="0" collapsed="false">
      <c r="A303" s="5" t="s">
        <v>982</v>
      </c>
      <c r="B303" s="5" t="s">
        <v>1040</v>
      </c>
      <c r="C303" s="5" t="s">
        <v>1005</v>
      </c>
      <c r="D303" s="5" t="s">
        <v>595</v>
      </c>
      <c r="E303" s="5" t="s">
        <v>984</v>
      </c>
      <c r="F303" s="5" t="s">
        <v>597</v>
      </c>
      <c r="G303" s="5" t="s">
        <v>598</v>
      </c>
    </row>
    <row r="304" customFormat="false" ht="23.85" hidden="false" customHeight="false" outlineLevel="0" collapsed="false">
      <c r="A304" s="4" t="s">
        <v>1041</v>
      </c>
      <c r="B304" s="4" t="s">
        <v>1042</v>
      </c>
      <c r="C304" s="4" t="s">
        <v>1005</v>
      </c>
      <c r="D304" s="4" t="s">
        <v>595</v>
      </c>
      <c r="E304" s="4" t="s">
        <v>1043</v>
      </c>
      <c r="F304" s="4" t="s">
        <v>190</v>
      </c>
      <c r="G304" s="4" t="s">
        <v>363</v>
      </c>
    </row>
    <row r="305" customFormat="false" ht="15" hidden="false" customHeight="false" outlineLevel="0" collapsed="false">
      <c r="A305" s="5" t="s">
        <v>1044</v>
      </c>
      <c r="B305" s="5" t="s">
        <v>1045</v>
      </c>
      <c r="C305" s="5" t="s">
        <v>1005</v>
      </c>
      <c r="D305" s="5" t="s">
        <v>595</v>
      </c>
      <c r="E305" s="5" t="s">
        <v>1046</v>
      </c>
      <c r="F305" s="5" t="s">
        <v>190</v>
      </c>
      <c r="G305" s="5" t="s">
        <v>363</v>
      </c>
    </row>
    <row r="306" customFormat="false" ht="23.85" hidden="false" customHeight="false" outlineLevel="0" collapsed="false">
      <c r="A306" s="4" t="s">
        <v>1047</v>
      </c>
      <c r="B306" s="4" t="s">
        <v>1048</v>
      </c>
      <c r="C306" s="4" t="s">
        <v>1005</v>
      </c>
      <c r="D306" s="4" t="s">
        <v>361</v>
      </c>
      <c r="E306" s="4" t="s">
        <v>519</v>
      </c>
      <c r="F306" s="4" t="s">
        <v>190</v>
      </c>
      <c r="G306" s="4" t="s">
        <v>363</v>
      </c>
    </row>
    <row r="307" customFormat="false" ht="23.85" hidden="false" customHeight="false" outlineLevel="0" collapsed="false">
      <c r="A307" s="5" t="s">
        <v>1049</v>
      </c>
      <c r="B307" s="5" t="s">
        <v>1050</v>
      </c>
      <c r="C307" s="5" t="s">
        <v>1005</v>
      </c>
      <c r="D307" s="5" t="s">
        <v>595</v>
      </c>
      <c r="E307" s="5" t="s">
        <v>1051</v>
      </c>
      <c r="F307" s="5" t="s">
        <v>190</v>
      </c>
      <c r="G307" s="5" t="s">
        <v>363</v>
      </c>
    </row>
    <row r="308" customFormat="false" ht="23.85" hidden="false" customHeight="false" outlineLevel="0" collapsed="false">
      <c r="A308" s="4" t="s">
        <v>1052</v>
      </c>
      <c r="B308" s="4" t="s">
        <v>1053</v>
      </c>
      <c r="C308" s="4" t="s">
        <v>1005</v>
      </c>
      <c r="D308" s="4" t="s">
        <v>595</v>
      </c>
      <c r="E308" s="4" t="s">
        <v>1054</v>
      </c>
      <c r="F308" s="4" t="s">
        <v>190</v>
      </c>
      <c r="G308" s="4" t="s">
        <v>363</v>
      </c>
    </row>
    <row r="309" customFormat="false" ht="23.85" hidden="false" customHeight="false" outlineLevel="0" collapsed="false">
      <c r="A309" s="5" t="s">
        <v>1055</v>
      </c>
      <c r="B309" s="5" t="s">
        <v>1056</v>
      </c>
      <c r="C309" s="5" t="s">
        <v>1005</v>
      </c>
      <c r="D309" s="5" t="s">
        <v>595</v>
      </c>
      <c r="E309" s="5" t="s">
        <v>1057</v>
      </c>
      <c r="F309" s="5" t="s">
        <v>190</v>
      </c>
      <c r="G309" s="5" t="s">
        <v>363</v>
      </c>
    </row>
    <row r="310" customFormat="false" ht="23.85" hidden="false" customHeight="false" outlineLevel="0" collapsed="false">
      <c r="A310" s="4" t="s">
        <v>1058</v>
      </c>
      <c r="B310" s="4" t="s">
        <v>1059</v>
      </c>
      <c r="C310" s="4" t="s">
        <v>1005</v>
      </c>
      <c r="D310" s="4" t="s">
        <v>595</v>
      </c>
      <c r="E310" s="4" t="s">
        <v>1060</v>
      </c>
      <c r="F310" s="4" t="s">
        <v>190</v>
      </c>
      <c r="G310" s="4" t="s">
        <v>363</v>
      </c>
    </row>
    <row r="311" customFormat="false" ht="15" hidden="false" customHeight="false" outlineLevel="0" collapsed="false">
      <c r="A311" s="5" t="s">
        <v>1061</v>
      </c>
      <c r="B311" s="5" t="s">
        <v>1062</v>
      </c>
      <c r="C311" s="5" t="s">
        <v>1005</v>
      </c>
      <c r="D311" s="5" t="s">
        <v>595</v>
      </c>
      <c r="E311" s="5" t="s">
        <v>1063</v>
      </c>
      <c r="F311" s="5" t="s">
        <v>190</v>
      </c>
      <c r="G311" s="5" t="s">
        <v>363</v>
      </c>
    </row>
    <row r="312" customFormat="false" ht="23.85" hidden="false" customHeight="false" outlineLevel="0" collapsed="false">
      <c r="A312" s="4" t="s">
        <v>1064</v>
      </c>
      <c r="B312" s="4" t="s">
        <v>1065</v>
      </c>
      <c r="C312" s="4" t="s">
        <v>1005</v>
      </c>
      <c r="D312" s="4" t="s">
        <v>595</v>
      </c>
      <c r="E312" s="4" t="s">
        <v>997</v>
      </c>
      <c r="F312" s="4" t="s">
        <v>597</v>
      </c>
      <c r="G312" s="4" t="s">
        <v>598</v>
      </c>
    </row>
    <row r="313" customFormat="false" ht="23.85" hidden="false" customHeight="false" outlineLevel="0" collapsed="false">
      <c r="A313" s="5" t="s">
        <v>1066</v>
      </c>
      <c r="B313" s="5" t="s">
        <v>1067</v>
      </c>
      <c r="C313" s="5" t="s">
        <v>1005</v>
      </c>
      <c r="D313" s="5" t="s">
        <v>595</v>
      </c>
      <c r="E313" s="5" t="s">
        <v>1068</v>
      </c>
      <c r="F313" s="5" t="s">
        <v>190</v>
      </c>
      <c r="G313" s="5" t="s">
        <v>363</v>
      </c>
    </row>
    <row r="314" customFormat="false" ht="23.85" hidden="false" customHeight="false" outlineLevel="0" collapsed="false">
      <c r="A314" s="4" t="s">
        <v>1069</v>
      </c>
      <c r="B314" s="4" t="s">
        <v>1070</v>
      </c>
      <c r="C314" s="4" t="s">
        <v>1005</v>
      </c>
      <c r="D314" s="4" t="s">
        <v>595</v>
      </c>
      <c r="E314" s="4" t="s">
        <v>1071</v>
      </c>
      <c r="F314" s="4" t="s">
        <v>1001</v>
      </c>
      <c r="G314" s="4" t="s">
        <v>1002</v>
      </c>
    </row>
    <row r="315" customFormat="false" ht="15" hidden="false" customHeight="false" outlineLevel="0" collapsed="false">
      <c r="A315" s="5" t="s">
        <v>1072</v>
      </c>
      <c r="B315" s="5" t="s">
        <v>1073</v>
      </c>
      <c r="C315" s="5" t="s">
        <v>1005</v>
      </c>
      <c r="D315" s="5" t="s">
        <v>595</v>
      </c>
      <c r="E315" s="5" t="s">
        <v>1074</v>
      </c>
      <c r="F315" s="5" t="s">
        <v>1001</v>
      </c>
      <c r="G315" s="5" t="s">
        <v>1002</v>
      </c>
    </row>
    <row r="316" customFormat="false" ht="15" hidden="false" customHeight="false" outlineLevel="0" collapsed="false">
      <c r="A316" s="4" t="s">
        <v>1075</v>
      </c>
      <c r="B316" s="4" t="s">
        <v>1076</v>
      </c>
      <c r="C316" s="4" t="s">
        <v>1005</v>
      </c>
      <c r="D316" s="4" t="s">
        <v>595</v>
      </c>
      <c r="E316" s="4" t="s">
        <v>1077</v>
      </c>
      <c r="F316" s="4" t="s">
        <v>190</v>
      </c>
      <c r="G316" s="4" t="s">
        <v>363</v>
      </c>
    </row>
    <row r="317" customFormat="false" ht="23.85" hidden="false" customHeight="false" outlineLevel="0" collapsed="false">
      <c r="A317" s="5" t="s">
        <v>1078</v>
      </c>
      <c r="B317" s="5" t="s">
        <v>1079</v>
      </c>
      <c r="C317" s="5" t="s">
        <v>1005</v>
      </c>
      <c r="D317" s="5" t="s">
        <v>595</v>
      </c>
      <c r="E317" s="5" t="s">
        <v>1080</v>
      </c>
      <c r="F317" s="5" t="s">
        <v>190</v>
      </c>
      <c r="G317" s="5" t="s">
        <v>363</v>
      </c>
    </row>
    <row r="318" customFormat="false" ht="23.85" hidden="false" customHeight="false" outlineLevel="0" collapsed="false">
      <c r="A318" s="4" t="s">
        <v>1081</v>
      </c>
      <c r="B318" s="4" t="s">
        <v>1082</v>
      </c>
      <c r="C318" s="4" t="s">
        <v>1005</v>
      </c>
      <c r="D318" s="4" t="s">
        <v>595</v>
      </c>
      <c r="E318" s="4" t="s">
        <v>1083</v>
      </c>
      <c r="F318" s="4" t="s">
        <v>190</v>
      </c>
      <c r="G318" s="4" t="s">
        <v>363</v>
      </c>
    </row>
  </sheetData>
  <autoFilter ref="A1:G3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3" t="s">
        <v>1084</v>
      </c>
      <c r="B1" s="3" t="s">
        <v>1085</v>
      </c>
      <c r="C1" s="3" t="s">
        <v>1086</v>
      </c>
    </row>
    <row r="2" customFormat="false" ht="15" hidden="false" customHeight="false" outlineLevel="0" collapsed="false">
      <c r="A2" s="4" t="s">
        <v>1087</v>
      </c>
      <c r="B2" s="4" t="s">
        <v>364</v>
      </c>
      <c r="C2" s="4" t="s">
        <v>1088</v>
      </c>
    </row>
    <row r="3" customFormat="false" ht="15" hidden="false" customHeight="false" outlineLevel="0" collapsed="false">
      <c r="A3" s="5" t="s">
        <v>1087</v>
      </c>
      <c r="B3" s="5" t="s">
        <v>605</v>
      </c>
      <c r="C3" s="5" t="s">
        <v>1088</v>
      </c>
    </row>
    <row r="4" customFormat="false" ht="15" hidden="false" customHeight="false" outlineLevel="0" collapsed="false">
      <c r="A4" s="4" t="s">
        <v>1089</v>
      </c>
      <c r="B4" s="4" t="s">
        <v>366</v>
      </c>
      <c r="C4" s="4" t="s">
        <v>1088</v>
      </c>
    </row>
    <row r="5" customFormat="false" ht="23.85" hidden="false" customHeight="false" outlineLevel="0" collapsed="false">
      <c r="A5" s="5" t="s">
        <v>1089</v>
      </c>
      <c r="B5" s="5" t="s">
        <v>606</v>
      </c>
      <c r="C5" s="5" t="s">
        <v>1088</v>
      </c>
    </row>
    <row r="6" customFormat="false" ht="15" hidden="false" customHeight="false" outlineLevel="0" collapsed="false">
      <c r="A6" s="4" t="s">
        <v>1090</v>
      </c>
      <c r="B6" s="4" t="s">
        <v>369</v>
      </c>
      <c r="C6" s="4" t="s">
        <v>1088</v>
      </c>
    </row>
    <row r="7" customFormat="false" ht="23.85" hidden="false" customHeight="false" outlineLevel="0" collapsed="false">
      <c r="A7" s="5" t="s">
        <v>1090</v>
      </c>
      <c r="B7" s="5" t="s">
        <v>607</v>
      </c>
      <c r="C7" s="5" t="s">
        <v>1088</v>
      </c>
    </row>
    <row r="8" customFormat="false" ht="15" hidden="false" customHeight="false" outlineLevel="0" collapsed="false">
      <c r="A8" s="4" t="s">
        <v>1091</v>
      </c>
      <c r="B8" s="4" t="s">
        <v>380</v>
      </c>
      <c r="C8" s="4" t="s">
        <v>1088</v>
      </c>
    </row>
    <row r="9" customFormat="false" ht="23.85" hidden="false" customHeight="false" outlineLevel="0" collapsed="false">
      <c r="A9" s="5" t="s">
        <v>1091</v>
      </c>
      <c r="B9" s="5" t="s">
        <v>614</v>
      </c>
      <c r="C9" s="5" t="s">
        <v>1088</v>
      </c>
    </row>
    <row r="10" customFormat="false" ht="15" hidden="false" customHeight="false" outlineLevel="0" collapsed="false">
      <c r="A10" s="4" t="s">
        <v>1092</v>
      </c>
      <c r="B10" s="4" t="s">
        <v>383</v>
      </c>
      <c r="C10" s="4" t="s">
        <v>1088</v>
      </c>
    </row>
    <row r="11" customFormat="false" ht="23.85" hidden="false" customHeight="false" outlineLevel="0" collapsed="false">
      <c r="A11" s="5" t="s">
        <v>1092</v>
      </c>
      <c r="B11" s="5" t="s">
        <v>615</v>
      </c>
      <c r="C11" s="5" t="s">
        <v>1088</v>
      </c>
    </row>
    <row r="12" customFormat="false" ht="15" hidden="false" customHeight="false" outlineLevel="0" collapsed="false">
      <c r="A12" s="4" t="s">
        <v>1093</v>
      </c>
      <c r="B12" s="4" t="s">
        <v>386</v>
      </c>
      <c r="C12" s="4" t="s">
        <v>1088</v>
      </c>
    </row>
    <row r="13" customFormat="false" ht="23.85" hidden="false" customHeight="false" outlineLevel="0" collapsed="false">
      <c r="A13" s="5" t="s">
        <v>1093</v>
      </c>
      <c r="B13" s="5" t="s">
        <v>616</v>
      </c>
      <c r="C13" s="5" t="s">
        <v>1088</v>
      </c>
    </row>
    <row r="14" customFormat="false" ht="15" hidden="false" customHeight="false" outlineLevel="0" collapsed="false">
      <c r="A14" s="4" t="s">
        <v>1094</v>
      </c>
      <c r="B14" s="4" t="s">
        <v>389</v>
      </c>
      <c r="C14" s="4" t="s">
        <v>1088</v>
      </c>
    </row>
    <row r="15" customFormat="false" ht="23.85" hidden="false" customHeight="false" outlineLevel="0" collapsed="false">
      <c r="A15" s="5" t="s">
        <v>1094</v>
      </c>
      <c r="B15" s="5" t="s">
        <v>617</v>
      </c>
      <c r="C15" s="5" t="s">
        <v>1088</v>
      </c>
    </row>
    <row r="16" customFormat="false" ht="15" hidden="false" customHeight="false" outlineLevel="0" collapsed="false">
      <c r="A16" s="4" t="s">
        <v>1095</v>
      </c>
      <c r="B16" s="4" t="s">
        <v>399</v>
      </c>
      <c r="C16" s="4" t="s">
        <v>1088</v>
      </c>
    </row>
    <row r="17" customFormat="false" ht="23.85" hidden="false" customHeight="false" outlineLevel="0" collapsed="false">
      <c r="A17" s="5" t="s">
        <v>1095</v>
      </c>
      <c r="B17" s="5" t="s">
        <v>621</v>
      </c>
      <c r="C17" s="5" t="s">
        <v>1088</v>
      </c>
    </row>
    <row r="18" customFormat="false" ht="15" hidden="false" customHeight="false" outlineLevel="0" collapsed="false">
      <c r="A18" s="4" t="s">
        <v>1096</v>
      </c>
      <c r="B18" s="4" t="s">
        <v>401</v>
      </c>
      <c r="C18" s="4" t="s">
        <v>1088</v>
      </c>
    </row>
    <row r="19" customFormat="false" ht="23.85" hidden="false" customHeight="false" outlineLevel="0" collapsed="false">
      <c r="A19" s="5" t="s">
        <v>1096</v>
      </c>
      <c r="B19" s="5" t="s">
        <v>622</v>
      </c>
      <c r="C19" s="5" t="s">
        <v>1088</v>
      </c>
    </row>
    <row r="20" customFormat="false" ht="15" hidden="false" customHeight="false" outlineLevel="0" collapsed="false">
      <c r="A20" s="4" t="s">
        <v>1097</v>
      </c>
      <c r="B20" s="4" t="s">
        <v>407</v>
      </c>
      <c r="C20" s="4" t="s">
        <v>1088</v>
      </c>
    </row>
    <row r="21" customFormat="false" ht="23.85" hidden="false" customHeight="false" outlineLevel="0" collapsed="false">
      <c r="A21" s="5" t="s">
        <v>1097</v>
      </c>
      <c r="B21" s="5" t="s">
        <v>624</v>
      </c>
      <c r="C21" s="5" t="s">
        <v>1088</v>
      </c>
    </row>
    <row r="22" customFormat="false" ht="15" hidden="false" customHeight="false" outlineLevel="0" collapsed="false">
      <c r="A22" s="4" t="s">
        <v>1098</v>
      </c>
      <c r="B22" s="4" t="s">
        <v>409</v>
      </c>
      <c r="C22" s="4" t="s">
        <v>1088</v>
      </c>
    </row>
    <row r="23" customFormat="false" ht="23.85" hidden="false" customHeight="false" outlineLevel="0" collapsed="false">
      <c r="A23" s="5" t="s">
        <v>1098</v>
      </c>
      <c r="B23" s="5" t="s">
        <v>625</v>
      </c>
      <c r="C23" s="5" t="s">
        <v>1088</v>
      </c>
    </row>
    <row r="24" customFormat="false" ht="15" hidden="false" customHeight="false" outlineLevel="0" collapsed="false">
      <c r="A24" s="4" t="s">
        <v>1099</v>
      </c>
      <c r="B24" s="4" t="s">
        <v>411</v>
      </c>
      <c r="C24" s="4" t="s">
        <v>1088</v>
      </c>
    </row>
    <row r="25" customFormat="false" ht="23.85" hidden="false" customHeight="false" outlineLevel="0" collapsed="false">
      <c r="A25" s="5" t="s">
        <v>1099</v>
      </c>
      <c r="B25" s="5" t="s">
        <v>626</v>
      </c>
      <c r="C25" s="5" t="s">
        <v>1088</v>
      </c>
    </row>
    <row r="26" customFormat="false" ht="23.85" hidden="false" customHeight="false" outlineLevel="0" collapsed="false">
      <c r="A26" s="4" t="s">
        <v>1100</v>
      </c>
      <c r="B26" s="4" t="s">
        <v>413</v>
      </c>
      <c r="C26" s="4" t="s">
        <v>1088</v>
      </c>
    </row>
    <row r="27" customFormat="false" ht="23.85" hidden="false" customHeight="false" outlineLevel="0" collapsed="false">
      <c r="A27" s="5" t="s">
        <v>1100</v>
      </c>
      <c r="B27" s="5" t="s">
        <v>627</v>
      </c>
      <c r="C27" s="5" t="s">
        <v>1088</v>
      </c>
    </row>
    <row r="28" customFormat="false" ht="15" hidden="false" customHeight="false" outlineLevel="0" collapsed="false">
      <c r="A28" s="4" t="s">
        <v>1101</v>
      </c>
      <c r="B28" s="4" t="s">
        <v>416</v>
      </c>
      <c r="C28" s="4" t="s">
        <v>1088</v>
      </c>
    </row>
    <row r="29" customFormat="false" ht="23.85" hidden="false" customHeight="false" outlineLevel="0" collapsed="false">
      <c r="A29" s="5" t="s">
        <v>1101</v>
      </c>
      <c r="B29" s="5" t="s">
        <v>628</v>
      </c>
      <c r="C29" s="5" t="s">
        <v>1088</v>
      </c>
    </row>
    <row r="30" customFormat="false" ht="15" hidden="false" customHeight="false" outlineLevel="0" collapsed="false">
      <c r="A30" s="4" t="s">
        <v>1102</v>
      </c>
      <c r="B30" s="4" t="s">
        <v>419</v>
      </c>
      <c r="C30" s="4" t="s">
        <v>1088</v>
      </c>
    </row>
    <row r="31" customFormat="false" ht="23.85" hidden="false" customHeight="false" outlineLevel="0" collapsed="false">
      <c r="A31" s="5" t="s">
        <v>1102</v>
      </c>
      <c r="B31" s="5" t="s">
        <v>629</v>
      </c>
      <c r="C31" s="5" t="s">
        <v>1088</v>
      </c>
    </row>
    <row r="32" customFormat="false" ht="15" hidden="false" customHeight="false" outlineLevel="0" collapsed="false">
      <c r="A32" s="4" t="s">
        <v>1103</v>
      </c>
      <c r="B32" s="4" t="s">
        <v>421</v>
      </c>
      <c r="C32" s="4" t="s">
        <v>1088</v>
      </c>
    </row>
    <row r="33" customFormat="false" ht="23.85" hidden="false" customHeight="false" outlineLevel="0" collapsed="false">
      <c r="A33" s="5" t="s">
        <v>1103</v>
      </c>
      <c r="B33" s="5" t="s">
        <v>630</v>
      </c>
      <c r="C33" s="5" t="s">
        <v>1088</v>
      </c>
    </row>
    <row r="34" customFormat="false" ht="23.85" hidden="false" customHeight="false" outlineLevel="0" collapsed="false">
      <c r="A34" s="4" t="s">
        <v>1104</v>
      </c>
      <c r="B34" s="4" t="s">
        <v>424</v>
      </c>
      <c r="C34" s="4" t="s">
        <v>1088</v>
      </c>
    </row>
    <row r="35" customFormat="false" ht="23.85" hidden="false" customHeight="false" outlineLevel="0" collapsed="false">
      <c r="A35" s="5" t="s">
        <v>1104</v>
      </c>
      <c r="B35" s="5" t="s">
        <v>631</v>
      </c>
      <c r="C35" s="5" t="s">
        <v>1088</v>
      </c>
    </row>
    <row r="36" customFormat="false" ht="15" hidden="false" customHeight="false" outlineLevel="0" collapsed="false">
      <c r="A36" s="4" t="s">
        <v>1105</v>
      </c>
      <c r="B36" s="4" t="s">
        <v>426</v>
      </c>
      <c r="C36" s="4" t="s">
        <v>1088</v>
      </c>
    </row>
    <row r="37" customFormat="false" ht="23.85" hidden="false" customHeight="false" outlineLevel="0" collapsed="false">
      <c r="A37" s="5" t="s">
        <v>1105</v>
      </c>
      <c r="B37" s="5" t="s">
        <v>632</v>
      </c>
      <c r="C37" s="5" t="s">
        <v>1088</v>
      </c>
    </row>
    <row r="38" customFormat="false" ht="15" hidden="false" customHeight="false" outlineLevel="0" collapsed="false">
      <c r="A38" s="4" t="s">
        <v>1106</v>
      </c>
      <c r="B38" s="4" t="s">
        <v>428</v>
      </c>
      <c r="C38" s="4" t="s">
        <v>1088</v>
      </c>
    </row>
    <row r="39" customFormat="false" ht="23.85" hidden="false" customHeight="false" outlineLevel="0" collapsed="false">
      <c r="A39" s="5" t="s">
        <v>1106</v>
      </c>
      <c r="B39" s="5" t="s">
        <v>633</v>
      </c>
      <c r="C39" s="5" t="s">
        <v>1088</v>
      </c>
    </row>
    <row r="40" customFormat="false" ht="15" hidden="false" customHeight="false" outlineLevel="0" collapsed="false">
      <c r="A40" s="4" t="s">
        <v>1107</v>
      </c>
      <c r="B40" s="4" t="s">
        <v>431</v>
      </c>
      <c r="C40" s="4" t="s">
        <v>1088</v>
      </c>
    </row>
    <row r="41" customFormat="false" ht="23.85" hidden="false" customHeight="false" outlineLevel="0" collapsed="false">
      <c r="A41" s="5" t="s">
        <v>1107</v>
      </c>
      <c r="B41" s="5" t="s">
        <v>634</v>
      </c>
      <c r="C41" s="5" t="s">
        <v>1088</v>
      </c>
    </row>
    <row r="42" customFormat="false" ht="15" hidden="false" customHeight="false" outlineLevel="0" collapsed="false">
      <c r="A42" s="4" t="s">
        <v>1108</v>
      </c>
      <c r="B42" s="4" t="s">
        <v>435</v>
      </c>
      <c r="C42" s="4" t="s">
        <v>1088</v>
      </c>
    </row>
    <row r="43" customFormat="false" ht="23.85" hidden="false" customHeight="false" outlineLevel="0" collapsed="false">
      <c r="A43" s="5" t="s">
        <v>1108</v>
      </c>
      <c r="B43" s="5" t="s">
        <v>636</v>
      </c>
      <c r="C43" s="5" t="s">
        <v>1088</v>
      </c>
    </row>
    <row r="44" customFormat="false" ht="15" hidden="false" customHeight="false" outlineLevel="0" collapsed="false">
      <c r="A44" s="4" t="s">
        <v>1109</v>
      </c>
      <c r="B44" s="4" t="s">
        <v>437</v>
      </c>
      <c r="C44" s="4" t="s">
        <v>1088</v>
      </c>
    </row>
    <row r="45" customFormat="false" ht="23.85" hidden="false" customHeight="false" outlineLevel="0" collapsed="false">
      <c r="A45" s="5" t="s">
        <v>1109</v>
      </c>
      <c r="B45" s="5" t="s">
        <v>637</v>
      </c>
      <c r="C45" s="5" t="s">
        <v>1088</v>
      </c>
    </row>
    <row r="46" customFormat="false" ht="23.85" hidden="false" customHeight="false" outlineLevel="0" collapsed="false">
      <c r="A46" s="4" t="s">
        <v>1110</v>
      </c>
      <c r="B46" s="4" t="s">
        <v>443</v>
      </c>
      <c r="C46" s="4" t="s">
        <v>1088</v>
      </c>
    </row>
    <row r="47" customFormat="false" ht="23.85" hidden="false" customHeight="false" outlineLevel="0" collapsed="false">
      <c r="A47" s="5" t="s">
        <v>1110</v>
      </c>
      <c r="B47" s="5" t="s">
        <v>640</v>
      </c>
      <c r="C47" s="5" t="s">
        <v>1088</v>
      </c>
    </row>
    <row r="48" customFormat="false" ht="15" hidden="false" customHeight="false" outlineLevel="0" collapsed="false">
      <c r="A48" s="4" t="s">
        <v>1111</v>
      </c>
      <c r="B48" s="4" t="s">
        <v>445</v>
      </c>
      <c r="C48" s="4" t="s">
        <v>1088</v>
      </c>
    </row>
    <row r="49" customFormat="false" ht="23.85" hidden="false" customHeight="false" outlineLevel="0" collapsed="false">
      <c r="A49" s="5" t="s">
        <v>1111</v>
      </c>
      <c r="B49" s="5" t="s">
        <v>641</v>
      </c>
      <c r="C49" s="5" t="s">
        <v>1088</v>
      </c>
    </row>
    <row r="50" customFormat="false" ht="15" hidden="false" customHeight="false" outlineLevel="0" collapsed="false">
      <c r="A50" s="4" t="s">
        <v>1112</v>
      </c>
      <c r="B50" s="4" t="s">
        <v>447</v>
      </c>
      <c r="C50" s="4" t="s">
        <v>1088</v>
      </c>
    </row>
    <row r="51" customFormat="false" ht="23.85" hidden="false" customHeight="false" outlineLevel="0" collapsed="false">
      <c r="A51" s="5" t="s">
        <v>1112</v>
      </c>
      <c r="B51" s="5" t="s">
        <v>642</v>
      </c>
      <c r="C51" s="5" t="s">
        <v>1088</v>
      </c>
    </row>
    <row r="52" customFormat="false" ht="15" hidden="false" customHeight="false" outlineLevel="0" collapsed="false">
      <c r="A52" s="4" t="s">
        <v>1113</v>
      </c>
      <c r="B52" s="4" t="s">
        <v>450</v>
      </c>
      <c r="C52" s="4" t="s">
        <v>1088</v>
      </c>
    </row>
    <row r="53" customFormat="false" ht="23.85" hidden="false" customHeight="false" outlineLevel="0" collapsed="false">
      <c r="A53" s="5" t="s">
        <v>1113</v>
      </c>
      <c r="B53" s="5" t="s">
        <v>643</v>
      </c>
      <c r="C53" s="5" t="s">
        <v>1088</v>
      </c>
    </row>
    <row r="54" customFormat="false" ht="15" hidden="false" customHeight="false" outlineLevel="0" collapsed="false">
      <c r="A54" s="4" t="s">
        <v>1114</v>
      </c>
      <c r="B54" s="4" t="s">
        <v>452</v>
      </c>
      <c r="C54" s="4" t="s">
        <v>1088</v>
      </c>
    </row>
    <row r="55" customFormat="false" ht="23.85" hidden="false" customHeight="false" outlineLevel="0" collapsed="false">
      <c r="A55" s="5" t="s">
        <v>1114</v>
      </c>
      <c r="B55" s="5" t="s">
        <v>644</v>
      </c>
      <c r="C55" s="5" t="s">
        <v>1088</v>
      </c>
    </row>
    <row r="56" customFormat="false" ht="15" hidden="false" customHeight="false" outlineLevel="0" collapsed="false">
      <c r="A56" s="4" t="s">
        <v>1115</v>
      </c>
      <c r="B56" s="4" t="s">
        <v>455</v>
      </c>
      <c r="C56" s="4" t="s">
        <v>1088</v>
      </c>
    </row>
    <row r="57" customFormat="false" ht="23.85" hidden="false" customHeight="false" outlineLevel="0" collapsed="false">
      <c r="A57" s="5" t="s">
        <v>1115</v>
      </c>
      <c r="B57" s="5" t="s">
        <v>645</v>
      </c>
      <c r="C57" s="5" t="s">
        <v>1088</v>
      </c>
    </row>
    <row r="58" customFormat="false" ht="15" hidden="false" customHeight="false" outlineLevel="0" collapsed="false">
      <c r="A58" s="4" t="s">
        <v>1116</v>
      </c>
      <c r="B58" s="4" t="s">
        <v>457</v>
      </c>
      <c r="C58" s="4" t="s">
        <v>1088</v>
      </c>
    </row>
    <row r="59" customFormat="false" ht="23.85" hidden="false" customHeight="false" outlineLevel="0" collapsed="false">
      <c r="A59" s="5" t="s">
        <v>1116</v>
      </c>
      <c r="B59" s="5" t="s">
        <v>646</v>
      </c>
      <c r="C59" s="5" t="s">
        <v>1088</v>
      </c>
    </row>
    <row r="60" customFormat="false" ht="15" hidden="false" customHeight="false" outlineLevel="0" collapsed="false">
      <c r="A60" s="4" t="s">
        <v>1117</v>
      </c>
      <c r="B60" s="4" t="s">
        <v>459</v>
      </c>
      <c r="C60" s="4" t="s">
        <v>1088</v>
      </c>
    </row>
    <row r="61" customFormat="false" ht="23.85" hidden="false" customHeight="false" outlineLevel="0" collapsed="false">
      <c r="A61" s="5" t="s">
        <v>1117</v>
      </c>
      <c r="B61" s="5" t="s">
        <v>647</v>
      </c>
      <c r="C61" s="5" t="s">
        <v>1088</v>
      </c>
    </row>
    <row r="62" customFormat="false" ht="15" hidden="false" customHeight="false" outlineLevel="0" collapsed="false">
      <c r="A62" s="4" t="s">
        <v>1118</v>
      </c>
      <c r="B62" s="4" t="s">
        <v>461</v>
      </c>
      <c r="C62" s="4" t="s">
        <v>1088</v>
      </c>
    </row>
    <row r="63" customFormat="false" ht="23.85" hidden="false" customHeight="false" outlineLevel="0" collapsed="false">
      <c r="A63" s="5" t="s">
        <v>1118</v>
      </c>
      <c r="B63" s="5" t="s">
        <v>648</v>
      </c>
      <c r="C63" s="5" t="s">
        <v>1088</v>
      </c>
    </row>
    <row r="64" customFormat="false" ht="15" hidden="false" customHeight="false" outlineLevel="0" collapsed="false">
      <c r="A64" s="4" t="s">
        <v>1119</v>
      </c>
      <c r="B64" s="4" t="s">
        <v>463</v>
      </c>
      <c r="C64" s="4" t="s">
        <v>1088</v>
      </c>
    </row>
    <row r="65" customFormat="false" ht="23.85" hidden="false" customHeight="false" outlineLevel="0" collapsed="false">
      <c r="A65" s="5" t="s">
        <v>1119</v>
      </c>
      <c r="B65" s="5" t="s">
        <v>649</v>
      </c>
      <c r="C65" s="5" t="s">
        <v>1088</v>
      </c>
    </row>
    <row r="66" customFormat="false" ht="15" hidden="false" customHeight="false" outlineLevel="0" collapsed="false">
      <c r="A66" s="4" t="s">
        <v>1120</v>
      </c>
      <c r="B66" s="4" t="s">
        <v>465</v>
      </c>
      <c r="C66" s="4" t="s">
        <v>1088</v>
      </c>
    </row>
    <row r="67" customFormat="false" ht="23.85" hidden="false" customHeight="false" outlineLevel="0" collapsed="false">
      <c r="A67" s="5" t="s">
        <v>1120</v>
      </c>
      <c r="B67" s="5" t="s">
        <v>650</v>
      </c>
      <c r="C67" s="5" t="s">
        <v>1088</v>
      </c>
    </row>
    <row r="68" customFormat="false" ht="23.85" hidden="false" customHeight="false" outlineLevel="0" collapsed="false">
      <c r="A68" s="4" t="s">
        <v>1121</v>
      </c>
      <c r="B68" s="4" t="s">
        <v>469</v>
      </c>
      <c r="C68" s="4" t="s">
        <v>1088</v>
      </c>
    </row>
    <row r="69" customFormat="false" ht="23.85" hidden="false" customHeight="false" outlineLevel="0" collapsed="false">
      <c r="A69" s="5" t="s">
        <v>1121</v>
      </c>
      <c r="B69" s="5" t="s">
        <v>652</v>
      </c>
      <c r="C69" s="5" t="s">
        <v>1088</v>
      </c>
    </row>
    <row r="70" customFormat="false" ht="15" hidden="false" customHeight="false" outlineLevel="0" collapsed="false">
      <c r="A70" s="4" t="s">
        <v>1122</v>
      </c>
      <c r="B70" s="4" t="s">
        <v>479</v>
      </c>
      <c r="C70" s="4" t="s">
        <v>1088</v>
      </c>
    </row>
    <row r="71" customFormat="false" ht="23.85" hidden="false" customHeight="false" outlineLevel="0" collapsed="false">
      <c r="A71" s="5" t="s">
        <v>1122</v>
      </c>
      <c r="B71" s="5" t="s">
        <v>658</v>
      </c>
      <c r="C71" s="5" t="s">
        <v>1088</v>
      </c>
    </row>
    <row r="72" customFormat="false" ht="15" hidden="false" customHeight="false" outlineLevel="0" collapsed="false">
      <c r="A72" s="4" t="s">
        <v>1123</v>
      </c>
      <c r="B72" s="4" t="s">
        <v>485</v>
      </c>
      <c r="C72" s="4" t="s">
        <v>1088</v>
      </c>
    </row>
    <row r="73" customFormat="false" ht="23.85" hidden="false" customHeight="false" outlineLevel="0" collapsed="false">
      <c r="A73" s="5" t="s">
        <v>1123</v>
      </c>
      <c r="B73" s="5" t="s">
        <v>661</v>
      </c>
      <c r="C73" s="5" t="s">
        <v>1088</v>
      </c>
    </row>
    <row r="74" customFormat="false" ht="23.85" hidden="false" customHeight="false" outlineLevel="0" collapsed="false">
      <c r="A74" s="4" t="s">
        <v>1124</v>
      </c>
      <c r="B74" s="4" t="s">
        <v>494</v>
      </c>
      <c r="C74" s="4" t="s">
        <v>1088</v>
      </c>
    </row>
    <row r="75" customFormat="false" ht="23.85" hidden="false" customHeight="false" outlineLevel="0" collapsed="false">
      <c r="A75" s="5" t="s">
        <v>1124</v>
      </c>
      <c r="B75" s="5" t="s">
        <v>720</v>
      </c>
      <c r="C75" s="5" t="s">
        <v>1088</v>
      </c>
    </row>
    <row r="76" customFormat="false" ht="23.85" hidden="false" customHeight="false" outlineLevel="0" collapsed="false">
      <c r="A76" s="4" t="s">
        <v>1125</v>
      </c>
      <c r="B76" s="4" t="s">
        <v>497</v>
      </c>
      <c r="C76" s="4" t="s">
        <v>1088</v>
      </c>
    </row>
    <row r="77" customFormat="false" ht="23.85" hidden="false" customHeight="false" outlineLevel="0" collapsed="false">
      <c r="A77" s="5" t="s">
        <v>1125</v>
      </c>
      <c r="B77" s="5" t="s">
        <v>721</v>
      </c>
      <c r="C77" s="5" t="s">
        <v>1088</v>
      </c>
    </row>
    <row r="78" customFormat="false" ht="23.85" hidden="false" customHeight="false" outlineLevel="0" collapsed="false">
      <c r="A78" s="4" t="s">
        <v>1126</v>
      </c>
      <c r="B78" s="4" t="s">
        <v>501</v>
      </c>
      <c r="C78" s="4" t="s">
        <v>1088</v>
      </c>
    </row>
    <row r="79" customFormat="false" ht="23.85" hidden="false" customHeight="false" outlineLevel="0" collapsed="false">
      <c r="A79" s="5" t="s">
        <v>1126</v>
      </c>
      <c r="B79" s="5" t="s">
        <v>722</v>
      </c>
      <c r="C79" s="5" t="s">
        <v>1088</v>
      </c>
    </row>
    <row r="80" customFormat="false" ht="23.85" hidden="false" customHeight="false" outlineLevel="0" collapsed="false">
      <c r="A80" s="4" t="s">
        <v>1127</v>
      </c>
      <c r="B80" s="4" t="s">
        <v>504</v>
      </c>
      <c r="C80" s="4" t="s">
        <v>1088</v>
      </c>
    </row>
    <row r="81" customFormat="false" ht="23.85" hidden="false" customHeight="false" outlineLevel="0" collapsed="false">
      <c r="A81" s="5" t="s">
        <v>1127</v>
      </c>
      <c r="B81" s="5" t="s">
        <v>723</v>
      </c>
      <c r="C81" s="5" t="s">
        <v>1088</v>
      </c>
    </row>
    <row r="82" customFormat="false" ht="23.85" hidden="false" customHeight="false" outlineLevel="0" collapsed="false">
      <c r="A82" s="4" t="s">
        <v>1128</v>
      </c>
      <c r="B82" s="4" t="s">
        <v>508</v>
      </c>
      <c r="C82" s="4" t="s">
        <v>1088</v>
      </c>
    </row>
    <row r="83" customFormat="false" ht="23.85" hidden="false" customHeight="false" outlineLevel="0" collapsed="false">
      <c r="A83" s="5" t="s">
        <v>1128</v>
      </c>
      <c r="B83" s="5" t="s">
        <v>724</v>
      </c>
      <c r="C83" s="5" t="s">
        <v>1088</v>
      </c>
    </row>
    <row r="84" customFormat="false" ht="23.85" hidden="false" customHeight="false" outlineLevel="0" collapsed="false">
      <c r="A84" s="4" t="s">
        <v>1129</v>
      </c>
      <c r="B84" s="4" t="s">
        <v>511</v>
      </c>
      <c r="C84" s="4" t="s">
        <v>1088</v>
      </c>
    </row>
    <row r="85" customFormat="false" ht="23.85" hidden="false" customHeight="false" outlineLevel="0" collapsed="false">
      <c r="A85" s="5" t="s">
        <v>1129</v>
      </c>
      <c r="B85" s="5" t="s">
        <v>725</v>
      </c>
      <c r="C85" s="5" t="s">
        <v>1088</v>
      </c>
    </row>
    <row r="86" customFormat="false" ht="23.85" hidden="false" customHeight="false" outlineLevel="0" collapsed="false">
      <c r="A86" s="4" t="s">
        <v>1130</v>
      </c>
      <c r="B86" s="4" t="s">
        <v>514</v>
      </c>
      <c r="C86" s="4" t="s">
        <v>1088</v>
      </c>
    </row>
    <row r="87" customFormat="false" ht="23.85" hidden="false" customHeight="false" outlineLevel="0" collapsed="false">
      <c r="A87" s="5" t="s">
        <v>1130</v>
      </c>
      <c r="B87" s="5" t="s">
        <v>726</v>
      </c>
      <c r="C87" s="5" t="s">
        <v>1088</v>
      </c>
    </row>
    <row r="88" customFormat="false" ht="23.85" hidden="false" customHeight="false" outlineLevel="0" collapsed="false">
      <c r="A88" s="4" t="s">
        <v>1131</v>
      </c>
      <c r="B88" s="4" t="s">
        <v>516</v>
      </c>
      <c r="C88" s="4" t="s">
        <v>1088</v>
      </c>
    </row>
    <row r="89" customFormat="false" ht="35.05" hidden="false" customHeight="false" outlineLevel="0" collapsed="false">
      <c r="A89" s="5" t="s">
        <v>1131</v>
      </c>
      <c r="B89" s="5" t="s">
        <v>727</v>
      </c>
      <c r="C89" s="5" t="s">
        <v>1088</v>
      </c>
    </row>
    <row r="90" customFormat="false" ht="23.85" hidden="false" customHeight="false" outlineLevel="0" collapsed="false">
      <c r="A90" s="4" t="s">
        <v>1132</v>
      </c>
      <c r="B90" s="4" t="s">
        <v>518</v>
      </c>
      <c r="C90" s="4" t="s">
        <v>1088</v>
      </c>
    </row>
    <row r="91" customFormat="false" ht="23.85" hidden="false" customHeight="false" outlineLevel="0" collapsed="false">
      <c r="A91" s="5" t="s">
        <v>1132</v>
      </c>
      <c r="B91" s="5" t="s">
        <v>728</v>
      </c>
      <c r="C91" s="5" t="s">
        <v>1088</v>
      </c>
    </row>
    <row r="92" customFormat="false" ht="23.85" hidden="false" customHeight="false" outlineLevel="0" collapsed="false">
      <c r="A92" s="4" t="s">
        <v>1133</v>
      </c>
      <c r="B92" s="4" t="s">
        <v>521</v>
      </c>
      <c r="C92" s="4" t="s">
        <v>1088</v>
      </c>
    </row>
    <row r="93" customFormat="false" ht="23.85" hidden="false" customHeight="false" outlineLevel="0" collapsed="false">
      <c r="A93" s="5" t="s">
        <v>1133</v>
      </c>
      <c r="B93" s="5" t="s">
        <v>729</v>
      </c>
      <c r="C93" s="5" t="s">
        <v>1088</v>
      </c>
    </row>
    <row r="94" customFormat="false" ht="23.85" hidden="false" customHeight="false" outlineLevel="0" collapsed="false">
      <c r="A94" s="4" t="s">
        <v>1134</v>
      </c>
      <c r="B94" s="4" t="s">
        <v>523</v>
      </c>
      <c r="C94" s="4" t="s">
        <v>1088</v>
      </c>
    </row>
    <row r="95" customFormat="false" ht="23.85" hidden="false" customHeight="false" outlineLevel="0" collapsed="false">
      <c r="A95" s="5" t="s">
        <v>1134</v>
      </c>
      <c r="B95" s="5" t="s">
        <v>730</v>
      </c>
      <c r="C95" s="5" t="s">
        <v>1088</v>
      </c>
    </row>
    <row r="96" customFormat="false" ht="23.85" hidden="false" customHeight="false" outlineLevel="0" collapsed="false">
      <c r="A96" s="4" t="s">
        <v>1135</v>
      </c>
      <c r="B96" s="4" t="s">
        <v>525</v>
      </c>
      <c r="C96" s="4" t="s">
        <v>1088</v>
      </c>
    </row>
    <row r="97" customFormat="false" ht="23.85" hidden="false" customHeight="false" outlineLevel="0" collapsed="false">
      <c r="A97" s="5" t="s">
        <v>1135</v>
      </c>
      <c r="B97" s="5" t="s">
        <v>731</v>
      </c>
      <c r="C97" s="5" t="s">
        <v>1088</v>
      </c>
    </row>
    <row r="98" customFormat="false" ht="23.85" hidden="false" customHeight="false" outlineLevel="0" collapsed="false">
      <c r="A98" s="4" t="s">
        <v>1136</v>
      </c>
      <c r="B98" s="4" t="s">
        <v>527</v>
      </c>
      <c r="C98" s="4" t="s">
        <v>1088</v>
      </c>
    </row>
    <row r="99" customFormat="false" ht="23.85" hidden="false" customHeight="false" outlineLevel="0" collapsed="false">
      <c r="A99" s="5" t="s">
        <v>1136</v>
      </c>
      <c r="B99" s="5" t="s">
        <v>732</v>
      </c>
      <c r="C99" s="5" t="s">
        <v>1088</v>
      </c>
    </row>
    <row r="100" customFormat="false" ht="23.85" hidden="false" customHeight="false" outlineLevel="0" collapsed="false">
      <c r="A100" s="4" t="s">
        <v>1137</v>
      </c>
      <c r="B100" s="4" t="s">
        <v>529</v>
      </c>
      <c r="C100" s="4" t="s">
        <v>1088</v>
      </c>
    </row>
    <row r="101" customFormat="false" ht="23.85" hidden="false" customHeight="false" outlineLevel="0" collapsed="false">
      <c r="A101" s="5" t="s">
        <v>1137</v>
      </c>
      <c r="B101" s="5" t="s">
        <v>733</v>
      </c>
      <c r="C101" s="5" t="s">
        <v>1088</v>
      </c>
    </row>
    <row r="102" customFormat="false" ht="23.85" hidden="false" customHeight="false" outlineLevel="0" collapsed="false">
      <c r="A102" s="4" t="s">
        <v>1138</v>
      </c>
      <c r="B102" s="4" t="s">
        <v>531</v>
      </c>
      <c r="C102" s="4" t="s">
        <v>1088</v>
      </c>
    </row>
    <row r="103" customFormat="false" ht="23.85" hidden="false" customHeight="false" outlineLevel="0" collapsed="false">
      <c r="A103" s="5" t="s">
        <v>1138</v>
      </c>
      <c r="B103" s="5" t="s">
        <v>734</v>
      </c>
      <c r="C103" s="5" t="s">
        <v>1088</v>
      </c>
    </row>
    <row r="104" customFormat="false" ht="23.85" hidden="false" customHeight="false" outlineLevel="0" collapsed="false">
      <c r="A104" s="4" t="s">
        <v>1139</v>
      </c>
      <c r="B104" s="4" t="s">
        <v>534</v>
      </c>
      <c r="C104" s="4" t="s">
        <v>1088</v>
      </c>
    </row>
    <row r="105" customFormat="false" ht="23.85" hidden="false" customHeight="false" outlineLevel="0" collapsed="false">
      <c r="A105" s="5" t="s">
        <v>1139</v>
      </c>
      <c r="B105" s="5" t="s">
        <v>735</v>
      </c>
      <c r="C105" s="5" t="s">
        <v>1088</v>
      </c>
    </row>
    <row r="106" customFormat="false" ht="23.85" hidden="false" customHeight="false" outlineLevel="0" collapsed="false">
      <c r="A106" s="4" t="s">
        <v>1140</v>
      </c>
      <c r="B106" s="4" t="s">
        <v>536</v>
      </c>
      <c r="C106" s="4" t="s">
        <v>1088</v>
      </c>
    </row>
    <row r="107" customFormat="false" ht="23.85" hidden="false" customHeight="false" outlineLevel="0" collapsed="false">
      <c r="A107" s="5" t="s">
        <v>1140</v>
      </c>
      <c r="B107" s="5" t="s">
        <v>736</v>
      </c>
      <c r="C107" s="5" t="s">
        <v>1088</v>
      </c>
    </row>
    <row r="108" customFormat="false" ht="23.85" hidden="false" customHeight="false" outlineLevel="0" collapsed="false">
      <c r="A108" s="4" t="s">
        <v>1141</v>
      </c>
      <c r="B108" s="4" t="s">
        <v>539</v>
      </c>
      <c r="C108" s="4" t="s">
        <v>1088</v>
      </c>
    </row>
    <row r="109" customFormat="false" ht="23.85" hidden="false" customHeight="false" outlineLevel="0" collapsed="false">
      <c r="A109" s="5" t="s">
        <v>1141</v>
      </c>
      <c r="B109" s="5" t="s">
        <v>737</v>
      </c>
      <c r="C109" s="5" t="s">
        <v>1088</v>
      </c>
    </row>
    <row r="110" customFormat="false" ht="23.85" hidden="false" customHeight="false" outlineLevel="0" collapsed="false">
      <c r="A110" s="4" t="s">
        <v>1142</v>
      </c>
      <c r="B110" s="4" t="s">
        <v>541</v>
      </c>
      <c r="C110" s="4" t="s">
        <v>1088</v>
      </c>
    </row>
    <row r="111" customFormat="false" ht="23.85" hidden="false" customHeight="false" outlineLevel="0" collapsed="false">
      <c r="A111" s="5" t="s">
        <v>1142</v>
      </c>
      <c r="B111" s="5" t="s">
        <v>738</v>
      </c>
      <c r="C111" s="5" t="s">
        <v>1088</v>
      </c>
    </row>
    <row r="112" customFormat="false" ht="15" hidden="false" customHeight="false" outlineLevel="0" collapsed="false">
      <c r="A112" s="4" t="s">
        <v>1143</v>
      </c>
      <c r="B112" s="4" t="s">
        <v>543</v>
      </c>
      <c r="C112" s="4" t="s">
        <v>1088</v>
      </c>
    </row>
    <row r="113" customFormat="false" ht="23.85" hidden="false" customHeight="false" outlineLevel="0" collapsed="false">
      <c r="A113" s="5" t="s">
        <v>1143</v>
      </c>
      <c r="B113" s="5" t="s">
        <v>739</v>
      </c>
      <c r="C113" s="5" t="s">
        <v>1088</v>
      </c>
    </row>
    <row r="114" customFormat="false" ht="23.85" hidden="false" customHeight="false" outlineLevel="0" collapsed="false">
      <c r="A114" s="4" t="s">
        <v>1144</v>
      </c>
      <c r="B114" s="4" t="s">
        <v>546</v>
      </c>
      <c r="C114" s="4" t="s">
        <v>1088</v>
      </c>
    </row>
    <row r="115" customFormat="false" ht="23.85" hidden="false" customHeight="false" outlineLevel="0" collapsed="false">
      <c r="A115" s="5" t="s">
        <v>1144</v>
      </c>
      <c r="B115" s="5" t="s">
        <v>740</v>
      </c>
      <c r="C115" s="5" t="s">
        <v>1088</v>
      </c>
    </row>
    <row r="116" customFormat="false" ht="23.85" hidden="false" customHeight="false" outlineLevel="0" collapsed="false">
      <c r="A116" s="4" t="s">
        <v>1145</v>
      </c>
      <c r="B116" s="4" t="s">
        <v>548</v>
      </c>
      <c r="C116" s="4" t="s">
        <v>1088</v>
      </c>
    </row>
    <row r="117" customFormat="false" ht="23.85" hidden="false" customHeight="false" outlineLevel="0" collapsed="false">
      <c r="A117" s="5" t="s">
        <v>1145</v>
      </c>
      <c r="B117" s="5" t="s">
        <v>741</v>
      </c>
      <c r="C117" s="5" t="s">
        <v>1088</v>
      </c>
    </row>
    <row r="118" customFormat="false" ht="23.85" hidden="false" customHeight="false" outlineLevel="0" collapsed="false">
      <c r="A118" s="4" t="s">
        <v>1146</v>
      </c>
      <c r="B118" s="4" t="s">
        <v>550</v>
      </c>
      <c r="C118" s="4" t="s">
        <v>1088</v>
      </c>
    </row>
    <row r="119" customFormat="false" ht="23.85" hidden="false" customHeight="false" outlineLevel="0" collapsed="false">
      <c r="A119" s="5" t="s">
        <v>1146</v>
      </c>
      <c r="B119" s="5" t="s">
        <v>742</v>
      </c>
      <c r="C119" s="5" t="s">
        <v>1088</v>
      </c>
    </row>
    <row r="120" customFormat="false" ht="23.85" hidden="false" customHeight="false" outlineLevel="0" collapsed="false">
      <c r="A120" s="4" t="s">
        <v>1147</v>
      </c>
      <c r="B120" s="4" t="s">
        <v>552</v>
      </c>
      <c r="C120" s="4" t="s">
        <v>1088</v>
      </c>
    </row>
    <row r="121" customFormat="false" ht="23.85" hidden="false" customHeight="false" outlineLevel="0" collapsed="false">
      <c r="A121" s="5" t="s">
        <v>1147</v>
      </c>
      <c r="B121" s="5" t="s">
        <v>743</v>
      </c>
      <c r="C121" s="5" t="s">
        <v>1088</v>
      </c>
    </row>
    <row r="122" customFormat="false" ht="23.85" hidden="false" customHeight="false" outlineLevel="0" collapsed="false">
      <c r="A122" s="4" t="s">
        <v>1148</v>
      </c>
      <c r="B122" s="4" t="s">
        <v>554</v>
      </c>
      <c r="C122" s="4" t="s">
        <v>1088</v>
      </c>
    </row>
    <row r="123" customFormat="false" ht="23.85" hidden="false" customHeight="false" outlineLevel="0" collapsed="false">
      <c r="A123" s="5" t="s">
        <v>1148</v>
      </c>
      <c r="B123" s="5" t="s">
        <v>744</v>
      </c>
      <c r="C123" s="5" t="s">
        <v>1088</v>
      </c>
    </row>
    <row r="124" customFormat="false" ht="23.85" hidden="false" customHeight="false" outlineLevel="0" collapsed="false">
      <c r="A124" s="4" t="s">
        <v>1149</v>
      </c>
      <c r="B124" s="4" t="s">
        <v>556</v>
      </c>
      <c r="C124" s="4" t="s">
        <v>1088</v>
      </c>
    </row>
    <row r="125" customFormat="false" ht="23.85" hidden="false" customHeight="false" outlineLevel="0" collapsed="false">
      <c r="A125" s="5" t="s">
        <v>1149</v>
      </c>
      <c r="B125" s="5" t="s">
        <v>745</v>
      </c>
      <c r="C125" s="5" t="s">
        <v>1088</v>
      </c>
    </row>
    <row r="126" customFormat="false" ht="23.85" hidden="false" customHeight="false" outlineLevel="0" collapsed="false">
      <c r="A126" s="4" t="s">
        <v>1150</v>
      </c>
      <c r="B126" s="4" t="s">
        <v>559</v>
      </c>
      <c r="C126" s="4" t="s">
        <v>1088</v>
      </c>
    </row>
    <row r="127" customFormat="false" ht="23.85" hidden="false" customHeight="false" outlineLevel="0" collapsed="false">
      <c r="A127" s="5" t="s">
        <v>1150</v>
      </c>
      <c r="B127" s="5" t="s">
        <v>746</v>
      </c>
      <c r="C127" s="5" t="s">
        <v>1088</v>
      </c>
    </row>
    <row r="128" customFormat="false" ht="23.85" hidden="false" customHeight="false" outlineLevel="0" collapsed="false">
      <c r="A128" s="4" t="s">
        <v>1151</v>
      </c>
      <c r="B128" s="4" t="s">
        <v>562</v>
      </c>
      <c r="C128" s="4" t="s">
        <v>1088</v>
      </c>
    </row>
    <row r="129" customFormat="false" ht="23.85" hidden="false" customHeight="false" outlineLevel="0" collapsed="false">
      <c r="A129" s="5" t="s">
        <v>1151</v>
      </c>
      <c r="B129" s="5" t="s">
        <v>747</v>
      </c>
      <c r="C129" s="5" t="s">
        <v>1088</v>
      </c>
    </row>
    <row r="130" customFormat="false" ht="23.85" hidden="false" customHeight="false" outlineLevel="0" collapsed="false">
      <c r="A130" s="4" t="s">
        <v>1152</v>
      </c>
      <c r="B130" s="4" t="s">
        <v>564</v>
      </c>
      <c r="C130" s="4" t="s">
        <v>1088</v>
      </c>
    </row>
    <row r="131" customFormat="false" ht="23.85" hidden="false" customHeight="false" outlineLevel="0" collapsed="false">
      <c r="A131" s="5" t="s">
        <v>1152</v>
      </c>
      <c r="B131" s="5" t="s">
        <v>748</v>
      </c>
      <c r="C131" s="5" t="s">
        <v>1088</v>
      </c>
    </row>
    <row r="132" customFormat="false" ht="23.85" hidden="false" customHeight="false" outlineLevel="0" collapsed="false">
      <c r="A132" s="4" t="s">
        <v>1153</v>
      </c>
      <c r="B132" s="4" t="s">
        <v>568</v>
      </c>
      <c r="C132" s="4" t="s">
        <v>1088</v>
      </c>
    </row>
    <row r="133" customFormat="false" ht="23.85" hidden="false" customHeight="false" outlineLevel="0" collapsed="false">
      <c r="A133" s="5" t="s">
        <v>1153</v>
      </c>
      <c r="B133" s="5" t="s">
        <v>750</v>
      </c>
      <c r="C133" s="5" t="s">
        <v>1088</v>
      </c>
    </row>
    <row r="134" customFormat="false" ht="23.85" hidden="false" customHeight="false" outlineLevel="0" collapsed="false">
      <c r="A134" s="4" t="s">
        <v>1154</v>
      </c>
      <c r="B134" s="4" t="s">
        <v>571</v>
      </c>
      <c r="C134" s="4" t="s">
        <v>1088</v>
      </c>
    </row>
    <row r="135" customFormat="false" ht="23.85" hidden="false" customHeight="false" outlineLevel="0" collapsed="false">
      <c r="A135" s="5" t="s">
        <v>1154</v>
      </c>
      <c r="B135" s="5" t="s">
        <v>751</v>
      </c>
      <c r="C135" s="5" t="s">
        <v>1088</v>
      </c>
    </row>
    <row r="136" customFormat="false" ht="23.85" hidden="false" customHeight="false" outlineLevel="0" collapsed="false">
      <c r="A136" s="4" t="s">
        <v>1155</v>
      </c>
      <c r="B136" s="4" t="s">
        <v>573</v>
      </c>
      <c r="C136" s="4" t="s">
        <v>1088</v>
      </c>
    </row>
    <row r="137" customFormat="false" ht="23.85" hidden="false" customHeight="false" outlineLevel="0" collapsed="false">
      <c r="A137" s="5" t="s">
        <v>1155</v>
      </c>
      <c r="B137" s="5" t="s">
        <v>752</v>
      </c>
      <c r="C137" s="5" t="s">
        <v>1088</v>
      </c>
    </row>
    <row r="138" customFormat="false" ht="23.85" hidden="false" customHeight="false" outlineLevel="0" collapsed="false">
      <c r="A138" s="4" t="s">
        <v>1156</v>
      </c>
      <c r="B138" s="4" t="s">
        <v>575</v>
      </c>
      <c r="C138" s="4" t="s">
        <v>1088</v>
      </c>
    </row>
    <row r="139" customFormat="false" ht="23.85" hidden="false" customHeight="false" outlineLevel="0" collapsed="false">
      <c r="A139" s="5" t="s">
        <v>1156</v>
      </c>
      <c r="B139" s="5" t="s">
        <v>753</v>
      </c>
      <c r="C139" s="5" t="s">
        <v>1088</v>
      </c>
    </row>
    <row r="140" customFormat="false" ht="23.85" hidden="false" customHeight="false" outlineLevel="0" collapsed="false">
      <c r="A140" s="4" t="s">
        <v>1157</v>
      </c>
      <c r="B140" s="4" t="s">
        <v>577</v>
      </c>
      <c r="C140" s="4" t="s">
        <v>1088</v>
      </c>
    </row>
    <row r="141" customFormat="false" ht="23.85" hidden="false" customHeight="false" outlineLevel="0" collapsed="false">
      <c r="A141" s="5" t="s">
        <v>1157</v>
      </c>
      <c r="B141" s="5" t="s">
        <v>754</v>
      </c>
      <c r="C141" s="5" t="s">
        <v>1088</v>
      </c>
    </row>
    <row r="142" customFormat="false" ht="23.85" hidden="false" customHeight="false" outlineLevel="0" collapsed="false">
      <c r="A142" s="4" t="s">
        <v>1158</v>
      </c>
      <c r="B142" s="4" t="s">
        <v>579</v>
      </c>
      <c r="C142" s="4" t="s">
        <v>1088</v>
      </c>
    </row>
    <row r="143" customFormat="false" ht="23.85" hidden="false" customHeight="false" outlineLevel="0" collapsed="false">
      <c r="A143" s="5" t="s">
        <v>1158</v>
      </c>
      <c r="B143" s="5" t="s">
        <v>755</v>
      </c>
      <c r="C143" s="5" t="s">
        <v>1088</v>
      </c>
    </row>
    <row r="144" customFormat="false" ht="23.85" hidden="false" customHeight="false" outlineLevel="0" collapsed="false">
      <c r="A144" s="4" t="s">
        <v>1159</v>
      </c>
      <c r="B144" s="4" t="s">
        <v>582</v>
      </c>
      <c r="C144" s="4" t="s">
        <v>1088</v>
      </c>
    </row>
    <row r="145" customFormat="false" ht="23.85" hidden="false" customHeight="false" outlineLevel="0" collapsed="false">
      <c r="A145" s="5" t="s">
        <v>1159</v>
      </c>
      <c r="B145" s="5" t="s">
        <v>756</v>
      </c>
      <c r="C145" s="5" t="s">
        <v>1088</v>
      </c>
    </row>
    <row r="146" customFormat="false" ht="23.85" hidden="false" customHeight="false" outlineLevel="0" collapsed="false">
      <c r="A146" s="4" t="s">
        <v>1160</v>
      </c>
      <c r="B146" s="4" t="s">
        <v>584</v>
      </c>
      <c r="C146" s="4" t="s">
        <v>1088</v>
      </c>
    </row>
    <row r="147" customFormat="false" ht="23.85" hidden="false" customHeight="false" outlineLevel="0" collapsed="false">
      <c r="A147" s="5" t="s">
        <v>1160</v>
      </c>
      <c r="B147" s="5" t="s">
        <v>757</v>
      </c>
      <c r="C147" s="5" t="s">
        <v>1088</v>
      </c>
    </row>
    <row r="148" customFormat="false" ht="23.85" hidden="false" customHeight="false" outlineLevel="0" collapsed="false">
      <c r="A148" s="4" t="s">
        <v>1161</v>
      </c>
      <c r="B148" s="4" t="s">
        <v>586</v>
      </c>
      <c r="C148" s="4" t="s">
        <v>1088</v>
      </c>
    </row>
    <row r="149" customFormat="false" ht="23.85" hidden="false" customHeight="false" outlineLevel="0" collapsed="false">
      <c r="A149" s="5" t="s">
        <v>1161</v>
      </c>
      <c r="B149" s="5" t="s">
        <v>758</v>
      </c>
      <c r="C149" s="5" t="s">
        <v>1088</v>
      </c>
    </row>
    <row r="150" customFormat="false" ht="23.85" hidden="false" customHeight="false" outlineLevel="0" collapsed="false">
      <c r="A150" s="4" t="s">
        <v>1162</v>
      </c>
      <c r="B150" s="4" t="s">
        <v>588</v>
      </c>
      <c r="C150" s="4" t="s">
        <v>1088</v>
      </c>
    </row>
    <row r="151" customFormat="false" ht="23.85" hidden="false" customHeight="false" outlineLevel="0" collapsed="false">
      <c r="A151" s="5" t="s">
        <v>1162</v>
      </c>
      <c r="B151" s="5" t="s">
        <v>759</v>
      </c>
      <c r="C151" s="5" t="s">
        <v>1088</v>
      </c>
    </row>
    <row r="152" customFormat="false" ht="23.85" hidden="false" customHeight="false" outlineLevel="0" collapsed="false">
      <c r="A152" s="4" t="s">
        <v>1163</v>
      </c>
      <c r="B152" s="4" t="s">
        <v>594</v>
      </c>
      <c r="C152" s="4" t="s">
        <v>1088</v>
      </c>
    </row>
    <row r="153" customFormat="false" ht="23.85" hidden="false" customHeight="false" outlineLevel="0" collapsed="false">
      <c r="A153" s="5" t="s">
        <v>1163</v>
      </c>
      <c r="B153" s="5" t="s">
        <v>662</v>
      </c>
      <c r="C153" s="5" t="s">
        <v>1088</v>
      </c>
    </row>
    <row r="154" customFormat="false" ht="23.85" hidden="false" customHeight="false" outlineLevel="0" collapsed="false">
      <c r="A154" s="4" t="s">
        <v>1164</v>
      </c>
      <c r="B154" s="4" t="s">
        <v>698</v>
      </c>
      <c r="C154" s="4" t="s">
        <v>1088</v>
      </c>
    </row>
    <row r="155" customFormat="false" ht="35.05" hidden="false" customHeight="false" outlineLevel="0" collapsed="false">
      <c r="A155" s="5" t="s">
        <v>1164</v>
      </c>
      <c r="B155" s="5" t="s">
        <v>895</v>
      </c>
      <c r="C155" s="5" t="s">
        <v>1088</v>
      </c>
    </row>
    <row r="156" customFormat="false" ht="23.85" hidden="false" customHeight="false" outlineLevel="0" collapsed="false">
      <c r="A156" s="4" t="s">
        <v>1165</v>
      </c>
      <c r="B156" s="4" t="s">
        <v>772</v>
      </c>
      <c r="C156" s="4" t="s">
        <v>1088</v>
      </c>
    </row>
    <row r="157" customFormat="false" ht="23.85" hidden="false" customHeight="false" outlineLevel="0" collapsed="false">
      <c r="A157" s="5" t="s">
        <v>1165</v>
      </c>
      <c r="B157" s="5" t="s">
        <v>829</v>
      </c>
      <c r="C157" s="5" t="s">
        <v>1088</v>
      </c>
    </row>
    <row r="158" customFormat="false" ht="15" hidden="false" customHeight="false" outlineLevel="0" collapsed="false">
      <c r="A158" s="4" t="s">
        <v>1166</v>
      </c>
      <c r="B158" s="4" t="s">
        <v>983</v>
      </c>
      <c r="C158" s="4" t="s">
        <v>1088</v>
      </c>
    </row>
    <row r="159" customFormat="false" ht="23.85" hidden="false" customHeight="false" outlineLevel="0" collapsed="false">
      <c r="A159" s="5" t="s">
        <v>1166</v>
      </c>
      <c r="B159" s="5" t="s">
        <v>1040</v>
      </c>
      <c r="C159" s="5" t="s">
        <v>1088</v>
      </c>
    </row>
    <row r="161" customFormat="false" ht="15" hidden="false" customHeight="false" outlineLevel="0" collapsed="false">
      <c r="A161" s="6" t="s">
        <v>1167</v>
      </c>
    </row>
    <row r="162" customFormat="false" ht="15" hidden="false" customHeight="false" outlineLevel="0" collapsed="false">
      <c r="A162" s="0" t="s">
        <v>1168</v>
      </c>
    </row>
    <row r="163" customFormat="false" ht="15" hidden="false" customHeight="false" outlineLevel="0" collapsed="false">
      <c r="A163" s="0" t="s">
        <v>1169</v>
      </c>
    </row>
    <row r="164" customFormat="false" ht="15" hidden="false" customHeight="false" outlineLevel="0" collapsed="false">
      <c r="A164" s="0" t="s">
        <v>1170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8"/>
    <col collapsed="false" customWidth="true" hidden="false" outlineLevel="0" max="3" min="3" style="0" width="37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1171</v>
      </c>
    </row>
    <row r="3" customFormat="false" ht="15" hidden="false" customHeight="false" outlineLevel="0" collapsed="false">
      <c r="A3" s="3" t="s">
        <v>1172</v>
      </c>
      <c r="B3" s="3" t="s">
        <v>1173</v>
      </c>
      <c r="C3" s="3" t="s">
        <v>1174</v>
      </c>
      <c r="D3" s="3" t="s">
        <v>1175</v>
      </c>
      <c r="E3" s="3" t="s">
        <v>1176</v>
      </c>
      <c r="F3" s="3" t="s">
        <v>358</v>
      </c>
    </row>
    <row r="4" customFormat="false" ht="15" hidden="false" customHeight="false" outlineLevel="0" collapsed="false">
      <c r="A4" s="4" t="s">
        <v>1177</v>
      </c>
      <c r="B4" s="4" t="s">
        <v>1178</v>
      </c>
      <c r="C4" s="4" t="s">
        <v>1179</v>
      </c>
      <c r="D4" s="4" t="s">
        <v>1180</v>
      </c>
      <c r="E4" s="4" t="s">
        <v>1181</v>
      </c>
      <c r="F4" s="4" t="s">
        <v>1182</v>
      </c>
    </row>
    <row r="5" customFormat="false" ht="23.85" hidden="false" customHeight="false" outlineLevel="0" collapsed="false">
      <c r="A5" s="5" t="s">
        <v>1177</v>
      </c>
      <c r="B5" s="5" t="s">
        <v>1183</v>
      </c>
      <c r="C5" s="5" t="s">
        <v>1184</v>
      </c>
      <c r="D5" s="5" t="s">
        <v>1185</v>
      </c>
      <c r="E5" s="5" t="s">
        <v>1186</v>
      </c>
      <c r="F5" s="5" t="s">
        <v>1187</v>
      </c>
    </row>
    <row r="6" customFormat="false" ht="15" hidden="false" customHeight="false" outlineLevel="0" collapsed="false">
      <c r="A6" s="4" t="s">
        <v>1183</v>
      </c>
      <c r="B6" s="4" t="s">
        <v>1188</v>
      </c>
      <c r="C6" s="4" t="s">
        <v>1189</v>
      </c>
      <c r="D6" s="4" t="s">
        <v>1190</v>
      </c>
      <c r="E6" s="4" t="s">
        <v>1191</v>
      </c>
      <c r="F6" s="4" t="s">
        <v>1192</v>
      </c>
    </row>
    <row r="7" customFormat="false" ht="15" hidden="false" customHeight="false" outlineLevel="0" collapsed="false">
      <c r="A7" s="5" t="s">
        <v>1193</v>
      </c>
      <c r="B7" s="5" t="s">
        <v>1194</v>
      </c>
      <c r="C7" s="5" t="s">
        <v>1195</v>
      </c>
      <c r="D7" s="5" t="s">
        <v>1196</v>
      </c>
      <c r="E7" s="5" t="s">
        <v>1197</v>
      </c>
      <c r="F7" s="5" t="s">
        <v>1198</v>
      </c>
    </row>
    <row r="8" customFormat="false" ht="15" hidden="false" customHeight="false" outlineLevel="0" collapsed="false">
      <c r="A8" s="4" t="s">
        <v>1199</v>
      </c>
      <c r="B8" s="4" t="s">
        <v>1193</v>
      </c>
      <c r="C8" s="4" t="s">
        <v>1200</v>
      </c>
      <c r="D8" s="4" t="s">
        <v>1201</v>
      </c>
      <c r="E8" s="4" t="s">
        <v>1202</v>
      </c>
      <c r="F8" s="4" t="s">
        <v>1198</v>
      </c>
    </row>
    <row r="9" customFormat="false" ht="15" hidden="false" customHeight="false" outlineLevel="0" collapsed="false">
      <c r="A9" s="5" t="s">
        <v>1203</v>
      </c>
      <c r="B9" s="5" t="s">
        <v>1188</v>
      </c>
      <c r="C9" s="5" t="s">
        <v>1204</v>
      </c>
      <c r="D9" s="5" t="s">
        <v>1205</v>
      </c>
      <c r="E9" s="5" t="s">
        <v>1206</v>
      </c>
      <c r="F9" s="5" t="s">
        <v>1207</v>
      </c>
    </row>
    <row r="10" customFormat="false" ht="15" hidden="false" customHeight="false" outlineLevel="0" collapsed="false">
      <c r="A10" s="4" t="s">
        <v>1208</v>
      </c>
      <c r="B10" s="4" t="s">
        <v>1188</v>
      </c>
      <c r="C10" s="4" t="s">
        <v>1209</v>
      </c>
      <c r="D10" s="4" t="s">
        <v>1210</v>
      </c>
      <c r="E10" s="4" t="s">
        <v>1211</v>
      </c>
      <c r="F10" s="4" t="s">
        <v>598</v>
      </c>
    </row>
    <row r="11" customFormat="false" ht="15" hidden="false" customHeight="false" outlineLevel="0" collapsed="false">
      <c r="A11" s="5" t="s">
        <v>1212</v>
      </c>
      <c r="B11" s="5" t="s">
        <v>1183</v>
      </c>
      <c r="C11" s="5" t="s">
        <v>1213</v>
      </c>
      <c r="D11" s="5" t="s">
        <v>1214</v>
      </c>
      <c r="E11" s="5" t="s">
        <v>1215</v>
      </c>
      <c r="F11" s="5" t="s">
        <v>1216</v>
      </c>
    </row>
    <row r="12" customFormat="false" ht="15" hidden="false" customHeight="false" outlineLevel="0" collapsed="false">
      <c r="A12" s="4" t="s">
        <v>1217</v>
      </c>
      <c r="B12" s="4" t="s">
        <v>1183</v>
      </c>
      <c r="C12" s="4" t="s">
        <v>1218</v>
      </c>
      <c r="D12" s="4" t="s">
        <v>1219</v>
      </c>
      <c r="E12" s="4" t="s">
        <v>1220</v>
      </c>
      <c r="F12" s="4" t="s">
        <v>1221</v>
      </c>
    </row>
    <row r="13" customFormat="false" ht="15" hidden="false" customHeight="false" outlineLevel="0" collapsed="false">
      <c r="A13" s="5" t="s">
        <v>1222</v>
      </c>
      <c r="B13" s="5" t="s">
        <v>1223</v>
      </c>
      <c r="C13" s="5" t="s">
        <v>1224</v>
      </c>
      <c r="D13" s="5" t="s">
        <v>1225</v>
      </c>
      <c r="E13" s="5" t="s">
        <v>1226</v>
      </c>
      <c r="F13" s="5" t="s">
        <v>1227</v>
      </c>
    </row>
    <row r="14" customFormat="false" ht="15" hidden="false" customHeight="false" outlineLevel="0" collapsed="false">
      <c r="A14" s="4" t="s">
        <v>1228</v>
      </c>
      <c r="B14" s="4" t="s">
        <v>1199</v>
      </c>
      <c r="C14" s="4" t="s">
        <v>1229</v>
      </c>
      <c r="D14" s="4" t="s">
        <v>1201</v>
      </c>
      <c r="E14" s="4" t="s">
        <v>1230</v>
      </c>
      <c r="F14" s="4" t="s">
        <v>1231</v>
      </c>
    </row>
    <row r="15" customFormat="false" ht="15" hidden="false" customHeight="false" outlineLevel="0" collapsed="false">
      <c r="A15" s="5" t="s">
        <v>1232</v>
      </c>
      <c r="B15" s="5" t="s">
        <v>1177</v>
      </c>
      <c r="C15" s="5" t="s">
        <v>1233</v>
      </c>
      <c r="D15" s="5" t="s">
        <v>1234</v>
      </c>
      <c r="E15" s="5" t="s">
        <v>1235</v>
      </c>
      <c r="F15" s="5" t="s">
        <v>1187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1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1236</v>
      </c>
    </row>
    <row r="3" customFormat="false" ht="15" hidden="false" customHeight="false" outlineLevel="0" collapsed="false">
      <c r="A3" s="3" t="s">
        <v>1237</v>
      </c>
      <c r="B3" s="3" t="s">
        <v>358</v>
      </c>
      <c r="C3" s="3" t="s">
        <v>1238</v>
      </c>
      <c r="D3" s="3" t="s">
        <v>1239</v>
      </c>
      <c r="E3" s="3" t="s">
        <v>1240</v>
      </c>
    </row>
    <row r="4" customFormat="false" ht="15" hidden="false" customHeight="false" outlineLevel="0" collapsed="false">
      <c r="A4" s="4" t="s">
        <v>1241</v>
      </c>
      <c r="B4" s="4" t="s">
        <v>1242</v>
      </c>
      <c r="C4" s="4" t="s">
        <v>1243</v>
      </c>
      <c r="D4" s="4" t="s">
        <v>1244</v>
      </c>
      <c r="E4" s="4" t="s">
        <v>1245</v>
      </c>
    </row>
    <row r="5" customFormat="false" ht="15" hidden="false" customHeight="false" outlineLevel="0" collapsed="false">
      <c r="A5" s="5" t="s">
        <v>1246</v>
      </c>
      <c r="B5" s="5" t="s">
        <v>1247</v>
      </c>
      <c r="C5" s="5" t="s">
        <v>1248</v>
      </c>
      <c r="D5" s="5" t="s">
        <v>1249</v>
      </c>
      <c r="E5" s="22" t="s">
        <v>1245</v>
      </c>
    </row>
    <row r="6" customFormat="false" ht="15" hidden="false" customHeight="false" outlineLevel="0" collapsed="false">
      <c r="A6" s="4" t="s">
        <v>1250</v>
      </c>
      <c r="B6" s="4" t="s">
        <v>1251</v>
      </c>
      <c r="C6" s="4" t="s">
        <v>1252</v>
      </c>
      <c r="D6" s="4" t="s">
        <v>1253</v>
      </c>
      <c r="E6" s="4" t="s">
        <v>1245</v>
      </c>
    </row>
    <row r="7" customFormat="false" ht="15" hidden="false" customHeight="false" outlineLevel="0" collapsed="false">
      <c r="A7" s="5" t="s">
        <v>1254</v>
      </c>
      <c r="B7" s="5" t="s">
        <v>1255</v>
      </c>
      <c r="C7" s="5" t="s">
        <v>1256</v>
      </c>
      <c r="D7" s="5" t="s">
        <v>1257</v>
      </c>
      <c r="E7" s="23" t="s">
        <v>1258</v>
      </c>
    </row>
    <row r="8" customFormat="false" ht="15" hidden="false" customHeight="false" outlineLevel="0" collapsed="false">
      <c r="A8" s="4" t="s">
        <v>1259</v>
      </c>
      <c r="B8" s="4" t="s">
        <v>1260</v>
      </c>
      <c r="C8" s="4" t="s">
        <v>1261</v>
      </c>
      <c r="D8" s="4" t="s">
        <v>1262</v>
      </c>
      <c r="E8" s="4" t="s">
        <v>1258</v>
      </c>
    </row>
    <row r="9" customFormat="false" ht="15" hidden="false" customHeight="false" outlineLevel="0" collapsed="false">
      <c r="A9" s="5" t="s">
        <v>1263</v>
      </c>
      <c r="B9" s="5" t="s">
        <v>1264</v>
      </c>
      <c r="C9" s="5" t="s">
        <v>1265</v>
      </c>
      <c r="D9" s="5" t="s">
        <v>1266</v>
      </c>
      <c r="E9" s="23" t="s">
        <v>1258</v>
      </c>
    </row>
    <row r="10" customFormat="false" ht="15" hidden="false" customHeight="false" outlineLevel="0" collapsed="false">
      <c r="A10" s="4" t="s">
        <v>1267</v>
      </c>
      <c r="B10" s="4" t="s">
        <v>1231</v>
      </c>
      <c r="C10" s="4" t="s">
        <v>1268</v>
      </c>
      <c r="D10" s="4" t="s">
        <v>1269</v>
      </c>
      <c r="E10" s="4" t="s">
        <v>1270</v>
      </c>
    </row>
    <row r="11" customFormat="false" ht="15" hidden="false" customHeight="false" outlineLevel="0" collapsed="false">
      <c r="A11" s="5" t="s">
        <v>1271</v>
      </c>
      <c r="B11" s="5" t="s">
        <v>1231</v>
      </c>
      <c r="C11" s="5" t="s">
        <v>1272</v>
      </c>
      <c r="D11" s="5" t="s">
        <v>1273</v>
      </c>
      <c r="E11" s="24" t="s">
        <v>1270</v>
      </c>
    </row>
    <row r="12" customFormat="false" ht="15" hidden="false" customHeight="false" outlineLevel="0" collapsed="false">
      <c r="A12" s="4" t="s">
        <v>1274</v>
      </c>
      <c r="B12" s="4" t="s">
        <v>1231</v>
      </c>
      <c r="C12" s="4" t="s">
        <v>1275</v>
      </c>
      <c r="D12" s="4" t="s">
        <v>1276</v>
      </c>
      <c r="E12" s="4" t="s">
        <v>1270</v>
      </c>
    </row>
    <row r="13" customFormat="false" ht="15" hidden="false" customHeight="false" outlineLevel="0" collapsed="false">
      <c r="A13" s="5" t="s">
        <v>1277</v>
      </c>
      <c r="B13" s="5" t="s">
        <v>1278</v>
      </c>
      <c r="C13" s="5" t="s">
        <v>1279</v>
      </c>
      <c r="D13" s="5" t="s">
        <v>1280</v>
      </c>
      <c r="E13" s="24" t="s">
        <v>1270</v>
      </c>
    </row>
    <row r="14" customFormat="false" ht="15" hidden="false" customHeight="false" outlineLevel="0" collapsed="false">
      <c r="A14" s="4" t="s">
        <v>1281</v>
      </c>
      <c r="B14" s="4" t="s">
        <v>1282</v>
      </c>
      <c r="C14" s="4" t="s">
        <v>1283</v>
      </c>
      <c r="D14" s="4" t="s">
        <v>1284</v>
      </c>
      <c r="E14" s="4" t="s">
        <v>1285</v>
      </c>
    </row>
    <row r="15" customFormat="false" ht="15" hidden="false" customHeight="false" outlineLevel="0" collapsed="false">
      <c r="A15" s="5" t="s">
        <v>1286</v>
      </c>
      <c r="B15" s="5" t="s">
        <v>1231</v>
      </c>
      <c r="C15" s="5" t="s">
        <v>1287</v>
      </c>
      <c r="D15" s="5" t="s">
        <v>1288</v>
      </c>
      <c r="E15" s="23" t="s">
        <v>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5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1289</v>
      </c>
    </row>
    <row r="3" customFormat="false" ht="15" hidden="false" customHeight="false" outlineLevel="0" collapsed="false">
      <c r="A3" s="3" t="s">
        <v>1290</v>
      </c>
      <c r="B3" s="3" t="s">
        <v>1291</v>
      </c>
      <c r="C3" s="3" t="s">
        <v>1292</v>
      </c>
      <c r="D3" s="3" t="s">
        <v>1293</v>
      </c>
    </row>
    <row r="4" customFormat="false" ht="35.05" hidden="false" customHeight="false" outlineLevel="0" collapsed="false">
      <c r="A4" s="4" t="s">
        <v>1294</v>
      </c>
      <c r="B4" s="4" t="s">
        <v>1295</v>
      </c>
      <c r="C4" s="4" t="s">
        <v>1296</v>
      </c>
      <c r="D4" s="4" t="s">
        <v>1297</v>
      </c>
    </row>
    <row r="5" customFormat="false" ht="35.05" hidden="false" customHeight="false" outlineLevel="0" collapsed="false">
      <c r="A5" s="5" t="s">
        <v>1088</v>
      </c>
      <c r="B5" s="5" t="s">
        <v>1298</v>
      </c>
      <c r="C5" s="5" t="s">
        <v>1299</v>
      </c>
      <c r="D5" s="5" t="s">
        <v>1300</v>
      </c>
    </row>
    <row r="6" customFormat="false" ht="35.05" hidden="false" customHeight="false" outlineLevel="0" collapsed="false">
      <c r="A6" s="4" t="s">
        <v>1301</v>
      </c>
      <c r="B6" s="4" t="s">
        <v>1302</v>
      </c>
      <c r="C6" s="4" t="s">
        <v>1303</v>
      </c>
      <c r="D6" s="4" t="s">
        <v>1304</v>
      </c>
    </row>
    <row r="7" customFormat="false" ht="35.05" hidden="false" customHeight="false" outlineLevel="0" collapsed="false">
      <c r="A7" s="5" t="s">
        <v>1305</v>
      </c>
      <c r="B7" s="5" t="s">
        <v>1306</v>
      </c>
      <c r="C7" s="5" t="s">
        <v>1307</v>
      </c>
      <c r="D7" s="5" t="s">
        <v>1308</v>
      </c>
    </row>
    <row r="8" customFormat="false" ht="35.05" hidden="false" customHeight="false" outlineLevel="0" collapsed="false">
      <c r="A8" s="4" t="s">
        <v>1309</v>
      </c>
      <c r="B8" s="4" t="s">
        <v>1310</v>
      </c>
      <c r="C8" s="4" t="s">
        <v>1311</v>
      </c>
      <c r="D8" s="4" t="s">
        <v>1312</v>
      </c>
    </row>
    <row r="9" customFormat="false" ht="35.05" hidden="false" customHeight="false" outlineLevel="0" collapsed="false">
      <c r="A9" s="5" t="s">
        <v>1313</v>
      </c>
      <c r="B9" s="5" t="s">
        <v>1314</v>
      </c>
      <c r="C9" s="5" t="s">
        <v>1315</v>
      </c>
      <c r="D9" s="5" t="s">
        <v>1316</v>
      </c>
    </row>
    <row r="10" customFormat="false" ht="35.05" hidden="false" customHeight="false" outlineLevel="0" collapsed="false">
      <c r="A10" s="4" t="s">
        <v>1317</v>
      </c>
      <c r="B10" s="4" t="s">
        <v>1318</v>
      </c>
      <c r="C10" s="4" t="s">
        <v>1319</v>
      </c>
      <c r="D10" s="4" t="s">
        <v>1320</v>
      </c>
    </row>
    <row r="11" customFormat="false" ht="35.05" hidden="false" customHeight="false" outlineLevel="0" collapsed="false">
      <c r="A11" s="5" t="s">
        <v>1321</v>
      </c>
      <c r="B11" s="5" t="s">
        <v>1322</v>
      </c>
      <c r="C11" s="5" t="s">
        <v>1323</v>
      </c>
      <c r="D11" s="5" t="s">
        <v>1324</v>
      </c>
    </row>
    <row r="12" customFormat="false" ht="35.05" hidden="false" customHeight="false" outlineLevel="0" collapsed="false">
      <c r="A12" s="4" t="s">
        <v>1325</v>
      </c>
      <c r="B12" s="4" t="s">
        <v>1326</v>
      </c>
      <c r="C12" s="4" t="s">
        <v>1327</v>
      </c>
      <c r="D12" s="4" t="s">
        <v>1328</v>
      </c>
    </row>
    <row r="13" customFormat="false" ht="35.05" hidden="false" customHeight="false" outlineLevel="0" collapsed="false">
      <c r="A13" s="5" t="s">
        <v>1329</v>
      </c>
      <c r="B13" s="5" t="s">
        <v>1330</v>
      </c>
      <c r="C13" s="5" t="s">
        <v>1331</v>
      </c>
      <c r="D13" s="5" t="s">
        <v>1332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55"/>
    <col collapsed="false" customWidth="true" hidden="false" outlineLevel="0" max="4" min="4" style="0" width="35"/>
  </cols>
  <sheetData>
    <row r="1" customFormat="false" ht="17.35" hidden="false" customHeight="false" outlineLevel="0" collapsed="false">
      <c r="A1" s="1" t="s">
        <v>1333</v>
      </c>
    </row>
    <row r="3" customFormat="false" ht="15" hidden="false" customHeight="false" outlineLevel="0" collapsed="false">
      <c r="A3" s="3" t="s">
        <v>1290</v>
      </c>
      <c r="B3" s="3" t="s">
        <v>1334</v>
      </c>
      <c r="C3" s="3" t="s">
        <v>1335</v>
      </c>
      <c r="D3" s="3" t="s">
        <v>1336</v>
      </c>
    </row>
    <row r="4" customFormat="false" ht="23.85" hidden="false" customHeight="false" outlineLevel="0" collapsed="false">
      <c r="A4" s="4" t="s">
        <v>1294</v>
      </c>
      <c r="B4" s="4" t="s">
        <v>1337</v>
      </c>
      <c r="C4" s="4" t="s">
        <v>1338</v>
      </c>
      <c r="D4" s="4" t="s">
        <v>1339</v>
      </c>
    </row>
    <row r="5" customFormat="false" ht="23.85" hidden="false" customHeight="false" outlineLevel="0" collapsed="false">
      <c r="A5" s="5" t="s">
        <v>1088</v>
      </c>
      <c r="B5" s="5" t="s">
        <v>1340</v>
      </c>
      <c r="C5" s="5" t="s">
        <v>1341</v>
      </c>
      <c r="D5" s="5" t="s">
        <v>1342</v>
      </c>
    </row>
    <row r="6" customFormat="false" ht="23.85" hidden="false" customHeight="false" outlineLevel="0" collapsed="false">
      <c r="A6" s="4" t="s">
        <v>1301</v>
      </c>
      <c r="B6" s="4" t="s">
        <v>1343</v>
      </c>
      <c r="C6" s="4" t="s">
        <v>1344</v>
      </c>
      <c r="D6" s="4" t="s">
        <v>1345</v>
      </c>
    </row>
    <row r="7" customFormat="false" ht="23.85" hidden="false" customHeight="false" outlineLevel="0" collapsed="false">
      <c r="A7" s="5" t="s">
        <v>1305</v>
      </c>
      <c r="B7" s="5" t="s">
        <v>1346</v>
      </c>
      <c r="C7" s="5" t="s">
        <v>1347</v>
      </c>
      <c r="D7" s="5" t="s">
        <v>1348</v>
      </c>
    </row>
    <row r="8" customFormat="false" ht="15" hidden="false" customHeight="false" outlineLevel="0" collapsed="false">
      <c r="A8" s="4" t="s">
        <v>1309</v>
      </c>
      <c r="B8" s="4" t="s">
        <v>1349</v>
      </c>
      <c r="C8" s="4" t="s">
        <v>1350</v>
      </c>
      <c r="D8" s="4" t="s">
        <v>1351</v>
      </c>
    </row>
    <row r="9" customFormat="false" ht="15" hidden="false" customHeight="false" outlineLevel="0" collapsed="false">
      <c r="A9" s="5" t="s">
        <v>1313</v>
      </c>
      <c r="B9" s="5" t="s">
        <v>1352</v>
      </c>
      <c r="C9" s="5" t="s">
        <v>1353</v>
      </c>
      <c r="D9" s="5" t="s">
        <v>1354</v>
      </c>
    </row>
    <row r="10" customFormat="false" ht="23.85" hidden="false" customHeight="false" outlineLevel="0" collapsed="false">
      <c r="A10" s="4" t="s">
        <v>1317</v>
      </c>
      <c r="B10" s="4" t="s">
        <v>1355</v>
      </c>
      <c r="C10" s="4" t="s">
        <v>1356</v>
      </c>
      <c r="D10" s="4" t="s">
        <v>1357</v>
      </c>
    </row>
    <row r="11" customFormat="false" ht="15" hidden="false" customHeight="false" outlineLevel="0" collapsed="false">
      <c r="A11" s="5" t="s">
        <v>1321</v>
      </c>
      <c r="B11" s="5" t="s">
        <v>1358</v>
      </c>
      <c r="C11" s="5" t="s">
        <v>1359</v>
      </c>
      <c r="D11" s="5" t="s">
        <v>1360</v>
      </c>
    </row>
    <row r="12" customFormat="false" ht="15" hidden="false" customHeight="false" outlineLevel="0" collapsed="false">
      <c r="A12" s="4" t="s">
        <v>1325</v>
      </c>
      <c r="B12" s="4" t="s">
        <v>1361</v>
      </c>
      <c r="C12" s="4" t="s">
        <v>1362</v>
      </c>
      <c r="D12" s="4" t="s">
        <v>1363</v>
      </c>
    </row>
    <row r="13" customFormat="false" ht="15" hidden="false" customHeight="false" outlineLevel="0" collapsed="false">
      <c r="A13" s="5" t="s">
        <v>1329</v>
      </c>
      <c r="B13" s="5" t="s">
        <v>1364</v>
      </c>
      <c r="C13" s="5" t="s">
        <v>1365</v>
      </c>
      <c r="D13" s="5" t="s">
        <v>1366</v>
      </c>
    </row>
    <row r="14" customFormat="false" ht="15" hidden="false" customHeight="false" outlineLevel="0" collapsed="false">
      <c r="A14" s="4" t="s">
        <v>1367</v>
      </c>
      <c r="B14" s="4" t="s">
        <v>1368</v>
      </c>
      <c r="C14" s="4" t="s">
        <v>1369</v>
      </c>
      <c r="D14" s="4" t="s">
        <v>1370</v>
      </c>
    </row>
    <row r="15" customFormat="false" ht="23.85" hidden="false" customHeight="false" outlineLevel="0" collapsed="false">
      <c r="A15" s="5" t="s">
        <v>1371</v>
      </c>
      <c r="B15" s="5" t="s">
        <v>1372</v>
      </c>
      <c r="C15" s="5" t="s">
        <v>1373</v>
      </c>
      <c r="D15" s="5" t="s">
        <v>1374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33"/>
    <col collapsed="false" customWidth="true" hidden="false" outlineLevel="0" max="6" min="6" style="0" width="38"/>
    <col collapsed="false" customWidth="true" hidden="false" outlineLevel="0" max="7" min="7" style="0" width="23"/>
  </cols>
  <sheetData>
    <row r="1" customFormat="false" ht="17.35" hidden="false" customHeight="false" outlineLevel="0" collapsed="false">
      <c r="A1" s="1" t="s">
        <v>1375</v>
      </c>
    </row>
    <row r="2" customFormat="false" ht="15" hidden="false" customHeight="false" outlineLevel="0" collapsed="false">
      <c r="A2" s="25" t="s">
        <v>1376</v>
      </c>
    </row>
    <row r="4" customFormat="false" ht="26.85" hidden="false" customHeight="false" outlineLevel="0" collapsed="false">
      <c r="A4" s="3" t="s">
        <v>1377</v>
      </c>
      <c r="B4" s="3" t="s">
        <v>1378</v>
      </c>
      <c r="C4" s="3" t="s">
        <v>1379</v>
      </c>
      <c r="D4" s="3" t="s">
        <v>1380</v>
      </c>
      <c r="E4" s="3" t="s">
        <v>1381</v>
      </c>
      <c r="F4" s="3" t="s">
        <v>1382</v>
      </c>
      <c r="G4" s="3" t="s">
        <v>1383</v>
      </c>
    </row>
    <row r="5" customFormat="false" ht="15" hidden="false" customHeight="false" outlineLevel="0" collapsed="false">
      <c r="A5" s="5" t="s">
        <v>1384</v>
      </c>
      <c r="B5" s="5" t="n">
        <v>18</v>
      </c>
      <c r="C5" s="5" t="n">
        <v>0</v>
      </c>
      <c r="D5" s="22" t="s">
        <v>1385</v>
      </c>
      <c r="E5" s="5" t="s">
        <v>1386</v>
      </c>
      <c r="F5" s="5" t="s">
        <v>1387</v>
      </c>
      <c r="G5" s="5" t="s">
        <v>1388</v>
      </c>
    </row>
    <row r="6" customFormat="false" ht="15" hidden="false" customHeight="false" outlineLevel="0" collapsed="false">
      <c r="A6" s="4" t="s">
        <v>1389</v>
      </c>
      <c r="B6" s="4" t="n">
        <v>23</v>
      </c>
      <c r="C6" s="4" t="n">
        <v>0</v>
      </c>
      <c r="D6" s="4" t="s">
        <v>1385</v>
      </c>
      <c r="E6" s="4" t="s">
        <v>1386</v>
      </c>
      <c r="F6" s="4" t="s">
        <v>1390</v>
      </c>
      <c r="G6" s="4" t="s">
        <v>1391</v>
      </c>
    </row>
    <row r="7" customFormat="false" ht="15" hidden="false" customHeight="false" outlineLevel="0" collapsed="false">
      <c r="A7" s="5" t="s">
        <v>1392</v>
      </c>
      <c r="B7" s="5" t="n">
        <v>14</v>
      </c>
      <c r="C7" s="5" t="n">
        <v>0</v>
      </c>
      <c r="D7" s="22" t="s">
        <v>1385</v>
      </c>
      <c r="E7" s="5" t="s">
        <v>1386</v>
      </c>
      <c r="F7" s="5" t="s">
        <v>1393</v>
      </c>
      <c r="G7" s="5" t="s">
        <v>1394</v>
      </c>
    </row>
    <row r="8" customFormat="false" ht="15" hidden="false" customHeight="false" outlineLevel="0" collapsed="false">
      <c r="A8" s="4" t="s">
        <v>1395</v>
      </c>
      <c r="B8" s="4" t="n">
        <v>41</v>
      </c>
      <c r="C8" s="4" t="n">
        <v>5</v>
      </c>
      <c r="D8" s="4" t="s">
        <v>1396</v>
      </c>
      <c r="E8" s="4" t="s">
        <v>1397</v>
      </c>
      <c r="F8" s="4" t="s">
        <v>1398</v>
      </c>
      <c r="G8" s="4" t="s">
        <v>1399</v>
      </c>
    </row>
    <row r="9" customFormat="false" ht="15" hidden="false" customHeight="false" outlineLevel="0" collapsed="false">
      <c r="A9" s="5" t="s">
        <v>1400</v>
      </c>
      <c r="B9" s="5" t="n">
        <v>33</v>
      </c>
      <c r="C9" s="5" t="n">
        <v>0</v>
      </c>
      <c r="D9" s="22" t="s">
        <v>1385</v>
      </c>
      <c r="E9" s="5" t="s">
        <v>1386</v>
      </c>
      <c r="F9" s="5" t="s">
        <v>1401</v>
      </c>
      <c r="G9" s="5" t="s">
        <v>1402</v>
      </c>
    </row>
    <row r="10" customFormat="false" ht="15" hidden="false" customHeight="false" outlineLevel="0" collapsed="false">
      <c r="A10" s="4" t="s">
        <v>1403</v>
      </c>
      <c r="B10" s="4" t="n">
        <v>29</v>
      </c>
      <c r="C10" s="4" t="n">
        <v>3</v>
      </c>
      <c r="D10" s="4" t="s">
        <v>1404</v>
      </c>
      <c r="E10" s="4" t="s">
        <v>1405</v>
      </c>
      <c r="F10" s="4" t="s">
        <v>1406</v>
      </c>
      <c r="G10" s="4" t="s">
        <v>1407</v>
      </c>
    </row>
    <row r="11" customFormat="false" ht="15" hidden="false" customHeight="false" outlineLevel="0" collapsed="false">
      <c r="A11" s="5" t="s">
        <v>1408</v>
      </c>
      <c r="B11" s="5" t="n">
        <v>18</v>
      </c>
      <c r="C11" s="5" t="n">
        <v>10</v>
      </c>
      <c r="D11" s="23" t="s">
        <v>1409</v>
      </c>
      <c r="E11" s="5" t="s">
        <v>1410</v>
      </c>
      <c r="F11" s="5" t="s">
        <v>1411</v>
      </c>
      <c r="G11" s="5" t="s">
        <v>1412</v>
      </c>
    </row>
    <row r="12" customFormat="false" ht="15" hidden="false" customHeight="false" outlineLevel="0" collapsed="false">
      <c r="A12" s="4" t="s">
        <v>1413</v>
      </c>
      <c r="B12" s="4" t="n">
        <v>12</v>
      </c>
      <c r="C12" s="4" t="n">
        <v>0</v>
      </c>
      <c r="D12" s="4" t="s">
        <v>1385</v>
      </c>
      <c r="E12" s="4" t="s">
        <v>1386</v>
      </c>
      <c r="F12" s="4" t="s">
        <v>1414</v>
      </c>
      <c r="G12" s="4" t="s">
        <v>1415</v>
      </c>
    </row>
    <row r="13" customFormat="false" ht="15" hidden="false" customHeight="false" outlineLevel="0" collapsed="false">
      <c r="A13" s="5" t="s">
        <v>1416</v>
      </c>
      <c r="B13" s="5" t="n">
        <v>37</v>
      </c>
      <c r="C13" s="5" t="n">
        <v>0</v>
      </c>
      <c r="D13" s="22" t="s">
        <v>1385</v>
      </c>
      <c r="E13" s="5" t="s">
        <v>1386</v>
      </c>
      <c r="F13" s="5" t="s">
        <v>1417</v>
      </c>
      <c r="G13" s="5" t="s">
        <v>1418</v>
      </c>
    </row>
    <row r="14" customFormat="false" ht="15" hidden="false" customHeight="false" outlineLevel="0" collapsed="false">
      <c r="A14" s="4" t="s">
        <v>1419</v>
      </c>
      <c r="B14" s="4" t="n">
        <v>37</v>
      </c>
      <c r="C14" s="4" t="n">
        <v>20</v>
      </c>
      <c r="D14" s="4" t="s">
        <v>1420</v>
      </c>
      <c r="E14" s="4" t="s">
        <v>1421</v>
      </c>
      <c r="F14" s="4" t="s">
        <v>1422</v>
      </c>
      <c r="G14" s="4" t="s">
        <v>1423</v>
      </c>
    </row>
    <row r="15" customFormat="false" ht="15" hidden="false" customHeight="false" outlineLevel="0" collapsed="false">
      <c r="A15" s="5" t="s">
        <v>1424</v>
      </c>
      <c r="B15" s="5" t="n">
        <v>23</v>
      </c>
      <c r="C15" s="5" t="n">
        <v>0</v>
      </c>
      <c r="D15" s="22" t="s">
        <v>1385</v>
      </c>
      <c r="E15" s="5" t="s">
        <v>1386</v>
      </c>
      <c r="F15" s="5" t="s">
        <v>1425</v>
      </c>
      <c r="G15" s="5" t="s">
        <v>1426</v>
      </c>
    </row>
    <row r="16" customFormat="false" ht="15" hidden="false" customHeight="false" outlineLevel="0" collapsed="false">
      <c r="A16" s="4" t="s">
        <v>1427</v>
      </c>
      <c r="B16" s="4" t="n">
        <v>32</v>
      </c>
      <c r="C16" s="4" t="n">
        <v>18</v>
      </c>
      <c r="D16" s="4" t="s">
        <v>1409</v>
      </c>
      <c r="E16" s="4" t="s">
        <v>1428</v>
      </c>
      <c r="F16" s="4" t="s">
        <v>1429</v>
      </c>
      <c r="G16" s="4" t="s">
        <v>1430</v>
      </c>
    </row>
    <row r="17" customFormat="false" ht="23.85" hidden="false" customHeight="false" outlineLevel="0" collapsed="false">
      <c r="A17" s="5" t="s">
        <v>1431</v>
      </c>
      <c r="B17" s="5" t="n">
        <v>27</v>
      </c>
      <c r="C17" s="5" t="n">
        <v>8</v>
      </c>
      <c r="D17" s="23" t="s">
        <v>1432</v>
      </c>
      <c r="E17" s="5" t="s">
        <v>1433</v>
      </c>
      <c r="F17" s="5" t="s">
        <v>1434</v>
      </c>
      <c r="G17" s="5" t="s">
        <v>1435</v>
      </c>
    </row>
    <row r="19" customFormat="false" ht="15" hidden="false" customHeight="false" outlineLevel="0" collapsed="false">
      <c r="A19" s="6" t="s">
        <v>1167</v>
      </c>
    </row>
    <row r="20" customFormat="false" ht="15" hidden="false" customHeight="false" outlineLevel="0" collapsed="false">
      <c r="A20" s="0" t="s">
        <v>1436</v>
      </c>
      <c r="B20" s="0" t="s">
        <v>1437</v>
      </c>
      <c r="C20" s="0" t="s">
        <v>1438</v>
      </c>
    </row>
    <row r="21" customFormat="false" ht="15" hidden="false" customHeight="false" outlineLevel="0" collapsed="false">
      <c r="A21" s="0" t="s">
        <v>1439</v>
      </c>
      <c r="B21" s="0" t="s">
        <v>1440</v>
      </c>
    </row>
    <row r="22" customFormat="false" ht="15" hidden="false" customHeight="false" outlineLevel="0" collapsed="false">
      <c r="A22" s="0" t="s">
        <v>1441</v>
      </c>
      <c r="B22" s="0" t="s">
        <v>1442</v>
      </c>
      <c r="C22" s="0" t="s">
        <v>1443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2026-04-05T19:45:47Z</dcterms:created>
  <dc:creator>openpyxl</dc:creator>
  <dc:description/>
  <dc:language>en-US</dc:language>
  <cp:lastModifiedBy/>
  <dcterms:modified xsi:type="dcterms:W3CDTF">2026-04-05T19:45:47Z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