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32" windowWidth="11340" windowHeight="5772"/>
  </bookViews>
  <sheets>
    <sheet name="Sheet1" sheetId="1" r:id="rId1"/>
    <sheet name="Sheet2" sheetId="2" r:id="rId2"/>
    <sheet name="Sheet3" sheetId="3" r:id="rId3"/>
  </sheets>
  <definedNames>
    <definedName name="OLE_LINK1" localSheetId="0">Sheet1!#REF!</definedName>
    <definedName name="_xlnm.Print_Area" localSheetId="0">Sheet1!$A$1:$J$57</definedName>
  </definedNames>
  <calcPr calcId="144525"/>
</workbook>
</file>

<file path=xl/calcChain.xml><?xml version="1.0" encoding="utf-8"?>
<calcChain xmlns="http://schemas.openxmlformats.org/spreadsheetml/2006/main">
  <c r="D23" i="1" l="1"/>
  <c r="D27" i="1" s="1"/>
  <c r="D35" i="1"/>
  <c r="D44" i="1"/>
  <c r="D46" i="1" s="1"/>
</calcChain>
</file>

<file path=xl/sharedStrings.xml><?xml version="1.0" encoding="utf-8"?>
<sst xmlns="http://schemas.openxmlformats.org/spreadsheetml/2006/main" count="42" uniqueCount="41">
  <si>
    <t>PROJECT NAME:</t>
  </si>
  <si>
    <t>DATE:</t>
  </si>
  <si>
    <t>SUBCONTRACTOR:</t>
  </si>
  <si>
    <t>SERVICE PROVIDED:</t>
  </si>
  <si>
    <t>ORIGINAL CONTRACT AMOUNT:</t>
  </si>
  <si>
    <t>BILLING PERIOD:</t>
  </si>
  <si>
    <t>NEW CONTRACT TOTAL:</t>
  </si>
  <si>
    <t>TOTAL AMOUNT BILLED TO DATE:</t>
  </si>
  <si>
    <t>AMOUNT REMAINING ON CONTRACT:</t>
  </si>
  <si>
    <t xml:space="preserve">**Please Note:  </t>
  </si>
  <si>
    <t>CURRENT BILLING AMOUNT:</t>
  </si>
  <si>
    <t>INVOICE #:</t>
  </si>
  <si>
    <r>
      <t xml:space="preserve">TOTAL PAID TO DATE </t>
    </r>
    <r>
      <rPr>
        <b/>
        <vertAlign val="superscript"/>
        <sz val="10"/>
        <rFont val="Arial"/>
        <family val="2"/>
      </rPr>
      <t>1</t>
    </r>
    <r>
      <rPr>
        <b/>
        <sz val="10"/>
        <rFont val="Arial"/>
        <family val="2"/>
      </rPr>
      <t>:</t>
    </r>
  </si>
  <si>
    <t>No invoices can or will be paid without all primary and/or secondary lien releases.</t>
  </si>
  <si>
    <t>PREVIOUSLY BILLED:</t>
  </si>
  <si>
    <t>SUBCONTRACTORS MONTHLY BILLING SUMMARY</t>
  </si>
  <si>
    <t>Please complete the attached PROGRESS PAYMENT LIEN RELEASE form</t>
  </si>
  <si>
    <r>
      <t xml:space="preserve">All invoices must be submitted for payment to the </t>
    </r>
    <r>
      <rPr>
        <b/>
        <i/>
        <sz val="11"/>
        <rFont val="Arial"/>
        <family val="2"/>
      </rPr>
      <t>CHINN Construction</t>
    </r>
    <r>
      <rPr>
        <b/>
        <i/>
        <sz val="10"/>
        <rFont val="Arial"/>
        <family val="2"/>
      </rPr>
      <t xml:space="preserve"> main office by the</t>
    </r>
    <r>
      <rPr>
        <b/>
        <i/>
        <sz val="11"/>
        <rFont val="Arial"/>
        <family val="2"/>
      </rPr>
      <t xml:space="preserve"> 20th of each month. </t>
    </r>
  </si>
  <si>
    <t>Previous retention held - total:</t>
  </si>
  <si>
    <r>
      <t xml:space="preserve">CURRENT DUE </t>
    </r>
    <r>
      <rPr>
        <b/>
        <vertAlign val="superscript"/>
        <sz val="10"/>
        <rFont val="Arial"/>
        <family val="2"/>
      </rPr>
      <t>2</t>
    </r>
    <r>
      <rPr>
        <b/>
        <sz val="10"/>
        <rFont val="Arial"/>
        <family val="2"/>
      </rPr>
      <t>:</t>
    </r>
  </si>
  <si>
    <t>Current retainage held:</t>
  </si>
  <si>
    <t>Current billing:</t>
  </si>
  <si>
    <t>a</t>
  </si>
  <si>
    <t>b</t>
  </si>
  <si>
    <t>c</t>
  </si>
  <si>
    <t>j</t>
  </si>
  <si>
    <r>
      <t>1</t>
    </r>
    <r>
      <rPr>
        <b/>
        <i/>
        <sz val="10"/>
        <rFont val="Arial"/>
        <family val="2"/>
      </rPr>
      <t xml:space="preserve">  UNCONDITIONAL AMOUNT</t>
    </r>
  </si>
  <si>
    <r>
      <t>2</t>
    </r>
    <r>
      <rPr>
        <b/>
        <i/>
        <sz val="10"/>
        <rFont val="Arial"/>
        <family val="2"/>
      </rPr>
      <t xml:space="preserve">  CONDITIONAL AMOUNT</t>
    </r>
  </si>
  <si>
    <t>k</t>
  </si>
  <si>
    <t>e</t>
  </si>
  <si>
    <t>h</t>
  </si>
  <si>
    <t>l = j - k</t>
  </si>
  <si>
    <t>i = g - h</t>
  </si>
  <si>
    <t>Previous Billing CHANGE ORDERS:</t>
  </si>
  <si>
    <t>This Billing CHANGE ORDERS:</t>
  </si>
  <si>
    <t>d = a+b+c</t>
  </si>
  <si>
    <t>f = d - e</t>
  </si>
  <si>
    <t>g = e</t>
  </si>
  <si>
    <t>Greenwood &amp; 107th Apt (12-0304)</t>
  </si>
  <si>
    <t>ONE WAY PLUMBING, LLC</t>
  </si>
  <si>
    <t>3-1-13   -   3-31-13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</si>
</sst>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13" x14ac:knownFonts="1">
    <font>
      <sz val="10"/>
      <name val="Arial"/>
    </font>
    <font>
      <sz val="10"/>
      <name val="Arial"/>
      <family val="2"/>
    </font>
    <font>
      <b/>
      <u/>
      <sz val="16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sz val="10"/>
      <name val="Arial"/>
      <family val="2"/>
    </font>
    <font>
      <b/>
      <i/>
      <sz val="11"/>
      <name val="Arial"/>
      <family val="2"/>
    </font>
    <font>
      <sz val="10"/>
      <name val="Tahoma"/>
      <family val="2"/>
    </font>
    <font>
      <b/>
      <sz val="11"/>
      <name val="Arial"/>
      <family val="2"/>
    </font>
    <font>
      <b/>
      <vertAlign val="superscript"/>
      <sz val="10"/>
      <name val="Arial"/>
      <family val="2"/>
    </font>
    <font>
      <b/>
      <i/>
      <vertAlign val="superscript"/>
      <sz val="10"/>
      <name val="Arial"/>
      <family val="2"/>
    </font>
    <font>
      <sz val="11"/>
      <name val="Arial"/>
      <family val="2"/>
    </font>
    <font>
      <b/>
      <sz val="1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3">
    <xf numFmtId="0" fontId="0" fillId="0" borderId="0" xfId="0"/>
    <xf numFmtId="0" fontId="3" fillId="0" borderId="0" xfId="0" applyFont="1"/>
    <xf numFmtId="0" fontId="3" fillId="0" borderId="1" xfId="0" applyFont="1" applyBorder="1"/>
    <xf numFmtId="0" fontId="3" fillId="0" borderId="0" xfId="0" applyFont="1" applyBorder="1"/>
    <xf numFmtId="0" fontId="3" fillId="0" borderId="0" xfId="0" applyFont="1" applyAlignment="1">
      <alignment horizontal="right"/>
    </xf>
    <xf numFmtId="0" fontId="3" fillId="0" borderId="2" xfId="0" applyFont="1" applyBorder="1"/>
    <xf numFmtId="44" fontId="3" fillId="0" borderId="0" xfId="1" applyFont="1" applyAlignment="1">
      <alignment horizontal="center"/>
    </xf>
    <xf numFmtId="44" fontId="3" fillId="0" borderId="1" xfId="1" applyFont="1" applyBorder="1" applyAlignment="1">
      <alignment horizontal="left"/>
    </xf>
    <xf numFmtId="44" fontId="3" fillId="0" borderId="1" xfId="1" applyFont="1" applyBorder="1"/>
    <xf numFmtId="14" fontId="3" fillId="0" borderId="1" xfId="0" applyNumberFormat="1" applyFont="1" applyBorder="1"/>
    <xf numFmtId="0" fontId="3" fillId="0" borderId="0" xfId="0" applyFont="1" applyBorder="1" applyAlignment="1">
      <alignment horizontal="right"/>
    </xf>
    <xf numFmtId="0" fontId="5" fillId="0" borderId="0" xfId="0" applyFont="1"/>
    <xf numFmtId="0" fontId="4" fillId="0" borderId="0" xfId="0" applyFont="1" applyFill="1"/>
    <xf numFmtId="0" fontId="3" fillId="0" borderId="0" xfId="0" applyFont="1" applyFill="1"/>
    <xf numFmtId="0" fontId="4" fillId="2" borderId="0" xfId="0" applyFont="1" applyFill="1"/>
    <xf numFmtId="0" fontId="3" fillId="2" borderId="0" xfId="0" applyFont="1" applyFill="1"/>
    <xf numFmtId="44" fontId="3" fillId="2" borderId="0" xfId="1" applyFont="1" applyFill="1"/>
    <xf numFmtId="0" fontId="7" fillId="0" borderId="0" xfId="0" applyFont="1"/>
    <xf numFmtId="0" fontId="7" fillId="0" borderId="0" xfId="0" applyFont="1" applyAlignment="1">
      <alignment horizontal="left" indent="4"/>
    </xf>
    <xf numFmtId="0" fontId="5" fillId="2" borderId="0" xfId="0" applyFont="1" applyFill="1"/>
    <xf numFmtId="0" fontId="10" fillId="2" borderId="0" xfId="0" applyFont="1" applyFill="1"/>
    <xf numFmtId="44" fontId="3" fillId="0" borderId="0" xfId="1" applyFont="1" applyBorder="1"/>
    <xf numFmtId="0" fontId="5" fillId="0" borderId="0" xfId="0" applyFont="1" applyFill="1"/>
    <xf numFmtId="0" fontId="0" fillId="0" borderId="0" xfId="0" applyAlignment="1"/>
    <xf numFmtId="0" fontId="3" fillId="0" borderId="0" xfId="0" applyFont="1" applyAlignment="1"/>
    <xf numFmtId="0" fontId="11" fillId="0" borderId="0" xfId="0" applyFont="1" applyBorder="1" applyAlignment="1">
      <alignment horizontal="center"/>
    </xf>
    <xf numFmtId="0" fontId="3" fillId="0" borderId="0" xfId="0" applyFont="1" applyBorder="1" applyAlignment="1"/>
    <xf numFmtId="44" fontId="3" fillId="0" borderId="0" xfId="1" applyFont="1" applyFill="1" applyBorder="1" applyAlignment="1">
      <alignment horizontal="right"/>
    </xf>
    <xf numFmtId="44" fontId="3" fillId="0" borderId="0" xfId="1" applyFont="1" applyFill="1" applyBorder="1" applyAlignment="1">
      <alignment horizontal="left"/>
    </xf>
    <xf numFmtId="0" fontId="3" fillId="0" borderId="0" xfId="0" applyFont="1" applyFill="1" applyBorder="1" applyAlignment="1">
      <alignment horizontal="right"/>
    </xf>
    <xf numFmtId="0" fontId="0" fillId="0" borderId="0" xfId="0" applyFill="1" applyBorder="1" applyAlignment="1"/>
    <xf numFmtId="0" fontId="5" fillId="0" borderId="0" xfId="0" applyFont="1" applyBorder="1"/>
    <xf numFmtId="44" fontId="3" fillId="0" borderId="0" xfId="1" applyFont="1" applyBorder="1" applyAlignment="1">
      <alignment horizontal="right"/>
    </xf>
    <xf numFmtId="44" fontId="3" fillId="0" borderId="3" xfId="1" applyFont="1" applyBorder="1" applyAlignment="1">
      <alignment horizontal="left"/>
    </xf>
    <xf numFmtId="0" fontId="3" fillId="0" borderId="0" xfId="0" applyFont="1" applyFill="1" applyBorder="1"/>
    <xf numFmtId="0" fontId="5" fillId="0" borderId="0" xfId="0" applyFont="1" applyFill="1" applyBorder="1"/>
    <xf numFmtId="0" fontId="8" fillId="0" borderId="0" xfId="0" applyFont="1" applyFill="1" applyBorder="1" applyAlignment="1">
      <alignment horizontal="left"/>
    </xf>
    <xf numFmtId="44" fontId="3" fillId="0" borderId="0" xfId="1" applyFont="1" applyBorder="1" applyAlignment="1">
      <alignment horizontal="left"/>
    </xf>
    <xf numFmtId="0" fontId="3" fillId="0" borderId="0" xfId="0" applyNumberFormat="1" applyFont="1" applyProtection="1">
      <protection locked="0"/>
    </xf>
    <xf numFmtId="0" fontId="3" fillId="0" borderId="0" xfId="0" applyFont="1" applyFill="1" applyBorder="1" applyAlignment="1"/>
    <xf numFmtId="0" fontId="3" fillId="0" borderId="0" xfId="0" applyFont="1" applyAlignment="1"/>
    <xf numFmtId="0" fontId="2" fillId="0" borderId="0" xfId="0" applyFont="1" applyAlignment="1">
      <alignment horizontal="center"/>
    </xf>
    <xf numFmtId="0" fontId="8" fillId="0" borderId="0" xfId="0" applyFont="1" applyFill="1" applyBorder="1" applyAlignment="1">
      <alignment horizontal="center"/>
    </xf>
    <xf numFmtId="0" fontId="8" fillId="3" borderId="0" xfId="0" applyFont="1" applyFill="1" applyBorder="1" applyAlignment="1">
      <alignment horizontal="center"/>
    </xf>
    <xf numFmtId="0" fontId="12" fillId="0" borderId="1" xfId="0" applyFont="1" applyBorder="1" applyAlignment="1">
      <alignment horizontal="center"/>
    </xf>
    <xf numFmtId="44" fontId="3" fillId="0" borderId="0" xfId="1" applyFont="1" applyBorder="1" applyAlignment="1"/>
    <xf numFmtId="0" fontId="0" fillId="0" borderId="0" xfId="0" applyBorder="1" applyAlignment="1"/>
    <xf numFmtId="0" fontId="8" fillId="0" borderId="0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8" fillId="3" borderId="0" xfId="0" applyFont="1" applyFill="1" applyAlignment="1">
      <alignment horizontal="center"/>
    </xf>
    <xf numFmtId="0" fontId="0" fillId="3" borderId="0" xfId="0" applyFill="1" applyAlignment="1"/>
    <xf numFmtId="0" fontId="3" fillId="0" borderId="1" xfId="0" applyFont="1" applyBorder="1" applyAlignment="1"/>
    <xf numFmtId="0" fontId="0" fillId="0" borderId="1" xfId="0" applyBorder="1" applyAlignment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65"/>
  <sheetViews>
    <sheetView tabSelected="1" workbookViewId="0">
      <selection activeCell="D59" sqref="D59"/>
    </sheetView>
  </sheetViews>
  <sheetFormatPr defaultColWidth="9.109375" defaultRowHeight="13.2" x14ac:dyDescent="0.25"/>
  <cols>
    <col min="1" max="2" width="12.33203125" style="11" customWidth="1"/>
    <col min="3" max="3" width="11.5546875" style="11" customWidth="1"/>
    <col min="4" max="4" width="33.44140625" style="11" customWidth="1"/>
    <col min="5" max="5" width="6" style="11" customWidth="1"/>
    <col min="6" max="6" width="0.109375" style="11" hidden="1" customWidth="1"/>
    <col min="7" max="7" width="9.109375" style="11" hidden="1" customWidth="1"/>
    <col min="8" max="8" width="6" style="11" customWidth="1"/>
    <col min="9" max="9" width="8.88671875" style="11" customWidth="1"/>
    <col min="10" max="10" width="14.109375" style="11" customWidth="1"/>
    <col min="11" max="16384" width="9.109375" style="11"/>
  </cols>
  <sheetData>
    <row r="1" spans="1:11" ht="7.5" customHeight="1" x14ac:dyDescent="0.25"/>
    <row r="2" spans="1:11" ht="21" x14ac:dyDescent="0.4">
      <c r="A2" s="41" t="s">
        <v>15</v>
      </c>
      <c r="B2" s="41"/>
      <c r="C2" s="41"/>
      <c r="D2" s="41"/>
      <c r="E2" s="41"/>
      <c r="F2" s="41"/>
      <c r="G2" s="41"/>
      <c r="H2" s="41"/>
      <c r="I2" s="41"/>
      <c r="J2" s="41"/>
    </row>
    <row r="5" spans="1:11" x14ac:dyDescent="0.25">
      <c r="J5" s="3"/>
    </row>
    <row r="6" spans="1:11" ht="18" customHeight="1" thickBot="1" x14ac:dyDescent="0.35">
      <c r="A6" s="3" t="s">
        <v>0</v>
      </c>
      <c r="B6" s="3"/>
      <c r="C6" s="44" t="s">
        <v>38</v>
      </c>
      <c r="D6" s="44"/>
      <c r="E6" s="44"/>
      <c r="F6" s="5"/>
      <c r="G6" s="5"/>
      <c r="H6" s="3"/>
      <c r="I6" s="4" t="s">
        <v>1</v>
      </c>
      <c r="J6" s="9">
        <v>41352</v>
      </c>
    </row>
    <row r="7" spans="1:11" x14ac:dyDescent="0.25">
      <c r="A7" s="1"/>
      <c r="B7" s="1"/>
      <c r="C7" s="1"/>
      <c r="D7" s="1"/>
      <c r="E7" s="1"/>
      <c r="F7" s="1"/>
      <c r="G7" s="1"/>
      <c r="H7" s="1"/>
      <c r="I7" s="1"/>
      <c r="J7" s="1"/>
    </row>
    <row r="8" spans="1:11" ht="18" customHeight="1" thickBot="1" x14ac:dyDescent="0.3">
      <c r="A8" s="3" t="s">
        <v>2</v>
      </c>
      <c r="B8" s="3"/>
      <c r="C8" s="2" t="s">
        <v>39</v>
      </c>
      <c r="D8" s="2"/>
      <c r="E8" s="2"/>
      <c r="F8" s="5"/>
      <c r="G8" s="5"/>
      <c r="H8" s="3"/>
      <c r="I8" s="1"/>
      <c r="J8" s="1"/>
      <c r="K8" s="18"/>
    </row>
    <row r="9" spans="1:1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8"/>
    </row>
    <row r="10" spans="1:11" ht="18" customHeight="1" thickBot="1" x14ac:dyDescent="0.3">
      <c r="A10" s="3" t="s">
        <v>3</v>
      </c>
      <c r="B10" s="3"/>
      <c r="C10" s="2"/>
      <c r="D10" s="2"/>
      <c r="E10" s="2"/>
      <c r="F10" s="5"/>
      <c r="G10" s="5"/>
      <c r="H10" s="3"/>
      <c r="I10" s="1"/>
      <c r="J10" s="1"/>
      <c r="K10" s="17"/>
    </row>
    <row r="11" spans="1:1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1" ht="18" customHeight="1" thickBot="1" x14ac:dyDescent="0.3">
      <c r="A12" s="3" t="s">
        <v>5</v>
      </c>
      <c r="B12" s="3"/>
      <c r="C12" s="51" t="s">
        <v>40</v>
      </c>
      <c r="D12" s="52"/>
      <c r="E12" s="2"/>
      <c r="F12" s="5"/>
      <c r="G12" s="5"/>
      <c r="H12" s="3"/>
      <c r="I12" s="4" t="s">
        <v>11</v>
      </c>
      <c r="J12" s="9"/>
    </row>
    <row r="13" spans="1:1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1" x14ac:dyDescent="0.25">
      <c r="B15" s="3"/>
      <c r="C15" s="10" t="s">
        <v>4</v>
      </c>
      <c r="D15" s="7">
        <v>384900</v>
      </c>
      <c r="E15" s="1" t="s">
        <v>22</v>
      </c>
      <c r="F15" s="1"/>
      <c r="G15" s="2"/>
      <c r="H15" s="3"/>
      <c r="I15" s="1"/>
      <c r="J15" s="1"/>
    </row>
    <row r="16" spans="1:11" x14ac:dyDescent="0.25">
      <c r="A16" s="1"/>
      <c r="B16" s="1"/>
      <c r="C16" s="1"/>
      <c r="D16" s="6"/>
      <c r="E16" s="1"/>
      <c r="F16" s="1"/>
      <c r="G16" s="1"/>
      <c r="H16" s="1"/>
      <c r="I16" s="1"/>
      <c r="J16" s="1"/>
    </row>
    <row r="17" spans="1:10" x14ac:dyDescent="0.25">
      <c r="C17" s="10" t="s">
        <v>33</v>
      </c>
      <c r="D17" s="7">
        <v>6199</v>
      </c>
      <c r="E17" s="1" t="s">
        <v>23</v>
      </c>
      <c r="F17" s="1"/>
      <c r="G17" s="2"/>
      <c r="H17" s="3"/>
      <c r="I17" s="1"/>
      <c r="J17" s="1"/>
    </row>
    <row r="18" spans="1:10" x14ac:dyDescent="0.25">
      <c r="A18" s="1"/>
      <c r="B18" s="1"/>
      <c r="C18" s="1"/>
      <c r="D18" s="6"/>
      <c r="E18" s="1"/>
      <c r="F18" s="1"/>
      <c r="G18" s="1"/>
      <c r="H18" s="1"/>
      <c r="I18" s="1"/>
      <c r="J18" s="1"/>
    </row>
    <row r="19" spans="1:10" x14ac:dyDescent="0.25">
      <c r="A19" s="3"/>
      <c r="B19" s="3"/>
      <c r="C19" s="10" t="s">
        <v>34</v>
      </c>
      <c r="D19" s="7">
        <v>0</v>
      </c>
      <c r="E19" s="1" t="s">
        <v>24</v>
      </c>
      <c r="F19" s="1"/>
      <c r="G19" s="2"/>
      <c r="H19" s="3"/>
      <c r="I19" s="1"/>
      <c r="J19" s="1"/>
    </row>
    <row r="20" spans="1:10" x14ac:dyDescent="0.25">
      <c r="A20" s="1"/>
      <c r="B20" s="1"/>
      <c r="C20" s="1"/>
      <c r="D20" s="6"/>
      <c r="E20" s="1"/>
      <c r="F20" s="1"/>
      <c r="G20" s="1"/>
      <c r="H20" s="1"/>
      <c r="I20" s="1"/>
      <c r="J20" s="1"/>
    </row>
    <row r="21" spans="1:10" x14ac:dyDescent="0.25">
      <c r="A21" s="1"/>
      <c r="B21" s="1"/>
      <c r="C21" s="1"/>
      <c r="D21" s="6"/>
      <c r="E21" s="1"/>
      <c r="F21" s="1"/>
      <c r="G21" s="1"/>
      <c r="H21" s="1"/>
      <c r="I21" s="1"/>
      <c r="J21" s="1"/>
    </row>
    <row r="22" spans="1:10" x14ac:dyDescent="0.25">
      <c r="A22" s="1"/>
      <c r="B22" s="1"/>
      <c r="C22" s="1"/>
      <c r="D22" s="6"/>
      <c r="E22" s="1"/>
      <c r="F22" s="1"/>
      <c r="G22" s="1"/>
      <c r="H22" s="1"/>
      <c r="I22" s="1"/>
      <c r="J22" s="1"/>
    </row>
    <row r="23" spans="1:10" x14ac:dyDescent="0.25">
      <c r="B23" s="1"/>
      <c r="C23" s="4" t="s">
        <v>6</v>
      </c>
      <c r="D23" s="7">
        <f>SUM(D15,D17,D19)</f>
        <v>391099</v>
      </c>
      <c r="E23" s="1" t="s">
        <v>35</v>
      </c>
      <c r="F23" s="1"/>
      <c r="G23" s="2"/>
      <c r="H23" s="3"/>
      <c r="I23" s="1"/>
      <c r="J23" s="1"/>
    </row>
    <row r="24" spans="1:10" x14ac:dyDescent="0.25">
      <c r="B24" s="1"/>
      <c r="C24" s="4"/>
      <c r="D24" s="1"/>
      <c r="E24" s="1"/>
      <c r="F24" s="1"/>
      <c r="G24" s="1"/>
      <c r="H24" s="1"/>
      <c r="I24" s="1"/>
      <c r="J24" s="1"/>
    </row>
    <row r="25" spans="1:10" x14ac:dyDescent="0.25">
      <c r="B25" s="1"/>
      <c r="C25" s="4" t="s">
        <v>7</v>
      </c>
      <c r="D25" s="8">
        <v>309115</v>
      </c>
      <c r="E25" s="1" t="s">
        <v>29</v>
      </c>
      <c r="F25" s="1"/>
      <c r="G25" s="2"/>
      <c r="H25" s="3"/>
    </row>
    <row r="26" spans="1:10" x14ac:dyDescent="0.25">
      <c r="B26" s="1"/>
      <c r="C26" s="4"/>
      <c r="D26" s="21"/>
      <c r="E26" s="1"/>
      <c r="F26" s="1"/>
    </row>
    <row r="27" spans="1:10" x14ac:dyDescent="0.25">
      <c r="B27" s="1"/>
      <c r="C27" s="4" t="s">
        <v>8</v>
      </c>
      <c r="D27" s="8">
        <f>D23-D25</f>
        <v>81984</v>
      </c>
      <c r="E27" s="1" t="s">
        <v>36</v>
      </c>
      <c r="F27" s="1"/>
      <c r="G27" s="2"/>
      <c r="H27" s="3"/>
      <c r="I27" s="1"/>
      <c r="J27" s="1"/>
    </row>
    <row r="28" spans="1:10" x14ac:dyDescent="0.25">
      <c r="C28" s="1"/>
      <c r="D28" s="4"/>
      <c r="E28" s="21"/>
      <c r="F28" s="1"/>
      <c r="G28" s="1"/>
      <c r="H28" s="1"/>
      <c r="I28" s="1"/>
      <c r="J28" s="1"/>
    </row>
    <row r="29" spans="1:10" x14ac:dyDescent="0.25">
      <c r="A29" s="1"/>
      <c r="B29" s="1"/>
      <c r="C29" s="1"/>
      <c r="D29" s="1"/>
      <c r="E29" s="21"/>
      <c r="F29" s="1"/>
      <c r="G29" s="1"/>
      <c r="H29" s="1"/>
      <c r="I29" s="1"/>
      <c r="J29" s="1"/>
    </row>
    <row r="30" spans="1:10" x14ac:dyDescent="0.25">
      <c r="A30" s="1"/>
      <c r="B30" s="1"/>
      <c r="C30" s="1"/>
      <c r="D30" s="1"/>
      <c r="E30" s="21"/>
      <c r="F30" s="1"/>
      <c r="G30" s="1"/>
      <c r="H30" s="1"/>
      <c r="I30" s="1"/>
      <c r="J30" s="1"/>
    </row>
    <row r="31" spans="1:10" ht="13.8" x14ac:dyDescent="0.25">
      <c r="A31" s="49" t="s">
        <v>14</v>
      </c>
      <c r="B31" s="49"/>
      <c r="C31" s="50"/>
      <c r="D31" s="50"/>
      <c r="E31" s="22"/>
      <c r="F31" s="25"/>
      <c r="G31" s="24"/>
      <c r="H31" s="42"/>
      <c r="I31" s="42"/>
      <c r="J31" s="42"/>
    </row>
    <row r="32" spans="1:10" ht="12" customHeight="1" x14ac:dyDescent="0.25">
      <c r="A32" s="40"/>
      <c r="B32" s="40"/>
      <c r="C32" s="40"/>
      <c r="D32" s="40"/>
      <c r="E32" s="45"/>
      <c r="F32" s="46"/>
      <c r="G32" s="1"/>
      <c r="H32" s="34"/>
      <c r="I32" s="39"/>
      <c r="J32" s="39"/>
    </row>
    <row r="33" spans="1:10" ht="18" customHeight="1" x14ac:dyDescent="0.25">
      <c r="C33" s="4" t="s">
        <v>7</v>
      </c>
      <c r="D33" s="7">
        <v>302715</v>
      </c>
      <c r="E33" s="1" t="s">
        <v>37</v>
      </c>
      <c r="F33" s="3"/>
      <c r="G33" s="1"/>
      <c r="H33" s="34"/>
      <c r="I33" s="27"/>
      <c r="J33" s="28"/>
    </row>
    <row r="34" spans="1:10" ht="12" customHeight="1" x14ac:dyDescent="0.25">
      <c r="C34" s="4"/>
      <c r="D34" s="1"/>
      <c r="E34" s="47"/>
      <c r="F34" s="48"/>
      <c r="G34" s="1"/>
      <c r="H34" s="34"/>
      <c r="I34" s="29"/>
      <c r="J34" s="35"/>
    </row>
    <row r="35" spans="1:10" ht="18" customHeight="1" x14ac:dyDescent="0.25">
      <c r="C35" s="4" t="s">
        <v>18</v>
      </c>
      <c r="D35" s="7">
        <f>D33*5%</f>
        <v>15135.75</v>
      </c>
      <c r="E35" s="1" t="s">
        <v>30</v>
      </c>
      <c r="F35" s="26"/>
      <c r="G35" s="1"/>
      <c r="H35" s="34"/>
      <c r="I35" s="27"/>
      <c r="J35" s="28"/>
    </row>
    <row r="36" spans="1:10" ht="12" customHeight="1" thickBot="1" x14ac:dyDescent="0.3">
      <c r="C36" s="4"/>
      <c r="D36" s="1"/>
      <c r="E36" s="21"/>
      <c r="F36" s="3"/>
      <c r="G36" s="1"/>
      <c r="H36" s="34"/>
      <c r="I36" s="29"/>
      <c r="J36" s="34"/>
    </row>
    <row r="37" spans="1:10" ht="30" customHeight="1" thickBot="1" x14ac:dyDescent="0.3">
      <c r="C37" s="4" t="s">
        <v>12</v>
      </c>
      <c r="D37" s="33">
        <v>260518.5</v>
      </c>
      <c r="E37" s="38" t="s">
        <v>32</v>
      </c>
      <c r="F37" s="23"/>
      <c r="G37" s="23"/>
      <c r="H37" s="30"/>
      <c r="I37" s="29"/>
      <c r="J37" s="28"/>
    </row>
    <row r="38" spans="1:10" ht="18" customHeight="1" x14ac:dyDescent="0.25">
      <c r="C38" s="4"/>
      <c r="D38" s="3"/>
      <c r="F38" s="23"/>
      <c r="G38" s="23"/>
      <c r="H38" s="23"/>
      <c r="J38" s="31"/>
    </row>
    <row r="39" spans="1:10" ht="18" customHeight="1" x14ac:dyDescent="0.25">
      <c r="C39" s="4"/>
      <c r="D39" s="3"/>
      <c r="F39" s="23"/>
      <c r="G39" s="23"/>
      <c r="H39" s="23"/>
      <c r="J39" s="31"/>
    </row>
    <row r="40" spans="1:10" ht="18" customHeight="1" x14ac:dyDescent="0.25">
      <c r="A40" s="43" t="s">
        <v>10</v>
      </c>
      <c r="B40" s="43"/>
      <c r="C40" s="43"/>
      <c r="D40" s="43"/>
      <c r="E40" s="36"/>
      <c r="F40" s="23"/>
      <c r="G40" s="23"/>
      <c r="H40" s="23"/>
      <c r="J40" s="31"/>
    </row>
    <row r="41" spans="1:10" ht="18" customHeight="1" x14ac:dyDescent="0.25">
      <c r="A41" s="1"/>
      <c r="B41" s="40"/>
      <c r="C41" s="40"/>
      <c r="D41" s="40"/>
      <c r="F41" s="23"/>
      <c r="G41" s="23"/>
      <c r="H41" s="23"/>
      <c r="J41" s="31"/>
    </row>
    <row r="42" spans="1:10" ht="18" customHeight="1" x14ac:dyDescent="0.25">
      <c r="A42" s="1"/>
      <c r="C42" s="32" t="s">
        <v>21</v>
      </c>
      <c r="D42" s="7">
        <v>6400</v>
      </c>
      <c r="E42" s="1" t="s">
        <v>25</v>
      </c>
      <c r="F42" s="23"/>
      <c r="G42" s="23"/>
      <c r="H42" s="23"/>
      <c r="J42" s="31"/>
    </row>
    <row r="43" spans="1:10" ht="18" customHeight="1" x14ac:dyDescent="0.25">
      <c r="A43" s="1"/>
      <c r="C43" s="4"/>
      <c r="E43" s="1"/>
      <c r="F43" s="23"/>
      <c r="G43" s="23"/>
      <c r="H43" s="23"/>
      <c r="J43" s="31"/>
    </row>
    <row r="44" spans="1:10" ht="18" customHeight="1" x14ac:dyDescent="0.25">
      <c r="A44" s="1"/>
      <c r="C44" s="32" t="s">
        <v>20</v>
      </c>
      <c r="D44" s="7">
        <f>D42*5%</f>
        <v>320</v>
      </c>
      <c r="E44" s="1" t="s">
        <v>28</v>
      </c>
      <c r="F44" s="23"/>
      <c r="G44" s="23"/>
      <c r="H44" s="23"/>
      <c r="J44" s="31"/>
    </row>
    <row r="45" spans="1:10" ht="18" customHeight="1" thickBot="1" x14ac:dyDescent="0.3">
      <c r="A45" s="1"/>
      <c r="C45" s="4"/>
      <c r="D45" s="1"/>
      <c r="E45" s="1"/>
      <c r="F45" s="23"/>
      <c r="G45" s="23"/>
      <c r="H45" s="23"/>
      <c r="J45" s="31"/>
    </row>
    <row r="46" spans="1:10" ht="30" customHeight="1" thickBot="1" x14ac:dyDescent="0.3">
      <c r="A46" s="23"/>
      <c r="C46" s="4" t="s">
        <v>19</v>
      </c>
      <c r="D46" s="33">
        <f>D42-D44</f>
        <v>6080</v>
      </c>
      <c r="E46" s="1" t="s">
        <v>31</v>
      </c>
      <c r="F46" s="23"/>
      <c r="G46" s="23"/>
      <c r="H46" s="23"/>
      <c r="J46" s="31"/>
    </row>
    <row r="47" spans="1:10" ht="18" customHeight="1" x14ac:dyDescent="0.25">
      <c r="A47" s="23"/>
      <c r="C47" s="4"/>
      <c r="D47" s="37"/>
      <c r="E47" s="1"/>
      <c r="F47" s="23"/>
      <c r="G47" s="23"/>
      <c r="H47" s="23"/>
      <c r="J47" s="31"/>
    </row>
    <row r="48" spans="1:10" ht="18" customHeight="1" x14ac:dyDescent="0.25">
      <c r="C48" s="4"/>
      <c r="D48" s="3"/>
      <c r="F48" s="23"/>
      <c r="G48" s="23"/>
      <c r="H48" s="23"/>
      <c r="J48" s="31"/>
    </row>
    <row r="49" spans="1:16" x14ac:dyDescent="0.25">
      <c r="J49" s="1"/>
    </row>
    <row r="50" spans="1:16" x14ac:dyDescent="0.25">
      <c r="A50" s="14" t="s">
        <v>9</v>
      </c>
      <c r="B50" s="14"/>
      <c r="C50" s="15"/>
      <c r="D50" s="15"/>
      <c r="E50" s="16"/>
      <c r="F50" s="15"/>
      <c r="G50" s="15"/>
      <c r="H50" s="15"/>
      <c r="I50" s="15"/>
      <c r="J50" s="15"/>
      <c r="K50" s="22"/>
      <c r="L50" s="22"/>
      <c r="M50" s="22"/>
      <c r="N50" s="22"/>
      <c r="O50" s="22"/>
      <c r="P50" s="22"/>
    </row>
    <row r="51" spans="1:16" ht="13.8" x14ac:dyDescent="0.25">
      <c r="A51" s="14" t="s">
        <v>17</v>
      </c>
      <c r="B51" s="14"/>
      <c r="C51" s="15"/>
      <c r="D51" s="15"/>
      <c r="E51" s="16"/>
      <c r="F51" s="15"/>
      <c r="G51" s="15"/>
      <c r="H51" s="15"/>
      <c r="I51" s="15"/>
      <c r="J51" s="15"/>
      <c r="K51" s="22"/>
      <c r="L51" s="22"/>
      <c r="M51" s="22"/>
      <c r="N51" s="22"/>
      <c r="O51" s="22"/>
      <c r="P51" s="22"/>
    </row>
    <row r="52" spans="1:16" x14ac:dyDescent="0.25">
      <c r="A52" s="14"/>
      <c r="B52" s="14"/>
      <c r="C52" s="15"/>
      <c r="D52" s="15"/>
      <c r="E52" s="16"/>
      <c r="F52" s="15"/>
      <c r="G52" s="15"/>
      <c r="H52" s="15"/>
      <c r="I52" s="15"/>
      <c r="J52" s="15"/>
      <c r="K52" s="22"/>
      <c r="L52" s="22"/>
      <c r="M52" s="22"/>
      <c r="N52" s="22"/>
      <c r="O52" s="22"/>
      <c r="P52" s="22"/>
    </row>
    <row r="53" spans="1:16" x14ac:dyDescent="0.25">
      <c r="A53" s="14" t="s">
        <v>13</v>
      </c>
      <c r="B53" s="14"/>
      <c r="C53" s="15"/>
      <c r="D53" s="15"/>
      <c r="E53" s="15"/>
      <c r="F53" s="15"/>
      <c r="G53" s="15"/>
      <c r="H53" s="15"/>
      <c r="I53" s="15"/>
      <c r="J53" s="15"/>
    </row>
    <row r="54" spans="1:16" x14ac:dyDescent="0.25">
      <c r="A54" s="12"/>
      <c r="B54" s="12"/>
      <c r="C54" s="13"/>
      <c r="D54" s="13"/>
      <c r="E54" s="13"/>
      <c r="F54" s="13"/>
      <c r="G54" s="13"/>
      <c r="H54" s="13"/>
      <c r="I54" s="13"/>
      <c r="J54" s="13"/>
    </row>
    <row r="55" spans="1:16" x14ac:dyDescent="0.25">
      <c r="A55" s="14" t="s">
        <v>16</v>
      </c>
      <c r="B55" s="14"/>
      <c r="C55" s="15"/>
      <c r="D55" s="15"/>
      <c r="E55" s="15"/>
      <c r="F55" s="13"/>
      <c r="G55" s="13"/>
      <c r="H55" s="15"/>
      <c r="I55" s="15"/>
      <c r="J55" s="15"/>
    </row>
    <row r="56" spans="1:16" ht="15.6" x14ac:dyDescent="0.25">
      <c r="A56" s="19"/>
      <c r="B56" s="19"/>
      <c r="C56" s="20" t="s">
        <v>26</v>
      </c>
      <c r="D56" s="15"/>
      <c r="E56" s="15"/>
      <c r="F56" s="13"/>
      <c r="G56" s="13"/>
      <c r="H56" s="15"/>
      <c r="I56" s="15"/>
      <c r="J56" s="15"/>
    </row>
    <row r="57" spans="1:16" ht="15.6" x14ac:dyDescent="0.25">
      <c r="A57" s="15"/>
      <c r="B57" s="15"/>
      <c r="C57" s="20" t="s">
        <v>27</v>
      </c>
      <c r="D57" s="15"/>
      <c r="E57" s="15"/>
      <c r="F57" s="1"/>
      <c r="G57" s="1"/>
      <c r="H57" s="15"/>
      <c r="I57" s="15"/>
      <c r="J57" s="15"/>
    </row>
    <row r="58" spans="1:16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6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6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6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6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6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</row>
  </sheetData>
  <protectedRanges>
    <protectedRange sqref="E36 H31 E32 J37 E28:E30 D33 D35 D37 I33:J33 I35:J35 A40 D46:D47 C42:D42 C44:D44 D15:D27" name="Range3"/>
    <protectedRange sqref="J12 J6" name="Range2"/>
    <protectedRange sqref="C6:E12" name="Range1"/>
  </protectedRanges>
  <mergeCells count="11">
    <mergeCell ref="I32:J32"/>
    <mergeCell ref="A32:D32"/>
    <mergeCell ref="A2:J2"/>
    <mergeCell ref="H31:J31"/>
    <mergeCell ref="B41:D41"/>
    <mergeCell ref="A40:D40"/>
    <mergeCell ref="C6:E6"/>
    <mergeCell ref="E32:F32"/>
    <mergeCell ref="E34:F34"/>
    <mergeCell ref="A31:D31"/>
    <mergeCell ref="C12:D12"/>
  </mergeCells>
  <phoneticPr fontId="0" type="noConversion"/>
  <printOptions horizontalCentered="1"/>
  <pageMargins left="0.5" right="0.5" top="1.5" bottom="0.5" header="0.5" footer="0.5"/>
  <pageSetup scale="80" orientation="portrait" horizontalDpi="4294967293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Pacific General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Vargas</dc:creator>
  <cp:lastModifiedBy>Brett Mortimore</cp:lastModifiedBy>
  <cp:lastPrinted>2012-07-18T21:35:33Z</cp:lastPrinted>
  <dcterms:created xsi:type="dcterms:W3CDTF">2003-09-10T18:18:31Z</dcterms:created>
  <dcterms:modified xsi:type="dcterms:W3CDTF">2013-03-19T14:40:46Z</dcterms:modified>
</cp:coreProperties>
</file>