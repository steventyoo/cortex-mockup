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Backup'!$A$1:$K$54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52" i="6" l="1"/>
  <c r="K52" i="6"/>
  <c r="J52" i="6"/>
  <c r="I52" i="6"/>
  <c r="F53" i="6" l="1"/>
  <c r="H54" i="6"/>
  <c r="I53" i="6"/>
  <c r="J53" i="6"/>
  <c r="J54" i="6" s="1"/>
  <c r="K53" i="6"/>
  <c r="K54" i="6"/>
  <c r="A54" i="6"/>
  <c r="D54" i="6"/>
  <c r="I42" i="6" l="1"/>
  <c r="F50" i="6" l="1"/>
  <c r="I50" i="6"/>
  <c r="J50" i="6"/>
  <c r="K50" i="6"/>
  <c r="K23" i="6"/>
  <c r="J23" i="6"/>
  <c r="I23" i="6"/>
  <c r="F23" i="6"/>
  <c r="F24" i="6"/>
  <c r="I24" i="6"/>
  <c r="J24" i="6"/>
  <c r="K24" i="6"/>
  <c r="F25" i="6"/>
  <c r="I25" i="6"/>
  <c r="J25" i="6"/>
  <c r="K25" i="6"/>
  <c r="F27" i="6"/>
  <c r="I27" i="6"/>
  <c r="J27" i="6"/>
  <c r="K27" i="6"/>
  <c r="F28" i="6"/>
  <c r="I28" i="6"/>
  <c r="J28" i="6"/>
  <c r="K28" i="6"/>
  <c r="F29" i="6"/>
  <c r="I29" i="6"/>
  <c r="J29" i="6"/>
  <c r="K29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J42" i="6"/>
  <c r="K42" i="6"/>
  <c r="D44" i="6"/>
  <c r="E44" i="6"/>
  <c r="E54" i="6" s="1"/>
  <c r="G44" i="6"/>
  <c r="G54" i="6" s="1"/>
  <c r="H44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1" i="6"/>
  <c r="I51" i="6"/>
  <c r="J51" i="6"/>
  <c r="K51" i="6"/>
  <c r="K21" i="6"/>
  <c r="J21" i="6"/>
  <c r="I21" i="6"/>
  <c r="F21" i="6"/>
  <c r="D14" i="6"/>
  <c r="E14" i="6"/>
  <c r="H14" i="6"/>
  <c r="F16" i="6"/>
  <c r="I16" i="6"/>
  <c r="J16" i="6"/>
  <c r="K16" i="6"/>
  <c r="F17" i="6"/>
  <c r="I17" i="6"/>
  <c r="J17" i="6"/>
  <c r="K17" i="6"/>
  <c r="F18" i="6"/>
  <c r="I18" i="6"/>
  <c r="J18" i="6"/>
  <c r="K18" i="6"/>
  <c r="F20" i="6"/>
  <c r="I20" i="6"/>
  <c r="J20" i="6"/>
  <c r="K20" i="6"/>
  <c r="F22" i="6"/>
  <c r="I22" i="6"/>
  <c r="J22" i="6"/>
  <c r="K22" i="6"/>
  <c r="K14" i="6"/>
  <c r="K44" i="6" l="1"/>
  <c r="F14" i="6"/>
  <c r="J14" i="6"/>
  <c r="J44" i="6"/>
  <c r="F44" i="6"/>
  <c r="F54" i="6" s="1"/>
</calcChain>
</file>

<file path=xl/sharedStrings.xml><?xml version="1.0" encoding="utf-8"?>
<sst xmlns="http://schemas.openxmlformats.org/spreadsheetml/2006/main" count="117" uniqueCount="92">
  <si>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</si>
  <si>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</si>
  <si>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</si>
  <si>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</si>
  <si>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</si>
  <si>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</si>
  <si>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</si>
  <si>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</si>
  <si>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</si>
  <si>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</si>
  <si>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</si>
  <si>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</si>
  <si>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</si>
  <si>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</si>
  <si>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</si>
  <si>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</si>
  <si>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</si>
  <si>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</si>
  <si>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</si>
  <si>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</si>
  <si>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</si>
  <si>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</si>
  <si>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</si>
  <si>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</si>
  <si>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</si>
  <si>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</si>
  <si>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</si>
  <si>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</si>
  <si>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</si>
  <si>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</si>
  <si>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</si>
  <si>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</si>
  <si>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</si>
  <si>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</si>
  <si>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</si>
  <si>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</si>
  <si>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</si>
  <si>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</si>
  <si>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</si>
  <si>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</si>
  <si>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</si>
  <si>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</si>
  <si>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</si>
  <si>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</si>
  <si>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</si>
  <si>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</si>
  <si>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To be submitted with applications for payment</t>
  </si>
  <si>
    <t>One-Way Plumbing Contract Schedule of Values Work Sheet</t>
  </si>
  <si>
    <t>PREVIOUS</t>
  </si>
  <si>
    <t>SCHEDULE OF VALUES</t>
  </si>
  <si>
    <t>LOCATION: Seattle, WA</t>
  </si>
  <si>
    <t>underground</t>
  </si>
  <si>
    <t>install duplex water pressure booster package</t>
  </si>
  <si>
    <t>PROJECT:  Greenwood Apartments</t>
  </si>
  <si>
    <t>plumbing design and shop drawings</t>
  </si>
  <si>
    <t>plumbing permit</t>
  </si>
  <si>
    <t>garage drains/basins, underground waste piping</t>
  </si>
  <si>
    <t>level R1 deck</t>
  </si>
  <si>
    <t>canout/sleeve at level R1 PT deck</t>
  </si>
  <si>
    <t>roughin plumbing at live/work, parking garage level</t>
  </si>
  <si>
    <t>street level</t>
  </si>
  <si>
    <t>mech room</t>
  </si>
  <si>
    <t>storm pump</t>
  </si>
  <si>
    <t>install pumps in storm basin</t>
  </si>
  <si>
    <t>stock bathtubs at street level</t>
  </si>
  <si>
    <t>level R1</t>
  </si>
  <si>
    <t>level R2</t>
  </si>
  <si>
    <t>level R3</t>
  </si>
  <si>
    <t>install toilets, lavs and sinks at live/work units</t>
  </si>
  <si>
    <t>live/work trim</t>
  </si>
  <si>
    <t>roughin plumbing at level R1</t>
  </si>
  <si>
    <t>roughin plumbing at level R2</t>
  </si>
  <si>
    <t>stock bathtubs at level R1</t>
  </si>
  <si>
    <t>install bathtubs/valves at level R1</t>
  </si>
  <si>
    <t>stock bathtubs at level R2</t>
  </si>
  <si>
    <t>install bathtubs/valves at level R2</t>
  </si>
  <si>
    <t>roughin plumbing at level R3</t>
  </si>
  <si>
    <t>stock bathtubs at level R3</t>
  </si>
  <si>
    <t>install bathtubs/valves at level R3</t>
  </si>
  <si>
    <t>install toilets, lavs and sinks at level R2</t>
  </si>
  <si>
    <t>install toilets, lavs and sinks at level R3</t>
  </si>
  <si>
    <t>install toilets, lavs and sinks at level R1</t>
  </si>
  <si>
    <t>install bathtubs at street level</t>
  </si>
  <si>
    <t>change copper to cpvc &amp; pex</t>
  </si>
  <si>
    <t>add disposals</t>
  </si>
  <si>
    <t>change kitchen sinks from under mount to drop in.</t>
  </si>
  <si>
    <t>add 5 downspout pickups for parapet change</t>
  </si>
  <si>
    <t>ri for rooftop bar sink</t>
  </si>
  <si>
    <t>add trash chute washdown</t>
  </si>
  <si>
    <t>relocate kitchen sink RI 3 units</t>
  </si>
  <si>
    <t>ada clearance changes</t>
  </si>
  <si>
    <t>CO#5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</si>
</sst>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.5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164" fontId="3" fillId="0" borderId="0" xfId="3" applyNumberFormat="1" applyFont="1"/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14" fontId="8" fillId="0" borderId="0" xfId="3" applyNumberFormat="1" applyFont="1" applyAlignment="1">
      <alignment horizontal="center"/>
    </xf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4" fontId="2" fillId="0" borderId="9" xfId="3" applyNumberFormat="1" applyFont="1" applyBorder="1" applyAlignment="1">
      <alignment horizontal="center"/>
    </xf>
    <xf numFmtId="0" fontId="8" fillId="0" borderId="1" xfId="3" applyFont="1" applyBorder="1" applyAlignment="1"/>
    <xf numFmtId="0" fontId="1" fillId="0" borderId="1" xfId="3" applyFont="1" applyFill="1" applyBorder="1"/>
    <xf numFmtId="0" fontId="3" fillId="0" borderId="10" xfId="3" applyFont="1" applyBorder="1" applyAlignment="1"/>
    <xf numFmtId="0" fontId="1" fillId="0" borderId="1" xfId="3" applyFont="1" applyBorder="1" applyAlignment="1"/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3"/>
  <sheetViews>
    <sheetView tabSelected="1" view="pageBreakPreview" zoomScaleNormal="130" zoomScaleSheetLayoutView="100" zoomScalePageLayoutView="75" workbookViewId="0">
      <selection activeCell="D17" sqref="D17"/>
    </sheetView>
  </sheetViews>
  <sheetFormatPr defaultColWidth="9.3320312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9.1093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4.2" customHeight="1" x14ac:dyDescent="0.25">
      <c r="I1" s="2"/>
    </row>
    <row r="2" spans="1:11" ht="18.75" customHeight="1" x14ac:dyDescent="0.3">
      <c r="D2" s="57" t="s">
        <v>49</v>
      </c>
      <c r="E2" s="57"/>
      <c r="F2" s="57"/>
      <c r="G2" s="57"/>
      <c r="I2" s="2"/>
    </row>
    <row r="3" spans="1:11" ht="27.75" customHeight="1" thickBot="1" x14ac:dyDescent="0.45">
      <c r="A3" s="60" t="s">
        <v>47</v>
      </c>
      <c r="B3" s="61"/>
      <c r="C3" s="61"/>
      <c r="D3" s="61"/>
      <c r="E3" s="61"/>
      <c r="F3" s="61"/>
      <c r="G3" s="61"/>
      <c r="H3" s="61"/>
      <c r="I3" s="15"/>
      <c r="J3" s="14"/>
      <c r="K3" s="14"/>
    </row>
    <row r="4" spans="1:11" ht="22.8" x14ac:dyDescent="0.4">
      <c r="A4" s="58" t="s">
        <v>46</v>
      </c>
      <c r="B4" s="59"/>
      <c r="C4" s="59"/>
      <c r="D4" s="59"/>
      <c r="E4" s="59"/>
      <c r="I4" s="2"/>
    </row>
    <row r="5" spans="1:11" x14ac:dyDescent="0.25">
      <c r="A5" s="3" t="s">
        <v>53</v>
      </c>
      <c r="F5" s="11" t="s">
        <v>7</v>
      </c>
      <c r="G5" s="23">
        <v>11</v>
      </c>
      <c r="H5" s="9" t="s">
        <v>6</v>
      </c>
      <c r="I5" s="2"/>
      <c r="J5" s="12"/>
    </row>
    <row r="6" spans="1:11" x14ac:dyDescent="0.25">
      <c r="A6" s="3" t="s">
        <v>50</v>
      </c>
      <c r="F6" s="11" t="s">
        <v>23</v>
      </c>
      <c r="G6" s="47">
        <v>41499</v>
      </c>
      <c r="H6" s="13" t="s">
        <v>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47">
        <v>41511</v>
      </c>
      <c r="H7" s="13" t="s">
        <v>6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7" t="s">
        <v>25</v>
      </c>
      <c r="B10" s="17" t="s">
        <v>26</v>
      </c>
      <c r="C10" s="16"/>
      <c r="D10" s="18" t="s">
        <v>24</v>
      </c>
      <c r="E10" s="18" t="s">
        <v>27</v>
      </c>
      <c r="F10" s="18" t="s">
        <v>28</v>
      </c>
      <c r="G10" s="19" t="s">
        <v>29</v>
      </c>
      <c r="H10" s="64" t="s">
        <v>30</v>
      </c>
      <c r="I10" s="65"/>
      <c r="J10" s="18" t="s">
        <v>31</v>
      </c>
      <c r="K10" s="18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2" t="s">
        <v>33</v>
      </c>
      <c r="F11" s="63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48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SUM(D16:D43)</f>
        <v>384900</v>
      </c>
      <c r="E14" s="38">
        <f>SUM(E16:E43)</f>
        <v>384900</v>
      </c>
      <c r="F14" s="38">
        <f>SUM(F16:F43)</f>
        <v>0</v>
      </c>
      <c r="G14" s="38"/>
      <c r="H14" s="38">
        <f>SUM(H16:H43)</f>
        <v>384900</v>
      </c>
      <c r="I14" s="39"/>
      <c r="J14" s="38">
        <f>SUM(J16:J43)</f>
        <v>0</v>
      </c>
      <c r="K14" s="37">
        <f>SUM(K16:K43)</f>
        <v>19245</v>
      </c>
    </row>
    <row r="15" spans="1:11" x14ac:dyDescent="0.25">
      <c r="A15" s="8"/>
      <c r="B15" s="5"/>
      <c r="C15" s="5"/>
      <c r="D15" s="37"/>
      <c r="E15" s="38"/>
      <c r="F15" s="38"/>
      <c r="G15" s="38"/>
      <c r="H15" s="40"/>
      <c r="I15" s="39"/>
      <c r="J15" s="38"/>
      <c r="K15" s="37"/>
    </row>
    <row r="16" spans="1:11" x14ac:dyDescent="0.25">
      <c r="A16" s="7" t="s">
        <v>6</v>
      </c>
      <c r="B16" s="7" t="s">
        <v>54</v>
      </c>
      <c r="C16" s="6" t="s">
        <v>17</v>
      </c>
      <c r="D16" s="41">
        <v>12900</v>
      </c>
      <c r="E16" s="42">
        <v>12900</v>
      </c>
      <c r="F16" s="42">
        <f>H16-E16</f>
        <v>0</v>
      </c>
      <c r="G16" s="42"/>
      <c r="H16" s="43">
        <v>12900</v>
      </c>
      <c r="I16" s="44">
        <f>H16/D16</f>
        <v>1</v>
      </c>
      <c r="J16" s="42">
        <f>D16-H16</f>
        <v>0</v>
      </c>
      <c r="K16" s="41">
        <f>0.05*H16</f>
        <v>645</v>
      </c>
    </row>
    <row r="17" spans="1:11" x14ac:dyDescent="0.25">
      <c r="A17" s="7"/>
      <c r="B17" s="7" t="s">
        <v>55</v>
      </c>
      <c r="C17" s="6"/>
      <c r="D17" s="41">
        <v>4300</v>
      </c>
      <c r="E17" s="42">
        <v>4300</v>
      </c>
      <c r="F17" s="42">
        <f>H17-E17</f>
        <v>0</v>
      </c>
      <c r="G17" s="42"/>
      <c r="H17" s="43">
        <v>4300</v>
      </c>
      <c r="I17" s="44">
        <f>H17/D17</f>
        <v>1</v>
      </c>
      <c r="J17" s="42">
        <f>D17-H17</f>
        <v>0</v>
      </c>
      <c r="K17" s="41">
        <f>0.05*H17</f>
        <v>215</v>
      </c>
    </row>
    <row r="18" spans="1:11" x14ac:dyDescent="0.25">
      <c r="A18" s="7" t="s">
        <v>51</v>
      </c>
      <c r="B18" s="46" t="s">
        <v>56</v>
      </c>
      <c r="C18" s="6" t="s">
        <v>17</v>
      </c>
      <c r="D18" s="42">
        <v>34500</v>
      </c>
      <c r="E18" s="42">
        <v>34500</v>
      </c>
      <c r="F18" s="42">
        <f>H18-E18</f>
        <v>0</v>
      </c>
      <c r="G18" s="42"/>
      <c r="H18" s="43">
        <v>34500</v>
      </c>
      <c r="I18" s="44">
        <f>H18/D18</f>
        <v>1</v>
      </c>
      <c r="J18" s="42">
        <f>D18-H18</f>
        <v>0</v>
      </c>
      <c r="K18" s="41">
        <f>0.05*H18</f>
        <v>1725</v>
      </c>
    </row>
    <row r="19" spans="1:11" x14ac:dyDescent="0.25">
      <c r="A19" s="7"/>
      <c r="B19" s="7"/>
      <c r="C19" s="6"/>
      <c r="D19" s="42"/>
      <c r="E19" s="42"/>
      <c r="F19" s="42"/>
      <c r="G19" s="42"/>
      <c r="H19" s="43"/>
      <c r="I19" s="44"/>
      <c r="J19" s="42"/>
      <c r="K19" s="41"/>
    </row>
    <row r="20" spans="1:11" x14ac:dyDescent="0.25">
      <c r="A20" s="7" t="s">
        <v>57</v>
      </c>
      <c r="B20" s="7" t="s">
        <v>58</v>
      </c>
      <c r="C20" s="6" t="s">
        <v>17</v>
      </c>
      <c r="D20" s="41">
        <v>8300</v>
      </c>
      <c r="E20" s="42">
        <v>8300</v>
      </c>
      <c r="F20" s="42">
        <f t="shared" ref="F20:F25" si="0">H20-E20</f>
        <v>0</v>
      </c>
      <c r="G20" s="42"/>
      <c r="H20" s="43">
        <v>8300</v>
      </c>
      <c r="I20" s="44">
        <f t="shared" ref="I20:I25" si="1">H20/D20</f>
        <v>1</v>
      </c>
      <c r="J20" s="42">
        <f t="shared" ref="J20:J25" si="2">D20-H20</f>
        <v>0</v>
      </c>
      <c r="K20" s="41">
        <f>0.05*H20</f>
        <v>415</v>
      </c>
    </row>
    <row r="21" spans="1:11" x14ac:dyDescent="0.25">
      <c r="A21" s="7" t="s">
        <v>60</v>
      </c>
      <c r="B21" s="7" t="s">
        <v>59</v>
      </c>
      <c r="C21" s="6"/>
      <c r="D21" s="42">
        <v>55600</v>
      </c>
      <c r="E21" s="42">
        <v>55600</v>
      </c>
      <c r="F21" s="42">
        <f t="shared" si="0"/>
        <v>0</v>
      </c>
      <c r="G21" s="42"/>
      <c r="H21" s="43">
        <v>55600</v>
      </c>
      <c r="I21" s="44">
        <f t="shared" si="1"/>
        <v>1</v>
      </c>
      <c r="J21" s="42">
        <f t="shared" si="2"/>
        <v>0</v>
      </c>
      <c r="K21" s="41">
        <f>0.05*H21</f>
        <v>2780</v>
      </c>
    </row>
    <row r="22" spans="1:11" x14ac:dyDescent="0.25">
      <c r="A22" s="7" t="s">
        <v>60</v>
      </c>
      <c r="B22" s="7" t="s">
        <v>64</v>
      </c>
      <c r="C22" s="6"/>
      <c r="D22" s="42">
        <v>1010</v>
      </c>
      <c r="E22" s="42">
        <v>1010</v>
      </c>
      <c r="F22" s="42">
        <f t="shared" si="0"/>
        <v>0</v>
      </c>
      <c r="G22" s="42"/>
      <c r="H22" s="43">
        <v>1010</v>
      </c>
      <c r="I22" s="44">
        <f t="shared" si="1"/>
        <v>1</v>
      </c>
      <c r="J22" s="42">
        <f t="shared" si="2"/>
        <v>0</v>
      </c>
      <c r="K22" s="41">
        <f>0.05*H22</f>
        <v>50.5</v>
      </c>
    </row>
    <row r="23" spans="1:11" x14ac:dyDescent="0.25">
      <c r="A23" s="7" t="s">
        <v>60</v>
      </c>
      <c r="B23" s="7" t="s">
        <v>82</v>
      </c>
      <c r="C23" s="6"/>
      <c r="D23" s="42">
        <v>180</v>
      </c>
      <c r="E23" s="42">
        <v>180</v>
      </c>
      <c r="F23" s="42">
        <f t="shared" si="0"/>
        <v>0</v>
      </c>
      <c r="G23" s="42"/>
      <c r="H23" s="43">
        <v>180</v>
      </c>
      <c r="I23" s="44">
        <f t="shared" si="1"/>
        <v>1</v>
      </c>
      <c r="J23" s="42">
        <f t="shared" si="2"/>
        <v>0</v>
      </c>
      <c r="K23" s="41">
        <f>0.05*H23</f>
        <v>9</v>
      </c>
    </row>
    <row r="24" spans="1:11" x14ac:dyDescent="0.25">
      <c r="A24" s="7" t="s">
        <v>61</v>
      </c>
      <c r="B24" s="7" t="s">
        <v>52</v>
      </c>
      <c r="C24" s="6"/>
      <c r="D24" s="42">
        <v>17200</v>
      </c>
      <c r="E24" s="42">
        <v>17200</v>
      </c>
      <c r="F24" s="42">
        <f t="shared" si="0"/>
        <v>0</v>
      </c>
      <c r="G24" s="42"/>
      <c r="H24" s="43">
        <v>17200</v>
      </c>
      <c r="I24" s="44">
        <f t="shared" si="1"/>
        <v>1</v>
      </c>
      <c r="J24" s="42">
        <f t="shared" si="2"/>
        <v>0</v>
      </c>
      <c r="K24" s="41">
        <f t="shared" ref="K24:K37" si="3">0.05*H24</f>
        <v>860</v>
      </c>
    </row>
    <row r="25" spans="1:11" x14ac:dyDescent="0.25">
      <c r="A25" s="7" t="s">
        <v>62</v>
      </c>
      <c r="B25" s="7" t="s">
        <v>63</v>
      </c>
      <c r="C25" s="6"/>
      <c r="D25" s="42">
        <v>6400</v>
      </c>
      <c r="E25" s="42">
        <v>6400</v>
      </c>
      <c r="F25" s="42">
        <f t="shared" si="0"/>
        <v>0</v>
      </c>
      <c r="G25" s="42"/>
      <c r="H25" s="43">
        <v>6400</v>
      </c>
      <c r="I25" s="44">
        <f t="shared" si="1"/>
        <v>1</v>
      </c>
      <c r="J25" s="42">
        <f t="shared" si="2"/>
        <v>0</v>
      </c>
      <c r="K25" s="41">
        <f>0.05*H25</f>
        <v>320</v>
      </c>
    </row>
    <row r="26" spans="1:11" x14ac:dyDescent="0.25">
      <c r="A26" s="7"/>
      <c r="B26" s="7"/>
      <c r="C26" s="6"/>
      <c r="D26" s="42"/>
      <c r="E26" s="42"/>
      <c r="F26" s="42"/>
      <c r="G26" s="42"/>
      <c r="H26" s="43"/>
      <c r="I26" s="44"/>
      <c r="J26" s="42"/>
      <c r="K26" s="41"/>
    </row>
    <row r="27" spans="1:11" x14ac:dyDescent="0.25">
      <c r="A27" s="7" t="s">
        <v>65</v>
      </c>
      <c r="B27" s="7" t="s">
        <v>70</v>
      </c>
      <c r="C27" s="6"/>
      <c r="D27" s="42">
        <v>44100</v>
      </c>
      <c r="E27" s="42">
        <v>44100</v>
      </c>
      <c r="F27" s="42">
        <f>H27-E27</f>
        <v>0</v>
      </c>
      <c r="G27" s="42"/>
      <c r="H27" s="43">
        <v>44100</v>
      </c>
      <c r="I27" s="44">
        <f>H27/D27</f>
        <v>1</v>
      </c>
      <c r="J27" s="42">
        <f>D27-H27</f>
        <v>0</v>
      </c>
      <c r="K27" s="41">
        <f>0.05*H27</f>
        <v>2205</v>
      </c>
    </row>
    <row r="28" spans="1:11" x14ac:dyDescent="0.25">
      <c r="A28" s="7" t="s">
        <v>65</v>
      </c>
      <c r="B28" s="7" t="s">
        <v>72</v>
      </c>
      <c r="C28" s="6"/>
      <c r="D28" s="42">
        <v>9090</v>
      </c>
      <c r="E28" s="42">
        <v>9090</v>
      </c>
      <c r="F28" s="42">
        <f>H28-E28</f>
        <v>0</v>
      </c>
      <c r="G28" s="42"/>
      <c r="H28" s="43">
        <v>9090</v>
      </c>
      <c r="I28" s="44">
        <f>H28/D28</f>
        <v>1</v>
      </c>
      <c r="J28" s="42">
        <f>D28-H28</f>
        <v>0</v>
      </c>
      <c r="K28" s="41">
        <f>0.05*H28</f>
        <v>454.5</v>
      </c>
    </row>
    <row r="29" spans="1:11" x14ac:dyDescent="0.25">
      <c r="A29" s="7" t="s">
        <v>65</v>
      </c>
      <c r="B29" s="7" t="s">
        <v>73</v>
      </c>
      <c r="C29" s="6"/>
      <c r="D29" s="42">
        <v>1620</v>
      </c>
      <c r="E29" s="42">
        <v>1620</v>
      </c>
      <c r="F29" s="42">
        <f>H29-E29</f>
        <v>0</v>
      </c>
      <c r="G29" s="42"/>
      <c r="H29" s="43">
        <v>1620</v>
      </c>
      <c r="I29" s="44">
        <f>H29/D29</f>
        <v>1</v>
      </c>
      <c r="J29" s="42">
        <f>D29-H29</f>
        <v>0</v>
      </c>
      <c r="K29" s="41">
        <f>0.05*H29</f>
        <v>81</v>
      </c>
    </row>
    <row r="30" spans="1:11" x14ac:dyDescent="0.25">
      <c r="A30" s="7"/>
      <c r="B30" s="7"/>
      <c r="C30" s="6"/>
      <c r="D30" s="42"/>
      <c r="E30" s="42"/>
      <c r="F30" s="42"/>
      <c r="G30" s="42"/>
      <c r="H30" s="43"/>
      <c r="I30" s="44"/>
      <c r="J30" s="42"/>
      <c r="K30" s="41"/>
    </row>
    <row r="31" spans="1:11" x14ac:dyDescent="0.25">
      <c r="A31" s="7" t="s">
        <v>66</v>
      </c>
      <c r="B31" s="7" t="s">
        <v>71</v>
      </c>
      <c r="C31" s="6"/>
      <c r="D31" s="42">
        <v>44100</v>
      </c>
      <c r="E31" s="42">
        <v>44100</v>
      </c>
      <c r="F31" s="42">
        <f>H31-E31</f>
        <v>0</v>
      </c>
      <c r="G31" s="42"/>
      <c r="H31" s="43">
        <v>44100</v>
      </c>
      <c r="I31" s="44">
        <f>H31/D31</f>
        <v>1</v>
      </c>
      <c r="J31" s="42">
        <f>D31-H31</f>
        <v>0</v>
      </c>
      <c r="K31" s="41">
        <f t="shared" si="3"/>
        <v>2205</v>
      </c>
    </row>
    <row r="32" spans="1:11" x14ac:dyDescent="0.25">
      <c r="A32" s="7" t="s">
        <v>66</v>
      </c>
      <c r="B32" s="7" t="s">
        <v>74</v>
      </c>
      <c r="C32" s="6"/>
      <c r="D32" s="42">
        <v>9090</v>
      </c>
      <c r="E32" s="42">
        <v>9090</v>
      </c>
      <c r="F32" s="42">
        <f>H32-E32</f>
        <v>0</v>
      </c>
      <c r="G32" s="42"/>
      <c r="H32" s="43">
        <v>9090</v>
      </c>
      <c r="I32" s="44">
        <f>H32/D32</f>
        <v>1</v>
      </c>
      <c r="J32" s="42">
        <f>D32-H32</f>
        <v>0</v>
      </c>
      <c r="K32" s="41">
        <f t="shared" si="3"/>
        <v>454.5</v>
      </c>
    </row>
    <row r="33" spans="1:11" x14ac:dyDescent="0.25">
      <c r="A33" s="7" t="s">
        <v>66</v>
      </c>
      <c r="B33" s="7" t="s">
        <v>75</v>
      </c>
      <c r="C33" s="6"/>
      <c r="D33" s="42">
        <v>1620</v>
      </c>
      <c r="E33" s="42">
        <v>1620</v>
      </c>
      <c r="F33" s="42">
        <f>H33-E33</f>
        <v>0</v>
      </c>
      <c r="G33" s="42"/>
      <c r="H33" s="43">
        <v>1620</v>
      </c>
      <c r="I33" s="44">
        <f>H33/D33</f>
        <v>1</v>
      </c>
      <c r="J33" s="42">
        <f>D33-H33</f>
        <v>0</v>
      </c>
      <c r="K33" s="41">
        <f t="shared" si="3"/>
        <v>81</v>
      </c>
    </row>
    <row r="34" spans="1:11" x14ac:dyDescent="0.25">
      <c r="A34" s="7"/>
      <c r="B34" s="7"/>
      <c r="C34" s="6"/>
      <c r="D34" s="42"/>
      <c r="E34" s="42"/>
      <c r="F34" s="42"/>
      <c r="G34" s="42"/>
      <c r="H34" s="43"/>
      <c r="I34" s="44"/>
      <c r="J34" s="42"/>
      <c r="K34" s="41"/>
    </row>
    <row r="35" spans="1:11" x14ac:dyDescent="0.25">
      <c r="A35" s="7" t="s">
        <v>67</v>
      </c>
      <c r="B35" s="7" t="s">
        <v>76</v>
      </c>
      <c r="C35" s="6"/>
      <c r="D35" s="42">
        <v>44100</v>
      </c>
      <c r="E35" s="42">
        <v>44100</v>
      </c>
      <c r="F35" s="42">
        <f>H35-E35</f>
        <v>0</v>
      </c>
      <c r="G35" s="42"/>
      <c r="H35" s="43">
        <v>44100</v>
      </c>
      <c r="I35" s="44">
        <f>H35/D35</f>
        <v>1</v>
      </c>
      <c r="J35" s="42">
        <f>D35-H35</f>
        <v>0</v>
      </c>
      <c r="K35" s="41">
        <f t="shared" si="3"/>
        <v>2205</v>
      </c>
    </row>
    <row r="36" spans="1:11" x14ac:dyDescent="0.25">
      <c r="A36" s="7" t="s">
        <v>67</v>
      </c>
      <c r="B36" s="7" t="s">
        <v>77</v>
      </c>
      <c r="C36" s="6"/>
      <c r="D36" s="42">
        <v>9090</v>
      </c>
      <c r="E36" s="42">
        <v>9090</v>
      </c>
      <c r="F36" s="42">
        <f>H36-E36</f>
        <v>0</v>
      </c>
      <c r="G36" s="42"/>
      <c r="H36" s="43">
        <v>9090</v>
      </c>
      <c r="I36" s="44">
        <f>H36/D36</f>
        <v>1</v>
      </c>
      <c r="J36" s="42">
        <f>D36-H36</f>
        <v>0</v>
      </c>
      <c r="K36" s="41">
        <f t="shared" si="3"/>
        <v>454.5</v>
      </c>
    </row>
    <row r="37" spans="1:11" x14ac:dyDescent="0.25">
      <c r="A37" s="7" t="s">
        <v>67</v>
      </c>
      <c r="B37" s="7" t="s">
        <v>78</v>
      </c>
      <c r="C37" s="6"/>
      <c r="D37" s="42">
        <v>1620</v>
      </c>
      <c r="E37" s="42">
        <v>1620</v>
      </c>
      <c r="F37" s="42">
        <f>H37-E37</f>
        <v>0</v>
      </c>
      <c r="G37" s="42"/>
      <c r="H37" s="43">
        <v>1620</v>
      </c>
      <c r="I37" s="44">
        <f>H37/D37</f>
        <v>1</v>
      </c>
      <c r="J37" s="42">
        <f>D37-H37</f>
        <v>0</v>
      </c>
      <c r="K37" s="41">
        <f t="shared" si="3"/>
        <v>81</v>
      </c>
    </row>
    <row r="38" spans="1:11" x14ac:dyDescent="0.25">
      <c r="A38" s="7"/>
      <c r="B38" s="7"/>
      <c r="C38" s="6"/>
      <c r="D38" s="42" t="s">
        <v>6</v>
      </c>
      <c r="E38" s="42" t="s">
        <v>6</v>
      </c>
      <c r="F38" s="42"/>
      <c r="G38" s="42"/>
      <c r="H38" s="43" t="s">
        <v>6</v>
      </c>
      <c r="I38" s="44" t="s">
        <v>6</v>
      </c>
      <c r="J38" s="42" t="s">
        <v>6</v>
      </c>
      <c r="K38" s="41" t="s">
        <v>6</v>
      </c>
    </row>
    <row r="39" spans="1:11" x14ac:dyDescent="0.25">
      <c r="A39" s="7" t="s">
        <v>69</v>
      </c>
      <c r="B39" s="7" t="s">
        <v>68</v>
      </c>
      <c r="C39" s="6"/>
      <c r="D39" s="42">
        <v>2860</v>
      </c>
      <c r="E39" s="42">
        <v>2860</v>
      </c>
      <c r="F39" s="42">
        <f>H39-E39</f>
        <v>0</v>
      </c>
      <c r="G39" s="42"/>
      <c r="H39" s="43">
        <v>2860</v>
      </c>
      <c r="I39" s="44">
        <f>H39/D39</f>
        <v>1</v>
      </c>
      <c r="J39" s="42">
        <f>D39-H39</f>
        <v>0</v>
      </c>
      <c r="K39" s="41">
        <f>0.05*H39</f>
        <v>143</v>
      </c>
    </row>
    <row r="40" spans="1:11" x14ac:dyDescent="0.25">
      <c r="A40" s="52" t="s">
        <v>65</v>
      </c>
      <c r="B40" s="7" t="s">
        <v>81</v>
      </c>
      <c r="C40" s="6"/>
      <c r="D40" s="42">
        <v>25740</v>
      </c>
      <c r="E40" s="42">
        <v>25740</v>
      </c>
      <c r="F40" s="42">
        <f>H40-E40</f>
        <v>0</v>
      </c>
      <c r="G40" s="42"/>
      <c r="H40" s="43">
        <v>25740</v>
      </c>
      <c r="I40" s="44">
        <f>H40/D40</f>
        <v>1</v>
      </c>
      <c r="J40" s="42">
        <f>D40-H40</f>
        <v>0</v>
      </c>
      <c r="K40" s="41">
        <f>0.05*H40</f>
        <v>1287</v>
      </c>
    </row>
    <row r="41" spans="1:11" x14ac:dyDescent="0.25">
      <c r="A41" s="52" t="s">
        <v>66</v>
      </c>
      <c r="B41" s="7" t="s">
        <v>79</v>
      </c>
      <c r="C41" s="6"/>
      <c r="D41" s="42">
        <v>25740</v>
      </c>
      <c r="E41" s="42">
        <v>25740</v>
      </c>
      <c r="F41" s="42">
        <f>H41-E41</f>
        <v>0</v>
      </c>
      <c r="G41" s="42"/>
      <c r="H41" s="43">
        <v>25740</v>
      </c>
      <c r="I41" s="44">
        <f>H41/D41</f>
        <v>1</v>
      </c>
      <c r="J41" s="42">
        <f t="shared" ref="J41:J53" si="4">D41-H41</f>
        <v>0</v>
      </c>
      <c r="K41" s="41">
        <f t="shared" ref="K41:K53" si="5">0.05*H41</f>
        <v>1287</v>
      </c>
    </row>
    <row r="42" spans="1:11" x14ac:dyDescent="0.25">
      <c r="A42" s="52" t="s">
        <v>67</v>
      </c>
      <c r="B42" s="52" t="s">
        <v>80</v>
      </c>
      <c r="C42" s="6"/>
      <c r="D42" s="42">
        <v>25740</v>
      </c>
      <c r="E42" s="42">
        <v>25740</v>
      </c>
      <c r="F42" s="42">
        <f>H42-E42</f>
        <v>0</v>
      </c>
      <c r="G42" s="42"/>
      <c r="H42" s="43">
        <v>25740</v>
      </c>
      <c r="I42" s="44">
        <f>H42/D42</f>
        <v>1</v>
      </c>
      <c r="J42" s="42">
        <f t="shared" si="4"/>
        <v>0</v>
      </c>
      <c r="K42" s="41">
        <f t="shared" si="5"/>
        <v>1287</v>
      </c>
    </row>
    <row r="43" spans="1:11" ht="0.6" customHeight="1" x14ac:dyDescent="0.25">
      <c r="A43" s="7"/>
      <c r="B43" s="7"/>
      <c r="C43" s="6"/>
      <c r="D43" s="42"/>
      <c r="E43" s="42"/>
      <c r="F43" s="42"/>
      <c r="G43" s="42"/>
      <c r="H43" s="43"/>
      <c r="I43" s="44"/>
      <c r="J43" s="42"/>
      <c r="K43" s="41"/>
    </row>
    <row r="44" spans="1:11" ht="13.8" x14ac:dyDescent="0.25">
      <c r="A44" s="55" t="s">
        <v>21</v>
      </c>
      <c r="B44" s="56"/>
      <c r="C44" s="6"/>
      <c r="D44" s="38">
        <f>SUM(D16:D43)</f>
        <v>384900</v>
      </c>
      <c r="E44" s="38">
        <f>SUM(E16:E43)</f>
        <v>384900</v>
      </c>
      <c r="F44" s="38">
        <f>SUM(F16:F43)</f>
        <v>0</v>
      </c>
      <c r="G44" s="38">
        <f>SUM(G16:G43)</f>
        <v>0</v>
      </c>
      <c r="H44" s="38">
        <f>SUM(H16:H43)</f>
        <v>384900</v>
      </c>
      <c r="I44" s="45"/>
      <c r="J44" s="38">
        <f>SUM(J16:J43)</f>
        <v>0</v>
      </c>
      <c r="K44" s="38">
        <f>SUM(K16:K43)</f>
        <v>19245</v>
      </c>
    </row>
    <row r="45" spans="1:11" x14ac:dyDescent="0.25">
      <c r="A45" s="25" t="s">
        <v>44</v>
      </c>
      <c r="B45" s="5" t="s">
        <v>18</v>
      </c>
      <c r="C45" s="6"/>
      <c r="D45" s="42"/>
      <c r="E45" s="42"/>
      <c r="F45" s="42"/>
      <c r="G45" s="42"/>
      <c r="H45" s="43"/>
      <c r="I45" s="44"/>
      <c r="J45" s="42"/>
      <c r="K45" s="41"/>
    </row>
    <row r="46" spans="1:11" x14ac:dyDescent="0.25">
      <c r="A46" s="20" t="s">
        <v>41</v>
      </c>
      <c r="B46" s="20" t="s">
        <v>83</v>
      </c>
      <c r="C46" s="8"/>
      <c r="D46" s="42">
        <v>-1950</v>
      </c>
      <c r="E46" s="42">
        <v>-1950</v>
      </c>
      <c r="F46" s="42">
        <f t="shared" ref="F46:F53" si="6">H46-E46</f>
        <v>0</v>
      </c>
      <c r="G46" s="38"/>
      <c r="H46" s="43">
        <v>-1950</v>
      </c>
      <c r="I46" s="44">
        <f t="shared" ref="I46:I53" si="7">H46/D46</f>
        <v>1</v>
      </c>
      <c r="J46" s="42">
        <f t="shared" si="4"/>
        <v>0</v>
      </c>
      <c r="K46" s="41">
        <f t="shared" si="5"/>
        <v>-97.5</v>
      </c>
    </row>
    <row r="47" spans="1:11" x14ac:dyDescent="0.25">
      <c r="A47" s="20" t="s">
        <v>41</v>
      </c>
      <c r="B47" s="22" t="s">
        <v>84</v>
      </c>
      <c r="C47" s="6"/>
      <c r="D47" s="42">
        <v>4760</v>
      </c>
      <c r="E47" s="42">
        <v>4760</v>
      </c>
      <c r="F47" s="42">
        <f t="shared" si="6"/>
        <v>0</v>
      </c>
      <c r="G47" s="42"/>
      <c r="H47" s="43">
        <v>4760</v>
      </c>
      <c r="I47" s="44">
        <f t="shared" si="7"/>
        <v>1</v>
      </c>
      <c r="J47" s="42">
        <f t="shared" si="4"/>
        <v>0</v>
      </c>
      <c r="K47" s="41">
        <f t="shared" si="5"/>
        <v>238</v>
      </c>
    </row>
    <row r="48" spans="1:11" x14ac:dyDescent="0.25">
      <c r="A48" s="20" t="s">
        <v>41</v>
      </c>
      <c r="B48" s="22" t="s">
        <v>85</v>
      </c>
      <c r="C48" s="6"/>
      <c r="D48" s="42">
        <v>-2856</v>
      </c>
      <c r="E48" s="42">
        <v>-2856</v>
      </c>
      <c r="F48" s="42">
        <f t="shared" si="6"/>
        <v>0</v>
      </c>
      <c r="G48" s="42"/>
      <c r="H48" s="43">
        <v>-2856</v>
      </c>
      <c r="I48" s="44">
        <f t="shared" si="7"/>
        <v>1</v>
      </c>
      <c r="J48" s="42">
        <f t="shared" si="4"/>
        <v>0</v>
      </c>
      <c r="K48" s="41">
        <f t="shared" si="5"/>
        <v>-142.80000000000001</v>
      </c>
    </row>
    <row r="49" spans="1:11" x14ac:dyDescent="0.25">
      <c r="A49" s="20" t="s">
        <v>42</v>
      </c>
      <c r="B49" s="22" t="s">
        <v>86</v>
      </c>
      <c r="C49" s="6"/>
      <c r="D49" s="42">
        <v>5189</v>
      </c>
      <c r="E49" s="42">
        <v>5189</v>
      </c>
      <c r="F49" s="42">
        <f t="shared" si="6"/>
        <v>0</v>
      </c>
      <c r="G49" s="42"/>
      <c r="H49" s="43">
        <v>5189</v>
      </c>
      <c r="I49" s="44">
        <f t="shared" si="7"/>
        <v>1</v>
      </c>
      <c r="J49" s="42">
        <f t="shared" si="4"/>
        <v>0</v>
      </c>
      <c r="K49" s="41">
        <f t="shared" si="5"/>
        <v>259.45</v>
      </c>
    </row>
    <row r="50" spans="1:11" x14ac:dyDescent="0.25">
      <c r="A50" s="20" t="s">
        <v>43</v>
      </c>
      <c r="B50" s="51" t="s">
        <v>88</v>
      </c>
      <c r="C50" s="6"/>
      <c r="D50" s="42">
        <v>1211</v>
      </c>
      <c r="E50" s="42">
        <v>1211</v>
      </c>
      <c r="F50" s="42">
        <f t="shared" si="6"/>
        <v>0</v>
      </c>
      <c r="G50" s="42"/>
      <c r="H50" s="43">
        <v>1211</v>
      </c>
      <c r="I50" s="44">
        <f t="shared" si="7"/>
        <v>1</v>
      </c>
      <c r="J50" s="42">
        <f t="shared" si="4"/>
        <v>0</v>
      </c>
      <c r="K50" s="41">
        <f t="shared" si="5"/>
        <v>60.550000000000004</v>
      </c>
    </row>
    <row r="51" spans="1:11" x14ac:dyDescent="0.25">
      <c r="A51" s="21" t="s">
        <v>45</v>
      </c>
      <c r="B51" s="22" t="s">
        <v>87</v>
      </c>
      <c r="C51" s="21"/>
      <c r="D51" s="42">
        <v>1056</v>
      </c>
      <c r="E51" s="42">
        <v>1056</v>
      </c>
      <c r="F51" s="42">
        <f t="shared" si="6"/>
        <v>0</v>
      </c>
      <c r="G51" s="41"/>
      <c r="H51" s="43">
        <v>1056</v>
      </c>
      <c r="I51" s="44">
        <f t="shared" si="7"/>
        <v>1</v>
      </c>
      <c r="J51" s="42">
        <f t="shared" si="4"/>
        <v>0</v>
      </c>
      <c r="K51" s="41">
        <f t="shared" si="5"/>
        <v>52.800000000000004</v>
      </c>
    </row>
    <row r="52" spans="1:11" x14ac:dyDescent="0.25">
      <c r="A52" s="54" t="s">
        <v>45</v>
      </c>
      <c r="B52" s="22" t="s">
        <v>89</v>
      </c>
      <c r="C52" s="53"/>
      <c r="D52" s="42">
        <v>474</v>
      </c>
      <c r="E52" s="42">
        <v>474</v>
      </c>
      <c r="F52" s="42">
        <f t="shared" si="6"/>
        <v>0</v>
      </c>
      <c r="G52" s="41"/>
      <c r="H52" s="43">
        <v>474</v>
      </c>
      <c r="I52" s="44">
        <f t="shared" si="7"/>
        <v>1</v>
      </c>
      <c r="J52" s="42">
        <f t="shared" si="4"/>
        <v>0</v>
      </c>
      <c r="K52" s="41">
        <f t="shared" si="5"/>
        <v>23.700000000000003</v>
      </c>
    </row>
    <row r="53" spans="1:11" x14ac:dyDescent="0.25">
      <c r="A53" s="54" t="s">
        <v>91</v>
      </c>
      <c r="B53" s="22" t="s">
        <v>90</v>
      </c>
      <c r="C53" s="53"/>
      <c r="D53" s="42">
        <v>1353</v>
      </c>
      <c r="E53" s="42"/>
      <c r="F53" s="42">
        <f t="shared" si="6"/>
        <v>1353</v>
      </c>
      <c r="G53" s="41"/>
      <c r="H53" s="43">
        <v>1353</v>
      </c>
      <c r="I53" s="44">
        <f t="shared" si="7"/>
        <v>1</v>
      </c>
      <c r="J53" s="42">
        <f t="shared" si="4"/>
        <v>0</v>
      </c>
      <c r="K53" s="41">
        <f t="shared" si="5"/>
        <v>67.650000000000006</v>
      </c>
    </row>
    <row r="54" spans="1:11" ht="13.8" x14ac:dyDescent="0.25">
      <c r="A54" s="50">
        <f>SUM(D46:D53)</f>
        <v>9237</v>
      </c>
      <c r="B54" s="48" t="s">
        <v>22</v>
      </c>
      <c r="C54" s="49"/>
      <c r="D54" s="38">
        <f>SUM(D44:D53)</f>
        <v>394137</v>
      </c>
      <c r="E54" s="38">
        <f>SUM(E44:E53)</f>
        <v>392784</v>
      </c>
      <c r="F54" s="38">
        <f>SUM(F44:F53)</f>
        <v>1353</v>
      </c>
      <c r="G54" s="38">
        <f>SUM(G44:G51)</f>
        <v>0</v>
      </c>
      <c r="H54" s="38">
        <f>SUM(H44:H53)</f>
        <v>394137</v>
      </c>
      <c r="I54" s="45"/>
      <c r="J54" s="38">
        <f>SUM(J44:J53)</f>
        <v>0</v>
      </c>
      <c r="K54" s="38">
        <f>SUM(K44:K53)</f>
        <v>19706.850000000002</v>
      </c>
    </row>
    <row r="55" spans="1:11" x14ac:dyDescent="0.25">
      <c r="I55" s="2"/>
    </row>
    <row r="56" spans="1:11" x14ac:dyDescent="0.25">
      <c r="I56" s="2"/>
    </row>
    <row r="57" spans="1:11" x14ac:dyDescent="0.25">
      <c r="C57" s="9"/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</sheetData>
  <mergeCells count="6">
    <mergeCell ref="A44:B44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0.25" right="0.25" top="0.75" bottom="0.75" header="0.3" footer="0.3"/>
  <pageSetup scale="75" fitToHeight="0" orientation="landscape" r:id="rId1"/>
  <headerFooter alignWithMargins="0">
    <oddHeader>&amp;LChinn Construction, LLC&amp;CGreenwood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2013-02-19T16:58:29Z</cp:lastPrinted>
  <dcterms:created xsi:type="dcterms:W3CDTF">2001-02-05T15:33:02Z</dcterms:created>
  <dcterms:modified xsi:type="dcterms:W3CDTF">2013-08-13T18:21:29Z</dcterms:modified>
</cp:coreProperties>
</file>