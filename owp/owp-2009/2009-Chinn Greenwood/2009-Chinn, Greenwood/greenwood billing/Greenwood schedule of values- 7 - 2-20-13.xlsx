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52" i="6" l="1"/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D44" i="6"/>
  <c r="D52" i="6" s="1"/>
  <c r="E44" i="6"/>
  <c r="E52" i="6" s="1"/>
  <c r="G44" i="6"/>
  <c r="G52" i="6" s="1"/>
  <c r="H44" i="6"/>
  <c r="H52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I51" i="6"/>
  <c r="J51" i="6"/>
  <c r="K51" i="6"/>
  <c r="K21" i="6"/>
  <c r="J21" i="6"/>
  <c r="I21" i="6"/>
  <c r="F21" i="6"/>
  <c r="F14" i="6" s="1"/>
  <c r="D14" i="6"/>
  <c r="E14" i="6"/>
  <c r="H14" i="6"/>
  <c r="F16" i="6"/>
  <c r="I16" i="6"/>
  <c r="J16" i="6"/>
  <c r="K16" i="6"/>
  <c r="K44" i="6" s="1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K52" i="6" l="1"/>
  <c r="J14" i="6"/>
  <c r="J44" i="6"/>
  <c r="J52" i="6" s="1"/>
  <c r="F44" i="6"/>
  <c r="F52" i="6" s="1"/>
</calcChain>
</file>

<file path=xl/sharedStrings.xml><?xml version="1.0" encoding="utf-8"?>
<sst xmlns="http://schemas.openxmlformats.org/spreadsheetml/2006/main" count="112" uniqueCount="88">
  <si>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</si>
  <si>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</si>
  <si>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</si>
  <si>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</si>
  <si>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</si>
  <si>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</si>
  <si>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</si>
  <si>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</si>
  <si>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</si>
  <si>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</si>
  <si>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</si>
  <si>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</si>
  <si>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</si>
  <si>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</si>
  <si>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</si>
  <si>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</si>
  <si>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</si>
  <si>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</si>
  <si>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</si>
  <si>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</si>
  <si>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</si>
  <si>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</si>
  <si>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</si>
  <si>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</si>
  <si>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</si>
  <si>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</si>
  <si>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</si>
  <si>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</si>
  <si>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</si>
  <si>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</si>
  <si>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</si>
  <si>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</si>
  <si>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</si>
  <si>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</si>
  <si>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</si>
  <si>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</si>
  <si>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</si>
  <si>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</si>
  <si>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</si>
  <si>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</si>
  <si>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</si>
  <si>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</si>
  <si>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</si>
  <si>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</si>
  <si>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</si>
  <si>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</si>
  <si>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</si>
  <si>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</si>
  <si>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</si>
  <si>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</si>
  <si>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</si>
  <si>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</si>
  <si>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</si>
  <si>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</si>
  <si>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</si>
  <si>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</si>
  <si>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</si>
  <si>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</si>
  <si>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</si>
  <si>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</si>
  <si>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</si>
  <si>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</si>
  <si>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</si>
  <si>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</si>
  <si>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</si>
  <si>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</si>
  <si>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</si>
  <si>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</si>
  <si>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</si>
  <si>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</si>
  <si>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</si>
  <si>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</si>
  <si>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</si>
  <si>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</si>
  <si>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</si>
  <si>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</si>
  <si>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</si>
  <si>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</si>
  <si>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</si>
  <si>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</si>
  <si>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</si>
  <si>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</si>
  <si>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</si>
  <si>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</si>
  <si>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</si>
  <si>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</si>
  <si>
    <t>add 5 downspout pickups for parapet change</t>
  </si>
  <si>
    <t>ri for rooftop bar 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</si>
</sst>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4" fontId="3" fillId="0" borderId="0" xfId="3" applyNumberFormat="1" applyFont="1"/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2" fillId="0" borderId="9" xfId="3" applyNumberFormat="1" applyFont="1" applyBorder="1" applyAlignment="1">
      <alignment horizontal="center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view="pageBreakPreview" topLeftCell="A19" zoomScaleNormal="130" zoomScaleSheetLayoutView="100" zoomScalePageLayoutView="75" workbookViewId="0">
      <selection activeCell="H52" sqref="H52"/>
    </sheetView>
  </sheetViews>
  <sheetFormatPr defaultColWidth="9.3320312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9.1093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18.75" customHeight="1" x14ac:dyDescent="0.3">
      <c r="D2" s="53" t="s">
        <v>49</v>
      </c>
      <c r="E2" s="53"/>
      <c r="F2" s="53"/>
      <c r="G2" s="53"/>
      <c r="I2" s="2"/>
    </row>
    <row r="3" spans="1:11" ht="27.75" customHeight="1" thickBot="1" x14ac:dyDescent="0.45">
      <c r="A3" s="56" t="s">
        <v>47</v>
      </c>
      <c r="B3" s="57"/>
      <c r="C3" s="57"/>
      <c r="D3" s="57"/>
      <c r="E3" s="57"/>
      <c r="F3" s="57"/>
      <c r="G3" s="57"/>
      <c r="H3" s="57"/>
      <c r="I3" s="15"/>
      <c r="J3" s="14"/>
      <c r="K3" s="14"/>
    </row>
    <row r="4" spans="1:11" ht="22.8" x14ac:dyDescent="0.4">
      <c r="A4" s="54" t="s">
        <v>46</v>
      </c>
      <c r="B4" s="55"/>
      <c r="C4" s="55"/>
      <c r="D4" s="55"/>
      <c r="E4" s="55"/>
      <c r="I4" s="2"/>
    </row>
    <row r="5" spans="1:11" x14ac:dyDescent="0.25">
      <c r="A5" s="3" t="s">
        <v>53</v>
      </c>
      <c r="F5" s="11" t="s">
        <v>7</v>
      </c>
      <c r="G5" s="23">
        <v>7</v>
      </c>
      <c r="H5" s="9" t="s">
        <v>6</v>
      </c>
      <c r="I5" s="2"/>
      <c r="J5" s="12"/>
    </row>
    <row r="6" spans="1:11" x14ac:dyDescent="0.25">
      <c r="A6" s="3" t="s">
        <v>50</v>
      </c>
      <c r="F6" s="11" t="s">
        <v>23</v>
      </c>
      <c r="G6" s="47">
        <v>41324</v>
      </c>
      <c r="H6" s="13" t="s">
        <v>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47">
        <v>41333</v>
      </c>
      <c r="H7" s="13" t="s">
        <v>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60" t="s">
        <v>30</v>
      </c>
      <c r="I10" s="61"/>
      <c r="J10" s="18" t="s">
        <v>31</v>
      </c>
      <c r="K10" s="18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8" t="s">
        <v>33</v>
      </c>
      <c r="F11" s="59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276180</v>
      </c>
      <c r="F14" s="38">
        <f>SUM(F16:F43)</f>
        <v>22240</v>
      </c>
      <c r="G14" s="38"/>
      <c r="H14" s="38">
        <f>SUM(H16:H43)</f>
        <v>298420</v>
      </c>
      <c r="I14" s="39"/>
      <c r="J14" s="38">
        <f>SUM(J16:J43)</f>
        <v>86480</v>
      </c>
      <c r="K14" s="37">
        <f>SUM(K16:K43)</f>
        <v>14921</v>
      </c>
    </row>
    <row r="15" spans="1:11" x14ac:dyDescent="0.25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5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5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5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5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5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5">
      <c r="A21" s="7" t="s">
        <v>60</v>
      </c>
      <c r="B21" s="7" t="s">
        <v>59</v>
      </c>
      <c r="C21" s="6"/>
      <c r="D21" s="42">
        <v>55600</v>
      </c>
      <c r="E21" s="42">
        <v>55600</v>
      </c>
      <c r="F21" s="42">
        <f t="shared" si="0"/>
        <v>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5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5">
      <c r="A23" s="7" t="s">
        <v>60</v>
      </c>
      <c r="B23" s="7" t="s">
        <v>82</v>
      </c>
      <c r="C23" s="6"/>
      <c r="D23" s="42">
        <v>180</v>
      </c>
      <c r="E23" s="42">
        <v>0</v>
      </c>
      <c r="F23" s="42">
        <f t="shared" si="0"/>
        <v>180</v>
      </c>
      <c r="G23" s="42"/>
      <c r="H23" s="43">
        <v>180</v>
      </c>
      <c r="I23" s="44">
        <f t="shared" si="1"/>
        <v>1</v>
      </c>
      <c r="J23" s="42">
        <f t="shared" si="2"/>
        <v>0</v>
      </c>
      <c r="K23" s="41">
        <f>0.05*H23</f>
        <v>9</v>
      </c>
    </row>
    <row r="24" spans="1:11" x14ac:dyDescent="0.25">
      <c r="A24" s="7" t="s">
        <v>61</v>
      </c>
      <c r="B24" s="7" t="s">
        <v>52</v>
      </c>
      <c r="C24" s="6"/>
      <c r="D24" s="42">
        <v>17200</v>
      </c>
      <c r="E24" s="42">
        <v>0</v>
      </c>
      <c r="F24" s="42">
        <f t="shared" si="0"/>
        <v>17200</v>
      </c>
      <c r="G24" s="42"/>
      <c r="H24" s="43">
        <v>17200</v>
      </c>
      <c r="I24" s="44">
        <f t="shared" si="1"/>
        <v>1</v>
      </c>
      <c r="J24" s="42">
        <f t="shared" si="2"/>
        <v>0</v>
      </c>
      <c r="K24" s="41">
        <f t="shared" ref="K24:K37" si="3">0.05*H24</f>
        <v>860</v>
      </c>
    </row>
    <row r="25" spans="1:11" x14ac:dyDescent="0.25">
      <c r="A25" s="7" t="s">
        <v>62</v>
      </c>
      <c r="B25" s="7" t="s">
        <v>63</v>
      </c>
      <c r="C25" s="6"/>
      <c r="D25" s="42">
        <v>6400</v>
      </c>
      <c r="E25" s="42">
        <v>0</v>
      </c>
      <c r="F25" s="42">
        <f t="shared" si="0"/>
        <v>0</v>
      </c>
      <c r="G25" s="42"/>
      <c r="H25" s="43">
        <v>0</v>
      </c>
      <c r="I25" s="44">
        <f t="shared" si="1"/>
        <v>0</v>
      </c>
      <c r="J25" s="42">
        <f t="shared" si="2"/>
        <v>6400</v>
      </c>
      <c r="K25" s="41">
        <f>0.05*H25</f>
        <v>0</v>
      </c>
    </row>
    <row r="26" spans="1:11" x14ac:dyDescent="0.25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5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5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5">
      <c r="A29" s="7" t="s">
        <v>65</v>
      </c>
      <c r="B29" s="7" t="s">
        <v>73</v>
      </c>
      <c r="C29" s="6"/>
      <c r="D29" s="42">
        <v>1620</v>
      </c>
      <c r="E29" s="42">
        <v>0</v>
      </c>
      <c r="F29" s="42">
        <f>H29-E29</f>
        <v>1620</v>
      </c>
      <c r="G29" s="42"/>
      <c r="H29" s="43">
        <v>1620</v>
      </c>
      <c r="I29" s="44">
        <f>H29/D29</f>
        <v>1</v>
      </c>
      <c r="J29" s="42">
        <f>D29-H29</f>
        <v>0</v>
      </c>
      <c r="K29" s="41">
        <f>0.05*H29</f>
        <v>81</v>
      </c>
    </row>
    <row r="30" spans="1:11" x14ac:dyDescent="0.25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5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5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5">
      <c r="A33" s="7" t="s">
        <v>66</v>
      </c>
      <c r="B33" s="7" t="s">
        <v>75</v>
      </c>
      <c r="C33" s="6"/>
      <c r="D33" s="42">
        <v>1620</v>
      </c>
      <c r="E33" s="42">
        <v>0</v>
      </c>
      <c r="F33" s="42">
        <f>H33-E33</f>
        <v>1620</v>
      </c>
      <c r="G33" s="42"/>
      <c r="H33" s="43">
        <v>1620</v>
      </c>
      <c r="I33" s="44">
        <f>H33/D33</f>
        <v>1</v>
      </c>
      <c r="J33" s="42">
        <f>D33-H33</f>
        <v>0</v>
      </c>
      <c r="K33" s="41">
        <f t="shared" si="3"/>
        <v>81</v>
      </c>
    </row>
    <row r="34" spans="1:11" x14ac:dyDescent="0.25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5">
      <c r="A35" s="7" t="s">
        <v>67</v>
      </c>
      <c r="B35" s="7" t="s">
        <v>76</v>
      </c>
      <c r="C35" s="6"/>
      <c r="D35" s="42">
        <v>44100</v>
      </c>
      <c r="E35" s="42">
        <v>44100</v>
      </c>
      <c r="F35" s="42">
        <f>H35-E35</f>
        <v>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5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5">
      <c r="A37" s="7" t="s">
        <v>67</v>
      </c>
      <c r="B37" s="7" t="s">
        <v>78</v>
      </c>
      <c r="C37" s="6"/>
      <c r="D37" s="42">
        <v>1620</v>
      </c>
      <c r="E37" s="42">
        <v>0</v>
      </c>
      <c r="F37" s="42">
        <f>H37-E37</f>
        <v>1620</v>
      </c>
      <c r="G37" s="42"/>
      <c r="H37" s="43">
        <v>1620</v>
      </c>
      <c r="I37" s="44">
        <f>H37/D37</f>
        <v>1</v>
      </c>
      <c r="J37" s="42">
        <f>D37-H37</f>
        <v>0</v>
      </c>
      <c r="K37" s="41">
        <f t="shared" si="3"/>
        <v>81</v>
      </c>
    </row>
    <row r="38" spans="1:11" x14ac:dyDescent="0.25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5">
      <c r="A39" s="7" t="s">
        <v>69</v>
      </c>
      <c r="B39" s="7" t="s">
        <v>68</v>
      </c>
      <c r="C39" s="6"/>
      <c r="D39" s="42">
        <v>2860</v>
      </c>
      <c r="E39" s="42">
        <v>0</v>
      </c>
      <c r="F39" s="42">
        <f>H39-E39</f>
        <v>0</v>
      </c>
      <c r="G39" s="42"/>
      <c r="H39" s="43">
        <v>0</v>
      </c>
      <c r="I39" s="44">
        <f>H39/D39</f>
        <v>0</v>
      </c>
      <c r="J39" s="42">
        <f>D39-H39</f>
        <v>2860</v>
      </c>
      <c r="K39" s="41">
        <f>0.05*H39</f>
        <v>0</v>
      </c>
    </row>
    <row r="40" spans="1:11" x14ac:dyDescent="0.25">
      <c r="A40" s="7" t="s">
        <v>65</v>
      </c>
      <c r="B40" s="7" t="s">
        <v>81</v>
      </c>
      <c r="C40" s="6"/>
      <c r="D40" s="42">
        <v>25740</v>
      </c>
      <c r="E40" s="42">
        <v>0</v>
      </c>
      <c r="F40" s="42">
        <f>H40-E40</f>
        <v>0</v>
      </c>
      <c r="G40" s="42"/>
      <c r="H40" s="43">
        <v>0</v>
      </c>
      <c r="I40" s="44">
        <f>H40/D40</f>
        <v>0</v>
      </c>
      <c r="J40" s="42">
        <f>D40-H40</f>
        <v>25740</v>
      </c>
      <c r="K40" s="41">
        <f>0.05*H40</f>
        <v>0</v>
      </c>
    </row>
    <row r="41" spans="1:11" x14ac:dyDescent="0.25">
      <c r="A41" s="7" t="s">
        <v>66</v>
      </c>
      <c r="B41" s="7" t="s">
        <v>79</v>
      </c>
      <c r="C41" s="6"/>
      <c r="D41" s="42">
        <v>25740</v>
      </c>
      <c r="E41" s="42">
        <v>0</v>
      </c>
      <c r="F41" s="42">
        <f>H41-E41</f>
        <v>0</v>
      </c>
      <c r="G41" s="42"/>
      <c r="H41" s="43">
        <v>0</v>
      </c>
      <c r="I41" s="44">
        <f>H41/D41</f>
        <v>0</v>
      </c>
      <c r="J41" s="42">
        <f t="shared" ref="J41:J51" si="4">D41-H41</f>
        <v>25740</v>
      </c>
      <c r="K41" s="41">
        <f t="shared" ref="K41:K51" si="5">0.05*H41</f>
        <v>0</v>
      </c>
    </row>
    <row r="42" spans="1:11" x14ac:dyDescent="0.25">
      <c r="A42" s="7" t="s">
        <v>67</v>
      </c>
      <c r="B42" s="7" t="s">
        <v>80</v>
      </c>
      <c r="C42" s="6"/>
      <c r="D42" s="42">
        <v>25740</v>
      </c>
      <c r="E42" s="42">
        <v>0</v>
      </c>
      <c r="F42" s="42">
        <f>H42-E42</f>
        <v>0</v>
      </c>
      <c r="G42" s="42"/>
      <c r="H42" s="43">
        <v>0</v>
      </c>
      <c r="I42" s="44">
        <f>H42/D42</f>
        <v>0</v>
      </c>
      <c r="J42" s="42">
        <f t="shared" si="4"/>
        <v>25740</v>
      </c>
      <c r="K42" s="41">
        <f t="shared" si="5"/>
        <v>0</v>
      </c>
    </row>
    <row r="43" spans="1:11" x14ac:dyDescent="0.25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3.8" x14ac:dyDescent="0.25">
      <c r="A44" s="51" t="s">
        <v>21</v>
      </c>
      <c r="B44" s="52"/>
      <c r="C44" s="6"/>
      <c r="D44" s="38">
        <f>SUM(D16:D43)</f>
        <v>384900</v>
      </c>
      <c r="E44" s="38">
        <f>SUM(E16:E43)</f>
        <v>276180</v>
      </c>
      <c r="F44" s="38">
        <f>SUM(F16:F43)</f>
        <v>22240</v>
      </c>
      <c r="G44" s="38">
        <f>SUM(G16:G43)</f>
        <v>0</v>
      </c>
      <c r="H44" s="38">
        <f>SUM(H16:H43)</f>
        <v>298420</v>
      </c>
      <c r="I44" s="45"/>
      <c r="J44" s="38">
        <f>SUM(J16:J43)</f>
        <v>86480</v>
      </c>
      <c r="K44" s="38">
        <f>SUM(K16:K43)</f>
        <v>14921</v>
      </c>
    </row>
    <row r="45" spans="1:11" x14ac:dyDescent="0.25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5">
      <c r="A46" s="20" t="s">
        <v>41</v>
      </c>
      <c r="B46" s="20" t="s">
        <v>83</v>
      </c>
      <c r="C46" s="8"/>
      <c r="D46" s="42">
        <v>-1950</v>
      </c>
      <c r="E46" s="42">
        <v>-1950</v>
      </c>
      <c r="F46" s="42">
        <f t="shared" ref="F46:F51" si="6">H46-E46</f>
        <v>0</v>
      </c>
      <c r="G46" s="38"/>
      <c r="H46" s="43">
        <v>-1950</v>
      </c>
      <c r="I46" s="44">
        <f t="shared" ref="I46:I51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5">
      <c r="A47" s="20" t="s">
        <v>41</v>
      </c>
      <c r="B47" s="22" t="s">
        <v>84</v>
      </c>
      <c r="C47" s="6"/>
      <c r="D47" s="42">
        <v>4760</v>
      </c>
      <c r="E47" s="42">
        <v>0</v>
      </c>
      <c r="F47" s="42">
        <f t="shared" si="6"/>
        <v>0</v>
      </c>
      <c r="G47" s="42"/>
      <c r="H47" s="43">
        <v>0</v>
      </c>
      <c r="I47" s="44">
        <f t="shared" si="7"/>
        <v>0</v>
      </c>
      <c r="J47" s="42">
        <f t="shared" si="4"/>
        <v>4760</v>
      </c>
      <c r="K47" s="41">
        <f t="shared" si="5"/>
        <v>0</v>
      </c>
    </row>
    <row r="48" spans="1:11" x14ac:dyDescent="0.25">
      <c r="A48" s="20" t="s">
        <v>41</v>
      </c>
      <c r="B48" s="22" t="s">
        <v>85</v>
      </c>
      <c r="C48" s="6"/>
      <c r="D48" s="42">
        <v>-2856</v>
      </c>
      <c r="E48" s="42">
        <v>0</v>
      </c>
      <c r="F48" s="42">
        <f t="shared" si="6"/>
        <v>0</v>
      </c>
      <c r="G48" s="42"/>
      <c r="H48" s="43">
        <v>0</v>
      </c>
      <c r="I48" s="44">
        <f t="shared" si="7"/>
        <v>0</v>
      </c>
      <c r="J48" s="42">
        <f t="shared" si="4"/>
        <v>-2856</v>
      </c>
      <c r="K48" s="41">
        <f t="shared" si="5"/>
        <v>0</v>
      </c>
    </row>
    <row r="49" spans="1:11" x14ac:dyDescent="0.25">
      <c r="A49" s="20" t="s">
        <v>42</v>
      </c>
      <c r="B49" s="22" t="s">
        <v>86</v>
      </c>
      <c r="C49" s="6"/>
      <c r="D49" s="42">
        <v>5189</v>
      </c>
      <c r="E49" s="42">
        <v>0</v>
      </c>
      <c r="F49" s="42">
        <f t="shared" si="6"/>
        <v>5189</v>
      </c>
      <c r="G49" s="42"/>
      <c r="H49" s="43">
        <v>5189</v>
      </c>
      <c r="I49" s="44">
        <f t="shared" si="7"/>
        <v>1</v>
      </c>
      <c r="J49" s="42">
        <f t="shared" si="4"/>
        <v>0</v>
      </c>
      <c r="K49" s="41">
        <f t="shared" si="5"/>
        <v>259.45</v>
      </c>
    </row>
    <row r="50" spans="1:11" x14ac:dyDescent="0.25">
      <c r="A50" s="20" t="s">
        <v>43</v>
      </c>
      <c r="B50" s="22" t="s">
        <v>87</v>
      </c>
      <c r="C50" s="6"/>
      <c r="D50" s="42">
        <v>1056</v>
      </c>
      <c r="E50" s="42">
        <v>0</v>
      </c>
      <c r="F50" s="42">
        <f t="shared" si="6"/>
        <v>1056</v>
      </c>
      <c r="G50" s="42"/>
      <c r="H50" s="43">
        <v>1056</v>
      </c>
      <c r="I50" s="44">
        <f t="shared" si="7"/>
        <v>1</v>
      </c>
      <c r="J50" s="42">
        <f t="shared" si="4"/>
        <v>0</v>
      </c>
      <c r="K50" s="41">
        <f t="shared" si="5"/>
        <v>52.800000000000004</v>
      </c>
    </row>
    <row r="51" spans="1:11" x14ac:dyDescent="0.25">
      <c r="A51" s="21" t="s">
        <v>45</v>
      </c>
      <c r="B51" s="21"/>
      <c r="C51" s="21"/>
      <c r="D51" s="42">
        <v>0</v>
      </c>
      <c r="E51" s="42">
        <v>0</v>
      </c>
      <c r="F51" s="42">
        <f t="shared" si="6"/>
        <v>0</v>
      </c>
      <c r="G51" s="41"/>
      <c r="H51" s="43">
        <v>0</v>
      </c>
      <c r="I51" s="44" t="e">
        <f t="shared" si="7"/>
        <v>#DIV/0!</v>
      </c>
      <c r="J51" s="42">
        <f t="shared" si="4"/>
        <v>0</v>
      </c>
      <c r="K51" s="41">
        <f t="shared" si="5"/>
        <v>0</v>
      </c>
    </row>
    <row r="52" spans="1:11" ht="13.8" x14ac:dyDescent="0.25">
      <c r="A52" s="50">
        <f>SUM(D46:D51)</f>
        <v>6199</v>
      </c>
      <c r="B52" s="48" t="s">
        <v>22</v>
      </c>
      <c r="C52" s="49"/>
      <c r="D52" s="38">
        <f>SUM(D44:D51)</f>
        <v>391099</v>
      </c>
      <c r="E52" s="38">
        <f>SUM(E44:E51)</f>
        <v>274230</v>
      </c>
      <c r="F52" s="38">
        <f>SUM(F44:F51)</f>
        <v>28485</v>
      </c>
      <c r="G52" s="38">
        <f>SUM(G44:G51)</f>
        <v>0</v>
      </c>
      <c r="H52" s="38">
        <f>SUM(H44:H51)</f>
        <v>302715</v>
      </c>
      <c r="I52" s="45"/>
      <c r="J52" s="38">
        <f>SUM(J44:J51)</f>
        <v>88384</v>
      </c>
      <c r="K52" s="38">
        <f>SUM(K44:K51)</f>
        <v>15135.75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44:B44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0.25" right="0.25" top="0.75" bottom="0.7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2013-02-19T16:58:29Z</cp:lastPrinted>
  <dcterms:created xsi:type="dcterms:W3CDTF">2001-02-05T15:33:02Z</dcterms:created>
  <dcterms:modified xsi:type="dcterms:W3CDTF">2013-02-19T17:39:26Z</dcterms:modified>
</cp:coreProperties>
</file>