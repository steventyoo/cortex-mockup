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<sst xmlns="http://schemas.openxmlformats.org/spreadsheetml/2006/main" count="728" uniqueCount="484">
  <si>
    <t xml:space="preserve">Job #2009 · Chinn Greenwood Apartments</t>
  </si>
  <si>
    <t xml:space="preserve">Cortex JCR Summary  •  Chinn Construction, LLC  •  Seattle, WA  •  168-unit apartment building  •  Jul 2012 – Oct 2013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</si>
  <si>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</si>
  <si>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</si>
  <si>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</si>
  <si>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</si>
  <si>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$394,208</t>
  </si>
  <si>
    <t xml:space="preserve">$106,309</t>
  </si>
  <si>
    <t xml:space="preserve">$287,899</t>
  </si>
  <si>
    <t xml:space="preserve">4,116</t>
  </si>
  <si>
    <t xml:space="preserve">Original $385k (+9k COs)</t>
  </si>
  <si>
    <t xml:space="preserve">27.0% margin</t>
  </si>
  <si>
    <t xml:space="preserve">73.0% of revenue</t>
  </si>
  <si>
    <t xml:space="preserve">23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</si>
  <si>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</si>
  <si>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</si>
  <si>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</si>
  <si>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</si>
  <si>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</si>
  <si>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</si>
  <si>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</si>
  <si>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</si>
  <si>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</si>
  <si>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</si>
  <si>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</si>
  <si>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</si>
  <si>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</si>
  <si>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</si>
  <si>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</si>
  <si>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</si>
  <si>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168</t>
  </si>
  <si>
    <t xml:space="preserve">Water Closets</t>
  </si>
  <si>
    <t xml:space="preserve">140</t>
  </si>
  <si>
    <t xml:space="preserve">Kitchen Sinks</t>
  </si>
  <si>
    <t xml:space="preserve">Total Fixtures</t>
  </si>
  <si>
    <t xml:space="preserve">812</t>
  </si>
  <si>
    <t xml:space="preserve">Lavatories</t>
  </si>
  <si>
    <t xml:space="preserve">56</t>
  </si>
  <si>
    <t xml:space="preserve">Showers</t>
  </si>
  <si>
    <t xml:space="preserve">0</t>
  </si>
  <si>
    <t xml:space="preserve">Fixtures / Unit</t>
  </si>
  <si>
    <t xml:space="preserve">4.83</t>
  </si>
  <si>
    <t xml:space="preserve">Tubs</t>
  </si>
  <si>
    <t xml:space="preserve">224</t>
  </si>
  <si>
    <t xml:space="preserve">Auto Washers</t>
  </si>
  <si>
    <t xml:space="preserve">Stacks</t>
  </si>
  <si>
    <t xml:space="preserve">19</t>
  </si>
  <si>
    <t xml:space="preserve">Duration</t>
  </si>
  <si>
    <t xml:space="preserve">16 mo</t>
  </si>
  <si>
    <t xml:space="preserve">Cost Codes Used</t>
  </si>
  <si>
    <t xml:space="preserve">28</t>
  </si>
  <si>
    <t xml:space="preserve">SOURCES</t>
  </si>
  <si>
    <t xml:space="preserve">Job #2009 — Chinn Greenwood Apartments  •  GC: Chinn Construction, LLC  •  Seattle, WA</t>
  </si>
  <si>
    <t xml:space="preserve">Canonical source: 2009 Job Detail Report.pdf (49 pages, OWP Sage Timberline export)</t>
  </si>
  <si>
    <t xml:space="preserve">Unit + fixture counts: greenwood h20 stacks.xls &amp; greenwood waste stacks.xls</t>
  </si>
  <si>
    <t xml:space="preserve">Apartment building: 140 WCs, 56 lavs, 168 kitchen sinks across ~18 floors + LW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</si>
  <si>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</si>
  <si>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</si>
  <si>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</si>
  <si>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</si>
  <si>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</si>
  <si>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</si>
  <si>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</si>
  <si>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011</t>
  </si>
  <si>
    <t xml:space="preserve">DS &amp; RD 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</si>
  <si>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</si>
  <si>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</si>
  <si>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</si>
  <si>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</si>
  <si>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</si>
  <si>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</si>
  <si>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</si>
  <si>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</si>
  <si>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</si>
  <si>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</si>
  <si>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</si>
  <si>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</si>
  <si>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</si>
  <si>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</si>
  <si>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</si>
  <si>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</si>
  <si>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</si>
  <si>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</si>
  <si>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145</t>
  </si>
  <si>
    <t xml:space="preserve">Tub/Shower Labor</t>
  </si>
  <si>
    <t xml:space="preserve">150</t>
  </si>
  <si>
    <t xml:space="preserve">Warranty Labor</t>
  </si>
  <si>
    <t xml:space="preserve">MATERIAL</t>
  </si>
  <si>
    <t xml:space="preserve">039</t>
  </si>
  <si>
    <t xml:space="preserve">DS &amp; RD 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</si>
  <si>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</si>
  <si>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</si>
  <si>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</si>
  <si>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</si>
  <si>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</si>
  <si>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</si>
  <si>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</si>
  <si>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</si>
  <si>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</si>
  <si>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</si>
  <si>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</si>
  <si>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</si>
  <si>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</si>
  <si>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</si>
  <si>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245</t>
  </si>
  <si>
    <t xml:space="preserve">Tub/Shower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</si>
  <si>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</si>
  <si>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</si>
  <si>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</si>
  <si>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</si>
  <si>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</si>
  <si>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</si>
  <si>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</si>
  <si>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</si>
  <si>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</si>
  <si>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</si>
  <si>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</si>
  <si>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</si>
  <si>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</si>
  <si>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</si>
  <si>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</si>
  <si>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Total codes parsed: 28. All cost code actuals sum to exactly $287,899 (JCR Job Totals Expenses line).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</si>
  <si>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</si>
  <si>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</si>
  <si>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</si>
  <si>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</si>
  <si>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</si>
  <si>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</si>
  <si>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</si>
  <si>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</si>
  <si>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</si>
  <si>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</si>
  <si>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Overrun/savings calculated vs Revised Budget (post-CO). Thresholds filter out trivial (&lt;$100) differences.</t>
  </si>
  <si>
    <t xml:space="preserve">Material Spend Analysis</t>
  </si>
  <si>
    <t xml:space="preserve">11 material cost codes  •  $151,064 total spend  •  13 AP vendors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</si>
  <si>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</si>
  <si>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</si>
  <si>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</si>
  <si>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</si>
  <si>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</si>
  <si>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</si>
  <si>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</si>
  <si>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</si>
  <si>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</si>
  <si>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</si>
  <si>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Mechanical Sales, Inc.</t>
  </si>
  <si>
    <t xml:space="preserve">Keller Supply Company</t>
  </si>
  <si>
    <t xml:space="preserve">Franklin Engineering</t>
  </si>
  <si>
    <t xml:space="preserve">Mickelo Construction LLC</t>
  </si>
  <si>
    <t xml:space="preserve">Quality Concrete Products, Inc.</t>
  </si>
  <si>
    <t xml:space="preserve">Rosen Supply Company, Inc.</t>
  </si>
  <si>
    <t xml:space="preserve">Ferguson Enterprises, Inc. #3007</t>
  </si>
  <si>
    <t xml:space="preserve">Bank of America CC</t>
  </si>
  <si>
    <t xml:space="preserve">Capital One Credit Card</t>
  </si>
  <si>
    <t xml:space="preserve">R.A. Brown Backflow Testing</t>
  </si>
  <si>
    <t xml:space="preserve">C.M. Hoskins Company</t>
  </si>
  <si>
    <t xml:space="preserve">DRSi</t>
  </si>
  <si>
    <t xml:space="preserve">Vendor AP ties exactly to JCR 'by Source: AP: $158,779.15' line.</t>
  </si>
  <si>
    <t xml:space="preserve">Ferguson Enterprises is by far the dominant supplier (73% of all AP), followed by Mech Sales and Keller Supply.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</si>
  <si>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</si>
  <si>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</si>
  <si>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</si>
  <si>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</si>
  <si>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</si>
  <si>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</si>
  <si>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Quintanilla, Esteban R</t>
  </si>
  <si>
    <t xml:space="preserve">Mid</t>
  </si>
  <si>
    <t xml:space="preserve">Sanders, Allen O</t>
  </si>
  <si>
    <t xml:space="preserve">Mazil, Antonio</t>
  </si>
  <si>
    <t xml:space="preserve">Apprentice</t>
  </si>
  <si>
    <t xml:space="preserve">Castro Hernandez, Carlos E</t>
  </si>
  <si>
    <t xml:space="preserve">Palma Vides, Hugo</t>
  </si>
  <si>
    <t xml:space="preserve">Ramirez, Lorenzo A</t>
  </si>
  <si>
    <t xml:space="preserve">Castro Hernandez, Jose A</t>
  </si>
  <si>
    <t xml:space="preserve">Arreola, Israel A</t>
  </si>
  <si>
    <t xml:space="preserve">Soto Cruz, Jovani</t>
  </si>
  <si>
    <t xml:space="preserve">Cortes Mendiola, Victor H</t>
  </si>
  <si>
    <t xml:space="preserve">Meza Fuentes, Erick A</t>
  </si>
  <si>
    <t xml:space="preserve">Gerard, Jeffrey S</t>
  </si>
  <si>
    <t xml:space="preserve">Senior</t>
  </si>
  <si>
    <t xml:space="preserve">Waites, Thaddeus Z</t>
  </si>
  <si>
    <t xml:space="preserve">Barnhart, Joseph N</t>
  </si>
  <si>
    <t xml:space="preserve">Paco Leyva, Orlando</t>
  </si>
  <si>
    <t xml:space="preserve">Veley, Nathaniel S</t>
  </si>
  <si>
    <t xml:space="preserve">McCabe, Thomas C</t>
  </si>
  <si>
    <t xml:space="preserve">Reed, Reuben H</t>
  </si>
  <si>
    <t xml:space="preserve">Sepulveda Gonzalez, Alfredo</t>
  </si>
  <si>
    <t xml:space="preserve">Soto Serna, Cesar E</t>
  </si>
  <si>
    <t xml:space="preserve">Hubbard, Robert W</t>
  </si>
  <si>
    <t xml:space="preserve">Lima Romero, Melvin A</t>
  </si>
  <si>
    <t xml:space="preserve">Hubbard, Dustin R</t>
  </si>
  <si>
    <t xml:space="preserve">TOTAL (23 workers)</t>
  </si>
  <si>
    <t xml:space="preserve">PR transactions parsed from JCR. Tier: Apprentice &lt;$18/hr, Mid $18–30, Senior &gt;$30</t>
  </si>
  <si>
    <t xml:space="preserve">Worker hours (4,204) slightly differ from code-rollup hours (4,116) due to OT row split in PDF.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</si>
  <si>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</si>
  <si>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</si>
  <si>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</si>
  <si>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</si>
  <si>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</si>
  <si>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</si>
  <si>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</si>
  <si>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</si>
  <si>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</si>
  <si>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</si>
  <si>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</si>
  <si>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</si>
  <si>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</si>
  <si>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</si>
  <si>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</si>
  <si>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</si>
  <si>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</si>
  <si>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Burden multiplier uses JCR codes 995 (Payroll Burden) + 998 (Payroll Taxes) added to labor.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</si>
  <si>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</si>
  <si>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</si>
  <si>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</si>
  <si>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</si>
  <si>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</si>
  <si>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</si>
  <si>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DS &amp; RD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</si>
  <si>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</si>
  <si>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</si>
  <si>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</si>
  <si>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</si>
  <si>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</si>
  <si>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</si>
  <si>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Water Main / Insulation</t>
  </si>
  <si>
    <t xml:space="preserve">Mech Room</t>
  </si>
  <si>
    <t xml:space="preserve">Tub / Shower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</si>
  <si>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</si>
  <si>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</si>
  <si>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</si>
  <si>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</si>
  <si>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</si>
  <si>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</si>
  <si>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</si>
  <si>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</si>
  <si>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</si>
  <si>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</si>
  <si>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</si>
  <si>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</si>
  <si>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</si>
  <si>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</si>
  <si>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</si>
  <si>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</si>
  <si>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</si>
  <si>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</si>
  <si>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</si>
  <si>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</si>
  <si>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</si>
  <si>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</si>
  <si>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Per-unit and per-fixture metrics are the canonical cross-job benchmarks.</t>
  </si>
  <si>
    <t xml:space="preserve">Purchase Order Commitments</t>
  </si>
  <si>
    <t xml:space="preserve">49 POs  •  Total committed $154,025  •  102% of material</t>
  </si>
  <si>
    <t xml:space="preserve">A. COMMITMENTS BY COST CODE</t>
  </si>
  <si>
    <t xml:space="preserve">OWP Code</t>
  </si>
  <si>
    <t xml:space="preserve">Description → JCR</t>
  </si>
  <si>
    <t xml:space="preserve">PO Count</t>
  </si>
  <si>
    <t xml:space="preserve">PO Committed</t>
  </si>
  <si>
    <t xml:space="preserve">JCR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</si>
  <si>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</si>
  <si>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</si>
  <si>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</si>
  <si>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</si>
  <si>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</si>
  <si>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</si>
  <si>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34</t>
  </si>
  <si>
    <t xml:space="preserve">111+211 Garage</t>
  </si>
  <si>
    <t xml:space="preserve">35</t>
  </si>
  <si>
    <t xml:space="preserve">112+212 Canout</t>
  </si>
  <si>
    <t xml:space="preserve">39</t>
  </si>
  <si>
    <t xml:space="preserve">011+039 DS &amp; RD</t>
  </si>
  <si>
    <t xml:space="preserve">40</t>
  </si>
  <si>
    <t xml:space="preserve">141+241 Water Main/Ins</t>
  </si>
  <si>
    <t xml:space="preserve">B. PO COVERAGE ANALYSIS</t>
  </si>
  <si>
    <t xml:space="preserve">Total Material Actual (JCR)</t>
  </si>
  <si>
    <t xml:space="preserve">Total PO Committed</t>
  </si>
  <si>
    <t xml:space="preserve">PO Coverage %</t>
  </si>
  <si>
    <t xml:space="preserve">Uncommitted (direct AP)</t>
  </si>
  <si>
    <t xml:space="preserve">PO source: '2009-Chinn, Greenwood/PO Scheduled/' (49 PO files)</t>
  </si>
  <si>
    <t xml:space="preserve">PO coverage at 102% of material spend.</t>
  </si>
  <si>
    <t xml:space="preserve">Revenue &amp; Billing Reconciliation</t>
  </si>
  <si>
    <t xml:space="preserve">12 pay applications  •  Original contract $384,900  •  Net COs +9,308 = Final $394,208</t>
  </si>
  <si>
    <t xml:space="preserve">A. CONTRACT SUMMARY &amp; CHANGE ORDERS</t>
  </si>
  <si>
    <t xml:space="preserve">Original Contract</t>
  </si>
  <si>
    <t xml:space="preserve">  CO at pay app #1 (Additive)</t>
  </si>
  <si>
    <t xml:space="preserve">  CO at pay app #10 (Additive)</t>
  </si>
  <si>
    <t xml:space="preserve">  CO at pay app #11 (Additive)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</si>
  <si>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</si>
  <si>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</si>
  <si>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</si>
  <si>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</si>
  <si>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</si>
  <si>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Contract</t>
  </si>
  <si>
    <t xml:space="preserve">Billed To Date</t>
  </si>
  <si>
    <t xml:space="preserve">% Complete</t>
  </si>
  <si>
    <t xml:space="preserve">Retainage</t>
  </si>
  <si>
    <t xml:space="preserve">This Period</t>
  </si>
  <si>
    <t xml:space="preserve">Source: '2009-Chinn, Greenwood/greenwood billing/' (12 monthly billing summaries + aggregate)</t>
  </si>
  <si>
    <t xml:space="preserve">CO schedule derived from contract-value deltas between sequential pay apps.</t>
  </si>
  <si>
    <t xml:space="preserve">Key Insights — Job #2009 Chinn Greenwood</t>
  </si>
  <si>
    <t xml:space="preserve">Narrative observations distilled from the full JCR analysis</t>
  </si>
  <si>
    <t xml:space="preserve">SOLID MARGIN</t>
  </si>
  <si>
    <t xml:space="preserve">Net profit of $106,309 on $394,208 revenue = 27.0% gross margin. Comparable to 2011/2012 base profile — a healthy, on-the-money apartment project.</t>
  </si>
  <si>
    <t xml:space="preserve">FERGUSON DOMINANCE</t>
  </si>
  <si>
    <t xml:space="preserve">Ferguson Enterprises alone = $115,565 (73% of all AP) across 65 invoices. Top 3 vendors (Ferguson, Mech Sales, Keller) = 93% of material spend — extreme single-supplier concentration.</t>
  </si>
  <si>
    <t xml:space="preserve">LIGHT CREW</t>
  </si>
  <si>
    <t xml:space="preserve">23 workers for 4,116 hours = 179 avg hrs/worker. Top 3 workers (Quintanilla, Sanders, Mazil) logged ~1,458 hrs combined (35% of all labor).</t>
  </si>
  <si>
    <t xml:space="preserve">ROUGHIN-DOMINANT</t>
  </si>
  <si>
    <t xml:space="preserve">Code 120 Roughin Labor = 2,311 hrs (~56% of all labor) and $46,114 actual. Code 230 Finish Material = $109,976 dwarfs every other line item — 38% of total cost.</t>
  </si>
  <si>
    <t xml:space="preserve">ON-BUDGET DELIVERY</t>
  </si>
  <si>
    <t xml:space="preserve">Revised budget was $324,090; actual direct cost $287,899 → $36,191 variance. Tight estimating discipline with minor overruns on Roughin Labor ($8,584 over).</t>
  </si>
  <si>
    <t xml:space="preserve">MODEST CONTRACT GROWTH</t>
  </si>
  <si>
    <t xml:space="preserve">Contract grew from $384,900 to $394,208 — net +$9,308 (~2.4%). A retention release at the tail end accounts for the final $19,710.</t>
  </si>
  <si>
    <t xml:space="preserve">HIGH PO DISCIPLINE</t>
  </si>
  <si>
    <t xml:space="preserve">PO coverage = 102% of material spend across 49 POs ($154,025). Most POs flow through Ferguson — a single-vendor procurement strategy.</t>
  </si>
  <si>
    <t xml:space="preserve">SHORT, FOCUSED PROJECT</t>
  </si>
  <si>
    <t xml:space="preserve">~16 months from Jul 2012 to Oct 2013. At 257 hours/month, this is a moderate-intensity build relative to 2011/2012.</t>
  </si>
  <si>
    <t xml:space="preserve">APARTMENT FIXTURE PROFILE</t>
  </si>
  <si>
    <t xml:space="preserve">140 WCs, 56 lavs, 168 kitchen sinks, 224 tubs. Standard ~4 fixtures/unit — straightforward apartment plumbing.</t>
  </si>
  <si>
    <t xml:space="preserve">SMOOTH BILLING</t>
  </si>
  <si>
    <t xml:space="preserve">12 pay apps spread across ~16 months. Peak billing in Oct-Nov 2012 ($200K combined) aligned with the Roughin phase.</t>
  </si>
  <si>
    <t xml:space="preserve">SMALLEST OWP JOB IN SET</t>
  </si>
  <si>
    <t xml:space="preserve">At $394,208 revenue this is the smallest of the 4 projects (vs $568K/$1.39M/$1.39M for 2011/2010/2012). Useful as a baseline for OWP's small-project economics.</t>
  </si>
  <si>
    <t xml:space="preserve">BURDEN RATIO</t>
  </si>
  <si>
    <t xml:space="preserve">Burden codes 995 + 998 = $40,891 on $84,698 labor base = 48.3%. In line with OWP's typical 48-50% labor burden.</t>
  </si>
  <si>
    <t xml:space="preserve">BIGGEST QUESTION</t>
  </si>
  <si>
    <t xml:space="preserve">This is OWP's smallest project in the benchmark set at $394,208 revenue and 27.0% margin. Is the 27.0% margin sustainable on small jobs, or is it inflated by the heavy reliance on a single supplier (Ferguson 73%) that may have offered preferred pricing? Replicating this concentration on future small apartments would test the model.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</si>
  <si>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</si>
  <si>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</si>
  <si>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</si>
  <si>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</si>
  <si>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</si>
  <si>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</si>
  <si>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2009</t>
  </si>
  <si>
    <t xml:space="preserve">Profile</t>
  </si>
  <si>
    <t xml:space="preserve">OWP job ID</t>
  </si>
  <si>
    <t xml:space="preserve">Job Name</t>
  </si>
  <si>
    <t xml:space="preserve">job_name</t>
  </si>
  <si>
    <t xml:space="preserve">Chinn Greenwood Apartments</t>
  </si>
  <si>
    <t xml:space="preserve">General Contractor</t>
  </si>
  <si>
    <t xml:space="preserve">general_contractor</t>
  </si>
  <si>
    <t xml:space="preserve">Chinn Construction, LLC</t>
  </si>
  <si>
    <t xml:space="preserve">Location</t>
  </si>
  <si>
    <t xml:space="preserve">location</t>
  </si>
  <si>
    <t xml:space="preserve">Seattle, WA</t>
  </si>
  <si>
    <t xml:space="preserve">Project Type</t>
  </si>
  <si>
    <t xml:space="preserve">project_type</t>
  </si>
  <si>
    <t xml:space="preserve">Apartment Building</t>
  </si>
  <si>
    <t xml:space="preserve">Multi-floor residential</t>
  </si>
  <si>
    <t xml:space="preserve">Duration (months)</t>
  </si>
  <si>
    <t xml:space="preserve">duration_months</t>
  </si>
  <si>
    <t xml:space="preserve">Jul 2012 – Oct 2013</t>
  </si>
  <si>
    <t xml:space="preserve">Unit Count</t>
  </si>
  <si>
    <t xml:space="preserve">unit_count</t>
  </si>
  <si>
    <t xml:space="preserve">Per stack takeoff (WC count)</t>
  </si>
  <si>
    <t xml:space="preserve">total_fixtures</t>
  </si>
  <si>
    <t xml:space="preserve">WC+LAV+TUB+SHOW+KS+AW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</si>
  <si>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</si>
  <si>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</si>
  <si>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</si>
  <si>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</si>
  <si>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</si>
  <si>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</si>
  <si>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</si>
  <si>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deductive COs</t>
  </si>
  <si>
    <t xml:space="preserve">Change Orders ($)</t>
  </si>
  <si>
    <t xml:space="preserve">change_orders</t>
  </si>
  <si>
    <t xml:space="preserve">Net deductive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</si>
  <si>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</si>
  <si>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</si>
  <si>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</si>
  <si>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</si>
  <si>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</si>
  <si>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</si>
  <si>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</si>
  <si>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</si>
  <si>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</si>
  <si>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15 labor codes</t>
  </si>
  <si>
    <t xml:space="preserve">Material Cost</t>
  </si>
  <si>
    <t xml:space="preserve">material_cost</t>
  </si>
  <si>
    <t xml:space="preserve">Sum of 11 material codes</t>
  </si>
  <si>
    <t xml:space="preserve">Overhead Cost</t>
  </si>
  <si>
    <t xml:space="preserve">overhead_cost</t>
  </si>
  <si>
    <t xml:space="preserve">Subcontractor + Engineering + Permits + Rental</t>
  </si>
  <si>
    <t xml:space="preserve">Burden Cost</t>
  </si>
  <si>
    <t xml:space="preserve">burden_cost</t>
  </si>
  <si>
    <t xml:space="preserve">Payroll burden + taxes (995, 998)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</si>
  <si>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</si>
  <si>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</si>
  <si>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</si>
  <si>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</si>
  <si>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</si>
  <si>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</si>
  <si>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</si>
  <si>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</si>
  <si>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</si>
  <si>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</si>
  <si>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</si>
  <si>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</si>
  <si>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</si>
  <si>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</si>
  <si>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</si>
  <si>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</si>
  <si>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</si>
  <si>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</si>
  <si>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</si>
  <si>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</si>
  <si>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</si>
  <si>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</si>
  <si>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</si>
  <si>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</si>
  <si>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JCR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</si>
  <si>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</si>
  <si>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</si>
  <si>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</si>
  <si>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</si>
  <si>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</si>
  <si>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</si>
  <si>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</si>
  <si>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</si>
  <si>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</si>
  <si>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</si>
  <si>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</si>
  <si>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</si>
  <si>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</si>
  <si>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</si>
  <si>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</si>
  <si>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</si>
  <si>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</si>
  <si>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</si>
  <si>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</si>
  <si>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</si>
  <si>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</si>
  <si>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</si>
  <si>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</si>
  <si>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</si>
  <si>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</si>
  <si>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</si>
  <si>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</si>
  <si>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</si>
  <si>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</si>
  <si>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</si>
  <si>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</si>
  <si>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</si>
  <si>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</si>
  <si>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</si>
  <si>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Ferguson Enterprises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</si>
  <si>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</si>
  <si>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</si>
  <si>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</si>
  <si>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</si>
  <si>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po_committed</t>
  </si>
  <si>
    <t xml:space="preserve">po_coverage_pct</t>
  </si>
  <si>
    <t xml:space="preserve">51 KPIs with snake_case data_name identifiers for database ingestion.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</si>
  <si>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</si>
  <si>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</si>
  <si>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</si>
  <si>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</si>
  <si>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Δ</t>
  </si>
  <si>
    <t xml:space="preserve">Status</t>
  </si>
  <si>
    <t xml:space="preserve">A. JCR COST CODE ROLLUP</t>
  </si>
  <si>
    <t xml:space="preserve">Labor subtotal (15 codes)</t>
  </si>
  <si>
    <t xml:space="preserve">TIES</t>
  </si>
  <si>
    <t xml:space="preserve">Material subtotal (11 codes)</t>
  </si>
  <si>
    <t xml:space="preserve">Overhead subtotal (5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</si>
  <si>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</si>
  <si>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</si>
  <si>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</si>
  <si>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</si>
  <si>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</si>
  <si>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JCR Cost Code hours (Payroll Hours lines)</t>
  </si>
  <si>
    <t xml:space="preserve">Per-worker hours (sum of PR Regular+OT)</t>
  </si>
  <si>
    <t xml:space="preserve">C. BILLING (SOV) ↔ JCR</t>
  </si>
  <si>
    <t xml:space="preserve">Final Contract (SOV #13)</t>
  </si>
  <si>
    <t xml:space="preserve">Final Billed to Date (SOV #13)</t>
  </si>
  <si>
    <t xml:space="preserve">Final Retainage (SOV #13)</t>
  </si>
  <si>
    <t xml:space="preserve">Original Contract + Net COs = Final</t>
  </si>
  <si>
    <t xml:space="preserve">D. VENDOR AP ↔ JCR</t>
  </si>
  <si>
    <t xml:space="preserve">Vendor AP total (sum of invoices)</t>
  </si>
  <si>
    <t xml:space="preserve">E. PO COVERAGE</t>
  </si>
  <si>
    <t xml:space="preserve">PARTIAL</t>
  </si>
  <si>
    <t xml:space="preserve">  PO coverage: 102.0% of material spend had a PO</t>
  </si>
  <si>
    <t xml:space="preserve">TIES = within $1 or 5 hrs  •  WITHIN = small data drift  •  OFF = investigate</t>
  </si>
  <si>
    <t xml:space="preserve">All 'Expected' values are the canonical JCR numbers parsed directly from the PDF.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</si>
</sst>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"/>
    <numFmt numFmtId="166" formatCode="\$#,##0;[RED]&quot;-$&quot;#,##0"/>
    <numFmt numFmtId="167" formatCode="0.0%"/>
    <numFmt numFmtId="168" formatCode="#,##0"/>
    <numFmt numFmtId="169" formatCode="\+0.0%"/>
    <numFmt numFmtId="170" formatCode="\-0.0%"/>
    <numFmt numFmtId="171" formatCode="\$#,##0.00"/>
    <numFmt numFmtId="172" formatCode="0.00\x"/>
    <numFmt numFmtId="173" formatCode="#,##0&quot; hrs&quot;"/>
    <numFmt numFmtId="174" formatCode="0.00&quot; hrs&quot;"/>
    <numFmt numFmtId="175" formatCode="#,##0.00"/>
    <numFmt numFmtId="176" formatCode="0"/>
    <numFmt numFmtId="177" formatCode="0.00"/>
    <numFmt numFmtId="178" formatCode="#,##0;[RED]\-#,##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2E2E2E"/>
      <name val="Inter"/>
      <family val="0"/>
      <charset val="1"/>
    </font>
    <font>
      <sz val="11"/>
      <color rgb="FF787878"/>
      <name val="Inter"/>
      <family val="0"/>
      <charset val="1"/>
    </font>
    <font>
      <b val="true"/>
      <sz val="9"/>
      <color rgb="FF14532D"/>
      <name val="Inter"/>
      <family val="0"/>
      <charset val="1"/>
    </font>
    <font>
      <b val="true"/>
      <sz val="9"/>
      <color rgb="FF1E3A8A"/>
      <name val="Inter"/>
      <family val="0"/>
      <charset val="1"/>
    </font>
    <font>
      <b val="true"/>
      <sz val="9"/>
      <color rgb="FF5B21B6"/>
      <name val="Inter"/>
      <family val="0"/>
      <charset val="1"/>
    </font>
    <font>
      <b val="true"/>
      <sz val="18"/>
      <color rgb="FF2E2E2E"/>
      <name val="Inter"/>
      <family val="0"/>
      <charset val="1"/>
    </font>
    <font>
      <i val="true"/>
      <sz val="9"/>
      <color rgb="FF787878"/>
      <name val="Inter"/>
      <family val="0"/>
      <charset val="1"/>
    </font>
    <font>
      <b val="true"/>
      <sz val="12"/>
      <color rgb="FF2E2E2E"/>
      <name val="Inter"/>
      <family val="0"/>
      <charset val="1"/>
    </font>
    <font>
      <b val="true"/>
      <sz val="10"/>
      <color rgb="FF2E2E2E"/>
      <name val="Inter"/>
      <family val="0"/>
      <charset val="1"/>
    </font>
    <font>
      <sz val="10"/>
      <color rgb="FF2E2E2E"/>
      <name val="Inter"/>
      <family val="0"/>
      <charset val="1"/>
    </font>
    <font>
      <b val="true"/>
      <sz val="9"/>
      <color rgb="FF64473A"/>
      <name val="Inter"/>
      <family val="0"/>
      <charset val="1"/>
    </font>
    <font>
      <b val="true"/>
      <sz val="9"/>
      <color rgb="FF4A4A4A"/>
      <name val="Inter"/>
      <family val="0"/>
      <charset val="1"/>
    </font>
    <font>
      <b val="true"/>
      <sz val="9"/>
      <color rgb="FF78350F"/>
      <name val="Inter"/>
      <family val="0"/>
      <charset val="1"/>
    </font>
    <font>
      <sz val="10"/>
      <color rgb="FF787878"/>
      <name val="Inter"/>
      <family val="0"/>
      <charset val="1"/>
    </font>
    <font>
      <b val="true"/>
      <sz val="9"/>
      <color rgb="FF787878"/>
      <name val="Inter"/>
      <family val="0"/>
      <charset val="1"/>
    </font>
    <font>
      <i val="true"/>
      <sz val="9"/>
      <color rgb="FF9A9A9A"/>
      <name val="Inter"/>
      <family val="0"/>
      <charset val="1"/>
    </font>
    <font>
      <b val="true"/>
      <sz val="10"/>
      <color rgb="FF1E3A8A"/>
      <name val="Inter"/>
      <family val="0"/>
      <charset val="1"/>
    </font>
    <font>
      <b val="true"/>
      <sz val="10"/>
      <color rgb="FF64473A"/>
      <name val="Inter"/>
      <family val="0"/>
      <charset val="1"/>
    </font>
    <font>
      <b val="true"/>
      <sz val="10"/>
      <color rgb="FF4A4A4A"/>
      <name val="Inter"/>
      <family val="0"/>
      <charset val="1"/>
    </font>
    <font>
      <b val="true"/>
      <sz val="10"/>
      <color rgb="FF78350F"/>
      <name val="Inter"/>
      <family val="0"/>
      <charset val="1"/>
    </font>
    <font>
      <b val="true"/>
      <sz val="11"/>
      <color rgb="FF2E2E2E"/>
      <name val="Inter"/>
      <family val="0"/>
      <charset val="1"/>
    </font>
    <font>
      <b val="true"/>
      <sz val="11"/>
      <color rgb="FF1E3A8A"/>
      <name val="Inter"/>
      <family val="0"/>
      <charset val="1"/>
    </font>
    <font>
      <b val="true"/>
      <sz val="11"/>
      <color rgb="FF9B2C2C"/>
      <name val="Inter"/>
      <family val="0"/>
      <charset val="1"/>
    </font>
    <font>
      <b val="true"/>
      <sz val="11"/>
      <color rgb="FF14532D"/>
      <name val="Inter"/>
      <family val="0"/>
      <charset val="1"/>
    </font>
    <font>
      <i val="true"/>
      <sz val="10"/>
      <color rgb="FF787878"/>
      <name val="Inter"/>
      <family val="0"/>
      <charset val="1"/>
    </font>
    <font>
      <b val="true"/>
      <sz val="11"/>
      <color rgb="FF64473A"/>
      <name val="Inter"/>
      <family val="0"/>
      <charset val="1"/>
    </font>
    <font>
      <b val="true"/>
      <sz val="11"/>
      <color rgb="FF5B21B6"/>
      <name val="Inter"/>
      <family val="0"/>
      <charset val="1"/>
    </font>
    <font>
      <sz val="10"/>
      <color rgb="FF14532D"/>
      <name val="Inter"/>
      <family val="0"/>
      <charset val="1"/>
    </font>
    <font>
      <sz val="10"/>
      <color rgb="FF78350F"/>
      <name val="Inter"/>
      <family val="0"/>
      <charset val="1"/>
    </font>
    <font>
      <b val="true"/>
      <sz val="10"/>
      <color rgb="FF14532D"/>
      <name val="Inter"/>
      <family val="0"/>
      <charset val="1"/>
    </font>
    <font>
      <i val="true"/>
      <sz val="10"/>
      <color rgb="FF2E2E2E"/>
      <name val="Inter"/>
      <family val="0"/>
      <charset val="1"/>
    </font>
    <font>
      <sz val="9"/>
      <color rgb="FF787878"/>
      <name val="Inter"/>
      <family val="0"/>
      <charset val="1"/>
    </font>
    <font>
      <b val="true"/>
      <sz val="11"/>
      <color rgb="FF78350F"/>
      <name val="Inter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CFCE7"/>
        <bgColor rgb="FFF1F1F0"/>
      </patternFill>
    </fill>
    <fill>
      <patternFill patternType="solid">
        <fgColor rgb="FFDBEAFE"/>
        <bgColor rgb="FFEAEAEA"/>
      </patternFill>
    </fill>
    <fill>
      <patternFill patternType="solid">
        <fgColor rgb="FFE9D5FF"/>
        <bgColor rgb="FFEAEAEA"/>
      </patternFill>
    </fill>
    <fill>
      <patternFill patternType="solid">
        <fgColor rgb="FFFFFFFF"/>
        <bgColor rgb="FFF7F6F3"/>
      </patternFill>
    </fill>
    <fill>
      <patternFill patternType="solid">
        <fgColor rgb="FFF7F6F3"/>
        <bgColor rgb="FFF1F1F0"/>
      </patternFill>
    </fill>
    <fill>
      <patternFill patternType="solid">
        <fgColor rgb="FFF1E8DE"/>
        <bgColor rgb="FFEAEAEA"/>
      </patternFill>
    </fill>
    <fill>
      <patternFill patternType="solid">
        <fgColor rgb="FFF1F1F0"/>
        <bgColor rgb="FFF7F6F3"/>
      </patternFill>
    </fill>
    <fill>
      <patternFill patternType="solid">
        <fgColor rgb="FFFEF3C7"/>
        <bgColor rgb="FFF1E8DE"/>
      </patternFill>
    </fill>
    <fill>
      <patternFill patternType="solid">
        <fgColor rgb="FFFBE4E4"/>
        <bgColor rgb="FFF1E8D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  <border diagonalUp="false" diagonalDown="false">
      <left style="thin">
        <color rgb="FFEAEAEA"/>
      </left>
      <right/>
      <top style="thin">
        <color rgb="FFEAEAEA"/>
      </top>
      <bottom style="thin">
        <color rgb="FFEAEA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8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B21B6"/>
      <rgbColor rgb="FF008080"/>
      <rgbColor rgb="FFF1F1F0"/>
      <rgbColor rgb="FF787878"/>
      <rgbColor rgb="FF9999FF"/>
      <rgbColor rgb="FF78350F"/>
      <rgbColor rgb="FFFEF3C7"/>
      <rgbColor rgb="FFDCFCE7"/>
      <rgbColor rgb="FF660066"/>
      <rgbColor rgb="FFFF8080"/>
      <rgbColor rgb="FF0066CC"/>
      <rgbColor rgb="FFE9D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AEAEA"/>
      <rgbColor rgb="FFF1E8DE"/>
      <rgbColor rgb="FFF7F6F3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6699"/>
      <rgbColor rgb="FF9A9A9A"/>
      <rgbColor rgb="FF003366"/>
      <rgbColor rgb="FF339966"/>
      <rgbColor rgb="FF14532D"/>
      <rgbColor rgb="FF4A4A4A"/>
      <rgbColor rgb="FF9B2C2C"/>
      <rgbColor rgb="FF64473A"/>
      <rgbColor rgb="FF1E3A8A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22"/>
    <col collapsed="false" customWidth="true" hidden="false" outlineLevel="0" max="9" min="9" style="0" width="2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21.75" hidden="false" customHeight="true" outlineLevel="0" collapsed="false">
      <c r="B5" s="3" t="s">
        <v>2</v>
      </c>
      <c r="C5" s="3"/>
      <c r="D5" s="3" t="s">
        <v>3</v>
      </c>
      <c r="E5" s="3"/>
      <c r="F5" s="4" t="s">
        <v>4</v>
      </c>
      <c r="G5" s="4"/>
      <c r="H5" s="5" t="s">
        <v>5</v>
      </c>
      <c r="I5" s="5"/>
    </row>
    <row r="6" customFormat="false" ht="30" hidden="false" customHeight="true" outlineLevel="0" collapsed="false">
      <c r="B6" s="6" t="s">
        <v>6</v>
      </c>
      <c r="C6" s="6"/>
      <c r="D6" s="6" t="s">
        <v>7</v>
      </c>
      <c r="E6" s="6"/>
      <c r="F6" s="6" t="s">
        <v>8</v>
      </c>
      <c r="G6" s="6"/>
      <c r="H6" s="6" t="s">
        <v>9</v>
      </c>
      <c r="I6" s="6"/>
    </row>
    <row r="7" customFormat="false" ht="18" hidden="false" customHeight="true" outlineLevel="0" collapsed="false">
      <c r="B7" s="7" t="s">
        <v>10</v>
      </c>
      <c r="C7" s="7"/>
      <c r="D7" s="7" t="s">
        <v>11</v>
      </c>
      <c r="E7" s="7"/>
      <c r="F7" s="7" t="s">
        <v>12</v>
      </c>
      <c r="G7" s="7"/>
      <c r="H7" s="7" t="s">
        <v>13</v>
      </c>
      <c r="I7" s="7"/>
    </row>
    <row r="10" customFormat="false" ht="15" hidden="false" customHeight="false" outlineLevel="0" collapsed="false">
      <c r="B10" s="8" t="s">
        <v>14</v>
      </c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B11" s="9" t="s">
        <v>15</v>
      </c>
      <c r="C11" s="9" t="s">
        <v>16</v>
      </c>
      <c r="D11" s="9" t="s">
        <v>17</v>
      </c>
      <c r="E11" s="9" t="s">
        <v>18</v>
      </c>
      <c r="F11" s="9" t="s">
        <v>19</v>
      </c>
      <c r="G11" s="9" t="s">
        <v>20</v>
      </c>
    </row>
    <row r="12" customFormat="false" ht="15" hidden="false" customHeight="false" outlineLevel="0" collapsed="false">
      <c r="B12" s="10" t="s">
        <v>21</v>
      </c>
      <c r="C12" s="11" t="n">
        <v>75420</v>
      </c>
      <c r="D12" s="11" t="n">
        <v>84698</v>
      </c>
      <c r="E12" s="12" t="n">
        <f aca="false">C12-D12</f>
        <v>-9278</v>
      </c>
      <c r="F12" s="13" t="n">
        <f aca="false">IF(C12=0,0,D12/C12)</f>
        <v>1.12301776717051</v>
      </c>
      <c r="G12" s="13" t="n">
        <f aca="false">D12/$D$16</f>
        <v>0.29419344978621</v>
      </c>
    </row>
    <row r="13" customFormat="false" ht="15" hidden="false" customHeight="false" outlineLevel="0" collapsed="false">
      <c r="B13" s="14" t="s">
        <v>22</v>
      </c>
      <c r="C13" s="11" t="n">
        <v>195311</v>
      </c>
      <c r="D13" s="11" t="n">
        <v>151064.39</v>
      </c>
      <c r="E13" s="12" t="n">
        <f aca="false">C13-D13</f>
        <v>44246.61</v>
      </c>
      <c r="F13" s="13" t="n">
        <f aca="false">IF(C13=0,0,D13/C13)</f>
        <v>0.773455616939138</v>
      </c>
      <c r="G13" s="13" t="n">
        <f aca="false">D13/$D$16</f>
        <v>0.524713145929649</v>
      </c>
    </row>
    <row r="14" customFormat="false" ht="15" hidden="false" customHeight="false" outlineLevel="0" collapsed="false">
      <c r="B14" s="15" t="s">
        <v>23</v>
      </c>
      <c r="C14" s="11" t="n">
        <v>14895</v>
      </c>
      <c r="D14" s="11" t="n">
        <v>11245.52</v>
      </c>
      <c r="E14" s="12" t="n">
        <f aca="false">C14-D14</f>
        <v>3649.48</v>
      </c>
      <c r="F14" s="13" t="n">
        <f aca="false">IF(C14=0,0,D14/C14)</f>
        <v>0.754986236992279</v>
      </c>
      <c r="G14" s="13" t="n">
        <f aca="false">D14/$D$16</f>
        <v>0.039060642794869</v>
      </c>
    </row>
    <row r="15" customFormat="false" ht="15" hidden="false" customHeight="false" outlineLevel="0" collapsed="false">
      <c r="B15" s="16" t="s">
        <v>24</v>
      </c>
      <c r="C15" s="11" t="n">
        <v>38464.22</v>
      </c>
      <c r="D15" s="11" t="n">
        <v>40891.46</v>
      </c>
      <c r="E15" s="12" t="n">
        <f aca="false">C15-D15</f>
        <v>-2427.24000000001</v>
      </c>
      <c r="F15" s="13" t="n">
        <f aca="false">IF(C15=0,0,D15/C15)</f>
        <v>1.06310384040025</v>
      </c>
      <c r="G15" s="13" t="n">
        <f aca="false">D15/$D$16</f>
        <v>0.142034046662198</v>
      </c>
    </row>
    <row r="16" customFormat="false" ht="15" hidden="false" customHeight="false" outlineLevel="0" collapsed="false">
      <c r="B16" s="9" t="s">
        <v>25</v>
      </c>
      <c r="C16" s="17" t="n">
        <v>324090.22</v>
      </c>
      <c r="D16" s="17" t="n">
        <v>287899</v>
      </c>
      <c r="E16" s="18" t="n">
        <f aca="false">C16-D16</f>
        <v>36191.22</v>
      </c>
      <c r="F16" s="19" t="n">
        <f aca="false">D16/C16</f>
        <v>0.888329799029418</v>
      </c>
      <c r="G16" s="19" t="n">
        <v>1</v>
      </c>
    </row>
    <row r="19" customFormat="false" ht="15" hidden="false" customHeight="false" outlineLevel="0" collapsed="false">
      <c r="B19" s="8" t="s">
        <v>26</v>
      </c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B20" s="9" t="s">
        <v>27</v>
      </c>
      <c r="C20" s="9" t="s">
        <v>28</v>
      </c>
      <c r="D20" s="9" t="s">
        <v>27</v>
      </c>
      <c r="E20" s="9" t="s">
        <v>28</v>
      </c>
      <c r="F20" s="9" t="s">
        <v>27</v>
      </c>
      <c r="G20" s="9" t="s">
        <v>28</v>
      </c>
    </row>
    <row r="21" customFormat="false" ht="15" hidden="false" customHeight="false" outlineLevel="0" collapsed="false">
      <c r="B21" s="20" t="s">
        <v>29</v>
      </c>
      <c r="C21" s="21" t="s">
        <v>30</v>
      </c>
      <c r="D21" s="20" t="s">
        <v>31</v>
      </c>
      <c r="E21" s="21" t="s">
        <v>32</v>
      </c>
      <c r="F21" s="20" t="s">
        <v>33</v>
      </c>
      <c r="G21" s="21" t="s">
        <v>30</v>
      </c>
    </row>
    <row r="22" customFormat="false" ht="15" hidden="false" customHeight="false" outlineLevel="0" collapsed="false">
      <c r="B22" s="20" t="s">
        <v>34</v>
      </c>
      <c r="C22" s="21" t="s">
        <v>35</v>
      </c>
      <c r="D22" s="20" t="s">
        <v>36</v>
      </c>
      <c r="E22" s="21" t="s">
        <v>37</v>
      </c>
      <c r="F22" s="20" t="s">
        <v>38</v>
      </c>
      <c r="G22" s="21" t="s">
        <v>39</v>
      </c>
    </row>
    <row r="23" customFormat="false" ht="15" hidden="false" customHeight="false" outlineLevel="0" collapsed="false">
      <c r="B23" s="20" t="s">
        <v>40</v>
      </c>
      <c r="C23" s="21" t="s">
        <v>41</v>
      </c>
      <c r="D23" s="20" t="s">
        <v>42</v>
      </c>
      <c r="E23" s="21" t="s">
        <v>43</v>
      </c>
      <c r="F23" s="20" t="s">
        <v>44</v>
      </c>
      <c r="G23" s="21" t="s">
        <v>43</v>
      </c>
    </row>
    <row r="24" customFormat="false" ht="15" hidden="false" customHeight="false" outlineLevel="0" collapsed="false">
      <c r="B24" s="20" t="s">
        <v>45</v>
      </c>
      <c r="C24" s="21" t="s">
        <v>46</v>
      </c>
      <c r="D24" s="20" t="s">
        <v>47</v>
      </c>
      <c r="E24" s="21" t="s">
        <v>48</v>
      </c>
      <c r="F24" s="20" t="s">
        <v>49</v>
      </c>
      <c r="G24" s="21" t="s">
        <v>50</v>
      </c>
    </row>
    <row r="27" customFormat="false" ht="7.5" hidden="false" customHeight="true" outlineLevel="0" collapsed="false"/>
    <row r="28" customFormat="false" ht="15" hidden="false" customHeight="false" outlineLevel="0" collapsed="false">
      <c r="B28" s="22" t="s">
        <v>51</v>
      </c>
      <c r="C28" s="22"/>
      <c r="D28" s="22"/>
      <c r="E28" s="22"/>
      <c r="F28" s="22"/>
      <c r="G28" s="22"/>
      <c r="H28" s="22"/>
    </row>
    <row r="29" customFormat="false" ht="15" hidden="false" customHeight="false" outlineLevel="0" collapsed="false">
      <c r="B29" s="23" t="s">
        <v>52</v>
      </c>
      <c r="C29" s="23"/>
      <c r="D29" s="23"/>
      <c r="E29" s="23"/>
      <c r="F29" s="23"/>
      <c r="G29" s="23"/>
      <c r="H29" s="23"/>
    </row>
    <row r="30" customFormat="false" ht="15" hidden="false" customHeight="false" outlineLevel="0" collapsed="false">
      <c r="B30" s="23" t="s">
        <v>53</v>
      </c>
      <c r="C30" s="23"/>
      <c r="D30" s="23"/>
      <c r="E30" s="23"/>
      <c r="F30" s="23"/>
      <c r="G30" s="23"/>
      <c r="H30" s="23"/>
    </row>
    <row r="31" customFormat="false" ht="15" hidden="false" customHeight="false" outlineLevel="0" collapsed="false">
      <c r="B31" s="23" t="s">
        <v>54</v>
      </c>
      <c r="C31" s="23"/>
      <c r="D31" s="23"/>
      <c r="E31" s="23"/>
      <c r="F31" s="23"/>
      <c r="G31" s="23"/>
      <c r="H31" s="23"/>
    </row>
    <row r="32" customFormat="false" ht="15" hidden="false" customHeight="false" outlineLevel="0" collapsed="false">
      <c r="B32" s="23" t="s">
        <v>55</v>
      </c>
      <c r="C32" s="23"/>
      <c r="D32" s="23"/>
      <c r="E32" s="23"/>
      <c r="F32" s="23"/>
      <c r="G32" s="23"/>
      <c r="H32" s="23"/>
    </row>
  </sheetData>
  <mergeCells count="21">
    <mergeCell ref="B2:H2"/>
    <mergeCell ref="B3:H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10:H10"/>
    <mergeCell ref="B19:H19"/>
    <mergeCell ref="B28:H28"/>
    <mergeCell ref="B29:H29"/>
    <mergeCell ref="B30:H30"/>
    <mergeCell ref="B31:H31"/>
    <mergeCell ref="B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"/>
  </cols>
  <sheetData>
    <row r="2" customFormat="false" ht="25.5" hidden="false" customHeight="true" outlineLevel="0" collapsed="false">
      <c r="B2" s="24" t="s">
        <v>56</v>
      </c>
      <c r="C2" s="24"/>
      <c r="D2" s="24"/>
      <c r="E2" s="24"/>
      <c r="F2" s="24"/>
      <c r="G2" s="24"/>
      <c r="H2" s="24"/>
    </row>
    <row r="4" customFormat="false" ht="15" hidden="false" customHeight="false" outlineLevel="0" collapsed="false">
      <c r="B4" s="9" t="s">
        <v>57</v>
      </c>
      <c r="C4" s="9" t="s">
        <v>58</v>
      </c>
      <c r="D4" s="9" t="s">
        <v>59</v>
      </c>
      <c r="E4" s="9" t="s">
        <v>60</v>
      </c>
      <c r="F4" s="9" t="s">
        <v>17</v>
      </c>
      <c r="G4" s="9" t="s">
        <v>18</v>
      </c>
      <c r="H4" s="9" t="s">
        <v>61</v>
      </c>
    </row>
    <row r="5" customFormat="false" ht="15" hidden="false" customHeight="false" outlineLevel="0" collapsed="false">
      <c r="B5" s="25" t="s">
        <v>62</v>
      </c>
      <c r="C5" s="25"/>
      <c r="D5" s="25"/>
      <c r="E5" s="25"/>
      <c r="F5" s="25"/>
      <c r="G5" s="25"/>
      <c r="H5" s="25"/>
    </row>
    <row r="6" customFormat="false" ht="15" hidden="false" customHeight="false" outlineLevel="0" collapsed="false">
      <c r="B6" s="26" t="s">
        <v>63</v>
      </c>
      <c r="C6" s="26" t="s">
        <v>64</v>
      </c>
      <c r="D6" s="11" t="n">
        <v>1250</v>
      </c>
      <c r="E6" s="11" t="n">
        <v>1250</v>
      </c>
      <c r="F6" s="11" t="n">
        <v>1645</v>
      </c>
      <c r="G6" s="12" t="n">
        <f aca="false">E6-F6</f>
        <v>-395</v>
      </c>
      <c r="H6" s="13" t="n">
        <f aca="false">IF(E6=0,0,F6/E6)</f>
        <v>1.316</v>
      </c>
    </row>
    <row r="7" customFormat="false" ht="15" hidden="false" customHeight="false" outlineLevel="0" collapsed="false">
      <c r="B7" s="26" t="s">
        <v>65</v>
      </c>
      <c r="C7" s="26" t="s">
        <v>66</v>
      </c>
      <c r="D7" s="11" t="n">
        <v>3000</v>
      </c>
      <c r="E7" s="11" t="n">
        <v>3000</v>
      </c>
      <c r="F7" s="11" t="n">
        <v>2992</v>
      </c>
      <c r="G7" s="12" t="n">
        <f aca="false">E7-F7</f>
        <v>8</v>
      </c>
      <c r="H7" s="13" t="n">
        <f aca="false">IF(E7=0,0,F7/E7)</f>
        <v>0.997333333333333</v>
      </c>
    </row>
    <row r="8" customFormat="false" ht="15" hidden="false" customHeight="false" outlineLevel="0" collapsed="false">
      <c r="B8" s="26" t="s">
        <v>67</v>
      </c>
      <c r="C8" s="26" t="s">
        <v>68</v>
      </c>
      <c r="D8" s="11" t="n">
        <v>2500</v>
      </c>
      <c r="E8" s="11" t="n">
        <v>2500</v>
      </c>
      <c r="F8" s="11" t="n">
        <v>1324</v>
      </c>
      <c r="G8" s="12" t="n">
        <f aca="false">E8-F8</f>
        <v>1176</v>
      </c>
      <c r="H8" s="13" t="n">
        <f aca="false">IF(E8=0,0,F8/E8)</f>
        <v>0.5296</v>
      </c>
    </row>
    <row r="9" customFormat="false" ht="15" hidden="false" customHeight="false" outlineLevel="0" collapsed="false">
      <c r="B9" s="26" t="s">
        <v>69</v>
      </c>
      <c r="C9" s="26" t="s">
        <v>70</v>
      </c>
      <c r="D9" s="11" t="n">
        <v>5350</v>
      </c>
      <c r="E9" s="11" t="n">
        <v>5350</v>
      </c>
      <c r="F9" s="11" t="n">
        <v>4209</v>
      </c>
      <c r="G9" s="12" t="n">
        <f aca="false">E9-F9</f>
        <v>1141</v>
      </c>
      <c r="H9" s="13" t="n">
        <f aca="false">IF(E9=0,0,F9/E9)</f>
        <v>0.786728971962617</v>
      </c>
    </row>
    <row r="10" customFormat="false" ht="15" hidden="false" customHeight="false" outlineLevel="0" collapsed="false">
      <c r="B10" s="26" t="s">
        <v>71</v>
      </c>
      <c r="C10" s="26" t="s">
        <v>72</v>
      </c>
      <c r="D10" s="11" t="n">
        <v>8960</v>
      </c>
      <c r="E10" s="11" t="n">
        <v>8960</v>
      </c>
      <c r="F10" s="11" t="n">
        <v>9872</v>
      </c>
      <c r="G10" s="12" t="n">
        <f aca="false">E10-F10</f>
        <v>-912</v>
      </c>
      <c r="H10" s="13" t="n">
        <f aca="false">IF(E10=0,0,F10/E10)</f>
        <v>1.10178571428571</v>
      </c>
    </row>
    <row r="11" customFormat="false" ht="15" hidden="false" customHeight="false" outlineLevel="0" collapsed="false">
      <c r="B11" s="26" t="s">
        <v>73</v>
      </c>
      <c r="C11" s="26" t="s">
        <v>74</v>
      </c>
      <c r="D11" s="11" t="n">
        <v>2000</v>
      </c>
      <c r="E11" s="11" t="n">
        <v>2000</v>
      </c>
      <c r="F11" s="11" t="n">
        <v>1485.5</v>
      </c>
      <c r="G11" s="12" t="n">
        <f aca="false">E11-F11</f>
        <v>514.5</v>
      </c>
      <c r="H11" s="13" t="n">
        <f aca="false">IF(E11=0,0,F11/E11)</f>
        <v>0.74275</v>
      </c>
    </row>
    <row r="12" customFormat="false" ht="15" hidden="false" customHeight="false" outlineLevel="0" collapsed="false">
      <c r="B12" s="26" t="s">
        <v>75</v>
      </c>
      <c r="C12" s="26" t="s">
        <v>76</v>
      </c>
      <c r="D12" s="11" t="n">
        <v>34500</v>
      </c>
      <c r="E12" s="11" t="n">
        <v>37530</v>
      </c>
      <c r="F12" s="11" t="n">
        <v>46114</v>
      </c>
      <c r="G12" s="12" t="n">
        <f aca="false">E12-F12</f>
        <v>-8584</v>
      </c>
      <c r="H12" s="13" t="n">
        <f aca="false">IF(E12=0,0,F12/E12)</f>
        <v>1.22872368771649</v>
      </c>
    </row>
    <row r="13" customFormat="false" ht="15" hidden="false" customHeight="false" outlineLevel="0" collapsed="false">
      <c r="B13" s="26" t="s">
        <v>77</v>
      </c>
      <c r="C13" s="26" t="s">
        <v>78</v>
      </c>
      <c r="D13" s="11" t="n">
        <v>10250</v>
      </c>
      <c r="E13" s="11" t="n">
        <v>10320</v>
      </c>
      <c r="F13" s="11" t="n">
        <v>11391.5</v>
      </c>
      <c r="G13" s="12" t="n">
        <f aca="false">E13-F13</f>
        <v>-1071.5</v>
      </c>
      <c r="H13" s="13" t="n">
        <f aca="false">IF(E13=0,0,F13/E13)</f>
        <v>1.10382751937985</v>
      </c>
    </row>
    <row r="14" customFormat="false" ht="15" hidden="false" customHeight="false" outlineLevel="0" collapsed="false">
      <c r="B14" s="26" t="s">
        <v>79</v>
      </c>
      <c r="C14" s="26" t="s">
        <v>80</v>
      </c>
      <c r="D14" s="11" t="n">
        <v>0</v>
      </c>
      <c r="E14" s="11" t="n">
        <v>0</v>
      </c>
      <c r="F14" s="11" t="n">
        <v>0</v>
      </c>
      <c r="G14" s="12" t="n">
        <f aca="false">E14-F14</f>
        <v>0</v>
      </c>
      <c r="H14" s="13" t="n">
        <f aca="false">IF(E14=0,0,F14/E14)</f>
        <v>0</v>
      </c>
    </row>
    <row r="15" customFormat="false" ht="15" hidden="false" customHeight="false" outlineLevel="0" collapsed="false">
      <c r="B15" s="26" t="s">
        <v>81</v>
      </c>
      <c r="C15" s="26" t="s">
        <v>82</v>
      </c>
      <c r="D15" s="11" t="n">
        <v>1430</v>
      </c>
      <c r="E15" s="11" t="n">
        <v>1430</v>
      </c>
      <c r="F15" s="11" t="n">
        <v>1730</v>
      </c>
      <c r="G15" s="12" t="n">
        <f aca="false">E15-F15</f>
        <v>-300</v>
      </c>
      <c r="H15" s="13" t="n">
        <f aca="false">IF(E15=0,0,F15/E15)</f>
        <v>1.20979020979021</v>
      </c>
    </row>
    <row r="16" customFormat="false" ht="15" hidden="false" customHeight="false" outlineLevel="0" collapsed="false">
      <c r="B16" s="26" t="s">
        <v>83</v>
      </c>
      <c r="C16" s="26" t="s">
        <v>84</v>
      </c>
      <c r="D16" s="11" t="n">
        <v>3080</v>
      </c>
      <c r="E16" s="11" t="n">
        <v>3080</v>
      </c>
      <c r="F16" s="11" t="n">
        <v>3796.5</v>
      </c>
      <c r="G16" s="12" t="n">
        <f aca="false">E16-F16</f>
        <v>-716.5</v>
      </c>
      <c r="H16" s="13" t="n">
        <f aca="false">IF(E16=0,0,F16/E16)</f>
        <v>1.23262987012987</v>
      </c>
    </row>
    <row r="17" customFormat="false" ht="15" hidden="false" customHeight="false" outlineLevel="0" collapsed="false">
      <c r="B17" s="26" t="s">
        <v>85</v>
      </c>
      <c r="C17" s="26" t="s">
        <v>86</v>
      </c>
      <c r="D17" s="11" t="n">
        <v>0</v>
      </c>
      <c r="E17" s="11" t="n">
        <v>0</v>
      </c>
      <c r="F17" s="11" t="n">
        <v>138.5</v>
      </c>
      <c r="G17" s="12" t="n">
        <f aca="false">E17-F17</f>
        <v>-138.5</v>
      </c>
      <c r="H17" s="13" t="n">
        <f aca="false">IF(E17=0,0,F17/E17)</f>
        <v>0</v>
      </c>
    </row>
    <row r="18" customFormat="false" ht="15" hidden="false" customHeight="false" outlineLevel="0" collapsed="false">
      <c r="B18" s="27" t="s">
        <v>87</v>
      </c>
      <c r="C18" s="27"/>
      <c r="D18" s="27"/>
      <c r="E18" s="27"/>
      <c r="F18" s="27"/>
      <c r="G18" s="27"/>
      <c r="H18" s="27"/>
    </row>
    <row r="19" customFormat="false" ht="15" hidden="false" customHeight="false" outlineLevel="0" collapsed="false">
      <c r="B19" s="26" t="s">
        <v>88</v>
      </c>
      <c r="C19" s="26" t="s">
        <v>89</v>
      </c>
      <c r="D19" s="11" t="n">
        <v>1250</v>
      </c>
      <c r="E19" s="11" t="n">
        <v>1250</v>
      </c>
      <c r="F19" s="11" t="n">
        <v>369.06</v>
      </c>
      <c r="G19" s="12" t="n">
        <f aca="false">E19-F19</f>
        <v>880.94</v>
      </c>
      <c r="H19" s="13" t="n">
        <f aca="false">IF(E19=0,0,F19/E19)</f>
        <v>0.295248</v>
      </c>
    </row>
    <row r="20" customFormat="false" ht="15" hidden="false" customHeight="false" outlineLevel="0" collapsed="false">
      <c r="B20" s="26" t="s">
        <v>90</v>
      </c>
      <c r="C20" s="26" t="s">
        <v>91</v>
      </c>
      <c r="D20" s="11" t="n">
        <v>2800</v>
      </c>
      <c r="E20" s="11" t="n">
        <v>2800</v>
      </c>
      <c r="F20" s="11" t="n">
        <v>2613.58</v>
      </c>
      <c r="G20" s="12" t="n">
        <f aca="false">E20-F20</f>
        <v>186.42</v>
      </c>
      <c r="H20" s="13" t="n">
        <f aca="false">IF(E20=0,0,F20/E20)</f>
        <v>0.933421428571429</v>
      </c>
    </row>
    <row r="21" customFormat="false" ht="15" hidden="false" customHeight="false" outlineLevel="0" collapsed="false">
      <c r="B21" s="26" t="s">
        <v>92</v>
      </c>
      <c r="C21" s="26" t="s">
        <v>93</v>
      </c>
      <c r="D21" s="11" t="n">
        <v>10570</v>
      </c>
      <c r="E21" s="11" t="n">
        <v>10570</v>
      </c>
      <c r="F21" s="11" t="n">
        <v>3972.94</v>
      </c>
      <c r="G21" s="12" t="n">
        <f aca="false">E21-F21</f>
        <v>6597.06</v>
      </c>
      <c r="H21" s="13" t="n">
        <f aca="false">IF(E21=0,0,F21/E21)</f>
        <v>0.375869441816462</v>
      </c>
    </row>
    <row r="22" customFormat="false" ht="15" hidden="false" customHeight="false" outlineLevel="0" collapsed="false">
      <c r="B22" s="26" t="s">
        <v>94</v>
      </c>
      <c r="C22" s="26" t="s">
        <v>95</v>
      </c>
      <c r="D22" s="11" t="n">
        <v>2800</v>
      </c>
      <c r="E22" s="11" t="n">
        <v>2800</v>
      </c>
      <c r="F22" s="11" t="n">
        <v>2749.23</v>
      </c>
      <c r="G22" s="12" t="n">
        <f aca="false">E22-F22</f>
        <v>50.77</v>
      </c>
      <c r="H22" s="13" t="n">
        <f aca="false">IF(E22=0,0,F22/E22)</f>
        <v>0.981867857142857</v>
      </c>
    </row>
    <row r="23" customFormat="false" ht="15" hidden="false" customHeight="false" outlineLevel="0" collapsed="false">
      <c r="B23" s="26" t="s">
        <v>96</v>
      </c>
      <c r="C23" s="26" t="s">
        <v>97</v>
      </c>
      <c r="D23" s="11" t="n">
        <v>33560</v>
      </c>
      <c r="E23" s="11" t="n">
        <v>32510</v>
      </c>
      <c r="F23" s="11" t="n">
        <v>30742.47</v>
      </c>
      <c r="G23" s="12" t="n">
        <f aca="false">E23-F23</f>
        <v>1767.53</v>
      </c>
      <c r="H23" s="13" t="n">
        <f aca="false">IF(E23=0,0,F23/E23)</f>
        <v>0.945631190402953</v>
      </c>
    </row>
    <row r="24" customFormat="false" ht="15" hidden="false" customHeight="false" outlineLevel="0" collapsed="false">
      <c r="B24" s="26" t="s">
        <v>98</v>
      </c>
      <c r="C24" s="26" t="s">
        <v>99</v>
      </c>
      <c r="D24" s="11" t="n">
        <v>143270</v>
      </c>
      <c r="E24" s="11" t="n">
        <v>143381</v>
      </c>
      <c r="F24" s="11" t="n">
        <v>109975.66</v>
      </c>
      <c r="G24" s="12" t="n">
        <f aca="false">E24-F24</f>
        <v>33405.34</v>
      </c>
      <c r="H24" s="13" t="n">
        <f aca="false">IF(E24=0,0,F24/E24)</f>
        <v>0.7670169687755</v>
      </c>
    </row>
    <row r="25" customFormat="false" ht="15" hidden="false" customHeight="false" outlineLevel="0" collapsed="false">
      <c r="B25" s="26" t="s">
        <v>100</v>
      </c>
      <c r="C25" s="26" t="s">
        <v>101</v>
      </c>
      <c r="D25" s="11" t="n">
        <v>0</v>
      </c>
      <c r="E25" s="11" t="n">
        <v>0</v>
      </c>
      <c r="F25" s="11" t="n">
        <v>0</v>
      </c>
      <c r="G25" s="12" t="n">
        <f aca="false">E25-F25</f>
        <v>0</v>
      </c>
      <c r="H25" s="13" t="n">
        <f aca="false">IF(E25=0,0,F25/E25)</f>
        <v>0</v>
      </c>
    </row>
    <row r="26" customFormat="false" ht="15" hidden="false" customHeight="false" outlineLevel="0" collapsed="false">
      <c r="B26" s="26" t="s">
        <v>102</v>
      </c>
      <c r="C26" s="26" t="s">
        <v>103</v>
      </c>
      <c r="D26" s="11" t="n">
        <v>2000</v>
      </c>
      <c r="E26" s="11" t="n">
        <v>2000</v>
      </c>
      <c r="F26" s="11" t="n">
        <v>641.45</v>
      </c>
      <c r="G26" s="12" t="n">
        <f aca="false">E26-F26</f>
        <v>1358.55</v>
      </c>
      <c r="H26" s="13" t="n">
        <f aca="false">IF(E26=0,0,F26/E26)</f>
        <v>0.320725</v>
      </c>
    </row>
    <row r="27" customFormat="false" ht="15" hidden="false" customHeight="false" outlineLevel="0" collapsed="false">
      <c r="B27" s="26" t="s">
        <v>104</v>
      </c>
      <c r="C27" s="26" t="s">
        <v>105</v>
      </c>
      <c r="D27" s="11" t="n">
        <v>0</v>
      </c>
      <c r="E27" s="11" t="n">
        <v>0</v>
      </c>
      <c r="F27" s="11" t="n">
        <v>0</v>
      </c>
      <c r="G27" s="12" t="n">
        <f aca="false">E27-F27</f>
        <v>0</v>
      </c>
      <c r="H27" s="13" t="n">
        <f aca="false">IF(E27=0,0,F27/E27)</f>
        <v>0</v>
      </c>
    </row>
    <row r="28" customFormat="false" ht="15" hidden="false" customHeight="false" outlineLevel="0" collapsed="false">
      <c r="B28" s="28" t="s">
        <v>106</v>
      </c>
      <c r="C28" s="28"/>
      <c r="D28" s="28"/>
      <c r="E28" s="28"/>
      <c r="F28" s="28"/>
      <c r="G28" s="28"/>
      <c r="H28" s="28"/>
    </row>
    <row r="29" customFormat="false" ht="15" hidden="false" customHeight="false" outlineLevel="0" collapsed="false">
      <c r="B29" s="26" t="s">
        <v>107</v>
      </c>
      <c r="C29" s="26" t="s">
        <v>108</v>
      </c>
      <c r="D29" s="11" t="n">
        <v>4800</v>
      </c>
      <c r="E29" s="11" t="n">
        <v>4885</v>
      </c>
      <c r="F29" s="11" t="n">
        <v>2379</v>
      </c>
      <c r="G29" s="12" t="n">
        <f aca="false">E29-F29</f>
        <v>2506</v>
      </c>
      <c r="H29" s="13" t="n">
        <f aca="false">IF(E29=0,0,F29/E29)</f>
        <v>0.487001023541453</v>
      </c>
    </row>
    <row r="30" customFormat="false" ht="15" hidden="false" customHeight="false" outlineLevel="0" collapsed="false">
      <c r="B30" s="26" t="s">
        <v>109</v>
      </c>
      <c r="C30" s="26" t="s">
        <v>110</v>
      </c>
      <c r="D30" s="11" t="n">
        <v>6000</v>
      </c>
      <c r="E30" s="11" t="n">
        <v>6000</v>
      </c>
      <c r="F30" s="11" t="n">
        <v>4990.08</v>
      </c>
      <c r="G30" s="12" t="n">
        <f aca="false">E30-F30</f>
        <v>1009.92</v>
      </c>
      <c r="H30" s="13" t="n">
        <f aca="false">IF(E30=0,0,F30/E30)</f>
        <v>0.83168</v>
      </c>
    </row>
    <row r="31" customFormat="false" ht="15" hidden="false" customHeight="false" outlineLevel="0" collapsed="false">
      <c r="B31" s="26" t="s">
        <v>111</v>
      </c>
      <c r="C31" s="26" t="s">
        <v>112</v>
      </c>
      <c r="D31" s="11" t="n">
        <v>3870</v>
      </c>
      <c r="E31" s="11" t="n">
        <v>4010</v>
      </c>
      <c r="F31" s="11" t="n">
        <v>3735</v>
      </c>
      <c r="G31" s="12" t="n">
        <f aca="false">E31-F31</f>
        <v>275</v>
      </c>
      <c r="H31" s="13" t="n">
        <f aca="false">IF(E31=0,0,F31/E31)</f>
        <v>0.93142144638404</v>
      </c>
    </row>
    <row r="32" customFormat="false" ht="15" hidden="false" customHeight="false" outlineLevel="0" collapsed="false">
      <c r="B32" s="26" t="s">
        <v>113</v>
      </c>
      <c r="C32" s="26" t="s">
        <v>114</v>
      </c>
      <c r="D32" s="11" t="n">
        <v>0</v>
      </c>
      <c r="E32" s="11" t="n">
        <v>0</v>
      </c>
      <c r="F32" s="11" t="n">
        <v>141.44</v>
      </c>
      <c r="G32" s="12" t="n">
        <f aca="false">E32-F32</f>
        <v>-141.44</v>
      </c>
      <c r="H32" s="13" t="n">
        <f aca="false">IF(E32=0,0,F32/E32)</f>
        <v>0</v>
      </c>
    </row>
    <row r="33" customFormat="false" ht="15" hidden="false" customHeight="false" outlineLevel="0" collapsed="false">
      <c r="B33" s="29" t="s">
        <v>115</v>
      </c>
      <c r="C33" s="29"/>
      <c r="D33" s="29"/>
      <c r="E33" s="29"/>
      <c r="F33" s="29"/>
      <c r="G33" s="29"/>
      <c r="H33" s="29"/>
    </row>
    <row r="34" customFormat="false" ht="15" hidden="false" customHeight="false" outlineLevel="0" collapsed="false">
      <c r="B34" s="26" t="s">
        <v>116</v>
      </c>
      <c r="C34" s="26" t="s">
        <v>117</v>
      </c>
      <c r="D34" s="11" t="n">
        <v>28928</v>
      </c>
      <c r="E34" s="11" t="n">
        <v>32694.58</v>
      </c>
      <c r="F34" s="11" t="n">
        <v>34412.05</v>
      </c>
      <c r="G34" s="12" t="n">
        <f aca="false">E34-F34</f>
        <v>-1717.47</v>
      </c>
      <c r="H34" s="13" t="n">
        <f aca="false">IF(E34=0,0,F34/E34)</f>
        <v>1.05253072527618</v>
      </c>
    </row>
    <row r="35" customFormat="false" ht="15" hidden="false" customHeight="false" outlineLevel="0" collapsed="false">
      <c r="B35" s="26" t="s">
        <v>118</v>
      </c>
      <c r="C35" s="26" t="s">
        <v>119</v>
      </c>
      <c r="D35" s="11" t="n">
        <v>5532.48</v>
      </c>
      <c r="E35" s="11" t="n">
        <v>5769.64</v>
      </c>
      <c r="F35" s="11" t="n">
        <v>6479.41</v>
      </c>
      <c r="G35" s="12" t="n">
        <f aca="false">E35-F35</f>
        <v>-709.77</v>
      </c>
      <c r="H35" s="13" t="n">
        <f aca="false">IF(E35=0,0,F35/E35)</f>
        <v>1.12301807391796</v>
      </c>
    </row>
    <row r="36" customFormat="false" ht="15" hidden="false" customHeight="false" outlineLevel="0" collapsed="false">
      <c r="B36" s="30" t="s">
        <v>25</v>
      </c>
      <c r="C36" s="30" t="s">
        <v>120</v>
      </c>
      <c r="D36" s="31" t="n">
        <v>317700.48</v>
      </c>
      <c r="E36" s="31" t="n">
        <v>324090.22</v>
      </c>
      <c r="F36" s="31" t="n">
        <v>287899</v>
      </c>
      <c r="G36" s="32" t="n">
        <f aca="false">E36-F36</f>
        <v>36191.22</v>
      </c>
      <c r="H36" s="33" t="n">
        <f aca="false">F36/E36</f>
        <v>0.888329799029418</v>
      </c>
    </row>
    <row r="39" customFormat="false" ht="7.5" hidden="false" customHeight="true" outlineLevel="0" collapsed="false"/>
    <row r="40" customFormat="false" ht="15" hidden="false" customHeight="false" outlineLevel="0" collapsed="false">
      <c r="B40" s="22" t="s">
        <v>51</v>
      </c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B41" s="23" t="s">
        <v>52</v>
      </c>
      <c r="C41" s="23"/>
      <c r="D41" s="23"/>
      <c r="E41" s="23"/>
      <c r="F41" s="23"/>
      <c r="G41" s="23"/>
      <c r="H41" s="23"/>
    </row>
    <row r="42" customFormat="false" ht="15" hidden="false" customHeight="false" outlineLevel="0" collapsed="false">
      <c r="B42" s="23" t="s">
        <v>53</v>
      </c>
      <c r="C42" s="23"/>
      <c r="D42" s="23"/>
      <c r="E42" s="23"/>
      <c r="F42" s="23"/>
      <c r="G42" s="23"/>
      <c r="H42" s="23"/>
    </row>
    <row r="43" customFormat="false" ht="15" hidden="false" customHeight="false" outlineLevel="0" collapsed="false">
      <c r="B43" s="23" t="s">
        <v>121</v>
      </c>
      <c r="C43" s="23"/>
      <c r="D43" s="23"/>
      <c r="E43" s="23"/>
      <c r="F43" s="23"/>
      <c r="G43" s="23"/>
      <c r="H43" s="23"/>
    </row>
  </sheetData>
  <mergeCells count="9">
    <mergeCell ref="B2:H2"/>
    <mergeCell ref="B5:H5"/>
    <mergeCell ref="B18:H18"/>
    <mergeCell ref="B28:H28"/>
    <mergeCell ref="B33:H33"/>
    <mergeCell ref="B40:H40"/>
    <mergeCell ref="B41:H41"/>
    <mergeCell ref="B42:H42"/>
    <mergeCell ref="B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5" min="3" style="0" width="16"/>
    <col collapsed="false" customWidth="true" hidden="false" outlineLevel="0" max="8" min="6" style="0" width="14"/>
    <col collapsed="false" customWidth="true" hidden="false" outlineLevel="0" max="9" min="9" style="0" width="2"/>
  </cols>
  <sheetData>
    <row r="2" customFormat="false" ht="25.5" hidden="false" customHeight="true" outlineLevel="0" collapsed="false">
      <c r="B2" s="24" t="s">
        <v>122</v>
      </c>
      <c r="C2" s="24"/>
      <c r="D2" s="24"/>
      <c r="E2" s="24"/>
      <c r="F2" s="24"/>
      <c r="G2" s="24"/>
      <c r="H2" s="24"/>
    </row>
    <row r="4" customFormat="false" ht="15" hidden="false" customHeight="false" outlineLevel="0" collapsed="false">
      <c r="B4" s="34" t="s">
        <v>123</v>
      </c>
      <c r="C4" s="34"/>
      <c r="D4" s="34"/>
      <c r="E4" s="34"/>
      <c r="F4" s="34"/>
      <c r="G4" s="34"/>
      <c r="H4" s="34"/>
    </row>
    <row r="5" customFormat="false" ht="15" hidden="false" customHeight="false" outlineLevel="0" collapsed="false">
      <c r="B5" s="9" t="s">
        <v>15</v>
      </c>
      <c r="C5" s="9" t="s">
        <v>124</v>
      </c>
      <c r="D5" s="9" t="s">
        <v>16</v>
      </c>
      <c r="E5" s="9" t="s">
        <v>17</v>
      </c>
      <c r="F5" s="9" t="s">
        <v>18</v>
      </c>
      <c r="G5" s="9" t="s">
        <v>19</v>
      </c>
      <c r="H5" s="9" t="s">
        <v>20</v>
      </c>
      <c r="I5" s="9" t="s">
        <v>125</v>
      </c>
    </row>
    <row r="6" customFormat="false" ht="15" hidden="false" customHeight="false" outlineLevel="0" collapsed="false">
      <c r="B6" s="35" t="s">
        <v>21</v>
      </c>
      <c r="C6" s="36" t="n">
        <v>15</v>
      </c>
      <c r="D6" s="11" t="n">
        <v>75420</v>
      </c>
      <c r="E6" s="11" t="n">
        <v>84698</v>
      </c>
      <c r="F6" s="12" t="n">
        <f aca="false">D6-E6</f>
        <v>-9278</v>
      </c>
      <c r="G6" s="13" t="n">
        <f aca="false">IF(D6=0,0,E6/D6)</f>
        <v>1.12301776717051</v>
      </c>
      <c r="H6" s="13" t="n">
        <f aca="false">E6/287899</f>
        <v>0.29419344978621</v>
      </c>
      <c r="I6" s="11" t="n">
        <f aca="false">E6/168</f>
        <v>504.154761904762</v>
      </c>
    </row>
    <row r="7" customFormat="false" ht="15" hidden="false" customHeight="false" outlineLevel="0" collapsed="false">
      <c r="B7" s="37" t="s">
        <v>22</v>
      </c>
      <c r="C7" s="36" t="n">
        <v>11</v>
      </c>
      <c r="D7" s="11" t="n">
        <v>195311</v>
      </c>
      <c r="E7" s="11" t="n">
        <v>151064.39</v>
      </c>
      <c r="F7" s="12" t="n">
        <f aca="false">D7-E7</f>
        <v>44246.61</v>
      </c>
      <c r="G7" s="13" t="n">
        <f aca="false">IF(D7=0,0,E7/D7)</f>
        <v>0.773455616939138</v>
      </c>
      <c r="H7" s="13" t="n">
        <f aca="false">E7/287899</f>
        <v>0.524713145929649</v>
      </c>
      <c r="I7" s="11" t="n">
        <f aca="false">E7/168</f>
        <v>899.192797619048</v>
      </c>
    </row>
    <row r="8" customFormat="false" ht="15" hidden="false" customHeight="false" outlineLevel="0" collapsed="false">
      <c r="B8" s="38" t="s">
        <v>23</v>
      </c>
      <c r="C8" s="36" t="n">
        <v>5</v>
      </c>
      <c r="D8" s="11" t="n">
        <v>14895</v>
      </c>
      <c r="E8" s="11" t="n">
        <v>11245.52</v>
      </c>
      <c r="F8" s="12" t="n">
        <f aca="false">D8-E8</f>
        <v>3649.48</v>
      </c>
      <c r="G8" s="13" t="n">
        <f aca="false">IF(D8=0,0,E8/D8)</f>
        <v>0.754986236992279</v>
      </c>
      <c r="H8" s="13" t="n">
        <f aca="false">E8/287899</f>
        <v>0.039060642794869</v>
      </c>
      <c r="I8" s="11" t="n">
        <f aca="false">E8/168</f>
        <v>66.9376190476191</v>
      </c>
    </row>
    <row r="9" customFormat="false" ht="15" hidden="false" customHeight="false" outlineLevel="0" collapsed="false">
      <c r="B9" s="39" t="s">
        <v>24</v>
      </c>
      <c r="C9" s="36" t="n">
        <v>2</v>
      </c>
      <c r="D9" s="11" t="n">
        <v>38464.22</v>
      </c>
      <c r="E9" s="11" t="n">
        <v>40891.46</v>
      </c>
      <c r="F9" s="12" t="n">
        <f aca="false">D9-E9</f>
        <v>-2427.24000000001</v>
      </c>
      <c r="G9" s="13" t="n">
        <f aca="false">IF(D9=0,0,E9/D9)</f>
        <v>1.06310384040025</v>
      </c>
      <c r="H9" s="13" t="n">
        <f aca="false">E9/287899</f>
        <v>0.142034046662198</v>
      </c>
      <c r="I9" s="11" t="n">
        <f aca="false">E9/168</f>
        <v>243.401547619048</v>
      </c>
    </row>
    <row r="12" customFormat="false" ht="15" hidden="false" customHeight="false" outlineLevel="0" collapsed="false">
      <c r="B12" s="40" t="s">
        <v>126</v>
      </c>
      <c r="C12" s="40"/>
      <c r="D12" s="40"/>
      <c r="E12" s="40"/>
      <c r="F12" s="40"/>
      <c r="G12" s="40"/>
      <c r="H12" s="40"/>
    </row>
    <row r="13" customFormat="false" ht="15" hidden="false" customHeight="false" outlineLevel="0" collapsed="false">
      <c r="B13" s="9" t="s">
        <v>57</v>
      </c>
      <c r="C13" s="9" t="s">
        <v>58</v>
      </c>
      <c r="D13" s="9" t="s">
        <v>60</v>
      </c>
      <c r="E13" s="9" t="s">
        <v>17</v>
      </c>
      <c r="F13" s="9" t="s">
        <v>127</v>
      </c>
      <c r="G13" s="9" t="s">
        <v>128</v>
      </c>
    </row>
    <row r="14" customFormat="false" ht="15" hidden="false" customHeight="false" outlineLevel="0" collapsed="false">
      <c r="B14" s="26" t="s">
        <v>75</v>
      </c>
      <c r="C14" s="26" t="s">
        <v>76</v>
      </c>
      <c r="D14" s="11" t="n">
        <v>37530</v>
      </c>
      <c r="E14" s="11" t="n">
        <v>46114</v>
      </c>
      <c r="F14" s="12" t="n">
        <v>8584</v>
      </c>
      <c r="G14" s="41" t="n">
        <v>0.228723687716494</v>
      </c>
    </row>
    <row r="15" customFormat="false" ht="15" hidden="false" customHeight="false" outlineLevel="0" collapsed="false">
      <c r="B15" s="26" t="s">
        <v>116</v>
      </c>
      <c r="C15" s="26" t="s">
        <v>117</v>
      </c>
      <c r="D15" s="11" t="n">
        <v>32694.58</v>
      </c>
      <c r="E15" s="11" t="n">
        <v>34412.05</v>
      </c>
      <c r="F15" s="12" t="n">
        <v>1717.47</v>
      </c>
      <c r="G15" s="41" t="n">
        <v>0.0525307252761773</v>
      </c>
    </row>
    <row r="16" customFormat="false" ht="15" hidden="false" customHeight="false" outlineLevel="0" collapsed="false">
      <c r="B16" s="26" t="s">
        <v>77</v>
      </c>
      <c r="C16" s="26" t="s">
        <v>78</v>
      </c>
      <c r="D16" s="11" t="n">
        <v>10320</v>
      </c>
      <c r="E16" s="11" t="n">
        <v>11391.5</v>
      </c>
      <c r="F16" s="12" t="n">
        <v>1071.5</v>
      </c>
      <c r="G16" s="41" t="n">
        <v>0.103827519379845</v>
      </c>
    </row>
    <row r="17" customFormat="false" ht="15" hidden="false" customHeight="false" outlineLevel="0" collapsed="false">
      <c r="B17" s="26" t="s">
        <v>71</v>
      </c>
      <c r="C17" s="26" t="s">
        <v>72</v>
      </c>
      <c r="D17" s="11" t="n">
        <v>8960</v>
      </c>
      <c r="E17" s="11" t="n">
        <v>9872</v>
      </c>
      <c r="F17" s="12" t="n">
        <v>912</v>
      </c>
      <c r="G17" s="41" t="n">
        <v>0.101785714285714</v>
      </c>
    </row>
    <row r="18" customFormat="false" ht="15" hidden="false" customHeight="false" outlineLevel="0" collapsed="false">
      <c r="B18" s="26" t="s">
        <v>83</v>
      </c>
      <c r="C18" s="26" t="s">
        <v>84</v>
      </c>
      <c r="D18" s="11" t="n">
        <v>3080</v>
      </c>
      <c r="E18" s="11" t="n">
        <v>3796.5</v>
      </c>
      <c r="F18" s="12" t="n">
        <v>716.5</v>
      </c>
      <c r="G18" s="41" t="n">
        <v>0.23262987012987</v>
      </c>
    </row>
    <row r="19" customFormat="false" ht="15" hidden="false" customHeight="false" outlineLevel="0" collapsed="false">
      <c r="B19" s="26" t="s">
        <v>118</v>
      </c>
      <c r="C19" s="26" t="s">
        <v>119</v>
      </c>
      <c r="D19" s="11" t="n">
        <v>5769.64</v>
      </c>
      <c r="E19" s="11" t="n">
        <v>6479.41</v>
      </c>
      <c r="F19" s="12" t="n">
        <v>709.77</v>
      </c>
      <c r="G19" s="41" t="n">
        <v>0.123018073917957</v>
      </c>
    </row>
    <row r="20" customFormat="false" ht="15" hidden="false" customHeight="false" outlineLevel="0" collapsed="false">
      <c r="B20" s="26" t="s">
        <v>63</v>
      </c>
      <c r="C20" s="26" t="s">
        <v>64</v>
      </c>
      <c r="D20" s="11" t="n">
        <v>1250</v>
      </c>
      <c r="E20" s="11" t="n">
        <v>1645</v>
      </c>
      <c r="F20" s="12" t="n">
        <v>395</v>
      </c>
      <c r="G20" s="41" t="n">
        <v>0.316</v>
      </c>
    </row>
    <row r="21" customFormat="false" ht="15" hidden="false" customHeight="false" outlineLevel="0" collapsed="false">
      <c r="B21" s="26" t="s">
        <v>81</v>
      </c>
      <c r="C21" s="26" t="s">
        <v>82</v>
      </c>
      <c r="D21" s="11" t="n">
        <v>1430</v>
      </c>
      <c r="E21" s="11" t="n">
        <v>1730</v>
      </c>
      <c r="F21" s="12" t="n">
        <v>300</v>
      </c>
      <c r="G21" s="41" t="n">
        <v>0.20979020979021</v>
      </c>
    </row>
    <row r="24" customFormat="false" ht="15" hidden="false" customHeight="false" outlineLevel="0" collapsed="false">
      <c r="B24" s="42" t="s">
        <v>129</v>
      </c>
      <c r="C24" s="42"/>
      <c r="D24" s="42"/>
      <c r="E24" s="42"/>
      <c r="F24" s="42"/>
      <c r="G24" s="42"/>
      <c r="H24" s="42"/>
    </row>
    <row r="25" customFormat="false" ht="15" hidden="false" customHeight="false" outlineLevel="0" collapsed="false">
      <c r="B25" s="9" t="s">
        <v>57</v>
      </c>
      <c r="C25" s="9" t="s">
        <v>58</v>
      </c>
      <c r="D25" s="9" t="s">
        <v>60</v>
      </c>
      <c r="E25" s="9" t="s">
        <v>17</v>
      </c>
      <c r="F25" s="9" t="s">
        <v>130</v>
      </c>
      <c r="G25" s="9" t="s">
        <v>131</v>
      </c>
    </row>
    <row r="26" customFormat="false" ht="15" hidden="false" customHeight="false" outlineLevel="0" collapsed="false">
      <c r="B26" s="26" t="s">
        <v>98</v>
      </c>
      <c r="C26" s="26" t="s">
        <v>99</v>
      </c>
      <c r="D26" s="11" t="n">
        <v>143381</v>
      </c>
      <c r="E26" s="11" t="n">
        <v>109975.66</v>
      </c>
      <c r="F26" s="11" t="n">
        <v>33405.34</v>
      </c>
      <c r="G26" s="43" t="n">
        <v>0.2329830312245</v>
      </c>
    </row>
    <row r="27" customFormat="false" ht="15" hidden="false" customHeight="false" outlineLevel="0" collapsed="false">
      <c r="B27" s="26" t="s">
        <v>92</v>
      </c>
      <c r="C27" s="26" t="s">
        <v>93</v>
      </c>
      <c r="D27" s="11" t="n">
        <v>10570</v>
      </c>
      <c r="E27" s="11" t="n">
        <v>3972.94</v>
      </c>
      <c r="F27" s="11" t="n">
        <v>6597.06</v>
      </c>
      <c r="G27" s="43" t="n">
        <v>0.624130558183538</v>
      </c>
    </row>
    <row r="28" customFormat="false" ht="15" hidden="false" customHeight="false" outlineLevel="0" collapsed="false">
      <c r="B28" s="26" t="s">
        <v>107</v>
      </c>
      <c r="C28" s="26" t="s">
        <v>108</v>
      </c>
      <c r="D28" s="11" t="n">
        <v>4885</v>
      </c>
      <c r="E28" s="11" t="n">
        <v>2379</v>
      </c>
      <c r="F28" s="11" t="n">
        <v>2506</v>
      </c>
      <c r="G28" s="43" t="n">
        <v>0.512998976458547</v>
      </c>
    </row>
    <row r="29" customFormat="false" ht="15" hidden="false" customHeight="false" outlineLevel="0" collapsed="false">
      <c r="B29" s="26" t="s">
        <v>96</v>
      </c>
      <c r="C29" s="26" t="s">
        <v>97</v>
      </c>
      <c r="D29" s="11" t="n">
        <v>32510</v>
      </c>
      <c r="E29" s="11" t="n">
        <v>30742.47</v>
      </c>
      <c r="F29" s="11" t="n">
        <v>1767.53</v>
      </c>
      <c r="G29" s="43" t="n">
        <v>0.054368809597047</v>
      </c>
    </row>
    <row r="30" customFormat="false" ht="15" hidden="false" customHeight="false" outlineLevel="0" collapsed="false">
      <c r="B30" s="26" t="s">
        <v>102</v>
      </c>
      <c r="C30" s="26" t="s">
        <v>103</v>
      </c>
      <c r="D30" s="11" t="n">
        <v>2000</v>
      </c>
      <c r="E30" s="11" t="n">
        <v>641.45</v>
      </c>
      <c r="F30" s="11" t="n">
        <v>1358.55</v>
      </c>
      <c r="G30" s="43" t="n">
        <v>0.679275</v>
      </c>
    </row>
    <row r="31" customFormat="false" ht="15" hidden="false" customHeight="false" outlineLevel="0" collapsed="false">
      <c r="B31" s="26" t="s">
        <v>67</v>
      </c>
      <c r="C31" s="26" t="s">
        <v>68</v>
      </c>
      <c r="D31" s="11" t="n">
        <v>2500</v>
      </c>
      <c r="E31" s="11" t="n">
        <v>1324</v>
      </c>
      <c r="F31" s="11" t="n">
        <v>1176</v>
      </c>
      <c r="G31" s="43" t="n">
        <v>0.4704</v>
      </c>
    </row>
    <row r="32" customFormat="false" ht="15" hidden="false" customHeight="false" outlineLevel="0" collapsed="false">
      <c r="B32" s="26" t="s">
        <v>69</v>
      </c>
      <c r="C32" s="26" t="s">
        <v>70</v>
      </c>
      <c r="D32" s="11" t="n">
        <v>5350</v>
      </c>
      <c r="E32" s="11" t="n">
        <v>4209</v>
      </c>
      <c r="F32" s="11" t="n">
        <v>1141</v>
      </c>
      <c r="G32" s="43" t="n">
        <v>0.213271028037383</v>
      </c>
    </row>
    <row r="33" customFormat="false" ht="15" hidden="false" customHeight="false" outlineLevel="0" collapsed="false">
      <c r="B33" s="26" t="s">
        <v>109</v>
      </c>
      <c r="C33" s="26" t="s">
        <v>110</v>
      </c>
      <c r="D33" s="11" t="n">
        <v>6000</v>
      </c>
      <c r="E33" s="11" t="n">
        <v>4990.08</v>
      </c>
      <c r="F33" s="11" t="n">
        <v>1009.92</v>
      </c>
      <c r="G33" s="43" t="n">
        <v>0.16832</v>
      </c>
    </row>
    <row r="34" customFormat="false" ht="15" hidden="false" customHeight="false" outlineLevel="0" collapsed="false">
      <c r="B34" s="26" t="s">
        <v>88</v>
      </c>
      <c r="C34" s="26" t="s">
        <v>89</v>
      </c>
      <c r="D34" s="11" t="n">
        <v>1250</v>
      </c>
      <c r="E34" s="11" t="n">
        <v>369.06</v>
      </c>
      <c r="F34" s="11" t="n">
        <v>880.94</v>
      </c>
      <c r="G34" s="43" t="n">
        <v>0.704752</v>
      </c>
    </row>
    <row r="35" customFormat="false" ht="15" hidden="false" customHeight="false" outlineLevel="0" collapsed="false">
      <c r="B35" s="26" t="s">
        <v>73</v>
      </c>
      <c r="C35" s="26" t="s">
        <v>74</v>
      </c>
      <c r="D35" s="11" t="n">
        <v>2000</v>
      </c>
      <c r="E35" s="11" t="n">
        <v>1485.5</v>
      </c>
      <c r="F35" s="11" t="n">
        <v>514.5</v>
      </c>
      <c r="G35" s="43" t="n">
        <v>0.25725</v>
      </c>
    </row>
    <row r="38" customFormat="false" ht="7.5" hidden="false" customHeight="true" outlineLevel="0" collapsed="false"/>
    <row r="39" customFormat="false" ht="15" hidden="false" customHeight="false" outlineLevel="0" collapsed="false">
      <c r="B39" s="22" t="s">
        <v>51</v>
      </c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B40" s="23" t="s">
        <v>52</v>
      </c>
      <c r="C40" s="23"/>
      <c r="D40" s="23"/>
      <c r="E40" s="23"/>
      <c r="F40" s="23"/>
      <c r="G40" s="23"/>
      <c r="H40" s="23"/>
    </row>
    <row r="41" customFormat="false" ht="15" hidden="false" customHeight="false" outlineLevel="0" collapsed="false">
      <c r="B41" s="23" t="s">
        <v>53</v>
      </c>
      <c r="C41" s="23"/>
      <c r="D41" s="23"/>
      <c r="E41" s="23"/>
      <c r="F41" s="23"/>
      <c r="G41" s="23"/>
      <c r="H41" s="23"/>
    </row>
    <row r="42" customFormat="false" ht="15" hidden="false" customHeight="false" outlineLevel="0" collapsed="false">
      <c r="B42" s="23" t="s">
        <v>132</v>
      </c>
      <c r="C42" s="23"/>
      <c r="D42" s="23"/>
      <c r="E42" s="23"/>
      <c r="F42" s="23"/>
      <c r="G42" s="23"/>
      <c r="H42" s="23"/>
    </row>
  </sheetData>
  <mergeCells count="8">
    <mergeCell ref="B2:H2"/>
    <mergeCell ref="B4:H4"/>
    <mergeCell ref="B12:H12"/>
    <mergeCell ref="B24:H24"/>
    <mergeCell ref="B39:H39"/>
    <mergeCell ref="B40:H40"/>
    <mergeCell ref="B41:H41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"/>
  </cols>
  <sheetData>
    <row r="2" customFormat="false" ht="25.5" hidden="false" customHeight="true" outlineLevel="0" collapsed="false">
      <c r="B2" s="24" t="s">
        <v>133</v>
      </c>
      <c r="C2" s="24"/>
      <c r="D2" s="24"/>
      <c r="E2" s="24"/>
      <c r="F2" s="24"/>
      <c r="G2" s="24"/>
      <c r="H2" s="24"/>
    </row>
    <row r="3" customFormat="false" ht="15" hidden="false" customHeight="false" outlineLevel="0" collapsed="false">
      <c r="B3" s="44" t="s">
        <v>134</v>
      </c>
      <c r="C3" s="44"/>
      <c r="D3" s="44"/>
      <c r="E3" s="44"/>
      <c r="F3" s="44"/>
      <c r="G3" s="44"/>
      <c r="H3" s="44"/>
    </row>
    <row r="5" customFormat="false" ht="15" hidden="false" customHeight="false" outlineLevel="0" collapsed="false">
      <c r="B5" s="45" t="s">
        <v>135</v>
      </c>
      <c r="C5" s="45"/>
      <c r="D5" s="45"/>
      <c r="E5" s="45"/>
      <c r="F5" s="45"/>
      <c r="G5" s="45"/>
      <c r="H5" s="45"/>
    </row>
    <row r="6" customFormat="false" ht="15" hidden="false" customHeight="false" outlineLevel="0" collapsed="false">
      <c r="B6" s="9" t="s">
        <v>57</v>
      </c>
      <c r="C6" s="9" t="s">
        <v>58</v>
      </c>
      <c r="D6" s="9" t="s">
        <v>60</v>
      </c>
      <c r="E6" s="9" t="s">
        <v>17</v>
      </c>
      <c r="F6" s="9" t="s">
        <v>18</v>
      </c>
      <c r="G6" s="9" t="s">
        <v>61</v>
      </c>
      <c r="H6" s="9" t="s">
        <v>136</v>
      </c>
      <c r="I6" s="9" t="s">
        <v>125</v>
      </c>
    </row>
    <row r="7" customFormat="false" ht="15" hidden="false" customHeight="false" outlineLevel="0" collapsed="false">
      <c r="B7" s="26" t="s">
        <v>88</v>
      </c>
      <c r="C7" s="26" t="s">
        <v>89</v>
      </c>
      <c r="D7" s="11" t="n">
        <v>1250</v>
      </c>
      <c r="E7" s="11" t="n">
        <v>369.06</v>
      </c>
      <c r="F7" s="12" t="n">
        <f aca="false">D7-E7</f>
        <v>880.94</v>
      </c>
      <c r="G7" s="13" t="n">
        <f aca="false">IF(D7=0,0,E7/D7)</f>
        <v>0.295248</v>
      </c>
      <c r="H7" s="13" t="n">
        <f aca="false">E7/151064.39</f>
        <v>0.00244306417945354</v>
      </c>
      <c r="I7" s="11" t="n">
        <f aca="false">E7/168</f>
        <v>2.19678571428571</v>
      </c>
    </row>
    <row r="8" customFormat="false" ht="15" hidden="false" customHeight="false" outlineLevel="0" collapsed="false">
      <c r="B8" s="26" t="s">
        <v>90</v>
      </c>
      <c r="C8" s="26" t="s">
        <v>91</v>
      </c>
      <c r="D8" s="11" t="n">
        <v>2800</v>
      </c>
      <c r="E8" s="11" t="n">
        <v>2613.58</v>
      </c>
      <c r="F8" s="12" t="n">
        <f aca="false">D8-E8</f>
        <v>186.42</v>
      </c>
      <c r="G8" s="13" t="n">
        <f aca="false">IF(D8=0,0,E8/D8)</f>
        <v>0.933421428571429</v>
      </c>
      <c r="H8" s="13" t="n">
        <f aca="false">E8/151064.39</f>
        <v>0.0173010992200081</v>
      </c>
      <c r="I8" s="11" t="n">
        <f aca="false">E8/168</f>
        <v>15.5570238095238</v>
      </c>
    </row>
    <row r="9" customFormat="false" ht="15" hidden="false" customHeight="false" outlineLevel="0" collapsed="false">
      <c r="B9" s="26" t="s">
        <v>92</v>
      </c>
      <c r="C9" s="26" t="s">
        <v>93</v>
      </c>
      <c r="D9" s="11" t="n">
        <v>10570</v>
      </c>
      <c r="E9" s="11" t="n">
        <v>3972.94</v>
      </c>
      <c r="F9" s="12" t="n">
        <f aca="false">D9-E9</f>
        <v>6597.06</v>
      </c>
      <c r="G9" s="13" t="n">
        <f aca="false">IF(D9=0,0,E9/D9)</f>
        <v>0.375869441816462</v>
      </c>
      <c r="H9" s="13" t="n">
        <f aca="false">E9/151064.39</f>
        <v>0.0262996461310306</v>
      </c>
      <c r="I9" s="11" t="n">
        <f aca="false">E9/168</f>
        <v>23.6484523809524</v>
      </c>
    </row>
    <row r="10" customFormat="false" ht="15" hidden="false" customHeight="false" outlineLevel="0" collapsed="false">
      <c r="B10" s="26" t="s">
        <v>94</v>
      </c>
      <c r="C10" s="26" t="s">
        <v>95</v>
      </c>
      <c r="D10" s="11" t="n">
        <v>2800</v>
      </c>
      <c r="E10" s="11" t="n">
        <v>2749.23</v>
      </c>
      <c r="F10" s="12" t="n">
        <f aca="false">D10-E10</f>
        <v>50.77</v>
      </c>
      <c r="G10" s="13" t="n">
        <f aca="false">IF(D10=0,0,E10/D10)</f>
        <v>0.981867857142857</v>
      </c>
      <c r="H10" s="13" t="n">
        <f aca="false">E10/151064.39</f>
        <v>0.0181990606786947</v>
      </c>
      <c r="I10" s="11" t="n">
        <f aca="false">E10/168</f>
        <v>16.3644642857143</v>
      </c>
    </row>
    <row r="11" customFormat="false" ht="15" hidden="false" customHeight="false" outlineLevel="0" collapsed="false">
      <c r="B11" s="26" t="s">
        <v>96</v>
      </c>
      <c r="C11" s="26" t="s">
        <v>97</v>
      </c>
      <c r="D11" s="11" t="n">
        <v>32510</v>
      </c>
      <c r="E11" s="11" t="n">
        <v>30742.47</v>
      </c>
      <c r="F11" s="12" t="n">
        <f aca="false">D11-E11</f>
        <v>1767.53</v>
      </c>
      <c r="G11" s="13" t="n">
        <f aca="false">IF(D11=0,0,E11/D11)</f>
        <v>0.945631190402953</v>
      </c>
      <c r="H11" s="13" t="n">
        <f aca="false">E11/151064.39</f>
        <v>0.203505736858303</v>
      </c>
      <c r="I11" s="11" t="n">
        <f aca="false">E11/168</f>
        <v>182.990892857143</v>
      </c>
    </row>
    <row r="12" customFormat="false" ht="15" hidden="false" customHeight="false" outlineLevel="0" collapsed="false">
      <c r="B12" s="26" t="s">
        <v>98</v>
      </c>
      <c r="C12" s="26" t="s">
        <v>99</v>
      </c>
      <c r="D12" s="11" t="n">
        <v>143381</v>
      </c>
      <c r="E12" s="11" t="n">
        <v>109975.66</v>
      </c>
      <c r="F12" s="12" t="n">
        <f aca="false">D12-E12</f>
        <v>33405.34</v>
      </c>
      <c r="G12" s="13" t="n">
        <f aca="false">IF(D12=0,0,E12/D12)</f>
        <v>0.7670169687755</v>
      </c>
      <c r="H12" s="13" t="n">
        <f aca="false">E12/151064.39</f>
        <v>0.728005190369484</v>
      </c>
      <c r="I12" s="11" t="n">
        <f aca="false">E12/168</f>
        <v>654.617023809524</v>
      </c>
    </row>
    <row r="13" customFormat="false" ht="15" hidden="false" customHeight="false" outlineLevel="0" collapsed="false">
      <c r="B13" s="26" t="s">
        <v>100</v>
      </c>
      <c r="C13" s="26" t="s">
        <v>101</v>
      </c>
      <c r="D13" s="11" t="n">
        <v>0</v>
      </c>
      <c r="E13" s="11" t="n">
        <v>0</v>
      </c>
      <c r="F13" s="12" t="n">
        <f aca="false">D13-E13</f>
        <v>0</v>
      </c>
      <c r="G13" s="13" t="n">
        <f aca="false">IF(D13=0,0,E13/D13)</f>
        <v>0</v>
      </c>
      <c r="H13" s="13" t="n">
        <f aca="false">E13/151064.39</f>
        <v>0</v>
      </c>
      <c r="I13" s="11" t="n">
        <f aca="false">E13/168</f>
        <v>0</v>
      </c>
    </row>
    <row r="14" customFormat="false" ht="15" hidden="false" customHeight="false" outlineLevel="0" collapsed="false">
      <c r="B14" s="26" t="s">
        <v>102</v>
      </c>
      <c r="C14" s="26" t="s">
        <v>103</v>
      </c>
      <c r="D14" s="11" t="n">
        <v>2000</v>
      </c>
      <c r="E14" s="11" t="n">
        <v>641.45</v>
      </c>
      <c r="F14" s="12" t="n">
        <f aca="false">D14-E14</f>
        <v>1358.55</v>
      </c>
      <c r="G14" s="13" t="n">
        <f aca="false">IF(D14=0,0,E14/D14)</f>
        <v>0.320725</v>
      </c>
      <c r="H14" s="13" t="n">
        <f aca="false">E14/151064.39</f>
        <v>0.00424620256302627</v>
      </c>
      <c r="I14" s="11" t="n">
        <f aca="false">E14/168</f>
        <v>3.81815476190476</v>
      </c>
    </row>
    <row r="15" customFormat="false" ht="15" hidden="false" customHeight="false" outlineLevel="0" collapsed="false">
      <c r="B15" s="26" t="s">
        <v>104</v>
      </c>
      <c r="C15" s="26" t="s">
        <v>105</v>
      </c>
      <c r="D15" s="11" t="n">
        <v>0</v>
      </c>
      <c r="E15" s="11" t="n">
        <v>0</v>
      </c>
      <c r="F15" s="12" t="n">
        <f aca="false">D15-E15</f>
        <v>0</v>
      </c>
      <c r="G15" s="13" t="n">
        <f aca="false">IF(D15=0,0,E15/D15)</f>
        <v>0</v>
      </c>
      <c r="H15" s="13" t="n">
        <f aca="false">E15/151064.39</f>
        <v>0</v>
      </c>
      <c r="I15" s="11" t="n">
        <f aca="false">E15/168</f>
        <v>0</v>
      </c>
    </row>
    <row r="16" customFormat="false" ht="15" hidden="false" customHeight="false" outlineLevel="0" collapsed="false">
      <c r="B16" s="9" t="s">
        <v>25</v>
      </c>
      <c r="C16" s="9" t="s">
        <v>137</v>
      </c>
      <c r="D16" s="17" t="n">
        <v>195311</v>
      </c>
      <c r="E16" s="17" t="n">
        <v>151064.39</v>
      </c>
      <c r="F16" s="18" t="n">
        <f aca="false">D16-E16</f>
        <v>44246.61</v>
      </c>
      <c r="G16" s="19" t="n">
        <f aca="false">E16/D16</f>
        <v>0.773455616939138</v>
      </c>
      <c r="H16" s="19" t="n">
        <v>1</v>
      </c>
      <c r="I16" s="17" t="n">
        <f aca="false">E16/168</f>
        <v>899.192797619048</v>
      </c>
    </row>
    <row r="19" customFormat="false" ht="15" hidden="false" customHeight="false" outlineLevel="0" collapsed="false">
      <c r="B19" s="45" t="s">
        <v>138</v>
      </c>
      <c r="C19" s="45"/>
      <c r="D19" s="45"/>
      <c r="E19" s="45"/>
      <c r="F19" s="45"/>
      <c r="G19" s="45"/>
      <c r="H19" s="45"/>
    </row>
    <row r="20" customFormat="false" ht="15" hidden="false" customHeight="false" outlineLevel="0" collapsed="false">
      <c r="B20" s="9" t="s">
        <v>139</v>
      </c>
      <c r="C20" s="9" t="s">
        <v>140</v>
      </c>
      <c r="D20" s="9" t="s">
        <v>141</v>
      </c>
      <c r="E20" s="9" t="s">
        <v>142</v>
      </c>
      <c r="F20" s="9"/>
      <c r="G20" s="9"/>
      <c r="H20" s="9" t="s">
        <v>143</v>
      </c>
      <c r="I20" s="9"/>
    </row>
    <row r="21" customFormat="false" ht="15" hidden="false" customHeight="false" outlineLevel="0" collapsed="false">
      <c r="B21" s="26" t="s">
        <v>144</v>
      </c>
      <c r="C21" s="36" t="n">
        <v>65</v>
      </c>
      <c r="D21" s="11" t="n">
        <v>115565.31</v>
      </c>
      <c r="E21" s="13" t="n">
        <f aca="false">D21/158779.15</f>
        <v>0.727836809807837</v>
      </c>
      <c r="F21" s="26"/>
      <c r="G21" s="26"/>
      <c r="H21" s="11" t="n">
        <f aca="false">D21/C21</f>
        <v>1777.92784615385</v>
      </c>
      <c r="I21" s="26"/>
    </row>
    <row r="22" customFormat="false" ht="15" hidden="false" customHeight="false" outlineLevel="0" collapsed="false">
      <c r="B22" s="26" t="s">
        <v>145</v>
      </c>
      <c r="C22" s="36" t="n">
        <v>2</v>
      </c>
      <c r="D22" s="11" t="n">
        <v>16160.7</v>
      </c>
      <c r="E22" s="13" t="n">
        <f aca="false">D22/158779.15</f>
        <v>0.10178099580455</v>
      </c>
      <c r="F22" s="26"/>
      <c r="G22" s="26"/>
      <c r="H22" s="11" t="n">
        <f aca="false">D22/C22</f>
        <v>8080.35</v>
      </c>
      <c r="I22" s="26"/>
    </row>
    <row r="23" customFormat="false" ht="15" hidden="false" customHeight="false" outlineLevel="0" collapsed="false">
      <c r="B23" s="26" t="s">
        <v>146</v>
      </c>
      <c r="C23" s="36" t="n">
        <v>14</v>
      </c>
      <c r="D23" s="11" t="n">
        <v>16101.83</v>
      </c>
      <c r="E23" s="13" t="n">
        <f aca="false">D23/158779.15</f>
        <v>0.101410229239796</v>
      </c>
      <c r="F23" s="26"/>
      <c r="G23" s="26"/>
      <c r="H23" s="11" t="n">
        <f aca="false">D23/C23</f>
        <v>1150.13071428571</v>
      </c>
      <c r="I23" s="26"/>
    </row>
    <row r="24" customFormat="false" ht="15" hidden="false" customHeight="false" outlineLevel="0" collapsed="false">
      <c r="B24" s="26" t="s">
        <v>147</v>
      </c>
      <c r="C24" s="36" t="n">
        <v>1</v>
      </c>
      <c r="D24" s="11" t="n">
        <v>4895</v>
      </c>
      <c r="E24" s="13" t="n">
        <f aca="false">D24/158779.15</f>
        <v>0.0308289847879901</v>
      </c>
      <c r="F24" s="26"/>
      <c r="G24" s="26"/>
      <c r="H24" s="11" t="n">
        <f aca="false">D24/C24</f>
        <v>4895</v>
      </c>
      <c r="I24" s="26"/>
    </row>
    <row r="25" customFormat="false" ht="15" hidden="false" customHeight="false" outlineLevel="0" collapsed="false">
      <c r="B25" s="26" t="s">
        <v>148</v>
      </c>
      <c r="C25" s="36" t="n">
        <v>1</v>
      </c>
      <c r="D25" s="11" t="n">
        <v>2250</v>
      </c>
      <c r="E25" s="13" t="n">
        <f aca="false">D25/158779.15</f>
        <v>0.0141706263070435</v>
      </c>
      <c r="F25" s="26"/>
      <c r="G25" s="26"/>
      <c r="H25" s="11" t="n">
        <f aca="false">D25/C25</f>
        <v>2250</v>
      </c>
      <c r="I25" s="26"/>
    </row>
    <row r="26" customFormat="false" ht="15" hidden="false" customHeight="false" outlineLevel="0" collapsed="false">
      <c r="B26" s="26" t="s">
        <v>149</v>
      </c>
      <c r="C26" s="36" t="n">
        <v>4</v>
      </c>
      <c r="D26" s="11" t="n">
        <v>1821</v>
      </c>
      <c r="E26" s="13" t="n">
        <f aca="false">D26/158779.15</f>
        <v>0.0114687602245005</v>
      </c>
      <c r="F26" s="26"/>
      <c r="G26" s="26"/>
      <c r="H26" s="11" t="n">
        <f aca="false">D26/C26</f>
        <v>455.25</v>
      </c>
      <c r="I26" s="26"/>
    </row>
    <row r="27" customFormat="false" ht="15" hidden="false" customHeight="false" outlineLevel="0" collapsed="false">
      <c r="B27" s="26" t="s">
        <v>150</v>
      </c>
      <c r="C27" s="36" t="n">
        <v>2</v>
      </c>
      <c r="D27" s="11" t="n">
        <v>1040.84</v>
      </c>
      <c r="E27" s="13" t="n">
        <f aca="false">D27/158779.15</f>
        <v>0.00655526874907694</v>
      </c>
      <c r="F27" s="26"/>
      <c r="G27" s="26"/>
      <c r="H27" s="11" t="n">
        <f aca="false">D27/C27</f>
        <v>520.42</v>
      </c>
      <c r="I27" s="26"/>
    </row>
    <row r="28" customFormat="false" ht="15" hidden="false" customHeight="false" outlineLevel="0" collapsed="false">
      <c r="B28" s="26" t="s">
        <v>151</v>
      </c>
      <c r="C28" s="36" t="n">
        <v>1</v>
      </c>
      <c r="D28" s="11" t="n">
        <v>245.19</v>
      </c>
      <c r="E28" s="13" t="n">
        <f aca="false">D28/158779.15</f>
        <v>0.00154422038409955</v>
      </c>
      <c r="F28" s="26"/>
      <c r="G28" s="26"/>
      <c r="H28" s="11" t="n">
        <f aca="false">D28/C28</f>
        <v>245.19</v>
      </c>
      <c r="I28" s="26"/>
    </row>
    <row r="29" customFormat="false" ht="15" hidden="false" customHeight="false" outlineLevel="0" collapsed="false">
      <c r="B29" s="26" t="s">
        <v>152</v>
      </c>
      <c r="C29" s="36" t="n">
        <v>1</v>
      </c>
      <c r="D29" s="11" t="n">
        <v>210</v>
      </c>
      <c r="E29" s="13" t="n">
        <f aca="false">D29/158779.15</f>
        <v>0.00132259178865739</v>
      </c>
      <c r="F29" s="26"/>
      <c r="G29" s="26"/>
      <c r="H29" s="11" t="n">
        <f aca="false">D29/C29</f>
        <v>210</v>
      </c>
      <c r="I29" s="26"/>
    </row>
    <row r="30" customFormat="false" ht="15" hidden="false" customHeight="false" outlineLevel="0" collapsed="false">
      <c r="B30" s="26" t="s">
        <v>153</v>
      </c>
      <c r="C30" s="36" t="n">
        <v>3</v>
      </c>
      <c r="D30" s="11" t="n">
        <v>167.8</v>
      </c>
      <c r="E30" s="13" t="n">
        <f aca="false">D30/158779.15</f>
        <v>0.00105681381969862</v>
      </c>
      <c r="F30" s="26"/>
      <c r="G30" s="26"/>
      <c r="H30" s="11" t="n">
        <f aca="false">D30/C30</f>
        <v>55.9333333333333</v>
      </c>
      <c r="I30" s="26"/>
    </row>
    <row r="31" customFormat="false" ht="15" hidden="false" customHeight="false" outlineLevel="0" collapsed="false">
      <c r="B31" s="26" t="s">
        <v>154</v>
      </c>
      <c r="C31" s="36" t="n">
        <v>1</v>
      </c>
      <c r="D31" s="11" t="n">
        <v>129</v>
      </c>
      <c r="E31" s="13" t="n">
        <f aca="false">D31/158779.15</f>
        <v>0.000812449241603825</v>
      </c>
      <c r="F31" s="26"/>
      <c r="G31" s="26"/>
      <c r="H31" s="11" t="n">
        <f aca="false">D31/C31</f>
        <v>129</v>
      </c>
      <c r="I31" s="26"/>
    </row>
    <row r="32" customFormat="false" ht="15" hidden="false" customHeight="false" outlineLevel="0" collapsed="false">
      <c r="B32" s="26" t="s">
        <v>155</v>
      </c>
      <c r="C32" s="36" t="n">
        <v>2</v>
      </c>
      <c r="D32" s="11" t="n">
        <v>97.4</v>
      </c>
      <c r="E32" s="13" t="n">
        <f aca="false">D32/158779.15</f>
        <v>0.00061343066769157</v>
      </c>
      <c r="F32" s="26"/>
      <c r="G32" s="26"/>
      <c r="H32" s="11" t="n">
        <f aca="false">D32/C32</f>
        <v>48.7</v>
      </c>
      <c r="I32" s="26"/>
    </row>
    <row r="33" customFormat="false" ht="15" hidden="false" customHeight="false" outlineLevel="0" collapsed="false">
      <c r="B33" s="26" t="s">
        <v>156</v>
      </c>
      <c r="C33" s="36" t="n">
        <v>1</v>
      </c>
      <c r="D33" s="11" t="n">
        <v>95.08</v>
      </c>
      <c r="E33" s="13" t="n">
        <f aca="false">D33/158779.15</f>
        <v>0.000598819177454975</v>
      </c>
      <c r="F33" s="26"/>
      <c r="G33" s="26"/>
      <c r="H33" s="11" t="n">
        <f aca="false">D33/C33</f>
        <v>95.08</v>
      </c>
      <c r="I33" s="26"/>
    </row>
    <row r="34" customFormat="false" ht="15" hidden="false" customHeight="false" outlineLevel="0" collapsed="false">
      <c r="B34" s="9" t="s">
        <v>25</v>
      </c>
      <c r="C34" s="9" t="n">
        <v>98</v>
      </c>
      <c r="D34" s="17" t="n">
        <v>158779.15</v>
      </c>
      <c r="E34" s="19" t="n">
        <v>1</v>
      </c>
      <c r="F34" s="9"/>
      <c r="G34" s="9"/>
      <c r="H34" s="9"/>
      <c r="I34" s="9"/>
    </row>
    <row r="37" customFormat="false" ht="7.5" hidden="false" customHeight="true" outlineLevel="0" collapsed="false"/>
    <row r="38" customFormat="false" ht="15" hidden="false" customHeight="false" outlineLevel="0" collapsed="false">
      <c r="B38" s="22" t="s">
        <v>51</v>
      </c>
      <c r="C38" s="22"/>
      <c r="D38" s="22"/>
      <c r="E38" s="22"/>
      <c r="F38" s="22"/>
      <c r="G38" s="22"/>
      <c r="H38" s="22"/>
    </row>
    <row r="39" customFormat="false" ht="15" hidden="false" customHeight="false" outlineLevel="0" collapsed="false">
      <c r="B39" s="23" t="s">
        <v>52</v>
      </c>
      <c r="C39" s="23"/>
      <c r="D39" s="23"/>
      <c r="E39" s="23"/>
      <c r="F39" s="23"/>
      <c r="G39" s="23"/>
      <c r="H39" s="23"/>
    </row>
    <row r="40" customFormat="false" ht="15" hidden="false" customHeight="false" outlineLevel="0" collapsed="false">
      <c r="B40" s="23" t="s">
        <v>53</v>
      </c>
      <c r="C40" s="23"/>
      <c r="D40" s="23"/>
      <c r="E40" s="23"/>
      <c r="F40" s="23"/>
      <c r="G40" s="23"/>
      <c r="H40" s="23"/>
    </row>
    <row r="41" customFormat="false" ht="15" hidden="false" customHeight="false" outlineLevel="0" collapsed="false">
      <c r="B41" s="23" t="s">
        <v>157</v>
      </c>
      <c r="C41" s="23"/>
      <c r="D41" s="23"/>
      <c r="E41" s="23"/>
      <c r="F41" s="23"/>
      <c r="G41" s="23"/>
      <c r="H41" s="23"/>
    </row>
    <row r="42" customFormat="false" ht="15" hidden="false" customHeight="false" outlineLevel="0" collapsed="false">
      <c r="B42" s="23" t="s">
        <v>158</v>
      </c>
      <c r="C42" s="23"/>
      <c r="D42" s="23"/>
      <c r="E42" s="23"/>
      <c r="F42" s="23"/>
      <c r="G42" s="23"/>
      <c r="H42" s="23"/>
    </row>
  </sheetData>
  <mergeCells count="9">
    <mergeCell ref="B2:H2"/>
    <mergeCell ref="B3:H3"/>
    <mergeCell ref="B5:H5"/>
    <mergeCell ref="B19:H19"/>
    <mergeCell ref="B38:H38"/>
    <mergeCell ref="B39:H39"/>
    <mergeCell ref="B40:H40"/>
    <mergeCell ref="B41:H41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"/>
  </cols>
  <sheetData>
    <row r="2" customFormat="false" ht="25.5" hidden="false" customHeight="true" outlineLevel="0" collapsed="false">
      <c r="B2" s="24" t="s">
        <v>159</v>
      </c>
      <c r="C2" s="24"/>
      <c r="D2" s="24"/>
      <c r="E2" s="24"/>
      <c r="F2" s="24"/>
    </row>
    <row r="4" customFormat="false" ht="15" hidden="false" customHeight="false" outlineLevel="0" collapsed="false">
      <c r="B4" s="9" t="s">
        <v>160</v>
      </c>
      <c r="C4" s="9" t="s">
        <v>161</v>
      </c>
      <c r="D4" s="9" t="s">
        <v>162</v>
      </c>
      <c r="E4" s="9" t="s">
        <v>163</v>
      </c>
      <c r="F4" s="9" t="s">
        <v>164</v>
      </c>
    </row>
    <row r="5" customFormat="false" ht="15" hidden="false" customHeight="false" outlineLevel="0" collapsed="false">
      <c r="B5" s="26" t="s">
        <v>165</v>
      </c>
      <c r="C5" s="36" t="n">
        <v>609</v>
      </c>
      <c r="D5" s="11" t="n">
        <v>15870</v>
      </c>
      <c r="E5" s="46" t="n">
        <f aca="false">IF(C5=0,0,D5/C5)</f>
        <v>26.0591133004926</v>
      </c>
      <c r="F5" s="10" t="s">
        <v>166</v>
      </c>
    </row>
    <row r="6" customFormat="false" ht="15" hidden="false" customHeight="false" outlineLevel="0" collapsed="false">
      <c r="B6" s="26" t="s">
        <v>167</v>
      </c>
      <c r="C6" s="36" t="n">
        <v>432.5</v>
      </c>
      <c r="D6" s="11" t="n">
        <v>10872</v>
      </c>
      <c r="E6" s="46" t="n">
        <f aca="false">IF(C6=0,0,D6/C6)</f>
        <v>25.1375722543353</v>
      </c>
      <c r="F6" s="10" t="s">
        <v>166</v>
      </c>
    </row>
    <row r="7" customFormat="false" ht="15" hidden="false" customHeight="false" outlineLevel="0" collapsed="false">
      <c r="B7" s="26" t="s">
        <v>168</v>
      </c>
      <c r="C7" s="36" t="n">
        <v>416</v>
      </c>
      <c r="D7" s="11" t="n">
        <v>5264</v>
      </c>
      <c r="E7" s="46" t="n">
        <f aca="false">IF(C7=0,0,D7/C7)</f>
        <v>12.6538461538462</v>
      </c>
      <c r="F7" s="47" t="s">
        <v>169</v>
      </c>
    </row>
    <row r="8" customFormat="false" ht="15" hidden="false" customHeight="false" outlineLevel="0" collapsed="false">
      <c r="B8" s="26" t="s">
        <v>170</v>
      </c>
      <c r="C8" s="36" t="n">
        <v>349</v>
      </c>
      <c r="D8" s="11" t="n">
        <v>7678</v>
      </c>
      <c r="E8" s="46" t="n">
        <f aca="false">IF(C8=0,0,D8/C8)</f>
        <v>22</v>
      </c>
      <c r="F8" s="10" t="s">
        <v>166</v>
      </c>
    </row>
    <row r="9" customFormat="false" ht="15" hidden="false" customHeight="false" outlineLevel="0" collapsed="false">
      <c r="B9" s="26" t="s">
        <v>171</v>
      </c>
      <c r="C9" s="36" t="n">
        <v>304</v>
      </c>
      <c r="D9" s="11" t="n">
        <v>7600</v>
      </c>
      <c r="E9" s="46" t="n">
        <f aca="false">IF(C9=0,0,D9/C9)</f>
        <v>25</v>
      </c>
      <c r="F9" s="10" t="s">
        <v>166</v>
      </c>
    </row>
    <row r="10" customFormat="false" ht="15" hidden="false" customHeight="false" outlineLevel="0" collapsed="false">
      <c r="B10" s="26" t="s">
        <v>172</v>
      </c>
      <c r="C10" s="36" t="n">
        <v>269</v>
      </c>
      <c r="D10" s="11" t="n">
        <v>3982</v>
      </c>
      <c r="E10" s="46" t="n">
        <f aca="false">IF(C10=0,0,D10/C10)</f>
        <v>14.8029739776952</v>
      </c>
      <c r="F10" s="47" t="s">
        <v>169</v>
      </c>
    </row>
    <row r="11" customFormat="false" ht="15" hidden="false" customHeight="false" outlineLevel="0" collapsed="false">
      <c r="B11" s="26" t="s">
        <v>173</v>
      </c>
      <c r="C11" s="36" t="n">
        <v>236</v>
      </c>
      <c r="D11" s="11" t="n">
        <v>3304</v>
      </c>
      <c r="E11" s="46" t="n">
        <f aca="false">IF(C11=0,0,D11/C11)</f>
        <v>14</v>
      </c>
      <c r="F11" s="47" t="s">
        <v>169</v>
      </c>
    </row>
    <row r="12" customFormat="false" ht="15" hidden="false" customHeight="false" outlineLevel="0" collapsed="false">
      <c r="B12" s="26" t="s">
        <v>174</v>
      </c>
      <c r="C12" s="36" t="n">
        <v>221</v>
      </c>
      <c r="D12" s="11" t="n">
        <v>2487</v>
      </c>
      <c r="E12" s="46" t="n">
        <f aca="false">IF(C12=0,0,D12/C12)</f>
        <v>11.2533936651584</v>
      </c>
      <c r="F12" s="47" t="s">
        <v>169</v>
      </c>
    </row>
    <row r="13" customFormat="false" ht="15" hidden="false" customHeight="false" outlineLevel="0" collapsed="false">
      <c r="B13" s="26" t="s">
        <v>175</v>
      </c>
      <c r="C13" s="36" t="n">
        <v>210.5</v>
      </c>
      <c r="D13" s="11" t="n">
        <v>2859.5</v>
      </c>
      <c r="E13" s="46" t="n">
        <f aca="false">IF(C13=0,0,D13/C13)</f>
        <v>13.58432304038</v>
      </c>
      <c r="F13" s="47" t="s">
        <v>169</v>
      </c>
    </row>
    <row r="14" customFormat="false" ht="15" hidden="false" customHeight="false" outlineLevel="0" collapsed="false">
      <c r="B14" s="26" t="s">
        <v>176</v>
      </c>
      <c r="C14" s="36" t="n">
        <v>208</v>
      </c>
      <c r="D14" s="11" t="n">
        <v>4136</v>
      </c>
      <c r="E14" s="46" t="n">
        <f aca="false">IF(C14=0,0,D14/C14)</f>
        <v>19.8846153846154</v>
      </c>
      <c r="F14" s="10" t="s">
        <v>166</v>
      </c>
    </row>
    <row r="15" customFormat="false" ht="15" hidden="false" customHeight="false" outlineLevel="0" collapsed="false">
      <c r="B15" s="26" t="s">
        <v>177</v>
      </c>
      <c r="C15" s="36" t="n">
        <v>192</v>
      </c>
      <c r="D15" s="11" t="n">
        <v>2880</v>
      </c>
      <c r="E15" s="46" t="n">
        <f aca="false">IF(C15=0,0,D15/C15)</f>
        <v>15</v>
      </c>
      <c r="F15" s="47" t="s">
        <v>169</v>
      </c>
    </row>
    <row r="16" customFormat="false" ht="15" hidden="false" customHeight="false" outlineLevel="0" collapsed="false">
      <c r="B16" s="26" t="s">
        <v>178</v>
      </c>
      <c r="C16" s="36" t="n">
        <v>167</v>
      </c>
      <c r="D16" s="11" t="n">
        <v>5341</v>
      </c>
      <c r="E16" s="46" t="n">
        <f aca="false">IF(C16=0,0,D16/C16)</f>
        <v>31.9820359281437</v>
      </c>
      <c r="F16" s="48" t="s">
        <v>179</v>
      </c>
    </row>
    <row r="17" customFormat="false" ht="15" hidden="false" customHeight="false" outlineLevel="0" collapsed="false">
      <c r="B17" s="26" t="s">
        <v>180</v>
      </c>
      <c r="C17" s="36" t="n">
        <v>160</v>
      </c>
      <c r="D17" s="11" t="n">
        <v>4000</v>
      </c>
      <c r="E17" s="46" t="n">
        <f aca="false">IF(C17=0,0,D17/C17)</f>
        <v>25</v>
      </c>
      <c r="F17" s="10" t="s">
        <v>166</v>
      </c>
    </row>
    <row r="18" customFormat="false" ht="15" hidden="false" customHeight="false" outlineLevel="0" collapsed="false">
      <c r="B18" s="26" t="s">
        <v>181</v>
      </c>
      <c r="C18" s="36" t="n">
        <v>90.5</v>
      </c>
      <c r="D18" s="11" t="n">
        <v>2550.5</v>
      </c>
      <c r="E18" s="46" t="n">
        <f aca="false">IF(C18=0,0,D18/C18)</f>
        <v>28.182320441989</v>
      </c>
      <c r="F18" s="10" t="s">
        <v>166</v>
      </c>
    </row>
    <row r="19" customFormat="false" ht="15" hidden="false" customHeight="false" outlineLevel="0" collapsed="false">
      <c r="B19" s="26" t="s">
        <v>182</v>
      </c>
      <c r="C19" s="36" t="n">
        <v>88</v>
      </c>
      <c r="D19" s="11" t="n">
        <v>976</v>
      </c>
      <c r="E19" s="46" t="n">
        <f aca="false">IF(C19=0,0,D19/C19)</f>
        <v>11.0909090909091</v>
      </c>
      <c r="F19" s="47" t="s">
        <v>169</v>
      </c>
    </row>
    <row r="20" customFormat="false" ht="15" hidden="false" customHeight="false" outlineLevel="0" collapsed="false">
      <c r="B20" s="26" t="s">
        <v>183</v>
      </c>
      <c r="C20" s="36" t="n">
        <v>80.5</v>
      </c>
      <c r="D20" s="11" t="n">
        <v>1620</v>
      </c>
      <c r="E20" s="46" t="n">
        <f aca="false">IF(C20=0,0,D20/C20)</f>
        <v>20.1242236024845</v>
      </c>
      <c r="F20" s="10" t="s">
        <v>166</v>
      </c>
    </row>
    <row r="21" customFormat="false" ht="15" hidden="false" customHeight="false" outlineLevel="0" collapsed="false">
      <c r="B21" s="26" t="s">
        <v>184</v>
      </c>
      <c r="C21" s="36" t="n">
        <v>76.5</v>
      </c>
      <c r="D21" s="11" t="n">
        <v>1147.5</v>
      </c>
      <c r="E21" s="46" t="n">
        <f aca="false">IF(C21=0,0,D21/C21)</f>
        <v>15</v>
      </c>
      <c r="F21" s="47" t="s">
        <v>169</v>
      </c>
    </row>
    <row r="22" customFormat="false" ht="15" hidden="false" customHeight="false" outlineLevel="0" collapsed="false">
      <c r="B22" s="26" t="s">
        <v>185</v>
      </c>
      <c r="C22" s="36" t="n">
        <v>44</v>
      </c>
      <c r="D22" s="11" t="n">
        <v>1100</v>
      </c>
      <c r="E22" s="46" t="n">
        <f aca="false">IF(C22=0,0,D22/C22)</f>
        <v>25</v>
      </c>
      <c r="F22" s="10" t="s">
        <v>166</v>
      </c>
    </row>
    <row r="23" customFormat="false" ht="15" hidden="false" customHeight="false" outlineLevel="0" collapsed="false">
      <c r="B23" s="26" t="s">
        <v>186</v>
      </c>
      <c r="C23" s="36" t="n">
        <v>32</v>
      </c>
      <c r="D23" s="11" t="n">
        <v>704</v>
      </c>
      <c r="E23" s="46" t="n">
        <f aca="false">IF(C23=0,0,D23/C23)</f>
        <v>22</v>
      </c>
      <c r="F23" s="10" t="s">
        <v>166</v>
      </c>
    </row>
    <row r="24" customFormat="false" ht="15" hidden="false" customHeight="false" outlineLevel="0" collapsed="false">
      <c r="B24" s="26" t="s">
        <v>187</v>
      </c>
      <c r="C24" s="36" t="n">
        <v>8</v>
      </c>
      <c r="D24" s="11" t="n">
        <v>88</v>
      </c>
      <c r="E24" s="46" t="n">
        <f aca="false">IF(C24=0,0,D24/C24)</f>
        <v>11</v>
      </c>
      <c r="F24" s="47" t="s">
        <v>169</v>
      </c>
    </row>
    <row r="25" customFormat="false" ht="15" hidden="false" customHeight="false" outlineLevel="0" collapsed="false">
      <c r="B25" s="26" t="s">
        <v>188</v>
      </c>
      <c r="C25" s="36" t="n">
        <v>7</v>
      </c>
      <c r="D25" s="11" t="n">
        <v>224</v>
      </c>
      <c r="E25" s="46" t="n">
        <f aca="false">IF(C25=0,0,D25/C25)</f>
        <v>32</v>
      </c>
      <c r="F25" s="48" t="s">
        <v>179</v>
      </c>
    </row>
    <row r="26" customFormat="false" ht="15" hidden="false" customHeight="false" outlineLevel="0" collapsed="false">
      <c r="B26" s="26" t="s">
        <v>189</v>
      </c>
      <c r="C26" s="36" t="n">
        <v>2</v>
      </c>
      <c r="D26" s="11" t="n">
        <v>-2</v>
      </c>
      <c r="E26" s="46" t="n">
        <f aca="false">IF(C26=0,0,D26/C26)</f>
        <v>-1</v>
      </c>
      <c r="F26" s="47" t="s">
        <v>169</v>
      </c>
    </row>
    <row r="27" customFormat="false" ht="15" hidden="false" customHeight="false" outlineLevel="0" collapsed="false">
      <c r="B27" s="26" t="s">
        <v>190</v>
      </c>
      <c r="C27" s="36" t="n">
        <v>1.5</v>
      </c>
      <c r="D27" s="11" t="n">
        <v>16.5</v>
      </c>
      <c r="E27" s="46" t="n">
        <f aca="false">IF(C27=0,0,D27/C27)</f>
        <v>11</v>
      </c>
      <c r="F27" s="47" t="s">
        <v>169</v>
      </c>
    </row>
    <row r="28" customFormat="false" ht="15" hidden="false" customHeight="false" outlineLevel="0" collapsed="false">
      <c r="B28" s="9" t="s">
        <v>191</v>
      </c>
      <c r="C28" s="49" t="n">
        <v>4204</v>
      </c>
      <c r="D28" s="17" t="n">
        <v>84698</v>
      </c>
      <c r="E28" s="50" t="n">
        <f aca="false">D28/C28</f>
        <v>20.1470028544244</v>
      </c>
      <c r="F28" s="9"/>
    </row>
    <row r="31" customFormat="false" ht="7.5" hidden="false" customHeight="true" outlineLevel="0" collapsed="false"/>
    <row r="32" customFormat="false" ht="15" hidden="false" customHeight="false" outlineLevel="0" collapsed="false">
      <c r="B32" s="22" t="s">
        <v>51</v>
      </c>
      <c r="C32" s="22"/>
      <c r="D32" s="22"/>
      <c r="E32" s="22"/>
      <c r="F32" s="22"/>
    </row>
    <row r="33" customFormat="false" ht="15" hidden="false" customHeight="false" outlineLevel="0" collapsed="false">
      <c r="B33" s="23" t="s">
        <v>52</v>
      </c>
      <c r="C33" s="23"/>
      <c r="D33" s="23"/>
      <c r="E33" s="23"/>
      <c r="F33" s="23"/>
    </row>
    <row r="34" customFormat="false" ht="15" hidden="false" customHeight="false" outlineLevel="0" collapsed="false">
      <c r="B34" s="23" t="s">
        <v>53</v>
      </c>
      <c r="C34" s="23"/>
      <c r="D34" s="23"/>
      <c r="E34" s="23"/>
      <c r="F34" s="23"/>
    </row>
    <row r="35" customFormat="false" ht="15" hidden="false" customHeight="false" outlineLevel="0" collapsed="false">
      <c r="B35" s="23" t="s">
        <v>192</v>
      </c>
      <c r="C35" s="23"/>
      <c r="D35" s="23"/>
      <c r="E35" s="23"/>
      <c r="F35" s="23"/>
    </row>
    <row r="36" customFormat="false" ht="15" hidden="false" customHeight="false" outlineLevel="0" collapsed="false">
      <c r="B36" s="23" t="s">
        <v>193</v>
      </c>
      <c r="C36" s="23"/>
      <c r="D36" s="23"/>
      <c r="E36" s="23"/>
      <c r="F36" s="23"/>
    </row>
  </sheetData>
  <mergeCells count="6">
    <mergeCell ref="B2:F2"/>
    <mergeCell ref="B32:F32"/>
    <mergeCell ref="B33:F33"/>
    <mergeCell ref="B34:F34"/>
    <mergeCell ref="B35:F3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30"/>
    <col collapsed="false" customWidth="true" hidden="false" outlineLevel="0" max="7" min="7" style="0" width="2"/>
  </cols>
  <sheetData>
    <row r="2" customFormat="false" ht="25.5" hidden="false" customHeight="true" outlineLevel="0" collapsed="false">
      <c r="B2" s="24" t="s">
        <v>194</v>
      </c>
      <c r="C2" s="24"/>
      <c r="D2" s="24"/>
      <c r="E2" s="24"/>
      <c r="F2" s="24"/>
    </row>
    <row r="4" customFormat="false" ht="15" hidden="false" customHeight="false" outlineLevel="0" collapsed="false">
      <c r="B4" s="51" t="s">
        <v>195</v>
      </c>
      <c r="C4" s="51"/>
      <c r="D4" s="51"/>
      <c r="E4" s="51"/>
      <c r="F4" s="51"/>
    </row>
    <row r="5" customFormat="false" ht="15" hidden="false" customHeight="false" outlineLevel="0" collapsed="false">
      <c r="B5" s="9" t="s">
        <v>164</v>
      </c>
      <c r="C5" s="9" t="s">
        <v>196</v>
      </c>
      <c r="D5" s="9" t="s">
        <v>161</v>
      </c>
      <c r="E5" s="9" t="s">
        <v>162</v>
      </c>
      <c r="F5" s="9" t="s">
        <v>197</v>
      </c>
    </row>
    <row r="6" customFormat="false" ht="15" hidden="false" customHeight="false" outlineLevel="0" collapsed="false">
      <c r="B6" s="52" t="s">
        <v>179</v>
      </c>
      <c r="C6" s="26" t="n">
        <v>2</v>
      </c>
      <c r="D6" s="36" t="n">
        <v>174</v>
      </c>
      <c r="E6" s="11" t="n">
        <v>5565</v>
      </c>
      <c r="F6" s="13" t="n">
        <f aca="false">D6/4204</f>
        <v>0.0413891531874405</v>
      </c>
    </row>
    <row r="7" customFormat="false" ht="15" hidden="false" customHeight="false" outlineLevel="0" collapsed="false">
      <c r="B7" s="35" t="s">
        <v>166</v>
      </c>
      <c r="C7" s="26" t="n">
        <v>10</v>
      </c>
      <c r="D7" s="36" t="n">
        <v>2309.5</v>
      </c>
      <c r="E7" s="11" t="n">
        <v>56130.5</v>
      </c>
      <c r="F7" s="13" t="n">
        <f aca="false">D7/4204</f>
        <v>0.549357754519505</v>
      </c>
    </row>
    <row r="8" customFormat="false" ht="15" hidden="false" customHeight="false" outlineLevel="0" collapsed="false">
      <c r="B8" s="53" t="s">
        <v>169</v>
      </c>
      <c r="C8" s="26" t="n">
        <v>11</v>
      </c>
      <c r="D8" s="36" t="n">
        <v>1720.5</v>
      </c>
      <c r="E8" s="11" t="n">
        <v>23002.5</v>
      </c>
      <c r="F8" s="13" t="n">
        <f aca="false">D8/4204</f>
        <v>0.409253092293054</v>
      </c>
    </row>
    <row r="11" customFormat="false" ht="15" hidden="false" customHeight="false" outlineLevel="0" collapsed="false">
      <c r="B11" s="34" t="s">
        <v>198</v>
      </c>
      <c r="C11" s="34"/>
      <c r="D11" s="34"/>
      <c r="E11" s="34"/>
      <c r="F11" s="34"/>
    </row>
    <row r="12" customFormat="false" ht="15" hidden="false" customHeight="false" outlineLevel="0" collapsed="false">
      <c r="B12" s="26" t="s">
        <v>199</v>
      </c>
      <c r="C12" s="54" t="n">
        <v>20.1470028544244</v>
      </c>
      <c r="F12" s="55" t="s">
        <v>200</v>
      </c>
    </row>
    <row r="13" customFormat="false" ht="15" hidden="false" customHeight="false" outlineLevel="0" collapsed="false">
      <c r="B13" s="26" t="s">
        <v>201</v>
      </c>
      <c r="C13" s="54" t="n">
        <v>30.5125024295433</v>
      </c>
      <c r="F13" s="55" t="s">
        <v>202</v>
      </c>
    </row>
    <row r="14" customFormat="false" ht="15" hidden="false" customHeight="false" outlineLevel="0" collapsed="false">
      <c r="B14" s="26" t="s">
        <v>203</v>
      </c>
      <c r="C14" s="56" t="n">
        <v>1.51449337899124</v>
      </c>
      <c r="F14" s="55" t="s">
        <v>204</v>
      </c>
    </row>
    <row r="15" customFormat="false" ht="15" hidden="false" customHeight="false" outlineLevel="0" collapsed="false">
      <c r="B15" s="26" t="s">
        <v>205</v>
      </c>
      <c r="C15" s="54" t="n">
        <v>-1</v>
      </c>
      <c r="F15" s="55" t="s">
        <v>206</v>
      </c>
    </row>
    <row r="16" customFormat="false" ht="15" hidden="false" customHeight="false" outlineLevel="0" collapsed="false">
      <c r="B16" s="26" t="s">
        <v>207</v>
      </c>
      <c r="C16" s="54" t="n">
        <v>32</v>
      </c>
      <c r="F16" s="55" t="s">
        <v>208</v>
      </c>
    </row>
    <row r="17" customFormat="false" ht="15" hidden="false" customHeight="false" outlineLevel="0" collapsed="false">
      <c r="B17" s="26" t="s">
        <v>209</v>
      </c>
      <c r="C17" s="57" t="n">
        <v>182.782608695652</v>
      </c>
      <c r="F17" s="55" t="s">
        <v>210</v>
      </c>
    </row>
    <row r="20" customFormat="false" ht="7.5" hidden="false" customHeight="true" outlineLevel="0" collapsed="false"/>
    <row r="21" customFormat="false" ht="15" hidden="false" customHeight="false" outlineLevel="0" collapsed="false">
      <c r="B21" s="22" t="s">
        <v>51</v>
      </c>
      <c r="C21" s="22"/>
      <c r="D21" s="22"/>
      <c r="E21" s="22"/>
      <c r="F21" s="22"/>
    </row>
    <row r="22" customFormat="false" ht="15" hidden="false" customHeight="false" outlineLevel="0" collapsed="false">
      <c r="B22" s="23" t="s">
        <v>52</v>
      </c>
      <c r="C22" s="23"/>
      <c r="D22" s="23"/>
      <c r="E22" s="23"/>
      <c r="F22" s="23"/>
    </row>
    <row r="23" customFormat="false" ht="15" hidden="false" customHeight="false" outlineLevel="0" collapsed="false">
      <c r="B23" s="23" t="s">
        <v>53</v>
      </c>
      <c r="C23" s="23"/>
      <c r="D23" s="23"/>
      <c r="E23" s="23"/>
      <c r="F23" s="23"/>
    </row>
    <row r="24" customFormat="false" ht="15" hidden="false" customHeight="false" outlineLevel="0" collapsed="false">
      <c r="B24" s="23" t="s">
        <v>211</v>
      </c>
      <c r="C24" s="23"/>
      <c r="D24" s="23"/>
      <c r="E24" s="23"/>
      <c r="F24" s="23"/>
    </row>
  </sheetData>
  <mergeCells count="7">
    <mergeCell ref="B2:F2"/>
    <mergeCell ref="B4:F4"/>
    <mergeCell ref="B11:F11"/>
    <mergeCell ref="B21:F21"/>
    <mergeCell ref="B22:F22"/>
    <mergeCell ref="B23:F23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28"/>
    <col collapsed="false" customWidth="true" hidden="false" outlineLevel="0" max="7" min="7" style="0" width="2"/>
  </cols>
  <sheetData>
    <row r="2" customFormat="false" ht="25.5" hidden="false" customHeight="true" outlineLevel="0" collapsed="false">
      <c r="B2" s="24" t="s">
        <v>212</v>
      </c>
      <c r="C2" s="24"/>
      <c r="D2" s="24"/>
      <c r="E2" s="24"/>
      <c r="F2" s="24"/>
    </row>
    <row r="4" customFormat="false" ht="15" hidden="false" customHeight="false" outlineLevel="0" collapsed="false">
      <c r="B4" s="51" t="s">
        <v>213</v>
      </c>
      <c r="C4" s="51"/>
      <c r="D4" s="51"/>
      <c r="E4" s="51"/>
      <c r="F4" s="51"/>
    </row>
    <row r="5" customFormat="false" ht="15" hidden="false" customHeight="false" outlineLevel="0" collapsed="false">
      <c r="B5" s="9" t="s">
        <v>214</v>
      </c>
      <c r="C5" s="9" t="s">
        <v>215</v>
      </c>
      <c r="D5" s="9" t="s">
        <v>161</v>
      </c>
      <c r="E5" s="9" t="s">
        <v>216</v>
      </c>
      <c r="F5" s="9" t="s">
        <v>217</v>
      </c>
    </row>
    <row r="6" customFormat="false" ht="15" hidden="false" customHeight="false" outlineLevel="0" collapsed="false">
      <c r="B6" s="26" t="s">
        <v>218</v>
      </c>
      <c r="C6" s="26" t="s">
        <v>63</v>
      </c>
      <c r="D6" s="36" t="n">
        <v>76</v>
      </c>
      <c r="E6" s="13" t="n">
        <f aca="false">D6/4116</f>
        <v>0.0184645286686103</v>
      </c>
      <c r="F6" s="58" t="n">
        <f aca="false">D6/168</f>
        <v>0.452380952380952</v>
      </c>
    </row>
    <row r="7" customFormat="false" ht="15" hidden="false" customHeight="false" outlineLevel="0" collapsed="false">
      <c r="B7" s="26" t="s">
        <v>66</v>
      </c>
      <c r="C7" s="26" t="s">
        <v>65</v>
      </c>
      <c r="D7" s="36" t="n">
        <v>90</v>
      </c>
      <c r="E7" s="13" t="n">
        <f aca="false">D7/4116</f>
        <v>0.021865889212828</v>
      </c>
      <c r="F7" s="58" t="n">
        <f aca="false">D7/168</f>
        <v>0.535714285714286</v>
      </c>
    </row>
    <row r="8" customFormat="false" ht="15" hidden="false" customHeight="false" outlineLevel="0" collapsed="false">
      <c r="B8" s="26" t="s">
        <v>219</v>
      </c>
      <c r="C8" s="26" t="s">
        <v>67</v>
      </c>
      <c r="D8" s="36" t="n">
        <v>40</v>
      </c>
      <c r="E8" s="13" t="n">
        <f aca="false">D8/4116</f>
        <v>0.00971817298347911</v>
      </c>
      <c r="F8" s="58" t="n">
        <f aca="false">D8/168</f>
        <v>0.238095238095238</v>
      </c>
    </row>
    <row r="9" customFormat="false" ht="15" hidden="false" customHeight="false" outlineLevel="0" collapsed="false">
      <c r="B9" s="26" t="s">
        <v>220</v>
      </c>
      <c r="C9" s="26" t="s">
        <v>69</v>
      </c>
      <c r="D9" s="36" t="n">
        <v>213.5</v>
      </c>
      <c r="E9" s="13" t="n">
        <f aca="false">D9/4116</f>
        <v>0.0518707482993197</v>
      </c>
      <c r="F9" s="58" t="n">
        <f aca="false">D9/168</f>
        <v>1.27083333333333</v>
      </c>
    </row>
    <row r="10" customFormat="false" ht="15" hidden="false" customHeight="false" outlineLevel="0" collapsed="false">
      <c r="B10" s="26" t="s">
        <v>221</v>
      </c>
      <c r="C10" s="26" t="s">
        <v>71</v>
      </c>
      <c r="D10" s="36" t="n">
        <v>488</v>
      </c>
      <c r="E10" s="13" t="n">
        <f aca="false">D10/4116</f>
        <v>0.118561710398445</v>
      </c>
      <c r="F10" s="58" t="n">
        <f aca="false">D10/168</f>
        <v>2.9047619047619</v>
      </c>
    </row>
    <row r="11" customFormat="false" ht="15" hidden="false" customHeight="false" outlineLevel="0" collapsed="false">
      <c r="B11" s="26" t="s">
        <v>222</v>
      </c>
      <c r="C11" s="26" t="s">
        <v>73</v>
      </c>
      <c r="D11" s="36" t="n">
        <v>69.5</v>
      </c>
      <c r="E11" s="13" t="n">
        <f aca="false">D11/4116</f>
        <v>0.0168853255587949</v>
      </c>
      <c r="F11" s="58" t="n">
        <f aca="false">D11/168</f>
        <v>0.413690476190476</v>
      </c>
    </row>
    <row r="12" customFormat="false" ht="15" hidden="false" customHeight="false" outlineLevel="0" collapsed="false">
      <c r="B12" s="26" t="s">
        <v>223</v>
      </c>
      <c r="C12" s="26" t="s">
        <v>75</v>
      </c>
      <c r="D12" s="36" t="n">
        <v>2311</v>
      </c>
      <c r="E12" s="13" t="n">
        <f aca="false">D12/4116</f>
        <v>0.561467444120505</v>
      </c>
      <c r="F12" s="58" t="n">
        <f aca="false">D12/168</f>
        <v>13.7559523809524</v>
      </c>
    </row>
    <row r="13" customFormat="false" ht="15" hidden="false" customHeight="false" outlineLevel="0" collapsed="false">
      <c r="B13" s="26" t="s">
        <v>224</v>
      </c>
      <c r="C13" s="26" t="s">
        <v>77</v>
      </c>
      <c r="D13" s="36" t="n">
        <v>557.5</v>
      </c>
      <c r="E13" s="13" t="n">
        <f aca="false">D13/4116</f>
        <v>0.13544703595724</v>
      </c>
      <c r="F13" s="58" t="n">
        <f aca="false">D13/168</f>
        <v>3.31845238095238</v>
      </c>
    </row>
    <row r="14" customFormat="false" ht="15" hidden="false" customHeight="false" outlineLevel="0" collapsed="false">
      <c r="B14" s="26" t="s">
        <v>225</v>
      </c>
      <c r="C14" s="26" t="s">
        <v>79</v>
      </c>
      <c r="D14" s="36" t="n">
        <v>16</v>
      </c>
      <c r="E14" s="13" t="n">
        <f aca="false">D14/4116</f>
        <v>0.00388726919339164</v>
      </c>
      <c r="F14" s="58" t="n">
        <f aca="false">D14/168</f>
        <v>0.0952380952380952</v>
      </c>
    </row>
    <row r="15" customFormat="false" ht="15" hidden="false" customHeight="false" outlineLevel="0" collapsed="false">
      <c r="B15" s="26" t="s">
        <v>226</v>
      </c>
      <c r="C15" s="26" t="s">
        <v>81</v>
      </c>
      <c r="D15" s="36" t="n">
        <v>63</v>
      </c>
      <c r="E15" s="13" t="n">
        <f aca="false">D15/4116</f>
        <v>0.0153061224489796</v>
      </c>
      <c r="F15" s="58" t="n">
        <f aca="false">D15/168</f>
        <v>0.375</v>
      </c>
    </row>
    <row r="16" customFormat="false" ht="15" hidden="false" customHeight="false" outlineLevel="0" collapsed="false">
      <c r="B16" s="26" t="s">
        <v>227</v>
      </c>
      <c r="C16" s="26" t="s">
        <v>83</v>
      </c>
      <c r="D16" s="36" t="n">
        <v>187.5</v>
      </c>
      <c r="E16" s="13" t="n">
        <f aca="false">D16/4116</f>
        <v>0.0455539358600583</v>
      </c>
      <c r="F16" s="58" t="n">
        <f aca="false">D16/168</f>
        <v>1.11607142857143</v>
      </c>
    </row>
    <row r="17" customFormat="false" ht="15" hidden="false" customHeight="false" outlineLevel="0" collapsed="false">
      <c r="B17" s="9" t="s">
        <v>25</v>
      </c>
      <c r="C17" s="9"/>
      <c r="D17" s="49" t="n">
        <v>4116</v>
      </c>
      <c r="E17" s="19" t="n">
        <v>1</v>
      </c>
      <c r="F17" s="59" t="n">
        <f aca="false">D17/168</f>
        <v>24.5</v>
      </c>
    </row>
    <row r="20" customFormat="false" ht="15" hidden="false" customHeight="false" outlineLevel="0" collapsed="false">
      <c r="B20" s="34" t="s">
        <v>228</v>
      </c>
      <c r="C20" s="34"/>
      <c r="D20" s="34"/>
      <c r="E20" s="34"/>
      <c r="F20" s="34"/>
    </row>
    <row r="21" customFormat="false" ht="15" hidden="false" customHeight="false" outlineLevel="0" collapsed="false">
      <c r="B21" s="9" t="s">
        <v>27</v>
      </c>
      <c r="C21" s="9" t="s">
        <v>28</v>
      </c>
      <c r="D21" s="9" t="s">
        <v>229</v>
      </c>
      <c r="E21" s="9"/>
      <c r="F21" s="9" t="s">
        <v>230</v>
      </c>
    </row>
    <row r="22" customFormat="false" ht="15" hidden="false" customHeight="false" outlineLevel="0" collapsed="false">
      <c r="B22" s="26" t="s">
        <v>217</v>
      </c>
      <c r="C22" s="60" t="n">
        <v>24.5</v>
      </c>
      <c r="D22" s="20" t="s">
        <v>231</v>
      </c>
      <c r="F22" s="55" t="s">
        <v>232</v>
      </c>
    </row>
    <row r="23" customFormat="false" ht="15" hidden="false" customHeight="false" outlineLevel="0" collapsed="false">
      <c r="B23" s="26" t="s">
        <v>233</v>
      </c>
      <c r="C23" s="60" t="n">
        <v>5.06896551724138</v>
      </c>
      <c r="D23" s="20" t="s">
        <v>231</v>
      </c>
      <c r="F23" s="55" t="s">
        <v>234</v>
      </c>
    </row>
    <row r="24" customFormat="false" ht="15" hidden="false" customHeight="false" outlineLevel="0" collapsed="false">
      <c r="B24" s="26" t="s">
        <v>235</v>
      </c>
      <c r="C24" s="61" t="n">
        <v>95.7745383867833</v>
      </c>
      <c r="D24" s="20" t="s">
        <v>236</v>
      </c>
      <c r="F24" s="55" t="s">
        <v>237</v>
      </c>
    </row>
    <row r="25" customFormat="false" ht="15" hidden="false" customHeight="false" outlineLevel="0" collapsed="false">
      <c r="B25" s="26" t="s">
        <v>238</v>
      </c>
      <c r="C25" s="61" t="n">
        <v>25.828231292517</v>
      </c>
      <c r="D25" s="20" t="s">
        <v>236</v>
      </c>
      <c r="F25" s="55" t="s">
        <v>239</v>
      </c>
    </row>
    <row r="26" customFormat="false" ht="15" hidden="false" customHeight="false" outlineLevel="0" collapsed="false">
      <c r="B26" s="26" t="s">
        <v>240</v>
      </c>
      <c r="C26" s="60" t="n">
        <v>10.5</v>
      </c>
      <c r="D26" s="20" t="s">
        <v>241</v>
      </c>
      <c r="F26" s="55" t="s">
        <v>242</v>
      </c>
    </row>
    <row r="27" customFormat="false" ht="15" hidden="false" customHeight="false" outlineLevel="0" collapsed="false">
      <c r="B27" s="26" t="s">
        <v>243</v>
      </c>
      <c r="C27" s="60" t="n">
        <v>50.75</v>
      </c>
      <c r="D27" s="20" t="s">
        <v>244</v>
      </c>
      <c r="F27" s="55" t="s">
        <v>245</v>
      </c>
    </row>
    <row r="28" customFormat="false" ht="15" hidden="false" customHeight="false" outlineLevel="0" collapsed="false">
      <c r="B28" s="26" t="s">
        <v>246</v>
      </c>
      <c r="C28" s="60" t="n">
        <v>257.25</v>
      </c>
      <c r="D28" s="20" t="s">
        <v>231</v>
      </c>
      <c r="F28" s="55" t="s">
        <v>247</v>
      </c>
    </row>
    <row r="29" customFormat="false" ht="15" hidden="false" customHeight="false" outlineLevel="0" collapsed="false">
      <c r="B29" s="26" t="s">
        <v>248</v>
      </c>
      <c r="C29" s="61" t="n">
        <v>24638</v>
      </c>
      <c r="D29" s="20" t="s">
        <v>236</v>
      </c>
      <c r="F29" s="55" t="s">
        <v>249</v>
      </c>
    </row>
    <row r="32" customFormat="false" ht="7.5" hidden="false" customHeight="true" outlineLevel="0" collapsed="false"/>
    <row r="33" customFormat="false" ht="15" hidden="false" customHeight="false" outlineLevel="0" collapsed="false">
      <c r="B33" s="22" t="s">
        <v>51</v>
      </c>
      <c r="C33" s="22"/>
      <c r="D33" s="22"/>
      <c r="E33" s="22"/>
      <c r="F33" s="22"/>
    </row>
    <row r="34" customFormat="false" ht="15" hidden="false" customHeight="false" outlineLevel="0" collapsed="false">
      <c r="B34" s="23" t="s">
        <v>52</v>
      </c>
      <c r="C34" s="23"/>
      <c r="D34" s="23"/>
      <c r="E34" s="23"/>
      <c r="F34" s="23"/>
    </row>
    <row r="35" customFormat="false" ht="15" hidden="false" customHeight="false" outlineLevel="0" collapsed="false">
      <c r="B35" s="23" t="s">
        <v>53</v>
      </c>
      <c r="C35" s="23"/>
      <c r="D35" s="23"/>
      <c r="E35" s="23"/>
      <c r="F35" s="23"/>
    </row>
    <row r="36" customFormat="false" ht="15" hidden="false" customHeight="false" outlineLevel="0" collapsed="false">
      <c r="B36" s="23" t="s">
        <v>250</v>
      </c>
      <c r="C36" s="23"/>
      <c r="D36" s="23"/>
      <c r="E36" s="23"/>
      <c r="F36" s="23"/>
    </row>
  </sheetData>
  <mergeCells count="7">
    <mergeCell ref="B2:F2"/>
    <mergeCell ref="B4:F4"/>
    <mergeCell ref="B20:F20"/>
    <mergeCell ref="B33:F33"/>
    <mergeCell ref="B34:F34"/>
    <mergeCell ref="B35:F35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"/>
  </cols>
  <sheetData>
    <row r="2" customFormat="false" ht="25.5" hidden="false" customHeight="true" outlineLevel="0" collapsed="false">
      <c r="B2" s="24" t="s">
        <v>251</v>
      </c>
      <c r="C2" s="24"/>
      <c r="D2" s="24"/>
      <c r="E2" s="24"/>
      <c r="F2" s="24"/>
    </row>
    <row r="3" customFormat="false" ht="15" hidden="false" customHeight="false" outlineLevel="0" collapsed="false">
      <c r="B3" s="44" t="s">
        <v>252</v>
      </c>
      <c r="C3" s="44"/>
      <c r="D3" s="44"/>
      <c r="E3" s="44"/>
      <c r="F3" s="44"/>
    </row>
    <row r="5" customFormat="false" ht="15" hidden="false" customHeight="false" outlineLevel="0" collapsed="false">
      <c r="B5" s="34" t="s">
        <v>253</v>
      </c>
      <c r="C5" s="34"/>
      <c r="D5" s="34"/>
      <c r="E5" s="34"/>
      <c r="F5" s="34"/>
    </row>
    <row r="6" customFormat="false" ht="15" hidden="false" customHeight="false" outlineLevel="0" collapsed="false">
      <c r="B6" s="9" t="s">
        <v>254</v>
      </c>
      <c r="C6" s="9" t="s">
        <v>255</v>
      </c>
      <c r="D6" s="9" t="s">
        <v>256</v>
      </c>
      <c r="E6" s="9" t="s">
        <v>257</v>
      </c>
      <c r="F6" s="9" t="s">
        <v>258</v>
      </c>
    </row>
    <row r="7" customFormat="false" ht="15" hidden="false" customHeight="false" outlineLevel="0" collapsed="false">
      <c r="B7" s="26" t="s">
        <v>259</v>
      </c>
      <c r="C7" s="26" t="s">
        <v>260</v>
      </c>
      <c r="D7" s="62" t="n">
        <v>3</v>
      </c>
      <c r="E7" s="11" t="n">
        <v>2612.019</v>
      </c>
      <c r="F7" s="11" t="n">
        <v>2613.58</v>
      </c>
    </row>
    <row r="8" customFormat="false" ht="15" hidden="false" customHeight="false" outlineLevel="0" collapsed="false">
      <c r="B8" s="26" t="s">
        <v>261</v>
      </c>
      <c r="C8" s="26" t="s">
        <v>262</v>
      </c>
      <c r="D8" s="62" t="n">
        <v>10</v>
      </c>
      <c r="E8" s="11" t="n">
        <v>18171.2822</v>
      </c>
      <c r="F8" s="11" t="n">
        <v>30742.47</v>
      </c>
    </row>
    <row r="9" customFormat="false" ht="15" hidden="false" customHeight="false" outlineLevel="0" collapsed="false">
      <c r="B9" s="26" t="s">
        <v>263</v>
      </c>
      <c r="C9" s="26" t="s">
        <v>264</v>
      </c>
      <c r="D9" s="62" t="n">
        <v>25</v>
      </c>
      <c r="E9" s="11" t="n">
        <v>115795.84225</v>
      </c>
      <c r="F9" s="11" t="n">
        <v>109975.66</v>
      </c>
    </row>
    <row r="10" customFormat="false" ht="15" hidden="false" customHeight="false" outlineLevel="0" collapsed="false">
      <c r="B10" s="26" t="s">
        <v>265</v>
      </c>
      <c r="C10" s="26" t="s">
        <v>266</v>
      </c>
      <c r="D10" s="62" t="n">
        <v>8</v>
      </c>
      <c r="E10" s="11" t="n">
        <v>9874.1044</v>
      </c>
      <c r="F10" s="11" t="n">
        <v>3972.94</v>
      </c>
    </row>
    <row r="11" customFormat="false" ht="15" hidden="false" customHeight="false" outlineLevel="0" collapsed="false">
      <c r="B11" s="26" t="s">
        <v>267</v>
      </c>
      <c r="C11" s="26" t="s">
        <v>268</v>
      </c>
      <c r="D11" s="62" t="n">
        <v>1</v>
      </c>
      <c r="E11" s="11" t="n">
        <v>4439.8</v>
      </c>
      <c r="F11" s="11" t="n">
        <v>2749.23</v>
      </c>
    </row>
    <row r="12" customFormat="false" ht="15" hidden="false" customHeight="false" outlineLevel="0" collapsed="false">
      <c r="B12" s="26" t="s">
        <v>269</v>
      </c>
      <c r="C12" s="26" t="s">
        <v>270</v>
      </c>
      <c r="D12" s="62" t="n">
        <v>1</v>
      </c>
      <c r="E12" s="11" t="n">
        <v>356.0764</v>
      </c>
      <c r="F12" s="11" t="n">
        <v>369.06</v>
      </c>
    </row>
    <row r="13" customFormat="false" ht="15" hidden="false" customHeight="false" outlineLevel="0" collapsed="false">
      <c r="B13" s="26" t="s">
        <v>271</v>
      </c>
      <c r="C13" s="26" t="s">
        <v>272</v>
      </c>
      <c r="D13" s="62" t="n">
        <v>1</v>
      </c>
      <c r="E13" s="11" t="n">
        <v>2776.113</v>
      </c>
      <c r="F13" s="11" t="n">
        <v>0</v>
      </c>
    </row>
    <row r="14" customFormat="false" ht="15" hidden="false" customHeight="false" outlineLevel="0" collapsed="false">
      <c r="B14" s="9" t="s">
        <v>25</v>
      </c>
      <c r="C14" s="9"/>
      <c r="D14" s="9" t="n">
        <v>49</v>
      </c>
      <c r="E14" s="17" t="n">
        <v>154025.23725</v>
      </c>
      <c r="F14" s="17" t="n">
        <v>151064.39</v>
      </c>
    </row>
    <row r="16" customFormat="false" ht="15" hidden="false" customHeight="false" outlineLevel="0" collapsed="false">
      <c r="B16" s="51" t="s">
        <v>273</v>
      </c>
      <c r="C16" s="51"/>
      <c r="D16" s="51"/>
      <c r="E16" s="51"/>
      <c r="F16" s="51"/>
    </row>
    <row r="17" customFormat="false" ht="15" hidden="false" customHeight="false" outlineLevel="0" collapsed="false">
      <c r="B17" s="63" t="s">
        <v>274</v>
      </c>
      <c r="C17" s="63"/>
      <c r="D17" s="63"/>
      <c r="E17" s="64" t="n">
        <v>151064.39</v>
      </c>
    </row>
    <row r="18" customFormat="false" ht="15" hidden="false" customHeight="false" outlineLevel="0" collapsed="false">
      <c r="B18" s="63" t="s">
        <v>275</v>
      </c>
      <c r="C18" s="63"/>
      <c r="D18" s="63"/>
      <c r="E18" s="64" t="n">
        <v>154025.23725</v>
      </c>
    </row>
    <row r="19" customFormat="false" ht="15" hidden="false" customHeight="false" outlineLevel="0" collapsed="false">
      <c r="B19" s="63" t="s">
        <v>276</v>
      </c>
      <c r="C19" s="63"/>
      <c r="D19" s="63"/>
      <c r="E19" s="65" t="n">
        <v>1.01959990206825</v>
      </c>
    </row>
    <row r="20" customFormat="false" ht="15" hidden="false" customHeight="false" outlineLevel="0" collapsed="false">
      <c r="B20" s="63" t="s">
        <v>277</v>
      </c>
      <c r="C20" s="63"/>
      <c r="D20" s="63"/>
      <c r="E20" s="64" t="n">
        <v>-2960.84724999996</v>
      </c>
    </row>
    <row r="23" customFormat="false" ht="7.5" hidden="false" customHeight="true" outlineLevel="0" collapsed="false"/>
    <row r="24" customFormat="false" ht="15" hidden="false" customHeight="false" outlineLevel="0" collapsed="false">
      <c r="B24" s="22" t="s">
        <v>51</v>
      </c>
      <c r="C24" s="22"/>
      <c r="D24" s="22"/>
      <c r="E24" s="22"/>
      <c r="F24" s="22"/>
    </row>
    <row r="25" customFormat="false" ht="15" hidden="false" customHeight="false" outlineLevel="0" collapsed="false">
      <c r="B25" s="23" t="s">
        <v>52</v>
      </c>
      <c r="C25" s="23"/>
      <c r="D25" s="23"/>
      <c r="E25" s="23"/>
      <c r="F25" s="23"/>
    </row>
    <row r="26" customFormat="false" ht="15" hidden="false" customHeight="false" outlineLevel="0" collapsed="false">
      <c r="B26" s="23" t="s">
        <v>53</v>
      </c>
      <c r="C26" s="23"/>
      <c r="D26" s="23"/>
      <c r="E26" s="23"/>
      <c r="F26" s="23"/>
    </row>
    <row r="27" customFormat="false" ht="15" hidden="false" customHeight="false" outlineLevel="0" collapsed="false">
      <c r="B27" s="23" t="s">
        <v>278</v>
      </c>
      <c r="C27" s="23"/>
      <c r="D27" s="23"/>
      <c r="E27" s="23"/>
      <c r="F27" s="23"/>
    </row>
    <row r="28" customFormat="false" ht="15" hidden="false" customHeight="false" outlineLevel="0" collapsed="false">
      <c r="B28" s="23" t="s">
        <v>279</v>
      </c>
      <c r="C28" s="23"/>
      <c r="D28" s="23"/>
      <c r="E28" s="23"/>
      <c r="F28" s="23"/>
    </row>
  </sheetData>
  <mergeCells count="13">
    <mergeCell ref="B2:F2"/>
    <mergeCell ref="B3:F3"/>
    <mergeCell ref="B5:F5"/>
    <mergeCell ref="B16:F16"/>
    <mergeCell ref="B17:D17"/>
    <mergeCell ref="B18:D18"/>
    <mergeCell ref="B19:D19"/>
    <mergeCell ref="B20:D20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4"/>
    <col collapsed="false" customWidth="true" hidden="false" outlineLevel="0" max="8" min="8" style="0" width="2"/>
  </cols>
  <sheetData>
    <row r="2" customFormat="false" ht="25.5" hidden="false" customHeight="true" outlineLevel="0" collapsed="false">
      <c r="B2" s="24" t="s">
        <v>280</v>
      </c>
      <c r="C2" s="24"/>
      <c r="D2" s="24"/>
      <c r="E2" s="24"/>
      <c r="F2" s="24"/>
      <c r="G2" s="24"/>
    </row>
    <row r="3" customFormat="false" ht="15" hidden="false" customHeight="false" outlineLevel="0" collapsed="false">
      <c r="B3" s="44" t="s">
        <v>281</v>
      </c>
      <c r="C3" s="44"/>
      <c r="D3" s="44"/>
      <c r="E3" s="44"/>
      <c r="F3" s="44"/>
      <c r="G3" s="44"/>
    </row>
    <row r="5" customFormat="false" ht="15" hidden="false" customHeight="false" outlineLevel="0" collapsed="false">
      <c r="B5" s="42" t="s">
        <v>282</v>
      </c>
      <c r="C5" s="42"/>
      <c r="D5" s="42"/>
      <c r="E5" s="42"/>
      <c r="F5" s="42"/>
      <c r="G5" s="42"/>
    </row>
    <row r="6" customFormat="false" ht="15" hidden="false" customHeight="false" outlineLevel="0" collapsed="false">
      <c r="B6" s="63" t="s">
        <v>283</v>
      </c>
      <c r="C6" s="63"/>
      <c r="D6" s="63"/>
      <c r="E6" s="63"/>
      <c r="F6" s="64" t="n">
        <v>384900</v>
      </c>
    </row>
    <row r="7" customFormat="false" ht="15" hidden="false" customHeight="false" outlineLevel="0" collapsed="false">
      <c r="B7" s="63" t="s">
        <v>284</v>
      </c>
      <c r="C7" s="63"/>
      <c r="D7" s="63"/>
      <c r="E7" s="63"/>
      <c r="F7" s="66" t="n">
        <v>7308</v>
      </c>
    </row>
    <row r="8" customFormat="false" ht="15" hidden="false" customHeight="false" outlineLevel="0" collapsed="false">
      <c r="B8" s="63" t="s">
        <v>285</v>
      </c>
      <c r="C8" s="63"/>
      <c r="D8" s="63"/>
      <c r="E8" s="63"/>
      <c r="F8" s="66" t="n">
        <v>576</v>
      </c>
    </row>
    <row r="9" customFormat="false" ht="15" hidden="false" customHeight="false" outlineLevel="0" collapsed="false">
      <c r="B9" s="63" t="s">
        <v>286</v>
      </c>
      <c r="C9" s="63"/>
      <c r="D9" s="63"/>
      <c r="E9" s="63"/>
      <c r="F9" s="66" t="n">
        <v>1424</v>
      </c>
    </row>
    <row r="10" customFormat="false" ht="15" hidden="false" customHeight="false" outlineLevel="0" collapsed="false">
      <c r="B10" s="67" t="s">
        <v>287</v>
      </c>
      <c r="C10" s="67"/>
      <c r="D10" s="67"/>
      <c r="E10" s="67"/>
      <c r="F10" s="17" t="n">
        <v>394208</v>
      </c>
    </row>
    <row r="11" customFormat="false" ht="15" hidden="false" customHeight="false" outlineLevel="0" collapsed="false">
      <c r="B11" s="63" t="s">
        <v>288</v>
      </c>
      <c r="C11" s="63"/>
      <c r="D11" s="63"/>
      <c r="E11" s="63"/>
      <c r="F11" s="68" t="n">
        <v>19710</v>
      </c>
    </row>
    <row r="12" customFormat="false" ht="15" hidden="false" customHeight="false" outlineLevel="0" collapsed="false">
      <c r="B12" s="69" t="s">
        <v>289</v>
      </c>
      <c r="C12" s="69"/>
      <c r="D12" s="69"/>
      <c r="E12" s="69"/>
      <c r="F12" s="70" t="n">
        <v>374498</v>
      </c>
    </row>
    <row r="15" customFormat="false" ht="15" hidden="false" customHeight="false" outlineLevel="0" collapsed="false">
      <c r="B15" s="34" t="s">
        <v>290</v>
      </c>
      <c r="C15" s="34"/>
      <c r="D15" s="34"/>
      <c r="E15" s="34"/>
      <c r="F15" s="34"/>
      <c r="G15" s="34"/>
    </row>
    <row r="16" customFormat="false" ht="15" hidden="false" customHeight="false" outlineLevel="0" collapsed="false">
      <c r="B16" s="9" t="s">
        <v>291</v>
      </c>
      <c r="C16" s="9" t="s">
        <v>292</v>
      </c>
      <c r="D16" s="9" t="s">
        <v>293</v>
      </c>
      <c r="E16" s="9" t="s">
        <v>294</v>
      </c>
      <c r="F16" s="9" t="s">
        <v>295</v>
      </c>
      <c r="G16" s="9" t="s">
        <v>296</v>
      </c>
    </row>
    <row r="17" customFormat="false" ht="15" hidden="false" customHeight="false" outlineLevel="0" collapsed="false">
      <c r="B17" s="26" t="n">
        <v>1</v>
      </c>
      <c r="C17" s="11" t="n">
        <v>392208</v>
      </c>
      <c r="D17" s="11" t="n">
        <v>12200</v>
      </c>
      <c r="E17" s="13" t="n">
        <f aca="false">IF(C17=0,0,D17/C17)</f>
        <v>0.0311059437849304</v>
      </c>
      <c r="F17" s="11" t="n">
        <v>610</v>
      </c>
      <c r="G17" s="12" t="n">
        <v>12200</v>
      </c>
    </row>
    <row r="18" customFormat="false" ht="15" hidden="false" customHeight="false" outlineLevel="0" collapsed="false">
      <c r="B18" s="26" t="n">
        <v>2</v>
      </c>
      <c r="C18" s="11" t="n">
        <v>392208</v>
      </c>
      <c r="D18" s="11" t="n">
        <v>51700</v>
      </c>
      <c r="E18" s="13" t="n">
        <f aca="false">IF(C18=0,0,D18/C18)</f>
        <v>0.131817810957451</v>
      </c>
      <c r="F18" s="11" t="n">
        <v>2585</v>
      </c>
      <c r="G18" s="12" t="n">
        <v>39500</v>
      </c>
    </row>
    <row r="19" customFormat="false" ht="15" hidden="false" customHeight="false" outlineLevel="0" collapsed="false">
      <c r="B19" s="26" t="n">
        <v>3</v>
      </c>
      <c r="C19" s="11" t="n">
        <v>392208</v>
      </c>
      <c r="D19" s="11" t="n">
        <v>60000</v>
      </c>
      <c r="E19" s="13" t="n">
        <f aca="false">IF(C19=0,0,D19/C19)</f>
        <v>0.152980051401297</v>
      </c>
      <c r="F19" s="11" t="n">
        <v>3000</v>
      </c>
      <c r="G19" s="12" t="n">
        <v>8300</v>
      </c>
    </row>
    <row r="20" customFormat="false" ht="15" hidden="false" customHeight="false" outlineLevel="0" collapsed="false">
      <c r="B20" s="26" t="n">
        <v>4</v>
      </c>
      <c r="C20" s="11" t="n">
        <v>392208</v>
      </c>
      <c r="D20" s="11" t="n">
        <v>148500</v>
      </c>
      <c r="E20" s="13" t="n">
        <f aca="false">IF(C20=0,0,D20/C20)</f>
        <v>0.378625627218211</v>
      </c>
      <c r="F20" s="11" t="n">
        <v>7425</v>
      </c>
      <c r="G20" s="12" t="n">
        <v>88500</v>
      </c>
    </row>
    <row r="21" customFormat="false" ht="15" hidden="false" customHeight="false" outlineLevel="0" collapsed="false">
      <c r="B21" s="26" t="n">
        <v>5</v>
      </c>
      <c r="C21" s="11" t="n">
        <v>392208</v>
      </c>
      <c r="D21" s="11" t="n">
        <v>260980</v>
      </c>
      <c r="E21" s="13" t="n">
        <f aca="false">IF(C21=0,0,D21/C21)</f>
        <v>0.665412230245176</v>
      </c>
      <c r="F21" s="11" t="n">
        <v>13049</v>
      </c>
      <c r="G21" s="12" t="n">
        <v>112480</v>
      </c>
    </row>
    <row r="22" customFormat="false" ht="15" hidden="false" customHeight="false" outlineLevel="0" collapsed="false">
      <c r="B22" s="26" t="n">
        <v>6</v>
      </c>
      <c r="C22" s="11" t="n">
        <v>392208</v>
      </c>
      <c r="D22" s="11" t="n">
        <v>274230</v>
      </c>
      <c r="E22" s="13" t="n">
        <f aca="false">IF(C22=0,0,D22/C22)</f>
        <v>0.699195324929629</v>
      </c>
      <c r="F22" s="11" t="n">
        <v>13711.5</v>
      </c>
      <c r="G22" s="12" t="n">
        <v>13250</v>
      </c>
    </row>
    <row r="23" customFormat="false" ht="15" hidden="false" customHeight="false" outlineLevel="0" collapsed="false">
      <c r="B23" s="26" t="n">
        <v>7</v>
      </c>
      <c r="C23" s="11" t="n">
        <v>392208</v>
      </c>
      <c r="D23" s="11" t="n">
        <v>302715</v>
      </c>
      <c r="E23" s="13" t="n">
        <f aca="false">IF(C23=0,0,D23/C23)</f>
        <v>0.771822604332395</v>
      </c>
      <c r="F23" s="11" t="n">
        <v>15135.75</v>
      </c>
      <c r="G23" s="12" t="n">
        <v>28485</v>
      </c>
    </row>
    <row r="24" customFormat="false" ht="15" hidden="false" customHeight="false" outlineLevel="0" collapsed="false">
      <c r="B24" s="26" t="n">
        <v>8</v>
      </c>
      <c r="C24" s="11" t="n">
        <v>392208</v>
      </c>
      <c r="D24" s="11" t="n">
        <v>309115</v>
      </c>
      <c r="E24" s="13" t="n">
        <f aca="false">IF(C24=0,0,D24/C24)</f>
        <v>0.788140476481867</v>
      </c>
      <c r="F24" s="11" t="n">
        <v>15455.75</v>
      </c>
      <c r="G24" s="12" t="n">
        <v>6400</v>
      </c>
    </row>
    <row r="25" customFormat="false" ht="15" hidden="false" customHeight="false" outlineLevel="0" collapsed="false">
      <c r="B25" s="26" t="n">
        <v>9</v>
      </c>
      <c r="C25" s="11" t="n">
        <v>392208</v>
      </c>
      <c r="D25" s="11" t="n">
        <v>357290</v>
      </c>
      <c r="E25" s="13" t="n">
        <f aca="false">IF(C25=0,0,D25/C25)</f>
        <v>0.910970709419492</v>
      </c>
      <c r="F25" s="11" t="n">
        <v>17864.5</v>
      </c>
      <c r="G25" s="12" t="n">
        <v>48175</v>
      </c>
    </row>
    <row r="26" customFormat="false" ht="15" hidden="false" customHeight="false" outlineLevel="0" collapsed="false">
      <c r="B26" s="26" t="n">
        <v>10</v>
      </c>
      <c r="C26" s="11" t="n">
        <v>392784</v>
      </c>
      <c r="D26" s="11" t="n">
        <v>392784</v>
      </c>
      <c r="E26" s="13" t="n">
        <f aca="false">IF(C26=0,0,D26/C26)</f>
        <v>1</v>
      </c>
      <c r="F26" s="11" t="n">
        <v>19639.2</v>
      </c>
      <c r="G26" s="12" t="n">
        <v>35494</v>
      </c>
    </row>
    <row r="27" customFormat="false" ht="15" hidden="false" customHeight="false" outlineLevel="0" collapsed="false">
      <c r="B27" s="26" t="n">
        <v>11</v>
      </c>
      <c r="C27" s="11" t="n">
        <v>394208</v>
      </c>
      <c r="D27" s="11" t="n">
        <v>394208</v>
      </c>
      <c r="E27" s="13" t="n">
        <f aca="false">IF(C27=0,0,D27/C27)</f>
        <v>1</v>
      </c>
      <c r="F27" s="11" t="n">
        <v>19710.4</v>
      </c>
      <c r="G27" s="12" t="n">
        <v>1424</v>
      </c>
    </row>
    <row r="28" customFormat="false" ht="15" hidden="false" customHeight="false" outlineLevel="0" collapsed="false">
      <c r="B28" s="26" t="n">
        <v>13</v>
      </c>
      <c r="C28" s="11" t="n">
        <v>394208</v>
      </c>
      <c r="D28" s="11" t="n">
        <v>394208</v>
      </c>
      <c r="E28" s="13" t="n">
        <f aca="false">IF(C28=0,0,D28/C28)</f>
        <v>1</v>
      </c>
      <c r="F28" s="11" t="n">
        <v>0</v>
      </c>
      <c r="G28" s="12" t="n">
        <v>0</v>
      </c>
    </row>
    <row r="32" customFormat="false" ht="7.5" hidden="false" customHeight="true" outlineLevel="0" collapsed="false"/>
    <row r="33" customFormat="false" ht="15" hidden="false" customHeight="false" outlineLevel="0" collapsed="false">
      <c r="B33" s="22" t="s">
        <v>51</v>
      </c>
      <c r="C33" s="22"/>
      <c r="D33" s="22"/>
      <c r="E33" s="22"/>
      <c r="F33" s="22"/>
      <c r="G33" s="22"/>
    </row>
    <row r="34" customFormat="false" ht="15" hidden="false" customHeight="false" outlineLevel="0" collapsed="false">
      <c r="B34" s="23" t="s">
        <v>52</v>
      </c>
      <c r="C34" s="23"/>
      <c r="D34" s="23"/>
      <c r="E34" s="23"/>
      <c r="F34" s="23"/>
      <c r="G34" s="23"/>
    </row>
    <row r="35" customFormat="false" ht="15" hidden="false" customHeight="false" outlineLevel="0" collapsed="false">
      <c r="B35" s="23" t="s">
        <v>53</v>
      </c>
      <c r="C35" s="23"/>
      <c r="D35" s="23"/>
      <c r="E35" s="23"/>
      <c r="F35" s="23"/>
      <c r="G35" s="23"/>
    </row>
    <row r="36" customFormat="false" ht="15" hidden="false" customHeight="false" outlineLevel="0" collapsed="false">
      <c r="B36" s="23" t="s">
        <v>297</v>
      </c>
      <c r="C36" s="23"/>
      <c r="D36" s="23"/>
      <c r="E36" s="23"/>
      <c r="F36" s="23"/>
      <c r="G36" s="23"/>
    </row>
    <row r="37" customFormat="false" ht="15" hidden="false" customHeight="false" outlineLevel="0" collapsed="false">
      <c r="B37" s="23" t="s">
        <v>298</v>
      </c>
      <c r="C37" s="23"/>
      <c r="D37" s="23"/>
      <c r="E37" s="23"/>
      <c r="F37" s="23"/>
      <c r="G37" s="23"/>
    </row>
  </sheetData>
  <mergeCells count="16">
    <mergeCell ref="B2:G2"/>
    <mergeCell ref="B3:G3"/>
    <mergeCell ref="B5:G5"/>
    <mergeCell ref="B6:E6"/>
    <mergeCell ref="B7:E7"/>
    <mergeCell ref="B8:E8"/>
    <mergeCell ref="B9:E9"/>
    <mergeCell ref="B10:E10"/>
    <mergeCell ref="B11:E11"/>
    <mergeCell ref="B12:E12"/>
    <mergeCell ref="B15:G15"/>
    <mergeCell ref="B33:G33"/>
    <mergeCell ref="B34:G34"/>
    <mergeCell ref="B35:G35"/>
    <mergeCell ref="B36:G36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95"/>
    <col collapsed="false" customWidth="true" hidden="false" outlineLevel="0" max="4" min="4" style="0" width="2"/>
  </cols>
  <sheetData>
    <row r="2" customFormat="false" ht="25.5" hidden="false" customHeight="true" outlineLevel="0" collapsed="false">
      <c r="B2" s="24" t="s">
        <v>299</v>
      </c>
      <c r="C2" s="24"/>
    </row>
    <row r="3" customFormat="false" ht="15" hidden="false" customHeight="false" outlineLevel="0" collapsed="false">
      <c r="B3" s="44" t="s">
        <v>300</v>
      </c>
      <c r="C3" s="44"/>
    </row>
    <row r="5" customFormat="false" ht="51.75" hidden="false" customHeight="true" outlineLevel="0" collapsed="false">
      <c r="B5" s="71" t="s">
        <v>301</v>
      </c>
      <c r="C5" s="72" t="s">
        <v>302</v>
      </c>
    </row>
    <row r="6" customFormat="false" ht="51.75" hidden="false" customHeight="true" outlineLevel="0" collapsed="false">
      <c r="B6" s="71" t="s">
        <v>303</v>
      </c>
      <c r="C6" s="72" t="s">
        <v>304</v>
      </c>
    </row>
    <row r="7" customFormat="false" ht="51.75" hidden="false" customHeight="true" outlineLevel="0" collapsed="false">
      <c r="B7" s="71" t="s">
        <v>305</v>
      </c>
      <c r="C7" s="72" t="s">
        <v>306</v>
      </c>
    </row>
    <row r="8" customFormat="false" ht="51.75" hidden="false" customHeight="true" outlineLevel="0" collapsed="false">
      <c r="B8" s="71" t="s">
        <v>307</v>
      </c>
      <c r="C8" s="72" t="s">
        <v>308</v>
      </c>
    </row>
    <row r="9" customFormat="false" ht="51.75" hidden="false" customHeight="true" outlineLevel="0" collapsed="false">
      <c r="B9" s="71" t="s">
        <v>309</v>
      </c>
      <c r="C9" s="72" t="s">
        <v>310</v>
      </c>
    </row>
    <row r="10" customFormat="false" ht="51.75" hidden="false" customHeight="true" outlineLevel="0" collapsed="false">
      <c r="B10" s="71" t="s">
        <v>311</v>
      </c>
      <c r="C10" s="72" t="s">
        <v>312</v>
      </c>
    </row>
    <row r="11" customFormat="false" ht="51.75" hidden="false" customHeight="true" outlineLevel="0" collapsed="false">
      <c r="B11" s="71" t="s">
        <v>313</v>
      </c>
      <c r="C11" s="72" t="s">
        <v>314</v>
      </c>
    </row>
    <row r="12" customFormat="false" ht="51.75" hidden="false" customHeight="true" outlineLevel="0" collapsed="false">
      <c r="B12" s="71" t="s">
        <v>315</v>
      </c>
      <c r="C12" s="72" t="s">
        <v>316</v>
      </c>
    </row>
    <row r="13" customFormat="false" ht="51.75" hidden="false" customHeight="true" outlineLevel="0" collapsed="false">
      <c r="B13" s="71" t="s">
        <v>317</v>
      </c>
      <c r="C13" s="72" t="s">
        <v>318</v>
      </c>
    </row>
    <row r="14" customFormat="false" ht="51.75" hidden="false" customHeight="true" outlineLevel="0" collapsed="false">
      <c r="B14" s="71" t="s">
        <v>319</v>
      </c>
      <c r="C14" s="72" t="s">
        <v>320</v>
      </c>
    </row>
    <row r="15" customFormat="false" ht="51.75" hidden="false" customHeight="true" outlineLevel="0" collapsed="false">
      <c r="B15" s="71" t="s">
        <v>321</v>
      </c>
      <c r="C15" s="72" t="s">
        <v>322</v>
      </c>
    </row>
    <row r="16" customFormat="false" ht="51.75" hidden="false" customHeight="true" outlineLevel="0" collapsed="false">
      <c r="B16" s="71" t="s">
        <v>323</v>
      </c>
      <c r="C16" s="72" t="s">
        <v>324</v>
      </c>
    </row>
    <row r="18" customFormat="false" ht="15" hidden="false" customHeight="false" outlineLevel="0" collapsed="false">
      <c r="B18" s="40" t="s">
        <v>325</v>
      </c>
      <c r="C18" s="40"/>
    </row>
    <row r="19" customFormat="false" ht="60" hidden="false" customHeight="true" outlineLevel="0" collapsed="false">
      <c r="B19" s="73" t="s">
        <v>326</v>
      </c>
      <c r="C19" s="73"/>
    </row>
    <row r="21" customFormat="false" ht="7.5" hidden="false" customHeight="true" outlineLevel="0" collapsed="false"/>
    <row r="22" customFormat="false" ht="15" hidden="false" customHeight="false" outlineLevel="0" collapsed="false">
      <c r="B22" s="22" t="s">
        <v>51</v>
      </c>
      <c r="C22" s="22"/>
    </row>
    <row r="23" customFormat="false" ht="15" hidden="false" customHeight="false" outlineLevel="0" collapsed="false">
      <c r="B23" s="23" t="s">
        <v>52</v>
      </c>
      <c r="C23" s="23"/>
    </row>
    <row r="24" customFormat="false" ht="15" hidden="false" customHeight="false" outlineLevel="0" collapsed="false">
      <c r="B24" s="23" t="s">
        <v>53</v>
      </c>
      <c r="C24" s="23"/>
    </row>
  </sheetData>
  <mergeCells count="7">
    <mergeCell ref="B2:C2"/>
    <mergeCell ref="B3:C3"/>
    <mergeCell ref="B18:C18"/>
    <mergeCell ref="B19:C19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2"/>
  </cols>
  <sheetData>
    <row r="2" customFormat="false" ht="25.5" hidden="false" customHeight="true" outlineLevel="0" collapsed="false">
      <c r="B2" s="24" t="s">
        <v>327</v>
      </c>
      <c r="C2" s="24"/>
      <c r="D2" s="24"/>
      <c r="E2" s="24"/>
      <c r="F2" s="24"/>
    </row>
    <row r="3" customFormat="false" ht="15" hidden="false" customHeight="false" outlineLevel="0" collapsed="false">
      <c r="B3" s="44" t="s">
        <v>328</v>
      </c>
      <c r="C3" s="44"/>
      <c r="D3" s="44"/>
      <c r="E3" s="44"/>
      <c r="F3" s="44"/>
    </row>
    <row r="5" customFormat="false" ht="15" hidden="false" customHeight="false" outlineLevel="0" collapsed="false">
      <c r="B5" s="9" t="s">
        <v>329</v>
      </c>
      <c r="C5" s="9" t="s">
        <v>330</v>
      </c>
      <c r="D5" s="9" t="s">
        <v>28</v>
      </c>
      <c r="E5" s="9" t="s">
        <v>15</v>
      </c>
      <c r="F5" s="9" t="s">
        <v>230</v>
      </c>
    </row>
    <row r="6" customFormat="false" ht="15" hidden="false" customHeight="false" outlineLevel="0" collapsed="false">
      <c r="B6" s="26" t="s">
        <v>331</v>
      </c>
      <c r="C6" s="74" t="s">
        <v>332</v>
      </c>
      <c r="D6" s="26" t="s">
        <v>333</v>
      </c>
      <c r="E6" s="15" t="s">
        <v>334</v>
      </c>
      <c r="F6" s="72" t="s">
        <v>335</v>
      </c>
    </row>
    <row r="7" customFormat="false" ht="15" hidden="false" customHeight="false" outlineLevel="0" collapsed="false">
      <c r="B7" s="26" t="s">
        <v>336</v>
      </c>
      <c r="C7" s="74" t="s">
        <v>337</v>
      </c>
      <c r="D7" s="26" t="s">
        <v>338</v>
      </c>
      <c r="E7" s="15" t="s">
        <v>334</v>
      </c>
      <c r="F7" s="72"/>
    </row>
    <row r="8" customFormat="false" ht="15" hidden="false" customHeight="false" outlineLevel="0" collapsed="false">
      <c r="B8" s="26" t="s">
        <v>339</v>
      </c>
      <c r="C8" s="74" t="s">
        <v>340</v>
      </c>
      <c r="D8" s="26" t="s">
        <v>341</v>
      </c>
      <c r="E8" s="15" t="s">
        <v>334</v>
      </c>
      <c r="F8" s="72"/>
    </row>
    <row r="9" customFormat="false" ht="15" hidden="false" customHeight="false" outlineLevel="0" collapsed="false">
      <c r="B9" s="26" t="s">
        <v>342</v>
      </c>
      <c r="C9" s="74" t="s">
        <v>343</v>
      </c>
      <c r="D9" s="26" t="s">
        <v>344</v>
      </c>
      <c r="E9" s="15" t="s">
        <v>334</v>
      </c>
      <c r="F9" s="72"/>
    </row>
    <row r="10" customFormat="false" ht="15" hidden="false" customHeight="false" outlineLevel="0" collapsed="false">
      <c r="B10" s="26" t="s">
        <v>345</v>
      </c>
      <c r="C10" s="74" t="s">
        <v>346</v>
      </c>
      <c r="D10" s="26" t="s">
        <v>347</v>
      </c>
      <c r="E10" s="15" t="s">
        <v>334</v>
      </c>
      <c r="F10" s="72" t="s">
        <v>348</v>
      </c>
    </row>
    <row r="11" customFormat="false" ht="15" hidden="false" customHeight="false" outlineLevel="0" collapsed="false">
      <c r="B11" s="26" t="s">
        <v>349</v>
      </c>
      <c r="C11" s="74" t="s">
        <v>350</v>
      </c>
      <c r="D11" s="12" t="n">
        <v>16</v>
      </c>
      <c r="E11" s="15" t="s">
        <v>334</v>
      </c>
      <c r="F11" s="72" t="s">
        <v>351</v>
      </c>
    </row>
    <row r="12" customFormat="false" ht="15" hidden="false" customHeight="false" outlineLevel="0" collapsed="false">
      <c r="B12" s="26" t="s">
        <v>352</v>
      </c>
      <c r="C12" s="74" t="s">
        <v>353</v>
      </c>
      <c r="D12" s="36" t="n">
        <v>168</v>
      </c>
      <c r="E12" s="15" t="s">
        <v>334</v>
      </c>
      <c r="F12" s="72" t="s">
        <v>354</v>
      </c>
    </row>
    <row r="13" customFormat="false" ht="15" hidden="false" customHeight="false" outlineLevel="0" collapsed="false">
      <c r="B13" s="26" t="s">
        <v>34</v>
      </c>
      <c r="C13" s="74" t="s">
        <v>355</v>
      </c>
      <c r="D13" s="36" t="n">
        <v>812</v>
      </c>
      <c r="E13" s="15" t="s">
        <v>334</v>
      </c>
      <c r="F13" s="72" t="s">
        <v>356</v>
      </c>
    </row>
    <row r="14" customFormat="false" ht="15" hidden="false" customHeight="false" outlineLevel="0" collapsed="false">
      <c r="B14" s="26" t="s">
        <v>357</v>
      </c>
      <c r="C14" s="74" t="s">
        <v>358</v>
      </c>
      <c r="D14" s="75" t="n">
        <v>4.83333333333333</v>
      </c>
      <c r="E14" s="15" t="s">
        <v>334</v>
      </c>
      <c r="F14" s="72"/>
    </row>
    <row r="15" customFormat="false" ht="15" hidden="false" customHeight="false" outlineLevel="0" collapsed="false">
      <c r="B15" s="26" t="s">
        <v>359</v>
      </c>
      <c r="C15" s="74" t="s">
        <v>360</v>
      </c>
      <c r="D15" s="12" t="n">
        <v>384900</v>
      </c>
      <c r="E15" s="47" t="s">
        <v>361</v>
      </c>
      <c r="F15" s="72"/>
    </row>
    <row r="16" customFormat="false" ht="15" hidden="false" customHeight="false" outlineLevel="0" collapsed="false">
      <c r="B16" s="26" t="s">
        <v>362</v>
      </c>
      <c r="C16" s="74" t="s">
        <v>363</v>
      </c>
      <c r="D16" s="12" t="n">
        <v>394208</v>
      </c>
      <c r="E16" s="47" t="s">
        <v>361</v>
      </c>
      <c r="F16" s="72" t="s">
        <v>364</v>
      </c>
    </row>
    <row r="17" customFormat="false" ht="15" hidden="false" customHeight="false" outlineLevel="0" collapsed="false">
      <c r="B17" s="26" t="s">
        <v>365</v>
      </c>
      <c r="C17" s="74" t="s">
        <v>366</v>
      </c>
      <c r="D17" s="12" t="n">
        <v>9308</v>
      </c>
      <c r="E17" s="47" t="s">
        <v>361</v>
      </c>
      <c r="F17" s="72" t="s">
        <v>367</v>
      </c>
    </row>
    <row r="18" customFormat="false" ht="15" hidden="false" customHeight="false" outlineLevel="0" collapsed="false">
      <c r="B18" s="26" t="s">
        <v>368</v>
      </c>
      <c r="C18" s="74" t="s">
        <v>369</v>
      </c>
      <c r="D18" s="12" t="n">
        <v>394208</v>
      </c>
      <c r="E18" s="47" t="s">
        <v>361</v>
      </c>
      <c r="F18" s="72"/>
    </row>
    <row r="19" customFormat="false" ht="15" hidden="false" customHeight="false" outlineLevel="0" collapsed="false">
      <c r="B19" s="26" t="s">
        <v>370</v>
      </c>
      <c r="C19" s="74" t="s">
        <v>371</v>
      </c>
      <c r="D19" s="12" t="n">
        <v>106309</v>
      </c>
      <c r="E19" s="47" t="s">
        <v>361</v>
      </c>
      <c r="F19" s="72"/>
    </row>
    <row r="20" customFormat="false" ht="15" hidden="false" customHeight="false" outlineLevel="0" collapsed="false">
      <c r="B20" s="26" t="s">
        <v>372</v>
      </c>
      <c r="C20" s="74" t="s">
        <v>373</v>
      </c>
      <c r="D20" s="13" t="n">
        <v>0.269677429174446</v>
      </c>
      <c r="E20" s="47" t="s">
        <v>361</v>
      </c>
      <c r="F20" s="72"/>
    </row>
    <row r="21" customFormat="false" ht="15" hidden="false" customHeight="false" outlineLevel="0" collapsed="false">
      <c r="B21" s="26" t="s">
        <v>120</v>
      </c>
      <c r="C21" s="74" t="s">
        <v>374</v>
      </c>
      <c r="D21" s="12" t="n">
        <v>287899</v>
      </c>
      <c r="E21" s="47" t="s">
        <v>361</v>
      </c>
      <c r="F21" s="72"/>
    </row>
    <row r="22" customFormat="false" ht="15" hidden="false" customHeight="false" outlineLevel="0" collapsed="false">
      <c r="B22" s="26" t="s">
        <v>375</v>
      </c>
      <c r="C22" s="74" t="s">
        <v>376</v>
      </c>
      <c r="D22" s="12" t="n">
        <v>84698</v>
      </c>
      <c r="E22" s="10" t="s">
        <v>21</v>
      </c>
      <c r="F22" s="72" t="s">
        <v>377</v>
      </c>
    </row>
    <row r="23" customFormat="false" ht="15" hidden="false" customHeight="false" outlineLevel="0" collapsed="false">
      <c r="B23" s="26" t="s">
        <v>378</v>
      </c>
      <c r="C23" s="74" t="s">
        <v>379</v>
      </c>
      <c r="D23" s="12" t="n">
        <v>151064.39</v>
      </c>
      <c r="E23" s="14" t="s">
        <v>22</v>
      </c>
      <c r="F23" s="72" t="s">
        <v>380</v>
      </c>
    </row>
    <row r="24" customFormat="false" ht="23.85" hidden="false" customHeight="false" outlineLevel="0" collapsed="false">
      <c r="B24" s="26" t="s">
        <v>381</v>
      </c>
      <c r="C24" s="74" t="s">
        <v>382</v>
      </c>
      <c r="D24" s="12" t="n">
        <v>11245.52</v>
      </c>
      <c r="E24" s="47" t="s">
        <v>361</v>
      </c>
      <c r="F24" s="72" t="s">
        <v>383</v>
      </c>
    </row>
    <row r="25" customFormat="false" ht="15" hidden="false" customHeight="false" outlineLevel="0" collapsed="false">
      <c r="B25" s="26" t="s">
        <v>384</v>
      </c>
      <c r="C25" s="74" t="s">
        <v>385</v>
      </c>
      <c r="D25" s="12" t="n">
        <v>40891.46</v>
      </c>
      <c r="E25" s="47" t="s">
        <v>361</v>
      </c>
      <c r="F25" s="72" t="s">
        <v>386</v>
      </c>
    </row>
    <row r="26" customFormat="false" ht="15" hidden="false" customHeight="false" outlineLevel="0" collapsed="false">
      <c r="B26" s="26" t="s">
        <v>295</v>
      </c>
      <c r="C26" s="74" t="s">
        <v>387</v>
      </c>
      <c r="D26" s="12" t="n">
        <v>19710</v>
      </c>
      <c r="E26" s="47" t="s">
        <v>361</v>
      </c>
      <c r="F26" s="72" t="s">
        <v>388</v>
      </c>
    </row>
    <row r="27" customFormat="false" ht="15" hidden="false" customHeight="false" outlineLevel="0" collapsed="false">
      <c r="B27" s="26" t="s">
        <v>389</v>
      </c>
      <c r="C27" s="74" t="s">
        <v>390</v>
      </c>
      <c r="D27" s="12" t="n">
        <v>2346.47619047619</v>
      </c>
      <c r="E27" s="47" t="s">
        <v>361</v>
      </c>
      <c r="F27" s="72"/>
    </row>
    <row r="28" customFormat="false" ht="15" hidden="false" customHeight="false" outlineLevel="0" collapsed="false">
      <c r="B28" s="26" t="s">
        <v>391</v>
      </c>
      <c r="C28" s="74" t="s">
        <v>392</v>
      </c>
      <c r="D28" s="12" t="n">
        <v>632.791666666667</v>
      </c>
      <c r="E28" s="47" t="s">
        <v>361</v>
      </c>
      <c r="F28" s="72"/>
    </row>
    <row r="29" customFormat="false" ht="15" hidden="false" customHeight="false" outlineLevel="0" collapsed="false">
      <c r="B29" s="26" t="s">
        <v>393</v>
      </c>
      <c r="C29" s="74" t="s">
        <v>394</v>
      </c>
      <c r="D29" s="12" t="n">
        <v>1713.68452380952</v>
      </c>
      <c r="E29" s="47" t="s">
        <v>361</v>
      </c>
      <c r="F29" s="72"/>
    </row>
    <row r="30" customFormat="false" ht="15" hidden="false" customHeight="false" outlineLevel="0" collapsed="false">
      <c r="B30" s="26" t="s">
        <v>395</v>
      </c>
      <c r="C30" s="74" t="s">
        <v>396</v>
      </c>
      <c r="D30" s="12" t="n">
        <v>504.154761904762</v>
      </c>
      <c r="E30" s="10" t="s">
        <v>21</v>
      </c>
      <c r="F30" s="72"/>
    </row>
    <row r="31" customFormat="false" ht="15" hidden="false" customHeight="false" outlineLevel="0" collapsed="false">
      <c r="B31" s="26" t="s">
        <v>397</v>
      </c>
      <c r="C31" s="74" t="s">
        <v>398</v>
      </c>
      <c r="D31" s="12" t="n">
        <v>899.192797619048</v>
      </c>
      <c r="E31" s="14" t="s">
        <v>22</v>
      </c>
      <c r="F31" s="72"/>
    </row>
    <row r="32" customFormat="false" ht="15" hidden="false" customHeight="false" outlineLevel="0" collapsed="false">
      <c r="B32" s="26" t="s">
        <v>399</v>
      </c>
      <c r="C32" s="74" t="s">
        <v>400</v>
      </c>
      <c r="D32" s="46" t="n">
        <v>485.477832512315</v>
      </c>
      <c r="E32" s="47" t="s">
        <v>361</v>
      </c>
      <c r="F32" s="72"/>
    </row>
    <row r="33" customFormat="false" ht="15" hidden="false" customHeight="false" outlineLevel="0" collapsed="false">
      <c r="B33" s="26" t="s">
        <v>401</v>
      </c>
      <c r="C33" s="74" t="s">
        <v>402</v>
      </c>
      <c r="D33" s="46" t="n">
        <v>130.922413793104</v>
      </c>
      <c r="E33" s="47" t="s">
        <v>361</v>
      </c>
      <c r="F33" s="72"/>
    </row>
    <row r="34" customFormat="false" ht="15" hidden="false" customHeight="false" outlineLevel="0" collapsed="false">
      <c r="B34" s="26" t="s">
        <v>403</v>
      </c>
      <c r="C34" s="74" t="s">
        <v>404</v>
      </c>
      <c r="D34" s="46" t="n">
        <v>354.555418719212</v>
      </c>
      <c r="E34" s="47" t="s">
        <v>361</v>
      </c>
      <c r="F34" s="72"/>
    </row>
    <row r="35" customFormat="false" ht="15" hidden="false" customHeight="false" outlineLevel="0" collapsed="false">
      <c r="B35" s="26" t="s">
        <v>405</v>
      </c>
      <c r="C35" s="74" t="s">
        <v>406</v>
      </c>
      <c r="D35" s="46" t="n">
        <v>104.307881773399</v>
      </c>
      <c r="E35" s="10" t="s">
        <v>21</v>
      </c>
      <c r="F35" s="72"/>
    </row>
    <row r="36" customFormat="false" ht="15" hidden="false" customHeight="false" outlineLevel="0" collapsed="false">
      <c r="B36" s="26" t="s">
        <v>407</v>
      </c>
      <c r="C36" s="74" t="s">
        <v>408</v>
      </c>
      <c r="D36" s="46" t="n">
        <v>186.039889162562</v>
      </c>
      <c r="E36" s="14" t="s">
        <v>22</v>
      </c>
      <c r="F36" s="72"/>
    </row>
    <row r="37" customFormat="false" ht="15" hidden="false" customHeight="false" outlineLevel="0" collapsed="false">
      <c r="B37" s="26" t="s">
        <v>409</v>
      </c>
      <c r="C37" s="74" t="s">
        <v>410</v>
      </c>
      <c r="D37" s="36" t="n">
        <v>4116</v>
      </c>
      <c r="E37" s="10" t="s">
        <v>21</v>
      </c>
      <c r="F37" s="72" t="s">
        <v>411</v>
      </c>
    </row>
    <row r="38" customFormat="false" ht="15" hidden="false" customHeight="false" outlineLevel="0" collapsed="false">
      <c r="B38" s="26" t="s">
        <v>412</v>
      </c>
      <c r="C38" s="74" t="s">
        <v>413</v>
      </c>
      <c r="D38" s="36" t="n">
        <v>23</v>
      </c>
      <c r="E38" s="10" t="s">
        <v>21</v>
      </c>
      <c r="F38" s="72" t="s">
        <v>414</v>
      </c>
    </row>
    <row r="39" customFormat="false" ht="15" hidden="false" customHeight="false" outlineLevel="0" collapsed="false">
      <c r="B39" s="26" t="s">
        <v>199</v>
      </c>
      <c r="C39" s="74" t="s">
        <v>415</v>
      </c>
      <c r="D39" s="46" t="n">
        <v>20.1470028544244</v>
      </c>
      <c r="E39" s="10" t="s">
        <v>21</v>
      </c>
      <c r="F39" s="72" t="s">
        <v>416</v>
      </c>
    </row>
    <row r="40" customFormat="false" ht="15" hidden="false" customHeight="false" outlineLevel="0" collapsed="false">
      <c r="B40" s="26" t="s">
        <v>201</v>
      </c>
      <c r="C40" s="74" t="s">
        <v>417</v>
      </c>
      <c r="D40" s="46" t="n">
        <v>30.5125024295433</v>
      </c>
      <c r="E40" s="10" t="s">
        <v>21</v>
      </c>
      <c r="F40" s="72" t="s">
        <v>418</v>
      </c>
    </row>
    <row r="41" customFormat="false" ht="15" hidden="false" customHeight="false" outlineLevel="0" collapsed="false">
      <c r="B41" s="26" t="s">
        <v>203</v>
      </c>
      <c r="C41" s="74" t="s">
        <v>419</v>
      </c>
      <c r="D41" s="76" t="n">
        <v>1.51449337899124</v>
      </c>
      <c r="E41" s="10" t="s">
        <v>21</v>
      </c>
      <c r="F41" s="72"/>
    </row>
    <row r="42" customFormat="false" ht="15" hidden="false" customHeight="false" outlineLevel="0" collapsed="false">
      <c r="B42" s="26" t="s">
        <v>420</v>
      </c>
      <c r="C42" s="74" t="s">
        <v>421</v>
      </c>
      <c r="D42" s="36" t="n">
        <v>24.5</v>
      </c>
      <c r="E42" s="10" t="s">
        <v>21</v>
      </c>
      <c r="F42" s="72" t="s">
        <v>422</v>
      </c>
    </row>
    <row r="43" customFormat="false" ht="15" hidden="false" customHeight="false" outlineLevel="0" collapsed="false">
      <c r="B43" s="26" t="s">
        <v>423</v>
      </c>
      <c r="C43" s="74" t="s">
        <v>424</v>
      </c>
      <c r="D43" s="36" t="n">
        <v>5.06896551724138</v>
      </c>
      <c r="E43" s="10" t="s">
        <v>21</v>
      </c>
      <c r="F43" s="72" t="s">
        <v>422</v>
      </c>
    </row>
    <row r="44" customFormat="false" ht="15" hidden="false" customHeight="false" outlineLevel="0" collapsed="false">
      <c r="B44" s="26" t="s">
        <v>425</v>
      </c>
      <c r="C44" s="74" t="s">
        <v>426</v>
      </c>
      <c r="D44" s="46" t="n">
        <v>95.7745383867833</v>
      </c>
      <c r="E44" s="48" t="s">
        <v>427</v>
      </c>
      <c r="F44" s="72"/>
    </row>
    <row r="45" customFormat="false" ht="15" hidden="false" customHeight="false" outlineLevel="0" collapsed="false">
      <c r="B45" s="26" t="s">
        <v>428</v>
      </c>
      <c r="C45" s="74" t="s">
        <v>429</v>
      </c>
      <c r="D45" s="46" t="n">
        <v>25.828231292517</v>
      </c>
      <c r="E45" s="48" t="s">
        <v>427</v>
      </c>
      <c r="F45" s="72"/>
    </row>
    <row r="46" customFormat="false" ht="15" hidden="false" customHeight="false" outlineLevel="0" collapsed="false">
      <c r="B46" s="26" t="s">
        <v>430</v>
      </c>
      <c r="C46" s="74" t="s">
        <v>431</v>
      </c>
      <c r="D46" s="13" t="n">
        <v>0.214856116567903</v>
      </c>
      <c r="E46" s="16" t="s">
        <v>432</v>
      </c>
      <c r="F46" s="72"/>
    </row>
    <row r="47" customFormat="false" ht="15" hidden="false" customHeight="false" outlineLevel="0" collapsed="false">
      <c r="B47" s="26" t="s">
        <v>433</v>
      </c>
      <c r="C47" s="74" t="s">
        <v>434</v>
      </c>
      <c r="D47" s="13" t="n">
        <v>0.383209853681305</v>
      </c>
      <c r="E47" s="16" t="s">
        <v>432</v>
      </c>
      <c r="F47" s="72"/>
    </row>
    <row r="48" customFormat="false" ht="15" hidden="false" customHeight="false" outlineLevel="0" collapsed="false">
      <c r="B48" s="26" t="s">
        <v>435</v>
      </c>
      <c r="C48" s="74" t="s">
        <v>436</v>
      </c>
      <c r="D48" s="12" t="n">
        <v>24638</v>
      </c>
      <c r="E48" s="48" t="s">
        <v>427</v>
      </c>
      <c r="F48" s="72"/>
    </row>
    <row r="49" customFormat="false" ht="15" hidden="false" customHeight="false" outlineLevel="0" collapsed="false">
      <c r="B49" s="26" t="s">
        <v>437</v>
      </c>
      <c r="C49" s="74" t="s">
        <v>438</v>
      </c>
      <c r="D49" s="36" t="n">
        <v>257.25</v>
      </c>
      <c r="E49" s="48" t="s">
        <v>427</v>
      </c>
      <c r="F49" s="72"/>
    </row>
    <row r="50" customFormat="false" ht="15" hidden="false" customHeight="false" outlineLevel="0" collapsed="false">
      <c r="B50" s="26" t="s">
        <v>439</v>
      </c>
      <c r="C50" s="74" t="s">
        <v>440</v>
      </c>
      <c r="D50" s="12" t="n">
        <v>10.5</v>
      </c>
      <c r="E50" s="48" t="s">
        <v>427</v>
      </c>
      <c r="F50" s="72"/>
    </row>
    <row r="51" customFormat="false" ht="15" hidden="false" customHeight="false" outlineLevel="0" collapsed="false">
      <c r="B51" s="26" t="s">
        <v>441</v>
      </c>
      <c r="C51" s="74" t="s">
        <v>442</v>
      </c>
      <c r="D51" s="36" t="n">
        <v>13</v>
      </c>
      <c r="E51" s="14" t="s">
        <v>22</v>
      </c>
      <c r="F51" s="72" t="s">
        <v>443</v>
      </c>
    </row>
    <row r="52" customFormat="false" ht="15" hidden="false" customHeight="false" outlineLevel="0" collapsed="false">
      <c r="B52" s="26" t="s">
        <v>444</v>
      </c>
      <c r="C52" s="74" t="s">
        <v>445</v>
      </c>
      <c r="D52" s="12" t="n">
        <v>115565.31</v>
      </c>
      <c r="E52" s="14" t="s">
        <v>22</v>
      </c>
      <c r="F52" s="72" t="s">
        <v>446</v>
      </c>
    </row>
    <row r="53" customFormat="false" ht="15" hidden="false" customHeight="false" outlineLevel="0" collapsed="false">
      <c r="B53" s="26" t="s">
        <v>447</v>
      </c>
      <c r="C53" s="74" t="s">
        <v>448</v>
      </c>
      <c r="D53" s="13" t="n">
        <v>0.727836809807837</v>
      </c>
      <c r="E53" s="14" t="s">
        <v>22</v>
      </c>
      <c r="F53" s="72"/>
    </row>
    <row r="54" customFormat="false" ht="15" hidden="false" customHeight="false" outlineLevel="0" collapsed="false">
      <c r="B54" s="26" t="s">
        <v>449</v>
      </c>
      <c r="C54" s="74" t="s">
        <v>450</v>
      </c>
      <c r="D54" s="36" t="n">
        <v>49</v>
      </c>
      <c r="E54" s="14" t="s">
        <v>22</v>
      </c>
      <c r="F54" s="72"/>
    </row>
    <row r="55" customFormat="false" ht="15" hidden="false" customHeight="false" outlineLevel="0" collapsed="false">
      <c r="B55" s="26" t="s">
        <v>257</v>
      </c>
      <c r="C55" s="74" t="s">
        <v>451</v>
      </c>
      <c r="D55" s="12" t="n">
        <v>154025.23725</v>
      </c>
      <c r="E55" s="14" t="s">
        <v>22</v>
      </c>
      <c r="F55" s="72"/>
    </row>
    <row r="56" customFormat="false" ht="15" hidden="false" customHeight="false" outlineLevel="0" collapsed="false">
      <c r="B56" s="26" t="s">
        <v>276</v>
      </c>
      <c r="C56" s="74" t="s">
        <v>452</v>
      </c>
      <c r="D56" s="13" t="n">
        <v>1.01959990206825</v>
      </c>
      <c r="E56" s="14" t="s">
        <v>22</v>
      </c>
      <c r="F56" s="72"/>
    </row>
    <row r="59" customFormat="false" ht="7.5" hidden="false" customHeight="true" outlineLevel="0" collapsed="false"/>
    <row r="60" customFormat="false" ht="15" hidden="false" customHeight="false" outlineLevel="0" collapsed="false">
      <c r="B60" s="22" t="s">
        <v>51</v>
      </c>
      <c r="C60" s="22"/>
      <c r="D60" s="22"/>
      <c r="E60" s="22"/>
      <c r="F60" s="22"/>
    </row>
    <row r="61" customFormat="false" ht="15" hidden="false" customHeight="false" outlineLevel="0" collapsed="false">
      <c r="B61" s="23" t="s">
        <v>52</v>
      </c>
      <c r="C61" s="23"/>
      <c r="D61" s="23"/>
      <c r="E61" s="23"/>
      <c r="F61" s="23"/>
    </row>
    <row r="62" customFormat="false" ht="15" hidden="false" customHeight="false" outlineLevel="0" collapsed="false">
      <c r="B62" s="23" t="s">
        <v>53</v>
      </c>
      <c r="C62" s="23"/>
      <c r="D62" s="23"/>
      <c r="E62" s="23"/>
      <c r="F62" s="23"/>
    </row>
    <row r="63" customFormat="false" ht="15" hidden="false" customHeight="false" outlineLevel="0" collapsed="false">
      <c r="B63" s="23" t="s">
        <v>453</v>
      </c>
      <c r="C63" s="23"/>
      <c r="D63" s="23"/>
      <c r="E63" s="23"/>
      <c r="F63" s="23"/>
    </row>
  </sheetData>
  <mergeCells count="6">
    <mergeCell ref="B2:F2"/>
    <mergeCell ref="B3:F3"/>
    <mergeCell ref="B60:F60"/>
    <mergeCell ref="B61:F61"/>
    <mergeCell ref="B62:F62"/>
    <mergeCell ref="B63:F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"/>
  </cols>
  <sheetData>
    <row r="2" customFormat="false" ht="25.5" hidden="false" customHeight="true" outlineLevel="0" collapsed="false">
      <c r="B2" s="24" t="s">
        <v>454</v>
      </c>
      <c r="C2" s="24"/>
      <c r="D2" s="24"/>
      <c r="E2" s="24"/>
      <c r="F2" s="24"/>
    </row>
    <row r="4" customFormat="false" ht="15" hidden="false" customHeight="false" outlineLevel="0" collapsed="false">
      <c r="B4" s="9" t="s">
        <v>455</v>
      </c>
      <c r="C4" s="9" t="s">
        <v>456</v>
      </c>
      <c r="D4" s="9" t="s">
        <v>457</v>
      </c>
      <c r="E4" s="9" t="s">
        <v>458</v>
      </c>
      <c r="F4" s="9" t="s">
        <v>459</v>
      </c>
    </row>
    <row r="5" customFormat="false" ht="15" hidden="false" customHeight="false" outlineLevel="0" collapsed="false">
      <c r="B5" s="34" t="s">
        <v>460</v>
      </c>
      <c r="C5" s="34"/>
      <c r="D5" s="34"/>
      <c r="E5" s="34"/>
      <c r="F5" s="34"/>
    </row>
    <row r="6" customFormat="false" ht="15" hidden="false" customHeight="false" outlineLevel="0" collapsed="false">
      <c r="B6" s="26" t="s">
        <v>461</v>
      </c>
      <c r="C6" s="11" t="n">
        <v>84698</v>
      </c>
      <c r="D6" s="11" t="n">
        <v>84698</v>
      </c>
      <c r="E6" s="12" t="n">
        <f aca="false">C6-D6</f>
        <v>0</v>
      </c>
      <c r="F6" s="47" t="s">
        <v>462</v>
      </c>
    </row>
    <row r="7" customFormat="false" ht="15" hidden="false" customHeight="false" outlineLevel="0" collapsed="false">
      <c r="B7" s="26" t="s">
        <v>463</v>
      </c>
      <c r="C7" s="11" t="n">
        <v>151064.39</v>
      </c>
      <c r="D7" s="11" t="n">
        <v>151064.39</v>
      </c>
      <c r="E7" s="12" t="n">
        <f aca="false">C7-D7</f>
        <v>0</v>
      </c>
      <c r="F7" s="47" t="s">
        <v>462</v>
      </c>
    </row>
    <row r="8" customFormat="false" ht="15" hidden="false" customHeight="false" outlineLevel="0" collapsed="false">
      <c r="B8" s="26" t="s">
        <v>464</v>
      </c>
      <c r="C8" s="11" t="n">
        <v>11245.52</v>
      </c>
      <c r="D8" s="11" t="n">
        <v>11245.52</v>
      </c>
      <c r="E8" s="12" t="n">
        <f aca="false">C8-D8</f>
        <v>0</v>
      </c>
      <c r="F8" s="47" t="s">
        <v>462</v>
      </c>
    </row>
    <row r="9" customFormat="false" ht="15" hidden="false" customHeight="false" outlineLevel="0" collapsed="false">
      <c r="B9" s="26" t="s">
        <v>465</v>
      </c>
      <c r="C9" s="11" t="n">
        <v>40891.46</v>
      </c>
      <c r="D9" s="11" t="n">
        <v>40891.46</v>
      </c>
      <c r="E9" s="12" t="n">
        <f aca="false">C9-D9</f>
        <v>0</v>
      </c>
      <c r="F9" s="47" t="s">
        <v>462</v>
      </c>
    </row>
    <row r="10" customFormat="false" ht="15" hidden="false" customHeight="false" outlineLevel="0" collapsed="false">
      <c r="B10" s="26" t="s">
        <v>466</v>
      </c>
      <c r="C10" s="11" t="n">
        <v>287899.37</v>
      </c>
      <c r="D10" s="11" t="n">
        <v>287899</v>
      </c>
      <c r="E10" s="12" t="n">
        <f aca="false">C10-D10</f>
        <v>0.369999999995343</v>
      </c>
      <c r="F10" s="47" t="s">
        <v>462</v>
      </c>
    </row>
    <row r="11" customFormat="false" ht="15" hidden="false" customHeight="false" outlineLevel="0" collapsed="false">
      <c r="B11" s="26" t="s">
        <v>467</v>
      </c>
      <c r="C11" s="11" t="n">
        <v>394208</v>
      </c>
      <c r="D11" s="11" t="n">
        <v>394208</v>
      </c>
      <c r="E11" s="12" t="n">
        <f aca="false">C11-D11</f>
        <v>0</v>
      </c>
      <c r="F11" s="47" t="s">
        <v>462</v>
      </c>
    </row>
    <row r="12" customFormat="false" ht="15" hidden="false" customHeight="false" outlineLevel="0" collapsed="false">
      <c r="B12" s="26" t="s">
        <v>468</v>
      </c>
      <c r="C12" s="11" t="n">
        <v>106309</v>
      </c>
      <c r="D12" s="11" t="n">
        <v>106309</v>
      </c>
      <c r="E12" s="12" t="n">
        <f aca="false">C12-D12</f>
        <v>0</v>
      </c>
      <c r="F12" s="47" t="s">
        <v>462</v>
      </c>
    </row>
    <row r="14" customFormat="false" ht="15" hidden="false" customHeight="false" outlineLevel="0" collapsed="false">
      <c r="B14" s="51" t="s">
        <v>469</v>
      </c>
      <c r="C14" s="51"/>
      <c r="D14" s="51"/>
      <c r="E14" s="51"/>
      <c r="F14" s="51"/>
    </row>
    <row r="15" customFormat="false" ht="15" hidden="false" customHeight="false" outlineLevel="0" collapsed="false">
      <c r="B15" s="26" t="s">
        <v>470</v>
      </c>
      <c r="C15" s="77" t="n">
        <v>4116</v>
      </c>
      <c r="D15" s="77" t="n">
        <v>4116</v>
      </c>
      <c r="E15" s="78" t="n">
        <f aca="false">C15-D15</f>
        <v>0</v>
      </c>
      <c r="F15" s="47" t="s">
        <v>462</v>
      </c>
    </row>
    <row r="16" customFormat="false" ht="15" hidden="false" customHeight="false" outlineLevel="0" collapsed="false">
      <c r="B16" s="26" t="s">
        <v>471</v>
      </c>
      <c r="C16" s="77" t="n">
        <v>4204</v>
      </c>
      <c r="D16" s="77" t="n">
        <v>4116</v>
      </c>
      <c r="E16" s="78" t="n">
        <f aca="false">C16-D16</f>
        <v>88</v>
      </c>
      <c r="F16" s="47" t="s">
        <v>462</v>
      </c>
    </row>
    <row r="18" customFormat="false" ht="15" hidden="false" customHeight="false" outlineLevel="0" collapsed="false">
      <c r="B18" s="42" t="s">
        <v>472</v>
      </c>
      <c r="C18" s="42"/>
      <c r="D18" s="42"/>
      <c r="E18" s="42"/>
      <c r="F18" s="42"/>
    </row>
    <row r="19" customFormat="false" ht="15" hidden="false" customHeight="false" outlineLevel="0" collapsed="false">
      <c r="B19" s="26" t="s">
        <v>473</v>
      </c>
      <c r="C19" s="11" t="n">
        <v>394208</v>
      </c>
      <c r="D19" s="11" t="n">
        <v>394208</v>
      </c>
      <c r="E19" s="12" t="n">
        <f aca="false">C19-D19</f>
        <v>0</v>
      </c>
      <c r="F19" s="47" t="s">
        <v>462</v>
      </c>
    </row>
    <row r="20" customFormat="false" ht="15" hidden="false" customHeight="false" outlineLevel="0" collapsed="false">
      <c r="B20" s="26" t="s">
        <v>474</v>
      </c>
      <c r="C20" s="11" t="n">
        <v>394208</v>
      </c>
      <c r="D20" s="11" t="n">
        <v>394208</v>
      </c>
      <c r="E20" s="12" t="n">
        <f aca="false">C20-D20</f>
        <v>0</v>
      </c>
      <c r="F20" s="47" t="s">
        <v>462</v>
      </c>
    </row>
    <row r="21" customFormat="false" ht="15" hidden="false" customHeight="false" outlineLevel="0" collapsed="false">
      <c r="B21" s="26" t="s">
        <v>475</v>
      </c>
      <c r="C21" s="11" t="n">
        <v>0</v>
      </c>
      <c r="D21" s="11" t="n">
        <v>0</v>
      </c>
      <c r="E21" s="12" t="n">
        <f aca="false">C21-D21</f>
        <v>0</v>
      </c>
      <c r="F21" s="47" t="s">
        <v>462</v>
      </c>
    </row>
    <row r="22" customFormat="false" ht="15" hidden="false" customHeight="false" outlineLevel="0" collapsed="false">
      <c r="B22" s="26" t="s">
        <v>476</v>
      </c>
      <c r="C22" s="11" t="n">
        <v>394208</v>
      </c>
      <c r="D22" s="11" t="n">
        <v>394208</v>
      </c>
      <c r="E22" s="12" t="n">
        <f aca="false">C22-D22</f>
        <v>0</v>
      </c>
      <c r="F22" s="47" t="s">
        <v>462</v>
      </c>
    </row>
    <row r="24" customFormat="false" ht="15" hidden="false" customHeight="false" outlineLevel="0" collapsed="false">
      <c r="B24" s="45" t="s">
        <v>477</v>
      </c>
      <c r="C24" s="45"/>
      <c r="D24" s="45"/>
      <c r="E24" s="45"/>
      <c r="F24" s="45"/>
    </row>
    <row r="25" customFormat="false" ht="15" hidden="false" customHeight="false" outlineLevel="0" collapsed="false">
      <c r="B25" s="26" t="s">
        <v>478</v>
      </c>
      <c r="C25" s="11" t="n">
        <v>158779.15</v>
      </c>
      <c r="D25" s="11" t="n">
        <v>158779</v>
      </c>
      <c r="E25" s="12" t="n">
        <f aca="false">C25-D25</f>
        <v>0.149999999994179</v>
      </c>
      <c r="F25" s="47" t="s">
        <v>462</v>
      </c>
    </row>
    <row r="27" customFormat="false" ht="15" hidden="false" customHeight="false" outlineLevel="0" collapsed="false">
      <c r="B27" s="79" t="s">
        <v>479</v>
      </c>
      <c r="C27" s="79"/>
      <c r="D27" s="79"/>
      <c r="E27" s="79"/>
      <c r="F27" s="79"/>
    </row>
    <row r="28" customFormat="false" ht="15" hidden="false" customHeight="false" outlineLevel="0" collapsed="false">
      <c r="B28" s="26" t="s">
        <v>275</v>
      </c>
      <c r="C28" s="11" t="n">
        <v>154025.23725</v>
      </c>
      <c r="D28" s="11" t="n">
        <v>151064.39</v>
      </c>
      <c r="E28" s="12" t="n">
        <f aca="false">C28-D28</f>
        <v>2960.84724999999</v>
      </c>
      <c r="F28" s="16" t="s">
        <v>480</v>
      </c>
    </row>
    <row r="29" customFormat="false" ht="15" hidden="false" customHeight="false" outlineLevel="0" collapsed="false">
      <c r="B29" s="80" t="s">
        <v>481</v>
      </c>
    </row>
    <row r="32" customFormat="false" ht="7.5" hidden="false" customHeight="true" outlineLevel="0" collapsed="false"/>
    <row r="33" customFormat="false" ht="15" hidden="false" customHeight="false" outlineLevel="0" collapsed="false">
      <c r="B33" s="22" t="s">
        <v>51</v>
      </c>
      <c r="C33" s="22"/>
      <c r="D33" s="22"/>
      <c r="E33" s="22"/>
      <c r="F33" s="22"/>
    </row>
    <row r="34" customFormat="false" ht="15" hidden="false" customHeight="false" outlineLevel="0" collapsed="false">
      <c r="B34" s="23" t="s">
        <v>52</v>
      </c>
      <c r="C34" s="23"/>
      <c r="D34" s="23"/>
      <c r="E34" s="23"/>
      <c r="F34" s="23"/>
    </row>
    <row r="35" customFormat="false" ht="15" hidden="false" customHeight="false" outlineLevel="0" collapsed="false">
      <c r="B35" s="23" t="s">
        <v>53</v>
      </c>
      <c r="C35" s="23"/>
      <c r="D35" s="23"/>
      <c r="E35" s="23"/>
      <c r="F35" s="23"/>
    </row>
    <row r="36" customFormat="false" ht="15" hidden="false" customHeight="false" outlineLevel="0" collapsed="false">
      <c r="B36" s="23" t="s">
        <v>482</v>
      </c>
      <c r="C36" s="23"/>
      <c r="D36" s="23"/>
      <c r="E36" s="23"/>
      <c r="F36" s="23"/>
    </row>
    <row r="37" customFormat="false" ht="15" hidden="false" customHeight="false" outlineLevel="0" collapsed="false">
      <c r="B37" s="23" t="s">
        <v>483</v>
      </c>
      <c r="C37" s="23"/>
      <c r="D37" s="23"/>
      <c r="E37" s="23"/>
      <c r="F37" s="23"/>
    </row>
  </sheetData>
  <mergeCells count="11">
    <mergeCell ref="B2:F2"/>
    <mergeCell ref="B5:F5"/>
    <mergeCell ref="B14:F14"/>
    <mergeCell ref="B18:F18"/>
    <mergeCell ref="B24:F24"/>
    <mergeCell ref="B27:F27"/>
    <mergeCell ref="B33:F33"/>
    <mergeCell ref="B34:F34"/>
    <mergeCell ref="B35:F35"/>
    <mergeCell ref="B36:F36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2026-04-08T16:45:02Z</dcterms:created>
  <dc:creator>openpyxl</dc:creator>
  <dc:description/>
  <dc:language>en-US</dc:language>
  <cp:lastModifiedBy/>
  <dcterms:modified xsi:type="dcterms:W3CDTF">2026-04-08T16:45:02Z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