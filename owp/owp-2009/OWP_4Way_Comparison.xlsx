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puts" sheetId="1" state="visible" r:id="rId3"/>
    <sheet name="Comparison" sheetId="2" state="visible" r:id="rId4"/>
    <sheet name="Insight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<sst xmlns="http://schemas.openxmlformats.org/spreadsheetml/2006/main" count="154" uniqueCount="140">
  <si>
    <t xml:space="preserve">Inputs — Canonical Job Data (4-Way)</t>
  </si>
  <si>
    <t xml:space="preserve">All values sourced from each job's JCR Summary workbook. Blue = hardcoded input.</t>
  </si>
  <si>
    <t xml:space="preserve">Metric</t>
  </si>
  <si>
    <t xml:space="preserve">Job #2009</t>
  </si>
  <si>
    <t xml:space="preserve">Job #2010</t>
  </si>
  <si>
    <t xml:space="preserve">Job #2011</t>
  </si>
  <si>
    <t xml:space="preserve">Job #2012</t>
  </si>
  <si>
    <t xml:space="preserve">Source / Notes</t>
  </si>
  <si>
    <t xml:space="preserve">— PROFILE —</t>
  </si>
  <si>
    <t xml:space="preserve">Job Name</t>
  </si>
  <si>
    <t xml:space="preserve">Chinn Greenwood Apts</t>
  </si>
  <si>
    <t xml:space="preserve">Chinn Old Town Mixed Use</t>
  </si>
  <si>
    <t xml:space="preserve">Chinn Barrett Park</t>
  </si>
  <si>
    <t xml:space="preserve">Exxel 8th Ave</t>
  </si>
  <si>
    <t xml:space="preserve">General Contractor</t>
  </si>
  <si>
    <t xml:space="preserve">Chinn Construction, LLC</t>
  </si>
  <si>
    <t xml:space="preserve">Exxel Pacific, Inc.</t>
  </si>
  <si>
    <t xml:space="preserve">Location</t>
  </si>
  <si>
    <t xml:space="preserve">Seattle, WA</t>
  </si>
  <si>
    <t xml:space="preserve">Duration (months)</t>
  </si>
  <si>
    <t xml:space="preserve">2009: Jul 2012–Oct 2013</t>
  </si>
  <si>
    <t xml:space="preserve">Unit Count</t>
  </si>
  <si>
    <t xml:space="preserve">2009: kitchen sink count</t>
  </si>
  <si>
    <t xml:space="preserve">Total Fixtures</t>
  </si>
  <si>
    <t xml:space="preserve">All in-unit plumbing fixtures</t>
  </si>
  <si>
    <t xml:space="preserve">— FINANCIAL —</t>
  </si>
  <si>
    <t xml:space="preserve">Original Contract</t>
  </si>
  <si>
    <t xml:space="preserve">Final Contract / Revenue</t>
  </si>
  <si>
    <t xml:space="preserve">Post change orders</t>
  </si>
  <si>
    <t xml:space="preserve">Change Orders</t>
  </si>
  <si>
    <t xml:space="preserve">2009: small additive</t>
  </si>
  <si>
    <t xml:space="preserve">Net Profit</t>
  </si>
  <si>
    <t xml:space="preserve">Direct Cost</t>
  </si>
  <si>
    <t xml:space="preserve">Labor + Material + OH + Burden</t>
  </si>
  <si>
    <t xml:space="preserve">Retainage</t>
  </si>
  <si>
    <t xml:space="preserve">5% held by GC</t>
  </si>
  <si>
    <t xml:space="preserve">— COST MIX —</t>
  </si>
  <si>
    <t xml:space="preserve">Labor Cost</t>
  </si>
  <si>
    <t xml:space="preserve">Sum of labor codes from JCR</t>
  </si>
  <si>
    <t xml:space="preserve">Material Cost</t>
  </si>
  <si>
    <t xml:space="preserve">Sum of material codes</t>
  </si>
  <si>
    <t xml:space="preserve">Overhead Cost</t>
  </si>
  <si>
    <t xml:space="preserve">Sum of OH codes</t>
  </si>
  <si>
    <t xml:space="preserve">Burden Cost</t>
  </si>
  <si>
    <t xml:space="preserve">995 Burden + 998 Taxes</t>
  </si>
  <si>
    <t xml:space="preserve">— LABOR —</t>
  </si>
  <si>
    <t xml:space="preserve">Total Labor Hours</t>
  </si>
  <si>
    <t xml:space="preserve">Total Workers</t>
  </si>
  <si>
    <t xml:space="preserve">Unique payroll IDs</t>
  </si>
  <si>
    <t xml:space="preserve">Blended Gross Wage ($/hr)</t>
  </si>
  <si>
    <t xml:space="preserve">Labor $ / hours</t>
  </si>
  <si>
    <t xml:space="preserve">Fully-Loaded Wage ($/hr)</t>
  </si>
  <si>
    <t xml:space="preserve">(Labor+Burden) / hours</t>
  </si>
  <si>
    <t xml:space="preserve">— MATERIAL —</t>
  </si>
  <si>
    <t xml:space="preserve">Total PO Committed</t>
  </si>
  <si>
    <t xml:space="preserve">2012 tracks via AP only</t>
  </si>
  <si>
    <t xml:space="preserve">Total POs</t>
  </si>
  <si>
    <t xml:space="preserve">Material Vendors</t>
  </si>
  <si>
    <t xml:space="preserve">Distinct AP vendors</t>
  </si>
  <si>
    <t xml:space="preserve">Sources: OWP_2009_JCR_Summary.xlsx, OWP_2010_JCR_Summary.xlsx, OWP_2011_JCR_Summary.xlsx, OWP_2012_JCR_Summary_Notion.xlsx — all reconcile exactly to their JCR PDFs.</t>
  </si>
  <si>
    <t xml:space="preserve">4-Way Benchmark — Jobs #2009 / #2010 / #2011 / #2012</t>
  </si>
  <si>
    <t xml:space="preserve">Chinn Greenwood (168u, 16mo) • Chinn Old Town (165u, 24mo) • Chinn Barrett (117u, 17mo) • Exxel 8th Ave (163u, 17mo)  —  all Seattle multifamily/mixed-use</t>
  </si>
  <si>
    <t xml:space="preserve">2009 Greenwood</t>
  </si>
  <si>
    <t xml:space="preserve">2010 Old Town</t>
  </si>
  <si>
    <t xml:space="preserve">2011 Barrett</t>
  </si>
  <si>
    <t xml:space="preserve">2012 Exxel</t>
  </si>
  <si>
    <t xml:space="preserve">Best</t>
  </si>
  <si>
    <t xml:space="preserve">Range %</t>
  </si>
  <si>
    <t xml:space="preserve">A. PROJECT SCALE</t>
  </si>
  <si>
    <t xml:space="preserve">Fixtures / Unit</t>
  </si>
  <si>
    <t xml:space="preserve">B. TOP-LINE FINANCIAL</t>
  </si>
  <si>
    <t xml:space="preserve">Revenue (Final Contract)</t>
  </si>
  <si>
    <t xml:space="preserve">Gross Margin</t>
  </si>
  <si>
    <t xml:space="preserve">Change Orders ($)</t>
  </si>
  <si>
    <t xml:space="preserve">C. PER-UNIT ECONOMICS</t>
  </si>
  <si>
    <t xml:space="preserve">Revenue / Unit</t>
  </si>
  <si>
    <t xml:space="preserve">Profit / Unit</t>
  </si>
  <si>
    <t xml:space="preserve">Direct Cost / Unit</t>
  </si>
  <si>
    <t xml:space="preserve">Labor Cost / Unit</t>
  </si>
  <si>
    <t xml:space="preserve">Material Cost / Unit</t>
  </si>
  <si>
    <t xml:space="preserve">Hours / Unit</t>
  </si>
  <si>
    <t xml:space="preserve">D. PER-FIXTURE ECONOMICS</t>
  </si>
  <si>
    <t xml:space="preserve">Revenue / Fixture</t>
  </si>
  <si>
    <t xml:space="preserve">Profit / Fixture</t>
  </si>
  <si>
    <t xml:space="preserve">Direct Cost / Fixture</t>
  </si>
  <si>
    <t xml:space="preserve">Labor / Fixture</t>
  </si>
  <si>
    <t xml:space="preserve">Material / Fixture</t>
  </si>
  <si>
    <t xml:space="preserve">Hours / Fixture</t>
  </si>
  <si>
    <t xml:space="preserve">E. LABOR &amp; PRODUCTIVITY</t>
  </si>
  <si>
    <t xml:space="preserve">Blended Gross Wage</t>
  </si>
  <si>
    <t xml:space="preserve">Fully-Loaded Wage</t>
  </si>
  <si>
    <t xml:space="preserve">Revenue / Hour</t>
  </si>
  <si>
    <t xml:space="preserve">Profit / Hour</t>
  </si>
  <si>
    <t xml:space="preserve">Hours / Worker</t>
  </si>
  <si>
    <t xml:space="preserve">F. COST MIX (% of Revenue)</t>
  </si>
  <si>
    <t xml:space="preserve">Labor % of Revenue</t>
  </si>
  <si>
    <t xml:space="preserve">Material % of Revenue</t>
  </si>
  <si>
    <t xml:space="preserve">Overhead % of Revenue</t>
  </si>
  <si>
    <t xml:space="preserve">Burden % of Revenue</t>
  </si>
  <si>
    <t xml:space="preserve">Labor : Material Ratio</t>
  </si>
  <si>
    <t xml:space="preserve">G. THROUGHPUT (per month)</t>
  </si>
  <si>
    <t xml:space="preserve">Revenue / Month</t>
  </si>
  <si>
    <t xml:space="preserve">Units / Month</t>
  </si>
  <si>
    <t xml:space="preserve">Fixtures / Month</t>
  </si>
  <si>
    <t xml:space="preserve">Hours / Month</t>
  </si>
  <si>
    <t xml:space="preserve">Profit / Month</t>
  </si>
  <si>
    <t xml:space="preserve">SOURCES</t>
  </si>
  <si>
    <t xml:space="preserve">Job #2009 — OWP_2009_JCR_Summary.xlsx • 2009 Job Detail Report.pdf</t>
  </si>
  <si>
    <t xml:space="preserve">Job #2010 — OWP_2010_JCR_Summary.xlsx • 2010 Job Detail Report.pdf</t>
  </si>
  <si>
    <t xml:space="preserve">Job #2011 — OWP_2011_JCR_Summary.xlsx • 2011 Job Detail Report.pdf</t>
  </si>
  <si>
    <t xml:space="preserve">Job #2012 — OWP_2012_JCR_Summary_Notion.xlsx • 2012 Job Detail Report.pdf</t>
  </si>
  <si>
    <t xml:space="preserve">Best column: picks the winning job per row. Range % = (max-min)/avg — spread across all 4 jobs.</t>
  </si>
  <si>
    <t xml:space="preserve">Key Observations — 4-Way Benchmark</t>
  </si>
  <si>
    <t xml:space="preserve">2010 IS THE MARGIN OUTLIER</t>
  </si>
  <si>
    <t xml:space="preserve">2010 landed at 54.2% gross margin vs 38.3% on both 2011 and 2012, and 27.0% on 2009. Across 4 Seattle jobs, OWP's profit margin spans 27 points — there's no single 'normal' yet. 2010 demands a post-mortem on what made it exceptional.</t>
  </si>
  <si>
    <t xml:space="preserve">2009 IS THE MARGIN FLOOR</t>
  </si>
  <si>
    <t xml:space="preserve">At 27.0% gross margin, the 2009 Greenwood job is OWP's least profitable in the set despite being the smallest contract. Cost structure tells the story: direct cost = 73% of revenue (vs 46% on 2010). The single-supplier (Ferguson 73%) approach may have lost negotiating leverage that could have widened the margin.</t>
  </si>
  <si>
    <t xml:space="preserve">CHINN IS THE PREFERRED GC</t>
  </si>
  <si>
    <t xml:space="preserve">Three of the four jobs (2009, 2010, 2011) are Chinn Construction. Combined Chinn revenue: $2.65M, combined profit: $1.19M = 44.9% blended margin. Exxel (2012) hit 38.3% as a one-off. Chinn has been substantially more profitable on average.</t>
  </si>
  <si>
    <t xml:space="preserve">DEDUCTIVE vs ADDITIVE CHANGE ORDERS</t>
  </si>
  <si>
    <t xml:space="preserve">2009: +$9K (small additive). 2010: −$83K (deductive — unusual). 2011: +$57K (3 additive COs). 2012: $0 recorded. Four different CO patterns. 2010's deductive COs likely contributed to its outsize margin via descoped work that OWP banked.</t>
  </si>
  <si>
    <t xml:space="preserve">FIXTURE COUNT CLUSTER</t>
  </si>
  <si>
    <t xml:space="preserve">Three of four jobs cluster tightly at 803/812/816 fixtures (2010/2009/2012). 2011 sits alone at 590. Yet hours required ranges from 4,116 (2009) to 14,607 (2012) — a 3.5× spread on similar work. Productivity is the variable, not scope.</t>
  </si>
  <si>
    <t xml:space="preserve">2009 IS THE LABOR-LIGHT EXTREME</t>
  </si>
  <si>
    <t xml:space="preserve">4,116 hours over 16 months = ~257 hrs/month average. 2012 ran 14,607 hours over 17 months = ~860 hrs/month. 2009 likely had part-time crews or split-attention with concurrent jobs.</t>
  </si>
  <si>
    <t xml:space="preserve">2011 HAS THE BEST HOURS/FIXTURE</t>
  </si>
  <si>
    <t xml:space="preserve">2009: 5.1.  2010: 12.8.  2011: 11.8.  2012: 17.9. Shockingly, 2009 looks like the most labor-efficient — but that's because the per-fixture math benefits from low total hours (likely under-recorded or partial JCR coverage). Excluding 2009 as an outlier, 2011 is the productivity winner.</t>
  </si>
  <si>
    <t xml:space="preserve">WAGE STRUCTURE IS REMARKABLY STABLE</t>
  </si>
  <si>
    <t xml:space="preserve">Blended gross wage across 4 jobs: $20.58 / $19.78 / $20.58 / $19.94. Fully-loaded: $30.51 / $29.86 / $31.08 / $30.12. Wage variance is under 5% across all 4 — OWP's crew economics are stable, so productivity differences are about hours-on-job, not pay rate.</t>
  </si>
  <si>
    <t xml:space="preserve">VENDOR CONCENTRATION IS A PATTERN</t>
  </si>
  <si>
    <t xml:space="preserve">2009: Ferguson alone = 73% of AP (extreme). 2010: Rosen Supply 55%. 2011: similar concentration. 2012: top vendor concentration. Across all 4 jobs, OWP routinely puts 50-75% of material spend with one vendor. This is leverage left on the table — consolidating across jobs into a true preferred-vendor program could unlock 2-5% material savings.</t>
  </si>
  <si>
    <t xml:space="preserve">PO DISCIPLINE VARIES WIDELY</t>
  </si>
  <si>
    <t xml:space="preserve">2009: 49 POs, $154K (102% of material). 2010: 24 POs, $214K (75%). 2011: 26 POs, $125K (42%). 2012: zero POs. There's no consistent procurement process across jobs — 2009 had the highest discipline, 2012 had none.</t>
  </si>
  <si>
    <t xml:space="preserve">DURATION ≠ COMPLEXITY</t>
  </si>
  <si>
    <t xml:space="preserve">2009: 16mo. 2010: 24mo. 2011: 17mo. 2012: 17mo. 2010's extra duration didn't translate to more revenue per month (actually less than 2012). Long jobs are not premium jobs — they're just longer.</t>
  </si>
  <si>
    <t xml:space="preserve">REVENUE PER UNIT TIGHTENING</t>
  </si>
  <si>
    <t xml:space="preserve">2009: $2,346/unit. 2010: $8,403/unit. 2011: $7,434/unit. 2012: $8,537/unit. 2009 is dramatically below the others — smaller buildings command much lower per-unit pricing. OWP earns ~3.5× more per unit on mid-size jobs vs small.</t>
  </si>
  <si>
    <t xml:space="preserve">THE BIGGEST QUESTIONS FOR OWP</t>
  </si>
  <si>
    <t xml:space="preserve">1. Why did 2010 deliver 54% margin while the other 3 jobs averaged 34%? Was 2010 a pricing fluke or a repeatable formula?  2. Why did 2009 land at only 27% margin? Is small-job economics structurally lower-margin, or did Ferguson concentration cost us pricing leverage?  3. Is the Chinn relationship (44.9% blended margin on $2.65M across 3 jobs) worth formalizing as a preferred-GC pipeline?  4. Across all 4 jobs, OWP puts 55-73% of material spend through one vendor per job. Could a multi-job consolidated buy unlock 3-5% material savings?</t>
  </si>
  <si>
    <t xml:space="preserve">Sources: OWP_2009_JCR_Summary.xlsx, OWP_2010_JCR_Summary.xlsx, OWP_2011_JCR_Summary.xlsx, OWP_2012_JCR_Summary_Notion.xlsx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</si>
</sst>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$#,##0;[RED]&quot;-$&quot;#,##0"/>
    <numFmt numFmtId="167" formatCode="\$#,##0.00"/>
    <numFmt numFmtId="168" formatCode="#,##0;[RED]\-#,##0;\-"/>
    <numFmt numFmtId="169" formatCode="0.0%"/>
    <numFmt numFmtId="170" formatCode="0.00"/>
    <numFmt numFmtId="171" formatCode="\$#,##0;[RED]&quot;-$&quot;#,##0;\-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E2E2E"/>
      <name val="Inter"/>
      <family val="0"/>
      <charset val="1"/>
    </font>
    <font>
      <i val="true"/>
      <sz val="10"/>
      <color rgb="FF787878"/>
      <name val="Inter"/>
      <family val="0"/>
      <charset val="1"/>
    </font>
    <font>
      <b val="true"/>
      <sz val="10"/>
      <color rgb="FF2E2E2E"/>
      <name val="Inter"/>
      <family val="0"/>
      <charset val="1"/>
    </font>
    <font>
      <b val="true"/>
      <sz val="10"/>
      <color rgb="FF1E3A8A"/>
      <name val="Inter"/>
      <family val="0"/>
      <charset val="1"/>
    </font>
    <font>
      <sz val="10"/>
      <color rgb="FF2E2E2E"/>
      <name val="Inter"/>
      <family val="0"/>
      <charset val="1"/>
    </font>
    <font>
      <sz val="10"/>
      <color rgb="FF0000FF"/>
      <name val="Inter"/>
      <family val="0"/>
      <charset val="1"/>
    </font>
    <font>
      <i val="true"/>
      <sz val="9"/>
      <color rgb="FF787878"/>
      <name val="Inter"/>
      <family val="0"/>
      <charset val="1"/>
    </font>
    <font>
      <b val="true"/>
      <sz val="10"/>
      <color rgb="FF0000FF"/>
      <name val="Inter"/>
      <family val="0"/>
      <charset val="1"/>
    </font>
    <font>
      <b val="true"/>
      <sz val="11"/>
      <color rgb="FF4A4A4A"/>
      <name val="Inter"/>
      <family val="0"/>
      <charset val="1"/>
    </font>
    <font>
      <b val="true"/>
      <sz val="9"/>
      <color rgb="FF2E2E2E"/>
      <name val="Inter"/>
      <family val="0"/>
      <charset val="1"/>
    </font>
    <font>
      <b val="true"/>
      <sz val="11"/>
      <color rgb="FF14532D"/>
      <name val="Inter"/>
      <family val="0"/>
      <charset val="1"/>
    </font>
    <font>
      <b val="true"/>
      <sz val="11"/>
      <color rgb="FF1E3A8A"/>
      <name val="Inter"/>
      <family val="0"/>
      <charset val="1"/>
    </font>
    <font>
      <b val="true"/>
      <sz val="11"/>
      <color rgb="FF5B21B6"/>
      <name val="Inter"/>
      <family val="0"/>
      <charset val="1"/>
    </font>
    <font>
      <b val="true"/>
      <sz val="11"/>
      <color rgb="FF9D174D"/>
      <name val="Inter"/>
      <family val="0"/>
      <charset val="1"/>
    </font>
    <font>
      <b val="true"/>
      <sz val="11"/>
      <color rgb="FF64473A"/>
      <name val="Inter"/>
      <family val="0"/>
      <charset val="1"/>
    </font>
    <font>
      <b val="true"/>
      <sz val="11"/>
      <color rgb="FF78350F"/>
      <name val="Inter"/>
      <family val="0"/>
      <charset val="1"/>
    </font>
    <font>
      <b val="true"/>
      <sz val="9"/>
      <color rgb="FF787878"/>
      <name val="Inter"/>
      <family val="0"/>
      <charset val="1"/>
    </font>
    <font>
      <b val="true"/>
      <sz val="11"/>
      <color rgb="FF9B2C2C"/>
      <name val="Inter"/>
      <family val="0"/>
      <charset val="1"/>
    </font>
    <font>
      <i val="true"/>
      <sz val="10"/>
      <color rgb="FF2E2E2E"/>
      <name val="Inter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7F6F3"/>
        <bgColor rgb="FFF1F1F0"/>
      </patternFill>
    </fill>
    <fill>
      <patternFill patternType="solid">
        <fgColor rgb="FFDBEAFE"/>
        <bgColor rgb="FFEAEAEA"/>
      </patternFill>
    </fill>
    <fill>
      <patternFill patternType="solid">
        <fgColor rgb="FFF1F1F0"/>
        <bgColor rgb="FFF7F6F3"/>
      </patternFill>
    </fill>
    <fill>
      <patternFill patternType="solid">
        <fgColor rgb="FFDCFCE7"/>
        <bgColor rgb="FFF1F1F0"/>
      </patternFill>
    </fill>
    <fill>
      <patternFill patternType="solid">
        <fgColor rgb="FFE9D5FF"/>
        <bgColor rgb="FFEAEAEA"/>
      </patternFill>
    </fill>
    <fill>
      <patternFill patternType="solid">
        <fgColor rgb="FFFCE7F3"/>
        <bgColor rgb="FFFBE4E4"/>
      </patternFill>
    </fill>
    <fill>
      <patternFill patternType="solid">
        <fgColor rgb="FFF1E8DE"/>
        <bgColor rgb="FFEAEAEA"/>
      </patternFill>
    </fill>
    <fill>
      <patternFill patternType="solid">
        <fgColor rgb="FFFEF3C7"/>
        <bgColor rgb="FFF1E8DE"/>
      </patternFill>
    </fill>
    <fill>
      <patternFill patternType="solid">
        <fgColor rgb="FFFBE4E4"/>
        <bgColor rgb="FFFCE7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7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8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9" fillId="9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2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7F6F3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5B21B6"/>
      <rgbColor rgb="FF008080"/>
      <rgbColor rgb="FFFCE7F3"/>
      <rgbColor rgb="FF787878"/>
      <rgbColor rgb="FF9999FF"/>
      <rgbColor rgb="FF9D174D"/>
      <rgbColor rgb="FFFEF3C7"/>
      <rgbColor rgb="FFDCFCE7"/>
      <rgbColor rgb="FF660066"/>
      <rgbColor rgb="FFFF8080"/>
      <rgbColor rgb="FF0066CC"/>
      <rgbColor rgb="FFE9D5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EAFE"/>
      <rgbColor rgb="FFEAEAEA"/>
      <rgbColor rgb="FFF1E8DE"/>
      <rgbColor rgb="FFF1F1F0"/>
      <rgbColor rgb="FFFF99CC"/>
      <rgbColor rgb="FFCC99FF"/>
      <rgbColor rgb="FFFBE4E4"/>
      <rgbColor rgb="FF3366FF"/>
      <rgbColor rgb="FF33CCCC"/>
      <rgbColor rgb="FF99CC00"/>
      <rgbColor rgb="FFFFCC00"/>
      <rgbColor rgb="FFFF9900"/>
      <rgbColor rgb="FFFF6600"/>
      <rgbColor rgb="FF64473A"/>
      <rgbColor rgb="FF969696"/>
      <rgbColor rgb="FF003366"/>
      <rgbColor rgb="FF339966"/>
      <rgbColor rgb="FF14532D"/>
      <rgbColor rgb="FF4A4A4A"/>
      <rgbColor rgb="FF9B2C2C"/>
      <rgbColor rgb="FF78350F"/>
      <rgbColor rgb="FF1E3A8A"/>
      <rgbColor rgb="FF2E2E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3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6"/>
    <col collapsed="false" customWidth="true" hidden="false" outlineLevel="0" max="6" min="3" style="0" width="18"/>
    <col collapsed="false" customWidth="true" hidden="false" outlineLevel="0" max="7" min="7" style="0" width="42"/>
    <col collapsed="false" customWidth="true" hidden="false" outlineLevel="0" max="8" min="8" style="0" width="2"/>
  </cols>
  <sheetData>
    <row r="2" customFormat="false" ht="25.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  <c r="G3" s="2"/>
    </row>
    <row r="5" customFormat="false" ht="15" hidden="false" customHeight="false" outlineLevel="0" collapsed="false"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</row>
    <row r="6" customFormat="false" ht="15" hidden="false" customHeight="false" outlineLevel="0" collapsed="false">
      <c r="B6" s="4" t="s">
        <v>8</v>
      </c>
      <c r="C6" s="4"/>
      <c r="D6" s="4"/>
      <c r="E6" s="4"/>
      <c r="F6" s="4"/>
      <c r="G6" s="4"/>
    </row>
    <row r="7" customFormat="false" ht="15" hidden="false" customHeight="false" outlineLevel="0" collapsed="false">
      <c r="B7" s="5" t="s">
        <v>9</v>
      </c>
      <c r="C7" s="6" t="s">
        <v>10</v>
      </c>
      <c r="D7" s="6" t="s">
        <v>11</v>
      </c>
      <c r="E7" s="6" t="s">
        <v>12</v>
      </c>
      <c r="F7" s="6" t="s">
        <v>13</v>
      </c>
      <c r="G7" s="7"/>
    </row>
    <row r="8" customFormat="false" ht="15" hidden="false" customHeight="false" outlineLevel="0" collapsed="false">
      <c r="B8" s="5" t="s">
        <v>14</v>
      </c>
      <c r="C8" s="6" t="s">
        <v>15</v>
      </c>
      <c r="D8" s="6" t="s">
        <v>15</v>
      </c>
      <c r="E8" s="6" t="s">
        <v>15</v>
      </c>
      <c r="F8" s="6" t="s">
        <v>16</v>
      </c>
      <c r="G8" s="7"/>
    </row>
    <row r="9" customFormat="false" ht="15" hidden="false" customHeight="false" outlineLevel="0" collapsed="false">
      <c r="B9" s="5" t="s">
        <v>17</v>
      </c>
      <c r="C9" s="6" t="s">
        <v>18</v>
      </c>
      <c r="D9" s="6" t="s">
        <v>18</v>
      </c>
      <c r="E9" s="6" t="s">
        <v>18</v>
      </c>
      <c r="F9" s="6" t="s">
        <v>18</v>
      </c>
      <c r="G9" s="7"/>
    </row>
    <row r="10" customFormat="false" ht="15" hidden="false" customHeight="false" outlineLevel="0" collapsed="false">
      <c r="B10" s="5" t="s">
        <v>19</v>
      </c>
      <c r="C10" s="8" t="n">
        <v>16</v>
      </c>
      <c r="D10" s="8" t="n">
        <v>24</v>
      </c>
      <c r="E10" s="8" t="n">
        <v>17</v>
      </c>
      <c r="F10" s="8" t="n">
        <v>17</v>
      </c>
      <c r="G10" s="7" t="s">
        <v>20</v>
      </c>
    </row>
    <row r="11" customFormat="false" ht="15" hidden="false" customHeight="false" outlineLevel="0" collapsed="false">
      <c r="B11" s="5" t="s">
        <v>21</v>
      </c>
      <c r="C11" s="8" t="n">
        <v>168</v>
      </c>
      <c r="D11" s="8" t="n">
        <v>165</v>
      </c>
      <c r="E11" s="8" t="n">
        <v>117</v>
      </c>
      <c r="F11" s="8" t="n">
        <v>163</v>
      </c>
      <c r="G11" s="7" t="s">
        <v>22</v>
      </c>
    </row>
    <row r="12" customFormat="false" ht="15" hidden="false" customHeight="false" outlineLevel="0" collapsed="false">
      <c r="B12" s="5" t="s">
        <v>23</v>
      </c>
      <c r="C12" s="8" t="n">
        <v>812</v>
      </c>
      <c r="D12" s="8" t="n">
        <v>803</v>
      </c>
      <c r="E12" s="8" t="n">
        <v>590</v>
      </c>
      <c r="F12" s="8" t="n">
        <v>816</v>
      </c>
      <c r="G12" s="7" t="s">
        <v>24</v>
      </c>
    </row>
    <row r="13" customFormat="false" ht="15" hidden="false" customHeight="false" outlineLevel="0" collapsed="false">
      <c r="B13" s="4" t="s">
        <v>25</v>
      </c>
      <c r="C13" s="4"/>
      <c r="D13" s="4"/>
      <c r="E13" s="4"/>
      <c r="F13" s="4"/>
      <c r="G13" s="4"/>
    </row>
    <row r="14" customFormat="false" ht="15" hidden="false" customHeight="false" outlineLevel="0" collapsed="false">
      <c r="B14" s="5" t="s">
        <v>26</v>
      </c>
      <c r="C14" s="9" t="n">
        <v>384900</v>
      </c>
      <c r="D14" s="9" t="n">
        <v>1469800</v>
      </c>
      <c r="E14" s="9" t="n">
        <v>813050</v>
      </c>
      <c r="F14" s="9" t="n">
        <v>1394655</v>
      </c>
      <c r="G14" s="7"/>
    </row>
    <row r="15" customFormat="false" ht="15" hidden="false" customHeight="false" outlineLevel="0" collapsed="false">
      <c r="B15" s="5" t="s">
        <v>27</v>
      </c>
      <c r="C15" s="9" t="n">
        <v>394208</v>
      </c>
      <c r="D15" s="9" t="n">
        <v>1386419</v>
      </c>
      <c r="E15" s="9" t="n">
        <v>869824</v>
      </c>
      <c r="F15" s="9" t="n">
        <v>1391455</v>
      </c>
      <c r="G15" s="7" t="s">
        <v>28</v>
      </c>
    </row>
    <row r="16" customFormat="false" ht="15" hidden="false" customHeight="false" outlineLevel="0" collapsed="false">
      <c r="B16" s="5" t="s">
        <v>29</v>
      </c>
      <c r="C16" s="9" t="n">
        <v>9308</v>
      </c>
      <c r="D16" s="9" t="n">
        <v>-83381</v>
      </c>
      <c r="E16" s="9" t="n">
        <v>56774</v>
      </c>
      <c r="F16" s="9" t="n">
        <v>0</v>
      </c>
      <c r="G16" s="7" t="s">
        <v>30</v>
      </c>
    </row>
    <row r="17" customFormat="false" ht="15" hidden="false" customHeight="false" outlineLevel="0" collapsed="false">
      <c r="B17" s="5" t="s">
        <v>31</v>
      </c>
      <c r="C17" s="9" t="n">
        <v>106309</v>
      </c>
      <c r="D17" s="9" t="n">
        <v>751270</v>
      </c>
      <c r="E17" s="9" t="n">
        <v>332960</v>
      </c>
      <c r="F17" s="9" t="n">
        <v>533274</v>
      </c>
      <c r="G17" s="7"/>
    </row>
    <row r="18" customFormat="false" ht="15" hidden="false" customHeight="false" outlineLevel="0" collapsed="false">
      <c r="B18" s="5" t="s">
        <v>32</v>
      </c>
      <c r="C18" s="9" t="n">
        <v>287899</v>
      </c>
      <c r="D18" s="9" t="n">
        <v>635149</v>
      </c>
      <c r="E18" s="9" t="n">
        <v>536863</v>
      </c>
      <c r="F18" s="9" t="n">
        <v>858181</v>
      </c>
      <c r="G18" s="7" t="s">
        <v>33</v>
      </c>
    </row>
    <row r="19" customFormat="false" ht="15" hidden="false" customHeight="false" outlineLevel="0" collapsed="false">
      <c r="B19" s="5" t="s">
        <v>34</v>
      </c>
      <c r="C19" s="9" t="n">
        <v>19710</v>
      </c>
      <c r="D19" s="9" t="n">
        <v>69321</v>
      </c>
      <c r="E19" s="9" t="n">
        <v>43491</v>
      </c>
      <c r="F19" s="9" t="n">
        <v>69573</v>
      </c>
      <c r="G19" s="7" t="s">
        <v>35</v>
      </c>
    </row>
    <row r="20" customFormat="false" ht="15" hidden="false" customHeight="false" outlineLevel="0" collapsed="false">
      <c r="B20" s="4" t="s">
        <v>36</v>
      </c>
      <c r="C20" s="4"/>
      <c r="D20" s="4"/>
      <c r="E20" s="4"/>
      <c r="F20" s="4"/>
      <c r="G20" s="4"/>
    </row>
    <row r="21" customFormat="false" ht="15" hidden="false" customHeight="false" outlineLevel="0" collapsed="false">
      <c r="B21" s="5" t="s">
        <v>37</v>
      </c>
      <c r="C21" s="9" t="n">
        <v>84698</v>
      </c>
      <c r="D21" s="9" t="n">
        <v>202988</v>
      </c>
      <c r="E21" s="9" t="n">
        <v>142883</v>
      </c>
      <c r="F21" s="9" t="n">
        <v>291323</v>
      </c>
      <c r="G21" s="7" t="s">
        <v>38</v>
      </c>
    </row>
    <row r="22" customFormat="false" ht="15" hidden="false" customHeight="false" outlineLevel="0" collapsed="false">
      <c r="B22" s="5" t="s">
        <v>39</v>
      </c>
      <c r="C22" s="9" t="n">
        <v>151064</v>
      </c>
      <c r="D22" s="9" t="n">
        <v>283474</v>
      </c>
      <c r="E22" s="9" t="n">
        <v>295006</v>
      </c>
      <c r="F22" s="9" t="n">
        <v>390751</v>
      </c>
      <c r="G22" s="7" t="s">
        <v>40</v>
      </c>
    </row>
    <row r="23" customFormat="false" ht="15" hidden="false" customHeight="false" outlineLevel="0" collapsed="false">
      <c r="B23" s="5" t="s">
        <v>41</v>
      </c>
      <c r="C23" s="9" t="n">
        <v>11246</v>
      </c>
      <c r="D23" s="9" t="n">
        <v>45271</v>
      </c>
      <c r="E23" s="9" t="n">
        <v>26210</v>
      </c>
      <c r="F23" s="9" t="n">
        <v>27519</v>
      </c>
      <c r="G23" s="7" t="s">
        <v>42</v>
      </c>
    </row>
    <row r="24" customFormat="false" ht="15" hidden="false" customHeight="false" outlineLevel="0" collapsed="false">
      <c r="B24" s="5" t="s">
        <v>43</v>
      </c>
      <c r="C24" s="9" t="n">
        <v>40891</v>
      </c>
      <c r="D24" s="9" t="n">
        <v>103414</v>
      </c>
      <c r="E24" s="9" t="n">
        <v>72765</v>
      </c>
      <c r="F24" s="9" t="n">
        <v>148589</v>
      </c>
      <c r="G24" s="7" t="s">
        <v>44</v>
      </c>
    </row>
    <row r="25" customFormat="false" ht="15" hidden="false" customHeight="false" outlineLevel="0" collapsed="false">
      <c r="B25" s="4" t="s">
        <v>45</v>
      </c>
      <c r="C25" s="4"/>
      <c r="D25" s="4"/>
      <c r="E25" s="4"/>
      <c r="F25" s="4"/>
      <c r="G25" s="4"/>
    </row>
    <row r="26" customFormat="false" ht="15" hidden="false" customHeight="false" outlineLevel="0" collapsed="false">
      <c r="B26" s="5" t="s">
        <v>46</v>
      </c>
      <c r="C26" s="8" t="n">
        <v>4116</v>
      </c>
      <c r="D26" s="8" t="n">
        <v>10260</v>
      </c>
      <c r="E26" s="8" t="n">
        <v>6944</v>
      </c>
      <c r="F26" s="8" t="n">
        <v>14607</v>
      </c>
      <c r="G26" s="7"/>
    </row>
    <row r="27" customFormat="false" ht="15" hidden="false" customHeight="false" outlineLevel="0" collapsed="false">
      <c r="B27" s="5" t="s">
        <v>47</v>
      </c>
      <c r="C27" s="8" t="n">
        <v>23</v>
      </c>
      <c r="D27" s="8" t="n">
        <v>22</v>
      </c>
      <c r="E27" s="8" t="n">
        <v>31</v>
      </c>
      <c r="F27" s="8" t="n">
        <v>28</v>
      </c>
      <c r="G27" s="7" t="s">
        <v>48</v>
      </c>
    </row>
    <row r="28" customFormat="false" ht="15" hidden="false" customHeight="false" outlineLevel="0" collapsed="false">
      <c r="B28" s="5" t="s">
        <v>49</v>
      </c>
      <c r="C28" s="10" t="n">
        <v>20.58</v>
      </c>
      <c r="D28" s="10" t="n">
        <v>19.78</v>
      </c>
      <c r="E28" s="10" t="n">
        <v>20.58</v>
      </c>
      <c r="F28" s="10" t="n">
        <v>19.94</v>
      </c>
      <c r="G28" s="7" t="s">
        <v>50</v>
      </c>
    </row>
    <row r="29" customFormat="false" ht="15" hidden="false" customHeight="false" outlineLevel="0" collapsed="false">
      <c r="B29" s="5" t="s">
        <v>51</v>
      </c>
      <c r="C29" s="10" t="n">
        <v>30.51</v>
      </c>
      <c r="D29" s="10" t="n">
        <v>29.86</v>
      </c>
      <c r="E29" s="10" t="n">
        <v>31.08</v>
      </c>
      <c r="F29" s="10" t="n">
        <v>30.12</v>
      </c>
      <c r="G29" s="7" t="s">
        <v>52</v>
      </c>
    </row>
    <row r="30" customFormat="false" ht="15" hidden="false" customHeight="false" outlineLevel="0" collapsed="false">
      <c r="B30" s="4" t="s">
        <v>53</v>
      </c>
      <c r="C30" s="4"/>
      <c r="D30" s="4"/>
      <c r="E30" s="4"/>
      <c r="F30" s="4"/>
      <c r="G30" s="4"/>
    </row>
    <row r="31" customFormat="false" ht="15" hidden="false" customHeight="false" outlineLevel="0" collapsed="false">
      <c r="B31" s="5" t="s">
        <v>54</v>
      </c>
      <c r="C31" s="9" t="n">
        <v>154025</v>
      </c>
      <c r="D31" s="9" t="n">
        <v>213756</v>
      </c>
      <c r="E31" s="9" t="n">
        <v>124908</v>
      </c>
      <c r="F31" s="9" t="n">
        <v>0</v>
      </c>
      <c r="G31" s="7" t="s">
        <v>55</v>
      </c>
    </row>
    <row r="32" customFormat="false" ht="15" hidden="false" customHeight="false" outlineLevel="0" collapsed="false">
      <c r="B32" s="5" t="s">
        <v>56</v>
      </c>
      <c r="C32" s="8" t="n">
        <v>49</v>
      </c>
      <c r="D32" s="8" t="n">
        <v>24</v>
      </c>
      <c r="E32" s="8" t="n">
        <v>26</v>
      </c>
      <c r="F32" s="8" t="n">
        <v>0</v>
      </c>
      <c r="G32" s="7"/>
    </row>
    <row r="33" customFormat="false" ht="15" hidden="false" customHeight="false" outlineLevel="0" collapsed="false">
      <c r="B33" s="5" t="s">
        <v>57</v>
      </c>
      <c r="C33" s="8" t="n">
        <v>13</v>
      </c>
      <c r="D33" s="8" t="n">
        <v>18</v>
      </c>
      <c r="E33" s="8" t="n">
        <v>14</v>
      </c>
      <c r="F33" s="8" t="n">
        <v>17</v>
      </c>
      <c r="G33" s="7" t="s">
        <v>58</v>
      </c>
    </row>
    <row r="36" customFormat="false" ht="15" hidden="false" customHeight="false" outlineLevel="0" collapsed="false">
      <c r="B36" s="11" t="s">
        <v>59</v>
      </c>
      <c r="C36" s="11"/>
      <c r="D36" s="11"/>
      <c r="E36" s="11"/>
      <c r="F36" s="11"/>
      <c r="G36" s="11"/>
    </row>
  </sheetData>
  <mergeCells count="8">
    <mergeCell ref="B2:G2"/>
    <mergeCell ref="B3:G3"/>
    <mergeCell ref="B6:G6"/>
    <mergeCell ref="B13:G13"/>
    <mergeCell ref="B20:G20"/>
    <mergeCell ref="B25:G25"/>
    <mergeCell ref="B30:G30"/>
    <mergeCell ref="B36:G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4"/>
    <col collapsed="false" customWidth="true" hidden="false" outlineLevel="0" max="6" min="3" style="0" width="15"/>
    <col collapsed="false" customWidth="true" hidden="false" outlineLevel="0" max="8" min="7" style="0" width="13"/>
    <col collapsed="false" customWidth="true" hidden="false" outlineLevel="0" max="9" min="9" style="0" width="2"/>
  </cols>
  <sheetData>
    <row r="2" customFormat="false" ht="25.5" hidden="false" customHeight="true" outlineLevel="0" collapsed="false">
      <c r="B2" s="1" t="s">
        <v>60</v>
      </c>
      <c r="C2" s="1"/>
      <c r="D2" s="1"/>
      <c r="E2" s="1"/>
      <c r="F2" s="1"/>
      <c r="G2" s="1"/>
      <c r="H2" s="1"/>
    </row>
    <row r="3" customFormat="false" ht="15" hidden="false" customHeight="false" outlineLevel="0" collapsed="false">
      <c r="B3" s="2" t="s">
        <v>61</v>
      </c>
      <c r="C3" s="2"/>
      <c r="D3" s="2"/>
      <c r="E3" s="2"/>
      <c r="F3" s="2"/>
      <c r="G3" s="2"/>
      <c r="H3" s="2"/>
    </row>
    <row r="5" customFormat="false" ht="15" hidden="false" customHeight="false" outlineLevel="0" collapsed="false">
      <c r="B5" s="12" t="s">
        <v>2</v>
      </c>
      <c r="C5" s="12" t="s">
        <v>62</v>
      </c>
      <c r="D5" s="12" t="s">
        <v>63</v>
      </c>
      <c r="E5" s="12" t="s">
        <v>64</v>
      </c>
      <c r="F5" s="12" t="s">
        <v>65</v>
      </c>
      <c r="G5" s="12" t="s">
        <v>66</v>
      </c>
      <c r="H5" s="12" t="s">
        <v>67</v>
      </c>
    </row>
    <row r="6" customFormat="false" ht="15" hidden="false" customHeight="false" outlineLevel="0" collapsed="false">
      <c r="B6" s="13" t="s">
        <v>68</v>
      </c>
      <c r="C6" s="13"/>
      <c r="D6" s="13"/>
      <c r="E6" s="13"/>
      <c r="F6" s="13"/>
      <c r="G6" s="13"/>
      <c r="H6" s="13"/>
    </row>
    <row r="7" customFormat="false" ht="15" hidden="false" customHeight="false" outlineLevel="0" collapsed="false">
      <c r="B7" s="5" t="s">
        <v>21</v>
      </c>
      <c r="C7" s="14" t="n">
        <f aca="false">Inputs!C11</f>
        <v>168</v>
      </c>
      <c r="D7" s="14" t="n">
        <f aca="false">Inputs!D11</f>
        <v>165</v>
      </c>
      <c r="E7" s="14" t="n">
        <f aca="false">Inputs!E11</f>
        <v>117</v>
      </c>
      <c r="F7" s="14" t="n">
        <f aca="false">Inputs!F11</f>
        <v>163</v>
      </c>
      <c r="G7" s="15" t="str">
        <f aca="false">IF(MAX(C7,D7,E7,F7)=C7,"2009",IF(MAX(C7,D7,E7,F7)=D7,"2010",IF(MAX(C7,D7,E7,F7)=E7,"2011","2012")))</f>
        <v>2009</v>
      </c>
      <c r="H7" s="16" t="n">
        <f aca="false">IF(AVERAGE(C7,D7,E7,F7)=0,0,(MAX(C7,D7,E7,F7)-MIN(C7,D7,E7,F7))/ABS(AVERAGE(C7,D7,E7,F7)))</f>
        <v>0.33278955954323</v>
      </c>
    </row>
    <row r="8" customFormat="false" ht="15" hidden="false" customHeight="false" outlineLevel="0" collapsed="false">
      <c r="B8" s="5" t="s">
        <v>23</v>
      </c>
      <c r="C8" s="14" t="n">
        <f aca="false">Inputs!C12</f>
        <v>812</v>
      </c>
      <c r="D8" s="14" t="n">
        <f aca="false">Inputs!D12</f>
        <v>803</v>
      </c>
      <c r="E8" s="14" t="n">
        <f aca="false">Inputs!E12</f>
        <v>590</v>
      </c>
      <c r="F8" s="14" t="n">
        <f aca="false">Inputs!F12</f>
        <v>816</v>
      </c>
      <c r="G8" s="15" t="str">
        <f aca="false">IF(MAX(C8,D8,E8,F8)=C8,"2009",IF(MAX(C8,D8,E8,F8)=D8,"2010",IF(MAX(C8,D8,E8,F8)=E8,"2011","2012")))</f>
        <v>2012</v>
      </c>
      <c r="H8" s="16" t="n">
        <f aca="false">IF(AVERAGE(C8,D8,E8,F8)=0,0,(MAX(C8,D8,E8,F8)-MIN(C8,D8,E8,F8))/ABS(AVERAGE(C8,D8,E8,F8)))</f>
        <v>0.299238662694472</v>
      </c>
    </row>
    <row r="9" customFormat="false" ht="15" hidden="false" customHeight="false" outlineLevel="0" collapsed="false">
      <c r="B9" s="5" t="s">
        <v>19</v>
      </c>
      <c r="C9" s="14" t="n">
        <f aca="false">Inputs!C10</f>
        <v>16</v>
      </c>
      <c r="D9" s="14" t="n">
        <f aca="false">Inputs!D10</f>
        <v>24</v>
      </c>
      <c r="E9" s="14" t="n">
        <f aca="false">Inputs!E10</f>
        <v>17</v>
      </c>
      <c r="F9" s="14" t="n">
        <f aca="false">Inputs!F10</f>
        <v>17</v>
      </c>
      <c r="G9" s="15" t="str">
        <f aca="false">IF(MIN(C9,D9,E9,F9)=C9,"2009",IF(MIN(C9,D9,E9,F9)=D9,"2010",IF(MIN(C9,D9,E9,F9)=E9,"2011","2012")))</f>
        <v>2009</v>
      </c>
      <c r="H9" s="16" t="n">
        <f aca="false">IF(AVERAGE(C9,D9,E9,F9)=0,0,(MAX(C9,D9,E9,F9)-MIN(C9,D9,E9,F9))/ABS(AVERAGE(C9,D9,E9,F9)))</f>
        <v>0.432432432432432</v>
      </c>
    </row>
    <row r="10" customFormat="false" ht="15" hidden="false" customHeight="false" outlineLevel="0" collapsed="false">
      <c r="B10" s="5" t="s">
        <v>69</v>
      </c>
      <c r="C10" s="17" t="n">
        <f aca="false">Inputs!C12/Inputs!C11</f>
        <v>4.83333333333333</v>
      </c>
      <c r="D10" s="17" t="n">
        <f aca="false">Inputs!D12/Inputs!D11</f>
        <v>4.86666666666667</v>
      </c>
      <c r="E10" s="17" t="n">
        <f aca="false">Inputs!E12/Inputs!E11</f>
        <v>5.04273504273504</v>
      </c>
      <c r="F10" s="17" t="n">
        <f aca="false">Inputs!F12/Inputs!F11</f>
        <v>5.00613496932515</v>
      </c>
      <c r="G10" s="15" t="str">
        <f aca="false">IF(MAX(C10,D10,E10,F10)=C10,"2009",IF(MAX(C10,D10,E10,F10)=D10,"2010",IF(MAX(C10,D10,E10,F10)=E10,"2011","2012")))</f>
        <v>2011</v>
      </c>
      <c r="H10" s="16" t="n">
        <f aca="false">IF(AVERAGE(C10,D10,E10,F10)=0,0,(MAX(C10,D10,E10,F10)-MIN(C10,D10,E10,F10))/ABS(AVERAGE(C10,D10,E10,F10)))</f>
        <v>0.0424128994264143</v>
      </c>
    </row>
    <row r="11" customFormat="false" ht="15" hidden="false" customHeight="false" outlineLevel="0" collapsed="false">
      <c r="B11" s="18" t="s">
        <v>70</v>
      </c>
      <c r="C11" s="18"/>
      <c r="D11" s="18"/>
      <c r="E11" s="18"/>
      <c r="F11" s="18"/>
      <c r="G11" s="18"/>
      <c r="H11" s="18"/>
    </row>
    <row r="12" customFormat="false" ht="15" hidden="false" customHeight="false" outlineLevel="0" collapsed="false">
      <c r="B12" s="5" t="s">
        <v>71</v>
      </c>
      <c r="C12" s="19" t="n">
        <f aca="false">Inputs!C15</f>
        <v>394208</v>
      </c>
      <c r="D12" s="19" t="n">
        <f aca="false">Inputs!D15</f>
        <v>1386419</v>
      </c>
      <c r="E12" s="19" t="n">
        <f aca="false">Inputs!E15</f>
        <v>869824</v>
      </c>
      <c r="F12" s="19" t="n">
        <f aca="false">Inputs!F15</f>
        <v>1391455</v>
      </c>
      <c r="G12" s="15" t="str">
        <f aca="false">IF(MAX(C12,D12,E12,F12)=C12,"2009",IF(MAX(C12,D12,E12,F12)=D12,"2010",IF(MAX(C12,D12,E12,F12)=E12,"2011","2012")))</f>
        <v>2012</v>
      </c>
      <c r="H12" s="16" t="n">
        <f aca="false">IF(AVERAGE(C12,D12,E12,F12)=0,0,(MAX(C12,D12,E12,F12)-MIN(C12,D12,E12,F12))/ABS(AVERAGE(C12,D12,E12,F12)))</f>
        <v>0.986907661880311</v>
      </c>
    </row>
    <row r="13" customFormat="false" ht="15" hidden="false" customHeight="false" outlineLevel="0" collapsed="false">
      <c r="B13" s="5" t="s">
        <v>31</v>
      </c>
      <c r="C13" s="19" t="n">
        <f aca="false">Inputs!C17</f>
        <v>106309</v>
      </c>
      <c r="D13" s="19" t="n">
        <f aca="false">Inputs!D17</f>
        <v>751270</v>
      </c>
      <c r="E13" s="19" t="n">
        <f aca="false">Inputs!E17</f>
        <v>332960</v>
      </c>
      <c r="F13" s="19" t="n">
        <f aca="false">Inputs!F17</f>
        <v>533274</v>
      </c>
      <c r="G13" s="15" t="str">
        <f aca="false">IF(MAX(C13,D13,E13,F13)=C13,"2009",IF(MAX(C13,D13,E13,F13)=D13,"2010",IF(MAX(C13,D13,E13,F13)=E13,"2011","2012")))</f>
        <v>2010</v>
      </c>
      <c r="H13" s="16" t="n">
        <f aca="false">IF(AVERAGE(C13,D13,E13,F13)=0,0,(MAX(C13,D13,E13,F13)-MIN(C13,D13,E13,F13))/ABS(AVERAGE(C13,D13,E13,F13)))</f>
        <v>1.49659156764684</v>
      </c>
    </row>
    <row r="14" customFormat="false" ht="15" hidden="false" customHeight="false" outlineLevel="0" collapsed="false">
      <c r="B14" s="5" t="s">
        <v>32</v>
      </c>
      <c r="C14" s="19" t="n">
        <f aca="false">Inputs!C18</f>
        <v>287899</v>
      </c>
      <c r="D14" s="19" t="n">
        <f aca="false">Inputs!D18</f>
        <v>635149</v>
      </c>
      <c r="E14" s="19" t="n">
        <f aca="false">Inputs!E18</f>
        <v>536863</v>
      </c>
      <c r="F14" s="19" t="n">
        <f aca="false">Inputs!F18</f>
        <v>858181</v>
      </c>
      <c r="G14" s="15" t="str">
        <f aca="false">IF(MIN(C14,D14,E14,F14)=C14,"2009",IF(MIN(C14,D14,E14,F14)=D14,"2010",IF(MIN(C14,D14,E14,F14)=E14,"2011","2012")))</f>
        <v>2009</v>
      </c>
      <c r="H14" s="16" t="n">
        <f aca="false">IF(AVERAGE(C14,D14,E14,F14)=0,0,(MAX(C14,D14,E14,F14)-MIN(C14,D14,E14,F14))/ABS(AVERAGE(C14,D14,E14,F14)))</f>
        <v>0.984054127273637</v>
      </c>
    </row>
    <row r="15" customFormat="false" ht="15" hidden="false" customHeight="false" outlineLevel="0" collapsed="false">
      <c r="B15" s="5" t="s">
        <v>72</v>
      </c>
      <c r="C15" s="16" t="n">
        <f aca="false">Inputs!C17/Inputs!C15</f>
        <v>0.269677429174446</v>
      </c>
      <c r="D15" s="16" t="n">
        <f aca="false">Inputs!D17/Inputs!D15</f>
        <v>0.541878032542832</v>
      </c>
      <c r="E15" s="16" t="n">
        <f aca="false">Inputs!E17/Inputs!E15</f>
        <v>0.382790081671695</v>
      </c>
      <c r="F15" s="16" t="n">
        <f aca="false">Inputs!F17/Inputs!F15</f>
        <v>0.383249188798775</v>
      </c>
      <c r="G15" s="15" t="str">
        <f aca="false">IF(MAX(C15,D15,E15,F15)=C15,"2009",IF(MAX(C15,D15,E15,F15)=D15,"2010",IF(MAX(C15,D15,E15,F15)=E15,"2011","2012")))</f>
        <v>2010</v>
      </c>
      <c r="H15" s="16" t="n">
        <f aca="false">IF(AVERAGE(C15,D15,E15,F15)=0,0,(MAX(C15,D15,E15,F15)-MIN(C15,D15,E15,F15))/ABS(AVERAGE(C15,D15,E15,F15)))</f>
        <v>0.690166106198665</v>
      </c>
    </row>
    <row r="16" customFormat="false" ht="15" hidden="false" customHeight="false" outlineLevel="0" collapsed="false">
      <c r="B16" s="5" t="s">
        <v>73</v>
      </c>
      <c r="C16" s="19" t="n">
        <f aca="false">Inputs!C16</f>
        <v>9308</v>
      </c>
      <c r="D16" s="19" t="n">
        <f aca="false">Inputs!D16</f>
        <v>-83381</v>
      </c>
      <c r="E16" s="19" t="n">
        <f aca="false">Inputs!E16</f>
        <v>56774</v>
      </c>
      <c r="F16" s="19" t="n">
        <f aca="false">Inputs!F16</f>
        <v>0</v>
      </c>
      <c r="G16" s="15" t="str">
        <f aca="false">IF(MAX(C16,D16,E16,F16)=C16,"2009",IF(MAX(C16,D16,E16,F16)=D16,"2010",IF(MAX(C16,D16,E16,F16)=E16,"2011","2012")))</f>
        <v>2011</v>
      </c>
      <c r="H16" s="16" t="n">
        <f aca="false">IF(AVERAGE(C16,D16,E16,F16)=0,0,(MAX(C16,D16,E16,F16)-MIN(C16,D16,E16,F16))/ABS(AVERAGE(C16,D16,E16,F16)))</f>
        <v>32.4076536215966</v>
      </c>
    </row>
    <row r="17" customFormat="false" ht="15" hidden="false" customHeight="false" outlineLevel="0" collapsed="false">
      <c r="B17" s="5" t="s">
        <v>34</v>
      </c>
      <c r="C17" s="19" t="n">
        <f aca="false">Inputs!C19</f>
        <v>19710</v>
      </c>
      <c r="D17" s="19" t="n">
        <f aca="false">Inputs!D19</f>
        <v>69321</v>
      </c>
      <c r="E17" s="19" t="n">
        <f aca="false">Inputs!E19</f>
        <v>43491</v>
      </c>
      <c r="F17" s="19" t="n">
        <f aca="false">Inputs!F19</f>
        <v>69573</v>
      </c>
      <c r="G17" s="15" t="str">
        <f aca="false">IF(MIN(C17,D17,E17,F17)=C17,"2009",IF(MIN(C17,D17,E17,F17)=D17,"2010",IF(MIN(C17,D17,E17,F17)=E17,"2011","2012")))</f>
        <v>2009</v>
      </c>
      <c r="H17" s="16" t="n">
        <f aca="false">IF(AVERAGE(C17,D17,E17,F17)=0,0,(MAX(C17,D17,E17,F17)-MIN(C17,D17,E17,F17))/ABS(AVERAGE(C17,D17,E17,F17)))</f>
        <v>0.986921992132413</v>
      </c>
    </row>
    <row r="18" customFormat="false" ht="15" hidden="false" customHeight="false" outlineLevel="0" collapsed="false">
      <c r="B18" s="20" t="s">
        <v>74</v>
      </c>
      <c r="C18" s="20"/>
      <c r="D18" s="20"/>
      <c r="E18" s="20"/>
      <c r="F18" s="20"/>
      <c r="G18" s="20"/>
      <c r="H18" s="20"/>
    </row>
    <row r="19" customFormat="false" ht="15" hidden="false" customHeight="false" outlineLevel="0" collapsed="false">
      <c r="B19" s="5" t="s">
        <v>75</v>
      </c>
      <c r="C19" s="19" t="n">
        <f aca="false">Inputs!C15/Inputs!C11</f>
        <v>2346.47619047619</v>
      </c>
      <c r="D19" s="19" t="n">
        <f aca="false">Inputs!D15/Inputs!D11</f>
        <v>8402.53939393939</v>
      </c>
      <c r="E19" s="19" t="n">
        <f aca="false">Inputs!E15/Inputs!E11</f>
        <v>7434.39316239316</v>
      </c>
      <c r="F19" s="19" t="n">
        <f aca="false">Inputs!F15/Inputs!F11</f>
        <v>8536.53374233129</v>
      </c>
      <c r="G19" s="15" t="str">
        <f aca="false">IF(MAX(C19,D19,E19,F19)=C19,"2009",IF(MAX(C19,D19,E19,F19)=D19,"2010",IF(MAX(C19,D19,E19,F19)=E19,"2011","2012")))</f>
        <v>2012</v>
      </c>
      <c r="H19" s="16" t="n">
        <f aca="false">IF(AVERAGE(C19,D19,E19,F19)=0,0,(MAX(C19,D19,E19,F19)-MIN(C19,D19,E19,F19))/ABS(AVERAGE(C19,D19,E19,F19)))</f>
        <v>0.926657316627229</v>
      </c>
    </row>
    <row r="20" customFormat="false" ht="15" hidden="false" customHeight="false" outlineLevel="0" collapsed="false">
      <c r="B20" s="5" t="s">
        <v>76</v>
      </c>
      <c r="C20" s="19" t="n">
        <f aca="false">Inputs!C17/Inputs!C11</f>
        <v>632.791666666667</v>
      </c>
      <c r="D20" s="19" t="n">
        <f aca="false">Inputs!D17/Inputs!D11</f>
        <v>4553.15151515152</v>
      </c>
      <c r="E20" s="19" t="n">
        <f aca="false">Inputs!E17/Inputs!E11</f>
        <v>2845.81196581197</v>
      </c>
      <c r="F20" s="19" t="n">
        <f aca="false">Inputs!F17/Inputs!F11</f>
        <v>3271.61963190184</v>
      </c>
      <c r="G20" s="15" t="str">
        <f aca="false">IF(MAX(C20,D20,E20,F20)=C20,"2009",IF(MAX(C20,D20,E20,F20)=D20,"2010",IF(MAX(C20,D20,E20,F20)=E20,"2011","2012")))</f>
        <v>2010</v>
      </c>
      <c r="H20" s="16" t="n">
        <f aca="false">IF(AVERAGE(C20,D20,E20,F20)=0,0,(MAX(C20,D20,E20,F20)-MIN(C20,D20,E20,F20))/ABS(AVERAGE(C20,D20,E20,F20)))</f>
        <v>1.38732367100975</v>
      </c>
    </row>
    <row r="21" customFormat="false" ht="15" hidden="false" customHeight="false" outlineLevel="0" collapsed="false">
      <c r="B21" s="5" t="s">
        <v>77</v>
      </c>
      <c r="C21" s="19" t="n">
        <f aca="false">Inputs!C18/Inputs!C11</f>
        <v>1713.68452380952</v>
      </c>
      <c r="D21" s="19" t="n">
        <f aca="false">Inputs!D18/Inputs!D11</f>
        <v>3849.38787878788</v>
      </c>
      <c r="E21" s="19" t="n">
        <f aca="false">Inputs!E18/Inputs!E11</f>
        <v>4588.57264957265</v>
      </c>
      <c r="F21" s="19" t="n">
        <f aca="false">Inputs!F18/Inputs!F11</f>
        <v>5264.91411042945</v>
      </c>
      <c r="G21" s="15" t="str">
        <f aca="false">IF(MIN(C21,D21,E21,F21)=C21,"2009",IF(MIN(C21,D21,E21,F21)=D21,"2010",IF(MIN(C21,D21,E21,F21)=E21,"2011","2012")))</f>
        <v>2009</v>
      </c>
      <c r="H21" s="16" t="n">
        <f aca="false">IF(AVERAGE(C21,D21,E21,F21)=0,0,(MAX(C21,D21,E21,F21)-MIN(C21,D21,E21,F21))/ABS(AVERAGE(C21,D21,E21,F21)))</f>
        <v>0.921406534146787</v>
      </c>
    </row>
    <row r="22" customFormat="false" ht="15" hidden="false" customHeight="false" outlineLevel="0" collapsed="false">
      <c r="B22" s="5" t="s">
        <v>78</v>
      </c>
      <c r="C22" s="19" t="n">
        <f aca="false">Inputs!C21/Inputs!C11</f>
        <v>504.154761904762</v>
      </c>
      <c r="D22" s="19" t="n">
        <f aca="false">Inputs!D21/Inputs!D11</f>
        <v>1230.2303030303</v>
      </c>
      <c r="E22" s="19" t="n">
        <f aca="false">Inputs!E21/Inputs!E11</f>
        <v>1221.22222222222</v>
      </c>
      <c r="F22" s="19" t="n">
        <f aca="false">Inputs!F21/Inputs!F11</f>
        <v>1787.25766871166</v>
      </c>
      <c r="G22" s="15" t="str">
        <f aca="false">IF(MIN(C22,D22,E22,F22)=C22,"2009",IF(MIN(C22,D22,E22,F22)=D22,"2010",IF(MIN(C22,D22,E22,F22)=E22,"2011","2012")))</f>
        <v>2009</v>
      </c>
      <c r="H22" s="16" t="n">
        <f aca="false">IF(AVERAGE(C22,D22,E22,F22)=0,0,(MAX(C22,D22,E22,F22)-MIN(C22,D22,E22,F22))/ABS(AVERAGE(C22,D22,E22,F22)))</f>
        <v>1.0821331990228</v>
      </c>
    </row>
    <row r="23" customFormat="false" ht="15" hidden="false" customHeight="false" outlineLevel="0" collapsed="false">
      <c r="B23" s="5" t="s">
        <v>79</v>
      </c>
      <c r="C23" s="19" t="n">
        <f aca="false">Inputs!C22/Inputs!C11</f>
        <v>899.190476190476</v>
      </c>
      <c r="D23" s="19" t="n">
        <f aca="false">Inputs!D22/Inputs!D11</f>
        <v>1718.02424242424</v>
      </c>
      <c r="E23" s="19" t="n">
        <f aca="false">Inputs!E22/Inputs!E11</f>
        <v>2521.4188034188</v>
      </c>
      <c r="F23" s="19" t="n">
        <f aca="false">Inputs!F22/Inputs!F11</f>
        <v>2397.24539877301</v>
      </c>
      <c r="G23" s="15" t="str">
        <f aca="false">IF(MIN(C23,D23,E23,F23)=C23,"2009",IF(MIN(C23,D23,E23,F23)=D23,"2010",IF(MIN(C23,D23,E23,F23)=E23,"2011","2012")))</f>
        <v>2009</v>
      </c>
      <c r="H23" s="16" t="n">
        <f aca="false">IF(AVERAGE(C23,D23,E23,F23)=0,0,(MAX(C23,D23,E23,F23)-MIN(C23,D23,E23,F23))/ABS(AVERAGE(C23,D23,E23,F23)))</f>
        <v>0.861069209989222</v>
      </c>
    </row>
    <row r="24" customFormat="false" ht="15" hidden="false" customHeight="false" outlineLevel="0" collapsed="false">
      <c r="B24" s="5" t="s">
        <v>80</v>
      </c>
      <c r="C24" s="17" t="n">
        <f aca="false">Inputs!C26/Inputs!C11</f>
        <v>24.5</v>
      </c>
      <c r="D24" s="17" t="n">
        <f aca="false">Inputs!D26/Inputs!D11</f>
        <v>62.1818181818182</v>
      </c>
      <c r="E24" s="17" t="n">
        <f aca="false">Inputs!E26/Inputs!E11</f>
        <v>59.3504273504274</v>
      </c>
      <c r="F24" s="17" t="n">
        <f aca="false">Inputs!F26/Inputs!F11</f>
        <v>89.6134969325153</v>
      </c>
      <c r="G24" s="15" t="str">
        <f aca="false">IF(MIN(C24,D24,E24,F24)=C24,"2009",IF(MIN(C24,D24,E24,F24)=D24,"2010",IF(MIN(C24,D24,E24,F24)=E24,"2011","2012")))</f>
        <v>2009</v>
      </c>
      <c r="H24" s="16" t="n">
        <f aca="false">IF(AVERAGE(C24,D24,E24,F24)=0,0,(MAX(C24,D24,E24,F24)-MIN(C24,D24,E24,F24))/ABS(AVERAGE(C24,D24,E24,F24)))</f>
        <v>1.10527771478413</v>
      </c>
    </row>
    <row r="25" customFormat="false" ht="15" hidden="false" customHeight="false" outlineLevel="0" collapsed="false">
      <c r="B25" s="21" t="s">
        <v>81</v>
      </c>
      <c r="C25" s="21"/>
      <c r="D25" s="21"/>
      <c r="E25" s="21"/>
      <c r="F25" s="21"/>
      <c r="G25" s="21"/>
      <c r="H25" s="21"/>
    </row>
    <row r="26" customFormat="false" ht="15" hidden="false" customHeight="false" outlineLevel="0" collapsed="false">
      <c r="B26" s="5" t="s">
        <v>82</v>
      </c>
      <c r="C26" s="19" t="n">
        <f aca="false">Inputs!C15/Inputs!C12</f>
        <v>485.477832512315</v>
      </c>
      <c r="D26" s="19" t="n">
        <f aca="false">Inputs!D15/Inputs!D12</f>
        <v>1726.54919053549</v>
      </c>
      <c r="E26" s="19" t="n">
        <f aca="false">Inputs!E15/Inputs!E12</f>
        <v>1474.2779661017</v>
      </c>
      <c r="F26" s="19" t="n">
        <f aca="false">Inputs!F15/Inputs!F12</f>
        <v>1705.21446078431</v>
      </c>
      <c r="G26" s="15" t="str">
        <f aca="false">IF(MAX(C26,D26,E26,F26)=C26,"2009",IF(MAX(C26,D26,E26,F26)=D26,"2010",IF(MAX(C26,D26,E26,F26)=E26,"2011","2012")))</f>
        <v>2010</v>
      </c>
      <c r="H26" s="16" t="n">
        <f aca="false">IF(AVERAGE(C26,D26,E26,F26)=0,0,(MAX(C26,D26,E26,F26)-MIN(C26,D26,E26,F26))/ABS(AVERAGE(C26,D26,E26,F26)))</f>
        <v>0.920758142151123</v>
      </c>
    </row>
    <row r="27" customFormat="false" ht="15" hidden="false" customHeight="false" outlineLevel="0" collapsed="false">
      <c r="B27" s="5" t="s">
        <v>83</v>
      </c>
      <c r="C27" s="19" t="n">
        <f aca="false">Inputs!C17/Inputs!C12</f>
        <v>130.922413793103</v>
      </c>
      <c r="D27" s="19" t="n">
        <f aca="false">Inputs!D17/Inputs!D12</f>
        <v>935.579078455791</v>
      </c>
      <c r="E27" s="19" t="n">
        <f aca="false">Inputs!E17/Inputs!E12</f>
        <v>564.338983050847</v>
      </c>
      <c r="F27" s="19" t="n">
        <f aca="false">Inputs!F17/Inputs!F12</f>
        <v>653.522058823529</v>
      </c>
      <c r="G27" s="15" t="str">
        <f aca="false">IF(MAX(C27,D27,E27,F27)=C27,"2009",IF(MAX(C27,D27,E27,F27)=D27,"2010",IF(MAX(C27,D27,E27,F27)=E27,"2011","2012")))</f>
        <v>2010</v>
      </c>
      <c r="H27" s="16" t="n">
        <f aca="false">IF(AVERAGE(C27,D27,E27,F27)=0,0,(MAX(C27,D27,E27,F27)-MIN(C27,D27,E27,F27))/ABS(AVERAGE(C27,D27,E27,F27)))</f>
        <v>1.40898242313628</v>
      </c>
    </row>
    <row r="28" customFormat="false" ht="15" hidden="false" customHeight="false" outlineLevel="0" collapsed="false">
      <c r="B28" s="5" t="s">
        <v>84</v>
      </c>
      <c r="C28" s="19" t="n">
        <f aca="false">Inputs!C18/Inputs!C12</f>
        <v>354.555418719212</v>
      </c>
      <c r="D28" s="19" t="n">
        <f aca="false">Inputs!D18/Inputs!D12</f>
        <v>790.970112079701</v>
      </c>
      <c r="E28" s="19" t="n">
        <f aca="false">Inputs!E18/Inputs!E12</f>
        <v>909.937288135593</v>
      </c>
      <c r="F28" s="19" t="n">
        <f aca="false">Inputs!F18/Inputs!F12</f>
        <v>1051.69240196078</v>
      </c>
      <c r="G28" s="15" t="str">
        <f aca="false">IF(MIN(C28,D28,E28,F28)=C28,"2009",IF(MIN(C28,D28,E28,F28)=D28,"2010",IF(MIN(C28,D28,E28,F28)=E28,"2011","2012")))</f>
        <v>2009</v>
      </c>
      <c r="H28" s="16" t="n">
        <f aca="false">IF(AVERAGE(C28,D28,E28,F28)=0,0,(MAX(C28,D28,E28,F28)-MIN(C28,D28,E28,F28))/ABS(AVERAGE(C28,D28,E28,F28)))</f>
        <v>0.89746013144551</v>
      </c>
    </row>
    <row r="29" customFormat="false" ht="15" hidden="false" customHeight="false" outlineLevel="0" collapsed="false">
      <c r="B29" s="5" t="s">
        <v>85</v>
      </c>
      <c r="C29" s="19" t="n">
        <f aca="false">Inputs!C21/Inputs!C12</f>
        <v>104.307881773399</v>
      </c>
      <c r="D29" s="19" t="n">
        <f aca="false">Inputs!D21/Inputs!D12</f>
        <v>252.787048567871</v>
      </c>
      <c r="E29" s="19" t="n">
        <f aca="false">Inputs!E21/Inputs!E12</f>
        <v>242.174576271186</v>
      </c>
      <c r="F29" s="19" t="n">
        <f aca="false">Inputs!F21/Inputs!F12</f>
        <v>357.013480392157</v>
      </c>
      <c r="G29" s="15" t="str">
        <f aca="false">IF(MIN(C29,D29,E29,F29)=C29,"2009",IF(MIN(C29,D29,E29,F29)=D29,"2010",IF(MIN(C29,D29,E29,F29)=E29,"2011","2012")))</f>
        <v>2009</v>
      </c>
      <c r="H29" s="16" t="n">
        <f aca="false">IF(AVERAGE(C29,D29,E29,F29)=0,0,(MAX(C29,D29,E29,F29)-MIN(C29,D29,E29,F29))/ABS(AVERAGE(C29,D29,E29,F29)))</f>
        <v>1.0570327070664</v>
      </c>
    </row>
    <row r="30" customFormat="false" ht="15" hidden="false" customHeight="false" outlineLevel="0" collapsed="false">
      <c r="B30" s="5" t="s">
        <v>86</v>
      </c>
      <c r="C30" s="19" t="n">
        <f aca="false">Inputs!C22/Inputs!C12</f>
        <v>186.039408866995</v>
      </c>
      <c r="D30" s="19" t="n">
        <f aca="false">Inputs!D22/Inputs!D12</f>
        <v>353.018679950187</v>
      </c>
      <c r="E30" s="19" t="n">
        <f aca="false">Inputs!E22/Inputs!E12</f>
        <v>500.010169491525</v>
      </c>
      <c r="F30" s="19" t="n">
        <f aca="false">Inputs!F22/Inputs!F12</f>
        <v>478.861519607843</v>
      </c>
      <c r="G30" s="15" t="str">
        <f aca="false">IF(MIN(C30,D30,E30,F30)=C30,"2009",IF(MIN(C30,D30,E30,F30)=D30,"2010",IF(MIN(C30,D30,E30,F30)=E30,"2011","2012")))</f>
        <v>2009</v>
      </c>
      <c r="H30" s="16" t="n">
        <f aca="false">IF(AVERAGE(C30,D30,E30,F30)=0,0,(MAX(C30,D30,E30,F30)-MIN(C30,D30,E30,F30))/ABS(AVERAGE(C30,D30,E30,F30)))</f>
        <v>0.827365706088128</v>
      </c>
    </row>
    <row r="31" customFormat="false" ht="15" hidden="false" customHeight="false" outlineLevel="0" collapsed="false">
      <c r="B31" s="5" t="s">
        <v>87</v>
      </c>
      <c r="C31" s="17" t="n">
        <f aca="false">Inputs!C26/Inputs!C12</f>
        <v>5.06896551724138</v>
      </c>
      <c r="D31" s="17" t="n">
        <f aca="false">Inputs!D26/Inputs!D12</f>
        <v>12.7770859277709</v>
      </c>
      <c r="E31" s="17" t="n">
        <f aca="false">Inputs!E26/Inputs!E12</f>
        <v>11.7694915254237</v>
      </c>
      <c r="F31" s="17" t="n">
        <f aca="false">Inputs!F26/Inputs!F12</f>
        <v>17.9007352941177</v>
      </c>
      <c r="G31" s="15" t="str">
        <f aca="false">IF(MIN(C31,D31,E31,F31)=C31,"2009",IF(MIN(C31,D31,E31,F31)=D31,"2010",IF(MIN(C31,D31,E31,F31)=E31,"2011","2012")))</f>
        <v>2009</v>
      </c>
      <c r="H31" s="16" t="n">
        <f aca="false">IF(AVERAGE(C31,D31,E31,F31)=0,0,(MAX(C31,D31,E31,F31)-MIN(C31,D31,E31,F31))/ABS(AVERAGE(C31,D31,E31,F31)))</f>
        <v>1.08019990163654</v>
      </c>
    </row>
    <row r="32" customFormat="false" ht="15" hidden="false" customHeight="false" outlineLevel="0" collapsed="false">
      <c r="B32" s="22" t="s">
        <v>88</v>
      </c>
      <c r="C32" s="22"/>
      <c r="D32" s="22"/>
      <c r="E32" s="22"/>
      <c r="F32" s="22"/>
      <c r="G32" s="22"/>
      <c r="H32" s="22"/>
    </row>
    <row r="33" customFormat="false" ht="15" hidden="false" customHeight="false" outlineLevel="0" collapsed="false">
      <c r="B33" s="5" t="s">
        <v>46</v>
      </c>
      <c r="C33" s="14" t="n">
        <f aca="false">Inputs!C26</f>
        <v>4116</v>
      </c>
      <c r="D33" s="14" t="n">
        <f aca="false">Inputs!D26</f>
        <v>10260</v>
      </c>
      <c r="E33" s="14" t="n">
        <f aca="false">Inputs!E26</f>
        <v>6944</v>
      </c>
      <c r="F33" s="14" t="n">
        <f aca="false">Inputs!F26</f>
        <v>14607</v>
      </c>
      <c r="G33" s="15" t="str">
        <f aca="false">IF(MIN(C33,D33,E33,F33)=C33,"2009",IF(MIN(C33,D33,E33,F33)=D33,"2010",IF(MIN(C33,D33,E33,F33)=E33,"2011","2012")))</f>
        <v>2009</v>
      </c>
      <c r="H33" s="16" t="n">
        <f aca="false">IF(AVERAGE(C33,D33,E33,F33)=0,0,(MAX(C33,D33,E33,F33)-MIN(C33,D33,E33,F33))/ABS(AVERAGE(C33,D33,E33,F33)))</f>
        <v>1.16803518245331</v>
      </c>
    </row>
    <row r="34" customFormat="false" ht="15" hidden="false" customHeight="false" outlineLevel="0" collapsed="false">
      <c r="B34" s="5" t="s">
        <v>47</v>
      </c>
      <c r="C34" s="14" t="n">
        <f aca="false">Inputs!C27</f>
        <v>23</v>
      </c>
      <c r="D34" s="14" t="n">
        <f aca="false">Inputs!D27</f>
        <v>22</v>
      </c>
      <c r="E34" s="14" t="n">
        <f aca="false">Inputs!E27</f>
        <v>31</v>
      </c>
      <c r="F34" s="14" t="n">
        <f aca="false">Inputs!F27</f>
        <v>28</v>
      </c>
      <c r="G34" s="15" t="str">
        <f aca="false">IF(MIN(C34,D34,E34,F34)=C34,"2009",IF(MIN(C34,D34,E34,F34)=D34,"2010",IF(MIN(C34,D34,E34,F34)=E34,"2011","2012")))</f>
        <v>2010</v>
      </c>
      <c r="H34" s="16" t="n">
        <f aca="false">IF(AVERAGE(C34,D34,E34,F34)=0,0,(MAX(C34,D34,E34,F34)-MIN(C34,D34,E34,F34))/ABS(AVERAGE(C34,D34,E34,F34)))</f>
        <v>0.346153846153846</v>
      </c>
    </row>
    <row r="35" customFormat="false" ht="15" hidden="false" customHeight="false" outlineLevel="0" collapsed="false">
      <c r="B35" s="5" t="s">
        <v>89</v>
      </c>
      <c r="C35" s="23" t="n">
        <f aca="false">Inputs!C28</f>
        <v>20.58</v>
      </c>
      <c r="D35" s="23" t="n">
        <f aca="false">Inputs!D28</f>
        <v>19.78</v>
      </c>
      <c r="E35" s="23" t="n">
        <f aca="false">Inputs!E28</f>
        <v>20.58</v>
      </c>
      <c r="F35" s="23" t="n">
        <f aca="false">Inputs!F28</f>
        <v>19.94</v>
      </c>
      <c r="G35" s="15" t="str">
        <f aca="false">IF(MIN(C35,D35,E35,F35)=C35,"2009",IF(MIN(C35,D35,E35,F35)=D35,"2010",IF(MIN(C35,D35,E35,F35)=E35,"2011","2012")))</f>
        <v>2010</v>
      </c>
      <c r="H35" s="16" t="n">
        <f aca="false">IF(AVERAGE(C35,D35,E35,F35)=0,0,(MAX(C35,D35,E35,F35)-MIN(C35,D35,E35,F35))/ABS(AVERAGE(C35,D35,E35,F35)))</f>
        <v>0.0395647873392679</v>
      </c>
    </row>
    <row r="36" customFormat="false" ht="15" hidden="false" customHeight="false" outlineLevel="0" collapsed="false">
      <c r="B36" s="5" t="s">
        <v>90</v>
      </c>
      <c r="C36" s="23" t="n">
        <f aca="false">Inputs!C29</f>
        <v>30.51</v>
      </c>
      <c r="D36" s="23" t="n">
        <f aca="false">Inputs!D29</f>
        <v>29.86</v>
      </c>
      <c r="E36" s="23" t="n">
        <f aca="false">Inputs!E29</f>
        <v>31.08</v>
      </c>
      <c r="F36" s="23" t="n">
        <f aca="false">Inputs!F29</f>
        <v>30.12</v>
      </c>
      <c r="G36" s="15" t="str">
        <f aca="false">IF(MIN(C36,D36,E36,F36)=C36,"2009",IF(MIN(C36,D36,E36,F36)=D36,"2010",IF(MIN(C36,D36,E36,F36)=E36,"2011","2012")))</f>
        <v>2010</v>
      </c>
      <c r="H36" s="16" t="n">
        <f aca="false">IF(AVERAGE(C36,D36,E36,F36)=0,0,(MAX(C36,D36,E36,F36)-MIN(C36,D36,E36,F36))/ABS(AVERAGE(C36,D36,E36,F36)))</f>
        <v>0.0401414822735872</v>
      </c>
    </row>
    <row r="37" customFormat="false" ht="15" hidden="false" customHeight="false" outlineLevel="0" collapsed="false">
      <c r="B37" s="5" t="s">
        <v>91</v>
      </c>
      <c r="C37" s="23" t="n">
        <f aca="false">Inputs!C15/Inputs!C26</f>
        <v>95.7745383867833</v>
      </c>
      <c r="D37" s="23" t="n">
        <f aca="false">Inputs!D15/Inputs!D26</f>
        <v>135.128557504873</v>
      </c>
      <c r="E37" s="23" t="n">
        <f aca="false">Inputs!E15/Inputs!E26</f>
        <v>125.26267281106</v>
      </c>
      <c r="F37" s="23" t="n">
        <f aca="false">Inputs!F15/Inputs!F26</f>
        <v>95.259464640241</v>
      </c>
      <c r="G37" s="15" t="str">
        <f aca="false">IF(MAX(C37,D37,E37,F37)=C37,"2009",IF(MAX(C37,D37,E37,F37)=D37,"2010",IF(MAX(C37,D37,E37,F37)=E37,"2011","2012")))</f>
        <v>2010</v>
      </c>
      <c r="H37" s="16" t="n">
        <f aca="false">IF(AVERAGE(C37,D37,E37,F37)=0,0,(MAX(C37,D37,E37,F37)-MIN(C37,D37,E37,F37))/ABS(AVERAGE(C37,D37,E37,F37)))</f>
        <v>0.353273055379631</v>
      </c>
    </row>
    <row r="38" customFormat="false" ht="15" hidden="false" customHeight="false" outlineLevel="0" collapsed="false">
      <c r="B38" s="5" t="s">
        <v>92</v>
      </c>
      <c r="C38" s="23" t="n">
        <f aca="false">Inputs!C17/Inputs!C26</f>
        <v>25.828231292517</v>
      </c>
      <c r="D38" s="23" t="n">
        <f aca="false">Inputs!D17/Inputs!D26</f>
        <v>73.2231968810916</v>
      </c>
      <c r="E38" s="23" t="n">
        <f aca="false">Inputs!E17/Inputs!E26</f>
        <v>47.9493087557604</v>
      </c>
      <c r="F38" s="23" t="n">
        <f aca="false">Inputs!F17/Inputs!F26</f>
        <v>36.508112548778</v>
      </c>
      <c r="G38" s="15" t="str">
        <f aca="false">IF(MAX(C38,D38,E38,F38)=C38,"2009",IF(MAX(C38,D38,E38,F38)=D38,"2010",IF(MAX(C38,D38,E38,F38)=E38,"2011","2012")))</f>
        <v>2010</v>
      </c>
      <c r="H38" s="16" t="n">
        <f aca="false">IF(AVERAGE(C38,D38,E38,F38)=0,0,(MAX(C38,D38,E38,F38)-MIN(C38,D38,E38,F38))/ABS(AVERAGE(C38,D38,E38,F38)))</f>
        <v>1.0330829433753</v>
      </c>
    </row>
    <row r="39" customFormat="false" ht="15" hidden="false" customHeight="false" outlineLevel="0" collapsed="false">
      <c r="B39" s="5" t="s">
        <v>93</v>
      </c>
      <c r="C39" s="14" t="n">
        <f aca="false">Inputs!C26/Inputs!C27</f>
        <v>178.95652173913</v>
      </c>
      <c r="D39" s="14" t="n">
        <f aca="false">Inputs!D26/Inputs!D27</f>
        <v>466.363636363636</v>
      </c>
      <c r="E39" s="14" t="n">
        <f aca="false">Inputs!E26/Inputs!E27</f>
        <v>224</v>
      </c>
      <c r="F39" s="14" t="n">
        <f aca="false">Inputs!F26/Inputs!F27</f>
        <v>521.678571428571</v>
      </c>
      <c r="G39" s="15" t="str">
        <f aca="false">IF(MAX(C39,D39,E39,F39)=C39,"2009",IF(MAX(C39,D39,E39,F39)=D39,"2010",IF(MAX(C39,D39,E39,F39)=E39,"2011","2012")))</f>
        <v>2012</v>
      </c>
      <c r="H39" s="16" t="n">
        <f aca="false">IF(AVERAGE(C39,D39,E39,F39)=0,0,(MAX(C39,D39,E39,F39)-MIN(C39,D39,E39,F39))/ABS(AVERAGE(C39,D39,E39,F39)))</f>
        <v>0.985542380200196</v>
      </c>
    </row>
    <row r="40" customFormat="false" ht="15" hidden="false" customHeight="false" outlineLevel="0" collapsed="false">
      <c r="B40" s="24" t="s">
        <v>94</v>
      </c>
      <c r="C40" s="24"/>
      <c r="D40" s="24"/>
      <c r="E40" s="24"/>
      <c r="F40" s="24"/>
      <c r="G40" s="24"/>
      <c r="H40" s="24"/>
    </row>
    <row r="41" customFormat="false" ht="15" hidden="false" customHeight="false" outlineLevel="0" collapsed="false">
      <c r="B41" s="5" t="s">
        <v>95</v>
      </c>
      <c r="C41" s="16" t="n">
        <f aca="false">Inputs!C21/Inputs!C15</f>
        <v>0.214856116567903</v>
      </c>
      <c r="D41" s="16" t="n">
        <f aca="false">Inputs!D21/Inputs!D15</f>
        <v>0.146411726902185</v>
      </c>
      <c r="E41" s="16" t="n">
        <f aca="false">Inputs!E21/Inputs!E15</f>
        <v>0.164266564270473</v>
      </c>
      <c r="F41" s="16" t="n">
        <f aca="false">Inputs!F21/Inputs!F15</f>
        <v>0.209365735866413</v>
      </c>
      <c r="G41" s="15" t="str">
        <f aca="false">IF(MIN(C41,D41,E41,F41)=C41,"2009",IF(MIN(C41,D41,E41,F41)=D41,"2010",IF(MIN(C41,D41,E41,F41)=E41,"2011","2012")))</f>
        <v>2010</v>
      </c>
      <c r="H41" s="16" t="n">
        <f aca="false">IF(AVERAGE(C41,D41,E41,F41)=0,0,(MAX(C41,D41,E41,F41)-MIN(C41,D41,E41,F41))/ABS(AVERAGE(C41,D41,E41,F41)))</f>
        <v>0.372537086901552</v>
      </c>
    </row>
    <row r="42" customFormat="false" ht="15" hidden="false" customHeight="false" outlineLevel="0" collapsed="false">
      <c r="B42" s="5" t="s">
        <v>96</v>
      </c>
      <c r="C42" s="16" t="n">
        <f aca="false">Inputs!C22/Inputs!C15</f>
        <v>0.383208864355873</v>
      </c>
      <c r="D42" s="16" t="n">
        <f aca="false">Inputs!D22/Inputs!D15</f>
        <v>0.204464883992502</v>
      </c>
      <c r="E42" s="16" t="n">
        <f aca="false">Inputs!E22/Inputs!E15</f>
        <v>0.339155967184166</v>
      </c>
      <c r="F42" s="16" t="n">
        <f aca="false">Inputs!F22/Inputs!F15</f>
        <v>0.280821873506509</v>
      </c>
      <c r="G42" s="15" t="str">
        <f aca="false">IF(MIN(C42,D42,E42,F42)=C42,"2009",IF(MIN(C42,D42,E42,F42)=D42,"2010",IF(MIN(C42,D42,E42,F42)=E42,"2011","2012")))</f>
        <v>2010</v>
      </c>
      <c r="H42" s="16" t="n">
        <f aca="false">IF(AVERAGE(C42,D42,E42,F42)=0,0,(MAX(C42,D42,E42,F42)-MIN(C42,D42,E42,F42))/ABS(AVERAGE(C42,D42,E42,F42)))</f>
        <v>0.592038240120568</v>
      </c>
    </row>
    <row r="43" customFormat="false" ht="15" hidden="false" customHeight="false" outlineLevel="0" collapsed="false">
      <c r="B43" s="5" t="s">
        <v>97</v>
      </c>
      <c r="C43" s="16" t="n">
        <f aca="false">Inputs!C23/Inputs!C15</f>
        <v>0.0285280866953486</v>
      </c>
      <c r="D43" s="16" t="n">
        <f aca="false">Inputs!D23/Inputs!D15</f>
        <v>0.0326531878169587</v>
      </c>
      <c r="E43" s="16" t="n">
        <f aca="false">Inputs!E23/Inputs!E15</f>
        <v>0.0301325325583106</v>
      </c>
      <c r="F43" s="16" t="n">
        <f aca="false">Inputs!F23/Inputs!F15</f>
        <v>0.0197771397565857</v>
      </c>
      <c r="G43" s="15" t="str">
        <f aca="false">IF(MIN(C43,D43,E43,F43)=C43,"2009",IF(MIN(C43,D43,E43,F43)=D43,"2010",IF(MIN(C43,D43,E43,F43)=E43,"2011","2012")))</f>
        <v>2012</v>
      </c>
      <c r="H43" s="16" t="n">
        <f aca="false">IF(AVERAGE(C43,D43,E43,F43)=0,0,(MAX(C43,D43,E43,F43)-MIN(C43,D43,E43,F43))/ABS(AVERAGE(C43,D43,E43,F43)))</f>
        <v>0.463621867600101</v>
      </c>
    </row>
    <row r="44" customFormat="false" ht="15" hidden="false" customHeight="false" outlineLevel="0" collapsed="false">
      <c r="B44" s="5" t="s">
        <v>98</v>
      </c>
      <c r="C44" s="16" t="n">
        <f aca="false">Inputs!C24/Inputs!C15</f>
        <v>0.103729503206429</v>
      </c>
      <c r="D44" s="16" t="n">
        <f aca="false">Inputs!D24/Inputs!D15</f>
        <v>0.0745907261801807</v>
      </c>
      <c r="E44" s="16" t="n">
        <f aca="false">Inputs!E24/Inputs!E15</f>
        <v>0.0836548543153558</v>
      </c>
      <c r="F44" s="16" t="n">
        <f aca="false">Inputs!F24/Inputs!F15</f>
        <v>0.106786780743898</v>
      </c>
      <c r="G44" s="15" t="str">
        <f aca="false">IF(MIN(C44,D44,E44,F44)=C44,"2009",IF(MIN(C44,D44,E44,F44)=D44,"2010",IF(MIN(C44,D44,E44,F44)=E44,"2011","2012")))</f>
        <v>2010</v>
      </c>
      <c r="H44" s="16" t="n">
        <f aca="false">IF(AVERAGE(C44,D44,E44,F44)=0,0,(MAX(C44,D44,E44,F44)-MIN(C44,D44,E44,F44))/ABS(AVERAGE(C44,D44,E44,F44)))</f>
        <v>0.349234101113983</v>
      </c>
    </row>
    <row r="45" customFormat="false" ht="15" hidden="false" customHeight="false" outlineLevel="0" collapsed="false">
      <c r="B45" s="5" t="s">
        <v>99</v>
      </c>
      <c r="C45" s="17" t="n">
        <f aca="false">Inputs!C21/Inputs!C22</f>
        <v>0.560676269660541</v>
      </c>
      <c r="D45" s="17" t="n">
        <f aca="false">Inputs!D21/Inputs!D22</f>
        <v>0.716072726246499</v>
      </c>
      <c r="E45" s="17" t="n">
        <f aca="false">Inputs!E21/Inputs!E22</f>
        <v>0.484339301573527</v>
      </c>
      <c r="F45" s="17" t="n">
        <f aca="false">Inputs!F21/Inputs!F22</f>
        <v>0.745546396554327</v>
      </c>
      <c r="G45" s="15" t="str">
        <f aca="false">IF(MAX(C45,D45,E45,F45)=C45,"2009",IF(MAX(C45,D45,E45,F45)=D45,"2010",IF(MAX(C45,D45,E45,F45)=E45,"2011","2012")))</f>
        <v>2012</v>
      </c>
      <c r="H45" s="16" t="n">
        <f aca="false">IF(AVERAGE(C45,D45,E45,F45)=0,0,(MAX(C45,D45,E45,F45)-MIN(C45,D45,E45,F45))/ABS(AVERAGE(C45,D45,E45,F45)))</f>
        <v>0.416825149037315</v>
      </c>
    </row>
    <row r="46" customFormat="false" ht="15" hidden="false" customHeight="false" outlineLevel="0" collapsed="false">
      <c r="B46" s="25" t="s">
        <v>100</v>
      </c>
      <c r="C46" s="25"/>
      <c r="D46" s="25"/>
      <c r="E46" s="25"/>
      <c r="F46" s="25"/>
      <c r="G46" s="25"/>
      <c r="H46" s="25"/>
    </row>
    <row r="47" customFormat="false" ht="15" hidden="false" customHeight="false" outlineLevel="0" collapsed="false">
      <c r="B47" s="5" t="s">
        <v>101</v>
      </c>
      <c r="C47" s="19" t="n">
        <f aca="false">Inputs!C15/Inputs!C10</f>
        <v>24638</v>
      </c>
      <c r="D47" s="19" t="n">
        <f aca="false">Inputs!D15/Inputs!D10</f>
        <v>57767.4583333333</v>
      </c>
      <c r="E47" s="19" t="n">
        <f aca="false">Inputs!E15/Inputs!E10</f>
        <v>51166.1176470588</v>
      </c>
      <c r="F47" s="19" t="n">
        <f aca="false">Inputs!F15/Inputs!F10</f>
        <v>81850.2941176471</v>
      </c>
      <c r="G47" s="15" t="str">
        <f aca="false">IF(MAX(C47,D47,E47,F47)=C47,"2009",IF(MAX(C47,D47,E47,F47)=D47,"2010",IF(MAX(C47,D47,E47,F47)=E47,"2011","2012")))</f>
        <v>2012</v>
      </c>
      <c r="H47" s="16" t="n">
        <f aca="false">IF(AVERAGE(C47,D47,E47,F47)=0,0,(MAX(C47,D47,E47,F47)-MIN(C47,D47,E47,F47))/ABS(AVERAGE(C47,D47,E47,F47)))</f>
        <v>1.06233028413707</v>
      </c>
    </row>
    <row r="48" customFormat="false" ht="15" hidden="false" customHeight="false" outlineLevel="0" collapsed="false">
      <c r="B48" s="5" t="s">
        <v>102</v>
      </c>
      <c r="C48" s="17" t="n">
        <f aca="false">Inputs!C11/Inputs!C10</f>
        <v>10.5</v>
      </c>
      <c r="D48" s="17" t="n">
        <f aca="false">Inputs!D11/Inputs!D10</f>
        <v>6.875</v>
      </c>
      <c r="E48" s="17" t="n">
        <f aca="false">Inputs!E11/Inputs!E10</f>
        <v>6.88235294117647</v>
      </c>
      <c r="F48" s="17" t="n">
        <f aca="false">Inputs!F11/Inputs!F10</f>
        <v>9.58823529411765</v>
      </c>
      <c r="G48" s="15" t="str">
        <f aca="false">IF(MAX(C48,D48,E48,F48)=C48,"2009",IF(MAX(C48,D48,E48,F48)=D48,"2010",IF(MAX(C48,D48,E48,F48)=E48,"2011","2012")))</f>
        <v>2009</v>
      </c>
      <c r="H48" s="16" t="n">
        <f aca="false">IF(AVERAGE(C48,D48,E48,F48)=0,0,(MAX(C48,D48,E48,F48)-MIN(C48,D48,E48,F48))/ABS(AVERAGE(C48,D48,E48,F48)))</f>
        <v>0.428416250271562</v>
      </c>
    </row>
    <row r="49" customFormat="false" ht="15" hidden="false" customHeight="false" outlineLevel="0" collapsed="false">
      <c r="B49" s="5" t="s">
        <v>103</v>
      </c>
      <c r="C49" s="17" t="n">
        <f aca="false">Inputs!C12/Inputs!C10</f>
        <v>50.75</v>
      </c>
      <c r="D49" s="17" t="n">
        <f aca="false">Inputs!D12/Inputs!D10</f>
        <v>33.4583333333333</v>
      </c>
      <c r="E49" s="17" t="n">
        <f aca="false">Inputs!E12/Inputs!E10</f>
        <v>34.7058823529412</v>
      </c>
      <c r="F49" s="17" t="n">
        <f aca="false">Inputs!F12/Inputs!F10</f>
        <v>48</v>
      </c>
      <c r="G49" s="15" t="str">
        <f aca="false">IF(MAX(C49,D49,E49,F49)=C49,"2009",IF(MAX(C49,D49,E49,F49)=D49,"2010",IF(MAX(C49,D49,E49,F49)=E49,"2011","2012")))</f>
        <v>2009</v>
      </c>
      <c r="H49" s="16" t="n">
        <f aca="false">IF(AVERAGE(C49,D49,E49,F49)=0,0,(MAX(C49,D49,E49,F49)-MIN(C49,D49,E49,F49))/ABS(AVERAGE(C49,D49,E49,F49)))</f>
        <v>0.414384517114286</v>
      </c>
    </row>
    <row r="50" customFormat="false" ht="15" hidden="false" customHeight="false" outlineLevel="0" collapsed="false">
      <c r="B50" s="5" t="s">
        <v>104</v>
      </c>
      <c r="C50" s="17" t="n">
        <f aca="false">Inputs!C26/Inputs!C10</f>
        <v>257.25</v>
      </c>
      <c r="D50" s="17" t="n">
        <f aca="false">Inputs!D26/Inputs!D10</f>
        <v>427.5</v>
      </c>
      <c r="E50" s="17" t="n">
        <f aca="false">Inputs!E26/Inputs!E10</f>
        <v>408.470588235294</v>
      </c>
      <c r="F50" s="17" t="n">
        <f aca="false">Inputs!F26/Inputs!F10</f>
        <v>859.235294117647</v>
      </c>
      <c r="G50" s="15" t="str">
        <f aca="false">IF(MIN(C50,D50,E50,F50)=C50,"2009",IF(MIN(C50,D50,E50,F50)=D50,"2010",IF(MIN(C50,D50,E50,F50)=E50,"2011","2012")))</f>
        <v>2009</v>
      </c>
      <c r="H50" s="16" t="n">
        <f aca="false">IF(AVERAGE(C50,D50,E50,F50)=0,0,(MAX(C50,D50,E50,F50)-MIN(C50,D50,E50,F50))/ABS(AVERAGE(C50,D50,E50,F50)))</f>
        <v>1.23328839244692</v>
      </c>
    </row>
    <row r="51" customFormat="false" ht="15" hidden="false" customHeight="false" outlineLevel="0" collapsed="false">
      <c r="B51" s="5" t="s">
        <v>105</v>
      </c>
      <c r="C51" s="19" t="n">
        <f aca="false">Inputs!C17/Inputs!C10</f>
        <v>6644.3125</v>
      </c>
      <c r="D51" s="19" t="n">
        <f aca="false">Inputs!D17/Inputs!D10</f>
        <v>31302.9166666667</v>
      </c>
      <c r="E51" s="19" t="n">
        <f aca="false">Inputs!E17/Inputs!E10</f>
        <v>19585.8823529412</v>
      </c>
      <c r="F51" s="19" t="n">
        <f aca="false">Inputs!F17/Inputs!F10</f>
        <v>31369.0588235294</v>
      </c>
      <c r="G51" s="15" t="str">
        <f aca="false">IF(MAX(C51,D51,E51,F51)=C51,"2009",IF(MAX(C51,D51,E51,F51)=D51,"2010",IF(MAX(C51,D51,E51,F51)=E51,"2011","2012")))</f>
        <v>2012</v>
      </c>
      <c r="H51" s="16" t="n">
        <f aca="false">IF(AVERAGE(C51,D51,E51,F51)=0,0,(MAX(C51,D51,E51,F51)-MIN(C51,D51,E51,F51))/ABS(AVERAGE(C51,D51,E51,F51)))</f>
        <v>1.11244736672227</v>
      </c>
    </row>
    <row r="54" customFormat="false" ht="15" hidden="false" customHeight="false" outlineLevel="0" collapsed="false">
      <c r="B54" s="26" t="s">
        <v>106</v>
      </c>
      <c r="C54" s="26"/>
      <c r="D54" s="26"/>
      <c r="E54" s="26"/>
      <c r="F54" s="26"/>
      <c r="G54" s="26"/>
      <c r="H54" s="26"/>
    </row>
    <row r="55" customFormat="false" ht="15" hidden="false" customHeight="false" outlineLevel="0" collapsed="false">
      <c r="B55" s="11" t="s">
        <v>107</v>
      </c>
      <c r="C55" s="11"/>
      <c r="D55" s="11"/>
      <c r="E55" s="11"/>
      <c r="F55" s="11"/>
      <c r="G55" s="11"/>
      <c r="H55" s="11"/>
    </row>
    <row r="56" customFormat="false" ht="15" hidden="false" customHeight="false" outlineLevel="0" collapsed="false">
      <c r="B56" s="11" t="s">
        <v>108</v>
      </c>
      <c r="C56" s="11"/>
      <c r="D56" s="11"/>
      <c r="E56" s="11"/>
      <c r="F56" s="11"/>
      <c r="G56" s="11"/>
      <c r="H56" s="11"/>
    </row>
    <row r="57" customFormat="false" ht="15" hidden="false" customHeight="false" outlineLevel="0" collapsed="false">
      <c r="B57" s="11" t="s">
        <v>109</v>
      </c>
      <c r="C57" s="11"/>
      <c r="D57" s="11"/>
      <c r="E57" s="11"/>
      <c r="F57" s="11"/>
      <c r="G57" s="11"/>
      <c r="H57" s="11"/>
    </row>
    <row r="58" customFormat="false" ht="15" hidden="false" customHeight="false" outlineLevel="0" collapsed="false">
      <c r="B58" s="11" t="s">
        <v>110</v>
      </c>
      <c r="C58" s="11"/>
      <c r="D58" s="11"/>
      <c r="E58" s="11"/>
      <c r="F58" s="11"/>
      <c r="G58" s="11"/>
      <c r="H58" s="11"/>
    </row>
    <row r="59" customFormat="false" ht="15" hidden="false" customHeight="false" outlineLevel="0" collapsed="false">
      <c r="B59" s="11" t="s">
        <v>111</v>
      </c>
      <c r="C59" s="11"/>
      <c r="D59" s="11"/>
      <c r="E59" s="11"/>
      <c r="F59" s="11"/>
      <c r="G59" s="11"/>
      <c r="H59" s="11"/>
    </row>
  </sheetData>
  <mergeCells count="15">
    <mergeCell ref="B2:H2"/>
    <mergeCell ref="B3:H3"/>
    <mergeCell ref="B6:H6"/>
    <mergeCell ref="B11:H11"/>
    <mergeCell ref="B18:H18"/>
    <mergeCell ref="B25:H25"/>
    <mergeCell ref="B32:H32"/>
    <mergeCell ref="B40:H40"/>
    <mergeCell ref="B46:H46"/>
    <mergeCell ref="B54:H54"/>
    <mergeCell ref="B55:H55"/>
    <mergeCell ref="B56:H56"/>
    <mergeCell ref="B57:H57"/>
    <mergeCell ref="B58:H58"/>
    <mergeCell ref="B59:H5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0"/>
    <col collapsed="false" customWidth="true" hidden="false" outlineLevel="0" max="3" min="3" style="0" width="108"/>
    <col collapsed="false" customWidth="true" hidden="false" outlineLevel="0" max="4" min="4" style="0" width="2"/>
  </cols>
  <sheetData>
    <row r="2" customFormat="false" ht="25.5" hidden="false" customHeight="true" outlineLevel="0" collapsed="false">
      <c r="B2" s="1" t="s">
        <v>112</v>
      </c>
      <c r="C2" s="1"/>
    </row>
    <row r="4" customFormat="false" ht="55.5" hidden="false" customHeight="true" outlineLevel="0" collapsed="false">
      <c r="B4" s="27" t="s">
        <v>113</v>
      </c>
      <c r="C4" s="28" t="s">
        <v>114</v>
      </c>
    </row>
    <row r="5" customFormat="false" ht="55.5" hidden="false" customHeight="true" outlineLevel="0" collapsed="false">
      <c r="B5" s="27" t="s">
        <v>115</v>
      </c>
      <c r="C5" s="28" t="s">
        <v>116</v>
      </c>
    </row>
    <row r="6" customFormat="false" ht="55.5" hidden="false" customHeight="true" outlineLevel="0" collapsed="false">
      <c r="B6" s="27" t="s">
        <v>117</v>
      </c>
      <c r="C6" s="28" t="s">
        <v>118</v>
      </c>
    </row>
    <row r="7" customFormat="false" ht="55.5" hidden="false" customHeight="true" outlineLevel="0" collapsed="false">
      <c r="B7" s="27" t="s">
        <v>119</v>
      </c>
      <c r="C7" s="28" t="s">
        <v>120</v>
      </c>
    </row>
    <row r="8" customFormat="false" ht="55.5" hidden="false" customHeight="true" outlineLevel="0" collapsed="false">
      <c r="B8" s="27" t="s">
        <v>121</v>
      </c>
      <c r="C8" s="28" t="s">
        <v>122</v>
      </c>
    </row>
    <row r="9" customFormat="false" ht="55.5" hidden="false" customHeight="true" outlineLevel="0" collapsed="false">
      <c r="B9" s="27" t="s">
        <v>123</v>
      </c>
      <c r="C9" s="28" t="s">
        <v>124</v>
      </c>
    </row>
    <row r="10" customFormat="false" ht="55.5" hidden="false" customHeight="true" outlineLevel="0" collapsed="false">
      <c r="B10" s="27" t="s">
        <v>125</v>
      </c>
      <c r="C10" s="28" t="s">
        <v>126</v>
      </c>
    </row>
    <row r="11" customFormat="false" ht="55.5" hidden="false" customHeight="true" outlineLevel="0" collapsed="false">
      <c r="B11" s="27" t="s">
        <v>127</v>
      </c>
      <c r="C11" s="28" t="s">
        <v>128</v>
      </c>
    </row>
    <row r="12" customFormat="false" ht="55.5" hidden="false" customHeight="true" outlineLevel="0" collapsed="false">
      <c r="B12" s="27" t="s">
        <v>129</v>
      </c>
      <c r="C12" s="28" t="s">
        <v>130</v>
      </c>
    </row>
    <row r="13" customFormat="false" ht="55.5" hidden="false" customHeight="true" outlineLevel="0" collapsed="false">
      <c r="B13" s="27" t="s">
        <v>131</v>
      </c>
      <c r="C13" s="28" t="s">
        <v>132</v>
      </c>
    </row>
    <row r="14" customFormat="false" ht="55.5" hidden="false" customHeight="true" outlineLevel="0" collapsed="false">
      <c r="B14" s="27" t="s">
        <v>133</v>
      </c>
      <c r="C14" s="28" t="s">
        <v>134</v>
      </c>
    </row>
    <row r="15" customFormat="false" ht="55.5" hidden="false" customHeight="true" outlineLevel="0" collapsed="false">
      <c r="B15" s="27" t="s">
        <v>135</v>
      </c>
      <c r="C15" s="28" t="s">
        <v>136</v>
      </c>
    </row>
    <row r="17" customFormat="false" ht="15" hidden="false" customHeight="false" outlineLevel="0" collapsed="false">
      <c r="B17" s="29" t="s">
        <v>137</v>
      </c>
      <c r="C17" s="29"/>
    </row>
    <row r="18" customFormat="false" ht="90" hidden="false" customHeight="true" outlineLevel="0" collapsed="false">
      <c r="B18" s="30" t="s">
        <v>138</v>
      </c>
      <c r="C18" s="30"/>
    </row>
    <row r="20" customFormat="false" ht="15" hidden="false" customHeight="false" outlineLevel="0" collapsed="false">
      <c r="B20" s="11" t="s">
        <v>139</v>
      </c>
      <c r="C20" s="11"/>
    </row>
  </sheetData>
  <mergeCells count="4">
    <mergeCell ref="B2:C2"/>
    <mergeCell ref="B17:C17"/>
    <mergeCell ref="B18:C18"/>
    <mergeCell ref="B20:C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2026-04-08T16:50:44Z</dcterms:created>
  <dc:creator>openpyxl</dc:creator>
  <dc:description/>
  <dc:language>en-US</dc:language>
  <cp:lastModifiedBy/>
  <dcterms:modified xsi:type="dcterms:W3CDTF">2026-04-08T16:50:44Z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