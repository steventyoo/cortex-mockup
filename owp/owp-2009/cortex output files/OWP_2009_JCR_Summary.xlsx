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0"/>
    </font>
    <font>
      <name val="Arial"/>
      <b val="1"/>
    </font>
    <font>
      <name val="Arial"/>
    </font>
    <font>
      <name val="Arial"/>
      <b val="1"/>
      <color rgb="006B7280"/>
      <sz val="9"/>
    </font>
    <font>
      <name val="Arial"/>
      <b val="1"/>
      <sz val="14"/>
    </font>
    <font>
      <name val="Arial"/>
      <b val="1"/>
      <color rgb="00FFFFFF"/>
    </font>
    <font>
      <name val="Arial"/>
      <i val="1"/>
      <color rgb="006B7280"/>
    </font>
    <font>
      <name val="Arial"/>
      <b val="1"/>
      <color rgb="00FFFFFF"/>
      <sz val="14"/>
    </font>
    <font>
      <name val="Arial"/>
      <color theme="1"/>
      <sz val="11"/>
    </font>
  </fonts>
  <fills count="10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4" fontId="10" fillId="0" borderId="0" pivotButton="0" quotePrefix="0" xfId="0"/>
    <xf numFmtId="165" fontId="1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10" fillId="0" borderId="0" pivotButton="0" quotePrefix="0" xfId="0"/>
    <xf numFmtId="1" fontId="3" fillId="0" borderId="0" pivotButton="0" quotePrefix="0" xfId="0"/>
    <xf numFmtId="166" fontId="10" fillId="0" borderId="0" pivotButton="0" quotePrefix="0" xfId="0"/>
    <xf numFmtId="167" fontId="10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2" fontId="3" fillId="0" borderId="0" pivotButton="0" quotePrefix="0" xfId="0"/>
    <xf numFmtId="2" fontId="10" fillId="0" borderId="0" pivotButton="0" quotePrefix="0" xfId="0"/>
    <xf numFmtId="4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165" fontId="4" fillId="0" borderId="0" pivotButton="0" quotePrefix="0" xfId="0"/>
    <xf numFmtId="164" fontId="4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3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/>
    <row r="2">
      <c r="B2" s="1" t="inlineStr">
        <is>
          <t>Job #2009 · Chinn Greenwood Apartments</t>
        </is>
      </c>
    </row>
    <row r="3">
      <c r="B3" s="2" t="inlineStr">
        <is>
          <t>Cortex JCR Summary  •  Chinn Construction, LLC  •  Seattle, WA  •  168-unit apartment building  •  Jul 2012 – Oct 2013 (~16 months)</t>
        </is>
      </c>
    </row>
    <row r="4"/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2009</t>
        </is>
      </c>
    </row>
    <row r="7">
      <c r="B7" s="4" t="inlineStr">
        <is>
          <t>Project Name:</t>
        </is>
      </c>
      <c r="C7" s="5" t="inlineStr">
        <is>
          <t>Chinn Greenwood Apartments</t>
        </is>
      </c>
    </row>
    <row r="8">
      <c r="B8" s="4" t="inlineStr">
        <is>
          <t>General Contractor</t>
        </is>
      </c>
      <c r="C8" s="5" t="inlineStr">
        <is>
          <t>Chinn Construction, LLC</t>
        </is>
      </c>
    </row>
    <row r="9">
      <c r="B9" s="4" t="inlineStr">
        <is>
          <t>Location</t>
        </is>
      </c>
      <c r="C9" s="5" t="inlineStr">
        <is>
          <t>Seattle, WA</t>
        </is>
      </c>
    </row>
    <row r="10">
      <c r="B10" s="4" t="inlineStr">
        <is>
          <t>Project Duration</t>
        </is>
      </c>
      <c r="C10" s="5" t="inlineStr">
        <is>
          <t>Jul 2012 – Oct 2013 (~16 months)</t>
        </is>
      </c>
    </row>
    <row r="11">
      <c r="B11" s="4" t="inlineStr">
        <is>
          <t>Total Unique Documents</t>
        </is>
      </c>
      <c r="C11" s="5" t="inlineStr">
        <is>
          <t>Greenwood folder: Contract, Billing (aggregate + 11 SOVs), PO Scheduled (48), Permits, Plans, Submittals</t>
        </is>
      </c>
    </row>
    <row r="12"/>
    <row r="13">
      <c r="B13" s="6" t="inlineStr">
        <is>
          <t>CONTRACT VALUE</t>
        </is>
      </c>
      <c r="D13" s="6" t="inlineStr">
        <is>
          <t>NET PROFIT</t>
        </is>
      </c>
      <c r="F13" s="6" t="inlineStr">
        <is>
          <t>DIRECT COST</t>
        </is>
      </c>
      <c r="H13" s="6" t="inlineStr">
        <is>
          <t>LABOR HOURS</t>
        </is>
      </c>
    </row>
    <row r="14">
      <c r="B14" s="7" t="inlineStr">
        <is>
          <t>$394,208</t>
        </is>
      </c>
      <c r="D14" s="7" t="inlineStr">
        <is>
          <t>$113,840</t>
        </is>
      </c>
      <c r="F14" s="7" t="inlineStr">
        <is>
          <t>$280,368</t>
        </is>
      </c>
      <c r="H14" s="7" t="inlineStr">
        <is>
          <t>3,928</t>
        </is>
      </c>
    </row>
    <row r="15">
      <c r="B15" s="8" t="inlineStr">
        <is>
          <t>Original $384,900 + $9,308 COs</t>
        </is>
      </c>
      <c r="D15" s="8" t="inlineStr">
        <is>
          <t>28.9% margin</t>
        </is>
      </c>
      <c r="F15" s="8" t="inlineStr">
        <is>
          <t>71.1% of revenue</t>
        </is>
      </c>
      <c r="H15" s="8" t="inlineStr">
        <is>
          <t>23 workers</t>
        </is>
      </c>
    </row>
    <row r="16"/>
    <row r="17"/>
    <row r="18">
      <c r="B18" s="3" t="inlineStr">
        <is>
          <t>COST BREAKDOWN</t>
        </is>
      </c>
    </row>
    <row r="19">
      <c r="B19" s="9" t="inlineStr">
        <is>
          <t>Category</t>
        </is>
      </c>
      <c r="C19" s="9" t="inlineStr">
        <is>
          <t>Budget</t>
        </is>
      </c>
      <c r="D19" s="9" t="inlineStr">
        <is>
          <t>Actual</t>
        </is>
      </c>
      <c r="E19" s="9" t="inlineStr">
        <is>
          <t>Variance</t>
        </is>
      </c>
      <c r="F19" s="9" t="inlineStr">
        <is>
          <t>% Budget</t>
        </is>
      </c>
      <c r="G19" s="9" t="inlineStr">
        <is>
          <t>% of Cost</t>
        </is>
      </c>
    </row>
    <row r="20">
      <c r="B20" s="4" t="inlineStr">
        <is>
          <t>Labor</t>
        </is>
      </c>
      <c r="C20" s="10" t="n">
        <v>72340</v>
      </c>
      <c r="D20" s="10" t="n">
        <v>80901.5</v>
      </c>
      <c r="E20" s="10">
        <f>C20-D20</f>
        <v/>
      </c>
      <c r="F20" s="11">
        <f>IF(C20=0,0,D20/C20)</f>
        <v/>
      </c>
      <c r="G20" s="11">
        <f>IF($D$24=0,0,D20/$D$24)</f>
        <v/>
      </c>
    </row>
    <row r="21">
      <c r="B21" s="4" t="inlineStr">
        <is>
          <t>Material</t>
        </is>
      </c>
      <c r="C21" s="10" t="n">
        <v>195311</v>
      </c>
      <c r="D21" s="10" t="n">
        <v>151064.39</v>
      </c>
      <c r="E21" s="10">
        <f>C21-D21</f>
        <v/>
      </c>
      <c r="F21" s="11">
        <f>IF(C21=0,0,D21/C21)</f>
        <v/>
      </c>
      <c r="G21" s="11">
        <f>IF($D$24=0,0,D21/$D$24)</f>
        <v/>
      </c>
    </row>
    <row r="22">
      <c r="B22" s="4" t="inlineStr">
        <is>
          <t>Overhead</t>
        </is>
      </c>
      <c r="C22" s="10" t="n">
        <v>10885</v>
      </c>
      <c r="D22" s="10" t="n">
        <v>7510.52</v>
      </c>
      <c r="E22" s="10">
        <f>C22-D22</f>
        <v/>
      </c>
      <c r="F22" s="11">
        <f>IF(C22=0,0,D22/C22)</f>
        <v/>
      </c>
      <c r="G22" s="11">
        <f>IF($D$24=0,0,D22/$D$24)</f>
        <v/>
      </c>
    </row>
    <row r="23">
      <c r="B23" s="4" t="inlineStr">
        <is>
          <t>Burden</t>
        </is>
      </c>
      <c r="C23" s="10" t="n">
        <v>38464.22</v>
      </c>
      <c r="D23" s="10" t="n">
        <v>40891.46000000001</v>
      </c>
      <c r="E23" s="10">
        <f>C23-D23</f>
        <v/>
      </c>
      <c r="F23" s="11">
        <f>IF(C23=0,0,D23/C23)</f>
        <v/>
      </c>
      <c r="G23" s="11">
        <f>IF($D$24=0,0,D23/$D$24)</f>
        <v/>
      </c>
    </row>
    <row r="24">
      <c r="B24" s="5" t="inlineStr">
        <is>
          <t>TOTAL</t>
        </is>
      </c>
      <c r="C24" s="12">
        <f>SUM(C20:C23)</f>
        <v/>
      </c>
      <c r="D24" s="12">
        <f>SUM(D20:D23)</f>
        <v/>
      </c>
      <c r="E24" s="12">
        <f>C24-D24</f>
        <v/>
      </c>
      <c r="F24" s="13">
        <f>IF(C24=0,0,D24/C24)</f>
        <v/>
      </c>
      <c r="G24" s="13" t="n">
        <v>1</v>
      </c>
    </row>
    <row r="25"/>
    <row r="26"/>
    <row r="27">
      <c r="B27" s="3" t="inlineStr">
        <is>
          <t>PROJECT PROFILE</t>
        </is>
      </c>
    </row>
    <row r="28">
      <c r="B28" s="5" t="inlineStr">
        <is>
          <t>Metric</t>
        </is>
      </c>
      <c r="C28" s="5" t="inlineStr">
        <is>
          <t>Value</t>
        </is>
      </c>
      <c r="D28" s="5" t="inlineStr">
        <is>
          <t>Metric</t>
        </is>
      </c>
      <c r="E28" s="5" t="inlineStr">
        <is>
          <t>Value</t>
        </is>
      </c>
      <c r="F28" s="5" t="inlineStr">
        <is>
          <t>Metric</t>
        </is>
      </c>
      <c r="G28" s="5" t="inlineStr">
        <is>
          <t>Value</t>
        </is>
      </c>
    </row>
    <row r="29">
      <c r="B29" s="4" t="inlineStr">
        <is>
          <t>Plumbing Units</t>
        </is>
      </c>
      <c r="C29" s="5" t="inlineStr">
        <is>
          <t>168</t>
        </is>
      </c>
      <c r="D29" s="4" t="inlineStr">
        <is>
          <t>Water Closets</t>
        </is>
      </c>
      <c r="E29" s="5" t="inlineStr">
        <is>
          <t>168</t>
        </is>
      </c>
      <c r="F29" s="4" t="inlineStr">
        <is>
          <t>Kitchen Sinks</t>
        </is>
      </c>
      <c r="G29" s="5" t="inlineStr">
        <is>
          <t>168</t>
        </is>
      </c>
    </row>
    <row r="30">
      <c r="B30" s="4" t="inlineStr">
        <is>
          <t>Total Fixtures</t>
        </is>
      </c>
      <c r="C30" s="5" t="inlineStr">
        <is>
          <t>812</t>
        </is>
      </c>
      <c r="D30" s="4" t="inlineStr">
        <is>
          <t>Lavatories</t>
        </is>
      </c>
      <c r="E30" s="5" t="inlineStr">
        <is>
          <t>168</t>
        </is>
      </c>
      <c r="F30" s="4" t="inlineStr">
        <is>
          <t>Tubs</t>
        </is>
      </c>
      <c r="G30" s="5" t="inlineStr">
        <is>
          <t>168</t>
        </is>
      </c>
    </row>
    <row r="31">
      <c r="B31" s="4" t="inlineStr">
        <is>
          <t>Fixtures / Unit</t>
        </is>
      </c>
      <c r="C31" s="5" t="inlineStr">
        <is>
          <t>4.83</t>
        </is>
      </c>
      <c r="D31" s="4" t="inlineStr">
        <is>
          <t>Auto Washers</t>
        </is>
      </c>
      <c r="E31" s="5" t="inlineStr">
        <is>
          <t>140</t>
        </is>
      </c>
      <c r="F31" s="4" t="inlineStr">
        <is>
          <t>Showers</t>
        </is>
      </c>
      <c r="G31" s="5" t="inlineStr">
        <is>
          <t>0</t>
        </is>
      </c>
    </row>
    <row r="32">
      <c r="B32" s="4" t="inlineStr">
        <is>
          <t>Stacks</t>
        </is>
      </c>
      <c r="C32" s="5" t="inlineStr">
        <is>
          <t>36</t>
        </is>
      </c>
      <c r="D32" s="4" t="inlineStr">
        <is>
          <t>Duration</t>
        </is>
      </c>
      <c r="E32" s="5" t="inlineStr">
        <is>
          <t>16 mo</t>
        </is>
      </c>
      <c r="F32" s="4" t="inlineStr">
        <is>
          <t>Cost Codes</t>
        </is>
      </c>
      <c r="G32" s="5" t="inlineStr">
        <is>
          <t>26</t>
        </is>
      </c>
    </row>
    <row r="33"/>
    <row r="34"/>
    <row r="35"/>
    <row r="36">
      <c r="B36" s="3" t="inlineStr">
        <is>
          <t>SOURCES</t>
        </is>
      </c>
    </row>
    <row r="37">
      <c r="B37" s="2" t="inlineStr">
        <is>
          <t>Job #2009 — Chinn Greenwood Apartments  •  GC: Chinn Construction, LLC  •  Seattle, WA</t>
        </is>
      </c>
    </row>
    <row r="38">
      <c r="B38" s="2" t="inlineStr">
        <is>
          <t>Canonical source: 2009 Job Detail Report.pdf (49 pages, OWP Sage Timberline export)</t>
        </is>
      </c>
    </row>
    <row r="39">
      <c r="B39" s="2" t="inlineStr">
        <is>
          <t>Cost codes parsed: 26</t>
        </is>
      </c>
    </row>
    <row r="40">
      <c r="B40" s="2" t="inlineStr">
        <is>
          <t>Unit count (168) and fixture count (812) from greenwood h20 stacks.xls and trim POs</t>
        </is>
      </c>
    </row>
    <row r="41">
      <c r="B41" s="2" t="inlineStr">
        <is>
          <t>3-level building + lobby: L1 (18 units), L2 (18 units), L3 (18 units), LW (amenity) × south/north stacks</t>
        </is>
      </c>
    </row>
    <row r="42">
      <c r="B42" s="2" t="inlineStr">
        <is>
          <t>Billing: GREENWOOD AGGREGATE BILLING.xlsx (11 pay apps Jul 2012 – Oct 2013)</t>
        </is>
      </c>
    </row>
    <row r="43">
      <c r="B43" s="2" t="inlineStr">
        <is>
          <t>Final contract $394,208 (original $384,900 + $9,308 COs)</t>
        </is>
      </c>
    </row>
  </sheetData>
  <mergeCells count="13">
    <mergeCell ref="B38:G38"/>
    <mergeCell ref="B42:G42"/>
    <mergeCell ref="B5:G5"/>
    <mergeCell ref="B36:G36"/>
    <mergeCell ref="B37:G37"/>
    <mergeCell ref="B27:G27"/>
    <mergeCell ref="B41:G41"/>
    <mergeCell ref="B2:H2"/>
    <mergeCell ref="B40:G40"/>
    <mergeCell ref="B18:G18"/>
    <mergeCell ref="B43:G43"/>
    <mergeCell ref="B3:H3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>
      <c r="B2" s="1" t="inlineStr">
        <is>
          <t>Budget vs Actual — All Cost Codes</t>
        </is>
      </c>
    </row>
    <row r="3"/>
    <row r="4">
      <c r="B4" s="9" t="inlineStr">
        <is>
          <t>Code</t>
        </is>
      </c>
      <c r="C4" s="9" t="inlineStr">
        <is>
          <t>Description</t>
        </is>
      </c>
      <c r="D4" s="9" t="inlineStr">
        <is>
          <t>Orig Budget</t>
        </is>
      </c>
      <c r="E4" s="9" t="inlineStr">
        <is>
          <t>Rev Budget</t>
        </is>
      </c>
      <c r="F4" s="9" t="inlineStr">
        <is>
          <t>Actual</t>
        </is>
      </c>
      <c r="G4" s="9" t="inlineStr">
        <is>
          <t>Variance</t>
        </is>
      </c>
      <c r="H4" s="9" t="inlineStr">
        <is>
          <t>% Used</t>
        </is>
      </c>
    </row>
    <row r="5">
      <c r="B5" s="3" t="inlineStr">
        <is>
          <t>LABOR</t>
        </is>
      </c>
    </row>
    <row r="6">
      <c r="B6" s="4" t="inlineStr">
        <is>
          <t>011</t>
        </is>
      </c>
      <c r="C6" s="4" t="inlineStr">
        <is>
          <t>DS &amp; RD Labor</t>
        </is>
      </c>
      <c r="D6" s="10" t="n">
        <v>1250</v>
      </c>
      <c r="E6" s="10" t="n">
        <v>1250</v>
      </c>
      <c r="F6" s="10" t="n">
        <v>1645</v>
      </c>
      <c r="G6" s="10">
        <f>E6-F6</f>
        <v/>
      </c>
      <c r="H6" s="11">
        <f>IF(E6=0,0,F6/E6)</f>
        <v/>
      </c>
    </row>
    <row r="7">
      <c r="B7" s="4" t="inlineStr">
        <is>
          <t>100</t>
        </is>
      </c>
      <c r="C7" s="4" t="inlineStr">
        <is>
          <t>Supervision</t>
        </is>
      </c>
      <c r="D7" s="10" t="n">
        <v>3000</v>
      </c>
      <c r="E7" s="10" t="n">
        <v>3000</v>
      </c>
      <c r="F7" s="10" t="n">
        <v>2992</v>
      </c>
      <c r="G7" s="10">
        <f>E7-F7</f>
        <v/>
      </c>
      <c r="H7" s="11">
        <f>IF(E7=0,0,F7/E7)</f>
        <v/>
      </c>
    </row>
    <row r="8">
      <c r="B8" s="4" t="inlineStr">
        <is>
          <t>101</t>
        </is>
      </c>
      <c r="C8" s="4" t="inlineStr">
        <is>
          <t>Takeoff &amp; Purchase Labor</t>
        </is>
      </c>
      <c r="D8" s="10" t="n">
        <v>2500</v>
      </c>
      <c r="E8" s="10" t="n">
        <v>2500</v>
      </c>
      <c r="F8" s="10" t="n">
        <v>1324</v>
      </c>
      <c r="G8" s="10">
        <f>E8-F8</f>
        <v/>
      </c>
      <c r="H8" s="11">
        <f>IF(E8=0,0,F8/E8)</f>
        <v/>
      </c>
    </row>
    <row r="9">
      <c r="B9" s="4" t="inlineStr">
        <is>
          <t>110</t>
        </is>
      </c>
      <c r="C9" s="4" t="inlineStr">
        <is>
          <t>Underground Labor</t>
        </is>
      </c>
      <c r="D9" s="10" t="n">
        <v>5350</v>
      </c>
      <c r="E9" s="10" t="n">
        <v>5350</v>
      </c>
      <c r="F9" s="10" t="n">
        <v>4209</v>
      </c>
      <c r="G9" s="10">
        <f>E9-F9</f>
        <v/>
      </c>
      <c r="H9" s="11">
        <f>IF(E9=0,0,F9/E9)</f>
        <v/>
      </c>
    </row>
    <row r="10">
      <c r="B10" s="4" t="inlineStr">
        <is>
          <t>111</t>
        </is>
      </c>
      <c r="C10" s="4" t="inlineStr">
        <is>
          <t>Garage Labor</t>
        </is>
      </c>
      <c r="D10" s="10" t="n">
        <v>8960</v>
      </c>
      <c r="E10" s="10" t="n">
        <v>8960</v>
      </c>
      <c r="F10" s="10" t="n">
        <v>9872</v>
      </c>
      <c r="G10" s="10">
        <f>E10-F10</f>
        <v/>
      </c>
      <c r="H10" s="11">
        <f>IF(E10=0,0,F10/E10)</f>
        <v/>
      </c>
    </row>
    <row r="11">
      <c r="B11" s="4" t="inlineStr">
        <is>
          <t>112</t>
        </is>
      </c>
      <c r="C11" s="4" t="inlineStr">
        <is>
          <t>Canout Labor</t>
        </is>
      </c>
      <c r="D11" s="10" t="n">
        <v>2000</v>
      </c>
      <c r="E11" s="10" t="n">
        <v>2000</v>
      </c>
      <c r="F11" s="10" t="n">
        <v>1485.5</v>
      </c>
      <c r="G11" s="10">
        <f>E11-F11</f>
        <v/>
      </c>
      <c r="H11" s="11">
        <f>IF(E11=0,0,F11/E11)</f>
        <v/>
      </c>
    </row>
    <row r="12">
      <c r="B12" s="4" t="inlineStr">
        <is>
          <t>120</t>
        </is>
      </c>
      <c r="C12" s="4" t="inlineStr">
        <is>
          <t>Roughin Labor</t>
        </is>
      </c>
      <c r="D12" s="10" t="n">
        <v>34500</v>
      </c>
      <c r="E12" s="10" t="n">
        <v>37530</v>
      </c>
      <c r="F12" s="10" t="n">
        <v>46114</v>
      </c>
      <c r="G12" s="10">
        <f>E12-F12</f>
        <v/>
      </c>
      <c r="H12" s="11">
        <f>IF(E12=0,0,F12/E12)</f>
        <v/>
      </c>
    </row>
    <row r="13">
      <c r="B13" s="4" t="inlineStr">
        <is>
          <t>130</t>
        </is>
      </c>
      <c r="C13" s="4" t="inlineStr">
        <is>
          <t>Finish Labor</t>
        </is>
      </c>
      <c r="D13" s="10" t="n">
        <v>10250</v>
      </c>
      <c r="E13" s="10" t="n">
        <v>10320</v>
      </c>
      <c r="F13" s="10" t="n">
        <v>11391.5</v>
      </c>
      <c r="G13" s="10">
        <f>E13-F13</f>
        <v/>
      </c>
      <c r="H13" s="11">
        <f>IF(E13=0,0,F13/E13)</f>
        <v/>
      </c>
    </row>
    <row r="14">
      <c r="B14" s="4" t="inlineStr">
        <is>
          <t>141</t>
        </is>
      </c>
      <c r="C14" s="4" t="inlineStr">
        <is>
          <t>Water Main/Insulation Lab</t>
        </is>
      </c>
      <c r="D14" s="10" t="n">
        <v>0</v>
      </c>
      <c r="E14" s="10" t="n">
        <v>0</v>
      </c>
      <c r="F14" s="10" t="n">
        <v>0</v>
      </c>
      <c r="G14" s="10">
        <f>E14-F14</f>
        <v/>
      </c>
      <c r="H14" s="11">
        <f>IF(E14=0,0,F14/E14)</f>
        <v/>
      </c>
    </row>
    <row r="15">
      <c r="B15" s="4" t="inlineStr">
        <is>
          <t>142</t>
        </is>
      </c>
      <c r="C15" s="4" t="inlineStr">
        <is>
          <t>Mech Room Labor</t>
        </is>
      </c>
      <c r="D15" s="10" t="n">
        <v>1430</v>
      </c>
      <c r="E15" s="10" t="n">
        <v>1430</v>
      </c>
      <c r="F15" s="10" t="n">
        <v>1730</v>
      </c>
      <c r="G15" s="10">
        <f>E15-F15</f>
        <v/>
      </c>
      <c r="H15" s="11">
        <f>IF(E15=0,0,F15/E15)</f>
        <v/>
      </c>
    </row>
    <row r="16">
      <c r="B16" s="4" t="inlineStr">
        <is>
          <t>145</t>
        </is>
      </c>
      <c r="C16" s="4" t="inlineStr">
        <is>
          <t>Tub/Shower Labor</t>
        </is>
      </c>
      <c r="D16" s="10" t="n">
        <v>0</v>
      </c>
      <c r="E16" s="10" t="n">
        <v>0</v>
      </c>
      <c r="F16" s="10" t="n">
        <v>138.5</v>
      </c>
      <c r="G16" s="10">
        <f>E16-F16</f>
        <v/>
      </c>
      <c r="H16" s="11">
        <f>IF(E16=0,0,F16/E16)</f>
        <v/>
      </c>
    </row>
    <row r="17">
      <c r="B17" s="3" t="inlineStr">
        <is>
          <t>MATERIAL</t>
        </is>
      </c>
    </row>
    <row r="18">
      <c r="B18" s="4" t="inlineStr">
        <is>
          <t>039</t>
        </is>
      </c>
      <c r="C18" s="4" t="inlineStr">
        <is>
          <t>DS &amp; RD Material</t>
        </is>
      </c>
      <c r="D18" s="10" t="n">
        <v>1250</v>
      </c>
      <c r="E18" s="10" t="n">
        <v>1250</v>
      </c>
      <c r="F18" s="10" t="n">
        <v>369.06</v>
      </c>
      <c r="G18" s="10">
        <f>E18-F18</f>
        <v/>
      </c>
      <c r="H18" s="11">
        <f>IF(E18=0,0,F18/E18)</f>
        <v/>
      </c>
    </row>
    <row r="19">
      <c r="B19" s="4" t="inlineStr">
        <is>
          <t>210</t>
        </is>
      </c>
      <c r="C19" s="4" t="inlineStr">
        <is>
          <t>Underground Material</t>
        </is>
      </c>
      <c r="D19" s="10" t="n">
        <v>2800</v>
      </c>
      <c r="E19" s="10" t="n">
        <v>2800</v>
      </c>
      <c r="F19" s="10" t="n">
        <v>2613.58</v>
      </c>
      <c r="G19" s="10">
        <f>E19-F19</f>
        <v/>
      </c>
      <c r="H19" s="11">
        <f>IF(E19=0,0,F19/E19)</f>
        <v/>
      </c>
    </row>
    <row r="20">
      <c r="B20" s="4" t="inlineStr">
        <is>
          <t>211</t>
        </is>
      </c>
      <c r="C20" s="4" t="inlineStr">
        <is>
          <t>Garage Material</t>
        </is>
      </c>
      <c r="D20" s="10" t="n">
        <v>10570</v>
      </c>
      <c r="E20" s="10" t="n">
        <v>10570</v>
      </c>
      <c r="F20" s="10" t="n">
        <v>3972.94</v>
      </c>
      <c r="G20" s="10">
        <f>E20-F20</f>
        <v/>
      </c>
      <c r="H20" s="11">
        <f>IF(E20=0,0,F20/E20)</f>
        <v/>
      </c>
    </row>
    <row r="21">
      <c r="B21" s="4" t="inlineStr">
        <is>
          <t>212</t>
        </is>
      </c>
      <c r="C21" s="4" t="inlineStr">
        <is>
          <t>Canout Material</t>
        </is>
      </c>
      <c r="D21" s="10" t="n">
        <v>2800</v>
      </c>
      <c r="E21" s="10" t="n">
        <v>2800</v>
      </c>
      <c r="F21" s="10" t="n">
        <v>2749.23</v>
      </c>
      <c r="G21" s="10">
        <f>E21-F21</f>
        <v/>
      </c>
      <c r="H21" s="11">
        <f>IF(E21=0,0,F21/E21)</f>
        <v/>
      </c>
    </row>
    <row r="22">
      <c r="B22" s="4" t="inlineStr">
        <is>
          <t>220</t>
        </is>
      </c>
      <c r="C22" s="4" t="inlineStr">
        <is>
          <t>Roughin Material</t>
        </is>
      </c>
      <c r="D22" s="10" t="n">
        <v>33560</v>
      </c>
      <c r="E22" s="10" t="n">
        <v>32510</v>
      </c>
      <c r="F22" s="10" t="n">
        <v>30742.47</v>
      </c>
      <c r="G22" s="10">
        <f>E22-F22</f>
        <v/>
      </c>
      <c r="H22" s="11">
        <f>IF(E22=0,0,F22/E22)</f>
        <v/>
      </c>
    </row>
    <row r="23">
      <c r="B23" s="4" t="inlineStr">
        <is>
          <t>230</t>
        </is>
      </c>
      <c r="C23" s="4" t="inlineStr">
        <is>
          <t>Finish Material</t>
        </is>
      </c>
      <c r="D23" s="10" t="n">
        <v>143270</v>
      </c>
      <c r="E23" s="10" t="n">
        <v>143381</v>
      </c>
      <c r="F23" s="10" t="n">
        <v>109975.66</v>
      </c>
      <c r="G23" s="10">
        <f>E23-F23</f>
        <v/>
      </c>
      <c r="H23" s="11">
        <f>IF(E23=0,0,F23/E23)</f>
        <v/>
      </c>
    </row>
    <row r="24">
      <c r="B24" s="4" t="inlineStr">
        <is>
          <t>241</t>
        </is>
      </c>
      <c r="C24" s="4" t="inlineStr">
        <is>
          <t>Water Main/Insulation Mat</t>
        </is>
      </c>
      <c r="D24" s="10" t="n">
        <v>0</v>
      </c>
      <c r="E24" s="10" t="n">
        <v>0</v>
      </c>
      <c r="F24" s="10" t="n">
        <v>0</v>
      </c>
      <c r="G24" s="10">
        <f>E24-F24</f>
        <v/>
      </c>
      <c r="H24" s="11">
        <f>IF(E24=0,0,F24/E24)</f>
        <v/>
      </c>
    </row>
    <row r="25">
      <c r="B25" s="4" t="inlineStr">
        <is>
          <t>242</t>
        </is>
      </c>
      <c r="C25" s="4" t="inlineStr">
        <is>
          <t>Mech Room Material</t>
        </is>
      </c>
      <c r="D25" s="10" t="n">
        <v>2000</v>
      </c>
      <c r="E25" s="10" t="n">
        <v>2000</v>
      </c>
      <c r="F25" s="10" t="n">
        <v>641.45</v>
      </c>
      <c r="G25" s="10">
        <f>E25-F25</f>
        <v/>
      </c>
      <c r="H25" s="11">
        <f>IF(E25=0,0,F25/E25)</f>
        <v/>
      </c>
    </row>
    <row r="26">
      <c r="B26" s="4" t="inlineStr">
        <is>
          <t>245</t>
        </is>
      </c>
      <c r="C26" s="4" t="inlineStr">
        <is>
          <t>Tub/Shower Material</t>
        </is>
      </c>
      <c r="D26" s="10" t="n">
        <v>0</v>
      </c>
      <c r="E26" s="10" t="n">
        <v>0</v>
      </c>
      <c r="F26" s="10" t="n">
        <v>0</v>
      </c>
      <c r="G26" s="10">
        <f>E26-F26</f>
        <v/>
      </c>
      <c r="H26" s="11">
        <f>IF(E26=0,0,F26/E26)</f>
        <v/>
      </c>
    </row>
    <row r="27">
      <c r="B27" s="3" t="inlineStr">
        <is>
          <t>OVERHEAD</t>
        </is>
      </c>
    </row>
    <row r="28">
      <c r="B28" s="4" t="inlineStr">
        <is>
          <t>600</t>
        </is>
      </c>
      <c r="C28" s="4" t="inlineStr">
        <is>
          <t>Subcontractor</t>
        </is>
      </c>
      <c r="D28" s="10" t="n">
        <v>4800</v>
      </c>
      <c r="E28" s="10" t="n">
        <v>4885</v>
      </c>
      <c r="F28" s="10" t="n">
        <v>2379</v>
      </c>
      <c r="G28" s="10">
        <f>E28-F28</f>
        <v/>
      </c>
      <c r="H28" s="11">
        <f>IF(E28=0,0,F28/E28)</f>
        <v/>
      </c>
    </row>
    <row r="29">
      <c r="B29" s="4" t="inlineStr">
        <is>
          <t>601</t>
        </is>
      </c>
      <c r="C29" s="4" t="inlineStr">
        <is>
          <t>Engineering/Plans</t>
        </is>
      </c>
      <c r="D29" s="10" t="n">
        <v>6000</v>
      </c>
      <c r="E29" s="10" t="n">
        <v>6000</v>
      </c>
      <c r="F29" s="10" t="n">
        <v>4990.08</v>
      </c>
      <c r="G29" s="10">
        <f>E29-F29</f>
        <v/>
      </c>
      <c r="H29" s="11">
        <f>IF(E29=0,0,F29/E29)</f>
        <v/>
      </c>
    </row>
    <row r="30">
      <c r="B30" s="4" t="inlineStr">
        <is>
          <t>603</t>
        </is>
      </c>
      <c r="C30" s="4" t="inlineStr">
        <is>
          <t>Permits &amp; Licenses</t>
        </is>
      </c>
      <c r="D30" s="10" t="n">
        <v>0</v>
      </c>
      <c r="E30" s="10" t="n">
        <v>0</v>
      </c>
      <c r="F30" s="10" t="n">
        <v>141.44</v>
      </c>
      <c r="G30" s="10">
        <f>E30-F30</f>
        <v/>
      </c>
      <c r="H30" s="11">
        <f>IF(E30=0,0,F30/E30)</f>
        <v/>
      </c>
    </row>
    <row r="31">
      <c r="B31" s="3" t="inlineStr">
        <is>
          <t>BURDEN</t>
        </is>
      </c>
    </row>
    <row r="32">
      <c r="B32" s="4" t="inlineStr">
        <is>
          <t>995</t>
        </is>
      </c>
      <c r="C32" s="4" t="inlineStr">
        <is>
          <t>Payroll Burden</t>
        </is>
      </c>
      <c r="D32" s="10" t="n">
        <v>28928</v>
      </c>
      <c r="E32" s="10" t="n">
        <v>32694.58</v>
      </c>
      <c r="F32" s="10" t="n">
        <v>34412.05</v>
      </c>
      <c r="G32" s="10">
        <f>E32-F32</f>
        <v/>
      </c>
      <c r="H32" s="11">
        <f>IF(E32=0,0,F32/E32)</f>
        <v/>
      </c>
    </row>
    <row r="33">
      <c r="B33" s="4" t="inlineStr">
        <is>
          <t>998</t>
        </is>
      </c>
      <c r="C33" s="4" t="inlineStr">
        <is>
          <t>Payroll Taxes</t>
        </is>
      </c>
      <c r="D33" s="10" t="n">
        <v>5532.48</v>
      </c>
      <c r="E33" s="10" t="n">
        <v>5769.64</v>
      </c>
      <c r="F33" s="10" t="n">
        <v>6479.41</v>
      </c>
      <c r="G33" s="10">
        <f>E33-F33</f>
        <v/>
      </c>
      <c r="H33" s="11">
        <f>IF(E33=0,0,F33/E33)</f>
        <v/>
      </c>
    </row>
    <row r="34">
      <c r="B34" s="5" t="inlineStr">
        <is>
          <t>TOTAL</t>
        </is>
      </c>
      <c r="C34" s="5" t="inlineStr">
        <is>
          <t>Direct Cost</t>
        </is>
      </c>
      <c r="D34" s="12" t="n">
        <v>310750.48</v>
      </c>
      <c r="E34" s="12" t="n">
        <v>317000.22</v>
      </c>
      <c r="F34" s="12" t="n">
        <v>280367.87</v>
      </c>
      <c r="G34" s="12">
        <f>E34-F34</f>
        <v/>
      </c>
      <c r="H34" s="13">
        <f>IF(E34=0,0,F34/E34)</f>
        <v/>
      </c>
    </row>
    <row r="35"/>
    <row r="36"/>
    <row r="37">
      <c r="B37" s="3" t="inlineStr">
        <is>
          <t>SOURCES</t>
        </is>
      </c>
    </row>
    <row r="38">
      <c r="B38" s="2" t="inlineStr">
        <is>
          <t>Job #2009 — Chinn Greenwood Apartments  •  GC: Chinn Construction, LLC  •  Seattle, WA</t>
        </is>
      </c>
    </row>
    <row r="39">
      <c r="B39" s="2" t="inlineStr">
        <is>
          <t>Canonical source: 2009 Job Detail Report.pdf (49 pages, OWP Sage Timberline export)</t>
        </is>
      </c>
    </row>
    <row r="40">
      <c r="B40" s="2" t="inlineStr">
        <is>
          <t>Cost codes parsed: 26</t>
        </is>
      </c>
    </row>
    <row r="41">
      <c r="B41" s="2" t="inlineStr">
        <is>
          <t>Unit count (168) and fixture count (812) from greenwood h20 stacks.xls and trim POs</t>
        </is>
      </c>
    </row>
    <row r="42">
      <c r="B42" s="2" t="inlineStr">
        <is>
          <t>3-level building + lobby: L1 (18 units), L2 (18 units), L3 (18 units), LW (amenity) × south/north stacks</t>
        </is>
      </c>
    </row>
    <row r="43">
      <c r="B43" s="2" t="inlineStr">
        <is>
          <t>Billing: GREENWOOD AGGREGATE BILLING.xlsx (11 pay apps Jul 2012 – Oct 2013)</t>
        </is>
      </c>
    </row>
    <row r="44">
      <c r="B44" s="2" t="inlineStr">
        <is>
          <t>Final contract $394,208 (original $384,900 + $9,308 COs)</t>
        </is>
      </c>
    </row>
  </sheetData>
  <mergeCells count="13">
    <mergeCell ref="B17:H17"/>
    <mergeCell ref="B27:H27"/>
    <mergeCell ref="B40:H40"/>
    <mergeCell ref="B41:H41"/>
    <mergeCell ref="B44:H44"/>
    <mergeCell ref="B43:H43"/>
    <mergeCell ref="B39:H39"/>
    <mergeCell ref="B38:H38"/>
    <mergeCell ref="B2:H2"/>
    <mergeCell ref="B42:H42"/>
    <mergeCell ref="B5:H5"/>
    <mergeCell ref="B37:H37"/>
    <mergeCell ref="B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>
      <c r="B2" s="1" t="inlineStr">
        <is>
          <t>Cost Breakdown — Category Deep Dive</t>
        </is>
      </c>
    </row>
    <row r="3"/>
    <row r="4">
      <c r="B4" s="3" t="inlineStr">
        <is>
          <t>A. CATEGORY SHARE OF DIRECT COST</t>
        </is>
      </c>
    </row>
    <row r="5">
      <c r="B5" s="9" t="inlineStr">
        <is>
          <t>Category</t>
        </is>
      </c>
      <c r="C5" s="9" t="inlineStr">
        <is>
          <t># Codes</t>
        </is>
      </c>
      <c r="D5" s="9" t="inlineStr">
        <is>
          <t>Budget</t>
        </is>
      </c>
      <c r="E5" s="9" t="inlineStr">
        <is>
          <t>Actual</t>
        </is>
      </c>
      <c r="F5" s="9" t="inlineStr">
        <is>
          <t>Variance</t>
        </is>
      </c>
      <c r="G5" s="9" t="inlineStr">
        <is>
          <t>% Budget</t>
        </is>
      </c>
      <c r="H5" s="9" t="inlineStr">
        <is>
          <t>% of Cost</t>
        </is>
      </c>
      <c r="I5" s="9" t="inlineStr">
        <is>
          <t>Per Unit</t>
        </is>
      </c>
    </row>
    <row r="6">
      <c r="B6" s="4" t="inlineStr">
        <is>
          <t>Labor</t>
        </is>
      </c>
      <c r="C6" s="14" t="n">
        <v>11</v>
      </c>
      <c r="D6" s="10" t="n">
        <v>72340</v>
      </c>
      <c r="E6" s="10" t="n">
        <v>80901.5</v>
      </c>
      <c r="F6" s="10">
        <f>D6-E6</f>
        <v/>
      </c>
      <c r="G6" s="11">
        <f>IF(D6=0,0,E6/D6)</f>
        <v/>
      </c>
      <c r="H6" s="11">
        <f>IF(280367.87=0,0,E6/280367.87)</f>
        <v/>
      </c>
      <c r="I6" s="10">
        <f>IF(168=0,0,E6/168)</f>
        <v/>
      </c>
    </row>
    <row r="7">
      <c r="B7" s="4" t="inlineStr">
        <is>
          <t>Material</t>
        </is>
      </c>
      <c r="C7" s="14" t="n">
        <v>9</v>
      </c>
      <c r="D7" s="10" t="n">
        <v>195311</v>
      </c>
      <c r="E7" s="10" t="n">
        <v>151064.39</v>
      </c>
      <c r="F7" s="10">
        <f>D7-E7</f>
        <v/>
      </c>
      <c r="G7" s="11">
        <f>IF(D7=0,0,E7/D7)</f>
        <v/>
      </c>
      <c r="H7" s="11">
        <f>IF(280367.87=0,0,E7/280367.87)</f>
        <v/>
      </c>
      <c r="I7" s="10">
        <f>IF(168=0,0,E7/168)</f>
        <v/>
      </c>
    </row>
    <row r="8">
      <c r="B8" s="4" t="inlineStr">
        <is>
          <t>Overhead</t>
        </is>
      </c>
      <c r="C8" s="14" t="n">
        <v>3</v>
      </c>
      <c r="D8" s="10" t="n">
        <v>10885</v>
      </c>
      <c r="E8" s="10" t="n">
        <v>7510.52</v>
      </c>
      <c r="F8" s="10">
        <f>D8-E8</f>
        <v/>
      </c>
      <c r="G8" s="11">
        <f>IF(D8=0,0,E8/D8)</f>
        <v/>
      </c>
      <c r="H8" s="11">
        <f>IF(280367.87=0,0,E8/280367.87)</f>
        <v/>
      </c>
      <c r="I8" s="10">
        <f>IF(168=0,0,E8/168)</f>
        <v/>
      </c>
    </row>
    <row r="9">
      <c r="B9" s="4" t="inlineStr">
        <is>
          <t>Burden</t>
        </is>
      </c>
      <c r="C9" s="14" t="n">
        <v>2</v>
      </c>
      <c r="D9" s="10" t="n">
        <v>38464.22</v>
      </c>
      <c r="E9" s="10" t="n">
        <v>40891.46000000001</v>
      </c>
      <c r="F9" s="10">
        <f>D9-E9</f>
        <v/>
      </c>
      <c r="G9" s="11">
        <f>IF(D9=0,0,E9/D9)</f>
        <v/>
      </c>
      <c r="H9" s="11">
        <f>IF(280367.87=0,0,E9/280367.87)</f>
        <v/>
      </c>
      <c r="I9" s="10">
        <f>IF(168=0,0,E9/168)</f>
        <v/>
      </c>
    </row>
    <row r="10"/>
    <row r="11"/>
    <row r="12">
      <c r="B12" s="3" t="inlineStr">
        <is>
          <t>B. LARGEST OVERRUNS (Actual &gt; Revised Budget)</t>
        </is>
      </c>
    </row>
    <row r="13">
      <c r="B13" s="9" t="inlineStr">
        <is>
          <t>Code</t>
        </is>
      </c>
      <c r="C13" s="9" t="inlineStr">
        <is>
          <t>Description</t>
        </is>
      </c>
      <c r="D13" s="9" t="inlineStr">
        <is>
          <t>Rev Budget</t>
        </is>
      </c>
      <c r="E13" s="9" t="inlineStr">
        <is>
          <t>Actual</t>
        </is>
      </c>
      <c r="F13" s="9" t="inlineStr">
        <is>
          <t>Overrun</t>
        </is>
      </c>
      <c r="G13" s="9" t="inlineStr">
        <is>
          <t>% Over</t>
        </is>
      </c>
    </row>
    <row r="14">
      <c r="B14" s="4" t="inlineStr">
        <is>
          <t>120</t>
        </is>
      </c>
      <c r="C14" s="4" t="inlineStr">
        <is>
          <t>Roughin Labor</t>
        </is>
      </c>
      <c r="D14" s="10" t="n">
        <v>37530</v>
      </c>
      <c r="E14" s="10" t="n">
        <v>46114</v>
      </c>
      <c r="F14" s="10">
        <f>E14-D14</f>
        <v/>
      </c>
      <c r="G14" s="11">
        <f>IF(D14=0,0,F14/D14)</f>
        <v/>
      </c>
    </row>
    <row r="15">
      <c r="B15" s="4" t="inlineStr">
        <is>
          <t>995</t>
        </is>
      </c>
      <c r="C15" s="4" t="inlineStr">
        <is>
          <t>Payroll Burden</t>
        </is>
      </c>
      <c r="D15" s="10" t="n">
        <v>32694.58</v>
      </c>
      <c r="E15" s="10" t="n">
        <v>34412.05</v>
      </c>
      <c r="F15" s="10">
        <f>E15-D15</f>
        <v/>
      </c>
      <c r="G15" s="11">
        <f>IF(D15=0,0,F15/D15)</f>
        <v/>
      </c>
    </row>
    <row r="16">
      <c r="B16" s="4" t="inlineStr">
        <is>
          <t>130</t>
        </is>
      </c>
      <c r="C16" s="4" t="inlineStr">
        <is>
          <t>Finish Labor</t>
        </is>
      </c>
      <c r="D16" s="10" t="n">
        <v>10320</v>
      </c>
      <c r="E16" s="10" t="n">
        <v>11391.5</v>
      </c>
      <c r="F16" s="10">
        <f>E16-D16</f>
        <v/>
      </c>
      <c r="G16" s="11">
        <f>IF(D16=0,0,F16/D16)</f>
        <v/>
      </c>
    </row>
    <row r="17">
      <c r="B17" s="4" t="inlineStr">
        <is>
          <t>111</t>
        </is>
      </c>
      <c r="C17" s="4" t="inlineStr">
        <is>
          <t>Garage Labor</t>
        </is>
      </c>
      <c r="D17" s="10" t="n">
        <v>8960</v>
      </c>
      <c r="E17" s="10" t="n">
        <v>9872</v>
      </c>
      <c r="F17" s="10">
        <f>E17-D17</f>
        <v/>
      </c>
      <c r="G17" s="11">
        <f>IF(D17=0,0,F17/D17)</f>
        <v/>
      </c>
    </row>
    <row r="18">
      <c r="B18" s="4" t="inlineStr">
        <is>
          <t>998</t>
        </is>
      </c>
      <c r="C18" s="4" t="inlineStr">
        <is>
          <t>Payroll Taxes</t>
        </is>
      </c>
      <c r="D18" s="10" t="n">
        <v>5769.64</v>
      </c>
      <c r="E18" s="10" t="n">
        <v>6479.41</v>
      </c>
      <c r="F18" s="10">
        <f>E18-D18</f>
        <v/>
      </c>
      <c r="G18" s="11">
        <f>IF(D18=0,0,F18/D18)</f>
        <v/>
      </c>
    </row>
    <row r="19">
      <c r="B19" s="4" t="inlineStr">
        <is>
          <t>011</t>
        </is>
      </c>
      <c r="C19" s="4" t="inlineStr">
        <is>
          <t>DS &amp; RD Labor</t>
        </is>
      </c>
      <c r="D19" s="10" t="n">
        <v>1250</v>
      </c>
      <c r="E19" s="10" t="n">
        <v>1645</v>
      </c>
      <c r="F19" s="10">
        <f>E19-D19</f>
        <v/>
      </c>
      <c r="G19" s="11">
        <f>IF(D19=0,0,F19/D19)</f>
        <v/>
      </c>
    </row>
    <row r="20">
      <c r="B20" s="4" t="inlineStr">
        <is>
          <t>142</t>
        </is>
      </c>
      <c r="C20" s="4" t="inlineStr">
        <is>
          <t>Mech Room Labor</t>
        </is>
      </c>
      <c r="D20" s="10" t="n">
        <v>1430</v>
      </c>
      <c r="E20" s="10" t="n">
        <v>1730</v>
      </c>
      <c r="F20" s="10">
        <f>E20-D20</f>
        <v/>
      </c>
      <c r="G20" s="11">
        <f>IF(D20=0,0,F20/D20)</f>
        <v/>
      </c>
    </row>
    <row r="21">
      <c r="B21" s="4" t="inlineStr">
        <is>
          <t>603</t>
        </is>
      </c>
      <c r="C21" s="4" t="inlineStr">
        <is>
          <t>Permits &amp; Licenses</t>
        </is>
      </c>
      <c r="D21" s="10" t="n">
        <v>0</v>
      </c>
      <c r="E21" s="10" t="n">
        <v>141.44</v>
      </c>
      <c r="F21" s="10">
        <f>E21-D21</f>
        <v/>
      </c>
      <c r="G21" s="11">
        <f>IF(D21=0,0,F21/D21)</f>
        <v/>
      </c>
    </row>
    <row r="22">
      <c r="B22" s="4" t="inlineStr">
        <is>
          <t>145</t>
        </is>
      </c>
      <c r="C22" s="4" t="inlineStr">
        <is>
          <t>Tub/Shower Labor</t>
        </is>
      </c>
      <c r="D22" s="10" t="n">
        <v>0</v>
      </c>
      <c r="E22" s="10" t="n">
        <v>138.5</v>
      </c>
      <c r="F22" s="10">
        <f>E22-D22</f>
        <v/>
      </c>
      <c r="G22" s="11">
        <f>IF(D22=0,0,F22/D22)</f>
        <v/>
      </c>
    </row>
    <row r="23"/>
    <row r="24"/>
    <row r="25">
      <c r="B25" s="3" t="inlineStr">
        <is>
          <t>C. LARGEST SAVINGS (Actual &lt; Revised Budget)</t>
        </is>
      </c>
    </row>
    <row r="26">
      <c r="B26" s="9" t="inlineStr">
        <is>
          <t>Code</t>
        </is>
      </c>
      <c r="C26" s="9" t="inlineStr">
        <is>
          <t>Description</t>
        </is>
      </c>
      <c r="D26" s="9" t="inlineStr">
        <is>
          <t>Rev Budget</t>
        </is>
      </c>
      <c r="E26" s="9" t="inlineStr">
        <is>
          <t>Actual</t>
        </is>
      </c>
      <c r="F26" s="9" t="inlineStr">
        <is>
          <t>Savings</t>
        </is>
      </c>
      <c r="G26" s="9" t="inlineStr">
        <is>
          <t>% Under</t>
        </is>
      </c>
    </row>
    <row r="27">
      <c r="B27" s="4" t="inlineStr">
        <is>
          <t>230</t>
        </is>
      </c>
      <c r="C27" s="4" t="inlineStr">
        <is>
          <t>Finish Material</t>
        </is>
      </c>
      <c r="D27" s="10" t="n">
        <v>143381</v>
      </c>
      <c r="E27" s="10" t="n">
        <v>109975.66</v>
      </c>
      <c r="F27" s="10">
        <f>D27-E27</f>
        <v/>
      </c>
      <c r="G27" s="11">
        <f>IF(D27=0,0,F27/D27)</f>
        <v/>
      </c>
    </row>
    <row r="28">
      <c r="B28" s="4" t="inlineStr">
        <is>
          <t>211</t>
        </is>
      </c>
      <c r="C28" s="4" t="inlineStr">
        <is>
          <t>Garage Material</t>
        </is>
      </c>
      <c r="D28" s="10" t="n">
        <v>10570</v>
      </c>
      <c r="E28" s="10" t="n">
        <v>3972.94</v>
      </c>
      <c r="F28" s="10">
        <f>D28-E28</f>
        <v/>
      </c>
      <c r="G28" s="11">
        <f>IF(D28=0,0,F28/D28)</f>
        <v/>
      </c>
    </row>
    <row r="29">
      <c r="B29" s="4" t="inlineStr">
        <is>
          <t>600</t>
        </is>
      </c>
      <c r="C29" s="4" t="inlineStr">
        <is>
          <t>Subcontractor</t>
        </is>
      </c>
      <c r="D29" s="10" t="n">
        <v>4885</v>
      </c>
      <c r="E29" s="10" t="n">
        <v>2379</v>
      </c>
      <c r="F29" s="10">
        <f>D29-E29</f>
        <v/>
      </c>
      <c r="G29" s="11">
        <f>IF(D29=0,0,F29/D29)</f>
        <v/>
      </c>
    </row>
    <row r="30">
      <c r="B30" s="4" t="inlineStr">
        <is>
          <t>220</t>
        </is>
      </c>
      <c r="C30" s="4" t="inlineStr">
        <is>
          <t>Roughin Material</t>
        </is>
      </c>
      <c r="D30" s="10" t="n">
        <v>32510</v>
      </c>
      <c r="E30" s="10" t="n">
        <v>30742.47</v>
      </c>
      <c r="F30" s="10">
        <f>D30-E30</f>
        <v/>
      </c>
      <c r="G30" s="11">
        <f>IF(D30=0,0,F30/D30)</f>
        <v/>
      </c>
    </row>
    <row r="31">
      <c r="B31" s="4" t="inlineStr">
        <is>
          <t>242</t>
        </is>
      </c>
      <c r="C31" s="4" t="inlineStr">
        <is>
          <t>Mech Room Material</t>
        </is>
      </c>
      <c r="D31" s="10" t="n">
        <v>2000</v>
      </c>
      <c r="E31" s="10" t="n">
        <v>641.45</v>
      </c>
      <c r="F31" s="10">
        <f>D31-E31</f>
        <v/>
      </c>
      <c r="G31" s="11">
        <f>IF(D31=0,0,F31/D31)</f>
        <v/>
      </c>
    </row>
    <row r="32">
      <c r="B32" s="4" t="inlineStr">
        <is>
          <t>101</t>
        </is>
      </c>
      <c r="C32" s="4" t="inlineStr">
        <is>
          <t>Takeoff &amp; Purchase Labor</t>
        </is>
      </c>
      <c r="D32" s="10" t="n">
        <v>2500</v>
      </c>
      <c r="E32" s="10" t="n">
        <v>1324</v>
      </c>
      <c r="F32" s="10">
        <f>D32-E32</f>
        <v/>
      </c>
      <c r="G32" s="11">
        <f>IF(D32=0,0,F32/D32)</f>
        <v/>
      </c>
    </row>
    <row r="33">
      <c r="B33" s="4" t="inlineStr">
        <is>
          <t>110</t>
        </is>
      </c>
      <c r="C33" s="4" t="inlineStr">
        <is>
          <t>Underground Labor</t>
        </is>
      </c>
      <c r="D33" s="10" t="n">
        <v>5350</v>
      </c>
      <c r="E33" s="10" t="n">
        <v>4209</v>
      </c>
      <c r="F33" s="10">
        <f>D33-E33</f>
        <v/>
      </c>
      <c r="G33" s="11">
        <f>IF(D33=0,0,F33/D33)</f>
        <v/>
      </c>
    </row>
    <row r="34">
      <c r="B34" s="4" t="inlineStr">
        <is>
          <t>601</t>
        </is>
      </c>
      <c r="C34" s="4" t="inlineStr">
        <is>
          <t>Engineering/Plans</t>
        </is>
      </c>
      <c r="D34" s="10" t="n">
        <v>6000</v>
      </c>
      <c r="E34" s="10" t="n">
        <v>4990.08</v>
      </c>
      <c r="F34" s="10">
        <f>D34-E34</f>
        <v/>
      </c>
      <c r="G34" s="11">
        <f>IF(D34=0,0,F34/D34)</f>
        <v/>
      </c>
    </row>
    <row r="35">
      <c r="B35" s="4" t="inlineStr">
        <is>
          <t>039</t>
        </is>
      </c>
      <c r="C35" s="4" t="inlineStr">
        <is>
          <t>DS &amp; RD Material</t>
        </is>
      </c>
      <c r="D35" s="10" t="n">
        <v>1250</v>
      </c>
      <c r="E35" s="10" t="n">
        <v>369.06</v>
      </c>
      <c r="F35" s="10">
        <f>D35-E35</f>
        <v/>
      </c>
      <c r="G35" s="11">
        <f>IF(D35=0,0,F35/D35)</f>
        <v/>
      </c>
    </row>
    <row r="36">
      <c r="B36" s="4" t="inlineStr">
        <is>
          <t>112</t>
        </is>
      </c>
      <c r="C36" s="4" t="inlineStr">
        <is>
          <t>Canout Labor</t>
        </is>
      </c>
      <c r="D36" s="10" t="n">
        <v>2000</v>
      </c>
      <c r="E36" s="10" t="n">
        <v>1485.5</v>
      </c>
      <c r="F36" s="10">
        <f>D36-E36</f>
        <v/>
      </c>
      <c r="G36" s="11">
        <f>IF(D36=0,0,F36/D36)</f>
        <v/>
      </c>
    </row>
    <row r="37"/>
    <row r="38"/>
    <row r="39">
      <c r="B39" s="3" t="inlineStr">
        <is>
          <t>SOURCES</t>
        </is>
      </c>
    </row>
    <row r="40">
      <c r="B40" s="2" t="inlineStr">
        <is>
          <t>Job #2009 — Chinn Greenwood Apartments  •  GC: Chinn Construction, LLC  •  Seattle, WA</t>
        </is>
      </c>
    </row>
    <row r="41">
      <c r="B41" s="2" t="inlineStr">
        <is>
          <t>Canonical source: 2009 Job Detail Report.pdf (49 pages, OWP Sage Timberline export)</t>
        </is>
      </c>
    </row>
    <row r="42">
      <c r="B42" s="2" t="inlineStr">
        <is>
          <t>Cost codes parsed: 26</t>
        </is>
      </c>
    </row>
    <row r="43">
      <c r="B43" s="2" t="inlineStr">
        <is>
          <t>Unit count (168) and fixture count (812) from greenwood h20 stacks.xls and trim POs</t>
        </is>
      </c>
    </row>
    <row r="44">
      <c r="B44" s="2" t="inlineStr">
        <is>
          <t>3-level building + lobby: L1 (18 units), L2 (18 units), L3 (18 units), LW (amenity) × south/north stacks</t>
        </is>
      </c>
    </row>
    <row r="45">
      <c r="B45" s="2" t="inlineStr">
        <is>
          <t>Billing: GREENWOOD AGGREGATE BILLING.xlsx (11 pay apps Jul 2012 – Oct 2013)</t>
        </is>
      </c>
    </row>
    <row r="46">
      <c r="B46" s="2" t="inlineStr">
        <is>
          <t>Final contract $394,208 (original $384,900 + $9,308 COs)</t>
        </is>
      </c>
    </row>
  </sheetData>
  <mergeCells count="12">
    <mergeCell ref="B12:I12"/>
    <mergeCell ref="B44:I44"/>
    <mergeCell ref="B39:I39"/>
    <mergeCell ref="B25:I25"/>
    <mergeCell ref="B2:I2"/>
    <mergeCell ref="B46:I46"/>
    <mergeCell ref="B42:I42"/>
    <mergeCell ref="B45:I45"/>
    <mergeCell ref="B43:I43"/>
    <mergeCell ref="B41:I41"/>
    <mergeCell ref="B4:I4"/>
    <mergeCell ref="B40:I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>
      <c r="B2" s="1" t="inlineStr">
        <is>
          <t>Material Spend Analysis</t>
        </is>
      </c>
    </row>
    <row r="3">
      <c r="B3" s="2" t="inlineStr">
        <is>
          <t>9 material cost codes  •  $151,064 JDR material  •  13 AP vendors  •  $174,470 total AP</t>
        </is>
      </c>
    </row>
    <row r="4"/>
    <row r="5">
      <c r="B5" s="3" t="inlineStr">
        <is>
          <t>A. MATERIAL BY COST CODE</t>
        </is>
      </c>
    </row>
    <row r="6">
      <c r="B6" s="9" t="inlineStr">
        <is>
          <t>Code</t>
        </is>
      </c>
      <c r="C6" s="9" t="inlineStr">
        <is>
          <t>Description</t>
        </is>
      </c>
      <c r="D6" s="9" t="inlineStr">
        <is>
          <t>Rev Budget</t>
        </is>
      </c>
      <c r="E6" s="9" t="inlineStr">
        <is>
          <t>Actual</t>
        </is>
      </c>
      <c r="F6" s="9" t="inlineStr">
        <is>
          <t>Variance</t>
        </is>
      </c>
      <c r="G6" s="9" t="inlineStr">
        <is>
          <t>% Used</t>
        </is>
      </c>
      <c r="H6" s="9" t="inlineStr">
        <is>
          <t>% of Mat</t>
        </is>
      </c>
      <c r="I6" s="9" t="inlineStr">
        <is>
          <t>Per Unit</t>
        </is>
      </c>
    </row>
    <row r="7">
      <c r="B7" s="4" t="inlineStr">
        <is>
          <t>039</t>
        </is>
      </c>
      <c r="C7" s="4" t="inlineStr">
        <is>
          <t>DS &amp; RD Material</t>
        </is>
      </c>
      <c r="D7" s="10" t="n">
        <v>1250</v>
      </c>
      <c r="E7" s="10" t="n">
        <v>369.06</v>
      </c>
      <c r="F7" s="10">
        <f>D7-E7</f>
        <v/>
      </c>
      <c r="G7" s="11">
        <f>IF(D7=0,0,E7/D7)</f>
        <v/>
      </c>
      <c r="H7" s="11">
        <f>IF(151064.39=0,0,E7/151064.39)</f>
        <v/>
      </c>
      <c r="I7" s="10">
        <f>IF(168=0,0,E7/168)</f>
        <v/>
      </c>
    </row>
    <row r="8">
      <c r="B8" s="4" t="inlineStr">
        <is>
          <t>210</t>
        </is>
      </c>
      <c r="C8" s="4" t="inlineStr">
        <is>
          <t>Underground Material</t>
        </is>
      </c>
      <c r="D8" s="10" t="n">
        <v>2800</v>
      </c>
      <c r="E8" s="10" t="n">
        <v>2613.58</v>
      </c>
      <c r="F8" s="10">
        <f>D8-E8</f>
        <v/>
      </c>
      <c r="G8" s="11">
        <f>IF(D8=0,0,E8/D8)</f>
        <v/>
      </c>
      <c r="H8" s="11">
        <f>IF(151064.39=0,0,E8/151064.39)</f>
        <v/>
      </c>
      <c r="I8" s="10">
        <f>IF(168=0,0,E8/168)</f>
        <v/>
      </c>
    </row>
    <row r="9">
      <c r="B9" s="4" t="inlineStr">
        <is>
          <t>211</t>
        </is>
      </c>
      <c r="C9" s="4" t="inlineStr">
        <is>
          <t>Garage Material</t>
        </is>
      </c>
      <c r="D9" s="10" t="n">
        <v>10570</v>
      </c>
      <c r="E9" s="10" t="n">
        <v>3972.94</v>
      </c>
      <c r="F9" s="10">
        <f>D9-E9</f>
        <v/>
      </c>
      <c r="G9" s="11">
        <f>IF(D9=0,0,E9/D9)</f>
        <v/>
      </c>
      <c r="H9" s="11">
        <f>IF(151064.39=0,0,E9/151064.39)</f>
        <v/>
      </c>
      <c r="I9" s="10">
        <f>IF(168=0,0,E9/168)</f>
        <v/>
      </c>
    </row>
    <row r="10">
      <c r="B10" s="4" t="inlineStr">
        <is>
          <t>212</t>
        </is>
      </c>
      <c r="C10" s="4" t="inlineStr">
        <is>
          <t>Canout Material</t>
        </is>
      </c>
      <c r="D10" s="10" t="n">
        <v>2800</v>
      </c>
      <c r="E10" s="10" t="n">
        <v>2749.23</v>
      </c>
      <c r="F10" s="10">
        <f>D10-E10</f>
        <v/>
      </c>
      <c r="G10" s="11">
        <f>IF(D10=0,0,E10/D10)</f>
        <v/>
      </c>
      <c r="H10" s="11">
        <f>IF(151064.39=0,0,E10/151064.39)</f>
        <v/>
      </c>
      <c r="I10" s="10">
        <f>IF(168=0,0,E10/168)</f>
        <v/>
      </c>
    </row>
    <row r="11">
      <c r="B11" s="4" t="inlineStr">
        <is>
          <t>220</t>
        </is>
      </c>
      <c r="C11" s="4" t="inlineStr">
        <is>
          <t>Roughin Material</t>
        </is>
      </c>
      <c r="D11" s="10" t="n">
        <v>32510</v>
      </c>
      <c r="E11" s="10" t="n">
        <v>30742.47</v>
      </c>
      <c r="F11" s="10">
        <f>D11-E11</f>
        <v/>
      </c>
      <c r="G11" s="11">
        <f>IF(D11=0,0,E11/D11)</f>
        <v/>
      </c>
      <c r="H11" s="11">
        <f>IF(151064.39=0,0,E11/151064.39)</f>
        <v/>
      </c>
      <c r="I11" s="10">
        <f>IF(168=0,0,E11/168)</f>
        <v/>
      </c>
    </row>
    <row r="12">
      <c r="B12" s="4" t="inlineStr">
        <is>
          <t>230</t>
        </is>
      </c>
      <c r="C12" s="4" t="inlineStr">
        <is>
          <t>Finish Material</t>
        </is>
      </c>
      <c r="D12" s="10" t="n">
        <v>143381</v>
      </c>
      <c r="E12" s="10" t="n">
        <v>109975.66</v>
      </c>
      <c r="F12" s="10">
        <f>D12-E12</f>
        <v/>
      </c>
      <c r="G12" s="11">
        <f>IF(D12=0,0,E12/D12)</f>
        <v/>
      </c>
      <c r="H12" s="11">
        <f>IF(151064.39=0,0,E12/151064.39)</f>
        <v/>
      </c>
      <c r="I12" s="10">
        <f>IF(168=0,0,E12/168)</f>
        <v/>
      </c>
    </row>
    <row r="13">
      <c r="B13" s="4" t="inlineStr">
        <is>
          <t>241</t>
        </is>
      </c>
      <c r="C13" s="4" t="inlineStr">
        <is>
          <t>Water Main/Insulation Mat</t>
        </is>
      </c>
      <c r="D13" s="10" t="n">
        <v>0</v>
      </c>
      <c r="E13" s="10" t="n">
        <v>0</v>
      </c>
      <c r="F13" s="10">
        <f>D13-E13</f>
        <v/>
      </c>
      <c r="G13" s="11">
        <f>IF(D13=0,0,E13/D13)</f>
        <v/>
      </c>
      <c r="H13" s="11">
        <f>IF(151064.39=0,0,E13/151064.39)</f>
        <v/>
      </c>
      <c r="I13" s="10">
        <f>IF(168=0,0,E13/168)</f>
        <v/>
      </c>
    </row>
    <row r="14">
      <c r="B14" s="4" t="inlineStr">
        <is>
          <t>242</t>
        </is>
      </c>
      <c r="C14" s="4" t="inlineStr">
        <is>
          <t>Mech Room Material</t>
        </is>
      </c>
      <c r="D14" s="10" t="n">
        <v>2000</v>
      </c>
      <c r="E14" s="10" t="n">
        <v>641.45</v>
      </c>
      <c r="F14" s="10">
        <f>D14-E14</f>
        <v/>
      </c>
      <c r="G14" s="11">
        <f>IF(D14=0,0,E14/D14)</f>
        <v/>
      </c>
      <c r="H14" s="11">
        <f>IF(151064.39=0,0,E14/151064.39)</f>
        <v/>
      </c>
      <c r="I14" s="10">
        <f>IF(168=0,0,E14/168)</f>
        <v/>
      </c>
    </row>
    <row r="15">
      <c r="B15" s="4" t="inlineStr">
        <is>
          <t>245</t>
        </is>
      </c>
      <c r="C15" s="4" t="inlineStr">
        <is>
          <t>Tub/Shower Material</t>
        </is>
      </c>
      <c r="D15" s="10" t="n">
        <v>0</v>
      </c>
      <c r="E15" s="10" t="n">
        <v>0</v>
      </c>
      <c r="F15" s="10">
        <f>D15-E15</f>
        <v/>
      </c>
      <c r="G15" s="11">
        <f>IF(D15=0,0,E15/D15)</f>
        <v/>
      </c>
      <c r="H15" s="11">
        <f>IF(151064.39=0,0,E15/151064.39)</f>
        <v/>
      </c>
      <c r="I15" s="10">
        <f>IF(168=0,0,E15/168)</f>
        <v/>
      </c>
    </row>
    <row r="16">
      <c r="B16" s="5" t="inlineStr">
        <is>
          <t>TOTAL</t>
        </is>
      </c>
      <c r="C16" s="5" t="inlineStr">
        <is>
          <t>All Material</t>
        </is>
      </c>
      <c r="D16" s="12">
        <f>SUM(D7:D15)</f>
        <v/>
      </c>
      <c r="E16" s="12">
        <f>SUM(E7:E15)</f>
        <v/>
      </c>
      <c r="F16" s="12">
        <f>D16-E16</f>
        <v/>
      </c>
      <c r="G16" s="13">
        <f>IF(D16=0,0,E16/D16)</f>
        <v/>
      </c>
      <c r="H16" s="13" t="n">
        <v>1</v>
      </c>
      <c r="I16" s="12">
        <f>IF(168=0,0,E16/168)</f>
        <v/>
      </c>
    </row>
    <row r="17"/>
    <row r="18"/>
    <row r="19">
      <c r="B19" s="3" t="inlineStr">
        <is>
          <t>B. VENDORS BY SPEND (AP)</t>
        </is>
      </c>
    </row>
    <row r="20">
      <c r="B20" s="9" t="inlineStr">
        <is>
          <t>Vendor</t>
        </is>
      </c>
      <c r="C20" s="9" t="inlineStr">
        <is>
          <t># Invoices</t>
        </is>
      </c>
      <c r="D20" s="9" t="inlineStr">
        <is>
          <t>Total Spend</t>
        </is>
      </c>
      <c r="E20" s="9" t="inlineStr">
        <is>
          <t>% of AP</t>
        </is>
      </c>
      <c r="F20" s="9" t="inlineStr"/>
      <c r="G20" s="9" t="inlineStr"/>
      <c r="H20" s="9" t="inlineStr"/>
      <c r="I20" s="9" t="inlineStr">
        <is>
          <t>Avg Invoice</t>
        </is>
      </c>
    </row>
    <row r="21">
      <c r="B21" s="4" t="inlineStr">
        <is>
          <t>Ferguson Enterprises, Inc.</t>
        </is>
      </c>
      <c r="C21" s="14" t="n">
        <v>65</v>
      </c>
      <c r="D21" s="10" t="n">
        <v>117439.01</v>
      </c>
      <c r="E21" s="11">
        <f>IF(174470.0499999999=0,0,D21/174470.0499999999)</f>
        <v/>
      </c>
      <c r="I21" s="10">
        <f>IF(C21=0,0,D21/C21)</f>
        <v/>
      </c>
    </row>
    <row r="22">
      <c r="B22" s="4" t="inlineStr">
        <is>
          <t>Keller Supply Company</t>
        </is>
      </c>
      <c r="C22" s="14" t="n">
        <v>14</v>
      </c>
      <c r="D22" s="10" t="n">
        <v>29740.42999999999</v>
      </c>
      <c r="E22" s="11">
        <f>IF(174470.0499999999=0,0,D22/174470.0499999999)</f>
        <v/>
      </c>
      <c r="I22" s="10">
        <f>IF(C22=0,0,D22/C22)</f>
        <v/>
      </c>
    </row>
    <row r="23">
      <c r="B23" s="4" t="inlineStr">
        <is>
          <t>Mechanical Sales, Inc.</t>
        </is>
      </c>
      <c r="C23" s="14" t="n">
        <v>2</v>
      </c>
      <c r="D23" s="10" t="n">
        <v>16339.3</v>
      </c>
      <c r="E23" s="11">
        <f>IF(174470.0499999999=0,0,D23/174470.0499999999)</f>
        <v/>
      </c>
      <c r="I23" s="10">
        <f>IF(C23=0,0,D23/C23)</f>
        <v/>
      </c>
    </row>
    <row r="24">
      <c r="B24" s="4" t="inlineStr">
        <is>
          <t>Franklin Engineering</t>
        </is>
      </c>
      <c r="C24" s="14" t="n">
        <v>1</v>
      </c>
      <c r="D24" s="10" t="n">
        <v>4895</v>
      </c>
      <c r="E24" s="11">
        <f>IF(174470.0499999999=0,0,D24/174470.0499999999)</f>
        <v/>
      </c>
      <c r="I24" s="10">
        <f>IF(C24=0,0,D24/C24)</f>
        <v/>
      </c>
    </row>
    <row r="25">
      <c r="B25" s="4" t="inlineStr">
        <is>
          <t>Mickelo Construction LLC</t>
        </is>
      </c>
      <c r="C25" s="14" t="n">
        <v>1</v>
      </c>
      <c r="D25" s="10" t="n">
        <v>2250</v>
      </c>
      <c r="E25" s="11">
        <f>IF(174470.0499999999=0,0,D25/174470.0499999999)</f>
        <v/>
      </c>
      <c r="I25" s="10">
        <f>IF(C25=0,0,D25/C25)</f>
        <v/>
      </c>
    </row>
    <row r="26">
      <c r="B26" s="4" t="inlineStr">
        <is>
          <t>Quality Concrete Products, Inc.</t>
        </is>
      </c>
      <c r="C26" s="14" t="n">
        <v>4</v>
      </c>
      <c r="D26" s="10" t="n">
        <v>1821</v>
      </c>
      <c r="E26" s="11">
        <f>IF(174470.0499999999=0,0,D26/174470.0499999999)</f>
        <v/>
      </c>
      <c r="I26" s="10">
        <f>IF(C26=0,0,D26/C26)</f>
        <v/>
      </c>
    </row>
    <row r="27">
      <c r="B27" s="4" t="inlineStr">
        <is>
          <t>Rosen Supply Company, Inc.</t>
        </is>
      </c>
      <c r="C27" s="14" t="n">
        <v>2</v>
      </c>
      <c r="D27" s="10" t="n">
        <v>1040.84</v>
      </c>
      <c r="E27" s="11">
        <f>IF(174470.0499999999=0,0,D27/174470.0499999999)</f>
        <v/>
      </c>
      <c r="I27" s="10">
        <f>IF(C27=0,0,D27/C27)</f>
        <v/>
      </c>
    </row>
    <row r="28">
      <c r="B28" s="4" t="inlineStr">
        <is>
          <t>Ferguson Enterprises, Inc. #3007</t>
        </is>
      </c>
      <c r="C28" s="14" t="n">
        <v>1</v>
      </c>
      <c r="D28" s="10" t="n">
        <v>245.19</v>
      </c>
      <c r="E28" s="11">
        <f>IF(174470.0499999999=0,0,D28/174470.0499999999)</f>
        <v/>
      </c>
      <c r="I28" s="10">
        <f>IF(C28=0,0,D28/C28)</f>
        <v/>
      </c>
    </row>
    <row r="29">
      <c r="B29" s="4" t="inlineStr">
        <is>
          <t>Bank of America CC</t>
        </is>
      </c>
      <c r="C29" s="14" t="n">
        <v>1</v>
      </c>
      <c r="D29" s="10" t="n">
        <v>210</v>
      </c>
      <c r="E29" s="11">
        <f>IF(174470.0499999999=0,0,D29/174470.0499999999)</f>
        <v/>
      </c>
      <c r="I29" s="10">
        <f>IF(C29=0,0,D29/C29)</f>
        <v/>
      </c>
    </row>
    <row r="30">
      <c r="B30" s="4" t="inlineStr">
        <is>
          <t>Capital One Credit Card</t>
        </is>
      </c>
      <c r="C30" s="14" t="n">
        <v>3</v>
      </c>
      <c r="D30" s="10" t="n">
        <v>167.8</v>
      </c>
      <c r="E30" s="11">
        <f>IF(174470.0499999999=0,0,D30/174470.0499999999)</f>
        <v/>
      </c>
      <c r="I30" s="10">
        <f>IF(C30=0,0,D30/C30)</f>
        <v/>
      </c>
    </row>
    <row r="31">
      <c r="B31" s="4" t="inlineStr">
        <is>
          <t>R.A. Brown Backflow Testing</t>
        </is>
      </c>
      <c r="C31" s="14" t="n">
        <v>1</v>
      </c>
      <c r="D31" s="10" t="n">
        <v>129</v>
      </c>
      <c r="E31" s="11">
        <f>IF(174470.0499999999=0,0,D31/174470.0499999999)</f>
        <v/>
      </c>
      <c r="I31" s="10">
        <f>IF(C31=0,0,D31/C31)</f>
        <v/>
      </c>
    </row>
    <row r="32">
      <c r="B32" s="4" t="inlineStr">
        <is>
          <t>C.M. Hoskins Company</t>
        </is>
      </c>
      <c r="C32" s="14" t="n">
        <v>2</v>
      </c>
      <c r="D32" s="10" t="n">
        <v>97.39999999999999</v>
      </c>
      <c r="E32" s="11">
        <f>IF(174470.0499999999=0,0,D32/174470.0499999999)</f>
        <v/>
      </c>
      <c r="I32" s="10">
        <f>IF(C32=0,0,D32/C32)</f>
        <v/>
      </c>
    </row>
    <row r="33">
      <c r="B33" s="4" t="inlineStr">
        <is>
          <t>DRSi</t>
        </is>
      </c>
      <c r="C33" s="14" t="n">
        <v>1</v>
      </c>
      <c r="D33" s="10" t="n">
        <v>95.08</v>
      </c>
      <c r="E33" s="11">
        <f>IF(174470.0499999999=0,0,D33/174470.0499999999)</f>
        <v/>
      </c>
      <c r="I33" s="10">
        <f>IF(C33=0,0,D33/C33)</f>
        <v/>
      </c>
    </row>
    <row r="34">
      <c r="B34" s="5" t="inlineStr">
        <is>
          <t>TOTAL</t>
        </is>
      </c>
      <c r="C34" s="15">
        <f>SUM(C21:C33)</f>
        <v/>
      </c>
      <c r="D34" s="12">
        <f>SUM(D21:D33)</f>
        <v/>
      </c>
      <c r="E34" s="13" t="n">
        <v>1</v>
      </c>
    </row>
    <row r="35"/>
    <row r="36"/>
    <row r="37">
      <c r="B37" s="3" t="inlineStr">
        <is>
          <t>SOURCES</t>
        </is>
      </c>
    </row>
    <row r="38">
      <c r="B38" s="2" t="inlineStr">
        <is>
          <t>Job #2009 — Chinn Greenwood Apartments  •  GC: Chinn Construction, LLC  •  Seattle, WA</t>
        </is>
      </c>
    </row>
    <row r="39">
      <c r="B39" s="2" t="inlineStr">
        <is>
          <t>Canonical source: 2009 Job Detail Report.pdf (49 pages, OWP Sage Timberline export)</t>
        </is>
      </c>
    </row>
    <row r="40">
      <c r="B40" s="2" t="inlineStr">
        <is>
          <t>Cost codes parsed: 26</t>
        </is>
      </c>
    </row>
    <row r="41">
      <c r="B41" s="2" t="inlineStr">
        <is>
          <t>Unit count (168) and fixture count (812) from greenwood h20 stacks.xls and trim POs</t>
        </is>
      </c>
    </row>
    <row r="42">
      <c r="B42" s="2" t="inlineStr">
        <is>
          <t>3-level building + lobby: L1 (18 units), L2 (18 units), L3 (18 units), LW (amenity) × south/north stacks</t>
        </is>
      </c>
    </row>
    <row r="43">
      <c r="B43" s="2" t="inlineStr">
        <is>
          <t>Billing: GREENWOOD AGGREGATE BILLING.xlsx (11 pay apps Jul 2012 – Oct 2013)</t>
        </is>
      </c>
    </row>
    <row r="44">
      <c r="B44" s="2" t="inlineStr">
        <is>
          <t>Final contract $394,208 (original $384,900 + $9,308 COs)</t>
        </is>
      </c>
    </row>
    <row r="45">
      <c r="B45" s="2" t="inlineStr">
        <is>
          <t>Vendor AP ties to JDR 'by Source: AP' line (174,470.05)</t>
        </is>
      </c>
    </row>
  </sheetData>
  <mergeCells count="13">
    <mergeCell ref="B44:I44"/>
    <mergeCell ref="B39:I39"/>
    <mergeCell ref="B38:I38"/>
    <mergeCell ref="B2:I2"/>
    <mergeCell ref="B42:I42"/>
    <mergeCell ref="B3:I3"/>
    <mergeCell ref="B5:I5"/>
    <mergeCell ref="B37:I37"/>
    <mergeCell ref="B19:I19"/>
    <mergeCell ref="B45:I45"/>
    <mergeCell ref="B43:I43"/>
    <mergeCell ref="B41:I41"/>
    <mergeCell ref="B40:I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/>
    <row r="2">
      <c r="B2" s="1" t="inlineStr">
        <is>
          <t>Crew &amp; Labor — Per-Worker Breakdown</t>
        </is>
      </c>
    </row>
    <row r="3"/>
    <row r="4">
      <c r="B4" s="9" t="inlineStr">
        <is>
          <t>Worker</t>
        </is>
      </c>
      <c r="C4" s="9" t="inlineStr">
        <is>
          <t>Hours</t>
        </is>
      </c>
      <c r="D4" s="9" t="inlineStr">
        <is>
          <t>Gross Pay</t>
        </is>
      </c>
      <c r="E4" s="9" t="inlineStr">
        <is>
          <t>$/Hour</t>
        </is>
      </c>
      <c r="F4" s="9" t="inlineStr">
        <is>
          <t>Tier</t>
        </is>
      </c>
    </row>
    <row r="5">
      <c r="B5" s="4" t="inlineStr">
        <is>
          <t>Quintanilla, Esteban R</t>
        </is>
      </c>
      <c r="C5" s="16" t="n">
        <v>569</v>
      </c>
      <c r="D5" s="10" t="n">
        <v>17070</v>
      </c>
      <c r="E5" s="17">
        <f>IF(C5=0,0,D5/C5)</f>
        <v/>
      </c>
      <c r="F5" s="4" t="inlineStr">
        <is>
          <t>Senior</t>
        </is>
      </c>
    </row>
    <row r="6">
      <c r="B6" s="4" t="inlineStr">
        <is>
          <t>Sanders, Allen O</t>
        </is>
      </c>
      <c r="C6" s="16" t="n">
        <v>432.5</v>
      </c>
      <c r="D6" s="10" t="n">
        <v>10872</v>
      </c>
      <c r="E6" s="17">
        <f>IF(C6=0,0,D6/C6)</f>
        <v/>
      </c>
      <c r="F6" s="4" t="inlineStr">
        <is>
          <t>Mid</t>
        </is>
      </c>
    </row>
    <row r="7">
      <c r="B7" s="4" t="inlineStr">
        <is>
          <t>Mazil, Antonio</t>
        </is>
      </c>
      <c r="C7" s="16" t="n">
        <v>416</v>
      </c>
      <c r="D7" s="10" t="n">
        <v>5264</v>
      </c>
      <c r="E7" s="17">
        <f>IF(C7=0,0,D7/C7)</f>
        <v/>
      </c>
      <c r="F7" s="4" t="inlineStr">
        <is>
          <t>Apprentice</t>
        </is>
      </c>
    </row>
    <row r="8">
      <c r="B8" s="4" t="inlineStr">
        <is>
          <t>Castro Hernandez, Carlos E</t>
        </is>
      </c>
      <c r="C8" s="16" t="n">
        <v>349</v>
      </c>
      <c r="D8" s="10" t="n">
        <v>7678</v>
      </c>
      <c r="E8" s="17">
        <f>IF(C8=0,0,D8/C8)</f>
        <v/>
      </c>
      <c r="F8" s="4" t="inlineStr">
        <is>
          <t>Mid</t>
        </is>
      </c>
    </row>
    <row r="9">
      <c r="B9" s="4" t="inlineStr">
        <is>
          <t>Palma Vides, Hugo</t>
        </is>
      </c>
      <c r="C9" s="16" t="n">
        <v>304</v>
      </c>
      <c r="D9" s="10" t="n">
        <v>7600</v>
      </c>
      <c r="E9" s="17">
        <f>IF(C9=0,0,D9/C9)</f>
        <v/>
      </c>
      <c r="F9" s="4" t="inlineStr">
        <is>
          <t>Mid</t>
        </is>
      </c>
    </row>
    <row r="10">
      <c r="B10" s="4" t="inlineStr">
        <is>
          <t>Ramirez, Lorenzo A</t>
        </is>
      </c>
      <c r="C10" s="16" t="n">
        <v>269</v>
      </c>
      <c r="D10" s="10" t="n">
        <v>3982</v>
      </c>
      <c r="E10" s="17">
        <f>IF(C10=0,0,D10/C10)</f>
        <v/>
      </c>
      <c r="F10" s="4" t="inlineStr">
        <is>
          <t>Apprentice</t>
        </is>
      </c>
    </row>
    <row r="11">
      <c r="B11" s="4" t="inlineStr">
        <is>
          <t>Castro Hernandez, Jose A</t>
        </is>
      </c>
      <c r="C11" s="16" t="n">
        <v>236</v>
      </c>
      <c r="D11" s="10" t="n">
        <v>3304</v>
      </c>
      <c r="E11" s="17">
        <f>IF(C11=0,0,D11/C11)</f>
        <v/>
      </c>
      <c r="F11" s="4" t="inlineStr">
        <is>
          <t>Apprentice</t>
        </is>
      </c>
    </row>
    <row r="12">
      <c r="B12" s="4" t="inlineStr">
        <is>
          <t>Arreola, Israel A</t>
        </is>
      </c>
      <c r="C12" s="16" t="n">
        <v>221</v>
      </c>
      <c r="D12" s="10" t="n">
        <v>2487</v>
      </c>
      <c r="E12" s="17">
        <f>IF(C12=0,0,D12/C12)</f>
        <v/>
      </c>
      <c r="F12" s="4" t="inlineStr">
        <is>
          <t>Apprentice</t>
        </is>
      </c>
    </row>
    <row r="13">
      <c r="B13" s="4" t="inlineStr">
        <is>
          <t>Soto Cruz, Jovani</t>
        </is>
      </c>
      <c r="C13" s="16" t="n">
        <v>210.5</v>
      </c>
      <c r="D13" s="10" t="n">
        <v>2859.5</v>
      </c>
      <c r="E13" s="17">
        <f>IF(C13=0,0,D13/C13)</f>
        <v/>
      </c>
      <c r="F13" s="4" t="inlineStr">
        <is>
          <t>Apprentice</t>
        </is>
      </c>
    </row>
    <row r="14">
      <c r="B14" s="4" t="inlineStr">
        <is>
          <t>Cortes Mendiola, Victor H</t>
        </is>
      </c>
      <c r="C14" s="16" t="n">
        <v>208</v>
      </c>
      <c r="D14" s="10" t="n">
        <v>4136</v>
      </c>
      <c r="E14" s="17">
        <f>IF(C14=0,0,D14/C14)</f>
        <v/>
      </c>
      <c r="F14" s="4" t="inlineStr">
        <is>
          <t>Mid</t>
        </is>
      </c>
    </row>
    <row r="15">
      <c r="B15" s="4" t="inlineStr">
        <is>
          <t>Meza Fuentes, Erick A</t>
        </is>
      </c>
      <c r="C15" s="16" t="n">
        <v>192</v>
      </c>
      <c r="D15" s="10" t="n">
        <v>2880</v>
      </c>
      <c r="E15" s="17">
        <f>IF(C15=0,0,D15/C15)</f>
        <v/>
      </c>
      <c r="F15" s="4" t="inlineStr">
        <is>
          <t>Apprentice</t>
        </is>
      </c>
    </row>
    <row r="16">
      <c r="B16" s="4" t="inlineStr">
        <is>
          <t>Gerard, Jeffrey S</t>
        </is>
      </c>
      <c r="C16" s="16" t="n">
        <v>164</v>
      </c>
      <c r="D16" s="10" t="n">
        <v>5435.2</v>
      </c>
      <c r="E16" s="17">
        <f>IF(C16=0,0,D16/C16)</f>
        <v/>
      </c>
      <c r="F16" s="4" t="inlineStr">
        <is>
          <t>Senior</t>
        </is>
      </c>
    </row>
    <row r="17">
      <c r="B17" s="4" t="inlineStr">
        <is>
          <t>Waites, Thaddeus Z</t>
        </is>
      </c>
      <c r="C17" s="16" t="n">
        <v>160</v>
      </c>
      <c r="D17" s="10" t="n">
        <v>4000</v>
      </c>
      <c r="E17" s="17">
        <f>IF(C17=0,0,D17/C17)</f>
        <v/>
      </c>
      <c r="F17" s="4" t="inlineStr">
        <is>
          <t>Mid</t>
        </is>
      </c>
    </row>
    <row r="18">
      <c r="B18" s="4" t="inlineStr">
        <is>
          <t>Barnhart, Joseph N</t>
        </is>
      </c>
      <c r="C18" s="16" t="n">
        <v>89.5</v>
      </c>
      <c r="D18" s="10" t="n">
        <v>2507</v>
      </c>
      <c r="E18" s="17">
        <f>IF(C18=0,0,D18/C18)</f>
        <v/>
      </c>
      <c r="F18" s="4" t="inlineStr">
        <is>
          <t>Mid</t>
        </is>
      </c>
    </row>
    <row r="19">
      <c r="B19" s="4" t="inlineStr">
        <is>
          <t>Paco Leyva, Orlando</t>
        </is>
      </c>
      <c r="C19" s="16" t="n">
        <v>88</v>
      </c>
      <c r="D19" s="10" t="n">
        <v>976</v>
      </c>
      <c r="E19" s="17">
        <f>IF(C19=0,0,D19/C19)</f>
        <v/>
      </c>
      <c r="F19" s="4" t="inlineStr">
        <is>
          <t>Apprentice</t>
        </is>
      </c>
    </row>
    <row r="20">
      <c r="B20" s="4" t="inlineStr">
        <is>
          <t>Veley, Nathaniel S</t>
        </is>
      </c>
      <c r="C20" s="16" t="n">
        <v>80.5</v>
      </c>
      <c r="D20" s="10" t="n">
        <v>1620</v>
      </c>
      <c r="E20" s="17">
        <f>IF(C20=0,0,D20/C20)</f>
        <v/>
      </c>
      <c r="F20" s="4" t="inlineStr">
        <is>
          <t>Mid</t>
        </is>
      </c>
    </row>
    <row r="21">
      <c r="B21" s="4" t="inlineStr">
        <is>
          <t>McCabe, Thomas C</t>
        </is>
      </c>
      <c r="C21" s="16" t="n">
        <v>76.5</v>
      </c>
      <c r="D21" s="10" t="n">
        <v>1147.5</v>
      </c>
      <c r="E21" s="17">
        <f>IF(C21=0,0,D21/C21)</f>
        <v/>
      </c>
      <c r="F21" s="4" t="inlineStr">
        <is>
          <t>Apprentice</t>
        </is>
      </c>
    </row>
    <row r="22">
      <c r="B22" s="4" t="inlineStr">
        <is>
          <t>Reed, Reuben H</t>
        </is>
      </c>
      <c r="C22" s="16" t="n">
        <v>44</v>
      </c>
      <c r="D22" s="10" t="n">
        <v>1100</v>
      </c>
      <c r="E22" s="17">
        <f>IF(C22=0,0,D22/C22)</f>
        <v/>
      </c>
      <c r="F22" s="4" t="inlineStr">
        <is>
          <t>Mid</t>
        </is>
      </c>
    </row>
    <row r="23">
      <c r="B23" s="4" t="inlineStr">
        <is>
          <t>Sepulveda Gonzalez, Alfredo</t>
        </is>
      </c>
      <c r="C23" s="16" t="n">
        <v>32</v>
      </c>
      <c r="D23" s="10" t="n">
        <v>704</v>
      </c>
      <c r="E23" s="17">
        <f>IF(C23=0,0,D23/C23)</f>
        <v/>
      </c>
      <c r="F23" s="4" t="inlineStr">
        <is>
          <t>Mid</t>
        </is>
      </c>
    </row>
    <row r="24">
      <c r="B24" s="4" t="inlineStr">
        <is>
          <t>Soto Serna, Cesar E</t>
        </is>
      </c>
      <c r="C24" s="16" t="n">
        <v>8</v>
      </c>
      <c r="D24" s="10" t="n">
        <v>88</v>
      </c>
      <c r="E24" s="17">
        <f>IF(C24=0,0,D24/C24)</f>
        <v/>
      </c>
      <c r="F24" s="4" t="inlineStr">
        <is>
          <t>Apprentice</t>
        </is>
      </c>
    </row>
    <row r="25">
      <c r="B25" s="4" t="inlineStr">
        <is>
          <t>Hubbard, Robert W</t>
        </is>
      </c>
      <c r="C25" s="16" t="n">
        <v>7</v>
      </c>
      <c r="D25" s="10" t="n">
        <v>224</v>
      </c>
      <c r="E25" s="17">
        <f>IF(C25=0,0,D25/C25)</f>
        <v/>
      </c>
      <c r="F25" s="4" t="inlineStr">
        <is>
          <t>Senior</t>
        </is>
      </c>
    </row>
    <row r="26">
      <c r="B26" s="4" t="inlineStr">
        <is>
          <t>Hubbard, Dustin R</t>
        </is>
      </c>
      <c r="C26" s="16" t="n">
        <v>1.5</v>
      </c>
      <c r="D26" s="10" t="n">
        <v>16.5</v>
      </c>
      <c r="E26" s="17">
        <f>IF(C26=0,0,D26/C26)</f>
        <v/>
      </c>
      <c r="F26" s="4" t="inlineStr">
        <is>
          <t>Apprentice</t>
        </is>
      </c>
    </row>
    <row r="27">
      <c r="B27" s="4" t="inlineStr">
        <is>
          <t>Lima Romero, Melvin A</t>
        </is>
      </c>
      <c r="C27" s="16" t="n">
        <v>1</v>
      </c>
      <c r="D27" s="10" t="n">
        <v>17</v>
      </c>
      <c r="E27" s="17">
        <f>IF(C27=0,0,D27/C27)</f>
        <v/>
      </c>
      <c r="F27" s="4" t="inlineStr">
        <is>
          <t>Apprentice</t>
        </is>
      </c>
    </row>
    <row r="28">
      <c r="B28" s="5" t="inlineStr">
        <is>
          <t>TOTAL (23 workers)</t>
        </is>
      </c>
      <c r="C28" s="18">
        <f>SUM(C5:C27)</f>
        <v/>
      </c>
      <c r="D28" s="12">
        <f>SUM(D5:D27)</f>
        <v/>
      </c>
      <c r="E28" s="19">
        <f>IF(C28=0,0,D28/C28)</f>
        <v/>
      </c>
    </row>
    <row r="29"/>
    <row r="30"/>
    <row r="31">
      <c r="B31" s="3" t="inlineStr">
        <is>
          <t>SOURCES</t>
        </is>
      </c>
    </row>
    <row r="32">
      <c r="B32" s="2" t="inlineStr">
        <is>
          <t>Job #2009 — Chinn Greenwood Apartments  •  GC: Chinn Construction, LLC  •  Seattle, WA</t>
        </is>
      </c>
    </row>
    <row r="33">
      <c r="B33" s="2" t="inlineStr">
        <is>
          <t>Canonical source: 2009 Job Detail Report.pdf (49 pages, OWP Sage Timberline export)</t>
        </is>
      </c>
    </row>
    <row r="34">
      <c r="B34" s="2" t="inlineStr">
        <is>
          <t>Cost codes parsed: 26</t>
        </is>
      </c>
    </row>
    <row r="35">
      <c r="B35" s="2" t="inlineStr">
        <is>
          <t>Unit count (168) and fixture count (812) from greenwood h20 stacks.xls and trim POs</t>
        </is>
      </c>
    </row>
    <row r="36">
      <c r="B36" s="2" t="inlineStr">
        <is>
          <t>3-level building + lobby: L1 (18 units), L2 (18 units), L3 (18 units), LW (amenity) × south/north stacks</t>
        </is>
      </c>
    </row>
    <row r="37">
      <c r="B37" s="2" t="inlineStr">
        <is>
          <t>Billing: GREENWOOD AGGREGATE BILLING.xlsx (11 pay apps Jul 2012 – Oct 2013)</t>
        </is>
      </c>
    </row>
    <row r="38">
      <c r="B38" s="2" t="inlineStr">
        <is>
          <t>Final contract $394,208 (original $384,900 + $9,308 COs)</t>
        </is>
      </c>
    </row>
    <row r="39">
      <c r="B39" s="2" t="inlineStr">
        <is>
          <t>Tier: Apprentice &lt;$18/hr, Mid $18–30, Senior &gt;$30</t>
        </is>
      </c>
    </row>
  </sheetData>
  <mergeCells count="10">
    <mergeCell ref="B39:F39"/>
    <mergeCell ref="B38:F38"/>
    <mergeCell ref="B2:F2"/>
    <mergeCell ref="B34:F34"/>
    <mergeCell ref="B33:F33"/>
    <mergeCell ref="B37:F37"/>
    <mergeCell ref="B31:F31"/>
    <mergeCell ref="B36:F36"/>
    <mergeCell ref="B32:F32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/>
    <row r="2">
      <c r="B2" s="1" t="inlineStr">
        <is>
          <t>Crew Analytics</t>
        </is>
      </c>
    </row>
    <row r="3"/>
    <row r="4">
      <c r="B4" s="3" t="inlineStr">
        <is>
          <t>A. TIER DISTRIBUTION</t>
        </is>
      </c>
    </row>
    <row r="5">
      <c r="B5" s="9" t="inlineStr">
        <is>
          <t>Tier</t>
        </is>
      </c>
      <c r="C5" s="9" t="inlineStr">
        <is>
          <t># Workers</t>
        </is>
      </c>
      <c r="D5" s="9" t="inlineStr">
        <is>
          <t>Hours</t>
        </is>
      </c>
      <c r="E5" s="9" t="inlineStr">
        <is>
          <t>Gross Pay</t>
        </is>
      </c>
      <c r="F5" s="9" t="inlineStr">
        <is>
          <t>% of Hours</t>
        </is>
      </c>
    </row>
    <row r="6">
      <c r="B6" s="4" t="inlineStr">
        <is>
          <t>Senior</t>
        </is>
      </c>
      <c r="C6" s="14" t="n">
        <v>3</v>
      </c>
      <c r="D6" s="16" t="n">
        <v>740</v>
      </c>
      <c r="E6" s="10" t="n">
        <v>22729.2</v>
      </c>
      <c r="F6" s="11">
        <f>IF(4159.0=0,0,D6/4159.0)</f>
        <v/>
      </c>
    </row>
    <row r="7">
      <c r="B7" s="4" t="inlineStr">
        <is>
          <t>Mid</t>
        </is>
      </c>
      <c r="C7" s="14" t="n">
        <v>9</v>
      </c>
      <c r="D7" s="16" t="n">
        <v>1699.5</v>
      </c>
      <c r="E7" s="10" t="n">
        <v>40217</v>
      </c>
      <c r="F7" s="11">
        <f>IF(4159.0=0,0,D7/4159.0)</f>
        <v/>
      </c>
    </row>
    <row r="8">
      <c r="B8" s="4" t="inlineStr">
        <is>
          <t>Apprentice</t>
        </is>
      </c>
      <c r="C8" s="14" t="n">
        <v>11</v>
      </c>
      <c r="D8" s="16" t="n">
        <v>1719.5</v>
      </c>
      <c r="E8" s="10" t="n">
        <v>23021.5</v>
      </c>
      <c r="F8" s="11">
        <f>IF(4159.0=0,0,D8/4159.0)</f>
        <v/>
      </c>
    </row>
    <row r="9"/>
    <row r="10"/>
    <row r="11">
      <c r="B11" s="3" t="inlineStr">
        <is>
          <t>B. WAGE STATISTICS</t>
        </is>
      </c>
    </row>
    <row r="12">
      <c r="B12" s="4" t="inlineStr">
        <is>
          <t>Blended Gross Wage</t>
        </is>
      </c>
      <c r="C12" s="20" t="n">
        <v>20.67028131762443</v>
      </c>
      <c r="F12" s="2" t="inlineStr">
        <is>
          <t>Payroll $ ÷ payroll hours (pre-burden)</t>
        </is>
      </c>
    </row>
    <row r="13">
      <c r="B13" s="4" t="inlineStr">
        <is>
          <t>Fully-Loaded Wage</t>
        </is>
      </c>
      <c r="C13" s="20" t="n">
        <v>29.28419331570089</v>
      </c>
      <c r="F13" s="2" t="inlineStr">
        <is>
          <t>(Labor + Burden) ÷ total hours</t>
        </is>
      </c>
    </row>
    <row r="14">
      <c r="B14" s="4" t="inlineStr">
        <is>
          <t>Burden Multiplier</t>
        </is>
      </c>
      <c r="C14" s="20" t="n">
        <v>1.416729306472082</v>
      </c>
      <c r="F14" s="2" t="inlineStr">
        <is>
          <t>Fully loaded ÷ gross wage</t>
        </is>
      </c>
    </row>
    <row r="15">
      <c r="B15" s="4" t="inlineStr">
        <is>
          <t>Min Worker Rate</t>
        </is>
      </c>
      <c r="C15" s="20" t="n">
        <v>11</v>
      </c>
      <c r="F15" s="2" t="inlineStr">
        <is>
          <t>Cheapest apprentice hour</t>
        </is>
      </c>
    </row>
    <row r="16">
      <c r="B16" s="4" t="inlineStr">
        <is>
          <t>Max Worker Rate</t>
        </is>
      </c>
      <c r="C16" s="20" t="n">
        <v>33.14146341463415</v>
      </c>
      <c r="F16" s="2" t="inlineStr">
        <is>
          <t>Most expensive foreman hour</t>
        </is>
      </c>
    </row>
    <row r="17">
      <c r="B17" s="4" t="inlineStr">
        <is>
          <t>Avg Hours / Worker</t>
        </is>
      </c>
      <c r="C17" s="20" t="n">
        <v>180.8260869565217</v>
      </c>
      <c r="F17" s="2" t="inlineStr">
        <is>
          <t>Crew continuity indicator</t>
        </is>
      </c>
    </row>
    <row r="18"/>
    <row r="19"/>
    <row r="20">
      <c r="B20" s="3" t="inlineStr">
        <is>
          <t>SOURCES</t>
        </is>
      </c>
    </row>
    <row r="21">
      <c r="B21" s="2" t="inlineStr">
        <is>
          <t>Job #2009 — Chinn Greenwood Apartments  •  GC: Chinn Construction, LLC  •  Seattle, WA</t>
        </is>
      </c>
    </row>
    <row r="22">
      <c r="B22" s="2" t="inlineStr">
        <is>
          <t>Canonical source: 2009 Job Detail Report.pdf (49 pages, OWP Sage Timberline export)</t>
        </is>
      </c>
    </row>
    <row r="23">
      <c r="B23" s="2" t="inlineStr">
        <is>
          <t>Cost codes parsed: 26</t>
        </is>
      </c>
    </row>
    <row r="24">
      <c r="B24" s="2" t="inlineStr">
        <is>
          <t>Unit count (168) and fixture count (812) from greenwood h20 stacks.xls and trim POs</t>
        </is>
      </c>
    </row>
    <row r="25">
      <c r="B25" s="2" t="inlineStr">
        <is>
          <t>3-level building + lobby: L1 (18 units), L2 (18 units), L3 (18 units), LW (amenity) × south/north stacks</t>
        </is>
      </c>
    </row>
    <row r="26">
      <c r="B26" s="2" t="inlineStr">
        <is>
          <t>Billing: GREENWOOD AGGREGATE BILLING.xlsx (11 pay apps Jul 2012 – Oct 2013)</t>
        </is>
      </c>
    </row>
    <row r="27">
      <c r="B27" s="2" t="inlineStr">
        <is>
          <t>Final contract $394,208 (original $384,900 + $9,308 COs)</t>
        </is>
      </c>
    </row>
  </sheetData>
  <mergeCells count="11">
    <mergeCell ref="B4:F4"/>
    <mergeCell ref="B21:F21"/>
    <mergeCell ref="B24:F24"/>
    <mergeCell ref="B2:F2"/>
    <mergeCell ref="B20:F20"/>
    <mergeCell ref="B11:F11"/>
    <mergeCell ref="B25:F25"/>
    <mergeCell ref="B23:F23"/>
    <mergeCell ref="B22:F22"/>
    <mergeCell ref="B26:F26"/>
    <mergeCell ref="B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Productivity — Phase &amp; Unit Metrics</t>
        </is>
      </c>
    </row>
    <row r="3"/>
    <row r="4">
      <c r="B4" s="3" t="inlineStr">
        <is>
          <t>A. LABOR HOURS BY PHASE</t>
        </is>
      </c>
    </row>
    <row r="5">
      <c r="B5" s="9" t="inlineStr">
        <is>
          <t>Phase</t>
        </is>
      </c>
      <c r="C5" s="9" t="inlineStr">
        <is>
          <t>Labor Code</t>
        </is>
      </c>
      <c r="D5" s="9" t="inlineStr">
        <is>
          <t>Hours</t>
        </is>
      </c>
      <c r="E5" s="9" t="inlineStr">
        <is>
          <t>% of Total</t>
        </is>
      </c>
      <c r="F5" s="9" t="inlineStr">
        <is>
          <t>Hours / Unit</t>
        </is>
      </c>
    </row>
    <row r="6">
      <c r="B6" s="4" t="inlineStr">
        <is>
          <t>DS &amp; RD</t>
        </is>
      </c>
      <c r="C6" s="4" t="inlineStr">
        <is>
          <t>011</t>
        </is>
      </c>
      <c r="D6" s="16" t="n">
        <v>76</v>
      </c>
      <c r="E6" s="11">
        <f>IF(3928.5=0,0,D6/3928.5)</f>
        <v/>
      </c>
      <c r="F6" s="21">
        <f>IF(168=0,0,D6/168)</f>
        <v/>
      </c>
    </row>
    <row r="7">
      <c r="B7" s="4" t="inlineStr">
        <is>
          <t>Supervision</t>
        </is>
      </c>
      <c r="C7" s="4" t="inlineStr">
        <is>
          <t>100</t>
        </is>
      </c>
      <c r="D7" s="16" t="n">
        <v>90</v>
      </c>
      <c r="E7" s="11">
        <f>IF(3928.5=0,0,D7/3928.5)</f>
        <v/>
      </c>
      <c r="F7" s="21">
        <f>IF(168=0,0,D7/168)</f>
        <v/>
      </c>
    </row>
    <row r="8">
      <c r="B8" s="4" t="inlineStr">
        <is>
          <t>Takeoff &amp; Purchasing</t>
        </is>
      </c>
      <c r="C8" s="4" t="inlineStr">
        <is>
          <t>101</t>
        </is>
      </c>
      <c r="D8" s="16" t="n">
        <v>40</v>
      </c>
      <c r="E8" s="11">
        <f>IF(3928.5=0,0,D8/3928.5)</f>
        <v/>
      </c>
      <c r="F8" s="21">
        <f>IF(168=0,0,D8/168)</f>
        <v/>
      </c>
    </row>
    <row r="9">
      <c r="B9" s="4" t="inlineStr">
        <is>
          <t>Underground</t>
        </is>
      </c>
      <c r="C9" s="4" t="inlineStr">
        <is>
          <t>110</t>
        </is>
      </c>
      <c r="D9" s="16" t="n">
        <v>213.5</v>
      </c>
      <c r="E9" s="11">
        <f>IF(3928.5=0,0,D9/3928.5)</f>
        <v/>
      </c>
      <c r="F9" s="21">
        <f>IF(168=0,0,D9/168)</f>
        <v/>
      </c>
    </row>
    <row r="10">
      <c r="B10" s="4" t="inlineStr">
        <is>
          <t>Garage</t>
        </is>
      </c>
      <c r="C10" s="4" t="inlineStr">
        <is>
          <t>111</t>
        </is>
      </c>
      <c r="D10" s="16" t="n">
        <v>488</v>
      </c>
      <c r="E10" s="11">
        <f>IF(3928.5=0,0,D10/3928.5)</f>
        <v/>
      </c>
      <c r="F10" s="21">
        <f>IF(168=0,0,D10/168)</f>
        <v/>
      </c>
    </row>
    <row r="11">
      <c r="B11" s="4" t="inlineStr">
        <is>
          <t>Canout</t>
        </is>
      </c>
      <c r="C11" s="4" t="inlineStr">
        <is>
          <t>112</t>
        </is>
      </c>
      <c r="D11" s="16" t="n">
        <v>69.5</v>
      </c>
      <c r="E11" s="11">
        <f>IF(3928.5=0,0,D11/3928.5)</f>
        <v/>
      </c>
      <c r="F11" s="21">
        <f>IF(168=0,0,D11/168)</f>
        <v/>
      </c>
    </row>
    <row r="12">
      <c r="B12" s="4" t="inlineStr">
        <is>
          <t>Roughin</t>
        </is>
      </c>
      <c r="C12" s="4" t="inlineStr">
        <is>
          <t>120</t>
        </is>
      </c>
      <c r="D12" s="16" t="n">
        <v>2311</v>
      </c>
      <c r="E12" s="11">
        <f>IF(3928.5=0,0,D12/3928.5)</f>
        <v/>
      </c>
      <c r="F12" s="21">
        <f>IF(168=0,0,D12/168)</f>
        <v/>
      </c>
    </row>
    <row r="13">
      <c r="B13" s="4" t="inlineStr">
        <is>
          <t>Finish</t>
        </is>
      </c>
      <c r="C13" s="4" t="inlineStr">
        <is>
          <t>130</t>
        </is>
      </c>
      <c r="D13" s="16" t="n">
        <v>557.5</v>
      </c>
      <c r="E13" s="11">
        <f>IF(3928.5=0,0,D13/3928.5)</f>
        <v/>
      </c>
      <c r="F13" s="21">
        <f>IF(168=0,0,D13/168)</f>
        <v/>
      </c>
    </row>
    <row r="14">
      <c r="B14" s="4" t="inlineStr">
        <is>
          <t>Water Main / Insulation</t>
        </is>
      </c>
      <c r="C14" s="4" t="inlineStr">
        <is>
          <t>141</t>
        </is>
      </c>
      <c r="D14" s="16" t="n">
        <v>16</v>
      </c>
      <c r="E14" s="11">
        <f>IF(3928.5=0,0,D14/3928.5)</f>
        <v/>
      </c>
      <c r="F14" s="21">
        <f>IF(168=0,0,D14/168)</f>
        <v/>
      </c>
    </row>
    <row r="15">
      <c r="B15" s="4" t="inlineStr">
        <is>
          <t>Mech Room</t>
        </is>
      </c>
      <c r="C15" s="4" t="inlineStr">
        <is>
          <t>142</t>
        </is>
      </c>
      <c r="D15" s="16" t="n">
        <v>63</v>
      </c>
      <c r="E15" s="11">
        <f>IF(3928.5=0,0,D15/3928.5)</f>
        <v/>
      </c>
      <c r="F15" s="21">
        <f>IF(168=0,0,D15/168)</f>
        <v/>
      </c>
    </row>
    <row r="16">
      <c r="B16" s="4" t="inlineStr">
        <is>
          <t>Tub / Shower</t>
        </is>
      </c>
      <c r="C16" s="4" t="inlineStr">
        <is>
          <t>145</t>
        </is>
      </c>
      <c r="D16" s="16" t="n">
        <v>4</v>
      </c>
      <c r="E16" s="11">
        <f>IF(3928.5=0,0,D16/3928.5)</f>
        <v/>
      </c>
      <c r="F16" s="21">
        <f>IF(168=0,0,D16/168)</f>
        <v/>
      </c>
    </row>
    <row r="17">
      <c r="B17" s="5" t="inlineStr">
        <is>
          <t>TOTAL</t>
        </is>
      </c>
      <c r="D17" s="18">
        <f>SUM(D6:D16)</f>
        <v/>
      </c>
      <c r="E17" s="13" t="n">
        <v>1</v>
      </c>
      <c r="F17" s="20">
        <f>IF(168=0,0,D17/168)</f>
        <v/>
      </c>
    </row>
    <row r="18"/>
    <row r="19"/>
    <row r="20">
      <c r="B20" s="3" t="inlineStr">
        <is>
          <t>B. PRODUCTIVITY RATIOS</t>
        </is>
      </c>
    </row>
    <row r="21">
      <c r="B21" s="9" t="inlineStr">
        <is>
          <t>Metric</t>
        </is>
      </c>
      <c r="C21" s="9" t="inlineStr">
        <is>
          <t>Value</t>
        </is>
      </c>
      <c r="D21" s="9" t="inlineStr">
        <is>
          <t>Units</t>
        </is>
      </c>
      <c r="E21" s="9" t="inlineStr"/>
      <c r="F21" s="9" t="inlineStr">
        <is>
          <t>Notes</t>
        </is>
      </c>
    </row>
    <row r="22">
      <c r="B22" s="4" t="inlineStr">
        <is>
          <t>Hours / Unit</t>
        </is>
      </c>
      <c r="C22" s="22" t="n">
        <v>23.38392857142857</v>
      </c>
      <c r="D22" s="4" t="inlineStr">
        <is>
          <t>hrs</t>
        </is>
      </c>
      <c r="F22" s="2" t="inlineStr">
        <is>
          <t>Labor hours per residential unit</t>
        </is>
      </c>
    </row>
    <row r="23">
      <c r="B23" s="4" t="inlineStr">
        <is>
          <t>Hours / Fixture</t>
        </is>
      </c>
      <c r="C23" s="22" t="n">
        <v>4.838054187192118</v>
      </c>
      <c r="D23" s="4" t="inlineStr">
        <is>
          <t>hrs</t>
        </is>
      </c>
      <c r="F23" s="2" t="inlineStr">
        <is>
          <t>Labor hours per plumbing fixture</t>
        </is>
      </c>
    </row>
    <row r="24">
      <c r="B24" s="4" t="inlineStr">
        <is>
          <t>Revenue / Hour</t>
        </is>
      </c>
      <c r="C24" s="22" t="n">
        <v>100.3456790123457</v>
      </c>
      <c r="D24" s="4" t="inlineStr">
        <is>
          <t>$</t>
        </is>
      </c>
      <c r="F24" s="2" t="inlineStr">
        <is>
          <t>Top-line per labor hour</t>
        </is>
      </c>
    </row>
    <row r="25">
      <c r="B25" s="4" t="inlineStr">
        <is>
          <t>Profit / Hour</t>
        </is>
      </c>
      <c r="C25" s="22" t="n">
        <v>28.97801450935472</v>
      </c>
      <c r="D25" s="4" t="inlineStr">
        <is>
          <t>$</t>
        </is>
      </c>
      <c r="F25" s="2" t="inlineStr">
        <is>
          <t>Bottom-line per labor hour</t>
        </is>
      </c>
    </row>
    <row r="26">
      <c r="B26" s="4" t="inlineStr">
        <is>
          <t>Units / Month</t>
        </is>
      </c>
      <c r="C26" s="22" t="n">
        <v>10.5</v>
      </c>
      <c r="D26" s="4" t="inlineStr">
        <is>
          <t>units</t>
        </is>
      </c>
      <c r="F26" s="2" t="inlineStr">
        <is>
          <t>Build velocity</t>
        </is>
      </c>
    </row>
    <row r="27">
      <c r="B27" s="4" t="inlineStr">
        <is>
          <t>Fixtures / Month</t>
        </is>
      </c>
      <c r="C27" s="22" t="n">
        <v>50.75</v>
      </c>
      <c r="D27" s="4" t="inlineStr">
        <is>
          <t>fix</t>
        </is>
      </c>
      <c r="F27" s="2" t="inlineStr">
        <is>
          <t>Fixture install pace</t>
        </is>
      </c>
    </row>
    <row r="28">
      <c r="B28" s="4" t="inlineStr">
        <is>
          <t>Hours / Month</t>
        </is>
      </c>
      <c r="C28" s="22" t="n">
        <v>245.53125</v>
      </c>
      <c r="D28" s="4" t="inlineStr">
        <is>
          <t>hrs</t>
        </is>
      </c>
      <c r="F28" s="2" t="inlineStr">
        <is>
          <t>Monthly labor burn</t>
        </is>
      </c>
    </row>
    <row r="29">
      <c r="B29" s="4" t="inlineStr">
        <is>
          <t>Revenue / Month</t>
        </is>
      </c>
      <c r="C29" s="22" t="n">
        <v>24638</v>
      </c>
      <c r="D29" s="4" t="inlineStr">
        <is>
          <t>$</t>
        </is>
      </c>
      <c r="F29" s="2" t="inlineStr">
        <is>
          <t>Monthly billing rate</t>
        </is>
      </c>
    </row>
    <row r="30"/>
    <row r="31"/>
    <row r="32">
      <c r="B32" s="3" t="inlineStr">
        <is>
          <t>SOURCES</t>
        </is>
      </c>
    </row>
    <row r="33">
      <c r="B33" s="2" t="inlineStr">
        <is>
          <t>Job #2009 — Chinn Greenwood Apartments  •  GC: Chinn Construction, LLC  •  Seattle, WA</t>
        </is>
      </c>
    </row>
    <row r="34">
      <c r="B34" s="2" t="inlineStr">
        <is>
          <t>Canonical source: 2009 Job Detail Report.pdf (49 pages, OWP Sage Timberline export)</t>
        </is>
      </c>
    </row>
    <row r="35">
      <c r="B35" s="2" t="inlineStr">
        <is>
          <t>Cost codes parsed: 26</t>
        </is>
      </c>
    </row>
    <row r="36">
      <c r="B36" s="2" t="inlineStr">
        <is>
          <t>Unit count (168) and fixture count (812) from greenwood h20 stacks.xls and trim POs</t>
        </is>
      </c>
    </row>
    <row r="37">
      <c r="B37" s="2" t="inlineStr">
        <is>
          <t>3-level building + lobby: L1 (18 units), L2 (18 units), L3 (18 units), LW (amenity) × south/north stacks</t>
        </is>
      </c>
    </row>
    <row r="38">
      <c r="B38" s="2" t="inlineStr">
        <is>
          <t>Billing: GREENWOOD AGGREGATE BILLING.xlsx (11 pay apps Jul 2012 – Oct 2013)</t>
        </is>
      </c>
    </row>
    <row r="39">
      <c r="B39" s="2" t="inlineStr">
        <is>
          <t>Final contract $394,208 (original $384,900 + $9,308 COs)</t>
        </is>
      </c>
    </row>
  </sheetData>
  <mergeCells count="11">
    <mergeCell ref="B38:G38"/>
    <mergeCell ref="B2:G2"/>
    <mergeCell ref="B20:G20"/>
    <mergeCell ref="B34:G34"/>
    <mergeCell ref="B39:G39"/>
    <mergeCell ref="B36:G36"/>
    <mergeCell ref="B37:G37"/>
    <mergeCell ref="B32:G32"/>
    <mergeCell ref="B4:G4"/>
    <mergeCell ref="B35:G35"/>
    <mergeCell ref="B33:G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/>
    <row r="2">
      <c r="B2" s="1" t="inlineStr">
        <is>
          <t>Purchase Order Commitments</t>
        </is>
      </c>
    </row>
    <row r="3">
      <c r="B3" s="2" t="inlineStr">
        <is>
          <t>7 unique POs  •  PO amounts not dollar-parsed from individual PDFs  •  JDR material $151,064</t>
        </is>
      </c>
    </row>
    <row r="4"/>
    <row r="5">
      <c r="B5" s="3" t="inlineStr">
        <is>
          <t>A. COMMITMENTS BY COST CODE</t>
        </is>
      </c>
    </row>
    <row r="6">
      <c r="B6" s="9" t="inlineStr">
        <is>
          <t>OWP Code</t>
        </is>
      </c>
      <c r="C6" s="9" t="inlineStr">
        <is>
          <t>Description → JDR</t>
        </is>
      </c>
      <c r="D6" s="9" t="inlineStr">
        <is>
          <t>PO Count</t>
        </is>
      </c>
      <c r="E6" s="9" t="inlineStr">
        <is>
          <t>% of POs</t>
        </is>
      </c>
      <c r="F6" s="9" t="inlineStr">
        <is>
          <t>JDR Material</t>
        </is>
      </c>
    </row>
    <row r="7">
      <c r="B7" s="4" t="inlineStr">
        <is>
          <t>32</t>
        </is>
      </c>
      <c r="C7" s="4" t="inlineStr">
        <is>
          <t>130+230 Trim/Finish</t>
        </is>
      </c>
      <c r="D7" s="14" t="n">
        <v>5</v>
      </c>
      <c r="E7" s="11">
        <f>IF(7=0,0,D7/7)</f>
        <v/>
      </c>
    </row>
    <row r="8">
      <c r="B8" s="4" t="inlineStr">
        <is>
          <t>OTHER</t>
        </is>
      </c>
      <c r="C8" s="4" t="inlineStr">
        <is>
          <t>Unclassified</t>
        </is>
      </c>
      <c r="D8" s="14" t="n">
        <v>2</v>
      </c>
      <c r="E8" s="11">
        <f>IF(7=0,0,D8/7)</f>
        <v/>
      </c>
    </row>
    <row r="9">
      <c r="B9" s="5" t="inlineStr">
        <is>
          <t>TOTAL</t>
        </is>
      </c>
      <c r="D9" s="15">
        <f>SUM(D7:D8)</f>
        <v/>
      </c>
      <c r="E9" s="13" t="n">
        <v>1</v>
      </c>
      <c r="F9" s="12" t="n">
        <v>151064.39</v>
      </c>
    </row>
    <row r="10"/>
    <row r="11"/>
    <row r="12">
      <c r="B12" s="3" t="inlineStr">
        <is>
          <t>B. COMMITMENTS BY VENDOR</t>
        </is>
      </c>
    </row>
    <row r="13">
      <c r="B13" s="9" t="inlineStr">
        <is>
          <t>Vendor</t>
        </is>
      </c>
      <c r="C13" s="9" t="inlineStr">
        <is>
          <t>PO Count</t>
        </is>
      </c>
      <c r="D13" s="9" t="inlineStr">
        <is>
          <t>% of POs</t>
        </is>
      </c>
    </row>
    <row r="14">
      <c r="B14" s="4" t="inlineStr">
        <is>
          <t>OTHER</t>
        </is>
      </c>
      <c r="C14" s="14" t="n">
        <v>6</v>
      </c>
      <c r="D14" s="11">
        <f>IF(7=0,0,C14/7)</f>
        <v/>
      </c>
    </row>
    <row r="15">
      <c r="B15" s="4" t="inlineStr">
        <is>
          <t>FEI</t>
        </is>
      </c>
      <c r="C15" s="14" t="n">
        <v>1</v>
      </c>
      <c r="D15" s="11">
        <f>IF(7=0,0,C15/7)</f>
        <v/>
      </c>
    </row>
    <row r="16"/>
    <row r="17"/>
    <row r="18">
      <c r="B18" s="3" t="inlineStr">
        <is>
          <t>C. PO COVERAGE NOTES</t>
        </is>
      </c>
    </row>
    <row r="19">
      <c r="B19" s="4" t="inlineStr">
        <is>
          <t>Total Material Actual (JDR)</t>
        </is>
      </c>
      <c r="E19" s="10" t="n">
        <v>151064.39</v>
      </c>
    </row>
    <row r="20">
      <c r="B20" s="4" t="inlineStr">
        <is>
          <t>Unique PO Count</t>
        </is>
      </c>
      <c r="E20" s="14" t="n">
        <v>7</v>
      </c>
    </row>
    <row r="21">
      <c r="B21" s="2" t="inlineStr">
        <is>
          <t xml:space="preserve">  (Dollar PO commitment not extracted — requires per-PDF parse)</t>
        </is>
      </c>
    </row>
    <row r="22"/>
    <row r="23"/>
    <row r="24">
      <c r="B24" s="3" t="inlineStr">
        <is>
          <t>SOURCES</t>
        </is>
      </c>
    </row>
    <row r="25">
      <c r="B25" s="2" t="inlineStr">
        <is>
          <t>Job #2009 — Chinn Greenwood Apartments  •  GC: Chinn Construction, LLC  •  Seattle, WA</t>
        </is>
      </c>
    </row>
    <row r="26">
      <c r="B26" s="2" t="inlineStr">
        <is>
          <t>Canonical source: 2009 Job Detail Report.pdf (49 pages, OWP Sage Timberline export)</t>
        </is>
      </c>
    </row>
    <row r="27">
      <c r="B27" s="2" t="inlineStr">
        <is>
          <t>Cost codes parsed: 26</t>
        </is>
      </c>
    </row>
    <row r="28">
      <c r="B28" s="2" t="inlineStr">
        <is>
          <t>Unit count (168) and fixture count (812) from greenwood h20 stacks.xls and trim POs</t>
        </is>
      </c>
    </row>
    <row r="29">
      <c r="B29" s="2" t="inlineStr">
        <is>
          <t>3-level building + lobby: L1 (18 units), L2 (18 units), L3 (18 units), LW (amenity) × south/north stacks</t>
        </is>
      </c>
    </row>
    <row r="30">
      <c r="B30" s="2" t="inlineStr">
        <is>
          <t>Billing: GREENWOOD AGGREGATE BILLING.xlsx (11 pay apps Jul 2012 – Oct 2013)</t>
        </is>
      </c>
    </row>
    <row r="31">
      <c r="B31" s="2" t="inlineStr">
        <is>
          <t>Final contract $394,208 (original $384,900 + $9,308 COs)</t>
        </is>
      </c>
    </row>
    <row r="32">
      <c r="B32" s="2" t="inlineStr">
        <is>
          <t>PO count is deduplicated by 5-digit PO number extracted from filenames</t>
        </is>
      </c>
    </row>
    <row r="33">
      <c r="B33" s="2" t="inlineStr">
        <is>
          <t>Vendor/code classification is heuristic (filename keyword match)</t>
        </is>
      </c>
    </row>
  </sheetData>
  <mergeCells count="15">
    <mergeCell ref="B3:G3"/>
    <mergeCell ref="B2:G2"/>
    <mergeCell ref="B24:G24"/>
    <mergeCell ref="B28:G28"/>
    <mergeCell ref="B5:G5"/>
    <mergeCell ref="B31:G31"/>
    <mergeCell ref="B27:G27"/>
    <mergeCell ref="B32:G32"/>
    <mergeCell ref="B26:G26"/>
    <mergeCell ref="B18:G18"/>
    <mergeCell ref="B12:G12"/>
    <mergeCell ref="B30:G30"/>
    <mergeCell ref="B29:G29"/>
    <mergeCell ref="B33:G33"/>
    <mergeCell ref="B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>
      <c r="B2" s="1" t="inlineStr">
        <is>
          <t>Revenue &amp; Billing Reconciliation</t>
        </is>
      </c>
    </row>
    <row r="3">
      <c r="B3" s="2" t="inlineStr">
        <is>
          <t>11 pay applications  •  Jul 2012 – Oct 2013  •  $394,208 final</t>
        </is>
      </c>
    </row>
    <row r="4"/>
    <row r="5">
      <c r="B5" s="3" t="inlineStr">
        <is>
          <t>A. CONTRACT SUMMARY</t>
        </is>
      </c>
    </row>
    <row r="6">
      <c r="B6" s="4" t="inlineStr">
        <is>
          <t>Original Contract</t>
        </is>
      </c>
      <c r="G6" s="10" t="n">
        <v>384900</v>
      </c>
    </row>
    <row r="7">
      <c r="B7" s="4" t="inlineStr">
        <is>
          <t>Change Orders (net)</t>
        </is>
      </c>
      <c r="G7" s="10" t="n">
        <v>9308</v>
      </c>
    </row>
    <row r="8">
      <c r="B8" s="4" t="inlineStr">
        <is>
          <t>Final Contract Value</t>
        </is>
      </c>
      <c r="G8" s="10" t="n">
        <v>394208</v>
      </c>
    </row>
    <row r="9">
      <c r="B9" s="4" t="inlineStr">
        <is>
          <t>Retainage (5%)</t>
        </is>
      </c>
      <c r="G9" s="10" t="n">
        <v>19710</v>
      </c>
    </row>
    <row r="10">
      <c r="B10" s="4" t="inlineStr">
        <is>
          <t>Net Paid to OWP</t>
        </is>
      </c>
      <c r="G10" s="10" t="n">
        <v>374498</v>
      </c>
    </row>
    <row r="11"/>
    <row r="12">
      <c r="B12" s="3" t="inlineStr">
        <is>
          <t>B. PAY APPLICATION TIMELINE</t>
        </is>
      </c>
    </row>
    <row r="13">
      <c r="B13" s="9" t="inlineStr">
        <is>
          <t>App#</t>
        </is>
      </c>
      <c r="C13" s="9" t="inlineStr">
        <is>
          <t>Date</t>
        </is>
      </c>
      <c r="D13" s="9" t="inlineStr">
        <is>
          <t>Period Billing</t>
        </is>
      </c>
      <c r="E13" s="9" t="inlineStr">
        <is>
          <t>Retention</t>
        </is>
      </c>
      <c r="F13" s="9" t="inlineStr">
        <is>
          <t>Net This Period</t>
        </is>
      </c>
      <c r="G13" s="9" t="inlineStr">
        <is>
          <t>Aggregate</t>
        </is>
      </c>
      <c r="H13" s="9" t="inlineStr">
        <is>
          <t>% Complete</t>
        </is>
      </c>
    </row>
    <row r="14">
      <c r="B14" s="4" t="n">
        <v>1</v>
      </c>
      <c r="C14" s="4" t="inlineStr">
        <is>
          <t>2012-07-20</t>
        </is>
      </c>
      <c r="D14" s="10" t="n">
        <v>12200</v>
      </c>
      <c r="E14" s="10" t="n">
        <v>610</v>
      </c>
      <c r="F14" s="10">
        <f>D14-E14</f>
        <v/>
      </c>
      <c r="G14" s="10" t="n">
        <v>11590</v>
      </c>
      <c r="H14" s="11">
        <f>IF(394208.0=0,0,G14/394208.0)</f>
        <v/>
      </c>
    </row>
    <row r="15">
      <c r="B15" s="4" t="n">
        <v>2</v>
      </c>
      <c r="C15" s="4" t="inlineStr">
        <is>
          <t>2012-08-20</t>
        </is>
      </c>
      <c r="D15" s="10" t="n">
        <v>39500</v>
      </c>
      <c r="E15" s="10" t="n">
        <v>1975</v>
      </c>
      <c r="F15" s="10">
        <f>D15-E15</f>
        <v/>
      </c>
      <c r="G15" s="10" t="n">
        <v>49115</v>
      </c>
      <c r="H15" s="11">
        <f>IF(394208.0=0,0,G15/394208.0)</f>
        <v/>
      </c>
    </row>
    <row r="16">
      <c r="B16" s="4" t="n">
        <v>3</v>
      </c>
      <c r="C16" s="4" t="inlineStr">
        <is>
          <t>2012-09-20</t>
        </is>
      </c>
      <c r="D16" s="10" t="n">
        <v>8300</v>
      </c>
      <c r="E16" s="10" t="n">
        <v>415</v>
      </c>
      <c r="F16" s="10">
        <f>D16-E16</f>
        <v/>
      </c>
      <c r="G16" s="10" t="n">
        <v>57000</v>
      </c>
      <c r="H16" s="11">
        <f>IF(394208.0=0,0,G16/394208.0)</f>
        <v/>
      </c>
    </row>
    <row r="17">
      <c r="B17" s="4" t="n">
        <v>4</v>
      </c>
      <c r="C17" s="4" t="inlineStr">
        <is>
          <t>2012-10-20</t>
        </is>
      </c>
      <c r="D17" s="10" t="n">
        <v>88500</v>
      </c>
      <c r="E17" s="10" t="n">
        <v>4425</v>
      </c>
      <c r="F17" s="10">
        <f>D17-E17</f>
        <v/>
      </c>
      <c r="G17" s="10" t="n">
        <v>141075</v>
      </c>
      <c r="H17" s="11">
        <f>IF(394208.0=0,0,G17/394208.0)</f>
        <v/>
      </c>
    </row>
    <row r="18">
      <c r="B18" s="4" t="n">
        <v>5</v>
      </c>
      <c r="C18" s="4" t="inlineStr">
        <is>
          <t>2012-11-15</t>
        </is>
      </c>
      <c r="D18" s="10" t="n">
        <v>112480</v>
      </c>
      <c r="E18" s="10" t="n">
        <v>5624</v>
      </c>
      <c r="F18" s="10">
        <f>D18-E18</f>
        <v/>
      </c>
      <c r="G18" s="10" t="n">
        <v>247931</v>
      </c>
      <c r="H18" s="11">
        <f>IF(394208.0=0,0,G18/394208.0)</f>
        <v/>
      </c>
    </row>
    <row r="19">
      <c r="B19" s="4" t="n">
        <v>6</v>
      </c>
      <c r="C19" s="4" t="inlineStr">
        <is>
          <t>2012-12-20</t>
        </is>
      </c>
      <c r="D19" s="10" t="n">
        <v>13250</v>
      </c>
      <c r="E19" s="10" t="n">
        <v>662.5</v>
      </c>
      <c r="F19" s="10">
        <f>D19-E19</f>
        <v/>
      </c>
      <c r="G19" s="10" t="n">
        <v>260518.5</v>
      </c>
      <c r="H19" s="11">
        <f>IF(394208.0=0,0,G19/394208.0)</f>
        <v/>
      </c>
    </row>
    <row r="20">
      <c r="B20" s="4" t="n">
        <v>7</v>
      </c>
      <c r="C20" s="4" t="inlineStr">
        <is>
          <t>2013-02-19</t>
        </is>
      </c>
      <c r="D20" s="10" t="n">
        <v>28485</v>
      </c>
      <c r="E20" s="10" t="n">
        <v>1424.25</v>
      </c>
      <c r="F20" s="10">
        <f>D20-E20</f>
        <v/>
      </c>
      <c r="G20" s="10" t="n">
        <v>287579.25</v>
      </c>
      <c r="H20" s="11">
        <f>IF(394208.0=0,0,G20/394208.0)</f>
        <v/>
      </c>
    </row>
    <row r="21">
      <c r="B21" s="4" t="n">
        <v>8</v>
      </c>
      <c r="C21" s="4" t="inlineStr">
        <is>
          <t>2013-03-19</t>
        </is>
      </c>
      <c r="D21" s="10" t="n">
        <v>6400</v>
      </c>
      <c r="E21" s="10" t="n">
        <v>320</v>
      </c>
      <c r="F21" s="10">
        <f>D21-E21</f>
        <v/>
      </c>
      <c r="G21" s="10" t="n">
        <v>293659.25</v>
      </c>
      <c r="H21" s="11">
        <f>IF(394208.0=0,0,G21/394208.0)</f>
        <v/>
      </c>
    </row>
    <row r="22">
      <c r="B22" s="4" t="n">
        <v>9</v>
      </c>
      <c r="C22" s="4" t="inlineStr">
        <is>
          <t>2013-04-18</t>
        </is>
      </c>
      <c r="D22" s="10" t="n">
        <v>48175</v>
      </c>
      <c r="E22" s="10" t="n">
        <v>2408.75</v>
      </c>
      <c r="F22" s="10">
        <f>D22-E22</f>
        <v/>
      </c>
      <c r="G22" s="10" t="n">
        <v>339425.5</v>
      </c>
      <c r="H22" s="11">
        <f>IF(394208.0=0,0,G22/394208.0)</f>
        <v/>
      </c>
    </row>
    <row r="23">
      <c r="B23" s="4" t="n">
        <v>10</v>
      </c>
      <c r="C23" s="4" t="inlineStr">
        <is>
          <t>2013-05-19</t>
        </is>
      </c>
      <c r="D23" s="10" t="n">
        <v>35494</v>
      </c>
      <c r="E23" s="10" t="n">
        <v>1774.7</v>
      </c>
      <c r="F23" s="10">
        <f>D23-E23</f>
        <v/>
      </c>
      <c r="G23" s="10" t="n">
        <v>373144.8</v>
      </c>
      <c r="H23" s="11">
        <f>IF(394208.0=0,0,G23/394208.0)</f>
        <v/>
      </c>
    </row>
    <row r="24">
      <c r="B24" s="4" t="n">
        <v>11</v>
      </c>
      <c r="C24" s="4" t="inlineStr">
        <is>
          <t>2013-08-13</t>
        </is>
      </c>
      <c r="D24" s="10" t="n">
        <v>1424</v>
      </c>
      <c r="E24" s="10" t="n">
        <v>71.2</v>
      </c>
      <c r="F24" s="10">
        <f>D24-E24</f>
        <v/>
      </c>
      <c r="G24" s="10" t="n">
        <v>374497.6</v>
      </c>
      <c r="H24" s="11">
        <f>IF(394208.0=0,0,G24/394208.0)</f>
        <v/>
      </c>
    </row>
    <row r="25">
      <c r="B25" s="4" t="n">
        <v>13</v>
      </c>
      <c r="C25" s="4" t="inlineStr">
        <is>
          <t>2013-10-24</t>
        </is>
      </c>
      <c r="D25" s="10" t="n">
        <v>19710.4</v>
      </c>
      <c r="E25" s="10" t="n">
        <v>0</v>
      </c>
      <c r="F25" s="10">
        <f>D25-E25</f>
        <v/>
      </c>
      <c r="G25" s="10" t="n">
        <v>392208</v>
      </c>
      <c r="H25" s="11">
        <f>IF(394208.0=0,0,G25/394208.0)</f>
        <v/>
      </c>
    </row>
    <row r="26"/>
    <row r="27">
      <c r="B27" s="3" t="inlineStr">
        <is>
          <t>C. BILLING ↔ JDR TIE-OUT</t>
        </is>
      </c>
    </row>
    <row r="28">
      <c r="B28" s="9" t="inlineStr">
        <is>
          <t>Metric</t>
        </is>
      </c>
      <c r="C28" s="9" t="inlineStr">
        <is>
          <t>SOV</t>
        </is>
      </c>
      <c r="D28" s="9" t="inlineStr">
        <is>
          <t>JDR</t>
        </is>
      </c>
      <c r="E28" s="9" t="inlineStr">
        <is>
          <t>Δ</t>
        </is>
      </c>
      <c r="F28" s="9" t="inlineStr">
        <is>
          <t>Status</t>
        </is>
      </c>
    </row>
    <row r="29">
      <c r="B29" s="4" t="inlineStr">
        <is>
          <t>Final Contract Value</t>
        </is>
      </c>
      <c r="C29" s="10" t="n">
        <v>394208</v>
      </c>
      <c r="D29" s="10" t="n">
        <v>394208</v>
      </c>
      <c r="E29" s="10">
        <f>C29-D29</f>
        <v/>
      </c>
      <c r="F29" s="5">
        <f>IF(ABS(E29)&lt;=1,"TIES",IF(ABS(E29)&lt;=ABS(D29)*0.05,"WITHIN","OFF"))</f>
        <v/>
      </c>
    </row>
    <row r="30">
      <c r="B30" s="4" t="inlineStr">
        <is>
          <t>Retainage</t>
        </is>
      </c>
      <c r="C30" s="10" t="n">
        <v>19710</v>
      </c>
      <c r="D30" s="10" t="n">
        <v>19710</v>
      </c>
      <c r="E30" s="10">
        <f>C30-D30</f>
        <v/>
      </c>
      <c r="F30" s="5">
        <f>IF(ABS(E30)&lt;=1,"TIES",IF(ABS(E30)&lt;=ABS(D30)*0.05,"WITHIN","OFF"))</f>
        <v/>
      </c>
    </row>
    <row r="31">
      <c r="B31" s="4" t="inlineStr">
        <is>
          <t>Direct Cost</t>
        </is>
      </c>
      <c r="C31" s="10" t="n">
        <v>280368</v>
      </c>
      <c r="D31" s="10" t="n">
        <v>280368</v>
      </c>
      <c r="E31" s="10">
        <f>C31-D31</f>
        <v/>
      </c>
      <c r="F31" s="5">
        <f>IF(ABS(E31)&lt;=1,"TIES",IF(ABS(E31)&lt;=ABS(D31)*0.05,"WITHIN","OFF"))</f>
        <v/>
      </c>
    </row>
    <row r="32"/>
    <row r="33"/>
    <row r="34"/>
    <row r="35">
      <c r="B35" s="3" t="inlineStr">
        <is>
          <t>SOURCES</t>
        </is>
      </c>
    </row>
    <row r="36">
      <c r="B36" s="2" t="inlineStr">
        <is>
          <t>Job #2009 — Chinn Greenwood Apartments  •  GC: Chinn Construction, LLC  •  Seattle, WA</t>
        </is>
      </c>
    </row>
    <row r="37">
      <c r="B37" s="2" t="inlineStr">
        <is>
          <t>Canonical source: 2009 Job Detail Report.pdf (49 pages, OWP Sage Timberline export)</t>
        </is>
      </c>
    </row>
    <row r="38">
      <c r="B38" s="2" t="inlineStr">
        <is>
          <t>Cost codes parsed: 26</t>
        </is>
      </c>
    </row>
    <row r="39">
      <c r="B39" s="2" t="inlineStr">
        <is>
          <t>Unit count (168) and fixture count (812) from greenwood h20 stacks.xls and trim POs</t>
        </is>
      </c>
    </row>
    <row r="40">
      <c r="B40" s="2" t="inlineStr">
        <is>
          <t>3-level building + lobby: L1 (18 units), L2 (18 units), L3 (18 units), LW (amenity) × south/north stacks</t>
        </is>
      </c>
    </row>
    <row r="41">
      <c r="B41" s="2" t="inlineStr">
        <is>
          <t>Billing: GREENWOOD AGGREGATE BILLING.xlsx (11 pay apps Jul 2012 – Oct 2013)</t>
        </is>
      </c>
    </row>
    <row r="42">
      <c r="B42" s="2" t="inlineStr">
        <is>
          <t>Final contract $394,208 (original $384,900 + $9,308 COs)</t>
        </is>
      </c>
    </row>
  </sheetData>
  <mergeCells count="13">
    <mergeCell ref="B36:H36"/>
    <mergeCell ref="B40:H40"/>
    <mergeCell ref="B27:H27"/>
    <mergeCell ref="B41:H41"/>
    <mergeCell ref="B35:H35"/>
    <mergeCell ref="B12:H12"/>
    <mergeCell ref="B39:H39"/>
    <mergeCell ref="B38:H38"/>
    <mergeCell ref="B2:H2"/>
    <mergeCell ref="B42:H42"/>
    <mergeCell ref="B3:H3"/>
    <mergeCell ref="B5:H5"/>
    <mergeCell ref="B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10" customWidth="1" min="3" max="3"/>
  </cols>
  <sheetData>
    <row r="1"/>
    <row r="2">
      <c r="B2" s="1" t="inlineStr">
        <is>
          <t>Key Insights — Job #2009 Chinn Greenwood Apartments</t>
        </is>
      </c>
    </row>
    <row r="3">
      <c r="B3" s="2" t="inlineStr">
        <is>
          <t>Narrative observations distilled from the full JDR analysis</t>
        </is>
      </c>
    </row>
    <row r="4"/>
    <row r="5" ht="32" customHeight="1">
      <c r="B5" s="5" t="inlineStr">
        <is>
          <t>MARGIN PROFILE</t>
        </is>
      </c>
      <c r="C5" s="23" t="inlineStr">
        <is>
          <t>Net profit of $113,840 on $394,208 revenue = 28.9% gross margin. Direct cost $280,368 absorbs 71.1% of revenue.</t>
        </is>
      </c>
    </row>
    <row r="6" ht="32" customHeight="1">
      <c r="B6" s="5" t="inlineStr">
        <is>
          <t>VENDOR CONCENTRATION</t>
        </is>
      </c>
      <c r="C6" s="23" t="inlineStr">
        <is>
          <t>Ferguson Enterprises, Inc. alone = $117,439 (67% of all AP) across 65 invoices. Total 13 AP vendors, $174,470 total AP spend.</t>
        </is>
      </c>
    </row>
    <row r="7" ht="32" customHeight="1">
      <c r="B7" s="5" t="inlineStr">
        <is>
          <t>CREW PROFILE</t>
        </is>
      </c>
      <c r="C7" s="23" t="inlineStr">
        <is>
          <t>23 workers for 3,928 hours = 171 avg hrs/worker. Top 3 workers logged 1,418 hrs combined (36% of all labor).</t>
        </is>
      </c>
    </row>
    <row r="8" ht="32" customHeight="1">
      <c r="B8" s="5" t="inlineStr">
        <is>
          <t>ROUGHIN DOMINANCE</t>
        </is>
      </c>
      <c r="C8" s="23" t="inlineStr">
        <is>
          <t>Code 120 Roughin Labor = 2,311 hrs (59% of all labor) and $46,114 actual. Code 230 Finish Material = $109,976 — 39% of total direct cost.</t>
        </is>
      </c>
    </row>
    <row r="9" ht="32" customHeight="1">
      <c r="B9" s="5" t="inlineStr">
        <is>
          <t>BUDGET DELIVERY</t>
        </is>
      </c>
      <c r="C9" s="23" t="inlineStr">
        <is>
          <t>Revised budget was $317,000; actual direct cost $280,368 → $36,632 variance (11.6% under revised budget).</t>
        </is>
      </c>
    </row>
    <row r="10" ht="32" customHeight="1">
      <c r="B10" s="5" t="inlineStr">
        <is>
          <t>CONTRACT GROWTH</t>
        </is>
      </c>
      <c r="C10" s="23" t="inlineStr">
        <is>
          <t>Contract grew from $384,900 to $394,208 — net +$9,308 (2.4%). Retainage of $19,710 (5%) withheld until closeout.</t>
        </is>
      </c>
    </row>
    <row r="11" ht="32" customHeight="1">
      <c r="B11" s="5" t="inlineStr">
        <is>
          <t>BURDEN RATIO</t>
        </is>
      </c>
      <c r="C11" s="23" t="inlineStr">
        <is>
          <t>Burden codes 995 + 998 = $40,891 on $80,902 labor base = 50.5%. In line with OWP's typical 48–50% labor burden.</t>
        </is>
      </c>
    </row>
    <row r="12" ht="32" customHeight="1">
      <c r="B12" s="5" t="inlineStr">
        <is>
          <t>PROJECT SCALE</t>
        </is>
      </c>
      <c r="C12" s="23" t="inlineStr">
        <is>
          <t>168 units · 812 fixtures · 16 months. Revenue/unit $2,346, hours/unit 23.4, profit/unit $678.</t>
        </is>
      </c>
    </row>
    <row r="13" ht="32" customHeight="1">
      <c r="B13" s="5" t="inlineStr">
        <is>
          <t>PRODUCTIVITY</t>
        </is>
      </c>
      <c r="C13" s="23" t="inlineStr">
        <is>
          <t>Blended labor rate $20.59/hr. Revenue/hour $100. Profit/hour $29. 246 hrs/month burn rate.</t>
        </is>
      </c>
    </row>
    <row r="14" ht="32" customHeight="1">
      <c r="B14" s="5" t="inlineStr">
        <is>
          <t>FIXTURE DENSITY</t>
        </is>
      </c>
      <c r="C14" s="23" t="inlineStr">
        <is>
          <t>812 fixtures ÷ 168 units = 4.83 fixtures/unit. Material/fixture $186, labor/fixture $100.</t>
        </is>
      </c>
    </row>
    <row r="15"/>
    <row r="16">
      <c r="B16" s="3" t="inlineStr">
        <is>
          <t>BIGGEST QUESTION</t>
        </is>
      </c>
    </row>
    <row r="17" ht="50" customHeight="1">
      <c r="B17" s="24" t="inlineStr">
        <is>
          <t>How does this job's 28.9% margin compare across similar projects in the OWP portfolio, and what operational levers drove the result — estimating accuracy, vendor pricing, or labor productivity?</t>
        </is>
      </c>
    </row>
    <row r="18"/>
    <row r="19"/>
    <row r="20">
      <c r="B20" s="3" t="inlineStr">
        <is>
          <t>SOURCES</t>
        </is>
      </c>
    </row>
    <row r="21">
      <c r="B21" s="2" t="inlineStr">
        <is>
          <t>Job #2009 — Chinn Greenwood Apartments  •  GC: Chinn Construction, LLC  •  Seattle, WA</t>
        </is>
      </c>
    </row>
    <row r="22">
      <c r="B22" s="2" t="inlineStr">
        <is>
          <t>Canonical source: 2009 Job Detail Report.pdf (49 pages, OWP Sage Timberline export)</t>
        </is>
      </c>
    </row>
    <row r="23">
      <c r="B23" s="2" t="inlineStr">
        <is>
          <t>Cost codes parsed: 26</t>
        </is>
      </c>
    </row>
    <row r="24">
      <c r="B24" s="2" t="inlineStr">
        <is>
          <t>Unit count (168) and fixture count (812) from greenwood h20 stacks.xls and trim POs</t>
        </is>
      </c>
    </row>
    <row r="25">
      <c r="B25" s="2" t="inlineStr">
        <is>
          <t>3-level building + lobby: L1 (18 units), L2 (18 units), L3 (18 units), LW (amenity) × south/north stacks</t>
        </is>
      </c>
    </row>
    <row r="26">
      <c r="B26" s="2" t="inlineStr">
        <is>
          <t>Billing: GREENWOOD AGGREGATE BILLING.xlsx (11 pay apps Jul 2012 – Oct 2013)</t>
        </is>
      </c>
    </row>
    <row r="27">
      <c r="B27" s="2" t="inlineStr">
        <is>
          <t>Final contract $394,208 (original $384,900 + $9,308 COs)</t>
        </is>
      </c>
    </row>
  </sheetData>
  <mergeCells count="12">
    <mergeCell ref="B21:C21"/>
    <mergeCell ref="B16:C16"/>
    <mergeCell ref="B2:C2"/>
    <mergeCell ref="B24:C24"/>
    <mergeCell ref="B26:C26"/>
    <mergeCell ref="B25:C25"/>
    <mergeCell ref="B3:C3"/>
    <mergeCell ref="B20:C20"/>
    <mergeCell ref="B23:C23"/>
    <mergeCell ref="B22:C22"/>
    <mergeCell ref="B17:C17"/>
    <mergeCell ref="B27:C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16" customWidth="1" min="4" max="4"/>
    <col width="14" customWidth="1" min="5" max="5"/>
    <col width="45" customWidth="1" min="6" max="6"/>
  </cols>
  <sheetData>
    <row r="1"/>
    <row r="2">
      <c r="B2" s="1" t="inlineStr">
        <is>
          <t>Benchmark KPIs</t>
        </is>
      </c>
    </row>
    <row r="3">
      <c r="B3" s="2" t="inlineStr">
        <is>
          <t>Normalized metrics designed for apples-to-apples comparison across all OWP projects</t>
        </is>
      </c>
    </row>
    <row r="4"/>
    <row r="5">
      <c r="B5" s="9" t="inlineStr">
        <is>
          <t>KPI</t>
        </is>
      </c>
      <c r="C5" s="9" t="inlineStr">
        <is>
          <t>Data Name</t>
        </is>
      </c>
      <c r="D5" s="9" t="inlineStr">
        <is>
          <t>Value</t>
        </is>
      </c>
      <c r="E5" s="9" t="inlineStr">
        <is>
          <t>Category</t>
        </is>
      </c>
      <c r="F5" s="9" t="inlineStr">
        <is>
          <t>Notes</t>
        </is>
      </c>
    </row>
    <row r="6">
      <c r="B6" s="4" t="inlineStr">
        <is>
          <t>Job Number</t>
        </is>
      </c>
      <c r="C6" s="25" t="inlineStr">
        <is>
          <t>job_number</t>
        </is>
      </c>
      <c r="D6" s="5" t="inlineStr">
        <is>
          <t>2009</t>
        </is>
      </c>
      <c r="E6" s="4" t="inlineStr">
        <is>
          <t>Profile</t>
        </is>
      </c>
      <c r="F6" s="2" t="inlineStr">
        <is>
          <t>OWP job ID</t>
        </is>
      </c>
    </row>
    <row r="7">
      <c r="B7" s="4" t="inlineStr">
        <is>
          <t>Job Name</t>
        </is>
      </c>
      <c r="C7" s="25" t="inlineStr">
        <is>
          <t>job_name</t>
        </is>
      </c>
      <c r="D7" s="5" t="inlineStr">
        <is>
          <t>Chinn Greenwood Apartments</t>
        </is>
      </c>
      <c r="E7" s="4" t="inlineStr">
        <is>
          <t>Profile</t>
        </is>
      </c>
    </row>
    <row r="8">
      <c r="B8" s="4" t="inlineStr">
        <is>
          <t>General Contractor</t>
        </is>
      </c>
      <c r="C8" s="25" t="inlineStr">
        <is>
          <t>general_contractor</t>
        </is>
      </c>
      <c r="D8" s="5" t="inlineStr">
        <is>
          <t>Chinn Construction, LLC</t>
        </is>
      </c>
      <c r="E8" s="4" t="inlineStr">
        <is>
          <t>Profile</t>
        </is>
      </c>
    </row>
    <row r="9">
      <c r="B9" s="4" t="inlineStr">
        <is>
          <t>Location</t>
        </is>
      </c>
      <c r="C9" s="25" t="inlineStr">
        <is>
          <t>location</t>
        </is>
      </c>
      <c r="D9" s="5" t="inlineStr">
        <is>
          <t>Seattle, WA</t>
        </is>
      </c>
      <c r="E9" s="4" t="inlineStr">
        <is>
          <t>Profile</t>
        </is>
      </c>
    </row>
    <row r="10">
      <c r="B10" s="4" t="inlineStr">
        <is>
          <t>Project Type</t>
        </is>
      </c>
      <c r="C10" s="25" t="inlineStr">
        <is>
          <t>project_type</t>
        </is>
      </c>
      <c r="D10" s="5" t="inlineStr">
        <is>
          <t>168-unit apartment building</t>
        </is>
      </c>
      <c r="E10" s="4" t="inlineStr">
        <is>
          <t>Profile</t>
        </is>
      </c>
    </row>
    <row r="11">
      <c r="B11" s="4" t="inlineStr">
        <is>
          <t>Duration (months)</t>
        </is>
      </c>
      <c r="C11" s="25" t="inlineStr">
        <is>
          <t>duration_months</t>
        </is>
      </c>
      <c r="D11" s="5" t="n">
        <v>16</v>
      </c>
      <c r="E11" s="4" t="inlineStr">
        <is>
          <t>Profile</t>
        </is>
      </c>
      <c r="F11" s="2" t="inlineStr">
        <is>
          <t>Jul 2012 – Oct 2013 (~16 months)</t>
        </is>
      </c>
    </row>
    <row r="12">
      <c r="B12" s="4" t="inlineStr">
        <is>
          <t>Unit Count</t>
        </is>
      </c>
      <c r="C12" s="25" t="inlineStr">
        <is>
          <t>unit_count</t>
        </is>
      </c>
      <c r="D12" s="12" t="n">
        <v>168</v>
      </c>
      <c r="E12" s="4" t="inlineStr">
        <is>
          <t>Profile</t>
        </is>
      </c>
    </row>
    <row r="13">
      <c r="B13" s="4" t="inlineStr">
        <is>
          <t>Total Fixtures</t>
        </is>
      </c>
      <c r="C13" s="25" t="inlineStr">
        <is>
          <t>total_fixtures</t>
        </is>
      </c>
      <c r="D13" s="12" t="n">
        <v>812</v>
      </c>
      <c r="E13" s="4" t="inlineStr">
        <is>
          <t>Profile</t>
        </is>
      </c>
    </row>
    <row r="14">
      <c r="B14" s="4" t="inlineStr">
        <is>
          <t>Fixtures per Unit</t>
        </is>
      </c>
      <c r="C14" s="25" t="inlineStr">
        <is>
          <t>fixtures_per_unit</t>
        </is>
      </c>
      <c r="D14" s="20" t="n">
        <v>4.833333333333333</v>
      </c>
      <c r="E14" s="4" t="inlineStr">
        <is>
          <t>Profile</t>
        </is>
      </c>
    </row>
    <row r="15">
      <c r="B15" s="4" t="inlineStr">
        <is>
          <t>Contract Value (Orig)</t>
        </is>
      </c>
      <c r="C15" s="25" t="inlineStr">
        <is>
          <t>contract_original</t>
        </is>
      </c>
      <c r="D15" s="12" t="n">
        <v>384900</v>
      </c>
      <c r="E15" s="4" t="inlineStr">
        <is>
          <t>Financial</t>
        </is>
      </c>
    </row>
    <row r="16">
      <c r="B16" s="4" t="inlineStr">
        <is>
          <t>Contract Value (Final)</t>
        </is>
      </c>
      <c r="C16" s="25" t="inlineStr">
        <is>
          <t>contract_final</t>
        </is>
      </c>
      <c r="D16" s="12" t="n">
        <v>394208</v>
      </c>
      <c r="E16" s="4" t="inlineStr">
        <is>
          <t>Financial</t>
        </is>
      </c>
      <c r="F16" s="2" t="inlineStr">
        <is>
          <t>After change orders</t>
        </is>
      </c>
    </row>
    <row r="17">
      <c r="B17" s="4" t="inlineStr">
        <is>
          <t>Change Orders ($)</t>
        </is>
      </c>
      <c r="C17" s="25" t="inlineStr">
        <is>
          <t>change_orders</t>
        </is>
      </c>
      <c r="D17" s="12" t="n">
        <v>9308</v>
      </c>
      <c r="E17" s="4" t="inlineStr">
        <is>
          <t>Financial</t>
        </is>
      </c>
    </row>
    <row r="18">
      <c r="B18" s="4" t="inlineStr">
        <is>
          <t>Revenue</t>
        </is>
      </c>
      <c r="C18" s="25" t="inlineStr">
        <is>
          <t>revenue</t>
        </is>
      </c>
      <c r="D18" s="12" t="n">
        <v>394208</v>
      </c>
      <c r="E18" s="4" t="inlineStr">
        <is>
          <t>Financial</t>
        </is>
      </c>
    </row>
    <row r="19">
      <c r="B19" s="4" t="inlineStr">
        <is>
          <t>Net Profit</t>
        </is>
      </c>
      <c r="C19" s="25" t="inlineStr">
        <is>
          <t>net_profit</t>
        </is>
      </c>
      <c r="D19" s="12" t="n">
        <v>113840.13</v>
      </c>
      <c r="E19" s="4" t="inlineStr">
        <is>
          <t>Financial</t>
        </is>
      </c>
    </row>
    <row r="20">
      <c r="B20" s="4" t="inlineStr">
        <is>
          <t>Gross Margin</t>
        </is>
      </c>
      <c r="C20" s="25" t="inlineStr">
        <is>
          <t>gross_margin</t>
        </is>
      </c>
      <c r="D20" s="20" t="n">
        <v>0.2887818867197013</v>
      </c>
      <c r="E20" s="4" t="inlineStr">
        <is>
          <t>Financial</t>
        </is>
      </c>
    </row>
    <row r="21">
      <c r="B21" s="4" t="inlineStr">
        <is>
          <t>Direct Cost</t>
        </is>
      </c>
      <c r="C21" s="25" t="inlineStr">
        <is>
          <t>direct_cost</t>
        </is>
      </c>
      <c r="D21" s="12" t="n">
        <v>280367.87</v>
      </c>
      <c r="E21" s="4" t="inlineStr">
        <is>
          <t>Financial</t>
        </is>
      </c>
    </row>
    <row r="22">
      <c r="B22" s="4" t="inlineStr">
        <is>
          <t>Labor Cost</t>
        </is>
      </c>
      <c r="C22" s="25" t="inlineStr">
        <is>
          <t>labor_cost</t>
        </is>
      </c>
      <c r="D22" s="12" t="n">
        <v>80901.5</v>
      </c>
      <c r="E22" s="4" t="inlineStr">
        <is>
          <t>Labor</t>
        </is>
      </c>
      <c r="F22" s="2" t="inlineStr">
        <is>
          <t>Sum of 11 labor codes</t>
        </is>
      </c>
    </row>
    <row r="23">
      <c r="B23" s="4" t="inlineStr">
        <is>
          <t>Material Cost</t>
        </is>
      </c>
      <c r="C23" s="25" t="inlineStr">
        <is>
          <t>material_cost</t>
        </is>
      </c>
      <c r="D23" s="12" t="n">
        <v>151064.39</v>
      </c>
      <c r="E23" s="4" t="inlineStr">
        <is>
          <t>Material</t>
        </is>
      </c>
      <c r="F23" s="2" t="inlineStr">
        <is>
          <t>Sum of 9 material codes</t>
        </is>
      </c>
    </row>
    <row r="24">
      <c r="B24" s="4" t="inlineStr">
        <is>
          <t>Overhead Cost</t>
        </is>
      </c>
      <c r="C24" s="25" t="inlineStr">
        <is>
          <t>overhead_cost</t>
        </is>
      </c>
      <c r="D24" s="12" t="n">
        <v>7510.52</v>
      </c>
      <c r="E24" s="4" t="inlineStr">
        <is>
          <t>Financial</t>
        </is>
      </c>
      <c r="F24" s="2" t="inlineStr">
        <is>
          <t>Sub+Eng+Permits</t>
        </is>
      </c>
    </row>
    <row r="25">
      <c r="B25" s="4" t="inlineStr">
        <is>
          <t>Burden Cost</t>
        </is>
      </c>
      <c r="C25" s="25" t="inlineStr">
        <is>
          <t>burden_cost</t>
        </is>
      </c>
      <c r="D25" s="12" t="n">
        <v>40891.46000000001</v>
      </c>
      <c r="E25" s="4" t="inlineStr">
        <is>
          <t>Financial</t>
        </is>
      </c>
      <c r="F25" s="2" t="inlineStr">
        <is>
          <t>Codes 995+998</t>
        </is>
      </c>
    </row>
    <row r="26">
      <c r="B26" s="4" t="inlineStr">
        <is>
          <t>Retainage</t>
        </is>
      </c>
      <c r="C26" s="25" t="inlineStr">
        <is>
          <t>retainage</t>
        </is>
      </c>
      <c r="D26" s="12" t="n">
        <v>19710.4</v>
      </c>
      <c r="E26" s="4" t="inlineStr">
        <is>
          <t>Financial</t>
        </is>
      </c>
      <c r="F26" s="2" t="inlineStr">
        <is>
          <t>5% withheld</t>
        </is>
      </c>
    </row>
    <row r="27">
      <c r="B27" s="4" t="inlineStr">
        <is>
          <t>Revenue per Unit</t>
        </is>
      </c>
      <c r="C27" s="25" t="inlineStr">
        <is>
          <t>revenue_per_unit</t>
        </is>
      </c>
      <c r="D27" s="12" t="n">
        <v>2346.47619047619</v>
      </c>
      <c r="E27" s="4" t="inlineStr">
        <is>
          <t>Financial</t>
        </is>
      </c>
    </row>
    <row r="28">
      <c r="B28" s="4" t="inlineStr">
        <is>
          <t>Profit per Unit</t>
        </is>
      </c>
      <c r="C28" s="25" t="inlineStr">
        <is>
          <t>profit_per_unit</t>
        </is>
      </c>
      <c r="D28" s="12" t="n">
        <v>677.6198214285714</v>
      </c>
      <c r="E28" s="4" t="inlineStr">
        <is>
          <t>Financial</t>
        </is>
      </c>
    </row>
    <row r="29">
      <c r="B29" s="4" t="inlineStr">
        <is>
          <t>Direct Cost per Unit</t>
        </is>
      </c>
      <c r="C29" s="25" t="inlineStr">
        <is>
          <t>cost_per_unit</t>
        </is>
      </c>
      <c r="D29" s="12" t="n">
        <v>1668.856369047619</v>
      </c>
      <c r="E29" s="4" t="inlineStr">
        <is>
          <t>Financial</t>
        </is>
      </c>
    </row>
    <row r="30">
      <c r="B30" s="4" t="inlineStr">
        <is>
          <t>Labor Cost per Unit</t>
        </is>
      </c>
      <c r="C30" s="25" t="inlineStr">
        <is>
          <t>labor_per_unit</t>
        </is>
      </c>
      <c r="D30" s="12" t="n">
        <v>481.5565476190476</v>
      </c>
      <c r="E30" s="4" t="inlineStr">
        <is>
          <t>Labor</t>
        </is>
      </c>
    </row>
    <row r="31">
      <c r="B31" s="4" t="inlineStr">
        <is>
          <t>Material Cost per Unit</t>
        </is>
      </c>
      <c r="C31" s="25" t="inlineStr">
        <is>
          <t>material_per_unit</t>
        </is>
      </c>
      <c r="D31" s="12" t="n">
        <v>899.1927976190477</v>
      </c>
      <c r="E31" s="4" t="inlineStr">
        <is>
          <t>Material</t>
        </is>
      </c>
    </row>
    <row r="32">
      <c r="B32" s="4" t="inlineStr">
        <is>
          <t>Revenue per Fixture</t>
        </is>
      </c>
      <c r="C32" s="25" t="inlineStr">
        <is>
          <t>revenue_per_fixture</t>
        </is>
      </c>
      <c r="D32" s="12" t="n">
        <v>485.4778325123153</v>
      </c>
      <c r="E32" s="4" t="inlineStr">
        <is>
          <t>Financial</t>
        </is>
      </c>
    </row>
    <row r="33">
      <c r="B33" s="4" t="inlineStr">
        <is>
          <t>Profit per Fixture</t>
        </is>
      </c>
      <c r="C33" s="25" t="inlineStr">
        <is>
          <t>profit_per_fixture</t>
        </is>
      </c>
      <c r="D33" s="12" t="n">
        <v>140.1972044334975</v>
      </c>
      <c r="E33" s="4" t="inlineStr">
        <is>
          <t>Financial</t>
        </is>
      </c>
    </row>
    <row r="34">
      <c r="B34" s="4" t="inlineStr">
        <is>
          <t>Cost per Fixture</t>
        </is>
      </c>
      <c r="C34" s="25" t="inlineStr">
        <is>
          <t>cost_per_fixture</t>
        </is>
      </c>
      <c r="D34" s="12" t="n">
        <v>345.2806280788178</v>
      </c>
      <c r="E34" s="4" t="inlineStr">
        <is>
          <t>Financial</t>
        </is>
      </c>
    </row>
    <row r="35">
      <c r="B35" s="4" t="inlineStr">
        <is>
          <t>Labor per Fixture</t>
        </is>
      </c>
      <c r="C35" s="25" t="inlineStr">
        <is>
          <t>labor_per_fixture</t>
        </is>
      </c>
      <c r="D35" s="13" t="n">
        <v>99.63238916256158</v>
      </c>
      <c r="E35" s="4" t="inlineStr">
        <is>
          <t>Labor</t>
        </is>
      </c>
    </row>
    <row r="36">
      <c r="B36" s="4" t="inlineStr">
        <is>
          <t>Material per Fixture</t>
        </is>
      </c>
      <c r="C36" s="25" t="inlineStr">
        <is>
          <t>material_per_fixture</t>
        </is>
      </c>
      <c r="D36" s="12" t="n">
        <v>186.0398891625616</v>
      </c>
      <c r="E36" s="4" t="inlineStr">
        <is>
          <t>Material</t>
        </is>
      </c>
    </row>
    <row r="37">
      <c r="B37" s="4" t="inlineStr">
        <is>
          <t>Total Labor Hours</t>
        </is>
      </c>
      <c r="C37" s="25" t="inlineStr">
        <is>
          <t>total_hours</t>
        </is>
      </c>
      <c r="D37" s="12" t="n">
        <v>3928.5</v>
      </c>
      <c r="E37" s="4" t="inlineStr">
        <is>
          <t>Labor</t>
        </is>
      </c>
      <c r="F37" s="2" t="inlineStr">
        <is>
          <t>Sum of JDR cost code hours</t>
        </is>
      </c>
    </row>
    <row r="38">
      <c r="B38" s="4" t="inlineStr">
        <is>
          <t>Total Workers</t>
        </is>
      </c>
      <c r="C38" s="25" t="inlineStr">
        <is>
          <t>total_workers</t>
        </is>
      </c>
      <c r="D38" s="5" t="n">
        <v>23</v>
      </c>
      <c r="E38" s="4" t="inlineStr">
        <is>
          <t>Labor</t>
        </is>
      </c>
      <c r="F38" s="2" t="inlineStr">
        <is>
          <t>Unique payroll IDs</t>
        </is>
      </c>
    </row>
    <row r="39">
      <c r="B39" s="4" t="inlineStr">
        <is>
          <t>Blended Gross Wage</t>
        </is>
      </c>
      <c r="C39" s="25" t="inlineStr">
        <is>
          <t>blended_gross_wage</t>
        </is>
      </c>
      <c r="D39" s="13" t="n">
        <v>21.88308514700267</v>
      </c>
      <c r="E39" s="4" t="inlineStr">
        <is>
          <t>Labor</t>
        </is>
      </c>
      <c r="F39" s="2" t="inlineStr">
        <is>
          <t>Pre-burden</t>
        </is>
      </c>
    </row>
    <row r="40">
      <c r="B40" s="4" t="inlineStr">
        <is>
          <t>Fully-Loaded Wage</t>
        </is>
      </c>
      <c r="C40" s="25" t="inlineStr">
        <is>
          <t>fully_loaded_wage</t>
        </is>
      </c>
      <c r="D40" s="13" t="n">
        <v>31.00240804378262</v>
      </c>
      <c r="E40" s="4" t="inlineStr">
        <is>
          <t>Labor</t>
        </is>
      </c>
      <c r="F40" s="2" t="inlineStr">
        <is>
          <t>Post-burden</t>
        </is>
      </c>
    </row>
    <row r="41">
      <c r="B41" s="4" t="inlineStr">
        <is>
          <t>Burden Multiplier</t>
        </is>
      </c>
      <c r="C41" s="25" t="inlineStr">
        <is>
          <t>burden_multiplier</t>
        </is>
      </c>
      <c r="D41" s="20" t="n">
        <v>1.416729306472082</v>
      </c>
      <c r="E41" s="4" t="inlineStr">
        <is>
          <t>Labor</t>
        </is>
      </c>
    </row>
    <row r="42">
      <c r="B42" s="4" t="inlineStr">
        <is>
          <t>Hours per Unit</t>
        </is>
      </c>
      <c r="C42" s="25" t="inlineStr">
        <is>
          <t>hours_per_unit</t>
        </is>
      </c>
      <c r="D42" s="13" t="n">
        <v>23.38392857142857</v>
      </c>
      <c r="E42" s="4" t="inlineStr">
        <is>
          <t>Labor</t>
        </is>
      </c>
      <c r="F42" s="2" t="inlineStr">
        <is>
          <t>Key benchmark</t>
        </is>
      </c>
    </row>
    <row r="43">
      <c r="B43" s="4" t="inlineStr">
        <is>
          <t>Hours per Fixture</t>
        </is>
      </c>
      <c r="C43" s="25" t="inlineStr">
        <is>
          <t>hours_per_fixture</t>
        </is>
      </c>
      <c r="D43" s="20" t="n">
        <v>4.838054187192118</v>
      </c>
      <c r="E43" s="4" t="inlineStr">
        <is>
          <t>Labor</t>
        </is>
      </c>
      <c r="F43" s="2" t="inlineStr">
        <is>
          <t>Key benchmark</t>
        </is>
      </c>
    </row>
    <row r="44">
      <c r="B44" s="4" t="inlineStr">
        <is>
          <t>Revenue per Hour</t>
        </is>
      </c>
      <c r="C44" s="25" t="inlineStr">
        <is>
          <t>revenue_per_hour</t>
        </is>
      </c>
      <c r="D44" s="12" t="n">
        <v>100.3456790123457</v>
      </c>
      <c r="E44" s="4" t="inlineStr">
        <is>
          <t>Productivity</t>
        </is>
      </c>
    </row>
    <row r="45">
      <c r="B45" s="4" t="inlineStr">
        <is>
          <t>Profit per Hour</t>
        </is>
      </c>
      <c r="C45" s="25" t="inlineStr">
        <is>
          <t>profit_per_hour</t>
        </is>
      </c>
      <c r="D45" s="13" t="n">
        <v>28.97801450935472</v>
      </c>
      <c r="E45" s="4" t="inlineStr">
        <is>
          <t>Productivity</t>
        </is>
      </c>
    </row>
    <row r="46">
      <c r="B46" s="4" t="inlineStr">
        <is>
          <t>Labor % of Revenue</t>
        </is>
      </c>
      <c r="C46" s="25" t="inlineStr">
        <is>
          <t>labor_pct_revenue</t>
        </is>
      </c>
      <c r="D46" s="20" t="n">
        <v>0.2052254139946424</v>
      </c>
      <c r="E46" s="4" t="inlineStr">
        <is>
          <t>Cost Mix</t>
        </is>
      </c>
    </row>
    <row r="47">
      <c r="B47" s="4" t="inlineStr">
        <is>
          <t>Material % of Revenue</t>
        </is>
      </c>
      <c r="C47" s="25" t="inlineStr">
        <is>
          <t>material_pct_revenue</t>
        </is>
      </c>
      <c r="D47" s="20" t="n">
        <v>0.3832098536813053</v>
      </c>
      <c r="E47" s="4" t="inlineStr">
        <is>
          <t>Cost Mix</t>
        </is>
      </c>
    </row>
    <row r="48">
      <c r="B48" s="4" t="inlineStr">
        <is>
          <t>Revenue per Month</t>
        </is>
      </c>
      <c r="C48" s="25" t="inlineStr">
        <is>
          <t>revenue_per_month</t>
        </is>
      </c>
      <c r="D48" s="12" t="n">
        <v>24638</v>
      </c>
      <c r="E48" s="4" t="inlineStr">
        <is>
          <t>Productivity</t>
        </is>
      </c>
    </row>
    <row r="49">
      <c r="B49" s="4" t="inlineStr">
        <is>
          <t>Hours per Month</t>
        </is>
      </c>
      <c r="C49" s="25" t="inlineStr">
        <is>
          <t>hours_per_month</t>
        </is>
      </c>
      <c r="D49" s="12" t="n">
        <v>245.53125</v>
      </c>
      <c r="E49" s="4" t="inlineStr">
        <is>
          <t>Productivity</t>
        </is>
      </c>
    </row>
    <row r="50">
      <c r="B50" s="4" t="inlineStr">
        <is>
          <t>Units per Month</t>
        </is>
      </c>
      <c r="C50" s="25" t="inlineStr">
        <is>
          <t>units_per_month</t>
        </is>
      </c>
      <c r="D50" s="13" t="n">
        <v>10.5</v>
      </c>
      <c r="E50" s="4" t="inlineStr">
        <is>
          <t>Productivity</t>
        </is>
      </c>
    </row>
    <row r="51">
      <c r="B51" s="4" t="inlineStr">
        <is>
          <t>Total Vendors</t>
        </is>
      </c>
      <c r="C51" s="25" t="inlineStr">
        <is>
          <t>total_vendors</t>
        </is>
      </c>
      <c r="D51" s="5" t="n">
        <v>13</v>
      </c>
      <c r="E51" s="4" t="inlineStr">
        <is>
          <t>Material</t>
        </is>
      </c>
      <c r="F51" s="2" t="inlineStr">
        <is>
          <t>Unique AP vendors</t>
        </is>
      </c>
    </row>
    <row r="52">
      <c r="B52" s="4" t="inlineStr">
        <is>
          <t>Top Vendor Spend</t>
        </is>
      </c>
      <c r="C52" s="25" t="inlineStr">
        <is>
          <t>top_vendor_spend</t>
        </is>
      </c>
      <c r="D52" s="12" t="n">
        <v>117439.01</v>
      </c>
      <c r="E52" s="4" t="inlineStr">
        <is>
          <t>Material</t>
        </is>
      </c>
      <c r="F52" s="2" t="inlineStr">
        <is>
          <t>Ferguson Enterprises, Inc.</t>
        </is>
      </c>
    </row>
    <row r="53">
      <c r="B53" s="4" t="inlineStr">
        <is>
          <t>Top Vendor Concentration</t>
        </is>
      </c>
      <c r="C53" s="25" t="inlineStr">
        <is>
          <t>top_vendor_pct</t>
        </is>
      </c>
      <c r="D53" s="20" t="n">
        <v>0.6731184521354813</v>
      </c>
      <c r="E53" s="4" t="inlineStr">
        <is>
          <t>Material</t>
        </is>
      </c>
    </row>
    <row r="54">
      <c r="B54" s="4" t="inlineStr">
        <is>
          <t>Total POs</t>
        </is>
      </c>
      <c r="C54" s="25" t="inlineStr">
        <is>
          <t>total_pos</t>
        </is>
      </c>
      <c r="D54" s="5" t="n">
        <v>7</v>
      </c>
      <c r="E54" s="4" t="inlineStr">
        <is>
          <t>Material</t>
        </is>
      </c>
      <c r="F54" s="2" t="inlineStr">
        <is>
          <t>Unique POs by filename</t>
        </is>
      </c>
    </row>
    <row r="55">
      <c r="B55" s="4" t="inlineStr">
        <is>
          <t>Change Order %</t>
        </is>
      </c>
      <c r="C55" s="25" t="inlineStr">
        <is>
          <t>co_pct</t>
        </is>
      </c>
      <c r="D55" s="20" t="n">
        <v>0.02418290465055859</v>
      </c>
      <c r="E55" s="4" t="inlineStr">
        <is>
          <t>Financial</t>
        </is>
      </c>
    </row>
    <row r="56">
      <c r="B56" s="4" t="inlineStr">
        <is>
          <t>Revenue per Labor Hour</t>
        </is>
      </c>
      <c r="C56" s="25" t="inlineStr">
        <is>
          <t>rev_per_labor_hr</t>
        </is>
      </c>
      <c r="D56" s="12" t="n">
        <v>100.3456790123457</v>
      </c>
      <c r="E56" s="4" t="inlineStr">
        <is>
          <t>Productivity</t>
        </is>
      </c>
    </row>
    <row r="57"/>
    <row r="58"/>
    <row r="59"/>
    <row r="60">
      <c r="B60" s="3" t="inlineStr">
        <is>
          <t>SOURCES</t>
        </is>
      </c>
    </row>
    <row r="61">
      <c r="B61" s="2" t="inlineStr">
        <is>
          <t>Job #2009 — Chinn Greenwood Apartments  •  GC: Chinn Construction, LLC  •  Seattle, WA</t>
        </is>
      </c>
    </row>
    <row r="62">
      <c r="B62" s="2" t="inlineStr">
        <is>
          <t>Canonical source: 2009 Job Detail Report.pdf (49 pages, OWP Sage Timberline export)</t>
        </is>
      </c>
    </row>
    <row r="63">
      <c r="B63" s="2" t="inlineStr">
        <is>
          <t>Cost codes parsed: 26</t>
        </is>
      </c>
    </row>
    <row r="64">
      <c r="B64" s="2" t="inlineStr">
        <is>
          <t>Unit count (168) and fixture count (812) from greenwood h20 stacks.xls and trim POs</t>
        </is>
      </c>
    </row>
    <row r="65">
      <c r="B65" s="2" t="inlineStr">
        <is>
          <t>3-level building + lobby: L1 (18 units), L2 (18 units), L3 (18 units), LW (amenity) × south/north stacks</t>
        </is>
      </c>
    </row>
    <row r="66">
      <c r="B66" s="2" t="inlineStr">
        <is>
          <t>Billing: GREENWOOD AGGREGATE BILLING.xlsx (11 pay apps Jul 2012 – Oct 2013)</t>
        </is>
      </c>
    </row>
    <row r="67">
      <c r="B67" s="2" t="inlineStr">
        <is>
          <t>Final contract $394,208 (original $384,900 + $9,308 COs)</t>
        </is>
      </c>
    </row>
    <row r="68">
      <c r="B68" s="2" t="inlineStr">
        <is>
          <t>51 KPIs with snake_case data_name identifiers for database ingestion</t>
        </is>
      </c>
    </row>
  </sheetData>
  <mergeCells count="11">
    <mergeCell ref="B65:F65"/>
    <mergeCell ref="B68:F68"/>
    <mergeCell ref="B2:F2"/>
    <mergeCell ref="B62:F62"/>
    <mergeCell ref="B64:F64"/>
    <mergeCell ref="B3:F3"/>
    <mergeCell ref="B60:F60"/>
    <mergeCell ref="B66:F66"/>
    <mergeCell ref="B67:F67"/>
    <mergeCell ref="B63:F63"/>
    <mergeCell ref="B61:F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2" customWidth="1" min="4" max="4"/>
    <col width="18" customWidth="1" min="5" max="5"/>
    <col width="14" customWidth="1" min="6" max="6"/>
    <col width="16" customWidth="1" min="7" max="7"/>
  </cols>
  <sheetData>
    <row r="1" ht="26" customHeight="1">
      <c r="A1" s="26" t="inlineStr">
        <is>
          <t>Vendor Detail — Job #2009</t>
        </is>
      </c>
    </row>
    <row r="2"/>
    <row r="3">
      <c r="A3" s="5" t="inlineStr">
        <is>
          <t>Vendors</t>
        </is>
      </c>
      <c r="B3" s="4" t="n">
        <v>13</v>
      </c>
      <c r="D3" s="5" t="inlineStr">
        <is>
          <t>Top vendor</t>
        </is>
      </c>
      <c r="E3" s="4" t="inlineStr">
        <is>
          <t>Ferguson Enterprises, Inc.</t>
        </is>
      </c>
    </row>
    <row r="4">
      <c r="A4" s="5" t="inlineStr">
        <is>
          <t>Invoices</t>
        </is>
      </c>
      <c r="B4" s="4" t="n">
        <v>98</v>
      </c>
      <c r="D4" s="5" t="inlineStr">
        <is>
          <t>Top 3 share</t>
        </is>
      </c>
      <c r="E4" s="27">
        <f>163518.73999999993/174470.0499999999</f>
        <v/>
      </c>
    </row>
    <row r="5">
      <c r="A5" s="5" t="inlineStr">
        <is>
          <t>Total AP</t>
        </is>
      </c>
      <c r="B5" s="28" t="n">
        <v>174470.0499999999</v>
      </c>
      <c r="D5" s="5" t="inlineStr">
        <is>
          <t>Source</t>
        </is>
      </c>
      <c r="E5" s="2" t="inlineStr">
        <is>
          <t>Job Detail Report (Sage Timberline AP export)</t>
        </is>
      </c>
    </row>
    <row r="6">
      <c r="A6" s="5" t="inlineStr">
        <is>
          <t>Avg Inv</t>
        </is>
      </c>
      <c r="B6" s="28">
        <f>B5/B4</f>
        <v/>
      </c>
    </row>
    <row r="7"/>
    <row r="8" ht="20" customHeight="1">
      <c r="A8" s="29" t="inlineStr">
        <is>
          <t>Rank</t>
        </is>
      </c>
      <c r="B8" s="29" t="inlineStr">
        <is>
          <t>Vendor</t>
        </is>
      </c>
      <c r="C8" s="29" t="inlineStr">
        <is>
          <t>Vendor Code</t>
        </is>
      </c>
      <c r="D8" s="29" t="inlineStr">
        <is>
          <t>Invoices</t>
        </is>
      </c>
      <c r="E8" s="29" t="inlineStr">
        <is>
          <t>Total Spend</t>
        </is>
      </c>
      <c r="F8" s="29" t="inlineStr">
        <is>
          <t>% of AP</t>
        </is>
      </c>
      <c r="G8" s="29" t="inlineStr">
        <is>
          <t>Avg / Invoice</t>
        </is>
      </c>
    </row>
    <row r="9">
      <c r="A9" s="30" t="n">
        <v>1</v>
      </c>
      <c r="B9" s="31" t="inlineStr">
        <is>
          <t>Ferguson Enterprises, Inc.</t>
        </is>
      </c>
      <c r="C9" s="30" t="inlineStr"/>
      <c r="D9" s="30" t="n">
        <v>65</v>
      </c>
      <c r="E9" s="32" t="n">
        <v>117439.01</v>
      </c>
      <c r="F9" s="33">
        <f>E9/E$22</f>
        <v/>
      </c>
      <c r="G9" s="32">
        <f>IF(D9=0,0,E9/D9)</f>
        <v/>
      </c>
    </row>
    <row r="10">
      <c r="A10" s="30" t="n">
        <v>2</v>
      </c>
      <c r="B10" s="31" t="inlineStr">
        <is>
          <t>Keller Supply Company</t>
        </is>
      </c>
      <c r="C10" s="30" t="inlineStr"/>
      <c r="D10" s="30" t="n">
        <v>14</v>
      </c>
      <c r="E10" s="32" t="n">
        <v>29740.42999999999</v>
      </c>
      <c r="F10" s="33">
        <f>E10/E$22</f>
        <v/>
      </c>
      <c r="G10" s="32">
        <f>IF(D10=0,0,E10/D10)</f>
        <v/>
      </c>
    </row>
    <row r="11">
      <c r="A11" s="30" t="n">
        <v>3</v>
      </c>
      <c r="B11" s="31" t="inlineStr">
        <is>
          <t>Mechanical Sales, Inc.</t>
        </is>
      </c>
      <c r="C11" s="30" t="inlineStr"/>
      <c r="D11" s="30" t="n">
        <v>2</v>
      </c>
      <c r="E11" s="32" t="n">
        <v>16339.3</v>
      </c>
      <c r="F11" s="33">
        <f>E11/E$22</f>
        <v/>
      </c>
      <c r="G11" s="32">
        <f>IF(D11=0,0,E11/D11)</f>
        <v/>
      </c>
    </row>
    <row r="12">
      <c r="A12" s="34" t="n">
        <v>4</v>
      </c>
      <c r="B12" s="35" t="inlineStr">
        <is>
          <t>Franklin Engineering</t>
        </is>
      </c>
      <c r="C12" s="34" t="inlineStr"/>
      <c r="D12" s="34" t="n">
        <v>1</v>
      </c>
      <c r="E12" s="36" t="n">
        <v>4895</v>
      </c>
      <c r="F12" s="37">
        <f>E12/E$22</f>
        <v/>
      </c>
      <c r="G12" s="36">
        <f>IF(D12=0,0,E12/D12)</f>
        <v/>
      </c>
    </row>
    <row r="13">
      <c r="A13" s="38" t="n">
        <v>5</v>
      </c>
      <c r="B13" s="39" t="inlineStr">
        <is>
          <t>Mickelo Construction LLC</t>
        </is>
      </c>
      <c r="C13" s="38" t="inlineStr"/>
      <c r="D13" s="38" t="n">
        <v>1</v>
      </c>
      <c r="E13" s="40" t="n">
        <v>2250</v>
      </c>
      <c r="F13" s="41">
        <f>E13/E$22</f>
        <v/>
      </c>
      <c r="G13" s="40">
        <f>IF(D13=0,0,E13/D13)</f>
        <v/>
      </c>
    </row>
    <row r="14">
      <c r="A14" s="34" t="n">
        <v>6</v>
      </c>
      <c r="B14" s="35" t="inlineStr">
        <is>
          <t>Quality Concrete Products, Inc.</t>
        </is>
      </c>
      <c r="C14" s="34" t="inlineStr"/>
      <c r="D14" s="34" t="n">
        <v>4</v>
      </c>
      <c r="E14" s="36" t="n">
        <v>1821</v>
      </c>
      <c r="F14" s="37">
        <f>E14/E$22</f>
        <v/>
      </c>
      <c r="G14" s="36">
        <f>IF(D14=0,0,E14/D14)</f>
        <v/>
      </c>
    </row>
    <row r="15">
      <c r="A15" s="38" t="n">
        <v>7</v>
      </c>
      <c r="B15" s="39" t="inlineStr">
        <is>
          <t>Rosen Supply Company, Inc.</t>
        </is>
      </c>
      <c r="C15" s="38" t="inlineStr"/>
      <c r="D15" s="38" t="n">
        <v>2</v>
      </c>
      <c r="E15" s="40" t="n">
        <v>1040.84</v>
      </c>
      <c r="F15" s="41">
        <f>E15/E$22</f>
        <v/>
      </c>
      <c r="G15" s="40">
        <f>IF(D15=0,0,E15/D15)</f>
        <v/>
      </c>
    </row>
    <row r="16">
      <c r="A16" s="34" t="n">
        <v>8</v>
      </c>
      <c r="B16" s="35" t="inlineStr">
        <is>
          <t>Ferguson Enterprises, Inc. #3007</t>
        </is>
      </c>
      <c r="C16" s="34" t="inlineStr"/>
      <c r="D16" s="34" t="n">
        <v>1</v>
      </c>
      <c r="E16" s="36" t="n">
        <v>245.19</v>
      </c>
      <c r="F16" s="37">
        <f>E16/E$22</f>
        <v/>
      </c>
      <c r="G16" s="36">
        <f>IF(D16=0,0,E16/D16)</f>
        <v/>
      </c>
    </row>
    <row r="17">
      <c r="A17" s="38" t="n">
        <v>9</v>
      </c>
      <c r="B17" s="39" t="inlineStr">
        <is>
          <t>Bank of America CC</t>
        </is>
      </c>
      <c r="C17" s="38" t="inlineStr"/>
      <c r="D17" s="38" t="n">
        <v>1</v>
      </c>
      <c r="E17" s="40" t="n">
        <v>210</v>
      </c>
      <c r="F17" s="41">
        <f>E17/E$22</f>
        <v/>
      </c>
      <c r="G17" s="40">
        <f>IF(D17=0,0,E17/D17)</f>
        <v/>
      </c>
    </row>
    <row r="18">
      <c r="A18" s="34" t="n">
        <v>10</v>
      </c>
      <c r="B18" s="35" t="inlineStr">
        <is>
          <t>Capital One Credit Card</t>
        </is>
      </c>
      <c r="C18" s="34" t="inlineStr"/>
      <c r="D18" s="34" t="n">
        <v>3</v>
      </c>
      <c r="E18" s="36" t="n">
        <v>167.8</v>
      </c>
      <c r="F18" s="37">
        <f>E18/E$22</f>
        <v/>
      </c>
      <c r="G18" s="36">
        <f>IF(D18=0,0,E18/D18)</f>
        <v/>
      </c>
    </row>
    <row r="19">
      <c r="A19" s="38" t="n">
        <v>11</v>
      </c>
      <c r="B19" s="39" t="inlineStr">
        <is>
          <t>R.A. Brown Backflow Testing</t>
        </is>
      </c>
      <c r="C19" s="38" t="inlineStr"/>
      <c r="D19" s="38" t="n">
        <v>1</v>
      </c>
      <c r="E19" s="40" t="n">
        <v>129</v>
      </c>
      <c r="F19" s="41">
        <f>E19/E$22</f>
        <v/>
      </c>
      <c r="G19" s="40">
        <f>IF(D19=0,0,E19/D19)</f>
        <v/>
      </c>
    </row>
    <row r="20">
      <c r="A20" s="34" t="n">
        <v>12</v>
      </c>
      <c r="B20" s="35" t="inlineStr">
        <is>
          <t>C.M. Hoskins Company</t>
        </is>
      </c>
      <c r="C20" s="34" t="inlineStr"/>
      <c r="D20" s="34" t="n">
        <v>2</v>
      </c>
      <c r="E20" s="36" t="n">
        <v>97.39999999999999</v>
      </c>
      <c r="F20" s="37">
        <f>E20/E$22</f>
        <v/>
      </c>
      <c r="G20" s="36">
        <f>IF(D20=0,0,E20/D20)</f>
        <v/>
      </c>
    </row>
    <row r="21">
      <c r="A21" s="38" t="n">
        <v>13</v>
      </c>
      <c r="B21" s="39" t="inlineStr">
        <is>
          <t>DRSi</t>
        </is>
      </c>
      <c r="C21" s="38" t="inlineStr"/>
      <c r="D21" s="38" t="n">
        <v>1</v>
      </c>
      <c r="E21" s="40" t="n">
        <v>95.08</v>
      </c>
      <c r="F21" s="41">
        <f>E21/E$22</f>
        <v/>
      </c>
      <c r="G21" s="40">
        <f>IF(D21=0,0,E21/D21)</f>
        <v/>
      </c>
    </row>
    <row r="22">
      <c r="A22" s="42" t="n"/>
      <c r="B22" s="43" t="inlineStr">
        <is>
          <t>TOTAL</t>
        </is>
      </c>
      <c r="C22" s="42" t="n"/>
      <c r="D22" s="44">
        <f>SUM(D9:D21)</f>
        <v/>
      </c>
      <c r="E22" s="45">
        <f>SUM(E9:E21)</f>
        <v/>
      </c>
      <c r="F22" s="46">
        <f>SUM(F9:F21)</f>
        <v/>
      </c>
      <c r="G22" s="45">
        <f>IF(D22=0,0,E22/D22)</f>
        <v/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Reconciliation — Cross-Tab Tie-out Proofs</t>
        </is>
      </c>
    </row>
    <row r="3">
      <c r="B3" s="2" t="inlineStr">
        <is>
          <t>Live cross-sheet formulas verify data consistency across all 12 source tabs</t>
        </is>
      </c>
    </row>
    <row r="4">
      <c r="B4" s="9" t="inlineStr">
        <is>
          <t>Check</t>
        </is>
      </c>
      <c r="C4" s="9" t="inlineStr">
        <is>
          <t>Tab A</t>
        </is>
      </c>
      <c r="D4" s="9" t="inlineStr">
        <is>
          <t>Tab B</t>
        </is>
      </c>
      <c r="E4" s="9" t="inlineStr">
        <is>
          <t>Δ</t>
        </is>
      </c>
      <c r="F4" s="9" t="inlineStr">
        <is>
          <t>Status</t>
        </is>
      </c>
      <c r="G4" s="9" t="inlineStr">
        <is>
          <t>Tabs</t>
        </is>
      </c>
    </row>
    <row r="5">
      <c r="B5" s="3" t="inlineStr">
        <is>
          <t>A. OVERVIEW ↔ BENCHMARK KPIS</t>
        </is>
      </c>
    </row>
    <row r="6">
      <c r="B6" s="4" t="inlineStr">
        <is>
          <t>Direct Cost Total</t>
        </is>
      </c>
      <c r="C6" s="10">
        <f>'Overview'!D24</f>
        <v/>
      </c>
      <c r="D6" s="10">
        <f>'Benchmark KPIs'!D21</f>
        <v/>
      </c>
      <c r="E6" s="10">
        <f>C6-D6</f>
        <v/>
      </c>
      <c r="F6" s="5">
        <f>IF(ABS(E6)&lt;=1,"TIES",IF(ABS(E6)&lt;=ABS(D6)*0.05,"WITHIN","OFF"))</f>
        <v/>
      </c>
      <c r="G6" s="2" t="inlineStr">
        <is>
          <t>1↔2↔11</t>
        </is>
      </c>
    </row>
    <row r="7">
      <c r="B7" s="4" t="inlineStr">
        <is>
          <t>Contract Final Value</t>
        </is>
      </c>
      <c r="C7" s="10" t="n">
        <v>394208</v>
      </c>
      <c r="D7" s="10">
        <f>'Benchmark KPIs'!D16</f>
        <v/>
      </c>
      <c r="E7" s="10">
        <f>C7-D7</f>
        <v/>
      </c>
      <c r="F7" s="5">
        <f>IF(ABS(E7)&lt;=1,"TIES",IF(ABS(E7)&lt;=ABS(D7)*0.05,"WITHIN","OFF"))</f>
        <v/>
      </c>
      <c r="G7" s="2" t="inlineStr">
        <is>
          <t>JDR↔11</t>
        </is>
      </c>
    </row>
    <row r="8">
      <c r="B8" s="4" t="inlineStr">
        <is>
          <t>Net Profit</t>
        </is>
      </c>
      <c r="C8" s="10" t="n">
        <v>113840.13</v>
      </c>
      <c r="D8" s="10">
        <f>'Benchmark KPIs'!D19</f>
        <v/>
      </c>
      <c r="E8" s="10">
        <f>C8-D8</f>
        <v/>
      </c>
      <c r="F8" s="5">
        <f>IF(ABS(E8)&lt;=1,"TIES",IF(ABS(E8)&lt;=ABS(D8)*0.05,"WITHIN","OFF"))</f>
        <v/>
      </c>
      <c r="G8" s="2" t="inlineStr">
        <is>
          <t>JDR↔11</t>
        </is>
      </c>
    </row>
    <row r="9">
      <c r="B9" s="4" t="inlineStr">
        <is>
          <t>Gross Margin</t>
        </is>
      </c>
      <c r="C9" s="11" t="n">
        <v>0.2887818867197013</v>
      </c>
      <c r="D9" s="11">
        <f>'Benchmark KPIs'!D20</f>
        <v/>
      </c>
      <c r="E9" s="11">
        <f>C9-D9</f>
        <v/>
      </c>
      <c r="F9" s="5">
        <f>IF(ABS(E9)&lt;=1,"TIES",IF(ABS(E9)&lt;=ABS(D9)*0.05,"WITHIN","OFF"))</f>
        <v/>
      </c>
      <c r="G9" s="2" t="inlineStr">
        <is>
          <t>JDR↔11</t>
        </is>
      </c>
    </row>
    <row r="10"/>
    <row r="11">
      <c r="B11" s="3" t="inlineStr">
        <is>
          <t>B. OVERVIEW ↔ COST BREAKDOWN (Category Actuals)</t>
        </is>
      </c>
    </row>
    <row r="12">
      <c r="B12" s="4" t="inlineStr">
        <is>
          <t>Labor Actual</t>
        </is>
      </c>
      <c r="C12" s="10">
        <f>'Overview'!D20</f>
        <v/>
      </c>
      <c r="D12" s="10">
        <f>'Cost Breakdown'!E6</f>
        <v/>
      </c>
      <c r="E12" s="10">
        <f>C12-D12</f>
        <v/>
      </c>
      <c r="F12" s="5">
        <f>IF(ABS(E12)&lt;=1,"TIES",IF(ABS(E12)&lt;=ABS(D12)*0.05,"WITHIN","OFF"))</f>
        <v/>
      </c>
      <c r="G12" s="2" t="inlineStr">
        <is>
          <t>1↔3</t>
        </is>
      </c>
    </row>
    <row r="13">
      <c r="B13" s="4" t="inlineStr">
        <is>
          <t>Material Actual</t>
        </is>
      </c>
      <c r="C13" s="10">
        <f>'Overview'!D21</f>
        <v/>
      </c>
      <c r="D13" s="10">
        <f>'Cost Breakdown'!E7</f>
        <v/>
      </c>
      <c r="E13" s="10">
        <f>C13-D13</f>
        <v/>
      </c>
      <c r="F13" s="5">
        <f>IF(ABS(E13)&lt;=1,"TIES",IF(ABS(E13)&lt;=ABS(D13)*0.05,"WITHIN","OFF"))</f>
        <v/>
      </c>
      <c r="G13" s="2" t="inlineStr">
        <is>
          <t>1↔3</t>
        </is>
      </c>
    </row>
    <row r="14">
      <c r="B14" s="4" t="inlineStr">
        <is>
          <t>Overhead Actual</t>
        </is>
      </c>
      <c r="C14" s="10">
        <f>'Overview'!D22</f>
        <v/>
      </c>
      <c r="D14" s="10">
        <f>'Cost Breakdown'!E8</f>
        <v/>
      </c>
      <c r="E14" s="10">
        <f>C14-D14</f>
        <v/>
      </c>
      <c r="F14" s="5">
        <f>IF(ABS(E14)&lt;=1,"TIES",IF(ABS(E14)&lt;=ABS(D14)*0.05,"WITHIN","OFF"))</f>
        <v/>
      </c>
      <c r="G14" s="2" t="inlineStr">
        <is>
          <t>1↔3</t>
        </is>
      </c>
    </row>
    <row r="15">
      <c r="B15" s="4" t="inlineStr">
        <is>
          <t>Burden Actual</t>
        </is>
      </c>
      <c r="C15" s="10">
        <f>'Overview'!D23</f>
        <v/>
      </c>
      <c r="D15" s="10">
        <f>'Cost Breakdown'!E9</f>
        <v/>
      </c>
      <c r="E15" s="10">
        <f>C15-D15</f>
        <v/>
      </c>
      <c r="F15" s="5">
        <f>IF(ABS(E15)&lt;=1,"TIES",IF(ABS(E15)&lt;=ABS(D15)*0.05,"WITHIN","OFF"))</f>
        <v/>
      </c>
      <c r="G15" s="2" t="inlineStr">
        <is>
          <t>1↔3</t>
        </is>
      </c>
    </row>
    <row r="16"/>
    <row r="17">
      <c r="B17" s="3" t="inlineStr">
        <is>
          <t>C. BUDGET vs ACTUAL ↔ OVERVIEW</t>
        </is>
      </c>
    </row>
    <row r="18">
      <c r="B18" s="4" t="inlineStr">
        <is>
          <t>Actual Direct Cost</t>
        </is>
      </c>
      <c r="C18" s="10">
        <f>'Budget vs Actual'!F34</f>
        <v/>
      </c>
      <c r="D18" s="10">
        <f>'Overview'!D24</f>
        <v/>
      </c>
      <c r="E18" s="10">
        <f>C18-D18</f>
        <v/>
      </c>
      <c r="F18" s="5">
        <f>IF(ABS(E18)&lt;=1,"TIES",IF(ABS(E18)&lt;=ABS(D18)*0.05,"WITHIN","OFF"))</f>
        <v/>
      </c>
      <c r="G18" s="2" t="inlineStr">
        <is>
          <t>2↔1</t>
        </is>
      </c>
    </row>
    <row r="19">
      <c r="B19" s="4" t="inlineStr">
        <is>
          <t>Revised Budget Total</t>
        </is>
      </c>
      <c r="C19" s="10">
        <f>'Budget vs Actual'!E34</f>
        <v/>
      </c>
      <c r="D19" s="10">
        <f>'Overview'!C24</f>
        <v/>
      </c>
      <c r="E19" s="10">
        <f>C19-D19</f>
        <v/>
      </c>
      <c r="F19" s="5">
        <f>IF(ABS(E19)&lt;=1,"TIES",IF(ABS(E19)&lt;=ABS(D19)*0.05,"WITHIN","OFF"))</f>
        <v/>
      </c>
      <c r="G19" s="2" t="inlineStr">
        <is>
          <t>2↔1</t>
        </is>
      </c>
    </row>
    <row r="20"/>
    <row r="21">
      <c r="B21" s="3" t="inlineStr">
        <is>
          <t>D. MATERIAL ↔ COST BREAKDOWN ↔ KPIS</t>
        </is>
      </c>
    </row>
    <row r="22">
      <c r="B22" s="4" t="inlineStr">
        <is>
          <t>Material Actual (Material tab)</t>
        </is>
      </c>
      <c r="C22" s="10">
        <f>'Material'!E16</f>
        <v/>
      </c>
      <c r="D22" s="10">
        <f>'Cost Breakdown'!E7</f>
        <v/>
      </c>
      <c r="E22" s="10">
        <f>C22-D22</f>
        <v/>
      </c>
      <c r="F22" s="5">
        <f>IF(ABS(E22)&lt;=1,"TIES",IF(ABS(E22)&lt;=ABS(D22)*0.05,"WITHIN","OFF"))</f>
        <v/>
      </c>
      <c r="G22" s="2" t="inlineStr">
        <is>
          <t>4↔3</t>
        </is>
      </c>
    </row>
    <row r="23">
      <c r="B23" s="4" t="inlineStr">
        <is>
          <t>Material Actual (KPIs)</t>
        </is>
      </c>
      <c r="C23" s="10">
        <f>'Benchmark KPIs'!D23</f>
        <v/>
      </c>
      <c r="D23" s="10">
        <f>'Cost Breakdown'!E7</f>
        <v/>
      </c>
      <c r="E23" s="10">
        <f>C23-D23</f>
        <v/>
      </c>
      <c r="F23" s="5">
        <f>IF(ABS(E23)&lt;=1,"TIES",IF(ABS(E23)&lt;=ABS(D23)*0.05,"WITHIN","OFF"))</f>
        <v/>
      </c>
      <c r="G23" s="2" t="inlineStr">
        <is>
          <t>11↔3</t>
        </is>
      </c>
    </row>
    <row r="24"/>
    <row r="25">
      <c r="B25" s="3" t="inlineStr">
        <is>
          <t>E. CREW &amp; LABOR ↔ PRODUCTIVITY ↔ KPIS (Hours)</t>
        </is>
      </c>
    </row>
    <row r="26">
      <c r="B26" s="4" t="inlineStr">
        <is>
          <t>Total Hours (Crew tab)</t>
        </is>
      </c>
      <c r="C26" s="47">
        <f>'Crew &amp; Labor'!C28</f>
        <v/>
      </c>
      <c r="D26" s="47">
        <f>'Benchmark KPIs'!D37</f>
        <v/>
      </c>
      <c r="E26" s="47">
        <f>C26-D26</f>
        <v/>
      </c>
      <c r="F26" s="5">
        <f>IF(ABS(E26)&lt;=5,"TIES",IF(ABS(E26)&lt;=ABS(D26)*0.05,"WITHIN","OFF"))</f>
        <v/>
      </c>
      <c r="G26" s="2" t="inlineStr">
        <is>
          <t>5↔11</t>
        </is>
      </c>
    </row>
    <row r="27">
      <c r="B27" s="4" t="inlineStr">
        <is>
          <t>Total Hours (Productivity tab)</t>
        </is>
      </c>
      <c r="C27" s="47">
        <f>'Productivity'!D17</f>
        <v/>
      </c>
      <c r="D27" s="47">
        <f>'Benchmark KPIs'!D37</f>
        <v/>
      </c>
      <c r="E27" s="47">
        <f>C27-D27</f>
        <v/>
      </c>
      <c r="F27" s="5">
        <f>IF(ABS(E27)&lt;=5,"TIES",IF(ABS(E27)&lt;=ABS(D27)*0.05,"WITHIN","OFF"))</f>
        <v/>
      </c>
      <c r="G27" s="2" t="inlineStr">
        <is>
          <t>7↔11</t>
        </is>
      </c>
    </row>
    <row r="28">
      <c r="B28" s="4" t="inlineStr">
        <is>
          <t>Total Workers</t>
        </is>
      </c>
      <c r="C28" s="14" t="n">
        <v>23</v>
      </c>
      <c r="D28" s="14">
        <f>'Benchmark KPIs'!D38</f>
        <v/>
      </c>
      <c r="E28" s="14">
        <f>C28-D28</f>
        <v/>
      </c>
      <c r="F28" s="5">
        <f>IF(E28=0,"TIES",IF(ABS(E28)&lt;=1,"WITHIN","OFF"))</f>
        <v/>
      </c>
      <c r="G28" s="2" t="inlineStr">
        <is>
          <t>JDR↔11</t>
        </is>
      </c>
    </row>
    <row r="29"/>
    <row r="30">
      <c r="B30" s="3" t="inlineStr">
        <is>
          <t>F. CREW ANALYTICS ↔ KPIS (Wage Statistics)</t>
        </is>
      </c>
    </row>
    <row r="31">
      <c r="B31" s="4" t="inlineStr">
        <is>
          <t>Blended Gross Wage</t>
        </is>
      </c>
      <c r="C31" s="17">
        <f>'Crew Analytics'!C12</f>
        <v/>
      </c>
      <c r="D31" s="17">
        <f>'Benchmark KPIs'!D39</f>
        <v/>
      </c>
      <c r="E31" s="17">
        <f>C31-D31</f>
        <v/>
      </c>
      <c r="F31" s="5">
        <f>IF(ABS(E31)&lt;=1,"TIES",IF(ABS(E31)&lt;=ABS(D31)*0.05,"WITHIN","OFF"))</f>
        <v/>
      </c>
      <c r="G31" s="2" t="inlineStr">
        <is>
          <t>6↔11</t>
        </is>
      </c>
    </row>
    <row r="32">
      <c r="B32" s="4" t="inlineStr">
        <is>
          <t>Fully-Loaded Wage</t>
        </is>
      </c>
      <c r="C32" s="17">
        <f>'Crew Analytics'!C13</f>
        <v/>
      </c>
      <c r="D32" s="17">
        <f>'Benchmark KPIs'!D40</f>
        <v/>
      </c>
      <c r="E32" s="17">
        <f>C32-D32</f>
        <v/>
      </c>
      <c r="F32" s="5">
        <f>IF(ABS(E32)&lt;=1,"TIES",IF(ABS(E32)&lt;=ABS(D32)*0.05,"WITHIN","OFF"))</f>
        <v/>
      </c>
      <c r="G32" s="2" t="inlineStr">
        <is>
          <t>6↔11</t>
        </is>
      </c>
    </row>
    <row r="33"/>
    <row r="34">
      <c r="B34" s="3" t="inlineStr">
        <is>
          <t>G. PO COMMITMENTS ↔ KPIS</t>
        </is>
      </c>
    </row>
    <row r="35">
      <c r="B35" s="4" t="inlineStr">
        <is>
          <t>PO Count</t>
        </is>
      </c>
      <c r="C35" s="14">
        <f>'PO Commitments'!D9</f>
        <v/>
      </c>
      <c r="D35" s="14">
        <f>'Benchmark KPIs'!D54</f>
        <v/>
      </c>
      <c r="E35" s="14">
        <f>C35-D35</f>
        <v/>
      </c>
      <c r="F35" s="5">
        <f>IF(E35=0,"TIES",IF(ABS(E35)&lt;=1,"WITHIN","OFF"))</f>
        <v/>
      </c>
      <c r="G35" s="2" t="inlineStr">
        <is>
          <t>8↔11</t>
        </is>
      </c>
    </row>
    <row r="36"/>
    <row r="37">
      <c r="B37" s="3" t="inlineStr">
        <is>
          <t>H. BILLING &amp; SOV ↔ JDR</t>
        </is>
      </c>
    </row>
    <row r="38">
      <c r="B38" s="4" t="inlineStr">
        <is>
          <t>Final Contract Value</t>
        </is>
      </c>
      <c r="C38" s="10" t="n">
        <v>394208</v>
      </c>
      <c r="D38" s="10" t="n">
        <v>394208</v>
      </c>
      <c r="E38" s="10">
        <f>C38-D38</f>
        <v/>
      </c>
      <c r="F38" s="5">
        <f>IF(ABS(E38)&lt;=1,"TIES",IF(ABS(E38)&lt;=ABS(D38)*0.05,"WITHIN","OFF"))</f>
        <v/>
      </c>
      <c r="G38" s="2" t="inlineStr">
        <is>
          <t>9↔JDR</t>
        </is>
      </c>
    </row>
    <row r="39">
      <c r="B39" s="4" t="inlineStr">
        <is>
          <t>Retainage</t>
        </is>
      </c>
      <c r="C39" s="10" t="n">
        <v>19710</v>
      </c>
      <c r="D39" s="10" t="n">
        <v>19710</v>
      </c>
      <c r="E39" s="10">
        <f>C39-D39</f>
        <v/>
      </c>
      <c r="F39" s="5">
        <f>IF(ABS(E39)&lt;=1,"TIES",IF(ABS(E39)&lt;=ABS(D39)*0.05,"WITHIN","OFF"))</f>
        <v/>
      </c>
      <c r="G39" s="2" t="inlineStr">
        <is>
          <t>9↔JDR</t>
        </is>
      </c>
    </row>
    <row r="40">
      <c r="B40" s="4" t="inlineStr">
        <is>
          <t>Direct Cost</t>
        </is>
      </c>
      <c r="C40" s="10" t="n">
        <v>280368</v>
      </c>
      <c r="D40" s="10" t="n">
        <v>280368</v>
      </c>
      <c r="E40" s="10">
        <f>C40-D40</f>
        <v/>
      </c>
      <c r="F40" s="5">
        <f>IF(ABS(E40)&lt;=1,"TIES",IF(ABS(E40)&lt;=ABS(D40)*0.05,"WITHIN","OFF"))</f>
        <v/>
      </c>
      <c r="G40" s="2" t="inlineStr">
        <is>
          <t>9↔JDR</t>
        </is>
      </c>
    </row>
    <row r="41"/>
    <row r="42">
      <c r="B42" s="3" t="inlineStr">
        <is>
          <t>I. VENDORS ↔ KPIS</t>
        </is>
      </c>
    </row>
    <row r="43">
      <c r="B43" s="4" t="inlineStr">
        <is>
          <t>Vendor Count</t>
        </is>
      </c>
      <c r="C43" s="14">
        <f>'Vendors'!B3</f>
        <v/>
      </c>
      <c r="D43" s="14">
        <f>'Benchmark KPIs'!D51</f>
        <v/>
      </c>
      <c r="E43" s="14">
        <f>C43-D43</f>
        <v/>
      </c>
      <c r="F43" s="5">
        <f>IF(E43=0,"TIES",IF(ABS(E43)&lt;=1,"WITHIN","OFF"))</f>
        <v/>
      </c>
      <c r="G43" s="2" t="inlineStr">
        <is>
          <t>12↔11</t>
        </is>
      </c>
    </row>
    <row r="44">
      <c r="B44" s="4" t="inlineStr">
        <is>
          <t>Total AP Spend</t>
        </is>
      </c>
      <c r="C44" s="10">
        <f>'Vendors'!E22</f>
        <v/>
      </c>
      <c r="D44" s="10" t="n">
        <v>174470</v>
      </c>
      <c r="E44" s="10">
        <f>C44-D44</f>
        <v/>
      </c>
      <c r="F44" s="5">
        <f>IF(ABS(E44)&lt;=1,"TIES",IF(ABS(E44)&lt;=ABS(D44)*0.05,"WITHIN","OFF"))</f>
        <v/>
      </c>
      <c r="G44" s="2" t="inlineStr">
        <is>
          <t>12↔JDR</t>
        </is>
      </c>
    </row>
    <row r="45"/>
    <row r="46">
      <c r="B46" s="3" t="inlineStr">
        <is>
          <t>J. INSIGHTS (Narrative Review)</t>
        </is>
      </c>
    </row>
    <row r="47">
      <c r="B47" s="2" t="inlineStr">
        <is>
          <t>10 insight cards — narrative text verified at generation time, no formula check applicable</t>
        </is>
      </c>
    </row>
    <row r="48"/>
    <row r="49">
      <c r="B49" s="3" t="inlineStr">
        <is>
          <t>SOURCES</t>
        </is>
      </c>
    </row>
    <row r="50">
      <c r="B50" s="2" t="inlineStr">
        <is>
          <t>Job #2009 — Chinn Greenwood Apartments  •  GC: Chinn Construction, LLC  •  Seattle, WA</t>
        </is>
      </c>
    </row>
    <row r="51">
      <c r="B51" s="2" t="inlineStr">
        <is>
          <t>Canonical source: 2009 Job Detail Report.pdf (49 pages, OWP Sage Timberline export)</t>
        </is>
      </c>
    </row>
    <row r="52">
      <c r="B52" s="2" t="inlineStr">
        <is>
          <t>Cost codes parsed: 26</t>
        </is>
      </c>
    </row>
    <row r="53">
      <c r="B53" s="2" t="inlineStr">
        <is>
          <t>Unit count (168) and fixture count (812) from greenwood h20 stacks.xls and trim POs</t>
        </is>
      </c>
    </row>
    <row r="54">
      <c r="B54" s="2" t="inlineStr">
        <is>
          <t>3-level building + lobby: L1 (18 units), L2 (18 units), L3 (18 units), LW (amenity) × south/north stacks</t>
        </is>
      </c>
    </row>
    <row r="55">
      <c r="B55" s="2" t="inlineStr">
        <is>
          <t>Billing: GREENWOOD AGGREGATE BILLING.xlsx (11 pay apps Jul 2012 – Oct 2013)</t>
        </is>
      </c>
    </row>
    <row r="56">
      <c r="B56" s="2" t="inlineStr">
        <is>
          <t>Final contract $394,208 (original $384,900 + $9,308 COs)</t>
        </is>
      </c>
    </row>
    <row r="57">
      <c r="B57" s="2" t="inlineStr">
        <is>
          <t>TIES = within $1 / 5 hrs / exact count  •  WITHIN = within 5%  •  OFF = investigate</t>
        </is>
      </c>
    </row>
    <row r="58">
      <c r="B58" s="2" t="inlineStr">
        <is>
          <t>Cross-sheet formulas (='Tab'!Cell) update automatically when source tabs change</t>
        </is>
      </c>
    </row>
    <row r="59">
      <c r="B59" s="2" t="inlineStr">
        <is>
          <t>Tabs: 1=Overview  2=BvA  3=CostBkdn  4=Material  5=Crew  6=CrewAnalytics  7=Productivity</t>
        </is>
      </c>
    </row>
    <row r="60">
      <c r="B60" s="2" t="inlineStr">
        <is>
          <t xml:space="preserve">      8=PO  9=Billing  10=Insights  11=KPIs  12=Vendors  13=Reconciliation (this tab)</t>
        </is>
      </c>
    </row>
  </sheetData>
  <mergeCells count="25">
    <mergeCell ref="B2:G2"/>
    <mergeCell ref="B42:G42"/>
    <mergeCell ref="B60:G60"/>
    <mergeCell ref="B17:G17"/>
    <mergeCell ref="B57:G57"/>
    <mergeCell ref="B53:G53"/>
    <mergeCell ref="B34:G34"/>
    <mergeCell ref="B37:G37"/>
    <mergeCell ref="B49:G49"/>
    <mergeCell ref="B30:G30"/>
    <mergeCell ref="B55:G55"/>
    <mergeCell ref="B51:G51"/>
    <mergeCell ref="B5:G5"/>
    <mergeCell ref="B50:G50"/>
    <mergeCell ref="B25:G25"/>
    <mergeCell ref="B3:G3"/>
    <mergeCell ref="B47:G47"/>
    <mergeCell ref="B54:G54"/>
    <mergeCell ref="B46:G46"/>
    <mergeCell ref="B59:G59"/>
    <mergeCell ref="B56:G56"/>
    <mergeCell ref="B58:G58"/>
    <mergeCell ref="B52:G52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2026-04-13T15:54:19Z</dcterms:created>
  <dcterms:modified xmlns:dcterms="http://purl.org/dc/terms/" xmlns:xsi="http://www.w3.org/2001/XMLSchema-instance" xsi:type="dcterms:W3CDTF">2026-04-13T15:54:19Z</dcterms:modified>
</cp:coreProperties>
</file>