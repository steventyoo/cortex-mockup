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<sst xmlns="http://schemas.openxmlformats.org/spreadsheetml/2006/main" count="1398" uniqueCount="741">
  <si>
    <t xml:space="preserve">Job #2009 · Chinn Greenwood Apartments</t>
  </si>
  <si>
    <t xml:space="preserve">Cortex JCR Summary  •  Chinn Construction, LLC  •  Seattle, WA  •  168-unit apartment building  •  Jul 2012 – Oct 2013 (~16 months)</t>
  </si>
  <si>
    <t xml:space="preserve">PROJECT OVERVIEW</t>
  </si>
  <si>
    <t xml:space="preserve">Project Job #</t>
  </si>
  <si>
    <t xml:space="preserve">2009</t>
  </si>
  <si>
    <t xml:space="preserve">Project Name:</t>
  </si>
  <si>
    <t xml:space="preserve">Chinn Greenwood Apartments</t>
  </si>
  <si>
    <t xml:space="preserve">General Contractor</t>
  </si>
  <si>
    <t xml:space="preserve">Chinn Construction, LLC</t>
  </si>
  <si>
    <t xml:space="preserve">Location</t>
  </si>
  <si>
    <t xml:space="preserve">Seattle, WA</t>
  </si>
  <si>
    <t xml:space="preserve">Project Duration</t>
  </si>
  <si>
    <t xml:space="preserve">Jul 2012 – Oct 2013 (~16 months)</t>
  </si>
  <si>
    <t xml:space="preserve">Total Unique Documents</t>
  </si>
  <si>
    <t xml:space="preserve">Greenwood folder: Contract, Billing (aggregate + 11 SOVs), PO Scheduled (48), Permits, Plans, Submittals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</si>
  <si>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</si>
  <si>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</si>
  <si>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</si>
  <si>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</si>
  <si>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$394,208</t>
  </si>
  <si>
    <t xml:space="preserve">$113,840</t>
  </si>
  <si>
    <t xml:space="preserve">$280,368</t>
  </si>
  <si>
    <t xml:space="preserve">3,928</t>
  </si>
  <si>
    <t xml:space="preserve">Original $384,900 + $9,308 COs</t>
  </si>
  <si>
    <t xml:space="preserve">28.9% margin</t>
  </si>
  <si>
    <t xml:space="preserve">71.1% of revenue</t>
  </si>
  <si>
    <t xml:space="preserve">23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</si>
  <si>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</si>
  <si>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</si>
  <si>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</si>
  <si>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</si>
  <si>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</si>
  <si>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</si>
  <si>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</si>
  <si>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</si>
  <si>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</si>
  <si>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</si>
  <si>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</si>
  <si>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</si>
  <si>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</si>
  <si>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</si>
  <si>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</si>
  <si>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</si>
  <si>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168</t>
  </si>
  <si>
    <t xml:space="preserve">Water Closets</t>
  </si>
  <si>
    <t xml:space="preserve">Kitchen Sinks</t>
  </si>
  <si>
    <t xml:space="preserve">Total Fixtures</t>
  </si>
  <si>
    <t xml:space="preserve">812</t>
  </si>
  <si>
    <t xml:space="preserve">Lavatories</t>
  </si>
  <si>
    <t xml:space="preserve">Tubs</t>
  </si>
  <si>
    <t xml:space="preserve">Fixtures / Unit</t>
  </si>
  <si>
    <t xml:space="preserve">4.83</t>
  </si>
  <si>
    <t xml:space="preserve">Auto Washers</t>
  </si>
  <si>
    <t xml:space="preserve">140</t>
  </si>
  <si>
    <t xml:space="preserve">Showers</t>
  </si>
  <si>
    <t xml:space="preserve">0</t>
  </si>
  <si>
    <t xml:space="preserve">Stacks</t>
  </si>
  <si>
    <t xml:space="preserve">36</t>
  </si>
  <si>
    <t xml:space="preserve">Duration</t>
  </si>
  <si>
    <t xml:space="preserve">16 mo</t>
  </si>
  <si>
    <t xml:space="preserve">Cost Codes</t>
  </si>
  <si>
    <t xml:space="preserve">26</t>
  </si>
  <si>
    <t xml:space="preserve">SOURCES</t>
  </si>
  <si>
    <t xml:space="preserve">Job #2009 — Chinn Greenwood Apartments  •  GC: Chinn Construction, LLC  •  Seattle, WA</t>
  </si>
  <si>
    <t xml:space="preserve">Canonical source: 2009 Job Detail Report.pdf (49 pages, OWP Sage Timberline export)</t>
  </si>
  <si>
    <t xml:space="preserve">Cost codes parsed: 26</t>
  </si>
  <si>
    <t xml:space="preserve">Unit count (168) and fixture count (812) from greenwood h20 stacks.xls and trim POs</t>
  </si>
  <si>
    <t xml:space="preserve">3-level building + lobby: L1 (18 units), L2 (18 units), L3 (18 units), LW (amenity) × south/north stacks</t>
  </si>
  <si>
    <t xml:space="preserve">Billing: GREENWOOD AGGREGATE BILLING.xlsx (11 pay apps Jul 2012 – Oct 2013)</t>
  </si>
  <si>
    <t xml:space="preserve">Final contract $394,208 (original $384,900 + $9,308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</si>
  <si>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</si>
  <si>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</si>
  <si>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</si>
  <si>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</si>
  <si>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</si>
  <si>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</si>
  <si>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</si>
  <si>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</si>
  <si>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</si>
  <si>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</si>
  <si>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</si>
  <si>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</si>
  <si>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</si>
  <si>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</si>
  <si>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</si>
  <si>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</si>
  <si>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</si>
  <si>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</si>
  <si>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</si>
  <si>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</si>
  <si>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</si>
  <si>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</si>
  <si>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</si>
  <si>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</si>
  <si>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</si>
  <si>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</si>
  <si>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</si>
  <si>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</si>
  <si>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</si>
  <si>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</si>
  <si>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</si>
  <si>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</si>
  <si>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</si>
  <si>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</si>
  <si>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</si>
  <si>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</si>
  <si>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</si>
  <si>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</si>
  <si>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</si>
  <si>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</si>
  <si>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</si>
  <si>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</si>
  <si>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</si>
  <si>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</si>
  <si>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</si>
  <si>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</si>
  <si>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</si>
  <si>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</si>
  <si>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</si>
  <si>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</si>
  <si>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</si>
  <si>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</si>
  <si>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</si>
  <si>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</si>
  <si>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</si>
  <si>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</si>
  <si>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</si>
  <si>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</si>
  <si>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</si>
  <si>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</si>
  <si>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</si>
  <si>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</si>
  <si>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</si>
  <si>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</si>
  <si>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</si>
  <si>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</si>
  <si>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</si>
  <si>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</si>
  <si>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</si>
  <si>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</si>
  <si>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</si>
  <si>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</si>
  <si>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$151,064 JDR material  •  13 AP vendors  •  $174,470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</si>
  <si>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</si>
  <si>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</si>
  <si>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</si>
  <si>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</si>
  <si>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</si>
  <si>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</si>
  <si>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</si>
  <si>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</si>
  <si>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</si>
  <si>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</si>
  <si>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Keller Supply Company</t>
  </si>
  <si>
    <t xml:space="preserve">Mechanical Sales, Inc.</t>
  </si>
  <si>
    <t xml:space="preserve">Franklin Engineering</t>
  </si>
  <si>
    <t xml:space="preserve">Mickelo Construction LLC</t>
  </si>
  <si>
    <t xml:space="preserve">Quality Concrete Products, Inc.</t>
  </si>
  <si>
    <t xml:space="preserve">Rosen Supply Company, Inc.</t>
  </si>
  <si>
    <t xml:space="preserve">Ferguson Enterprises, Inc. #3007</t>
  </si>
  <si>
    <t xml:space="preserve">Bank of America CC</t>
  </si>
  <si>
    <t xml:space="preserve">Capital One Credit Card</t>
  </si>
  <si>
    <t xml:space="preserve">R.A. Brown Backflow Testing</t>
  </si>
  <si>
    <t xml:space="preserve">C.M. Hoskins Company</t>
  </si>
  <si>
    <t xml:space="preserve">DRSi</t>
  </si>
  <si>
    <t xml:space="preserve">Vendor AP ties to JDR 'by Source: AP' line (174,470.05)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</si>
  <si>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</si>
  <si>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</si>
  <si>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</si>
  <si>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</si>
  <si>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</si>
  <si>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</si>
  <si>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Quintanilla, Esteban R</t>
  </si>
  <si>
    <t xml:space="preserve">Senior</t>
  </si>
  <si>
    <t xml:space="preserve">Sanders, Allen O</t>
  </si>
  <si>
    <t xml:space="preserve">Mid</t>
  </si>
  <si>
    <t xml:space="preserve">Mazil, Antonio</t>
  </si>
  <si>
    <t xml:space="preserve">Apprentice</t>
  </si>
  <si>
    <t xml:space="preserve">Castro Hernandez, Carlos E</t>
  </si>
  <si>
    <t xml:space="preserve">Palma Vides, Hugo</t>
  </si>
  <si>
    <t xml:space="preserve">Ramirez, Lorenzo A</t>
  </si>
  <si>
    <t xml:space="preserve">Castro Hernandez, Jose A</t>
  </si>
  <si>
    <t xml:space="preserve">Arreola, Israel A</t>
  </si>
  <si>
    <t xml:space="preserve">Soto Cruz, Jovani</t>
  </si>
  <si>
    <t xml:space="preserve">Cortes Mendiola, Victor H</t>
  </si>
  <si>
    <t xml:space="preserve">Meza Fuentes, Erick A</t>
  </si>
  <si>
    <t xml:space="preserve">Gerard, Jeffrey S</t>
  </si>
  <si>
    <t xml:space="preserve">Waites, Thaddeus Z</t>
  </si>
  <si>
    <t xml:space="preserve">Barnhart, Joseph N</t>
  </si>
  <si>
    <t xml:space="preserve">Paco Leyva, Orlando</t>
  </si>
  <si>
    <t xml:space="preserve">Veley, Nathaniel S</t>
  </si>
  <si>
    <t xml:space="preserve">McCabe, Thomas C</t>
  </si>
  <si>
    <t xml:space="preserve">Reed, Reuben H</t>
  </si>
  <si>
    <t xml:space="preserve">Sepulveda Gonzalez, Alfredo</t>
  </si>
  <si>
    <t xml:space="preserve">Soto Serna, Cesar E</t>
  </si>
  <si>
    <t xml:space="preserve">Hubbard, Robert W</t>
  </si>
  <si>
    <t xml:space="preserve">Hubbard, Dustin R</t>
  </si>
  <si>
    <t xml:space="preserve">Lima Romero, Melvin A</t>
  </si>
  <si>
    <t xml:space="preserve">TOTAL (23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</si>
  <si>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</si>
  <si>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</si>
  <si>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</si>
  <si>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</si>
  <si>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</si>
  <si>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</si>
  <si>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</si>
  <si>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</si>
  <si>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</si>
  <si>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</si>
  <si>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</si>
  <si>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</si>
  <si>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</si>
  <si>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</si>
  <si>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</si>
  <si>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</si>
  <si>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</si>
  <si>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</si>
  <si>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</si>
  <si>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</si>
  <si>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</si>
  <si>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</si>
  <si>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</si>
  <si>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</si>
  <si>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</si>
  <si>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</si>
  <si>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</si>
  <si>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</si>
  <si>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</si>
  <si>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</si>
  <si>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</si>
  <si>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</si>
  <si>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</si>
  <si>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</si>
  <si>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</si>
  <si>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</si>
  <si>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</si>
  <si>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</si>
  <si>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</si>
  <si>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</si>
  <si>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</si>
  <si>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</si>
  <si>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</si>
  <si>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</si>
  <si>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</si>
  <si>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</si>
  <si>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</si>
  <si>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</si>
  <si>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</si>
  <si>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</si>
  <si>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</si>
  <si>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</si>
  <si>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</si>
  <si>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</si>
  <si>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</si>
  <si>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</si>
  <si>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</si>
  <si>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7 unique POs  •  PO amounts not dollar-parsed from individual PDFs  •  JDR material $151,064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</si>
  <si>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</si>
  <si>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</si>
  <si>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</si>
  <si>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</si>
  <si>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</si>
  <si>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</si>
  <si>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32</t>
  </si>
  <si>
    <t xml:space="preserve">130+230 Trim/Finish</t>
  </si>
  <si>
    <t xml:space="preserve">OTHER</t>
  </si>
  <si>
    <t xml:space="preserve">Unclassified</t>
  </si>
  <si>
    <t xml:space="preserve">B. COMMITMENTS BY VENDOR</t>
  </si>
  <si>
    <t xml:space="preserve">FEI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</si>
  <si>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</si>
  <si>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</si>
  <si>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</si>
  <si>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</si>
  <si>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</si>
  <si>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</si>
  <si>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</si>
  <si>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11 pay applications  •  Jul 2012 – Oct 2013  •  $394,208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</si>
  <si>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</si>
  <si>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</si>
  <si>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</si>
  <si>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</si>
  <si>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</si>
  <si>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</si>
  <si>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</si>
  <si>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</si>
  <si>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</si>
  <si>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</si>
  <si>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</si>
  <si>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</si>
  <si>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</si>
  <si>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</si>
  <si>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2012-07-20</t>
  </si>
  <si>
    <t xml:space="preserve">2012-08-20</t>
  </si>
  <si>
    <t xml:space="preserve">2012-09-20</t>
  </si>
  <si>
    <t xml:space="preserve">2012-10-20</t>
  </si>
  <si>
    <t xml:space="preserve">2012-11-15</t>
  </si>
  <si>
    <t xml:space="preserve">2012-12-20</t>
  </si>
  <si>
    <t xml:space="preserve">2013-02-19</t>
  </si>
  <si>
    <t xml:space="preserve">2013-03-19</t>
  </si>
  <si>
    <t xml:space="preserve">2013-04-18</t>
  </si>
  <si>
    <t xml:space="preserve">2013-05-19</t>
  </si>
  <si>
    <t xml:space="preserve">2013-08-13</t>
  </si>
  <si>
    <t xml:space="preserve">2013-10-24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</si>
  <si>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</si>
  <si>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</si>
  <si>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</si>
  <si>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</si>
  <si>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</si>
  <si>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</si>
  <si>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#2009 Chinn Greenwood Apartments</t>
  </si>
  <si>
    <t xml:space="preserve">Narrative observations distilled from the full JDR analysis</t>
  </si>
  <si>
    <t xml:space="preserve">MARGIN PROFILE</t>
  </si>
  <si>
    <t xml:space="preserve">Net profit of $113,840 on $394,208 revenue = 28.9% gross margin. Direct cost $280,368 absorbs 71.1% of revenue.</t>
  </si>
  <si>
    <t xml:space="preserve">VENDOR CONCENTRATION</t>
  </si>
  <si>
    <t xml:space="preserve">Ferguson Enterprises, Inc. alone = $117,439 (67% of all AP) across 65 invoices. Total 13 AP vendors, $174,470 total AP spend.</t>
  </si>
  <si>
    <t xml:space="preserve">CREW PROFILE</t>
  </si>
  <si>
    <t xml:space="preserve">23 workers for 3,928 hours = 171 avg hrs/worker. Top 3 workers logged 1,418 hrs combined (36% of all labor).</t>
  </si>
  <si>
    <t xml:space="preserve">ROUGHIN DOMINANCE</t>
  </si>
  <si>
    <t xml:space="preserve">Code 120 Roughin Labor = 2,311 hrs (59% of all labor) and $46,114 actual. Code 230 Finish Material = $109,976 — 39% of total direct cost.</t>
  </si>
  <si>
    <t xml:space="preserve">BUDGET DELIVERY</t>
  </si>
  <si>
    <t xml:space="preserve">Revised budget was $317,000; actual direct cost $280,368 → $36,632 variance (11.6% under revised budget).</t>
  </si>
  <si>
    <t xml:space="preserve">CONTRACT GROWTH</t>
  </si>
  <si>
    <t xml:space="preserve">Contract grew from $384,900 to $394,208 — net +$9,308 (2.4%). Retainage of $19,710 (5%) withheld until closeout.</t>
  </si>
  <si>
    <t xml:space="preserve">BURDEN RATIO</t>
  </si>
  <si>
    <t xml:space="preserve">Burden codes 995 + 998 = $40,891 on $80,902 labor base = 50.5%. In line with OWP's typical 48–50% labor burden.</t>
  </si>
  <si>
    <t xml:space="preserve">PROJECT SCALE</t>
  </si>
  <si>
    <t xml:space="preserve">168 units · 812 fixtures · 16 months. Revenue/unit $2,346, hours/unit 23.4, profit/unit $678.</t>
  </si>
  <si>
    <t xml:space="preserve">PRODUCTIVITY</t>
  </si>
  <si>
    <t xml:space="preserve">Blended labor rate $20.59/hr. Revenue/hour $100. Profit/hour $29. 246 hrs/month burn rate.</t>
  </si>
  <si>
    <t xml:space="preserve">FIXTURE DENSITY</t>
  </si>
  <si>
    <t xml:space="preserve">812 fixtures ÷ 168 units = 4.83 fixtures/unit. Material/fixture $186, labor/fixture $100.</t>
  </si>
  <si>
    <t xml:space="preserve">BIGGEST QUESTION</t>
  </si>
  <si>
    <t xml:space="preserve">How does this job's 28.9%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</si>
  <si>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</si>
  <si>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</si>
  <si>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</si>
  <si>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</si>
  <si>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</si>
  <si>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</si>
  <si>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</si>
  <si>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</si>
  <si>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</si>
  <si>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</si>
  <si>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</si>
  <si>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</si>
  <si>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</si>
  <si>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</si>
  <si>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</si>
  <si>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</si>
  <si>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</si>
  <si>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</si>
  <si>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168-unit apartment building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</si>
  <si>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</si>
  <si>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</si>
  <si>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</si>
  <si>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</si>
  <si>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</si>
  <si>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</si>
  <si>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</si>
  <si>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</si>
  <si>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</si>
  <si>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</si>
  <si>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</si>
  <si>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</si>
  <si>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</si>
  <si>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</si>
  <si>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</si>
  <si>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</si>
  <si>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</si>
  <si>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</si>
  <si>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</si>
  <si>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</si>
  <si>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</si>
  <si>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</si>
  <si>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</si>
  <si>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</si>
  <si>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11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</si>
  <si>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</si>
  <si>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</si>
  <si>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</si>
  <si>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</si>
  <si>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</si>
  <si>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</si>
  <si>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</si>
  <si>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</si>
  <si>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</si>
  <si>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</si>
  <si>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</si>
  <si>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</si>
  <si>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</si>
  <si>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</si>
  <si>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</si>
  <si>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</si>
  <si>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</si>
  <si>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</si>
  <si>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</si>
  <si>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</si>
  <si>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</si>
  <si>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</si>
  <si>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</si>
  <si>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</si>
  <si>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</si>
  <si>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</si>
  <si>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</si>
  <si>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</si>
  <si>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</si>
  <si>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</si>
  <si>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</si>
  <si>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</si>
  <si>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</si>
  <si>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</si>
  <si>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</si>
  <si>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</si>
  <si>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</si>
  <si>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</si>
  <si>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</si>
  <si>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</si>
  <si>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</si>
  <si>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</si>
  <si>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</si>
  <si>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</si>
  <si>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</si>
  <si>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</si>
  <si>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</si>
  <si>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</si>
  <si>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</si>
  <si>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</si>
  <si>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</si>
  <si>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</si>
  <si>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</si>
  <si>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</si>
  <si>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</si>
  <si>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</si>
  <si>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</si>
  <si>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</si>
  <si>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</si>
  <si>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</si>
  <si>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</si>
  <si>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</si>
  <si>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</si>
  <si>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</si>
  <si>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</si>
  <si>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</si>
  <si>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</si>
  <si>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</si>
  <si>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</si>
  <si>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</si>
  <si>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</si>
  <si>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</si>
  <si>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</si>
  <si>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</si>
  <si>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</si>
  <si>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</si>
  <si>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</si>
  <si>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</si>
  <si>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Vendor Detail — Job #2009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</si>
  <si>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</si>
  <si>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</si>
  <si>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</si>
  <si>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</si>
  <si>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</si>
  <si>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</si>
  <si>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Job Detail Report (Sage Timberline AP export)</t>
  </si>
  <si>
    <t xml:space="preserve">Avg Inv</t>
  </si>
  <si>
    <t xml:space="preserve">Rank</t>
  </si>
  <si>
    <t xml:space="preserve">Vendor Code</t>
  </si>
  <si>
    <t xml:space="preserve">Avg / Invoice</t>
  </si>
  <si>
    <t xml:space="preserve">Change Log — Master Register</t>
  </si>
  <si>
    <t xml:space="preserve">Unified change-event ledger: RFIs, ASIs, COPs, COs, Backcharges, T&amp;M (8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</si>
  <si>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</si>
  <si>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</si>
  <si>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</si>
  <si>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</si>
  <si>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</si>
  <si>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</si>
  <si>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</si>
  <si>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ASI-001</t>
  </si>
  <si>
    <t xml:space="preserve">ASI</t>
  </si>
  <si>
    <t xml:space="preserve">2012-07-01</t>
  </si>
  <si>
    <t xml:space="preserve">Water distribution &amp; drainage system specifications (Greenwood ASI-01)</t>
  </si>
  <si>
    <t xml:space="preserve">Architect</t>
  </si>
  <si>
    <t xml:space="preserve">Closed</t>
  </si>
  <si>
    <t xml:space="preserve">2009-Chinn Greenwood/2009 Greenwood/chinn greenwood/greenwood asi 1.pdf</t>
  </si>
  <si>
    <t xml:space="preserve">ASI-003</t>
  </si>
  <si>
    <t xml:space="preserve">2012-10-08</t>
  </si>
  <si>
    <t xml:space="preserve">Booster system routing &amp; pressure relief clarification</t>
  </si>
  <si>
    <t xml:space="preserve">SUB-BPC-R1</t>
  </si>
  <si>
    <t xml:space="preserve">2009-Chinn Greenwood/2009 Greenwood/chinn greenwood/Greenwood ASI-03.pdf</t>
  </si>
  <si>
    <t xml:space="preserve">Submittal-resub</t>
  </si>
  <si>
    <t xml:space="preserve">2012-10</t>
  </si>
  <si>
    <t xml:space="preserve">BPC Booster System — Rev1 model (driven by ASI-03 clarification)</t>
  </si>
  <si>
    <t xml:space="preserve">Sub (OWP)</t>
  </si>
  <si>
    <t xml:space="preserve">2009-Chinn Greenwood/2009 Greenwood/BPC Booster System Rev1-Model.pdf</t>
  </si>
  <si>
    <t xml:space="preserve">COST-120-OVER</t>
  </si>
  <si>
    <t xml:space="preserve">CO</t>
  </si>
  <si>
    <t xml:space="preserve">2013-08-27</t>
  </si>
  <si>
    <t xml:space="preserve">Rough-in phase labor overrun — $11,614 over budget (56% of project hours, 34% over). No CO filed. Undocumented scope/productivity loss.</t>
  </si>
  <si>
    <t xml:space="preserve">Field (OWP)</t>
  </si>
  <si>
    <t xml:space="preserve">Undocumented</t>
  </si>
  <si>
    <t xml:space="preserve">2009 Job Detail Report.pdf — Cost Code 120 (Roughin Labor)</t>
  </si>
  <si>
    <t xml:space="preserve">SALES-999</t>
  </si>
  <si>
    <t xml:space="preserve">2012-07-19 to 2013-08-27</t>
  </si>
  <si>
    <t xml:space="preserve">Net billed additions — $9,208 over estimated contract ($385K → $394,208). No CO documentation located. 12 invoices to Chinn.</t>
  </si>
  <si>
    <t xml:space="preserve">GC (Chinn)</t>
  </si>
  <si>
    <t xml:space="preserve">Billed — Undocumented</t>
  </si>
  <si>
    <t xml:space="preserve">2009 Job Detail Report.pdf — Cost Code 999 (Sales/AR)</t>
  </si>
  <si>
    <t xml:space="preserve">WARRANTY-150</t>
  </si>
  <si>
    <t xml:space="preserve">T&amp;M</t>
  </si>
  <si>
    <t xml:space="preserve">2013</t>
  </si>
  <si>
    <t xml:space="preserve">Warranty / T&amp;M labor — 4 hrs, $138.50. No formal T&amp;M work order or CO authorization.</t>
  </si>
  <si>
    <t xml:space="preserve">Absorbed</t>
  </si>
  <si>
    <t xml:space="preserve">2009 Job Detail Report.pdf — Cost Code 150</t>
  </si>
  <si>
    <t xml:space="preserve">DOC-GAP-RFI</t>
  </si>
  <si>
    <t xml:space="preserve">Memo</t>
  </si>
  <si>
    <t xml:space="preserve">CRITICAL GAP: ASI-RFI folder exists but contains zero RFIs. No RFI log, register, or correspondence. Cannot attribute design issues.</t>
  </si>
  <si>
    <t xml:space="preserve">OWP</t>
  </si>
  <si>
    <t xml:space="preserve">Open</t>
  </si>
  <si>
    <t xml:space="preserve">2009-Chinn Greenwood/2009-Chinn, Greenwood/ASI-RFI/ (empty)</t>
  </si>
  <si>
    <t xml:space="preserve">DOC-GAP-CO</t>
  </si>
  <si>
    <t xml:space="preserve">CRITICAL GAP: No Change Order documents filed despite $9,208 in net additions + $11,614 labor overrun. Potential uncaptured extras.</t>
  </si>
  <si>
    <t xml:space="preserve">COST-120-OVER,SALES-999</t>
  </si>
  <si>
    <t xml:space="preserve">No Change Order folder in project filesystem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</si>
  <si>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</si>
  <si>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</si>
  <si>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</si>
  <si>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</si>
  <si>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</si>
  <si>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</si>
  <si>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</si>
  <si>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</si>
  <si>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clarification</t>
  </si>
  <si>
    <t xml:space="preserve">Designer</t>
  </si>
  <si>
    <t xml:space="preserve">Water distribution &amp; drainage system specifications (Greenwo</t>
  </si>
  <si>
    <t xml:space="preserve">Scope gap</t>
  </si>
  <si>
    <t xml:space="preserve">Rough-in phase labor overrun — $11,614 over budget (56% of p</t>
  </si>
  <si>
    <t xml:space="preserve">Rework</t>
  </si>
  <si>
    <t xml:space="preserve">Warranty / T&amp;M labor — 4 hrs, $138.50. No formal T&amp;M work or</t>
  </si>
  <si>
    <t xml:space="preserve">Combined/multi-cause</t>
  </si>
  <si>
    <t xml:space="preserve">Mixed</t>
  </si>
  <si>
    <t xml:space="preserve">Net billed additions — $9,208 over estimated contract ($385K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</si>
  <si>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</si>
  <si>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</si>
  <si>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</si>
  <si>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</si>
  <si>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NEUTRAL</t>
  </si>
  <si>
    <t xml:space="preserve">POSITIVE — recoverable</t>
  </si>
  <si>
    <t xml:space="preserve">CAUTION — price risk in future bids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</si>
  <si>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</si>
  <si>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</si>
  <si>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</si>
  <si>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</si>
  <si>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</si>
  <si>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</si>
  <si>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</si>
  <si>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</si>
  <si>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</si>
  <si>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</si>
  <si>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</si>
  <si>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</si>
  <si>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</si>
  <si>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</si>
  <si>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</si>
  <si>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</si>
  <si>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</si>
  <si>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</si>
  <si>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</si>
  <si>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</si>
  <si>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</si>
  <si>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</si>
  <si>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</si>
  <si>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</si>
  <si>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</si>
  <si>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</si>
  <si>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</si>
  <si>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</si>
  <si>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</si>
  <si>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</si>
  <si>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</si>
  <si>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</si>
  <si>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</si>
  <si>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</si>
  <si>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</si>
  <si>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</si>
  <si>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</si>
  <si>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NEGATIVE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</si>
  <si>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</si>
  <si>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</si>
  <si>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</si>
  <si>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</si>
  <si>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</si>
  <si>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</si>
  <si>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</si>
  <si>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</si>
  <si>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</si>
  <si>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</si>
  <si>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</si>
  <si>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</si>
  <si>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</si>
  <si>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</si>
  <si>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</si>
  <si>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+ 2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</si>
  <si>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</si>
  <si>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</si>
  <si>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</si>
  <si>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</si>
  <si>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</si>
  <si>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</si>
  <si>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</si>
  <si>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</si>
  <si>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</si>
  <si>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</si>
  <si>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</si>
  <si>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</si>
  <si>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</si>
  <si>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</si>
  <si>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</si>
  <si>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</si>
  <si>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</si>
  <si>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</si>
  <si>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</si>
  <si>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</si>
  <si>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</si>
  <si>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</si>
  <si>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</si>
  <si>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</si>
  <si>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</si>
  <si>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</si>
  <si>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</si>
  <si>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</si>
  <si>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</si>
  <si>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</si>
  <si>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</si>
  <si>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</si>
  <si>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</si>
  <si>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</si>
  <si>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</si>
  <si>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</si>
  <si>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</si>
  <si>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</si>
  <si>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</si>
  <si>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</si>
  <si>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</si>
  <si>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</si>
  <si>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</si>
  <si>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</si>
  <si>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</si>
  <si>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</si>
  <si>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</si>
  <si>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</si>
  <si>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</si>
  <si>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</si>
  <si>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Low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</si>
  <si>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</si>
  <si>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</si>
  <si>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</si>
  <si>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</si>
  <si>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</si>
  <si>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</si>
  <si>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</si>
  <si>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</si>
  <si>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</si>
  <si>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</si>
  <si>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</si>
  <si>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</si>
  <si>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</si>
  <si>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</si>
  <si>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</si>
  <si>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</si>
  <si>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</si>
  <si>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</si>
  <si>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</si>
  <si>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</si>
  <si>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</si>
  <si>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</si>
  <si>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Cross-Tab Tie-out Proofs</t>
  </si>
  <si>
    <t xml:space="preserve">Live cross-sheet formulas verify data consistency across all 17 tabs</t>
  </si>
  <si>
    <t xml:space="preserve">Check</t>
  </si>
  <si>
    <t xml:space="preserve">Tab A</t>
  </si>
  <si>
    <t xml:space="preserve">Tab B</t>
  </si>
  <si>
    <t xml:space="preserve">Tabs</t>
  </si>
  <si>
    <t xml:space="preserve">A. OVERVIEW ↔ BENCHMARK KPIS</t>
  </si>
  <si>
    <t xml:space="preserve">Direct Cost Total</t>
  </si>
  <si>
    <t xml:space="preserve">1↔2↔11</t>
  </si>
  <si>
    <t xml:space="preserve">Contract Final Value</t>
  </si>
  <si>
    <t xml:space="preserve">JDR↔11</t>
  </si>
  <si>
    <t xml:space="preserve">B. OVERVIEW ↔ COST BREAKDOWN (Category Actuals)</t>
  </si>
  <si>
    <t xml:space="preserve">Labor Actual</t>
  </si>
  <si>
    <t xml:space="preserve">1↔3</t>
  </si>
  <si>
    <t xml:space="preserve">Material Actual</t>
  </si>
  <si>
    <t xml:space="preserve">Overhead Actual</t>
  </si>
  <si>
    <t xml:space="preserve">Burden Actual</t>
  </si>
  <si>
    <t xml:space="preserve">C. BUDGET vs ACTUAL ↔ OVERVIEW</t>
  </si>
  <si>
    <t xml:space="preserve">Actual Direct Cost</t>
  </si>
  <si>
    <t xml:space="preserve">2↔1</t>
  </si>
  <si>
    <t xml:space="preserve">Revised Budget Total</t>
  </si>
  <si>
    <t xml:space="preserve">D. MATERIAL ↔ COST BREAKDOWN ↔ KPIS</t>
  </si>
  <si>
    <t xml:space="preserve">Material Actual (Material tab)</t>
  </si>
  <si>
    <t xml:space="preserve">4↔3</t>
  </si>
  <si>
    <t xml:space="preserve">Material Actual (KPIs)</t>
  </si>
  <si>
    <t xml:space="preserve">11↔3</t>
  </si>
  <si>
    <t xml:space="preserve">E. CREW &amp; LABOR ↔ PRODUCTIVITY ↔ KPIS (Hours)</t>
  </si>
  <si>
    <t xml:space="preserve">Total Hours (Crew tab)</t>
  </si>
  <si>
    <t xml:space="preserve">5↔11</t>
  </si>
  <si>
    <t xml:space="preserve">Total Hours (Productivity tab)</t>
  </si>
  <si>
    <t xml:space="preserve">7↔11</t>
  </si>
  <si>
    <t xml:space="preserve">F. CREW ANALYTICS ↔ KPIS (Wage Statistics)</t>
  </si>
  <si>
    <t xml:space="preserve">6↔11</t>
  </si>
  <si>
    <t xml:space="preserve">G. PO COMMITMENTS ↔ KPIS</t>
  </si>
  <si>
    <t xml:space="preserve">8↔11</t>
  </si>
  <si>
    <t xml:space="preserve">H. BILLING &amp; SOV ↔ JDR</t>
  </si>
  <si>
    <t xml:space="preserve">9↔JDR</t>
  </si>
  <si>
    <t xml:space="preserve">I. VENDORS ↔ KPIS</t>
  </si>
  <si>
    <t xml:space="preserve">Vendor Count</t>
  </si>
  <si>
    <t xml:space="preserve">12↔11</t>
  </si>
  <si>
    <t xml:space="preserve">Total AP Spend</t>
  </si>
  <si>
    <t xml:space="preserve">12↔JDR</t>
  </si>
  <si>
    <t xml:space="preserve">J. INSIGHTS (Narrative Review)</t>
  </si>
  <si>
    <t xml:space="preserve">10 insight cards — narrative text verified at generation time, no formula check applicable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</si>
  <si>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</si>
  <si>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</si>
  <si>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</si>
  <si>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</si>
  <si>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</si>
  <si>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</si>
  <si>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</si>
  <si>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</si>
  <si>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</si>
  <si>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</si>
  <si>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</si>
  <si>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</si>
  <si>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</si>
  <si>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</si>
  <si>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</si>
  <si>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#2009 — Cortex v2 17-tab layout</t>
  </si>
  <si>
    <t xml:space="preserve">12 analytical tabs + Change Log + Root Cause Analysis + Predictive Signals + Metric Registry + Reconciliation</t>
  </si>
  <si>
    <t xml:space="preserve">Canonical source: 2009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</si>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</sst>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FE6E6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  <fill>
      <patternFill patternType="solid">
        <fgColor rgb="FFFFE6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E5E7EB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72340</v>
      </c>
      <c r="D20" s="10" t="n">
        <v>80901.5</v>
      </c>
      <c r="E20" s="10" t="n">
        <f aca="false">C20-D20</f>
        <v>-8561.5</v>
      </c>
      <c r="F20" s="11" t="n">
        <f aca="false">IF(C20=0,0,D20/C20)</f>
        <v>1.11835084324025</v>
      </c>
      <c r="G20" s="11" t="n">
        <f aca="false">IF($D$24=0,0,D20/$D$24)</f>
        <v>0.288554819066821</v>
      </c>
    </row>
    <row r="21" customFormat="false" ht="15" hidden="false" customHeight="false" outlineLevel="0" collapsed="false">
      <c r="B21" s="4" t="s">
        <v>35</v>
      </c>
      <c r="C21" s="10" t="n">
        <v>195311</v>
      </c>
      <c r="D21" s="10" t="n">
        <v>151064.39</v>
      </c>
      <c r="E21" s="10" t="n">
        <f aca="false">C21-D21</f>
        <v>44246.61</v>
      </c>
      <c r="F21" s="11" t="n">
        <f aca="false">IF(C21=0,0,D21/C21)</f>
        <v>0.773455616939138</v>
      </c>
      <c r="G21" s="11" t="n">
        <f aca="false">IF($D$24=0,0,D21/$D$24)</f>
        <v>0.538807781362394</v>
      </c>
    </row>
    <row r="22" customFormat="false" ht="15" hidden="false" customHeight="false" outlineLevel="0" collapsed="false">
      <c r="B22" s="4" t="s">
        <v>36</v>
      </c>
      <c r="C22" s="10" t="n">
        <v>10885</v>
      </c>
      <c r="D22" s="10" t="n">
        <v>7510.52</v>
      </c>
      <c r="E22" s="10" t="n">
        <f aca="false">C22-D22</f>
        <v>3374.48</v>
      </c>
      <c r="F22" s="11" t="n">
        <f aca="false">IF(C22=0,0,D22/C22)</f>
        <v>0.689988056959118</v>
      </c>
      <c r="G22" s="11" t="n">
        <f aca="false">IF($D$24=0,0,D22/$D$24)</f>
        <v>0.0267880909463699</v>
      </c>
    </row>
    <row r="23" customFormat="false" ht="15" hidden="false" customHeight="false" outlineLevel="0" collapsed="false">
      <c r="B23" s="4" t="s">
        <v>37</v>
      </c>
      <c r="C23" s="10" t="n">
        <v>38464.22</v>
      </c>
      <c r="D23" s="10" t="n">
        <v>40891.46</v>
      </c>
      <c r="E23" s="10" t="n">
        <f aca="false">C23-D23</f>
        <v>-2427.24000000001</v>
      </c>
      <c r="F23" s="11" t="n">
        <f aca="false">IF(C23=0,0,D23/C23)</f>
        <v>1.06310384040025</v>
      </c>
      <c r="G23" s="11" t="n">
        <f aca="false">IF($D$24=0,0,D23/$D$24)</f>
        <v>0.145849308624416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317000.22</v>
      </c>
      <c r="D24" s="12" t="n">
        <f aca="false">SUM(D20:D23)</f>
        <v>280367.87</v>
      </c>
      <c r="E24" s="12" t="n">
        <f aca="false">C24-D24</f>
        <v>36632.35</v>
      </c>
      <c r="F24" s="13" t="n">
        <f aca="false">IF(C24=0,0,D24/C24)</f>
        <v>0.884440616476544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43</v>
      </c>
      <c r="F29" s="4" t="s">
        <v>45</v>
      </c>
      <c r="G29" s="5" t="s">
        <v>43</v>
      </c>
    </row>
    <row r="30" customFormat="false" ht="15" hidden="false" customHeight="false" outlineLevel="0" collapsed="false">
      <c r="B30" s="4" t="s">
        <v>46</v>
      </c>
      <c r="C30" s="5" t="s">
        <v>47</v>
      </c>
      <c r="D30" s="4" t="s">
        <v>48</v>
      </c>
      <c r="E30" s="5" t="s">
        <v>43</v>
      </c>
      <c r="F30" s="4" t="s">
        <v>49</v>
      </c>
      <c r="G30" s="5" t="s">
        <v>43</v>
      </c>
    </row>
    <row r="31" customFormat="false" ht="15" hidden="false" customHeight="false" outlineLevel="0" collapsed="false">
      <c r="B31" s="4" t="s">
        <v>50</v>
      </c>
      <c r="C31" s="5" t="s">
        <v>51</v>
      </c>
      <c r="D31" s="4" t="s">
        <v>52</v>
      </c>
      <c r="E31" s="5" t="s">
        <v>53</v>
      </c>
      <c r="F31" s="4" t="s">
        <v>54</v>
      </c>
      <c r="G31" s="5" t="s">
        <v>55</v>
      </c>
    </row>
    <row r="32" customFormat="false" ht="15" hidden="false" customHeight="false" outlineLevel="0" collapsed="false">
      <c r="B32" s="4" t="s">
        <v>56</v>
      </c>
      <c r="C32" s="5" t="s">
        <v>57</v>
      </c>
      <c r="D32" s="4" t="s">
        <v>58</v>
      </c>
      <c r="E32" s="5" t="s">
        <v>59</v>
      </c>
      <c r="F32" s="4" t="s">
        <v>60</v>
      </c>
      <c r="G32" s="5" t="s">
        <v>61</v>
      </c>
    </row>
    <row r="36" customFormat="false" ht="15" hidden="false" customHeight="false" outlineLevel="0" collapsed="false">
      <c r="B36" s="3" t="s">
        <v>62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63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64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65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66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67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68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69</v>
      </c>
      <c r="C43" s="2"/>
      <c r="D43" s="2"/>
      <c r="E43" s="2"/>
      <c r="F43" s="2"/>
      <c r="G43" s="2"/>
    </row>
  </sheetData>
  <mergeCells count="13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70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71</v>
      </c>
      <c r="C4" s="9" t="s">
        <v>72</v>
      </c>
      <c r="D4" s="9" t="s">
        <v>73</v>
      </c>
      <c r="E4" s="9" t="s">
        <v>74</v>
      </c>
      <c r="F4" s="9" t="s">
        <v>30</v>
      </c>
      <c r="G4" s="9" t="s">
        <v>31</v>
      </c>
      <c r="H4" s="9" t="s">
        <v>75</v>
      </c>
    </row>
    <row r="5" customFormat="false" ht="15" hidden="false" customHeight="false" outlineLevel="0" collapsed="false">
      <c r="B5" s="3" t="s">
        <v>76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77</v>
      </c>
      <c r="C6" s="4" t="s">
        <v>78</v>
      </c>
      <c r="D6" s="10" t="n">
        <v>1250</v>
      </c>
      <c r="E6" s="10" t="n">
        <v>1250</v>
      </c>
      <c r="F6" s="10" t="n">
        <v>1645</v>
      </c>
      <c r="G6" s="10" t="n">
        <f aca="false">E6-F6</f>
        <v>-395</v>
      </c>
      <c r="H6" s="11" t="n">
        <f aca="false">IF(E6=0,0,F6/E6)</f>
        <v>1.316</v>
      </c>
    </row>
    <row r="7" customFormat="false" ht="15" hidden="false" customHeight="false" outlineLevel="0" collapsed="false">
      <c r="B7" s="4" t="s">
        <v>79</v>
      </c>
      <c r="C7" s="4" t="s">
        <v>80</v>
      </c>
      <c r="D7" s="10" t="n">
        <v>3000</v>
      </c>
      <c r="E7" s="10" t="n">
        <v>3000</v>
      </c>
      <c r="F7" s="10" t="n">
        <v>2992</v>
      </c>
      <c r="G7" s="10" t="n">
        <f aca="false">E7-F7</f>
        <v>8</v>
      </c>
      <c r="H7" s="11" t="n">
        <f aca="false">IF(E7=0,0,F7/E7)</f>
        <v>0.997333333333333</v>
      </c>
    </row>
    <row r="8" customFormat="false" ht="15" hidden="false" customHeight="false" outlineLevel="0" collapsed="false">
      <c r="B8" s="4" t="s">
        <v>81</v>
      </c>
      <c r="C8" s="4" t="s">
        <v>82</v>
      </c>
      <c r="D8" s="10" t="n">
        <v>2500</v>
      </c>
      <c r="E8" s="10" t="n">
        <v>2500</v>
      </c>
      <c r="F8" s="10" t="n">
        <v>1324</v>
      </c>
      <c r="G8" s="10" t="n">
        <f aca="false">E8-F8</f>
        <v>1176</v>
      </c>
      <c r="H8" s="11" t="n">
        <f aca="false">IF(E8=0,0,F8/E8)</f>
        <v>0.5296</v>
      </c>
    </row>
    <row r="9" customFormat="false" ht="15" hidden="false" customHeight="false" outlineLevel="0" collapsed="false">
      <c r="B9" s="4" t="s">
        <v>83</v>
      </c>
      <c r="C9" s="4" t="s">
        <v>84</v>
      </c>
      <c r="D9" s="10" t="n">
        <v>5350</v>
      </c>
      <c r="E9" s="10" t="n">
        <v>5350</v>
      </c>
      <c r="F9" s="10" t="n">
        <v>4209</v>
      </c>
      <c r="G9" s="10" t="n">
        <f aca="false">E9-F9</f>
        <v>1141</v>
      </c>
      <c r="H9" s="11" t="n">
        <f aca="false">IF(E9=0,0,F9/E9)</f>
        <v>0.786728971962617</v>
      </c>
    </row>
    <row r="10" customFormat="false" ht="15" hidden="false" customHeight="false" outlineLevel="0" collapsed="false">
      <c r="B10" s="4" t="s">
        <v>85</v>
      </c>
      <c r="C10" s="4" t="s">
        <v>86</v>
      </c>
      <c r="D10" s="10" t="n">
        <v>8960</v>
      </c>
      <c r="E10" s="10" t="n">
        <v>8960</v>
      </c>
      <c r="F10" s="10" t="n">
        <v>9872</v>
      </c>
      <c r="G10" s="10" t="n">
        <f aca="false">E10-F10</f>
        <v>-912</v>
      </c>
      <c r="H10" s="11" t="n">
        <f aca="false">IF(E10=0,0,F10/E10)</f>
        <v>1.10178571428571</v>
      </c>
    </row>
    <row r="11" customFormat="false" ht="15" hidden="false" customHeight="false" outlineLevel="0" collapsed="false">
      <c r="B11" s="4" t="s">
        <v>87</v>
      </c>
      <c r="C11" s="4" t="s">
        <v>88</v>
      </c>
      <c r="D11" s="10" t="n">
        <v>2000</v>
      </c>
      <c r="E11" s="10" t="n">
        <v>2000</v>
      </c>
      <c r="F11" s="10" t="n">
        <v>1485.5</v>
      </c>
      <c r="G11" s="10" t="n">
        <f aca="false">E11-F11</f>
        <v>514.5</v>
      </c>
      <c r="H11" s="11" t="n">
        <f aca="false">IF(E11=0,0,F11/E11)</f>
        <v>0.74275</v>
      </c>
    </row>
    <row r="12" customFormat="false" ht="15" hidden="false" customHeight="false" outlineLevel="0" collapsed="false">
      <c r="B12" s="4" t="s">
        <v>89</v>
      </c>
      <c r="C12" s="4" t="s">
        <v>90</v>
      </c>
      <c r="D12" s="10" t="n">
        <v>34500</v>
      </c>
      <c r="E12" s="10" t="n">
        <v>37530</v>
      </c>
      <c r="F12" s="10" t="n">
        <v>46114</v>
      </c>
      <c r="G12" s="10" t="n">
        <f aca="false">E12-F12</f>
        <v>-8584</v>
      </c>
      <c r="H12" s="11" t="n">
        <f aca="false">IF(E12=0,0,F12/E12)</f>
        <v>1.22872368771649</v>
      </c>
    </row>
    <row r="13" customFormat="false" ht="15" hidden="false" customHeight="false" outlineLevel="0" collapsed="false">
      <c r="B13" s="4" t="s">
        <v>91</v>
      </c>
      <c r="C13" s="4" t="s">
        <v>92</v>
      </c>
      <c r="D13" s="10" t="n">
        <v>10250</v>
      </c>
      <c r="E13" s="10" t="n">
        <v>10320</v>
      </c>
      <c r="F13" s="10" t="n">
        <v>11391.5</v>
      </c>
      <c r="G13" s="10" t="n">
        <f aca="false">E13-F13</f>
        <v>-1071.5</v>
      </c>
      <c r="H13" s="11" t="n">
        <f aca="false">IF(E13=0,0,F13/E13)</f>
        <v>1.10382751937985</v>
      </c>
    </row>
    <row r="14" customFormat="false" ht="15" hidden="false" customHeight="false" outlineLevel="0" collapsed="false">
      <c r="B14" s="4" t="s">
        <v>93</v>
      </c>
      <c r="C14" s="4" t="s">
        <v>94</v>
      </c>
      <c r="D14" s="10" t="n">
        <v>0</v>
      </c>
      <c r="E14" s="10" t="n">
        <v>0</v>
      </c>
      <c r="F14" s="10" t="n">
        <v>0</v>
      </c>
      <c r="G14" s="10" t="n">
        <f aca="false">E14-F14</f>
        <v>0</v>
      </c>
      <c r="H14" s="11" t="n">
        <f aca="false">IF(E14=0,0,F14/E14)</f>
        <v>0</v>
      </c>
    </row>
    <row r="15" customFormat="false" ht="15" hidden="false" customHeight="false" outlineLevel="0" collapsed="false">
      <c r="B15" s="4" t="s">
        <v>95</v>
      </c>
      <c r="C15" s="4" t="s">
        <v>96</v>
      </c>
      <c r="D15" s="10" t="n">
        <v>1430</v>
      </c>
      <c r="E15" s="10" t="n">
        <v>1430</v>
      </c>
      <c r="F15" s="10" t="n">
        <v>1730</v>
      </c>
      <c r="G15" s="10" t="n">
        <f aca="false">E15-F15</f>
        <v>-300</v>
      </c>
      <c r="H15" s="11" t="n">
        <f aca="false">IF(E15=0,0,F15/E15)</f>
        <v>1.20979020979021</v>
      </c>
    </row>
    <row r="16" customFormat="false" ht="15" hidden="false" customHeight="false" outlineLevel="0" collapsed="false">
      <c r="B16" s="4" t="s">
        <v>97</v>
      </c>
      <c r="C16" s="4" t="s">
        <v>98</v>
      </c>
      <c r="D16" s="10" t="n">
        <v>0</v>
      </c>
      <c r="E16" s="10" t="n">
        <v>0</v>
      </c>
      <c r="F16" s="10" t="n">
        <v>138.5</v>
      </c>
      <c r="G16" s="10" t="n">
        <f aca="false">E16-F16</f>
        <v>-138.5</v>
      </c>
      <c r="H16" s="11" t="n">
        <f aca="false">IF(E16=0,0,F16/E16)</f>
        <v>0</v>
      </c>
    </row>
    <row r="17" customFormat="false" ht="15" hidden="false" customHeight="false" outlineLevel="0" collapsed="false">
      <c r="B17" s="3" t="s">
        <v>99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B18" s="4" t="s">
        <v>100</v>
      </c>
      <c r="C18" s="4" t="s">
        <v>101</v>
      </c>
      <c r="D18" s="10" t="n">
        <v>1250</v>
      </c>
      <c r="E18" s="10" t="n">
        <v>1250</v>
      </c>
      <c r="F18" s="10" t="n">
        <v>369.06</v>
      </c>
      <c r="G18" s="10" t="n">
        <f aca="false">E18-F18</f>
        <v>880.94</v>
      </c>
      <c r="H18" s="11" t="n">
        <f aca="false">IF(E18=0,0,F18/E18)</f>
        <v>0.295248</v>
      </c>
    </row>
    <row r="19" customFormat="false" ht="15" hidden="false" customHeight="false" outlineLevel="0" collapsed="false">
      <c r="B19" s="4" t="s">
        <v>102</v>
      </c>
      <c r="C19" s="4" t="s">
        <v>103</v>
      </c>
      <c r="D19" s="10" t="n">
        <v>2800</v>
      </c>
      <c r="E19" s="10" t="n">
        <v>2800</v>
      </c>
      <c r="F19" s="10" t="n">
        <v>2613.58</v>
      </c>
      <c r="G19" s="10" t="n">
        <f aca="false">E19-F19</f>
        <v>186.42</v>
      </c>
      <c r="H19" s="11" t="n">
        <f aca="false">IF(E19=0,0,F19/E19)</f>
        <v>0.933421428571429</v>
      </c>
    </row>
    <row r="20" customFormat="false" ht="15" hidden="false" customHeight="false" outlineLevel="0" collapsed="false">
      <c r="B20" s="4" t="s">
        <v>104</v>
      </c>
      <c r="C20" s="4" t="s">
        <v>105</v>
      </c>
      <c r="D20" s="10" t="n">
        <v>10570</v>
      </c>
      <c r="E20" s="10" t="n">
        <v>10570</v>
      </c>
      <c r="F20" s="10" t="n">
        <v>3972.94</v>
      </c>
      <c r="G20" s="10" t="n">
        <f aca="false">E20-F20</f>
        <v>6597.06</v>
      </c>
      <c r="H20" s="11" t="n">
        <f aca="false">IF(E20=0,0,F20/E20)</f>
        <v>0.375869441816462</v>
      </c>
    </row>
    <row r="21" customFormat="false" ht="15" hidden="false" customHeight="false" outlineLevel="0" collapsed="false">
      <c r="B21" s="4" t="s">
        <v>106</v>
      </c>
      <c r="C21" s="4" t="s">
        <v>107</v>
      </c>
      <c r="D21" s="10" t="n">
        <v>2800</v>
      </c>
      <c r="E21" s="10" t="n">
        <v>2800</v>
      </c>
      <c r="F21" s="10" t="n">
        <v>2749.23</v>
      </c>
      <c r="G21" s="10" t="n">
        <f aca="false">E21-F21</f>
        <v>50.77</v>
      </c>
      <c r="H21" s="11" t="n">
        <f aca="false">IF(E21=0,0,F21/E21)</f>
        <v>0.981867857142857</v>
      </c>
    </row>
    <row r="22" customFormat="false" ht="15" hidden="false" customHeight="false" outlineLevel="0" collapsed="false">
      <c r="B22" s="4" t="s">
        <v>108</v>
      </c>
      <c r="C22" s="4" t="s">
        <v>109</v>
      </c>
      <c r="D22" s="10" t="n">
        <v>33560</v>
      </c>
      <c r="E22" s="10" t="n">
        <v>32510</v>
      </c>
      <c r="F22" s="10" t="n">
        <v>30742.47</v>
      </c>
      <c r="G22" s="10" t="n">
        <f aca="false">E22-F22</f>
        <v>1767.53</v>
      </c>
      <c r="H22" s="11" t="n">
        <f aca="false">IF(E22=0,0,F22/E22)</f>
        <v>0.945631190402953</v>
      </c>
    </row>
    <row r="23" customFormat="false" ht="15" hidden="false" customHeight="false" outlineLevel="0" collapsed="false">
      <c r="B23" s="4" t="s">
        <v>110</v>
      </c>
      <c r="C23" s="4" t="s">
        <v>111</v>
      </c>
      <c r="D23" s="10" t="n">
        <v>143270</v>
      </c>
      <c r="E23" s="10" t="n">
        <v>143381</v>
      </c>
      <c r="F23" s="10" t="n">
        <v>109975.66</v>
      </c>
      <c r="G23" s="10" t="n">
        <f aca="false">E23-F23</f>
        <v>33405.34</v>
      </c>
      <c r="H23" s="11" t="n">
        <f aca="false">IF(E23=0,0,F23/E23)</f>
        <v>0.7670169687755</v>
      </c>
    </row>
    <row r="24" customFormat="false" ht="15" hidden="false" customHeight="false" outlineLevel="0" collapsed="false">
      <c r="B24" s="4" t="s">
        <v>112</v>
      </c>
      <c r="C24" s="4" t="s">
        <v>113</v>
      </c>
      <c r="D24" s="10" t="n">
        <v>0</v>
      </c>
      <c r="E24" s="10" t="n">
        <v>0</v>
      </c>
      <c r="F24" s="10" t="n">
        <v>0</v>
      </c>
      <c r="G24" s="10" t="n">
        <f aca="false">E24-F24</f>
        <v>0</v>
      </c>
      <c r="H24" s="11" t="n">
        <f aca="false">IF(E24=0,0,F24/E24)</f>
        <v>0</v>
      </c>
    </row>
    <row r="25" customFormat="false" ht="15" hidden="false" customHeight="false" outlineLevel="0" collapsed="false">
      <c r="B25" s="4" t="s">
        <v>114</v>
      </c>
      <c r="C25" s="4" t="s">
        <v>115</v>
      </c>
      <c r="D25" s="10" t="n">
        <v>2000</v>
      </c>
      <c r="E25" s="10" t="n">
        <v>2000</v>
      </c>
      <c r="F25" s="10" t="n">
        <v>641.45</v>
      </c>
      <c r="G25" s="10" t="n">
        <f aca="false">E25-F25</f>
        <v>1358.55</v>
      </c>
      <c r="H25" s="11" t="n">
        <f aca="false">IF(E25=0,0,F25/E25)</f>
        <v>0.320725</v>
      </c>
    </row>
    <row r="26" customFormat="false" ht="15" hidden="false" customHeight="false" outlineLevel="0" collapsed="false">
      <c r="B26" s="4" t="s">
        <v>116</v>
      </c>
      <c r="C26" s="4" t="s">
        <v>117</v>
      </c>
      <c r="D26" s="10" t="n">
        <v>0</v>
      </c>
      <c r="E26" s="10" t="n">
        <v>0</v>
      </c>
      <c r="F26" s="10" t="n">
        <v>0</v>
      </c>
      <c r="G26" s="10" t="n">
        <f aca="false">E26-F26</f>
        <v>0</v>
      </c>
      <c r="H26" s="11" t="n">
        <f aca="false">IF(E26=0,0,F26/E26)</f>
        <v>0</v>
      </c>
    </row>
    <row r="27" customFormat="false" ht="15" hidden="false" customHeight="false" outlineLevel="0" collapsed="false">
      <c r="B27" s="3" t="s">
        <v>118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B28" s="4" t="s">
        <v>119</v>
      </c>
      <c r="C28" s="4" t="s">
        <v>120</v>
      </c>
      <c r="D28" s="10" t="n">
        <v>4800</v>
      </c>
      <c r="E28" s="10" t="n">
        <v>4885</v>
      </c>
      <c r="F28" s="10" t="n">
        <v>2379</v>
      </c>
      <c r="G28" s="10" t="n">
        <f aca="false">E28-F28</f>
        <v>2506</v>
      </c>
      <c r="H28" s="11" t="n">
        <f aca="false">IF(E28=0,0,F28/E28)</f>
        <v>0.487001023541453</v>
      </c>
    </row>
    <row r="29" customFormat="false" ht="15" hidden="false" customHeight="false" outlineLevel="0" collapsed="false">
      <c r="B29" s="4" t="s">
        <v>121</v>
      </c>
      <c r="C29" s="4" t="s">
        <v>122</v>
      </c>
      <c r="D29" s="10" t="n">
        <v>6000</v>
      </c>
      <c r="E29" s="10" t="n">
        <v>6000</v>
      </c>
      <c r="F29" s="10" t="n">
        <v>4990.08</v>
      </c>
      <c r="G29" s="10" t="n">
        <f aca="false">E29-F29</f>
        <v>1009.92</v>
      </c>
      <c r="H29" s="11" t="n">
        <f aca="false">IF(E29=0,0,F29/E29)</f>
        <v>0.83168</v>
      </c>
    </row>
    <row r="30" customFormat="false" ht="15" hidden="false" customHeight="false" outlineLevel="0" collapsed="false">
      <c r="B30" s="4" t="s">
        <v>123</v>
      </c>
      <c r="C30" s="4" t="s">
        <v>124</v>
      </c>
      <c r="D30" s="10" t="n">
        <v>0</v>
      </c>
      <c r="E30" s="10" t="n">
        <v>0</v>
      </c>
      <c r="F30" s="10" t="n">
        <v>141.44</v>
      </c>
      <c r="G30" s="10" t="n">
        <f aca="false">E30-F30</f>
        <v>-141.44</v>
      </c>
      <c r="H30" s="11" t="n">
        <f aca="false">IF(E30=0,0,F30/E30)</f>
        <v>0</v>
      </c>
    </row>
    <row r="31" customFormat="false" ht="15" hidden="false" customHeight="false" outlineLevel="0" collapsed="false">
      <c r="B31" s="3" t="s">
        <v>125</v>
      </c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B32" s="4" t="s">
        <v>126</v>
      </c>
      <c r="C32" s="4" t="s">
        <v>127</v>
      </c>
      <c r="D32" s="10" t="n">
        <v>28928</v>
      </c>
      <c r="E32" s="10" t="n">
        <v>32694.58</v>
      </c>
      <c r="F32" s="10" t="n">
        <v>34412.05</v>
      </c>
      <c r="G32" s="10" t="n">
        <f aca="false">E32-F32</f>
        <v>-1717.47</v>
      </c>
      <c r="H32" s="11" t="n">
        <f aca="false">IF(E32=0,0,F32/E32)</f>
        <v>1.05253072527618</v>
      </c>
    </row>
    <row r="33" customFormat="false" ht="15" hidden="false" customHeight="false" outlineLevel="0" collapsed="false">
      <c r="B33" s="4" t="s">
        <v>128</v>
      </c>
      <c r="C33" s="4" t="s">
        <v>129</v>
      </c>
      <c r="D33" s="10" t="n">
        <v>5532.48</v>
      </c>
      <c r="E33" s="10" t="n">
        <v>5769.64</v>
      </c>
      <c r="F33" s="10" t="n">
        <v>6479.41</v>
      </c>
      <c r="G33" s="10" t="n">
        <f aca="false">E33-F33</f>
        <v>-709.77</v>
      </c>
      <c r="H33" s="11" t="n">
        <f aca="false">IF(E33=0,0,F33/E33)</f>
        <v>1.12301807391796</v>
      </c>
    </row>
    <row r="34" customFormat="false" ht="15" hidden="false" customHeight="false" outlineLevel="0" collapsed="false">
      <c r="B34" s="5" t="s">
        <v>38</v>
      </c>
      <c r="C34" s="5" t="s">
        <v>130</v>
      </c>
      <c r="D34" s="12" t="n">
        <v>310750.48</v>
      </c>
      <c r="E34" s="12" t="n">
        <v>317000.22</v>
      </c>
      <c r="F34" s="12" t="n">
        <v>280367.87</v>
      </c>
      <c r="G34" s="12" t="n">
        <f aca="false">E34-F34</f>
        <v>36632.35</v>
      </c>
      <c r="H34" s="13" t="n">
        <f aca="false">IF(E34=0,0,F34/E34)</f>
        <v>0.884440616476544</v>
      </c>
    </row>
    <row r="37" customFormat="false" ht="15" hidden="false" customHeight="false" outlineLevel="0" collapsed="false">
      <c r="B37" s="3" t="s">
        <v>62</v>
      </c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  <c r="H44" s="2"/>
    </row>
  </sheetData>
  <mergeCells count="13">
    <mergeCell ref="B2:H2"/>
    <mergeCell ref="B5:H5"/>
    <mergeCell ref="B17:H17"/>
    <mergeCell ref="B27:H27"/>
    <mergeCell ref="B31:H31"/>
    <mergeCell ref="B37:H37"/>
    <mergeCell ref="B38:H38"/>
    <mergeCell ref="B39:H39"/>
    <mergeCell ref="B40:H40"/>
    <mergeCell ref="B41:H41"/>
    <mergeCell ref="B42:H42"/>
    <mergeCell ref="B43:H43"/>
    <mergeCell ref="B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131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132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133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134</v>
      </c>
    </row>
    <row r="6" customFormat="false" ht="15" hidden="false" customHeight="false" outlineLevel="0" collapsed="false">
      <c r="B6" s="4" t="s">
        <v>34</v>
      </c>
      <c r="C6" s="14" t="n">
        <v>11</v>
      </c>
      <c r="D6" s="10" t="n">
        <v>72340</v>
      </c>
      <c r="E6" s="10" t="n">
        <v>80901.5</v>
      </c>
      <c r="F6" s="10" t="n">
        <f aca="false">D6-E6</f>
        <v>-8561.5</v>
      </c>
      <c r="G6" s="11" t="n">
        <f aca="false">IF(D6=0,0,E6/D6)</f>
        <v>1.11835084324025</v>
      </c>
      <c r="H6" s="11" t="n">
        <f aca="false">IF(280367.87=0,0,E6/280367.87)</f>
        <v>0.288554819066821</v>
      </c>
      <c r="I6" s="10" t="n">
        <f aca="false">IF(168=0,0,E6/168)</f>
        <v>481.556547619048</v>
      </c>
    </row>
    <row r="7" customFormat="false" ht="15" hidden="false" customHeight="false" outlineLevel="0" collapsed="false">
      <c r="B7" s="4" t="s">
        <v>35</v>
      </c>
      <c r="C7" s="14" t="n">
        <v>9</v>
      </c>
      <c r="D7" s="10" t="n">
        <v>195311</v>
      </c>
      <c r="E7" s="10" t="n">
        <v>151064.39</v>
      </c>
      <c r="F7" s="10" t="n">
        <f aca="false">D7-E7</f>
        <v>44246.61</v>
      </c>
      <c r="G7" s="11" t="n">
        <f aca="false">IF(D7=0,0,E7/D7)</f>
        <v>0.773455616939138</v>
      </c>
      <c r="H7" s="11" t="n">
        <f aca="false">IF(280367.87=0,0,E7/280367.87)</f>
        <v>0.538807781362394</v>
      </c>
      <c r="I7" s="10" t="n">
        <f aca="false">IF(168=0,0,E7/168)</f>
        <v>899.192797619048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10885</v>
      </c>
      <c r="E8" s="10" t="n">
        <v>7510.52</v>
      </c>
      <c r="F8" s="10" t="n">
        <f aca="false">D8-E8</f>
        <v>3374.48</v>
      </c>
      <c r="G8" s="11" t="n">
        <f aca="false">IF(D8=0,0,E8/D8)</f>
        <v>0.689988056959118</v>
      </c>
      <c r="H8" s="11" t="n">
        <f aca="false">IF(280367.87=0,0,E8/280367.87)</f>
        <v>0.0267880909463699</v>
      </c>
      <c r="I8" s="10" t="n">
        <f aca="false">IF(168=0,0,E8/168)</f>
        <v>44.7054761904762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38464.22</v>
      </c>
      <c r="E9" s="10" t="n">
        <v>40891.46</v>
      </c>
      <c r="F9" s="10" t="n">
        <f aca="false">D9-E9</f>
        <v>-2427.24000000001</v>
      </c>
      <c r="G9" s="11" t="n">
        <f aca="false">IF(D9=0,0,E9/D9)</f>
        <v>1.06310384040025</v>
      </c>
      <c r="H9" s="11" t="n">
        <f aca="false">IF(280367.87=0,0,E9/280367.87)</f>
        <v>0.145849308624416</v>
      </c>
      <c r="I9" s="10" t="n">
        <f aca="false">IF(168=0,0,E9/168)</f>
        <v>243.401547619048</v>
      </c>
    </row>
    <row r="12" customFormat="false" ht="15" hidden="false" customHeight="false" outlineLevel="0" collapsed="false">
      <c r="B12" s="3" t="s">
        <v>135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71</v>
      </c>
      <c r="C13" s="9" t="s">
        <v>72</v>
      </c>
      <c r="D13" s="9" t="s">
        <v>74</v>
      </c>
      <c r="E13" s="9" t="s">
        <v>30</v>
      </c>
      <c r="F13" s="9" t="s">
        <v>136</v>
      </c>
      <c r="G13" s="9" t="s">
        <v>137</v>
      </c>
    </row>
    <row r="14" customFormat="false" ht="15" hidden="false" customHeight="false" outlineLevel="0" collapsed="false">
      <c r="B14" s="4" t="s">
        <v>89</v>
      </c>
      <c r="C14" s="4" t="s">
        <v>90</v>
      </c>
      <c r="D14" s="10" t="n">
        <v>37530</v>
      </c>
      <c r="E14" s="10" t="n">
        <v>46114</v>
      </c>
      <c r="F14" s="10" t="n">
        <f aca="false">E14-D14</f>
        <v>8584</v>
      </c>
      <c r="G14" s="11" t="n">
        <f aca="false">IF(D14=0,0,F14/D14)</f>
        <v>0.228723687716493</v>
      </c>
    </row>
    <row r="15" customFormat="false" ht="15" hidden="false" customHeight="false" outlineLevel="0" collapsed="false">
      <c r="B15" s="4" t="s">
        <v>126</v>
      </c>
      <c r="C15" s="4" t="s">
        <v>127</v>
      </c>
      <c r="D15" s="10" t="n">
        <v>32694.58</v>
      </c>
      <c r="E15" s="10" t="n">
        <v>34412.05</v>
      </c>
      <c r="F15" s="10" t="n">
        <f aca="false">E15-D15</f>
        <v>1717.47</v>
      </c>
      <c r="G15" s="11" t="n">
        <f aca="false">IF(D15=0,0,F15/D15)</f>
        <v>0.0525307252761773</v>
      </c>
    </row>
    <row r="16" customFormat="false" ht="15" hidden="false" customHeight="false" outlineLevel="0" collapsed="false">
      <c r="B16" s="4" t="s">
        <v>91</v>
      </c>
      <c r="C16" s="4" t="s">
        <v>92</v>
      </c>
      <c r="D16" s="10" t="n">
        <v>10320</v>
      </c>
      <c r="E16" s="10" t="n">
        <v>11391.5</v>
      </c>
      <c r="F16" s="10" t="n">
        <f aca="false">E16-D16</f>
        <v>1071.5</v>
      </c>
      <c r="G16" s="11" t="n">
        <f aca="false">IF(D16=0,0,F16/D16)</f>
        <v>0.103827519379845</v>
      </c>
    </row>
    <row r="17" customFormat="false" ht="15" hidden="false" customHeight="false" outlineLevel="0" collapsed="false">
      <c r="B17" s="4" t="s">
        <v>85</v>
      </c>
      <c r="C17" s="4" t="s">
        <v>86</v>
      </c>
      <c r="D17" s="10" t="n">
        <v>8960</v>
      </c>
      <c r="E17" s="10" t="n">
        <v>9872</v>
      </c>
      <c r="F17" s="10" t="n">
        <f aca="false">E17-D17</f>
        <v>912</v>
      </c>
      <c r="G17" s="11" t="n">
        <f aca="false">IF(D17=0,0,F17/D17)</f>
        <v>0.101785714285714</v>
      </c>
    </row>
    <row r="18" customFormat="false" ht="15" hidden="false" customHeight="false" outlineLevel="0" collapsed="false">
      <c r="B18" s="4" t="s">
        <v>128</v>
      </c>
      <c r="C18" s="4" t="s">
        <v>129</v>
      </c>
      <c r="D18" s="10" t="n">
        <v>5769.64</v>
      </c>
      <c r="E18" s="10" t="n">
        <v>6479.41</v>
      </c>
      <c r="F18" s="10" t="n">
        <f aca="false">E18-D18</f>
        <v>709.77</v>
      </c>
      <c r="G18" s="11" t="n">
        <f aca="false">IF(D18=0,0,F18/D18)</f>
        <v>0.123018073917957</v>
      </c>
    </row>
    <row r="19" customFormat="false" ht="15" hidden="false" customHeight="false" outlineLevel="0" collapsed="false">
      <c r="B19" s="4" t="s">
        <v>77</v>
      </c>
      <c r="C19" s="4" t="s">
        <v>78</v>
      </c>
      <c r="D19" s="10" t="n">
        <v>1250</v>
      </c>
      <c r="E19" s="10" t="n">
        <v>1645</v>
      </c>
      <c r="F19" s="10" t="n">
        <f aca="false">E19-D19</f>
        <v>395</v>
      </c>
      <c r="G19" s="11" t="n">
        <f aca="false">IF(D19=0,0,F19/D19)</f>
        <v>0.316</v>
      </c>
    </row>
    <row r="20" customFormat="false" ht="15" hidden="false" customHeight="false" outlineLevel="0" collapsed="false">
      <c r="B20" s="4" t="s">
        <v>95</v>
      </c>
      <c r="C20" s="4" t="s">
        <v>96</v>
      </c>
      <c r="D20" s="10" t="n">
        <v>1430</v>
      </c>
      <c r="E20" s="10" t="n">
        <v>1730</v>
      </c>
      <c r="F20" s="10" t="n">
        <f aca="false">E20-D20</f>
        <v>300</v>
      </c>
      <c r="G20" s="11" t="n">
        <f aca="false">IF(D20=0,0,F20/D20)</f>
        <v>0.20979020979021</v>
      </c>
    </row>
    <row r="21" customFormat="false" ht="15" hidden="false" customHeight="false" outlineLevel="0" collapsed="false">
      <c r="B21" s="4" t="s">
        <v>123</v>
      </c>
      <c r="C21" s="4" t="s">
        <v>124</v>
      </c>
      <c r="D21" s="10" t="n">
        <v>0</v>
      </c>
      <c r="E21" s="10" t="n">
        <v>141.44</v>
      </c>
      <c r="F21" s="10" t="n">
        <f aca="false">E21-D21</f>
        <v>141.44</v>
      </c>
      <c r="G21" s="11" t="n">
        <f aca="false">IF(D21=0,0,F21/D21)</f>
        <v>0</v>
      </c>
    </row>
    <row r="22" customFormat="false" ht="15" hidden="false" customHeight="false" outlineLevel="0" collapsed="false">
      <c r="B22" s="4" t="s">
        <v>97</v>
      </c>
      <c r="C22" s="4" t="s">
        <v>98</v>
      </c>
      <c r="D22" s="10" t="n">
        <v>0</v>
      </c>
      <c r="E22" s="10" t="n">
        <v>138.5</v>
      </c>
      <c r="F22" s="10" t="n">
        <f aca="false">E22-D22</f>
        <v>138.5</v>
      </c>
      <c r="G22" s="11" t="n">
        <f aca="false">IF(D22=0,0,F22/D22)</f>
        <v>0</v>
      </c>
    </row>
    <row r="25" customFormat="false" ht="15" hidden="false" customHeight="false" outlineLevel="0" collapsed="false">
      <c r="B25" s="3" t="s">
        <v>138</v>
      </c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B26" s="9" t="s">
        <v>71</v>
      </c>
      <c r="C26" s="9" t="s">
        <v>72</v>
      </c>
      <c r="D26" s="9" t="s">
        <v>74</v>
      </c>
      <c r="E26" s="9" t="s">
        <v>30</v>
      </c>
      <c r="F26" s="9" t="s">
        <v>139</v>
      </c>
      <c r="G26" s="9" t="s">
        <v>140</v>
      </c>
    </row>
    <row r="27" customFormat="false" ht="15" hidden="false" customHeight="false" outlineLevel="0" collapsed="false">
      <c r="B27" s="4" t="s">
        <v>110</v>
      </c>
      <c r="C27" s="4" t="s">
        <v>111</v>
      </c>
      <c r="D27" s="10" t="n">
        <v>143381</v>
      </c>
      <c r="E27" s="10" t="n">
        <v>109975.66</v>
      </c>
      <c r="F27" s="10" t="n">
        <f aca="false">D27-E27</f>
        <v>33405.34</v>
      </c>
      <c r="G27" s="11" t="n">
        <f aca="false">IF(D27=0,0,F27/D27)</f>
        <v>0.2329830312245</v>
      </c>
    </row>
    <row r="28" customFormat="false" ht="15" hidden="false" customHeight="false" outlineLevel="0" collapsed="false">
      <c r="B28" s="4" t="s">
        <v>104</v>
      </c>
      <c r="C28" s="4" t="s">
        <v>105</v>
      </c>
      <c r="D28" s="10" t="n">
        <v>10570</v>
      </c>
      <c r="E28" s="10" t="n">
        <v>3972.94</v>
      </c>
      <c r="F28" s="10" t="n">
        <f aca="false">D28-E28</f>
        <v>6597.06</v>
      </c>
      <c r="G28" s="11" t="n">
        <f aca="false">IF(D28=0,0,F28/D28)</f>
        <v>0.624130558183538</v>
      </c>
    </row>
    <row r="29" customFormat="false" ht="15" hidden="false" customHeight="false" outlineLevel="0" collapsed="false">
      <c r="B29" s="4" t="s">
        <v>119</v>
      </c>
      <c r="C29" s="4" t="s">
        <v>120</v>
      </c>
      <c r="D29" s="10" t="n">
        <v>4885</v>
      </c>
      <c r="E29" s="10" t="n">
        <v>2379</v>
      </c>
      <c r="F29" s="10" t="n">
        <f aca="false">D29-E29</f>
        <v>2506</v>
      </c>
      <c r="G29" s="11" t="n">
        <f aca="false">IF(D29=0,0,F29/D29)</f>
        <v>0.512998976458547</v>
      </c>
    </row>
    <row r="30" customFormat="false" ht="15" hidden="false" customHeight="false" outlineLevel="0" collapsed="false">
      <c r="B30" s="4" t="s">
        <v>108</v>
      </c>
      <c r="C30" s="4" t="s">
        <v>109</v>
      </c>
      <c r="D30" s="10" t="n">
        <v>32510</v>
      </c>
      <c r="E30" s="10" t="n">
        <v>30742.47</v>
      </c>
      <c r="F30" s="10" t="n">
        <f aca="false">D30-E30</f>
        <v>1767.53</v>
      </c>
      <c r="G30" s="11" t="n">
        <f aca="false">IF(D30=0,0,F30/D30)</f>
        <v>0.054368809597047</v>
      </c>
    </row>
    <row r="31" customFormat="false" ht="15" hidden="false" customHeight="false" outlineLevel="0" collapsed="false">
      <c r="B31" s="4" t="s">
        <v>114</v>
      </c>
      <c r="C31" s="4" t="s">
        <v>115</v>
      </c>
      <c r="D31" s="10" t="n">
        <v>2000</v>
      </c>
      <c r="E31" s="10" t="n">
        <v>641.45</v>
      </c>
      <c r="F31" s="10" t="n">
        <f aca="false">D31-E31</f>
        <v>1358.55</v>
      </c>
      <c r="G31" s="11" t="n">
        <f aca="false">IF(D31=0,0,F31/D31)</f>
        <v>0.679275</v>
      </c>
    </row>
    <row r="32" customFormat="false" ht="15" hidden="false" customHeight="false" outlineLevel="0" collapsed="false">
      <c r="B32" s="4" t="s">
        <v>81</v>
      </c>
      <c r="C32" s="4" t="s">
        <v>82</v>
      </c>
      <c r="D32" s="10" t="n">
        <v>2500</v>
      </c>
      <c r="E32" s="10" t="n">
        <v>1324</v>
      </c>
      <c r="F32" s="10" t="n">
        <f aca="false">D32-E32</f>
        <v>1176</v>
      </c>
      <c r="G32" s="11" t="n">
        <f aca="false">IF(D32=0,0,F32/D32)</f>
        <v>0.4704</v>
      </c>
    </row>
    <row r="33" customFormat="false" ht="15" hidden="false" customHeight="false" outlineLevel="0" collapsed="false">
      <c r="B33" s="4" t="s">
        <v>83</v>
      </c>
      <c r="C33" s="4" t="s">
        <v>84</v>
      </c>
      <c r="D33" s="10" t="n">
        <v>5350</v>
      </c>
      <c r="E33" s="10" t="n">
        <v>4209</v>
      </c>
      <c r="F33" s="10" t="n">
        <f aca="false">D33-E33</f>
        <v>1141</v>
      </c>
      <c r="G33" s="11" t="n">
        <f aca="false">IF(D33=0,0,F33/D33)</f>
        <v>0.213271028037383</v>
      </c>
    </row>
    <row r="34" customFormat="false" ht="15" hidden="false" customHeight="false" outlineLevel="0" collapsed="false">
      <c r="B34" s="4" t="s">
        <v>121</v>
      </c>
      <c r="C34" s="4" t="s">
        <v>122</v>
      </c>
      <c r="D34" s="10" t="n">
        <v>6000</v>
      </c>
      <c r="E34" s="10" t="n">
        <v>4990.08</v>
      </c>
      <c r="F34" s="10" t="n">
        <f aca="false">D34-E34</f>
        <v>1009.92</v>
      </c>
      <c r="G34" s="11" t="n">
        <f aca="false">IF(D34=0,0,F34/D34)</f>
        <v>0.16832</v>
      </c>
    </row>
    <row r="35" customFormat="false" ht="15" hidden="false" customHeight="false" outlineLevel="0" collapsed="false">
      <c r="B35" s="4" t="s">
        <v>100</v>
      </c>
      <c r="C35" s="4" t="s">
        <v>101</v>
      </c>
      <c r="D35" s="10" t="n">
        <v>1250</v>
      </c>
      <c r="E35" s="10" t="n">
        <v>369.06</v>
      </c>
      <c r="F35" s="10" t="n">
        <f aca="false">D35-E35</f>
        <v>880.94</v>
      </c>
      <c r="G35" s="11" t="n">
        <f aca="false">IF(D35=0,0,F35/D35)</f>
        <v>0.704752</v>
      </c>
    </row>
    <row r="36" customFormat="false" ht="15" hidden="false" customHeight="false" outlineLevel="0" collapsed="false">
      <c r="B36" s="4" t="s">
        <v>87</v>
      </c>
      <c r="C36" s="4" t="s">
        <v>88</v>
      </c>
      <c r="D36" s="10" t="n">
        <v>2000</v>
      </c>
      <c r="E36" s="10" t="n">
        <v>1485.5</v>
      </c>
      <c r="F36" s="10" t="n">
        <f aca="false">D36-E36</f>
        <v>514.5</v>
      </c>
      <c r="G36" s="11" t="n">
        <f aca="false">IF(D36=0,0,F36/D36)</f>
        <v>0.25725</v>
      </c>
    </row>
    <row r="39" customFormat="false" ht="15" hidden="false" customHeight="false" outlineLevel="0" collapsed="false">
      <c r="B39" s="3" t="s">
        <v>62</v>
      </c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B40" s="2" t="s">
        <v>63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64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65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66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67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68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69</v>
      </c>
      <c r="C46" s="2"/>
      <c r="D46" s="2"/>
      <c r="E46" s="2"/>
      <c r="F46" s="2"/>
      <c r="G46" s="2"/>
      <c r="H46" s="2"/>
      <c r="I46" s="2"/>
    </row>
  </sheetData>
  <mergeCells count="12">
    <mergeCell ref="B2:I2"/>
    <mergeCell ref="B4:I4"/>
    <mergeCell ref="B12:I12"/>
    <mergeCell ref="B25:I25"/>
    <mergeCell ref="B39:I39"/>
    <mergeCell ref="B40:I40"/>
    <mergeCell ref="B41:I41"/>
    <mergeCell ref="B42:I42"/>
    <mergeCell ref="B43:I43"/>
    <mergeCell ref="B44:I44"/>
    <mergeCell ref="B45:I45"/>
    <mergeCell ref="B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141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142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143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71</v>
      </c>
      <c r="C6" s="9" t="s">
        <v>72</v>
      </c>
      <c r="D6" s="9" t="s">
        <v>74</v>
      </c>
      <c r="E6" s="9" t="s">
        <v>30</v>
      </c>
      <c r="F6" s="9" t="s">
        <v>31</v>
      </c>
      <c r="G6" s="9" t="s">
        <v>75</v>
      </c>
      <c r="H6" s="9" t="s">
        <v>144</v>
      </c>
      <c r="I6" s="9" t="s">
        <v>134</v>
      </c>
    </row>
    <row r="7" customFormat="false" ht="15" hidden="false" customHeight="false" outlineLevel="0" collapsed="false">
      <c r="B7" s="4" t="s">
        <v>100</v>
      </c>
      <c r="C7" s="4" t="s">
        <v>101</v>
      </c>
      <c r="D7" s="10" t="n">
        <v>1250</v>
      </c>
      <c r="E7" s="10" t="n">
        <v>369.06</v>
      </c>
      <c r="F7" s="10" t="n">
        <f aca="false">D7-E7</f>
        <v>880.94</v>
      </c>
      <c r="G7" s="11" t="n">
        <f aca="false">IF(D7=0,0,E7/D7)</f>
        <v>0.295248</v>
      </c>
      <c r="H7" s="11" t="n">
        <f aca="false">IF(151064.39=0,0,E7/151064.39)</f>
        <v>0.00244306417945354</v>
      </c>
      <c r="I7" s="10" t="n">
        <f aca="false">IF(168=0,0,E7/168)</f>
        <v>2.19678571428571</v>
      </c>
    </row>
    <row r="8" customFormat="false" ht="15" hidden="false" customHeight="false" outlineLevel="0" collapsed="false">
      <c r="B8" s="4" t="s">
        <v>102</v>
      </c>
      <c r="C8" s="4" t="s">
        <v>103</v>
      </c>
      <c r="D8" s="10" t="n">
        <v>2800</v>
      </c>
      <c r="E8" s="10" t="n">
        <v>2613.58</v>
      </c>
      <c r="F8" s="10" t="n">
        <f aca="false">D8-E8</f>
        <v>186.42</v>
      </c>
      <c r="G8" s="11" t="n">
        <f aca="false">IF(D8=0,0,E8/D8)</f>
        <v>0.933421428571429</v>
      </c>
      <c r="H8" s="11" t="n">
        <f aca="false">IF(151064.39=0,0,E8/151064.39)</f>
        <v>0.0173010992200081</v>
      </c>
      <c r="I8" s="10" t="n">
        <f aca="false">IF(168=0,0,E8/168)</f>
        <v>15.5570238095238</v>
      </c>
    </row>
    <row r="9" customFormat="false" ht="15" hidden="false" customHeight="false" outlineLevel="0" collapsed="false">
      <c r="B9" s="4" t="s">
        <v>104</v>
      </c>
      <c r="C9" s="4" t="s">
        <v>105</v>
      </c>
      <c r="D9" s="10" t="n">
        <v>10570</v>
      </c>
      <c r="E9" s="10" t="n">
        <v>3972.94</v>
      </c>
      <c r="F9" s="10" t="n">
        <f aca="false">D9-E9</f>
        <v>6597.06</v>
      </c>
      <c r="G9" s="11" t="n">
        <f aca="false">IF(D9=0,0,E9/D9)</f>
        <v>0.375869441816462</v>
      </c>
      <c r="H9" s="11" t="n">
        <f aca="false">IF(151064.39=0,0,E9/151064.39)</f>
        <v>0.0262996461310306</v>
      </c>
      <c r="I9" s="10" t="n">
        <f aca="false">IF(168=0,0,E9/168)</f>
        <v>23.6484523809524</v>
      </c>
    </row>
    <row r="10" customFormat="false" ht="15" hidden="false" customHeight="false" outlineLevel="0" collapsed="false">
      <c r="B10" s="4" t="s">
        <v>106</v>
      </c>
      <c r="C10" s="4" t="s">
        <v>107</v>
      </c>
      <c r="D10" s="10" t="n">
        <v>2800</v>
      </c>
      <c r="E10" s="10" t="n">
        <v>2749.23</v>
      </c>
      <c r="F10" s="10" t="n">
        <f aca="false">D10-E10</f>
        <v>50.77</v>
      </c>
      <c r="G10" s="11" t="n">
        <f aca="false">IF(D10=0,0,E10/D10)</f>
        <v>0.981867857142857</v>
      </c>
      <c r="H10" s="11" t="n">
        <f aca="false">IF(151064.39=0,0,E10/151064.39)</f>
        <v>0.0181990606786947</v>
      </c>
      <c r="I10" s="10" t="n">
        <f aca="false">IF(168=0,0,E10/168)</f>
        <v>16.3644642857143</v>
      </c>
    </row>
    <row r="11" customFormat="false" ht="15" hidden="false" customHeight="false" outlineLevel="0" collapsed="false">
      <c r="B11" s="4" t="s">
        <v>108</v>
      </c>
      <c r="C11" s="4" t="s">
        <v>109</v>
      </c>
      <c r="D11" s="10" t="n">
        <v>32510</v>
      </c>
      <c r="E11" s="10" t="n">
        <v>30742.47</v>
      </c>
      <c r="F11" s="10" t="n">
        <f aca="false">D11-E11</f>
        <v>1767.53</v>
      </c>
      <c r="G11" s="11" t="n">
        <f aca="false">IF(D11=0,0,E11/D11)</f>
        <v>0.945631190402953</v>
      </c>
      <c r="H11" s="11" t="n">
        <f aca="false">IF(151064.39=0,0,E11/151064.39)</f>
        <v>0.203505736858303</v>
      </c>
      <c r="I11" s="10" t="n">
        <f aca="false">IF(168=0,0,E11/168)</f>
        <v>182.990892857143</v>
      </c>
    </row>
    <row r="12" customFormat="false" ht="15" hidden="false" customHeight="false" outlineLevel="0" collapsed="false">
      <c r="B12" s="4" t="s">
        <v>110</v>
      </c>
      <c r="C12" s="4" t="s">
        <v>111</v>
      </c>
      <c r="D12" s="10" t="n">
        <v>143381</v>
      </c>
      <c r="E12" s="10" t="n">
        <v>109975.66</v>
      </c>
      <c r="F12" s="10" t="n">
        <f aca="false">D12-E12</f>
        <v>33405.34</v>
      </c>
      <c r="G12" s="11" t="n">
        <f aca="false">IF(D12=0,0,E12/D12)</f>
        <v>0.7670169687755</v>
      </c>
      <c r="H12" s="11" t="n">
        <f aca="false">IF(151064.39=0,0,E12/151064.39)</f>
        <v>0.728005190369484</v>
      </c>
      <c r="I12" s="10" t="n">
        <f aca="false">IF(168=0,0,E12/168)</f>
        <v>654.617023809524</v>
      </c>
    </row>
    <row r="13" customFormat="false" ht="15" hidden="false" customHeight="false" outlineLevel="0" collapsed="false">
      <c r="B13" s="4" t="s">
        <v>112</v>
      </c>
      <c r="C13" s="4" t="s">
        <v>113</v>
      </c>
      <c r="D13" s="10" t="n">
        <v>0</v>
      </c>
      <c r="E13" s="10" t="n">
        <v>0</v>
      </c>
      <c r="F13" s="10" t="n">
        <f aca="false">D13-E13</f>
        <v>0</v>
      </c>
      <c r="G13" s="11" t="n">
        <f aca="false">IF(D13=0,0,E13/D13)</f>
        <v>0</v>
      </c>
      <c r="H13" s="11" t="n">
        <f aca="false">IF(151064.39=0,0,E13/151064.39)</f>
        <v>0</v>
      </c>
      <c r="I13" s="10" t="n">
        <f aca="false">IF(168=0,0,E13/168)</f>
        <v>0</v>
      </c>
    </row>
    <row r="14" customFormat="false" ht="15" hidden="false" customHeight="false" outlineLevel="0" collapsed="false">
      <c r="B14" s="4" t="s">
        <v>114</v>
      </c>
      <c r="C14" s="4" t="s">
        <v>115</v>
      </c>
      <c r="D14" s="10" t="n">
        <v>2000</v>
      </c>
      <c r="E14" s="10" t="n">
        <v>641.45</v>
      </c>
      <c r="F14" s="10" t="n">
        <f aca="false">D14-E14</f>
        <v>1358.55</v>
      </c>
      <c r="G14" s="11" t="n">
        <f aca="false">IF(D14=0,0,E14/D14)</f>
        <v>0.320725</v>
      </c>
      <c r="H14" s="11" t="n">
        <f aca="false">IF(151064.39=0,0,E14/151064.39)</f>
        <v>0.00424620256302627</v>
      </c>
      <c r="I14" s="10" t="n">
        <f aca="false">IF(168=0,0,E14/168)</f>
        <v>3.81815476190476</v>
      </c>
    </row>
    <row r="15" customFormat="false" ht="15" hidden="false" customHeight="false" outlineLevel="0" collapsed="false">
      <c r="B15" s="4" t="s">
        <v>116</v>
      </c>
      <c r="C15" s="4" t="s">
        <v>117</v>
      </c>
      <c r="D15" s="10" t="n">
        <v>0</v>
      </c>
      <c r="E15" s="10" t="n">
        <v>0</v>
      </c>
      <c r="F15" s="10" t="n">
        <f aca="false">D15-E15</f>
        <v>0</v>
      </c>
      <c r="G15" s="11" t="n">
        <f aca="false">IF(D15=0,0,E15/D15)</f>
        <v>0</v>
      </c>
      <c r="H15" s="11" t="n">
        <f aca="false">IF(151064.39=0,0,E15/151064.39)</f>
        <v>0</v>
      </c>
      <c r="I15" s="10" t="n">
        <f aca="false">IF(168=0,0,E15/168)</f>
        <v>0</v>
      </c>
    </row>
    <row r="16" customFormat="false" ht="15" hidden="false" customHeight="false" outlineLevel="0" collapsed="false">
      <c r="B16" s="5" t="s">
        <v>38</v>
      </c>
      <c r="C16" s="5" t="s">
        <v>145</v>
      </c>
      <c r="D16" s="12" t="n">
        <f aca="false">SUM(D7:D15)</f>
        <v>195311</v>
      </c>
      <c r="E16" s="12" t="n">
        <f aca="false">SUM(E7:E15)</f>
        <v>151064.39</v>
      </c>
      <c r="F16" s="12" t="n">
        <f aca="false">D16-E16</f>
        <v>44246.61</v>
      </c>
      <c r="G16" s="13" t="n">
        <f aca="false">IF(D16=0,0,E16/D16)</f>
        <v>0.773455616939138</v>
      </c>
      <c r="H16" s="13" t="n">
        <v>1</v>
      </c>
      <c r="I16" s="12" t="n">
        <f aca="false">IF(168=0,0,E16/168)</f>
        <v>899.192797619048</v>
      </c>
    </row>
    <row r="19" customFormat="false" ht="15" hidden="false" customHeight="false" outlineLevel="0" collapsed="false">
      <c r="B19" s="3" t="s">
        <v>146</v>
      </c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B20" s="9" t="s">
        <v>147</v>
      </c>
      <c r="C20" s="9" t="s">
        <v>148</v>
      </c>
      <c r="D20" s="9" t="s">
        <v>149</v>
      </c>
      <c r="E20" s="9" t="s">
        <v>150</v>
      </c>
      <c r="F20" s="9"/>
      <c r="G20" s="9"/>
      <c r="H20" s="9"/>
      <c r="I20" s="9" t="s">
        <v>151</v>
      </c>
    </row>
    <row r="21" customFormat="false" ht="15" hidden="false" customHeight="false" outlineLevel="0" collapsed="false">
      <c r="B21" s="4" t="s">
        <v>152</v>
      </c>
      <c r="C21" s="14" t="n">
        <v>65</v>
      </c>
      <c r="D21" s="10" t="n">
        <v>117439.01</v>
      </c>
      <c r="E21" s="11" t="n">
        <f aca="false">IF(174470.05=0,0,D21/174470.05)</f>
        <v>0.673118452135482</v>
      </c>
      <c r="I21" s="10" t="n">
        <f aca="false">IF(C21=0,0,D21/C21)</f>
        <v>1806.754</v>
      </c>
    </row>
    <row r="22" customFormat="false" ht="15" hidden="false" customHeight="false" outlineLevel="0" collapsed="false">
      <c r="B22" s="4" t="s">
        <v>153</v>
      </c>
      <c r="C22" s="14" t="n">
        <v>14</v>
      </c>
      <c r="D22" s="10" t="n">
        <v>29740.43</v>
      </c>
      <c r="E22" s="11" t="n">
        <f aca="false">IF(174470.05=0,0,D22/174470.05)</f>
        <v>0.170461520472998</v>
      </c>
      <c r="I22" s="10" t="n">
        <f aca="false">IF(C22=0,0,D22/C22)</f>
        <v>2124.31642857143</v>
      </c>
    </row>
    <row r="23" customFormat="false" ht="15" hidden="false" customHeight="false" outlineLevel="0" collapsed="false">
      <c r="B23" s="4" t="s">
        <v>154</v>
      </c>
      <c r="C23" s="14" t="n">
        <v>2</v>
      </c>
      <c r="D23" s="10" t="n">
        <v>16339.3</v>
      </c>
      <c r="E23" s="11" t="n">
        <f aca="false">IF(174470.05=0,0,D23/174470.05)</f>
        <v>0.0936510306496732</v>
      </c>
      <c r="I23" s="10" t="n">
        <f aca="false">IF(C23=0,0,D23/C23)</f>
        <v>8169.65</v>
      </c>
    </row>
    <row r="24" customFormat="false" ht="15" hidden="false" customHeight="false" outlineLevel="0" collapsed="false">
      <c r="B24" s="4" t="s">
        <v>155</v>
      </c>
      <c r="C24" s="14" t="n">
        <v>1</v>
      </c>
      <c r="D24" s="10" t="n">
        <v>4895</v>
      </c>
      <c r="E24" s="11" t="n">
        <f aca="false">IF(174470.05=0,0,D24/174470.05)</f>
        <v>0.0280563913405195</v>
      </c>
      <c r="I24" s="10" t="n">
        <f aca="false">IF(C24=0,0,D24/C24)</f>
        <v>4895</v>
      </c>
    </row>
    <row r="25" customFormat="false" ht="15" hidden="false" customHeight="false" outlineLevel="0" collapsed="false">
      <c r="B25" s="4" t="s">
        <v>156</v>
      </c>
      <c r="C25" s="14" t="n">
        <v>1</v>
      </c>
      <c r="D25" s="10" t="n">
        <v>2250</v>
      </c>
      <c r="E25" s="11" t="n">
        <f aca="false">IF(174470.05=0,0,D25/174470.05)</f>
        <v>0.0128961962239364</v>
      </c>
      <c r="I25" s="10" t="n">
        <f aca="false">IF(C25=0,0,D25/C25)</f>
        <v>2250</v>
      </c>
    </row>
    <row r="26" customFormat="false" ht="15" hidden="false" customHeight="false" outlineLevel="0" collapsed="false">
      <c r="B26" s="4" t="s">
        <v>157</v>
      </c>
      <c r="C26" s="14" t="n">
        <v>4</v>
      </c>
      <c r="D26" s="10" t="n">
        <v>1821</v>
      </c>
      <c r="E26" s="11" t="n">
        <f aca="false">IF(174470.05=0,0,D26/174470.05)</f>
        <v>0.0104373214772392</v>
      </c>
      <c r="I26" s="10" t="n">
        <f aca="false">IF(C26=0,0,D26/C26)</f>
        <v>455.25</v>
      </c>
    </row>
    <row r="27" customFormat="false" ht="15" hidden="false" customHeight="false" outlineLevel="0" collapsed="false">
      <c r="B27" s="4" t="s">
        <v>158</v>
      </c>
      <c r="C27" s="14" t="n">
        <v>2</v>
      </c>
      <c r="D27" s="10" t="n">
        <v>1040.84</v>
      </c>
      <c r="E27" s="11" t="n">
        <f aca="false">IF(174470.05=0,0,D27/174470.05)</f>
        <v>0.00596572305676533</v>
      </c>
      <c r="I27" s="10" t="n">
        <f aca="false">IF(C27=0,0,D27/C27)</f>
        <v>520.42</v>
      </c>
    </row>
    <row r="28" customFormat="false" ht="15" hidden="false" customHeight="false" outlineLevel="0" collapsed="false">
      <c r="B28" s="4" t="s">
        <v>159</v>
      </c>
      <c r="C28" s="14" t="n">
        <v>1</v>
      </c>
      <c r="D28" s="10" t="n">
        <v>245.19</v>
      </c>
      <c r="E28" s="11" t="n">
        <f aca="false">IF(174470.05=0,0,D28/174470.05)</f>
        <v>0.0014053414898431</v>
      </c>
      <c r="I28" s="10" t="n">
        <f aca="false">IF(C28=0,0,D28/C28)</f>
        <v>245.19</v>
      </c>
    </row>
    <row r="29" customFormat="false" ht="15" hidden="false" customHeight="false" outlineLevel="0" collapsed="false">
      <c r="B29" s="4" t="s">
        <v>160</v>
      </c>
      <c r="C29" s="14" t="n">
        <v>1</v>
      </c>
      <c r="D29" s="10" t="n">
        <v>210</v>
      </c>
      <c r="E29" s="11" t="n">
        <f aca="false">IF(174470.05=0,0,D29/174470.05)</f>
        <v>0.00120364498090073</v>
      </c>
      <c r="I29" s="10" t="n">
        <f aca="false">IF(C29=0,0,D29/C29)</f>
        <v>210</v>
      </c>
    </row>
    <row r="30" customFormat="false" ht="15" hidden="false" customHeight="false" outlineLevel="0" collapsed="false">
      <c r="B30" s="4" t="s">
        <v>161</v>
      </c>
      <c r="C30" s="14" t="n">
        <v>3</v>
      </c>
      <c r="D30" s="10" t="n">
        <v>167.8</v>
      </c>
      <c r="E30" s="11" t="n">
        <f aca="false">IF(174470.05=0,0,D30/174470.05)</f>
        <v>0.000961769656167349</v>
      </c>
      <c r="I30" s="10" t="n">
        <f aca="false">IF(C30=0,0,D30/C30)</f>
        <v>55.9333333333333</v>
      </c>
    </row>
    <row r="31" customFormat="false" ht="15" hidden="false" customHeight="false" outlineLevel="0" collapsed="false">
      <c r="B31" s="4" t="s">
        <v>162</v>
      </c>
      <c r="C31" s="14" t="n">
        <v>1</v>
      </c>
      <c r="D31" s="10" t="n">
        <v>129</v>
      </c>
      <c r="E31" s="11" t="n">
        <f aca="false">IF(174470.05=0,0,D31/174470.05)</f>
        <v>0.000739381916839022</v>
      </c>
      <c r="I31" s="10" t="n">
        <f aca="false">IF(C31=0,0,D31/C31)</f>
        <v>129</v>
      </c>
    </row>
    <row r="32" customFormat="false" ht="15" hidden="false" customHeight="false" outlineLevel="0" collapsed="false">
      <c r="B32" s="4" t="s">
        <v>163</v>
      </c>
      <c r="C32" s="14" t="n">
        <v>2</v>
      </c>
      <c r="D32" s="10" t="n">
        <v>97.4</v>
      </c>
      <c r="E32" s="11" t="n">
        <f aca="false">IF(174470.05=0,0,D32/174470.05)</f>
        <v>0.000558262005427293</v>
      </c>
      <c r="I32" s="10" t="n">
        <f aca="false">IF(C32=0,0,D32/C32)</f>
        <v>48.7</v>
      </c>
    </row>
    <row r="33" customFormat="false" ht="15" hidden="false" customHeight="false" outlineLevel="0" collapsed="false">
      <c r="B33" s="4" t="s">
        <v>164</v>
      </c>
      <c r="C33" s="14" t="n">
        <v>1</v>
      </c>
      <c r="D33" s="10" t="n">
        <v>95.08</v>
      </c>
      <c r="E33" s="11" t="n">
        <f aca="false">IF(174470.05=0,0,D33/174470.05)</f>
        <v>0.000544964594209723</v>
      </c>
      <c r="I33" s="10" t="n">
        <f aca="false">IF(C33=0,0,D33/C33)</f>
        <v>95.08</v>
      </c>
    </row>
    <row r="34" customFormat="false" ht="15" hidden="false" customHeight="false" outlineLevel="0" collapsed="false">
      <c r="B34" s="5" t="s">
        <v>38</v>
      </c>
      <c r="C34" s="15" t="n">
        <f aca="false">SUM(C21:C33)</f>
        <v>98</v>
      </c>
      <c r="D34" s="12" t="n">
        <f aca="false">SUM(D21:D33)</f>
        <v>174470.05</v>
      </c>
      <c r="E34" s="13" t="n">
        <v>1</v>
      </c>
    </row>
    <row r="37" customFormat="false" ht="15" hidden="false" customHeight="false" outlineLevel="0" collapsed="false">
      <c r="B37" s="3" t="s">
        <v>62</v>
      </c>
      <c r="C37" s="3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165</v>
      </c>
      <c r="C45" s="2"/>
      <c r="D45" s="2"/>
      <c r="E45" s="2"/>
      <c r="F45" s="2"/>
      <c r="G45" s="2"/>
      <c r="H45" s="2"/>
      <c r="I45" s="2"/>
    </row>
  </sheetData>
  <mergeCells count="13">
    <mergeCell ref="B2:I2"/>
    <mergeCell ref="B3:I3"/>
    <mergeCell ref="B5:I5"/>
    <mergeCell ref="B19:I19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166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167</v>
      </c>
      <c r="C4" s="9" t="s">
        <v>168</v>
      </c>
      <c r="D4" s="9" t="s">
        <v>169</v>
      </c>
      <c r="E4" s="9" t="s">
        <v>170</v>
      </c>
      <c r="F4" s="9" t="s">
        <v>171</v>
      </c>
    </row>
    <row r="5" customFormat="false" ht="15" hidden="false" customHeight="false" outlineLevel="0" collapsed="false">
      <c r="B5" s="4" t="s">
        <v>172</v>
      </c>
      <c r="C5" s="16" t="n">
        <v>569</v>
      </c>
      <c r="D5" s="10" t="n">
        <v>17070</v>
      </c>
      <c r="E5" s="17" t="n">
        <f aca="false">IF(C5=0,0,D5/C5)</f>
        <v>30</v>
      </c>
      <c r="F5" s="4" t="s">
        <v>173</v>
      </c>
    </row>
    <row r="6" customFormat="false" ht="15" hidden="false" customHeight="false" outlineLevel="0" collapsed="false">
      <c r="B6" s="4" t="s">
        <v>174</v>
      </c>
      <c r="C6" s="16" t="n">
        <v>432.5</v>
      </c>
      <c r="D6" s="10" t="n">
        <v>10872</v>
      </c>
      <c r="E6" s="17" t="n">
        <f aca="false">IF(C6=0,0,D6/C6)</f>
        <v>25.1375722543353</v>
      </c>
      <c r="F6" s="4" t="s">
        <v>175</v>
      </c>
    </row>
    <row r="7" customFormat="false" ht="15" hidden="false" customHeight="false" outlineLevel="0" collapsed="false">
      <c r="B7" s="4" t="s">
        <v>176</v>
      </c>
      <c r="C7" s="16" t="n">
        <v>416</v>
      </c>
      <c r="D7" s="10" t="n">
        <v>5264</v>
      </c>
      <c r="E7" s="17" t="n">
        <f aca="false">IF(C7=0,0,D7/C7)</f>
        <v>12.6538461538462</v>
      </c>
      <c r="F7" s="4" t="s">
        <v>177</v>
      </c>
    </row>
    <row r="8" customFormat="false" ht="15" hidden="false" customHeight="false" outlineLevel="0" collapsed="false">
      <c r="B8" s="4" t="s">
        <v>178</v>
      </c>
      <c r="C8" s="16" t="n">
        <v>349</v>
      </c>
      <c r="D8" s="10" t="n">
        <v>7678</v>
      </c>
      <c r="E8" s="17" t="n">
        <f aca="false">IF(C8=0,0,D8/C8)</f>
        <v>22</v>
      </c>
      <c r="F8" s="4" t="s">
        <v>175</v>
      </c>
    </row>
    <row r="9" customFormat="false" ht="15" hidden="false" customHeight="false" outlineLevel="0" collapsed="false">
      <c r="B9" s="4" t="s">
        <v>179</v>
      </c>
      <c r="C9" s="16" t="n">
        <v>304</v>
      </c>
      <c r="D9" s="10" t="n">
        <v>7600</v>
      </c>
      <c r="E9" s="17" t="n">
        <f aca="false">IF(C9=0,0,D9/C9)</f>
        <v>25</v>
      </c>
      <c r="F9" s="4" t="s">
        <v>175</v>
      </c>
    </row>
    <row r="10" customFormat="false" ht="15" hidden="false" customHeight="false" outlineLevel="0" collapsed="false">
      <c r="B10" s="4" t="s">
        <v>180</v>
      </c>
      <c r="C10" s="16" t="n">
        <v>269</v>
      </c>
      <c r="D10" s="10" t="n">
        <v>3982</v>
      </c>
      <c r="E10" s="17" t="n">
        <f aca="false">IF(C10=0,0,D10/C10)</f>
        <v>14.8029739776952</v>
      </c>
      <c r="F10" s="4" t="s">
        <v>177</v>
      </c>
    </row>
    <row r="11" customFormat="false" ht="15" hidden="false" customHeight="false" outlineLevel="0" collapsed="false">
      <c r="B11" s="4" t="s">
        <v>181</v>
      </c>
      <c r="C11" s="16" t="n">
        <v>236</v>
      </c>
      <c r="D11" s="10" t="n">
        <v>3304</v>
      </c>
      <c r="E11" s="17" t="n">
        <f aca="false">IF(C11=0,0,D11/C11)</f>
        <v>14</v>
      </c>
      <c r="F11" s="4" t="s">
        <v>177</v>
      </c>
    </row>
    <row r="12" customFormat="false" ht="15" hidden="false" customHeight="false" outlineLevel="0" collapsed="false">
      <c r="B12" s="4" t="s">
        <v>182</v>
      </c>
      <c r="C12" s="16" t="n">
        <v>221</v>
      </c>
      <c r="D12" s="10" t="n">
        <v>2487</v>
      </c>
      <c r="E12" s="17" t="n">
        <f aca="false">IF(C12=0,0,D12/C12)</f>
        <v>11.2533936651584</v>
      </c>
      <c r="F12" s="4" t="s">
        <v>177</v>
      </c>
    </row>
    <row r="13" customFormat="false" ht="15" hidden="false" customHeight="false" outlineLevel="0" collapsed="false">
      <c r="B13" s="4" t="s">
        <v>183</v>
      </c>
      <c r="C13" s="16" t="n">
        <v>210.5</v>
      </c>
      <c r="D13" s="10" t="n">
        <v>2859.5</v>
      </c>
      <c r="E13" s="17" t="n">
        <f aca="false">IF(C13=0,0,D13/C13)</f>
        <v>13.58432304038</v>
      </c>
      <c r="F13" s="4" t="s">
        <v>177</v>
      </c>
    </row>
    <row r="14" customFormat="false" ht="15" hidden="false" customHeight="false" outlineLevel="0" collapsed="false">
      <c r="B14" s="4" t="s">
        <v>184</v>
      </c>
      <c r="C14" s="16" t="n">
        <v>208</v>
      </c>
      <c r="D14" s="10" t="n">
        <v>4136</v>
      </c>
      <c r="E14" s="17" t="n">
        <f aca="false">IF(C14=0,0,D14/C14)</f>
        <v>19.8846153846154</v>
      </c>
      <c r="F14" s="4" t="s">
        <v>175</v>
      </c>
    </row>
    <row r="15" customFormat="false" ht="15" hidden="false" customHeight="false" outlineLevel="0" collapsed="false">
      <c r="B15" s="4" t="s">
        <v>185</v>
      </c>
      <c r="C15" s="16" t="n">
        <v>192</v>
      </c>
      <c r="D15" s="10" t="n">
        <v>2880</v>
      </c>
      <c r="E15" s="17" t="n">
        <f aca="false">IF(C15=0,0,D15/C15)</f>
        <v>15</v>
      </c>
      <c r="F15" s="4" t="s">
        <v>177</v>
      </c>
    </row>
    <row r="16" customFormat="false" ht="15" hidden="false" customHeight="false" outlineLevel="0" collapsed="false">
      <c r="B16" s="4" t="s">
        <v>186</v>
      </c>
      <c r="C16" s="16" t="n">
        <v>164</v>
      </c>
      <c r="D16" s="10" t="n">
        <v>5435.2</v>
      </c>
      <c r="E16" s="17" t="n">
        <f aca="false">IF(C16=0,0,D16/C16)</f>
        <v>33.1414634146341</v>
      </c>
      <c r="F16" s="4" t="s">
        <v>173</v>
      </c>
    </row>
    <row r="17" customFormat="false" ht="15" hidden="false" customHeight="false" outlineLevel="0" collapsed="false">
      <c r="B17" s="4" t="s">
        <v>187</v>
      </c>
      <c r="C17" s="16" t="n">
        <v>160</v>
      </c>
      <c r="D17" s="10" t="n">
        <v>4000</v>
      </c>
      <c r="E17" s="17" t="n">
        <f aca="false">IF(C17=0,0,D17/C17)</f>
        <v>25</v>
      </c>
      <c r="F17" s="4" t="s">
        <v>175</v>
      </c>
    </row>
    <row r="18" customFormat="false" ht="15" hidden="false" customHeight="false" outlineLevel="0" collapsed="false">
      <c r="B18" s="4" t="s">
        <v>188</v>
      </c>
      <c r="C18" s="16" t="n">
        <v>89.5</v>
      </c>
      <c r="D18" s="10" t="n">
        <v>2507</v>
      </c>
      <c r="E18" s="17" t="n">
        <f aca="false">IF(C18=0,0,D18/C18)</f>
        <v>28.0111731843575</v>
      </c>
      <c r="F18" s="4" t="s">
        <v>175</v>
      </c>
    </row>
    <row r="19" customFormat="false" ht="15" hidden="false" customHeight="false" outlineLevel="0" collapsed="false">
      <c r="B19" s="4" t="s">
        <v>189</v>
      </c>
      <c r="C19" s="16" t="n">
        <v>88</v>
      </c>
      <c r="D19" s="10" t="n">
        <v>976</v>
      </c>
      <c r="E19" s="17" t="n">
        <f aca="false">IF(C19=0,0,D19/C19)</f>
        <v>11.0909090909091</v>
      </c>
      <c r="F19" s="4" t="s">
        <v>177</v>
      </c>
    </row>
    <row r="20" customFormat="false" ht="15" hidden="false" customHeight="false" outlineLevel="0" collapsed="false">
      <c r="B20" s="4" t="s">
        <v>190</v>
      </c>
      <c r="C20" s="16" t="n">
        <v>80.5</v>
      </c>
      <c r="D20" s="10" t="n">
        <v>1620</v>
      </c>
      <c r="E20" s="17" t="n">
        <f aca="false">IF(C20=0,0,D20/C20)</f>
        <v>20.1242236024845</v>
      </c>
      <c r="F20" s="4" t="s">
        <v>175</v>
      </c>
    </row>
    <row r="21" customFormat="false" ht="15" hidden="false" customHeight="false" outlineLevel="0" collapsed="false">
      <c r="B21" s="4" t="s">
        <v>191</v>
      </c>
      <c r="C21" s="16" t="n">
        <v>76.5</v>
      </c>
      <c r="D21" s="10" t="n">
        <v>1147.5</v>
      </c>
      <c r="E21" s="17" t="n">
        <f aca="false">IF(C21=0,0,D21/C21)</f>
        <v>15</v>
      </c>
      <c r="F21" s="4" t="s">
        <v>177</v>
      </c>
    </row>
    <row r="22" customFormat="false" ht="15" hidden="false" customHeight="false" outlineLevel="0" collapsed="false">
      <c r="B22" s="4" t="s">
        <v>192</v>
      </c>
      <c r="C22" s="16" t="n">
        <v>44</v>
      </c>
      <c r="D22" s="10" t="n">
        <v>1100</v>
      </c>
      <c r="E22" s="17" t="n">
        <f aca="false">IF(C22=0,0,D22/C22)</f>
        <v>25</v>
      </c>
      <c r="F22" s="4" t="s">
        <v>175</v>
      </c>
    </row>
    <row r="23" customFormat="false" ht="15" hidden="false" customHeight="false" outlineLevel="0" collapsed="false">
      <c r="B23" s="4" t="s">
        <v>193</v>
      </c>
      <c r="C23" s="16" t="n">
        <v>32</v>
      </c>
      <c r="D23" s="10" t="n">
        <v>704</v>
      </c>
      <c r="E23" s="17" t="n">
        <f aca="false">IF(C23=0,0,D23/C23)</f>
        <v>22</v>
      </c>
      <c r="F23" s="4" t="s">
        <v>175</v>
      </c>
    </row>
    <row r="24" customFormat="false" ht="15" hidden="false" customHeight="false" outlineLevel="0" collapsed="false">
      <c r="B24" s="4" t="s">
        <v>194</v>
      </c>
      <c r="C24" s="16" t="n">
        <v>8</v>
      </c>
      <c r="D24" s="10" t="n">
        <v>88</v>
      </c>
      <c r="E24" s="17" t="n">
        <f aca="false">IF(C24=0,0,D24/C24)</f>
        <v>11</v>
      </c>
      <c r="F24" s="4" t="s">
        <v>177</v>
      </c>
    </row>
    <row r="25" customFormat="false" ht="15" hidden="false" customHeight="false" outlineLevel="0" collapsed="false">
      <c r="B25" s="4" t="s">
        <v>195</v>
      </c>
      <c r="C25" s="16" t="n">
        <v>7</v>
      </c>
      <c r="D25" s="10" t="n">
        <v>224</v>
      </c>
      <c r="E25" s="17" t="n">
        <f aca="false">IF(C25=0,0,D25/C25)</f>
        <v>32</v>
      </c>
      <c r="F25" s="4" t="s">
        <v>173</v>
      </c>
    </row>
    <row r="26" customFormat="false" ht="15" hidden="false" customHeight="false" outlineLevel="0" collapsed="false">
      <c r="B26" s="4" t="s">
        <v>196</v>
      </c>
      <c r="C26" s="16" t="n">
        <v>1.5</v>
      </c>
      <c r="D26" s="10" t="n">
        <v>16.5</v>
      </c>
      <c r="E26" s="17" t="n">
        <f aca="false">IF(C26=0,0,D26/C26)</f>
        <v>11</v>
      </c>
      <c r="F26" s="4" t="s">
        <v>177</v>
      </c>
    </row>
    <row r="27" customFormat="false" ht="15" hidden="false" customHeight="false" outlineLevel="0" collapsed="false">
      <c r="B27" s="4" t="s">
        <v>197</v>
      </c>
      <c r="C27" s="16" t="n">
        <v>1</v>
      </c>
      <c r="D27" s="10" t="n">
        <v>17</v>
      </c>
      <c r="E27" s="17" t="n">
        <f aca="false">IF(C27=0,0,D27/C27)</f>
        <v>17</v>
      </c>
      <c r="F27" s="4" t="s">
        <v>177</v>
      </c>
    </row>
    <row r="28" customFormat="false" ht="15" hidden="false" customHeight="false" outlineLevel="0" collapsed="false">
      <c r="B28" s="5" t="s">
        <v>198</v>
      </c>
      <c r="C28" s="18" t="n">
        <f aca="false">SUM(C5:C27)</f>
        <v>4159</v>
      </c>
      <c r="D28" s="12" t="n">
        <f aca="false">SUM(D5:D27)</f>
        <v>85967.7</v>
      </c>
      <c r="E28" s="19" t="n">
        <f aca="false">IF(C28=0,0,D28/C28)</f>
        <v>20.6702813176244</v>
      </c>
    </row>
    <row r="31" customFormat="false" ht="15" hidden="false" customHeight="false" outlineLevel="0" collapsed="false">
      <c r="B31" s="3" t="s">
        <v>62</v>
      </c>
      <c r="C31" s="3"/>
      <c r="D31" s="3"/>
      <c r="E31" s="3"/>
      <c r="F31" s="3"/>
    </row>
    <row r="32" customFormat="false" ht="15" hidden="false" customHeight="false" outlineLevel="0" collapsed="false">
      <c r="B32" s="2" t="s">
        <v>63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64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65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66</v>
      </c>
      <c r="C35" s="2"/>
      <c r="D35" s="2"/>
      <c r="E35" s="2"/>
      <c r="F35" s="2"/>
    </row>
    <row r="36" customFormat="false" ht="15" hidden="false" customHeight="false" outlineLevel="0" collapsed="false">
      <c r="B36" s="2" t="s">
        <v>67</v>
      </c>
      <c r="C36" s="2"/>
      <c r="D36" s="2"/>
      <c r="E36" s="2"/>
      <c r="F36" s="2"/>
    </row>
    <row r="37" customFormat="false" ht="15" hidden="false" customHeight="false" outlineLevel="0" collapsed="false">
      <c r="B37" s="2" t="s">
        <v>68</v>
      </c>
      <c r="C37" s="2"/>
      <c r="D37" s="2"/>
      <c r="E37" s="2"/>
      <c r="F37" s="2"/>
    </row>
    <row r="38" customFormat="false" ht="15" hidden="false" customHeight="false" outlineLevel="0" collapsed="false">
      <c r="B38" s="2" t="s">
        <v>69</v>
      </c>
      <c r="C38" s="2"/>
      <c r="D38" s="2"/>
      <c r="E38" s="2"/>
      <c r="F38" s="2"/>
    </row>
    <row r="39" customFormat="false" ht="15" hidden="false" customHeight="false" outlineLevel="0" collapsed="false">
      <c r="B39" s="2" t="s">
        <v>199</v>
      </c>
      <c r="C39" s="2"/>
      <c r="D39" s="2"/>
      <c r="E39" s="2"/>
      <c r="F39" s="2"/>
    </row>
  </sheetData>
  <mergeCells count="10">
    <mergeCell ref="B2:F2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200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201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171</v>
      </c>
      <c r="C5" s="9" t="s">
        <v>202</v>
      </c>
      <c r="D5" s="9" t="s">
        <v>168</v>
      </c>
      <c r="E5" s="9" t="s">
        <v>169</v>
      </c>
      <c r="F5" s="9" t="s">
        <v>203</v>
      </c>
    </row>
    <row r="6" customFormat="false" ht="15" hidden="false" customHeight="false" outlineLevel="0" collapsed="false">
      <c r="B6" s="4" t="s">
        <v>173</v>
      </c>
      <c r="C6" s="14" t="n">
        <v>3</v>
      </c>
      <c r="D6" s="16" t="n">
        <v>740</v>
      </c>
      <c r="E6" s="10" t="n">
        <v>22729.2</v>
      </c>
      <c r="F6" s="11" t="n">
        <f aca="false">IF(4159=0,0,D6/4159)</f>
        <v>0.177927386390959</v>
      </c>
    </row>
    <row r="7" customFormat="false" ht="15" hidden="false" customHeight="false" outlineLevel="0" collapsed="false">
      <c r="B7" s="4" t="s">
        <v>175</v>
      </c>
      <c r="C7" s="14" t="n">
        <v>9</v>
      </c>
      <c r="D7" s="16" t="n">
        <v>1699.5</v>
      </c>
      <c r="E7" s="10" t="n">
        <v>40217</v>
      </c>
      <c r="F7" s="11" t="n">
        <f aca="false">IF(4159=0,0,D7/4159)</f>
        <v>0.408631882664102</v>
      </c>
    </row>
    <row r="8" customFormat="false" ht="15" hidden="false" customHeight="false" outlineLevel="0" collapsed="false">
      <c r="B8" s="4" t="s">
        <v>177</v>
      </c>
      <c r="C8" s="14" t="n">
        <v>11</v>
      </c>
      <c r="D8" s="16" t="n">
        <v>1719.5</v>
      </c>
      <c r="E8" s="10" t="n">
        <v>23021.5</v>
      </c>
      <c r="F8" s="11" t="n">
        <f aca="false">IF(4159=0,0,D8/4159)</f>
        <v>0.413440730944939</v>
      </c>
    </row>
    <row r="11" customFormat="false" ht="15" hidden="false" customHeight="false" outlineLevel="0" collapsed="false">
      <c r="B11" s="3" t="s">
        <v>204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205</v>
      </c>
      <c r="C12" s="20" t="n">
        <v>20.6702813176244</v>
      </c>
      <c r="F12" s="21" t="s">
        <v>206</v>
      </c>
    </row>
    <row r="13" customFormat="false" ht="15" hidden="false" customHeight="false" outlineLevel="0" collapsed="false">
      <c r="B13" s="4" t="s">
        <v>207</v>
      </c>
      <c r="C13" s="20" t="n">
        <v>29.2841933157009</v>
      </c>
      <c r="F13" s="21" t="s">
        <v>208</v>
      </c>
    </row>
    <row r="14" customFormat="false" ht="15" hidden="false" customHeight="false" outlineLevel="0" collapsed="false">
      <c r="B14" s="4" t="s">
        <v>209</v>
      </c>
      <c r="C14" s="20" t="n">
        <v>1.41672930647208</v>
      </c>
      <c r="F14" s="21" t="s">
        <v>210</v>
      </c>
    </row>
    <row r="15" customFormat="false" ht="15" hidden="false" customHeight="false" outlineLevel="0" collapsed="false">
      <c r="B15" s="4" t="s">
        <v>211</v>
      </c>
      <c r="C15" s="20" t="n">
        <v>11</v>
      </c>
      <c r="F15" s="21" t="s">
        <v>212</v>
      </c>
    </row>
    <row r="16" customFormat="false" ht="15" hidden="false" customHeight="false" outlineLevel="0" collapsed="false">
      <c r="B16" s="4" t="s">
        <v>213</v>
      </c>
      <c r="C16" s="20" t="n">
        <v>33.1414634146342</v>
      </c>
      <c r="F16" s="21" t="s">
        <v>214</v>
      </c>
    </row>
    <row r="17" customFormat="false" ht="15" hidden="false" customHeight="false" outlineLevel="0" collapsed="false">
      <c r="B17" s="4" t="s">
        <v>215</v>
      </c>
      <c r="C17" s="20" t="n">
        <v>180.826086956522</v>
      </c>
      <c r="F17" s="21" t="s">
        <v>216</v>
      </c>
    </row>
    <row r="20" customFormat="false" ht="15" hidden="false" customHeight="false" outlineLevel="0" collapsed="false">
      <c r="B20" s="3" t="s">
        <v>62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63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64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65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66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67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68</v>
      </c>
      <c r="C26" s="2"/>
      <c r="D26" s="2"/>
      <c r="E26" s="2"/>
      <c r="F26" s="2"/>
    </row>
    <row r="27" customFormat="false" ht="15" hidden="false" customHeight="false" outlineLevel="0" collapsed="false">
      <c r="B27" s="2" t="s">
        <v>69</v>
      </c>
      <c r="C27" s="2"/>
      <c r="D27" s="2"/>
      <c r="E27" s="2"/>
      <c r="F27" s="2"/>
    </row>
  </sheetData>
  <mergeCells count="11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217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218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219</v>
      </c>
      <c r="C5" s="9" t="s">
        <v>220</v>
      </c>
      <c r="D5" s="9" t="s">
        <v>168</v>
      </c>
      <c r="E5" s="9" t="s">
        <v>221</v>
      </c>
      <c r="F5" s="9" t="s">
        <v>222</v>
      </c>
    </row>
    <row r="6" customFormat="false" ht="15" hidden="false" customHeight="false" outlineLevel="0" collapsed="false">
      <c r="B6" s="4" t="s">
        <v>223</v>
      </c>
      <c r="C6" s="4" t="s">
        <v>77</v>
      </c>
      <c r="D6" s="16" t="n">
        <v>76</v>
      </c>
      <c r="E6" s="11" t="n">
        <f aca="false">IF(3928.5=0,0,D6/3928.5)</f>
        <v>0.019345806287387</v>
      </c>
      <c r="F6" s="22" t="n">
        <f aca="false">IF(168=0,0,D6/168)</f>
        <v>0.452380952380952</v>
      </c>
    </row>
    <row r="7" customFormat="false" ht="15" hidden="false" customHeight="false" outlineLevel="0" collapsed="false">
      <c r="B7" s="4" t="s">
        <v>80</v>
      </c>
      <c r="C7" s="4" t="s">
        <v>79</v>
      </c>
      <c r="D7" s="16" t="n">
        <v>90</v>
      </c>
      <c r="E7" s="11" t="n">
        <f aca="false">IF(3928.5=0,0,D7/3928.5)</f>
        <v>0.0229095074455899</v>
      </c>
      <c r="F7" s="22" t="n">
        <f aca="false">IF(168=0,0,D7/168)</f>
        <v>0.535714285714286</v>
      </c>
    </row>
    <row r="8" customFormat="false" ht="15" hidden="false" customHeight="false" outlineLevel="0" collapsed="false">
      <c r="B8" s="4" t="s">
        <v>224</v>
      </c>
      <c r="C8" s="4" t="s">
        <v>81</v>
      </c>
      <c r="D8" s="16" t="n">
        <v>40</v>
      </c>
      <c r="E8" s="11" t="n">
        <f aca="false">IF(3928.5=0,0,D8/3928.5)</f>
        <v>0.0101820033091511</v>
      </c>
      <c r="F8" s="22" t="n">
        <f aca="false">IF(168=0,0,D8/168)</f>
        <v>0.238095238095238</v>
      </c>
    </row>
    <row r="9" customFormat="false" ht="15" hidden="false" customHeight="false" outlineLevel="0" collapsed="false">
      <c r="B9" s="4" t="s">
        <v>225</v>
      </c>
      <c r="C9" s="4" t="s">
        <v>83</v>
      </c>
      <c r="D9" s="16" t="n">
        <v>213.5</v>
      </c>
      <c r="E9" s="11" t="n">
        <f aca="false">IF(3928.5=0,0,D9/3928.5)</f>
        <v>0.0543464426625939</v>
      </c>
      <c r="F9" s="22" t="n">
        <f aca="false">IF(168=0,0,D9/168)</f>
        <v>1.27083333333333</v>
      </c>
    </row>
    <row r="10" customFormat="false" ht="15" hidden="false" customHeight="false" outlineLevel="0" collapsed="false">
      <c r="B10" s="4" t="s">
        <v>226</v>
      </c>
      <c r="C10" s="4" t="s">
        <v>85</v>
      </c>
      <c r="D10" s="16" t="n">
        <v>488</v>
      </c>
      <c r="E10" s="11" t="n">
        <f aca="false">IF(3928.5=0,0,D10/3928.5)</f>
        <v>0.124220440371643</v>
      </c>
      <c r="F10" s="22" t="n">
        <f aca="false">IF(168=0,0,D10/168)</f>
        <v>2.9047619047619</v>
      </c>
    </row>
    <row r="11" customFormat="false" ht="15" hidden="false" customHeight="false" outlineLevel="0" collapsed="false">
      <c r="B11" s="4" t="s">
        <v>227</v>
      </c>
      <c r="C11" s="4" t="s">
        <v>87</v>
      </c>
      <c r="D11" s="16" t="n">
        <v>69.5</v>
      </c>
      <c r="E11" s="11" t="n">
        <f aca="false">IF(3928.5=0,0,D11/3928.5)</f>
        <v>0.01769123074965</v>
      </c>
      <c r="F11" s="22" t="n">
        <f aca="false">IF(168=0,0,D11/168)</f>
        <v>0.413690476190476</v>
      </c>
    </row>
    <row r="12" customFormat="false" ht="15" hidden="false" customHeight="false" outlineLevel="0" collapsed="false">
      <c r="B12" s="4" t="s">
        <v>228</v>
      </c>
      <c r="C12" s="4" t="s">
        <v>89</v>
      </c>
      <c r="D12" s="16" t="n">
        <v>2311</v>
      </c>
      <c r="E12" s="11" t="n">
        <f aca="false">IF(3928.5=0,0,D12/3928.5)</f>
        <v>0.588265241186203</v>
      </c>
      <c r="F12" s="22" t="n">
        <f aca="false">IF(168=0,0,D12/168)</f>
        <v>13.7559523809524</v>
      </c>
    </row>
    <row r="13" customFormat="false" ht="15" hidden="false" customHeight="false" outlineLevel="0" collapsed="false">
      <c r="B13" s="4" t="s">
        <v>229</v>
      </c>
      <c r="C13" s="4" t="s">
        <v>91</v>
      </c>
      <c r="D13" s="16" t="n">
        <v>557.5</v>
      </c>
      <c r="E13" s="11" t="n">
        <f aca="false">IF(3928.5=0,0,D13/3928.5)</f>
        <v>0.141911671121293</v>
      </c>
      <c r="F13" s="22" t="n">
        <f aca="false">IF(168=0,0,D13/168)</f>
        <v>3.31845238095238</v>
      </c>
    </row>
    <row r="14" customFormat="false" ht="15" hidden="false" customHeight="false" outlineLevel="0" collapsed="false">
      <c r="B14" s="4" t="s">
        <v>230</v>
      </c>
      <c r="C14" s="4" t="s">
        <v>93</v>
      </c>
      <c r="D14" s="16" t="n">
        <v>16</v>
      </c>
      <c r="E14" s="11" t="n">
        <f aca="false">IF(3928.5=0,0,D14/3928.5)</f>
        <v>0.00407280132366043</v>
      </c>
      <c r="F14" s="22" t="n">
        <f aca="false">IF(168=0,0,D14/168)</f>
        <v>0.0952380952380952</v>
      </c>
    </row>
    <row r="15" customFormat="false" ht="15" hidden="false" customHeight="false" outlineLevel="0" collapsed="false">
      <c r="B15" s="4" t="s">
        <v>231</v>
      </c>
      <c r="C15" s="4" t="s">
        <v>95</v>
      </c>
      <c r="D15" s="16" t="n">
        <v>63</v>
      </c>
      <c r="E15" s="11" t="n">
        <f aca="false">IF(3928.5=0,0,D15/3928.5)</f>
        <v>0.0160366552119129</v>
      </c>
      <c r="F15" s="22" t="n">
        <f aca="false">IF(168=0,0,D15/168)</f>
        <v>0.375</v>
      </c>
    </row>
    <row r="16" customFormat="false" ht="15" hidden="false" customHeight="false" outlineLevel="0" collapsed="false">
      <c r="B16" s="4" t="s">
        <v>232</v>
      </c>
      <c r="C16" s="4" t="s">
        <v>97</v>
      </c>
      <c r="D16" s="16" t="n">
        <v>4</v>
      </c>
      <c r="E16" s="11" t="n">
        <f aca="false">IF(3928.5=0,0,D16/3928.5)</f>
        <v>0.00101820033091511</v>
      </c>
      <c r="F16" s="22" t="n">
        <f aca="false">IF(168=0,0,D16/168)</f>
        <v>0.0238095238095238</v>
      </c>
    </row>
    <row r="17" customFormat="false" ht="15" hidden="false" customHeight="false" outlineLevel="0" collapsed="false">
      <c r="B17" s="5" t="s">
        <v>38</v>
      </c>
      <c r="D17" s="18" t="n">
        <f aca="false">SUM(D6:D16)</f>
        <v>3928.5</v>
      </c>
      <c r="E17" s="13" t="n">
        <v>1</v>
      </c>
      <c r="F17" s="20" t="n">
        <f aca="false">IF(168=0,0,D17/168)</f>
        <v>23.3839285714286</v>
      </c>
    </row>
    <row r="20" customFormat="false" ht="15" hidden="false" customHeight="false" outlineLevel="0" collapsed="false">
      <c r="B20" s="3" t="s">
        <v>233</v>
      </c>
      <c r="C20" s="3"/>
      <c r="D20" s="3"/>
      <c r="E20" s="3"/>
      <c r="F20" s="3"/>
      <c r="G20" s="3"/>
    </row>
    <row r="21" customFormat="false" ht="15" hidden="false" customHeight="false" outlineLevel="0" collapsed="false">
      <c r="B21" s="9" t="s">
        <v>40</v>
      </c>
      <c r="C21" s="9" t="s">
        <v>41</v>
      </c>
      <c r="D21" s="9" t="s">
        <v>234</v>
      </c>
      <c r="E21" s="9"/>
      <c r="F21" s="9" t="s">
        <v>235</v>
      </c>
    </row>
    <row r="22" customFormat="false" ht="15" hidden="false" customHeight="false" outlineLevel="0" collapsed="false">
      <c r="B22" s="4" t="s">
        <v>222</v>
      </c>
      <c r="C22" s="23" t="n">
        <v>23.3839285714286</v>
      </c>
      <c r="D22" s="4" t="s">
        <v>236</v>
      </c>
      <c r="F22" s="21" t="s">
        <v>237</v>
      </c>
    </row>
    <row r="23" customFormat="false" ht="15" hidden="false" customHeight="false" outlineLevel="0" collapsed="false">
      <c r="B23" s="4" t="s">
        <v>238</v>
      </c>
      <c r="C23" s="23" t="n">
        <v>4.83805418719212</v>
      </c>
      <c r="D23" s="4" t="s">
        <v>236</v>
      </c>
      <c r="F23" s="21" t="s">
        <v>239</v>
      </c>
    </row>
    <row r="24" customFormat="false" ht="15" hidden="false" customHeight="false" outlineLevel="0" collapsed="false">
      <c r="B24" s="4" t="s">
        <v>240</v>
      </c>
      <c r="C24" s="23" t="n">
        <v>100.345679012346</v>
      </c>
      <c r="D24" s="4" t="s">
        <v>241</v>
      </c>
      <c r="F24" s="21" t="s">
        <v>242</v>
      </c>
    </row>
    <row r="25" customFormat="false" ht="15" hidden="false" customHeight="false" outlineLevel="0" collapsed="false">
      <c r="B25" s="4" t="s">
        <v>243</v>
      </c>
      <c r="C25" s="23" t="n">
        <v>28.9780145093547</v>
      </c>
      <c r="D25" s="4" t="s">
        <v>241</v>
      </c>
      <c r="F25" s="21" t="s">
        <v>244</v>
      </c>
    </row>
    <row r="26" customFormat="false" ht="15" hidden="false" customHeight="false" outlineLevel="0" collapsed="false">
      <c r="B26" s="4" t="s">
        <v>245</v>
      </c>
      <c r="C26" s="23" t="n">
        <v>10.5</v>
      </c>
      <c r="D26" s="4" t="s">
        <v>246</v>
      </c>
      <c r="F26" s="21" t="s">
        <v>247</v>
      </c>
    </row>
    <row r="27" customFormat="false" ht="15" hidden="false" customHeight="false" outlineLevel="0" collapsed="false">
      <c r="B27" s="4" t="s">
        <v>248</v>
      </c>
      <c r="C27" s="23" t="n">
        <v>50.75</v>
      </c>
      <c r="D27" s="4" t="s">
        <v>249</v>
      </c>
      <c r="F27" s="21" t="s">
        <v>250</v>
      </c>
    </row>
    <row r="28" customFormat="false" ht="15" hidden="false" customHeight="false" outlineLevel="0" collapsed="false">
      <c r="B28" s="4" t="s">
        <v>251</v>
      </c>
      <c r="C28" s="23" t="n">
        <v>245.53125</v>
      </c>
      <c r="D28" s="4" t="s">
        <v>236</v>
      </c>
      <c r="F28" s="21" t="s">
        <v>252</v>
      </c>
    </row>
    <row r="29" customFormat="false" ht="15" hidden="false" customHeight="false" outlineLevel="0" collapsed="false">
      <c r="B29" s="4" t="s">
        <v>253</v>
      </c>
      <c r="C29" s="23" t="n">
        <v>24638</v>
      </c>
      <c r="D29" s="4" t="s">
        <v>241</v>
      </c>
      <c r="F29" s="21" t="s">
        <v>254</v>
      </c>
    </row>
    <row r="32" customFormat="false" ht="15" hidden="false" customHeight="false" outlineLevel="0" collapsed="false">
      <c r="B32" s="3" t="s">
        <v>62</v>
      </c>
      <c r="C32" s="3"/>
      <c r="D32" s="3"/>
      <c r="E32" s="3"/>
      <c r="F32" s="3"/>
      <c r="G32" s="3"/>
    </row>
    <row r="33" customFormat="false" ht="15" hidden="false" customHeight="false" outlineLevel="0" collapsed="false">
      <c r="B33" s="2" t="s">
        <v>63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64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65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66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67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68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69</v>
      </c>
      <c r="C39" s="2"/>
      <c r="D39" s="2"/>
      <c r="E39" s="2"/>
      <c r="F39" s="2"/>
      <c r="G39" s="2"/>
    </row>
  </sheetData>
  <mergeCells count="11">
    <mergeCell ref="B2:G2"/>
    <mergeCell ref="B4:G4"/>
    <mergeCell ref="B20:G20"/>
    <mergeCell ref="B32:G32"/>
    <mergeCell ref="B33:G33"/>
    <mergeCell ref="B34:G34"/>
    <mergeCell ref="B35:G35"/>
    <mergeCell ref="B36:G36"/>
    <mergeCell ref="B37:G37"/>
    <mergeCell ref="B38:G38"/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255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256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257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258</v>
      </c>
      <c r="C6" s="9" t="s">
        <v>259</v>
      </c>
      <c r="D6" s="9" t="s">
        <v>260</v>
      </c>
      <c r="E6" s="9" t="s">
        <v>261</v>
      </c>
      <c r="F6" s="9" t="s">
        <v>262</v>
      </c>
    </row>
    <row r="7" customFormat="false" ht="15" hidden="false" customHeight="false" outlineLevel="0" collapsed="false">
      <c r="B7" s="4" t="s">
        <v>263</v>
      </c>
      <c r="C7" s="4" t="s">
        <v>264</v>
      </c>
      <c r="D7" s="14" t="n">
        <v>5</v>
      </c>
      <c r="E7" s="11" t="n">
        <f aca="false">IF(7=0,0,D7/7)</f>
        <v>0.714285714285714</v>
      </c>
    </row>
    <row r="8" customFormat="false" ht="15" hidden="false" customHeight="false" outlineLevel="0" collapsed="false">
      <c r="B8" s="4" t="s">
        <v>265</v>
      </c>
      <c r="C8" s="4" t="s">
        <v>266</v>
      </c>
      <c r="D8" s="14" t="n">
        <v>2</v>
      </c>
      <c r="E8" s="11" t="n">
        <f aca="false">IF(7=0,0,D8/7)</f>
        <v>0.285714285714286</v>
      </c>
    </row>
    <row r="9" customFormat="false" ht="15" hidden="false" customHeight="false" outlineLevel="0" collapsed="false">
      <c r="B9" s="5" t="s">
        <v>38</v>
      </c>
      <c r="D9" s="15" t="n">
        <f aca="false">SUM(D7:D8)</f>
        <v>7</v>
      </c>
      <c r="E9" s="13" t="n">
        <v>1</v>
      </c>
      <c r="F9" s="12" t="n">
        <v>151064.39</v>
      </c>
    </row>
    <row r="12" customFormat="false" ht="15" hidden="false" customHeight="false" outlineLevel="0" collapsed="false">
      <c r="B12" s="3" t="s">
        <v>267</v>
      </c>
      <c r="C12" s="3"/>
      <c r="D12" s="3"/>
      <c r="E12" s="3"/>
      <c r="F12" s="3"/>
      <c r="G12" s="3"/>
    </row>
    <row r="13" customFormat="false" ht="15" hidden="false" customHeight="false" outlineLevel="0" collapsed="false">
      <c r="B13" s="9" t="s">
        <v>147</v>
      </c>
      <c r="C13" s="9" t="s">
        <v>260</v>
      </c>
      <c r="D13" s="9" t="s">
        <v>261</v>
      </c>
    </row>
    <row r="14" customFormat="false" ht="15" hidden="false" customHeight="false" outlineLevel="0" collapsed="false">
      <c r="B14" s="4" t="s">
        <v>265</v>
      </c>
      <c r="C14" s="14" t="n">
        <v>6</v>
      </c>
      <c r="D14" s="11" t="n">
        <f aca="false">IF(7=0,0,C14/7)</f>
        <v>0.857142857142857</v>
      </c>
    </row>
    <row r="15" customFormat="false" ht="15" hidden="false" customHeight="false" outlineLevel="0" collapsed="false">
      <c r="B15" s="4" t="s">
        <v>268</v>
      </c>
      <c r="C15" s="14" t="n">
        <v>1</v>
      </c>
      <c r="D15" s="11" t="n">
        <f aca="false">IF(7=0,0,C15/7)</f>
        <v>0.142857142857143</v>
      </c>
    </row>
    <row r="18" customFormat="false" ht="15" hidden="false" customHeight="false" outlineLevel="0" collapsed="false">
      <c r="B18" s="3" t="s">
        <v>269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4" t="s">
        <v>270</v>
      </c>
      <c r="E19" s="10" t="n">
        <v>151064.39</v>
      </c>
    </row>
    <row r="20" customFormat="false" ht="15" hidden="false" customHeight="false" outlineLevel="0" collapsed="false">
      <c r="B20" s="4" t="s">
        <v>271</v>
      </c>
      <c r="E20" s="14" t="n">
        <v>7</v>
      </c>
    </row>
    <row r="21" customFormat="false" ht="15" hidden="false" customHeight="false" outlineLevel="0" collapsed="false">
      <c r="B21" s="21" t="s">
        <v>272</v>
      </c>
    </row>
    <row r="24" customFormat="false" ht="15" hidden="false" customHeight="false" outlineLevel="0" collapsed="false">
      <c r="B24" s="3" t="s">
        <v>62</v>
      </c>
      <c r="C24" s="3"/>
      <c r="D24" s="3"/>
      <c r="E24" s="3"/>
      <c r="F24" s="3"/>
      <c r="G24" s="3"/>
    </row>
    <row r="25" customFormat="false" ht="15" hidden="false" customHeight="false" outlineLevel="0" collapsed="false">
      <c r="B25" s="2" t="s">
        <v>63</v>
      </c>
      <c r="C25" s="2"/>
      <c r="D25" s="2"/>
      <c r="E25" s="2"/>
      <c r="F25" s="2"/>
      <c r="G25" s="2"/>
    </row>
    <row r="26" customFormat="false" ht="15" hidden="false" customHeight="false" outlineLevel="0" collapsed="false">
      <c r="B26" s="2" t="s">
        <v>64</v>
      </c>
      <c r="C26" s="2"/>
      <c r="D26" s="2"/>
      <c r="E26" s="2"/>
      <c r="F26" s="2"/>
      <c r="G26" s="2"/>
    </row>
    <row r="27" customFormat="false" ht="15" hidden="false" customHeight="false" outlineLevel="0" collapsed="false">
      <c r="B27" s="2" t="s">
        <v>65</v>
      </c>
      <c r="C27" s="2"/>
      <c r="D27" s="2"/>
      <c r="E27" s="2"/>
      <c r="F27" s="2"/>
      <c r="G27" s="2"/>
    </row>
    <row r="28" customFormat="false" ht="15" hidden="false" customHeight="false" outlineLevel="0" collapsed="false">
      <c r="B28" s="2" t="s">
        <v>66</v>
      </c>
      <c r="C28" s="2"/>
      <c r="D28" s="2"/>
      <c r="E28" s="2"/>
      <c r="F28" s="2"/>
      <c r="G28" s="2"/>
    </row>
    <row r="29" customFormat="false" ht="15" hidden="false" customHeight="false" outlineLevel="0" collapsed="false">
      <c r="B29" s="2" t="s">
        <v>67</v>
      </c>
      <c r="C29" s="2"/>
      <c r="D29" s="2"/>
      <c r="E29" s="2"/>
      <c r="F29" s="2"/>
      <c r="G29" s="2"/>
    </row>
    <row r="30" customFormat="false" ht="15" hidden="false" customHeight="false" outlineLevel="0" collapsed="false">
      <c r="B30" s="2" t="s">
        <v>68</v>
      </c>
      <c r="C30" s="2"/>
      <c r="D30" s="2"/>
      <c r="E30" s="2"/>
      <c r="F30" s="2"/>
      <c r="G30" s="2"/>
    </row>
    <row r="31" customFormat="false" ht="15" hidden="false" customHeight="false" outlineLevel="0" collapsed="false">
      <c r="B31" s="2" t="s">
        <v>69</v>
      </c>
      <c r="C31" s="2"/>
      <c r="D31" s="2"/>
      <c r="E31" s="2"/>
      <c r="F31" s="2"/>
      <c r="G31" s="2"/>
    </row>
    <row r="32" customFormat="false" ht="15" hidden="false" customHeight="false" outlineLevel="0" collapsed="false">
      <c r="B32" s="2" t="s">
        <v>273</v>
      </c>
      <c r="C32" s="2"/>
      <c r="D32" s="2"/>
      <c r="E32" s="2"/>
      <c r="F32" s="2"/>
      <c r="G32" s="2"/>
    </row>
    <row r="33" customFormat="false" ht="15" hidden="false" customHeight="false" outlineLevel="0" collapsed="false">
      <c r="B33" s="2" t="s">
        <v>274</v>
      </c>
      <c r="C33" s="2"/>
      <c r="D33" s="2"/>
      <c r="E33" s="2"/>
      <c r="F33" s="2"/>
      <c r="G33" s="2"/>
    </row>
  </sheetData>
  <mergeCells count="15">
    <mergeCell ref="B2:G2"/>
    <mergeCell ref="B3:G3"/>
    <mergeCell ref="B5:G5"/>
    <mergeCell ref="B12:G12"/>
    <mergeCell ref="B18:G18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275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276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277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278</v>
      </c>
      <c r="G6" s="10" t="n">
        <v>384900</v>
      </c>
    </row>
    <row r="7" customFormat="false" ht="15" hidden="false" customHeight="false" outlineLevel="0" collapsed="false">
      <c r="B7" s="4" t="s">
        <v>279</v>
      </c>
      <c r="G7" s="10" t="n">
        <v>9308</v>
      </c>
    </row>
    <row r="8" customFormat="false" ht="15" hidden="false" customHeight="false" outlineLevel="0" collapsed="false">
      <c r="B8" s="4" t="s">
        <v>280</v>
      </c>
      <c r="G8" s="10" t="n">
        <v>394208</v>
      </c>
    </row>
    <row r="9" customFormat="false" ht="15" hidden="false" customHeight="false" outlineLevel="0" collapsed="false">
      <c r="B9" s="4" t="s">
        <v>281</v>
      </c>
      <c r="G9" s="10" t="n">
        <v>19710</v>
      </c>
    </row>
    <row r="10" customFormat="false" ht="15" hidden="false" customHeight="false" outlineLevel="0" collapsed="false">
      <c r="B10" s="4" t="s">
        <v>282</v>
      </c>
      <c r="G10" s="10" t="n">
        <v>374498</v>
      </c>
    </row>
    <row r="12" customFormat="false" ht="15" hidden="false" customHeight="false" outlineLevel="0" collapsed="false">
      <c r="B12" s="3" t="s">
        <v>283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284</v>
      </c>
      <c r="C13" s="9" t="s">
        <v>285</v>
      </c>
      <c r="D13" s="9" t="s">
        <v>286</v>
      </c>
      <c r="E13" s="9" t="s">
        <v>287</v>
      </c>
      <c r="F13" s="9" t="s">
        <v>288</v>
      </c>
      <c r="G13" s="9" t="s">
        <v>289</v>
      </c>
      <c r="H13" s="9" t="s">
        <v>290</v>
      </c>
    </row>
    <row r="14" customFormat="false" ht="15" hidden="false" customHeight="false" outlineLevel="0" collapsed="false">
      <c r="B14" s="4" t="n">
        <v>1</v>
      </c>
      <c r="C14" s="4" t="s">
        <v>291</v>
      </c>
      <c r="D14" s="10" t="n">
        <v>12200</v>
      </c>
      <c r="E14" s="10" t="n">
        <v>610</v>
      </c>
      <c r="F14" s="10" t="n">
        <f aca="false">D14-E14</f>
        <v>11590</v>
      </c>
      <c r="G14" s="10" t="n">
        <v>11590</v>
      </c>
      <c r="H14" s="11" t="n">
        <f aca="false">IF(394208=0,0,G14/394208)</f>
        <v>0.0294007224612387</v>
      </c>
    </row>
    <row r="15" customFormat="false" ht="15" hidden="false" customHeight="false" outlineLevel="0" collapsed="false">
      <c r="B15" s="4" t="n">
        <v>2</v>
      </c>
      <c r="C15" s="4" t="s">
        <v>292</v>
      </c>
      <c r="D15" s="10" t="n">
        <v>39500</v>
      </c>
      <c r="E15" s="10" t="n">
        <v>1975</v>
      </c>
      <c r="F15" s="10" t="n">
        <f aca="false">D15-E15</f>
        <v>37525</v>
      </c>
      <c r="G15" s="10" t="n">
        <v>49115</v>
      </c>
      <c r="H15" s="11" t="n">
        <f aca="false">IF(394208=0,0,G15/394208)</f>
        <v>0.124591586167708</v>
      </c>
    </row>
    <row r="16" customFormat="false" ht="15" hidden="false" customHeight="false" outlineLevel="0" collapsed="false">
      <c r="B16" s="4" t="n">
        <v>3</v>
      </c>
      <c r="C16" s="4" t="s">
        <v>293</v>
      </c>
      <c r="D16" s="10" t="n">
        <v>8300</v>
      </c>
      <c r="E16" s="10" t="n">
        <v>415</v>
      </c>
      <c r="F16" s="10" t="n">
        <f aca="false">D16-E16</f>
        <v>7885</v>
      </c>
      <c r="G16" s="10" t="n">
        <v>57000</v>
      </c>
      <c r="H16" s="11" t="n">
        <f aca="false">IF(394208=0,0,G16/394208)</f>
        <v>0.144593717022486</v>
      </c>
    </row>
    <row r="17" customFormat="false" ht="15" hidden="false" customHeight="false" outlineLevel="0" collapsed="false">
      <c r="B17" s="4" t="n">
        <v>4</v>
      </c>
      <c r="C17" s="4" t="s">
        <v>294</v>
      </c>
      <c r="D17" s="10" t="n">
        <v>88500</v>
      </c>
      <c r="E17" s="10" t="n">
        <v>4425</v>
      </c>
      <c r="F17" s="10" t="n">
        <f aca="false">D17-E17</f>
        <v>84075</v>
      </c>
      <c r="G17" s="10" t="n">
        <v>141075</v>
      </c>
      <c r="H17" s="11" t="n">
        <f aca="false">IF(394208=0,0,G17/394208)</f>
        <v>0.357869449630652</v>
      </c>
    </row>
    <row r="18" customFormat="false" ht="15" hidden="false" customHeight="false" outlineLevel="0" collapsed="false">
      <c r="B18" s="4" t="n">
        <v>5</v>
      </c>
      <c r="C18" s="4" t="s">
        <v>295</v>
      </c>
      <c r="D18" s="10" t="n">
        <v>112480</v>
      </c>
      <c r="E18" s="10" t="n">
        <v>5624</v>
      </c>
      <c r="F18" s="10" t="n">
        <f aca="false">D18-E18</f>
        <v>106856</v>
      </c>
      <c r="G18" s="10" t="n">
        <v>247931</v>
      </c>
      <c r="H18" s="11" t="n">
        <f aca="false">IF(394208=0,0,G18/394208)</f>
        <v>0.628934471142138</v>
      </c>
    </row>
    <row r="19" customFormat="false" ht="15" hidden="false" customHeight="false" outlineLevel="0" collapsed="false">
      <c r="B19" s="4" t="n">
        <v>6</v>
      </c>
      <c r="C19" s="4" t="s">
        <v>296</v>
      </c>
      <c r="D19" s="10" t="n">
        <v>13250</v>
      </c>
      <c r="E19" s="10" t="n">
        <v>662.5</v>
      </c>
      <c r="F19" s="10" t="n">
        <f aca="false">D19-E19</f>
        <v>12587.5</v>
      </c>
      <c r="G19" s="10" t="n">
        <v>260518.5</v>
      </c>
      <c r="H19" s="11" t="n">
        <f aca="false">IF(394208=0,0,G19/394208)</f>
        <v>0.66086558365127</v>
      </c>
    </row>
    <row r="20" customFormat="false" ht="15" hidden="false" customHeight="false" outlineLevel="0" collapsed="false">
      <c r="B20" s="4" t="n">
        <v>7</v>
      </c>
      <c r="C20" s="4" t="s">
        <v>297</v>
      </c>
      <c r="D20" s="10" t="n">
        <v>28485</v>
      </c>
      <c r="E20" s="10" t="n">
        <v>1424.25</v>
      </c>
      <c r="F20" s="10" t="n">
        <f aca="false">D20-E20</f>
        <v>27060.75</v>
      </c>
      <c r="G20" s="10" t="n">
        <v>287579.25</v>
      </c>
      <c r="H20" s="11" t="n">
        <f aca="false">IF(394208=0,0,G20/394208)</f>
        <v>0.729511450807695</v>
      </c>
    </row>
    <row r="21" customFormat="false" ht="15" hidden="false" customHeight="false" outlineLevel="0" collapsed="false">
      <c r="B21" s="4" t="n">
        <v>8</v>
      </c>
      <c r="C21" s="4" t="s">
        <v>298</v>
      </c>
      <c r="D21" s="10" t="n">
        <v>6400</v>
      </c>
      <c r="E21" s="10" t="n">
        <v>320</v>
      </c>
      <c r="F21" s="10" t="n">
        <f aca="false">D21-E21</f>
        <v>6080</v>
      </c>
      <c r="G21" s="10" t="n">
        <v>293659.25</v>
      </c>
      <c r="H21" s="11" t="n">
        <f aca="false">IF(394208=0,0,G21/394208)</f>
        <v>0.744934780623427</v>
      </c>
    </row>
    <row r="22" customFormat="false" ht="15" hidden="false" customHeight="false" outlineLevel="0" collapsed="false">
      <c r="B22" s="4" t="n">
        <v>9</v>
      </c>
      <c r="C22" s="4" t="s">
        <v>299</v>
      </c>
      <c r="D22" s="10" t="n">
        <v>48175</v>
      </c>
      <c r="E22" s="10" t="n">
        <v>2408.75</v>
      </c>
      <c r="F22" s="10" t="n">
        <f aca="false">D22-E22</f>
        <v>45766.25</v>
      </c>
      <c r="G22" s="10" t="n">
        <v>339425.5</v>
      </c>
      <c r="H22" s="11" t="n">
        <f aca="false">IF(394208=0,0,G22/394208)</f>
        <v>0.861031485916065</v>
      </c>
    </row>
    <row r="23" customFormat="false" ht="15" hidden="false" customHeight="false" outlineLevel="0" collapsed="false">
      <c r="B23" s="4" t="n">
        <v>10</v>
      </c>
      <c r="C23" s="4" t="s">
        <v>300</v>
      </c>
      <c r="D23" s="10" t="n">
        <v>35494</v>
      </c>
      <c r="E23" s="10" t="n">
        <v>1774.7</v>
      </c>
      <c r="F23" s="10" t="n">
        <f aca="false">D23-E23</f>
        <v>33719.3</v>
      </c>
      <c r="G23" s="10" t="n">
        <v>373144.8</v>
      </c>
      <c r="H23" s="11" t="n">
        <f aca="false">IF(394208=0,0,G23/394208)</f>
        <v>0.946568309116</v>
      </c>
    </row>
    <row r="24" customFormat="false" ht="15" hidden="false" customHeight="false" outlineLevel="0" collapsed="false">
      <c r="B24" s="4" t="n">
        <v>11</v>
      </c>
      <c r="C24" s="4" t="s">
        <v>301</v>
      </c>
      <c r="D24" s="10" t="n">
        <v>1424</v>
      </c>
      <c r="E24" s="10" t="n">
        <v>71.2</v>
      </c>
      <c r="F24" s="10" t="n">
        <f aca="false">D24-E24</f>
        <v>1352.8</v>
      </c>
      <c r="G24" s="10" t="n">
        <v>374497.6</v>
      </c>
      <c r="H24" s="11" t="n">
        <f aca="false">IF(394208=0,0,G24/394208)</f>
        <v>0.95</v>
      </c>
    </row>
    <row r="25" customFormat="false" ht="15" hidden="false" customHeight="false" outlineLevel="0" collapsed="false">
      <c r="B25" s="4" t="n">
        <v>13</v>
      </c>
      <c r="C25" s="4" t="s">
        <v>302</v>
      </c>
      <c r="D25" s="10" t="n">
        <v>19710.4</v>
      </c>
      <c r="E25" s="10" t="n">
        <v>0</v>
      </c>
      <c r="F25" s="10" t="n">
        <f aca="false">D25-E25</f>
        <v>19710.4</v>
      </c>
      <c r="G25" s="10" t="n">
        <v>392208</v>
      </c>
      <c r="H25" s="11" t="n">
        <f aca="false">IF(394208=0,0,G25/394208)</f>
        <v>0.994926536244825</v>
      </c>
    </row>
    <row r="27" customFormat="false" ht="15" hidden="false" customHeight="false" outlineLevel="0" collapsed="false">
      <c r="B27" s="3" t="s">
        <v>303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B28" s="9" t="s">
        <v>40</v>
      </c>
      <c r="C28" s="9" t="s">
        <v>304</v>
      </c>
      <c r="D28" s="9" t="s">
        <v>305</v>
      </c>
      <c r="E28" s="9" t="s">
        <v>306</v>
      </c>
      <c r="F28" s="9" t="s">
        <v>307</v>
      </c>
    </row>
    <row r="29" customFormat="false" ht="15" hidden="false" customHeight="false" outlineLevel="0" collapsed="false">
      <c r="B29" s="4" t="s">
        <v>280</v>
      </c>
      <c r="C29" s="10" t="n">
        <v>394208</v>
      </c>
      <c r="D29" s="10" t="n">
        <v>394208</v>
      </c>
      <c r="E29" s="10" t="n">
        <f aca="false">C29-D29</f>
        <v>0</v>
      </c>
      <c r="F29" s="5" t="str">
        <f aca="false">IF(ABS(E29)&lt;=1,"TIES",IF(ABS(E29)&lt;=ABS(D29)*0.05,"WITHIN","OFF"))</f>
        <v>TIES</v>
      </c>
    </row>
    <row r="30" customFormat="false" ht="15" hidden="false" customHeight="false" outlineLevel="0" collapsed="false">
      <c r="B30" s="4" t="s">
        <v>308</v>
      </c>
      <c r="C30" s="10" t="n">
        <v>19710</v>
      </c>
      <c r="D30" s="10" t="n">
        <v>19710</v>
      </c>
      <c r="E30" s="10" t="n">
        <f aca="false">C30-D30</f>
        <v>0</v>
      </c>
      <c r="F30" s="5" t="str">
        <f aca="false">IF(ABS(E30)&lt;=1,"TIES",IF(ABS(E30)&lt;=ABS(D30)*0.05,"WITHIN","OFF"))</f>
        <v>TIES</v>
      </c>
    </row>
    <row r="31" customFormat="false" ht="15" hidden="false" customHeight="false" outlineLevel="0" collapsed="false">
      <c r="B31" s="4" t="s">
        <v>130</v>
      </c>
      <c r="C31" s="10" t="n">
        <v>280368</v>
      </c>
      <c r="D31" s="10" t="n">
        <v>280368</v>
      </c>
      <c r="E31" s="10" t="n">
        <f aca="false">C31-D31</f>
        <v>0</v>
      </c>
      <c r="F31" s="5" t="str">
        <f aca="false">IF(ABS(E31)&lt;=1,"TIES",IF(ABS(E31)&lt;=ABS(D31)*0.05,"WITHIN","OFF"))</f>
        <v>TIES</v>
      </c>
    </row>
    <row r="35" customFormat="false" ht="15" hidden="false" customHeight="false" outlineLevel="0" collapsed="false">
      <c r="B35" s="3" t="s">
        <v>62</v>
      </c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B36" s="2" t="s">
        <v>63</v>
      </c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B37" s="2" t="s">
        <v>64</v>
      </c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B38" s="2" t="s">
        <v>65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66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67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68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69</v>
      </c>
      <c r="C42" s="2"/>
      <c r="D42" s="2"/>
      <c r="E42" s="2"/>
      <c r="F42" s="2"/>
      <c r="G42" s="2"/>
      <c r="H42" s="2"/>
    </row>
  </sheetData>
  <mergeCells count="13">
    <mergeCell ref="B2:H2"/>
    <mergeCell ref="B3:H3"/>
    <mergeCell ref="B5:H5"/>
    <mergeCell ref="B12:H12"/>
    <mergeCell ref="B27:H27"/>
    <mergeCell ref="B35:H35"/>
    <mergeCell ref="B36:H36"/>
    <mergeCell ref="B37:H37"/>
    <mergeCell ref="B38:H38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309</v>
      </c>
      <c r="C2" s="1"/>
    </row>
    <row r="3" customFormat="false" ht="15" hidden="false" customHeight="false" outlineLevel="0" collapsed="false">
      <c r="B3" s="2" t="s">
        <v>310</v>
      </c>
      <c r="C3" s="2"/>
    </row>
    <row r="5" customFormat="false" ht="31.5" hidden="false" customHeight="true" outlineLevel="0" collapsed="false">
      <c r="B5" s="5" t="s">
        <v>311</v>
      </c>
      <c r="C5" s="24" t="s">
        <v>312</v>
      </c>
    </row>
    <row r="6" customFormat="false" ht="31.5" hidden="false" customHeight="true" outlineLevel="0" collapsed="false">
      <c r="B6" s="5" t="s">
        <v>313</v>
      </c>
      <c r="C6" s="24" t="s">
        <v>314</v>
      </c>
    </row>
    <row r="7" customFormat="false" ht="31.5" hidden="false" customHeight="true" outlineLevel="0" collapsed="false">
      <c r="B7" s="5" t="s">
        <v>315</v>
      </c>
      <c r="C7" s="24" t="s">
        <v>316</v>
      </c>
    </row>
    <row r="8" customFormat="false" ht="31.5" hidden="false" customHeight="true" outlineLevel="0" collapsed="false">
      <c r="B8" s="5" t="s">
        <v>317</v>
      </c>
      <c r="C8" s="24" t="s">
        <v>318</v>
      </c>
    </row>
    <row r="9" customFormat="false" ht="31.5" hidden="false" customHeight="true" outlineLevel="0" collapsed="false">
      <c r="B9" s="5" t="s">
        <v>319</v>
      </c>
      <c r="C9" s="24" t="s">
        <v>320</v>
      </c>
    </row>
    <row r="10" customFormat="false" ht="31.5" hidden="false" customHeight="true" outlineLevel="0" collapsed="false">
      <c r="B10" s="5" t="s">
        <v>321</v>
      </c>
      <c r="C10" s="24" t="s">
        <v>322</v>
      </c>
    </row>
    <row r="11" customFormat="false" ht="31.5" hidden="false" customHeight="true" outlineLevel="0" collapsed="false">
      <c r="B11" s="5" t="s">
        <v>323</v>
      </c>
      <c r="C11" s="24" t="s">
        <v>324</v>
      </c>
    </row>
    <row r="12" customFormat="false" ht="31.5" hidden="false" customHeight="true" outlineLevel="0" collapsed="false">
      <c r="B12" s="5" t="s">
        <v>325</v>
      </c>
      <c r="C12" s="24" t="s">
        <v>326</v>
      </c>
    </row>
    <row r="13" customFormat="false" ht="31.5" hidden="false" customHeight="true" outlineLevel="0" collapsed="false">
      <c r="B13" s="5" t="s">
        <v>327</v>
      </c>
      <c r="C13" s="24" t="s">
        <v>328</v>
      </c>
    </row>
    <row r="14" customFormat="false" ht="31.5" hidden="false" customHeight="true" outlineLevel="0" collapsed="false">
      <c r="B14" s="5" t="s">
        <v>329</v>
      </c>
      <c r="C14" s="24" t="s">
        <v>330</v>
      </c>
    </row>
    <row r="16" customFormat="false" ht="15" hidden="false" customHeight="false" outlineLevel="0" collapsed="false">
      <c r="B16" s="3" t="s">
        <v>331</v>
      </c>
      <c r="C16" s="3"/>
    </row>
    <row r="17" customFormat="false" ht="49.5" hidden="false" customHeight="true" outlineLevel="0" collapsed="false">
      <c r="B17" s="25" t="s">
        <v>332</v>
      </c>
      <c r="C17" s="25"/>
    </row>
    <row r="20" customFormat="false" ht="15" hidden="false" customHeight="false" outlineLevel="0" collapsed="false">
      <c r="B20" s="3" t="s">
        <v>62</v>
      </c>
      <c r="C20" s="3"/>
    </row>
    <row r="21" customFormat="false" ht="15" hidden="false" customHeight="false" outlineLevel="0" collapsed="false">
      <c r="B21" s="2" t="s">
        <v>63</v>
      </c>
      <c r="C21" s="2"/>
    </row>
    <row r="22" customFormat="false" ht="15" hidden="false" customHeight="false" outlineLevel="0" collapsed="false">
      <c r="B22" s="2" t="s">
        <v>64</v>
      </c>
      <c r="C22" s="2"/>
    </row>
    <row r="23" customFormat="false" ht="15" hidden="false" customHeight="false" outlineLevel="0" collapsed="false">
      <c r="B23" s="2" t="s">
        <v>65</v>
      </c>
      <c r="C23" s="2"/>
    </row>
    <row r="24" customFormat="false" ht="15" hidden="false" customHeight="false" outlineLevel="0" collapsed="false">
      <c r="B24" s="2" t="s">
        <v>66</v>
      </c>
      <c r="C24" s="2"/>
    </row>
    <row r="25" customFormat="false" ht="15" hidden="false" customHeight="false" outlineLevel="0" collapsed="false">
      <c r="B25" s="2" t="s">
        <v>67</v>
      </c>
      <c r="C25" s="2"/>
    </row>
    <row r="26" customFormat="false" ht="15" hidden="false" customHeight="false" outlineLevel="0" collapsed="false">
      <c r="B26" s="2" t="s">
        <v>68</v>
      </c>
      <c r="C26" s="2"/>
    </row>
    <row r="27" customFormat="false" ht="15" hidden="false" customHeight="false" outlineLevel="0" collapsed="false">
      <c r="B27" s="2" t="s">
        <v>69</v>
      </c>
      <c r="C27" s="2"/>
    </row>
  </sheetData>
  <mergeCells count="12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7" hidden="false" customHeight="false" outlineLevel="0" collapsed="false">
      <c r="B2" s="1" t="s">
        <v>333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334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335</v>
      </c>
      <c r="C5" s="9" t="s">
        <v>336</v>
      </c>
      <c r="D5" s="9" t="s">
        <v>41</v>
      </c>
      <c r="E5" s="9" t="s">
        <v>28</v>
      </c>
      <c r="F5" s="9" t="s">
        <v>235</v>
      </c>
      <c r="G5" s="26" t="s">
        <v>337</v>
      </c>
      <c r="H5" s="26" t="s">
        <v>338</v>
      </c>
    </row>
    <row r="6" customFormat="false" ht="23.85" hidden="false" customHeight="false" outlineLevel="0" collapsed="false">
      <c r="B6" s="4" t="s">
        <v>339</v>
      </c>
      <c r="C6" s="27" t="s">
        <v>340</v>
      </c>
      <c r="D6" s="5" t="s">
        <v>4</v>
      </c>
      <c r="E6" s="4" t="s">
        <v>341</v>
      </c>
      <c r="F6" s="21" t="s">
        <v>342</v>
      </c>
      <c r="G6" s="28" t="s">
        <v>343</v>
      </c>
      <c r="H6" s="29" t="s">
        <v>344</v>
      </c>
    </row>
    <row r="7" customFormat="false" ht="23.85" hidden="false" customHeight="false" outlineLevel="0" collapsed="false">
      <c r="B7" s="4" t="s">
        <v>345</v>
      </c>
      <c r="C7" s="27" t="s">
        <v>346</v>
      </c>
      <c r="D7" s="5" t="s">
        <v>6</v>
      </c>
      <c r="E7" s="4" t="s">
        <v>341</v>
      </c>
      <c r="G7" s="28" t="s">
        <v>343</v>
      </c>
      <c r="H7" s="29" t="s">
        <v>344</v>
      </c>
    </row>
    <row r="8" customFormat="false" ht="23.85" hidden="false" customHeight="false" outlineLevel="0" collapsed="false">
      <c r="B8" s="4" t="s">
        <v>7</v>
      </c>
      <c r="C8" s="27" t="s">
        <v>347</v>
      </c>
      <c r="D8" s="5" t="s">
        <v>8</v>
      </c>
      <c r="E8" s="4" t="s">
        <v>341</v>
      </c>
      <c r="G8" s="28" t="s">
        <v>343</v>
      </c>
      <c r="H8" s="29" t="s">
        <v>344</v>
      </c>
    </row>
    <row r="9" customFormat="false" ht="23.85" hidden="false" customHeight="false" outlineLevel="0" collapsed="false">
      <c r="B9" s="4" t="s">
        <v>9</v>
      </c>
      <c r="C9" s="27" t="s">
        <v>348</v>
      </c>
      <c r="D9" s="5" t="s">
        <v>10</v>
      </c>
      <c r="E9" s="4" t="s">
        <v>341</v>
      </c>
      <c r="G9" s="28" t="s">
        <v>343</v>
      </c>
      <c r="H9" s="29" t="s">
        <v>344</v>
      </c>
    </row>
    <row r="10" customFormat="false" ht="23.85" hidden="false" customHeight="false" outlineLevel="0" collapsed="false">
      <c r="B10" s="4" t="s">
        <v>349</v>
      </c>
      <c r="C10" s="27" t="s">
        <v>350</v>
      </c>
      <c r="D10" s="5" t="s">
        <v>351</v>
      </c>
      <c r="E10" s="4" t="s">
        <v>341</v>
      </c>
      <c r="G10" s="28" t="s">
        <v>343</v>
      </c>
      <c r="H10" s="29" t="s">
        <v>344</v>
      </c>
    </row>
    <row r="11" customFormat="false" ht="23.85" hidden="false" customHeight="false" outlineLevel="0" collapsed="false">
      <c r="B11" s="4" t="s">
        <v>352</v>
      </c>
      <c r="C11" s="27" t="s">
        <v>353</v>
      </c>
      <c r="D11" s="5" t="n">
        <v>16</v>
      </c>
      <c r="E11" s="4" t="s">
        <v>341</v>
      </c>
      <c r="F11" s="21" t="s">
        <v>12</v>
      </c>
      <c r="G11" s="28" t="s">
        <v>343</v>
      </c>
      <c r="H11" s="29" t="s">
        <v>344</v>
      </c>
    </row>
    <row r="12" customFormat="false" ht="23.85" hidden="false" customHeight="false" outlineLevel="0" collapsed="false">
      <c r="B12" s="4" t="s">
        <v>354</v>
      </c>
      <c r="C12" s="27" t="s">
        <v>355</v>
      </c>
      <c r="D12" s="12" t="n">
        <v>168</v>
      </c>
      <c r="E12" s="4" t="s">
        <v>341</v>
      </c>
      <c r="G12" s="28" t="s">
        <v>343</v>
      </c>
      <c r="H12" s="29" t="s">
        <v>344</v>
      </c>
    </row>
    <row r="13" customFormat="false" ht="23.85" hidden="false" customHeight="false" outlineLevel="0" collapsed="false">
      <c r="B13" s="4" t="s">
        <v>46</v>
      </c>
      <c r="C13" s="27" t="s">
        <v>356</v>
      </c>
      <c r="D13" s="12" t="n">
        <v>812</v>
      </c>
      <c r="E13" s="4" t="s">
        <v>341</v>
      </c>
      <c r="G13" s="28" t="s">
        <v>343</v>
      </c>
      <c r="H13" s="29" t="s">
        <v>344</v>
      </c>
    </row>
    <row r="14" customFormat="false" ht="23.85" hidden="false" customHeight="false" outlineLevel="0" collapsed="false">
      <c r="B14" s="4" t="s">
        <v>357</v>
      </c>
      <c r="C14" s="27" t="s">
        <v>358</v>
      </c>
      <c r="D14" s="20" t="n">
        <v>4.83333333333333</v>
      </c>
      <c r="E14" s="4" t="s">
        <v>341</v>
      </c>
      <c r="G14" s="28" t="s">
        <v>343</v>
      </c>
      <c r="H14" s="29" t="s">
        <v>344</v>
      </c>
    </row>
    <row r="15" customFormat="false" ht="23.85" hidden="false" customHeight="false" outlineLevel="0" collapsed="false">
      <c r="B15" s="4" t="s">
        <v>359</v>
      </c>
      <c r="C15" s="27" t="s">
        <v>360</v>
      </c>
      <c r="D15" s="12" t="n">
        <v>384900</v>
      </c>
      <c r="E15" s="4" t="s">
        <v>361</v>
      </c>
      <c r="G15" s="28" t="s">
        <v>343</v>
      </c>
      <c r="H15" s="29" t="s">
        <v>344</v>
      </c>
    </row>
    <row r="16" customFormat="false" ht="23.85" hidden="false" customHeight="false" outlineLevel="0" collapsed="false">
      <c r="B16" s="4" t="s">
        <v>362</v>
      </c>
      <c r="C16" s="27" t="s">
        <v>363</v>
      </c>
      <c r="D16" s="12" t="n">
        <v>394208</v>
      </c>
      <c r="E16" s="4" t="s">
        <v>361</v>
      </c>
      <c r="F16" s="21" t="s">
        <v>364</v>
      </c>
      <c r="G16" s="28" t="s">
        <v>343</v>
      </c>
      <c r="H16" s="29" t="s">
        <v>344</v>
      </c>
    </row>
    <row r="17" customFormat="false" ht="23.85" hidden="false" customHeight="false" outlineLevel="0" collapsed="false">
      <c r="B17" s="4" t="s">
        <v>365</v>
      </c>
      <c r="C17" s="27" t="s">
        <v>366</v>
      </c>
      <c r="D17" s="12" t="n">
        <v>9308</v>
      </c>
      <c r="E17" s="4" t="s">
        <v>361</v>
      </c>
      <c r="G17" s="28" t="s">
        <v>343</v>
      </c>
      <c r="H17" s="29" t="s">
        <v>344</v>
      </c>
    </row>
    <row r="18" customFormat="false" ht="23.85" hidden="false" customHeight="false" outlineLevel="0" collapsed="false">
      <c r="B18" s="4" t="s">
        <v>367</v>
      </c>
      <c r="C18" s="27" t="s">
        <v>368</v>
      </c>
      <c r="D18" s="12" t="n">
        <v>394208</v>
      </c>
      <c r="E18" s="4" t="s">
        <v>361</v>
      </c>
      <c r="G18" s="28" t="s">
        <v>343</v>
      </c>
      <c r="H18" s="29" t="s">
        <v>344</v>
      </c>
    </row>
    <row r="19" customFormat="false" ht="23.85" hidden="false" customHeight="false" outlineLevel="0" collapsed="false">
      <c r="B19" s="4" t="s">
        <v>369</v>
      </c>
      <c r="C19" s="27" t="s">
        <v>370</v>
      </c>
      <c r="D19" s="12" t="n">
        <v>113840.13</v>
      </c>
      <c r="E19" s="4" t="s">
        <v>361</v>
      </c>
      <c r="G19" s="28" t="s">
        <v>343</v>
      </c>
      <c r="H19" s="29" t="s">
        <v>344</v>
      </c>
    </row>
    <row r="20" customFormat="false" ht="23.85" hidden="false" customHeight="false" outlineLevel="0" collapsed="false">
      <c r="B20" s="4" t="s">
        <v>371</v>
      </c>
      <c r="C20" s="27" t="s">
        <v>372</v>
      </c>
      <c r="D20" s="20" t="n">
        <v>0.288781886719701</v>
      </c>
      <c r="E20" s="4" t="s">
        <v>361</v>
      </c>
      <c r="G20" s="28" t="s">
        <v>343</v>
      </c>
      <c r="H20" s="29" t="s">
        <v>344</v>
      </c>
    </row>
    <row r="21" customFormat="false" ht="23.85" hidden="false" customHeight="false" outlineLevel="0" collapsed="false">
      <c r="B21" s="4" t="s">
        <v>130</v>
      </c>
      <c r="C21" s="27" t="s">
        <v>373</v>
      </c>
      <c r="D21" s="12" t="n">
        <v>280367.87</v>
      </c>
      <c r="E21" s="4" t="s">
        <v>361</v>
      </c>
      <c r="G21" s="28" t="s">
        <v>343</v>
      </c>
      <c r="H21" s="29" t="s">
        <v>344</v>
      </c>
    </row>
    <row r="22" customFormat="false" ht="23.85" hidden="false" customHeight="false" outlineLevel="0" collapsed="false">
      <c r="B22" s="4" t="s">
        <v>374</v>
      </c>
      <c r="C22" s="27" t="s">
        <v>375</v>
      </c>
      <c r="D22" s="12" t="n">
        <v>80901.5</v>
      </c>
      <c r="E22" s="4" t="s">
        <v>34</v>
      </c>
      <c r="F22" s="21" t="s">
        <v>376</v>
      </c>
      <c r="G22" s="28" t="s">
        <v>343</v>
      </c>
      <c r="H22" s="29" t="s">
        <v>344</v>
      </c>
    </row>
    <row r="23" customFormat="false" ht="23.85" hidden="false" customHeight="false" outlineLevel="0" collapsed="false">
      <c r="B23" s="4" t="s">
        <v>377</v>
      </c>
      <c r="C23" s="27" t="s">
        <v>378</v>
      </c>
      <c r="D23" s="12" t="n">
        <v>151064.39</v>
      </c>
      <c r="E23" s="4" t="s">
        <v>35</v>
      </c>
      <c r="F23" s="21" t="s">
        <v>379</v>
      </c>
      <c r="G23" s="28" t="s">
        <v>343</v>
      </c>
      <c r="H23" s="29" t="s">
        <v>344</v>
      </c>
    </row>
    <row r="24" customFormat="false" ht="23.85" hidden="false" customHeight="false" outlineLevel="0" collapsed="false">
      <c r="B24" s="4" t="s">
        <v>380</v>
      </c>
      <c r="C24" s="27" t="s">
        <v>381</v>
      </c>
      <c r="D24" s="12" t="n">
        <v>7510.52</v>
      </c>
      <c r="E24" s="4" t="s">
        <v>361</v>
      </c>
      <c r="F24" s="21" t="s">
        <v>382</v>
      </c>
      <c r="G24" s="28" t="s">
        <v>343</v>
      </c>
      <c r="H24" s="29" t="s">
        <v>344</v>
      </c>
    </row>
    <row r="25" customFormat="false" ht="23.85" hidden="false" customHeight="false" outlineLevel="0" collapsed="false">
      <c r="B25" s="4" t="s">
        <v>383</v>
      </c>
      <c r="C25" s="27" t="s">
        <v>384</v>
      </c>
      <c r="D25" s="12" t="n">
        <v>40891.46</v>
      </c>
      <c r="E25" s="4" t="s">
        <v>361</v>
      </c>
      <c r="F25" s="21" t="s">
        <v>385</v>
      </c>
      <c r="G25" s="28" t="s">
        <v>343</v>
      </c>
      <c r="H25" s="29" t="s">
        <v>344</v>
      </c>
    </row>
    <row r="26" customFormat="false" ht="23.85" hidden="false" customHeight="false" outlineLevel="0" collapsed="false">
      <c r="B26" s="4" t="s">
        <v>308</v>
      </c>
      <c r="C26" s="27" t="s">
        <v>386</v>
      </c>
      <c r="D26" s="12" t="n">
        <v>19710.4</v>
      </c>
      <c r="E26" s="4" t="s">
        <v>361</v>
      </c>
      <c r="F26" s="21" t="s">
        <v>387</v>
      </c>
      <c r="G26" s="28" t="s">
        <v>343</v>
      </c>
      <c r="H26" s="29" t="s">
        <v>344</v>
      </c>
    </row>
    <row r="27" customFormat="false" ht="23.85" hidden="false" customHeight="false" outlineLevel="0" collapsed="false">
      <c r="B27" s="4" t="s">
        <v>388</v>
      </c>
      <c r="C27" s="27" t="s">
        <v>389</v>
      </c>
      <c r="D27" s="12" t="n">
        <v>2346.47619047619</v>
      </c>
      <c r="E27" s="4" t="s">
        <v>361</v>
      </c>
      <c r="G27" s="28" t="s">
        <v>343</v>
      </c>
      <c r="H27" s="29" t="s">
        <v>344</v>
      </c>
    </row>
    <row r="28" customFormat="false" ht="23.85" hidden="false" customHeight="false" outlineLevel="0" collapsed="false">
      <c r="B28" s="4" t="s">
        <v>390</v>
      </c>
      <c r="C28" s="27" t="s">
        <v>391</v>
      </c>
      <c r="D28" s="12" t="n">
        <v>677.619821428571</v>
      </c>
      <c r="E28" s="4" t="s">
        <v>361</v>
      </c>
      <c r="G28" s="28" t="s">
        <v>343</v>
      </c>
      <c r="H28" s="29" t="s">
        <v>344</v>
      </c>
    </row>
    <row r="29" customFormat="false" ht="23.85" hidden="false" customHeight="false" outlineLevel="0" collapsed="false">
      <c r="B29" s="4" t="s">
        <v>392</v>
      </c>
      <c r="C29" s="27" t="s">
        <v>393</v>
      </c>
      <c r="D29" s="12" t="n">
        <v>1668.85636904762</v>
      </c>
      <c r="E29" s="4" t="s">
        <v>361</v>
      </c>
      <c r="G29" s="28" t="s">
        <v>343</v>
      </c>
      <c r="H29" s="29" t="s">
        <v>344</v>
      </c>
    </row>
    <row r="30" customFormat="false" ht="23.85" hidden="false" customHeight="false" outlineLevel="0" collapsed="false">
      <c r="B30" s="4" t="s">
        <v>394</v>
      </c>
      <c r="C30" s="27" t="s">
        <v>395</v>
      </c>
      <c r="D30" s="12" t="n">
        <v>481.556547619048</v>
      </c>
      <c r="E30" s="4" t="s">
        <v>34</v>
      </c>
      <c r="G30" s="28" t="s">
        <v>343</v>
      </c>
      <c r="H30" s="29" t="s">
        <v>344</v>
      </c>
    </row>
    <row r="31" customFormat="false" ht="23.85" hidden="false" customHeight="false" outlineLevel="0" collapsed="false">
      <c r="B31" s="4" t="s">
        <v>396</v>
      </c>
      <c r="C31" s="27" t="s">
        <v>397</v>
      </c>
      <c r="D31" s="12" t="n">
        <v>899.192797619048</v>
      </c>
      <c r="E31" s="4" t="s">
        <v>35</v>
      </c>
      <c r="G31" s="28" t="s">
        <v>343</v>
      </c>
      <c r="H31" s="29" t="s">
        <v>344</v>
      </c>
    </row>
    <row r="32" customFormat="false" ht="23.85" hidden="false" customHeight="false" outlineLevel="0" collapsed="false">
      <c r="B32" s="4" t="s">
        <v>398</v>
      </c>
      <c r="C32" s="27" t="s">
        <v>399</v>
      </c>
      <c r="D32" s="12" t="n">
        <v>485.477832512315</v>
      </c>
      <c r="E32" s="4" t="s">
        <v>361</v>
      </c>
      <c r="G32" s="28" t="s">
        <v>343</v>
      </c>
      <c r="H32" s="29" t="s">
        <v>344</v>
      </c>
    </row>
    <row r="33" customFormat="false" ht="23.85" hidden="false" customHeight="false" outlineLevel="0" collapsed="false">
      <c r="B33" s="4" t="s">
        <v>400</v>
      </c>
      <c r="C33" s="27" t="s">
        <v>401</v>
      </c>
      <c r="D33" s="12" t="n">
        <v>140.197204433498</v>
      </c>
      <c r="E33" s="4" t="s">
        <v>361</v>
      </c>
      <c r="G33" s="28" t="s">
        <v>343</v>
      </c>
      <c r="H33" s="29" t="s">
        <v>344</v>
      </c>
    </row>
    <row r="34" customFormat="false" ht="23.85" hidden="false" customHeight="false" outlineLevel="0" collapsed="false">
      <c r="B34" s="4" t="s">
        <v>402</v>
      </c>
      <c r="C34" s="27" t="s">
        <v>403</v>
      </c>
      <c r="D34" s="12" t="n">
        <v>345.280628078818</v>
      </c>
      <c r="E34" s="4" t="s">
        <v>361</v>
      </c>
      <c r="G34" s="28" t="s">
        <v>343</v>
      </c>
      <c r="H34" s="29" t="s">
        <v>344</v>
      </c>
    </row>
    <row r="35" customFormat="false" ht="23.85" hidden="false" customHeight="false" outlineLevel="0" collapsed="false">
      <c r="B35" s="4" t="s">
        <v>404</v>
      </c>
      <c r="C35" s="27" t="s">
        <v>405</v>
      </c>
      <c r="D35" s="13" t="n">
        <v>99.6323891625616</v>
      </c>
      <c r="E35" s="4" t="s">
        <v>34</v>
      </c>
      <c r="G35" s="28" t="s">
        <v>343</v>
      </c>
      <c r="H35" s="29" t="s">
        <v>344</v>
      </c>
    </row>
    <row r="36" customFormat="false" ht="23.85" hidden="false" customHeight="false" outlineLevel="0" collapsed="false">
      <c r="B36" s="4" t="s">
        <v>406</v>
      </c>
      <c r="C36" s="27" t="s">
        <v>407</v>
      </c>
      <c r="D36" s="12" t="n">
        <v>186.039889162562</v>
      </c>
      <c r="E36" s="4" t="s">
        <v>35</v>
      </c>
      <c r="G36" s="28" t="s">
        <v>343</v>
      </c>
      <c r="H36" s="29" t="s">
        <v>344</v>
      </c>
    </row>
    <row r="37" customFormat="false" ht="23.85" hidden="false" customHeight="false" outlineLevel="0" collapsed="false">
      <c r="B37" s="4" t="s">
        <v>408</v>
      </c>
      <c r="C37" s="27" t="s">
        <v>409</v>
      </c>
      <c r="D37" s="12" t="n">
        <v>3928.5</v>
      </c>
      <c r="E37" s="4" t="s">
        <v>34</v>
      </c>
      <c r="F37" s="21" t="s">
        <v>410</v>
      </c>
      <c r="G37" s="28" t="s">
        <v>343</v>
      </c>
      <c r="H37" s="29" t="s">
        <v>344</v>
      </c>
    </row>
    <row r="38" customFormat="false" ht="23.85" hidden="false" customHeight="false" outlineLevel="0" collapsed="false">
      <c r="B38" s="4" t="s">
        <v>411</v>
      </c>
      <c r="C38" s="27" t="s">
        <v>412</v>
      </c>
      <c r="D38" s="5" t="n">
        <v>23</v>
      </c>
      <c r="E38" s="4" t="s">
        <v>34</v>
      </c>
      <c r="F38" s="21" t="s">
        <v>413</v>
      </c>
      <c r="G38" s="28" t="s">
        <v>343</v>
      </c>
      <c r="H38" s="29" t="s">
        <v>344</v>
      </c>
    </row>
    <row r="39" customFormat="false" ht="23.85" hidden="false" customHeight="false" outlineLevel="0" collapsed="false">
      <c r="B39" s="4" t="s">
        <v>205</v>
      </c>
      <c r="C39" s="27" t="s">
        <v>414</v>
      </c>
      <c r="D39" s="13" t="n">
        <v>21.8830851470027</v>
      </c>
      <c r="E39" s="4" t="s">
        <v>34</v>
      </c>
      <c r="F39" s="21" t="s">
        <v>415</v>
      </c>
      <c r="G39" s="28" t="s">
        <v>343</v>
      </c>
      <c r="H39" s="29" t="s">
        <v>344</v>
      </c>
    </row>
    <row r="40" customFormat="false" ht="23.85" hidden="false" customHeight="false" outlineLevel="0" collapsed="false">
      <c r="B40" s="4" t="s">
        <v>207</v>
      </c>
      <c r="C40" s="27" t="s">
        <v>416</v>
      </c>
      <c r="D40" s="13" t="n">
        <v>31.0024080437826</v>
      </c>
      <c r="E40" s="4" t="s">
        <v>34</v>
      </c>
      <c r="F40" s="21" t="s">
        <v>417</v>
      </c>
      <c r="G40" s="28" t="s">
        <v>343</v>
      </c>
      <c r="H40" s="29" t="s">
        <v>344</v>
      </c>
    </row>
    <row r="41" customFormat="false" ht="23.85" hidden="false" customHeight="false" outlineLevel="0" collapsed="false">
      <c r="B41" s="4" t="s">
        <v>209</v>
      </c>
      <c r="C41" s="27" t="s">
        <v>418</v>
      </c>
      <c r="D41" s="20" t="n">
        <v>1.41672930647208</v>
      </c>
      <c r="E41" s="4" t="s">
        <v>34</v>
      </c>
      <c r="G41" s="28" t="s">
        <v>343</v>
      </c>
      <c r="H41" s="29" t="s">
        <v>344</v>
      </c>
    </row>
    <row r="42" customFormat="false" ht="23.85" hidden="false" customHeight="false" outlineLevel="0" collapsed="false">
      <c r="B42" s="4" t="s">
        <v>419</v>
      </c>
      <c r="C42" s="27" t="s">
        <v>420</v>
      </c>
      <c r="D42" s="13" t="n">
        <v>23.3839285714286</v>
      </c>
      <c r="E42" s="4" t="s">
        <v>34</v>
      </c>
      <c r="F42" s="21" t="s">
        <v>421</v>
      </c>
      <c r="G42" s="28" t="s">
        <v>343</v>
      </c>
      <c r="H42" s="29" t="s">
        <v>344</v>
      </c>
    </row>
    <row r="43" customFormat="false" ht="23.85" hidden="false" customHeight="false" outlineLevel="0" collapsed="false">
      <c r="B43" s="4" t="s">
        <v>422</v>
      </c>
      <c r="C43" s="27" t="s">
        <v>423</v>
      </c>
      <c r="D43" s="20" t="n">
        <v>4.83805418719212</v>
      </c>
      <c r="E43" s="4" t="s">
        <v>34</v>
      </c>
      <c r="F43" s="21" t="s">
        <v>421</v>
      </c>
      <c r="G43" s="28" t="s">
        <v>343</v>
      </c>
      <c r="H43" s="29" t="s">
        <v>344</v>
      </c>
    </row>
    <row r="44" customFormat="false" ht="23.85" hidden="false" customHeight="false" outlineLevel="0" collapsed="false">
      <c r="B44" s="4" t="s">
        <v>424</v>
      </c>
      <c r="C44" s="27" t="s">
        <v>425</v>
      </c>
      <c r="D44" s="12" t="n">
        <v>100.345679012346</v>
      </c>
      <c r="E44" s="4" t="s">
        <v>426</v>
      </c>
      <c r="G44" s="28" t="s">
        <v>343</v>
      </c>
      <c r="H44" s="29" t="s">
        <v>344</v>
      </c>
    </row>
    <row r="45" customFormat="false" ht="23.85" hidden="false" customHeight="false" outlineLevel="0" collapsed="false">
      <c r="B45" s="4" t="s">
        <v>427</v>
      </c>
      <c r="C45" s="27" t="s">
        <v>428</v>
      </c>
      <c r="D45" s="13" t="n">
        <v>28.9780145093547</v>
      </c>
      <c r="E45" s="4" t="s">
        <v>426</v>
      </c>
      <c r="G45" s="28" t="s">
        <v>343</v>
      </c>
      <c r="H45" s="29" t="s">
        <v>344</v>
      </c>
    </row>
    <row r="46" customFormat="false" ht="23.85" hidden="false" customHeight="false" outlineLevel="0" collapsed="false">
      <c r="B46" s="4" t="s">
        <v>429</v>
      </c>
      <c r="C46" s="27" t="s">
        <v>430</v>
      </c>
      <c r="D46" s="20" t="n">
        <v>0.205225413994642</v>
      </c>
      <c r="E46" s="4" t="s">
        <v>431</v>
      </c>
      <c r="G46" s="28" t="s">
        <v>343</v>
      </c>
      <c r="H46" s="29" t="s">
        <v>344</v>
      </c>
    </row>
    <row r="47" customFormat="false" ht="23.85" hidden="false" customHeight="false" outlineLevel="0" collapsed="false">
      <c r="B47" s="4" t="s">
        <v>432</v>
      </c>
      <c r="C47" s="27" t="s">
        <v>433</v>
      </c>
      <c r="D47" s="20" t="n">
        <v>0.383209853681305</v>
      </c>
      <c r="E47" s="4" t="s">
        <v>431</v>
      </c>
      <c r="G47" s="28" t="s">
        <v>343</v>
      </c>
      <c r="H47" s="29" t="s">
        <v>344</v>
      </c>
    </row>
    <row r="48" customFormat="false" ht="23.85" hidden="false" customHeight="false" outlineLevel="0" collapsed="false">
      <c r="B48" s="4" t="s">
        <v>434</v>
      </c>
      <c r="C48" s="27" t="s">
        <v>435</v>
      </c>
      <c r="D48" s="12" t="n">
        <v>24638</v>
      </c>
      <c r="E48" s="4" t="s">
        <v>426</v>
      </c>
      <c r="G48" s="28" t="s">
        <v>343</v>
      </c>
      <c r="H48" s="29" t="s">
        <v>344</v>
      </c>
    </row>
    <row r="49" customFormat="false" ht="23.85" hidden="false" customHeight="false" outlineLevel="0" collapsed="false">
      <c r="B49" s="4" t="s">
        <v>436</v>
      </c>
      <c r="C49" s="27" t="s">
        <v>437</v>
      </c>
      <c r="D49" s="12" t="n">
        <v>245.53125</v>
      </c>
      <c r="E49" s="4" t="s">
        <v>426</v>
      </c>
      <c r="G49" s="28" t="s">
        <v>343</v>
      </c>
      <c r="H49" s="29" t="s">
        <v>344</v>
      </c>
    </row>
    <row r="50" customFormat="false" ht="23.85" hidden="false" customHeight="false" outlineLevel="0" collapsed="false">
      <c r="B50" s="4" t="s">
        <v>438</v>
      </c>
      <c r="C50" s="27" t="s">
        <v>439</v>
      </c>
      <c r="D50" s="13" t="n">
        <v>10.5</v>
      </c>
      <c r="E50" s="4" t="s">
        <v>426</v>
      </c>
      <c r="G50" s="28" t="s">
        <v>343</v>
      </c>
      <c r="H50" s="29" t="s">
        <v>344</v>
      </c>
    </row>
    <row r="51" customFormat="false" ht="23.85" hidden="false" customHeight="false" outlineLevel="0" collapsed="false">
      <c r="B51" s="4" t="s">
        <v>440</v>
      </c>
      <c r="C51" s="27" t="s">
        <v>441</v>
      </c>
      <c r="D51" s="5" t="n">
        <v>13</v>
      </c>
      <c r="E51" s="4" t="s">
        <v>35</v>
      </c>
      <c r="F51" s="21" t="s">
        <v>442</v>
      </c>
      <c r="G51" s="28" t="s">
        <v>343</v>
      </c>
      <c r="H51" s="29" t="s">
        <v>344</v>
      </c>
    </row>
    <row r="52" customFormat="false" ht="23.85" hidden="false" customHeight="false" outlineLevel="0" collapsed="false">
      <c r="B52" s="4" t="s">
        <v>443</v>
      </c>
      <c r="C52" s="27" t="s">
        <v>444</v>
      </c>
      <c r="D52" s="12" t="n">
        <v>117439.01</v>
      </c>
      <c r="E52" s="4" t="s">
        <v>35</v>
      </c>
      <c r="F52" s="21" t="s">
        <v>152</v>
      </c>
      <c r="G52" s="28" t="s">
        <v>343</v>
      </c>
      <c r="H52" s="29" t="s">
        <v>344</v>
      </c>
    </row>
    <row r="53" customFormat="false" ht="23.85" hidden="false" customHeight="false" outlineLevel="0" collapsed="false">
      <c r="B53" s="4" t="s">
        <v>445</v>
      </c>
      <c r="C53" s="27" t="s">
        <v>446</v>
      </c>
      <c r="D53" s="20" t="n">
        <v>0.673118452135481</v>
      </c>
      <c r="E53" s="4" t="s">
        <v>35</v>
      </c>
      <c r="G53" s="28" t="s">
        <v>343</v>
      </c>
      <c r="H53" s="29" t="s">
        <v>344</v>
      </c>
    </row>
    <row r="54" customFormat="false" ht="23.85" hidden="false" customHeight="false" outlineLevel="0" collapsed="false">
      <c r="B54" s="4" t="s">
        <v>447</v>
      </c>
      <c r="C54" s="27" t="s">
        <v>448</v>
      </c>
      <c r="D54" s="5" t="n">
        <v>7</v>
      </c>
      <c r="E54" s="4" t="s">
        <v>35</v>
      </c>
      <c r="F54" s="21" t="s">
        <v>449</v>
      </c>
      <c r="G54" s="28" t="s">
        <v>343</v>
      </c>
      <c r="H54" s="29" t="s">
        <v>344</v>
      </c>
    </row>
    <row r="55" customFormat="false" ht="23.85" hidden="false" customHeight="false" outlineLevel="0" collapsed="false">
      <c r="B55" s="4" t="s">
        <v>450</v>
      </c>
      <c r="C55" s="27" t="s">
        <v>451</v>
      </c>
      <c r="D55" s="20" t="n">
        <v>0.0241829046505586</v>
      </c>
      <c r="E55" s="4" t="s">
        <v>361</v>
      </c>
      <c r="G55" s="28" t="s">
        <v>343</v>
      </c>
      <c r="H55" s="29" t="s">
        <v>344</v>
      </c>
    </row>
    <row r="56" customFormat="false" ht="23.85" hidden="false" customHeight="false" outlineLevel="0" collapsed="false">
      <c r="B56" s="4" t="s">
        <v>452</v>
      </c>
      <c r="C56" s="27" t="s">
        <v>453</v>
      </c>
      <c r="D56" s="12" t="n">
        <v>100.345679012346</v>
      </c>
      <c r="E56" s="4" t="s">
        <v>426</v>
      </c>
      <c r="G56" s="28" t="s">
        <v>343</v>
      </c>
      <c r="H56" s="29" t="s">
        <v>344</v>
      </c>
    </row>
    <row r="60" customFormat="false" ht="15" hidden="false" customHeight="false" outlineLevel="0" collapsed="false">
      <c r="B60" s="3" t="s">
        <v>62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63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64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65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66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67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68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69</v>
      </c>
      <c r="C67" s="2"/>
      <c r="D67" s="2"/>
      <c r="E67" s="2"/>
      <c r="F67" s="2"/>
    </row>
    <row r="68" customFormat="false" ht="15" hidden="false" customHeight="false" outlineLevel="0" collapsed="false">
      <c r="B68" s="2" t="s">
        <v>454</v>
      </c>
      <c r="C68" s="2"/>
      <c r="D68" s="2"/>
      <c r="E68" s="2"/>
      <c r="F68" s="2"/>
    </row>
  </sheetData>
  <mergeCells count="11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30" t="s">
        <v>455</v>
      </c>
      <c r="B1" s="30"/>
      <c r="C1" s="30"/>
      <c r="D1" s="30"/>
      <c r="E1" s="30"/>
      <c r="F1" s="30"/>
      <c r="G1" s="30"/>
    </row>
    <row r="3" customFormat="false" ht="15" hidden="false" customHeight="false" outlineLevel="0" collapsed="false">
      <c r="A3" s="5" t="s">
        <v>456</v>
      </c>
      <c r="B3" s="4" t="n">
        <v>13</v>
      </c>
      <c r="D3" s="5" t="s">
        <v>457</v>
      </c>
      <c r="E3" s="4" t="s">
        <v>152</v>
      </c>
    </row>
    <row r="4" customFormat="false" ht="15" hidden="false" customHeight="false" outlineLevel="0" collapsed="false">
      <c r="A4" s="5" t="s">
        <v>458</v>
      </c>
      <c r="B4" s="4" t="n">
        <v>98</v>
      </c>
      <c r="D4" s="5" t="s">
        <v>459</v>
      </c>
      <c r="E4" s="31" t="n">
        <f aca="false">163518.74/174470.05</f>
        <v>0.937231003258153</v>
      </c>
    </row>
    <row r="5" customFormat="false" ht="15" hidden="false" customHeight="false" outlineLevel="0" collapsed="false">
      <c r="A5" s="5" t="s">
        <v>460</v>
      </c>
      <c r="B5" s="32" t="n">
        <v>174470.05</v>
      </c>
      <c r="D5" s="5" t="s">
        <v>461</v>
      </c>
      <c r="E5" s="21" t="s">
        <v>462</v>
      </c>
    </row>
    <row r="6" customFormat="false" ht="15" hidden="false" customHeight="false" outlineLevel="0" collapsed="false">
      <c r="A6" s="5" t="s">
        <v>463</v>
      </c>
      <c r="B6" s="32" t="n">
        <f aca="false">B5/B4</f>
        <v>1780.30663265306</v>
      </c>
    </row>
    <row r="8" customFormat="false" ht="19.5" hidden="false" customHeight="true" outlineLevel="0" collapsed="false">
      <c r="A8" s="33" t="s">
        <v>464</v>
      </c>
      <c r="B8" s="33" t="s">
        <v>147</v>
      </c>
      <c r="C8" s="33" t="s">
        <v>465</v>
      </c>
      <c r="D8" s="33" t="s">
        <v>458</v>
      </c>
      <c r="E8" s="33" t="s">
        <v>149</v>
      </c>
      <c r="F8" s="33" t="s">
        <v>150</v>
      </c>
      <c r="G8" s="33" t="s">
        <v>466</v>
      </c>
    </row>
    <row r="9" customFormat="false" ht="15" hidden="false" customHeight="false" outlineLevel="0" collapsed="false">
      <c r="A9" s="34" t="n">
        <v>1</v>
      </c>
      <c r="B9" s="35" t="s">
        <v>152</v>
      </c>
      <c r="C9" s="34"/>
      <c r="D9" s="34" t="n">
        <v>65</v>
      </c>
      <c r="E9" s="36" t="n">
        <v>117439.01</v>
      </c>
      <c r="F9" s="37" t="n">
        <f aca="false">E9/E$22</f>
        <v>0.673118452135481</v>
      </c>
      <c r="G9" s="36" t="n">
        <f aca="false">IF(D9=0,0,E9/D9)</f>
        <v>1806.754</v>
      </c>
    </row>
    <row r="10" customFormat="false" ht="15" hidden="false" customHeight="false" outlineLevel="0" collapsed="false">
      <c r="A10" s="34" t="n">
        <v>2</v>
      </c>
      <c r="B10" s="35" t="s">
        <v>153</v>
      </c>
      <c r="C10" s="34"/>
      <c r="D10" s="34" t="n">
        <v>14</v>
      </c>
      <c r="E10" s="36" t="n">
        <v>29740.43</v>
      </c>
      <c r="F10" s="37" t="n">
        <f aca="false">E10/E$22</f>
        <v>0.170461520472998</v>
      </c>
      <c r="G10" s="36" t="n">
        <f aca="false">IF(D10=0,0,E10/D10)</f>
        <v>2124.31642857143</v>
      </c>
    </row>
    <row r="11" customFormat="false" ht="15" hidden="false" customHeight="false" outlineLevel="0" collapsed="false">
      <c r="A11" s="34" t="n">
        <v>3</v>
      </c>
      <c r="B11" s="35" t="s">
        <v>154</v>
      </c>
      <c r="C11" s="34"/>
      <c r="D11" s="34" t="n">
        <v>2</v>
      </c>
      <c r="E11" s="36" t="n">
        <v>16339.3</v>
      </c>
      <c r="F11" s="37" t="n">
        <f aca="false">E11/E$22</f>
        <v>0.0936510306496731</v>
      </c>
      <c r="G11" s="36" t="n">
        <f aca="false">IF(D11=0,0,E11/D11)</f>
        <v>8169.65</v>
      </c>
    </row>
    <row r="12" customFormat="false" ht="15" hidden="false" customHeight="false" outlineLevel="0" collapsed="false">
      <c r="A12" s="38" t="n">
        <v>4</v>
      </c>
      <c r="B12" s="39" t="s">
        <v>155</v>
      </c>
      <c r="C12" s="38"/>
      <c r="D12" s="38" t="n">
        <v>1</v>
      </c>
      <c r="E12" s="40" t="n">
        <v>4895</v>
      </c>
      <c r="F12" s="41" t="n">
        <f aca="false">E12/E$22</f>
        <v>0.0280563913405195</v>
      </c>
      <c r="G12" s="40" t="n">
        <f aca="false">IF(D12=0,0,E12/D12)</f>
        <v>4895</v>
      </c>
    </row>
    <row r="13" customFormat="false" ht="15" hidden="false" customHeight="false" outlineLevel="0" collapsed="false">
      <c r="A13" s="42" t="n">
        <v>5</v>
      </c>
      <c r="B13" s="43" t="s">
        <v>156</v>
      </c>
      <c r="C13" s="42"/>
      <c r="D13" s="42" t="n">
        <v>1</v>
      </c>
      <c r="E13" s="44" t="n">
        <v>2250</v>
      </c>
      <c r="F13" s="45" t="n">
        <f aca="false">E13/E$22</f>
        <v>0.0128961962239364</v>
      </c>
      <c r="G13" s="44" t="n">
        <f aca="false">IF(D13=0,0,E13/D13)</f>
        <v>2250</v>
      </c>
    </row>
    <row r="14" customFormat="false" ht="15" hidden="false" customHeight="false" outlineLevel="0" collapsed="false">
      <c r="A14" s="38" t="n">
        <v>6</v>
      </c>
      <c r="B14" s="39" t="s">
        <v>157</v>
      </c>
      <c r="C14" s="38"/>
      <c r="D14" s="38" t="n">
        <v>4</v>
      </c>
      <c r="E14" s="40" t="n">
        <v>1821</v>
      </c>
      <c r="F14" s="41" t="n">
        <f aca="false">E14/E$22</f>
        <v>0.0104373214772392</v>
      </c>
      <c r="G14" s="40" t="n">
        <f aca="false">IF(D14=0,0,E14/D14)</f>
        <v>455.25</v>
      </c>
    </row>
    <row r="15" customFormat="false" ht="15" hidden="false" customHeight="false" outlineLevel="0" collapsed="false">
      <c r="A15" s="42" t="n">
        <v>7</v>
      </c>
      <c r="B15" s="43" t="s">
        <v>158</v>
      </c>
      <c r="C15" s="42"/>
      <c r="D15" s="42" t="n">
        <v>2</v>
      </c>
      <c r="E15" s="44" t="n">
        <v>1040.84</v>
      </c>
      <c r="F15" s="45" t="n">
        <f aca="false">E15/E$22</f>
        <v>0.00596572305676533</v>
      </c>
      <c r="G15" s="44" t="n">
        <f aca="false">IF(D15=0,0,E15/D15)</f>
        <v>520.42</v>
      </c>
    </row>
    <row r="16" customFormat="false" ht="15" hidden="false" customHeight="false" outlineLevel="0" collapsed="false">
      <c r="A16" s="38" t="n">
        <v>8</v>
      </c>
      <c r="B16" s="39" t="s">
        <v>159</v>
      </c>
      <c r="C16" s="38"/>
      <c r="D16" s="38" t="n">
        <v>1</v>
      </c>
      <c r="E16" s="40" t="n">
        <v>245.19</v>
      </c>
      <c r="F16" s="41" t="n">
        <f aca="false">E16/E$22</f>
        <v>0.0014053414898431</v>
      </c>
      <c r="G16" s="40" t="n">
        <f aca="false">IF(D16=0,0,E16/D16)</f>
        <v>245.19</v>
      </c>
    </row>
    <row r="17" customFormat="false" ht="15" hidden="false" customHeight="false" outlineLevel="0" collapsed="false">
      <c r="A17" s="42" t="n">
        <v>9</v>
      </c>
      <c r="B17" s="43" t="s">
        <v>160</v>
      </c>
      <c r="C17" s="42"/>
      <c r="D17" s="42" t="n">
        <v>1</v>
      </c>
      <c r="E17" s="44" t="n">
        <v>210</v>
      </c>
      <c r="F17" s="45" t="n">
        <f aca="false">E17/E$22</f>
        <v>0.00120364498090073</v>
      </c>
      <c r="G17" s="44" t="n">
        <f aca="false">IF(D17=0,0,E17/D17)</f>
        <v>210</v>
      </c>
    </row>
    <row r="18" customFormat="false" ht="15" hidden="false" customHeight="false" outlineLevel="0" collapsed="false">
      <c r="A18" s="38" t="n">
        <v>10</v>
      </c>
      <c r="B18" s="39" t="s">
        <v>161</v>
      </c>
      <c r="C18" s="38"/>
      <c r="D18" s="38" t="n">
        <v>3</v>
      </c>
      <c r="E18" s="40" t="n">
        <v>167.8</v>
      </c>
      <c r="F18" s="41" t="n">
        <f aca="false">E18/E$22</f>
        <v>0.000961769656167348</v>
      </c>
      <c r="G18" s="40" t="n">
        <f aca="false">IF(D18=0,0,E18/D18)</f>
        <v>55.9333333333333</v>
      </c>
    </row>
    <row r="19" customFormat="false" ht="15" hidden="false" customHeight="false" outlineLevel="0" collapsed="false">
      <c r="A19" s="42" t="n">
        <v>11</v>
      </c>
      <c r="B19" s="43" t="s">
        <v>162</v>
      </c>
      <c r="C19" s="42"/>
      <c r="D19" s="42" t="n">
        <v>1</v>
      </c>
      <c r="E19" s="44" t="n">
        <v>129</v>
      </c>
      <c r="F19" s="45" t="n">
        <f aca="false">E19/E$22</f>
        <v>0.000739381916839022</v>
      </c>
      <c r="G19" s="44" t="n">
        <f aca="false">IF(D19=0,0,E19/D19)</f>
        <v>129</v>
      </c>
    </row>
    <row r="20" customFormat="false" ht="15" hidden="false" customHeight="false" outlineLevel="0" collapsed="false">
      <c r="A20" s="38" t="n">
        <v>12</v>
      </c>
      <c r="B20" s="39" t="s">
        <v>163</v>
      </c>
      <c r="C20" s="38"/>
      <c r="D20" s="38" t="n">
        <v>2</v>
      </c>
      <c r="E20" s="40" t="n">
        <v>97.4</v>
      </c>
      <c r="F20" s="41" t="n">
        <f aca="false">E20/E$22</f>
        <v>0.000558262005427293</v>
      </c>
      <c r="G20" s="40" t="n">
        <f aca="false">IF(D20=0,0,E20/D20)</f>
        <v>48.7</v>
      </c>
    </row>
    <row r="21" customFormat="false" ht="15" hidden="false" customHeight="false" outlineLevel="0" collapsed="false">
      <c r="A21" s="42" t="n">
        <v>13</v>
      </c>
      <c r="B21" s="43" t="s">
        <v>164</v>
      </c>
      <c r="C21" s="42"/>
      <c r="D21" s="42" t="n">
        <v>1</v>
      </c>
      <c r="E21" s="44" t="n">
        <v>95.08</v>
      </c>
      <c r="F21" s="45" t="n">
        <f aca="false">E21/E$22</f>
        <v>0.000544964594209723</v>
      </c>
      <c r="G21" s="44" t="n">
        <f aca="false">IF(D21=0,0,E21/D21)</f>
        <v>95.08</v>
      </c>
    </row>
    <row r="22" customFormat="false" ht="15" hidden="false" customHeight="false" outlineLevel="0" collapsed="false">
      <c r="A22" s="46"/>
      <c r="B22" s="47" t="s">
        <v>38</v>
      </c>
      <c r="C22" s="46"/>
      <c r="D22" s="48" t="n">
        <f aca="false">SUM(D9:D21)</f>
        <v>98</v>
      </c>
      <c r="E22" s="49" t="n">
        <f aca="false">SUM(E9:E21)</f>
        <v>174470.05</v>
      </c>
      <c r="F22" s="50" t="n">
        <f aca="false">SUM(F9:F21)</f>
        <v>1</v>
      </c>
      <c r="G22" s="49" t="n">
        <f aca="false">IF(D22=0,0,E22/D22)</f>
        <v>1780.30663265306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51" t="s">
        <v>467</v>
      </c>
      <c r="C2" s="51"/>
      <c r="D2" s="51"/>
      <c r="E2" s="51"/>
      <c r="F2" s="51"/>
      <c r="G2" s="51"/>
      <c r="H2" s="51"/>
      <c r="I2" s="51"/>
      <c r="J2" s="51"/>
    </row>
    <row r="3" customFormat="false" ht="15" hidden="false" customHeight="false" outlineLevel="0" collapsed="false">
      <c r="B3" s="52" t="s">
        <v>468</v>
      </c>
      <c r="C3" s="52"/>
      <c r="D3" s="52"/>
      <c r="E3" s="52"/>
      <c r="F3" s="52"/>
      <c r="G3" s="52"/>
      <c r="H3" s="52"/>
      <c r="I3" s="52"/>
      <c r="J3" s="52"/>
    </row>
    <row r="5" customFormat="false" ht="23.85" hidden="false" customHeight="false" outlineLevel="0" collapsed="false">
      <c r="B5" s="26" t="s">
        <v>469</v>
      </c>
      <c r="C5" s="26" t="s">
        <v>470</v>
      </c>
      <c r="D5" s="26" t="s">
        <v>285</v>
      </c>
      <c r="E5" s="26" t="s">
        <v>471</v>
      </c>
      <c r="F5" s="26" t="s">
        <v>472</v>
      </c>
      <c r="G5" s="26" t="s">
        <v>473</v>
      </c>
      <c r="H5" s="26" t="s">
        <v>474</v>
      </c>
      <c r="I5" s="26" t="s">
        <v>475</v>
      </c>
      <c r="J5" s="26" t="s">
        <v>307</v>
      </c>
      <c r="K5" s="26" t="s">
        <v>338</v>
      </c>
    </row>
    <row r="6" customFormat="false" ht="23.85" hidden="false" customHeight="false" outlineLevel="0" collapsed="false">
      <c r="B6" s="53" t="s">
        <v>476</v>
      </c>
      <c r="C6" s="53" t="s">
        <v>477</v>
      </c>
      <c r="D6" s="53" t="s">
        <v>478</v>
      </c>
      <c r="E6" s="29" t="s">
        <v>479</v>
      </c>
      <c r="F6" s="53" t="s">
        <v>480</v>
      </c>
      <c r="G6" s="53"/>
      <c r="H6" s="54" t="n">
        <v>0</v>
      </c>
      <c r="I6" s="53" t="n">
        <v>0</v>
      </c>
      <c r="J6" s="53" t="s">
        <v>481</v>
      </c>
      <c r="K6" s="55" t="s">
        <v>482</v>
      </c>
    </row>
    <row r="7" customFormat="false" ht="15" hidden="false" customHeight="false" outlineLevel="0" collapsed="false">
      <c r="B7" s="53" t="s">
        <v>483</v>
      </c>
      <c r="C7" s="53" t="s">
        <v>477</v>
      </c>
      <c r="D7" s="53" t="s">
        <v>484</v>
      </c>
      <c r="E7" s="29" t="s">
        <v>485</v>
      </c>
      <c r="F7" s="53" t="s">
        <v>480</v>
      </c>
      <c r="G7" s="53" t="s">
        <v>486</v>
      </c>
      <c r="H7" s="54" t="n">
        <v>0</v>
      </c>
      <c r="I7" s="53" t="n">
        <v>0</v>
      </c>
      <c r="J7" s="53" t="s">
        <v>481</v>
      </c>
      <c r="K7" s="55" t="s">
        <v>487</v>
      </c>
    </row>
    <row r="8" customFormat="false" ht="23.85" hidden="false" customHeight="false" outlineLevel="0" collapsed="false">
      <c r="B8" s="53" t="s">
        <v>486</v>
      </c>
      <c r="C8" s="53" t="s">
        <v>488</v>
      </c>
      <c r="D8" s="53" t="s">
        <v>489</v>
      </c>
      <c r="E8" s="29" t="s">
        <v>490</v>
      </c>
      <c r="F8" s="53" t="s">
        <v>491</v>
      </c>
      <c r="G8" s="53" t="s">
        <v>483</v>
      </c>
      <c r="H8" s="54" t="n">
        <v>0</v>
      </c>
      <c r="I8" s="53" t="n">
        <v>0</v>
      </c>
      <c r="J8" s="53" t="s">
        <v>481</v>
      </c>
      <c r="K8" s="55" t="s">
        <v>492</v>
      </c>
    </row>
    <row r="9" customFormat="false" ht="35.05" hidden="false" customHeight="false" outlineLevel="0" collapsed="false">
      <c r="B9" s="53" t="s">
        <v>493</v>
      </c>
      <c r="C9" s="53" t="s">
        <v>494</v>
      </c>
      <c r="D9" s="53" t="s">
        <v>495</v>
      </c>
      <c r="E9" s="29" t="s">
        <v>496</v>
      </c>
      <c r="F9" s="53" t="s">
        <v>497</v>
      </c>
      <c r="G9" s="53"/>
      <c r="H9" s="56" t="n">
        <v>-11614</v>
      </c>
      <c r="I9" s="53" t="n">
        <v>0</v>
      </c>
      <c r="J9" s="53" t="s">
        <v>498</v>
      </c>
      <c r="K9" s="55" t="s">
        <v>499</v>
      </c>
    </row>
    <row r="10" customFormat="false" ht="35.05" hidden="false" customHeight="false" outlineLevel="0" collapsed="false">
      <c r="B10" s="53" t="s">
        <v>500</v>
      </c>
      <c r="C10" s="53" t="s">
        <v>494</v>
      </c>
      <c r="D10" s="53" t="s">
        <v>501</v>
      </c>
      <c r="E10" s="29" t="s">
        <v>502</v>
      </c>
      <c r="F10" s="53" t="s">
        <v>503</v>
      </c>
      <c r="G10" s="53"/>
      <c r="H10" s="57" t="n">
        <v>9208</v>
      </c>
      <c r="I10" s="53" t="n">
        <v>0</v>
      </c>
      <c r="J10" s="53" t="s">
        <v>504</v>
      </c>
      <c r="K10" s="55" t="s">
        <v>505</v>
      </c>
    </row>
    <row r="11" customFormat="false" ht="23.85" hidden="false" customHeight="false" outlineLevel="0" collapsed="false">
      <c r="B11" s="53" t="s">
        <v>506</v>
      </c>
      <c r="C11" s="53" t="s">
        <v>507</v>
      </c>
      <c r="D11" s="53" t="s">
        <v>508</v>
      </c>
      <c r="E11" s="29" t="s">
        <v>509</v>
      </c>
      <c r="F11" s="53" t="s">
        <v>497</v>
      </c>
      <c r="G11" s="53"/>
      <c r="H11" s="56" t="n">
        <v>-138</v>
      </c>
      <c r="I11" s="53" t="n">
        <v>0</v>
      </c>
      <c r="J11" s="53" t="s">
        <v>510</v>
      </c>
      <c r="K11" s="55" t="s">
        <v>511</v>
      </c>
    </row>
    <row r="12" customFormat="false" ht="35.05" hidden="false" customHeight="false" outlineLevel="0" collapsed="false">
      <c r="B12" s="53" t="s">
        <v>512</v>
      </c>
      <c r="C12" s="53" t="s">
        <v>513</v>
      </c>
      <c r="D12" s="53" t="s">
        <v>508</v>
      </c>
      <c r="E12" s="29" t="s">
        <v>514</v>
      </c>
      <c r="F12" s="53" t="s">
        <v>515</v>
      </c>
      <c r="G12" s="53"/>
      <c r="H12" s="54" t="n">
        <v>0</v>
      </c>
      <c r="I12" s="53" t="n">
        <v>0</v>
      </c>
      <c r="J12" s="53" t="s">
        <v>516</v>
      </c>
      <c r="K12" s="55" t="s">
        <v>517</v>
      </c>
    </row>
    <row r="13" customFormat="false" ht="35.05" hidden="false" customHeight="false" outlineLevel="0" collapsed="false">
      <c r="B13" s="53" t="s">
        <v>518</v>
      </c>
      <c r="C13" s="53" t="s">
        <v>513</v>
      </c>
      <c r="D13" s="53" t="s">
        <v>508</v>
      </c>
      <c r="E13" s="29" t="s">
        <v>519</v>
      </c>
      <c r="F13" s="53" t="s">
        <v>515</v>
      </c>
      <c r="G13" s="53" t="s">
        <v>520</v>
      </c>
      <c r="H13" s="54" t="n">
        <v>0</v>
      </c>
      <c r="I13" s="53" t="n">
        <v>0</v>
      </c>
      <c r="J13" s="53" t="s">
        <v>516</v>
      </c>
      <c r="K13" s="55" t="s">
        <v>521</v>
      </c>
    </row>
    <row r="15" customFormat="false" ht="15" hidden="false" customHeight="false" outlineLevel="0" collapsed="false">
      <c r="B15" s="58" t="s">
        <v>38</v>
      </c>
      <c r="H15" s="59" t="n">
        <f aca="false">SUM(H6:H13)</f>
        <v>-2544</v>
      </c>
      <c r="I15" s="58" t="n">
        <f aca="false">SUM(I6:I13)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51" t="s">
        <v>522</v>
      </c>
      <c r="C2" s="51"/>
      <c r="D2" s="51"/>
      <c r="E2" s="51"/>
      <c r="F2" s="51"/>
      <c r="G2" s="51"/>
      <c r="H2" s="51"/>
      <c r="I2" s="51"/>
      <c r="J2" s="51"/>
    </row>
    <row r="3" customFormat="false" ht="15" hidden="false" customHeight="false" outlineLevel="0" collapsed="false">
      <c r="B3" s="52" t="s">
        <v>523</v>
      </c>
      <c r="C3" s="52"/>
      <c r="D3" s="52"/>
      <c r="E3" s="52"/>
      <c r="F3" s="52"/>
      <c r="G3" s="52"/>
      <c r="H3" s="52"/>
      <c r="I3" s="52"/>
      <c r="J3" s="52"/>
    </row>
    <row r="5" customFormat="false" ht="15" hidden="false" customHeight="false" outlineLevel="0" collapsed="false">
      <c r="B5" s="60" t="s">
        <v>524</v>
      </c>
    </row>
    <row r="6" customFormat="false" ht="15" hidden="false" customHeight="false" outlineLevel="0" collapsed="false">
      <c r="B6" s="26" t="s">
        <v>525</v>
      </c>
      <c r="C6" s="26" t="s">
        <v>526</v>
      </c>
      <c r="D6" s="26" t="s">
        <v>527</v>
      </c>
      <c r="E6" s="26" t="s">
        <v>528</v>
      </c>
      <c r="F6" s="26" t="s">
        <v>529</v>
      </c>
      <c r="G6" s="26" t="s">
        <v>235</v>
      </c>
    </row>
    <row r="7" customFormat="false" ht="15" hidden="false" customHeight="false" outlineLevel="0" collapsed="false">
      <c r="B7" s="29" t="s">
        <v>530</v>
      </c>
      <c r="C7" s="53" t="n">
        <v>3</v>
      </c>
      <c r="D7" s="54" t="n">
        <v>0</v>
      </c>
      <c r="E7" s="61" t="n">
        <f aca="false">C7/8</f>
        <v>0.375</v>
      </c>
      <c r="F7" s="29" t="s">
        <v>531</v>
      </c>
      <c r="G7" s="29" t="s">
        <v>532</v>
      </c>
    </row>
    <row r="8" customFormat="false" ht="15" hidden="false" customHeight="false" outlineLevel="0" collapsed="false">
      <c r="B8" s="29" t="s">
        <v>533</v>
      </c>
      <c r="C8" s="53" t="n">
        <v>1</v>
      </c>
      <c r="D8" s="54" t="n">
        <v>-11614</v>
      </c>
      <c r="E8" s="61" t="n">
        <f aca="false">C8/8</f>
        <v>0.125</v>
      </c>
      <c r="F8" s="29" t="s">
        <v>491</v>
      </c>
      <c r="G8" s="29" t="s">
        <v>534</v>
      </c>
    </row>
    <row r="9" customFormat="false" ht="15" hidden="false" customHeight="false" outlineLevel="0" collapsed="false">
      <c r="B9" s="29" t="s">
        <v>535</v>
      </c>
      <c r="C9" s="53" t="n">
        <v>1</v>
      </c>
      <c r="D9" s="54" t="n">
        <v>-138</v>
      </c>
      <c r="E9" s="61" t="n">
        <f aca="false">C9/8</f>
        <v>0.125</v>
      </c>
      <c r="F9" s="29" t="s">
        <v>491</v>
      </c>
      <c r="G9" s="29" t="s">
        <v>536</v>
      </c>
    </row>
    <row r="10" customFormat="false" ht="15" hidden="false" customHeight="false" outlineLevel="0" collapsed="false">
      <c r="B10" s="29" t="s">
        <v>537</v>
      </c>
      <c r="C10" s="53" t="n">
        <v>3</v>
      </c>
      <c r="D10" s="54" t="n">
        <v>9208</v>
      </c>
      <c r="E10" s="61" t="n">
        <f aca="false">C10/8</f>
        <v>0.375</v>
      </c>
      <c r="F10" s="29" t="s">
        <v>538</v>
      </c>
      <c r="G10" s="29" t="s">
        <v>539</v>
      </c>
    </row>
    <row r="11" customFormat="false" ht="15" hidden="false" customHeight="false" outlineLevel="0" collapsed="false">
      <c r="B11" s="58" t="s">
        <v>38</v>
      </c>
      <c r="C11" s="58" t="n">
        <f aca="false">SUM(C7:C10)</f>
        <v>8</v>
      </c>
      <c r="D11" s="59" t="n">
        <f aca="false">SUM(D7:D10)</f>
        <v>-2544</v>
      </c>
    </row>
    <row r="14" customFormat="false" ht="15" hidden="false" customHeight="false" outlineLevel="0" collapsed="false">
      <c r="B14" s="60" t="s">
        <v>540</v>
      </c>
    </row>
    <row r="15" customFormat="false" ht="15" hidden="false" customHeight="false" outlineLevel="0" collapsed="false">
      <c r="B15" s="26" t="s">
        <v>541</v>
      </c>
      <c r="C15" s="26" t="s">
        <v>526</v>
      </c>
      <c r="D15" s="26" t="s">
        <v>542</v>
      </c>
      <c r="E15" s="26" t="s">
        <v>543</v>
      </c>
    </row>
    <row r="16" customFormat="false" ht="15" hidden="false" customHeight="false" outlineLevel="0" collapsed="false">
      <c r="B16" s="29" t="s">
        <v>531</v>
      </c>
      <c r="C16" s="53" t="n">
        <v>3</v>
      </c>
      <c r="D16" s="54" t="n">
        <v>0</v>
      </c>
      <c r="E16" s="29" t="s">
        <v>544</v>
      </c>
    </row>
    <row r="17" customFormat="false" ht="23.85" hidden="false" customHeight="false" outlineLevel="0" collapsed="false">
      <c r="B17" s="29" t="s">
        <v>538</v>
      </c>
      <c r="C17" s="53" t="n">
        <v>3</v>
      </c>
      <c r="D17" s="54" t="n">
        <v>9208</v>
      </c>
      <c r="E17" s="29" t="s">
        <v>545</v>
      </c>
    </row>
    <row r="18" customFormat="false" ht="35.05" hidden="false" customHeight="false" outlineLevel="0" collapsed="false">
      <c r="B18" s="29" t="s">
        <v>491</v>
      </c>
      <c r="C18" s="53" t="n">
        <v>2</v>
      </c>
      <c r="D18" s="54" t="n">
        <v>-11752</v>
      </c>
      <c r="E18" s="29" t="s">
        <v>546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51" t="s">
        <v>547</v>
      </c>
      <c r="C2" s="51"/>
      <c r="D2" s="51"/>
      <c r="E2" s="51"/>
      <c r="F2" s="51"/>
      <c r="G2" s="51"/>
      <c r="H2" s="51"/>
      <c r="I2" s="51"/>
      <c r="J2" s="51"/>
    </row>
    <row r="3" customFormat="false" ht="15" hidden="false" customHeight="false" outlineLevel="0" collapsed="false">
      <c r="B3" s="52" t="s">
        <v>548</v>
      </c>
      <c r="C3" s="52"/>
      <c r="D3" s="52"/>
      <c r="E3" s="52"/>
      <c r="F3" s="52"/>
      <c r="G3" s="52"/>
      <c r="H3" s="52"/>
      <c r="I3" s="52"/>
      <c r="J3" s="52"/>
    </row>
    <row r="5" customFormat="false" ht="15" hidden="false" customHeight="false" outlineLevel="0" collapsed="false">
      <c r="B5" s="60" t="s">
        <v>549</v>
      </c>
    </row>
    <row r="6" customFormat="false" ht="15" hidden="false" customHeight="false" outlineLevel="0" collapsed="false">
      <c r="B6" s="26" t="s">
        <v>550</v>
      </c>
      <c r="C6" s="26" t="s">
        <v>551</v>
      </c>
      <c r="D6" s="26" t="s">
        <v>552</v>
      </c>
      <c r="E6" s="26" t="s">
        <v>307</v>
      </c>
      <c r="F6" s="26" t="s">
        <v>553</v>
      </c>
    </row>
    <row r="7" customFormat="false" ht="15" hidden="false" customHeight="false" outlineLevel="0" collapsed="false">
      <c r="B7" s="29" t="s">
        <v>554</v>
      </c>
      <c r="C7" s="62" t="n">
        <v>0</v>
      </c>
      <c r="D7" s="53" t="s">
        <v>555</v>
      </c>
      <c r="E7" s="29" t="s">
        <v>556</v>
      </c>
      <c r="F7" s="29" t="s">
        <v>557</v>
      </c>
    </row>
    <row r="8" customFormat="false" ht="15" hidden="false" customHeight="false" outlineLevel="0" collapsed="false">
      <c r="B8" s="29" t="s">
        <v>558</v>
      </c>
      <c r="C8" s="53" t="s">
        <v>559</v>
      </c>
      <c r="D8" s="53" t="s">
        <v>560</v>
      </c>
      <c r="E8" s="29" t="s">
        <v>556</v>
      </c>
      <c r="F8" s="29" t="s">
        <v>561</v>
      </c>
    </row>
    <row r="9" customFormat="false" ht="15" hidden="false" customHeight="false" outlineLevel="0" collapsed="false">
      <c r="B9" s="29" t="s">
        <v>562</v>
      </c>
      <c r="C9" s="53" t="s">
        <v>563</v>
      </c>
      <c r="D9" s="53" t="s">
        <v>564</v>
      </c>
      <c r="E9" s="29" t="s">
        <v>565</v>
      </c>
      <c r="F9" s="29" t="s">
        <v>566</v>
      </c>
    </row>
    <row r="10" customFormat="false" ht="15" hidden="false" customHeight="false" outlineLevel="0" collapsed="false">
      <c r="B10" s="29" t="s">
        <v>567</v>
      </c>
      <c r="C10" s="62" t="n">
        <v>2</v>
      </c>
      <c r="D10" s="53" t="s">
        <v>568</v>
      </c>
      <c r="E10" s="63" t="s">
        <v>569</v>
      </c>
      <c r="F10" s="29" t="s">
        <v>570</v>
      </c>
    </row>
    <row r="11" customFormat="false" ht="15" hidden="false" customHeight="false" outlineLevel="0" collapsed="false">
      <c r="B11" s="29" t="s">
        <v>571</v>
      </c>
      <c r="C11" s="62" t="n">
        <v>0</v>
      </c>
      <c r="D11" s="53" t="s">
        <v>572</v>
      </c>
      <c r="E11" s="63" t="s">
        <v>569</v>
      </c>
      <c r="F11" s="29" t="s">
        <v>573</v>
      </c>
    </row>
    <row r="12" customFormat="false" ht="15" hidden="false" customHeight="false" outlineLevel="0" collapsed="false">
      <c r="B12" s="29" t="s">
        <v>574</v>
      </c>
      <c r="C12" s="62" t="n">
        <v>2</v>
      </c>
      <c r="D12" s="53" t="s">
        <v>572</v>
      </c>
      <c r="E12" s="63" t="s">
        <v>569</v>
      </c>
      <c r="F12" s="29" t="s">
        <v>575</v>
      </c>
    </row>
    <row r="13" customFormat="false" ht="15" hidden="false" customHeight="false" outlineLevel="0" collapsed="false">
      <c r="B13" s="29" t="s">
        <v>576</v>
      </c>
      <c r="C13" s="62" t="n">
        <v>1</v>
      </c>
      <c r="D13" s="53" t="s">
        <v>577</v>
      </c>
      <c r="E13" s="63" t="s">
        <v>569</v>
      </c>
      <c r="F13" s="29" t="s">
        <v>578</v>
      </c>
    </row>
    <row r="14" customFormat="false" ht="15" hidden="false" customHeight="false" outlineLevel="0" collapsed="false">
      <c r="B14" s="29" t="s">
        <v>579</v>
      </c>
      <c r="C14" s="62" t="n">
        <v>1</v>
      </c>
      <c r="D14" s="53" t="s">
        <v>580</v>
      </c>
      <c r="E14" s="63" t="s">
        <v>569</v>
      </c>
      <c r="F14" s="29" t="s">
        <v>581</v>
      </c>
    </row>
    <row r="15" customFormat="false" ht="15" hidden="false" customHeight="false" outlineLevel="0" collapsed="false">
      <c r="B15" s="29" t="s">
        <v>582</v>
      </c>
      <c r="C15" s="62" t="n">
        <v>-2544</v>
      </c>
      <c r="D15" s="53" t="s">
        <v>583</v>
      </c>
      <c r="E15" s="64" t="s">
        <v>584</v>
      </c>
      <c r="F15" s="29" t="s">
        <v>585</v>
      </c>
    </row>
    <row r="18" customFormat="false" ht="15" hidden="false" customHeight="false" outlineLevel="0" collapsed="false">
      <c r="B18" s="60" t="s">
        <v>586</v>
      </c>
    </row>
    <row r="19" customFormat="false" ht="15" hidden="false" customHeight="false" outlineLevel="0" collapsed="false">
      <c r="B19" s="26" t="s">
        <v>587</v>
      </c>
      <c r="C19" s="26" t="s">
        <v>588</v>
      </c>
      <c r="D19" s="26" t="s">
        <v>337</v>
      </c>
      <c r="E19" s="26" t="s">
        <v>589</v>
      </c>
      <c r="F19" s="26" t="s">
        <v>590</v>
      </c>
    </row>
    <row r="20" customFormat="false" ht="15" hidden="false" customHeight="false" outlineLevel="0" collapsed="false">
      <c r="B20" s="29" t="s">
        <v>591</v>
      </c>
      <c r="C20" s="65" t="n">
        <f aca="false">'Benchmark KPIs'!D55</f>
        <v>0.0241829046505586</v>
      </c>
      <c r="D20" s="53" t="s">
        <v>30</v>
      </c>
      <c r="E20" s="29" t="s">
        <v>592</v>
      </c>
      <c r="F20" s="29" t="s">
        <v>593</v>
      </c>
    </row>
    <row r="21" customFormat="false" ht="15" hidden="false" customHeight="false" outlineLevel="0" collapsed="false">
      <c r="B21" s="29" t="s">
        <v>594</v>
      </c>
      <c r="C21" s="66" t="n">
        <f aca="false">'Benchmark KPIs'!D21</f>
        <v>280367.87</v>
      </c>
      <c r="D21" s="53" t="s">
        <v>30</v>
      </c>
      <c r="E21" s="29" t="s">
        <v>592</v>
      </c>
      <c r="F21" s="29" t="s">
        <v>595</v>
      </c>
    </row>
    <row r="22" customFormat="false" ht="15" hidden="false" customHeight="false" outlineLevel="0" collapsed="false">
      <c r="B22" s="29" t="s">
        <v>596</v>
      </c>
      <c r="C22" s="65" t="n">
        <f aca="false">'Benchmark KPIs'!D20</f>
        <v>0.288781886719701</v>
      </c>
      <c r="D22" s="53" t="s">
        <v>30</v>
      </c>
      <c r="E22" s="29" t="s">
        <v>592</v>
      </c>
      <c r="F22" s="29" t="s">
        <v>597</v>
      </c>
    </row>
    <row r="23" customFormat="false" ht="15" hidden="false" customHeight="false" outlineLevel="0" collapsed="false">
      <c r="B23" s="29" t="s">
        <v>598</v>
      </c>
      <c r="C23" s="53" t="n">
        <v>20</v>
      </c>
      <c r="D23" s="53" t="s">
        <v>599</v>
      </c>
      <c r="E23" s="29" t="s">
        <v>600</v>
      </c>
      <c r="F23" s="29" t="s">
        <v>601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51" t="s">
        <v>602</v>
      </c>
      <c r="C2" s="51"/>
      <c r="D2" s="51"/>
      <c r="E2" s="51"/>
      <c r="F2" s="51"/>
      <c r="G2" s="51"/>
      <c r="H2" s="51"/>
      <c r="I2" s="51"/>
      <c r="J2" s="51"/>
    </row>
    <row r="3" customFormat="false" ht="15" hidden="false" customHeight="false" outlineLevel="0" collapsed="false">
      <c r="B3" s="52" t="s">
        <v>603</v>
      </c>
      <c r="C3" s="52"/>
      <c r="D3" s="52"/>
      <c r="E3" s="52"/>
      <c r="F3" s="52"/>
      <c r="G3" s="52"/>
      <c r="H3" s="52"/>
      <c r="I3" s="52"/>
      <c r="J3" s="52"/>
    </row>
    <row r="5" customFormat="false" ht="15" hidden="false" customHeight="false" outlineLevel="0" collapsed="false">
      <c r="B5" s="26" t="s">
        <v>604</v>
      </c>
      <c r="C5" s="26" t="s">
        <v>605</v>
      </c>
      <c r="D5" s="26" t="s">
        <v>606</v>
      </c>
      <c r="E5" s="26" t="s">
        <v>41</v>
      </c>
      <c r="F5" s="26" t="s">
        <v>607</v>
      </c>
      <c r="G5" s="26" t="s">
        <v>608</v>
      </c>
      <c r="H5" s="26" t="s">
        <v>337</v>
      </c>
      <c r="I5" s="26" t="s">
        <v>609</v>
      </c>
      <c r="J5" s="26" t="s">
        <v>610</v>
      </c>
    </row>
    <row r="6" customFormat="false" ht="15" hidden="false" customHeight="false" outlineLevel="0" collapsed="false">
      <c r="B6" s="53" t="n">
        <v>1</v>
      </c>
      <c r="C6" s="29" t="s">
        <v>340</v>
      </c>
      <c r="D6" s="29" t="s">
        <v>339</v>
      </c>
      <c r="E6" s="53" t="str">
        <f aca="false">'Benchmark KPIs'!D6</f>
        <v>2009</v>
      </c>
      <c r="F6" s="53" t="s">
        <v>611</v>
      </c>
      <c r="G6" s="29" t="s">
        <v>333</v>
      </c>
      <c r="H6" s="28" t="s">
        <v>343</v>
      </c>
      <c r="I6" s="29" t="s">
        <v>612</v>
      </c>
      <c r="J6" s="29" t="s">
        <v>613</v>
      </c>
    </row>
    <row r="7" customFormat="false" ht="23.85" hidden="false" customHeight="false" outlineLevel="0" collapsed="false">
      <c r="B7" s="53" t="n">
        <v>2</v>
      </c>
      <c r="C7" s="29" t="s">
        <v>346</v>
      </c>
      <c r="D7" s="29" t="s">
        <v>345</v>
      </c>
      <c r="E7" s="53" t="str">
        <f aca="false">'Benchmark KPIs'!D7</f>
        <v>Chinn Greenwood Apartments</v>
      </c>
      <c r="F7" s="53" t="s">
        <v>614</v>
      </c>
      <c r="G7" s="29" t="s">
        <v>333</v>
      </c>
      <c r="H7" s="28" t="s">
        <v>343</v>
      </c>
      <c r="I7" s="29" t="s">
        <v>615</v>
      </c>
      <c r="J7" s="29" t="s">
        <v>613</v>
      </c>
    </row>
    <row r="8" customFormat="false" ht="23.85" hidden="false" customHeight="false" outlineLevel="0" collapsed="false">
      <c r="B8" s="53" t="n">
        <v>3</v>
      </c>
      <c r="C8" s="29" t="s">
        <v>347</v>
      </c>
      <c r="D8" s="29" t="s">
        <v>7</v>
      </c>
      <c r="E8" s="53" t="str">
        <f aca="false">'Benchmark KPIs'!D8</f>
        <v>Chinn Construction, LLC</v>
      </c>
      <c r="F8" s="53" t="s">
        <v>614</v>
      </c>
      <c r="G8" s="29" t="s">
        <v>333</v>
      </c>
      <c r="H8" s="28" t="s">
        <v>343</v>
      </c>
      <c r="I8" s="29" t="s">
        <v>615</v>
      </c>
      <c r="J8" s="29" t="s">
        <v>613</v>
      </c>
    </row>
    <row r="9" customFormat="false" ht="15" hidden="false" customHeight="false" outlineLevel="0" collapsed="false">
      <c r="B9" s="53" t="n">
        <v>4</v>
      </c>
      <c r="C9" s="29" t="s">
        <v>348</v>
      </c>
      <c r="D9" s="29" t="s">
        <v>9</v>
      </c>
      <c r="E9" s="53" t="str">
        <f aca="false">'Benchmark KPIs'!D9</f>
        <v>Seattle, WA</v>
      </c>
      <c r="F9" s="53" t="s">
        <v>614</v>
      </c>
      <c r="G9" s="29" t="s">
        <v>333</v>
      </c>
      <c r="H9" s="28" t="s">
        <v>343</v>
      </c>
      <c r="I9" s="29" t="s">
        <v>616</v>
      </c>
      <c r="J9" s="29" t="s">
        <v>613</v>
      </c>
    </row>
    <row r="10" customFormat="false" ht="23.85" hidden="false" customHeight="false" outlineLevel="0" collapsed="false">
      <c r="B10" s="53" t="n">
        <v>5</v>
      </c>
      <c r="C10" s="29" t="s">
        <v>350</v>
      </c>
      <c r="D10" s="29" t="s">
        <v>349</v>
      </c>
      <c r="E10" s="53" t="str">
        <f aca="false">'Benchmark KPIs'!D10</f>
        <v>168-unit apartment building</v>
      </c>
      <c r="F10" s="53" t="s">
        <v>614</v>
      </c>
      <c r="G10" s="29" t="s">
        <v>333</v>
      </c>
      <c r="H10" s="28" t="s">
        <v>343</v>
      </c>
      <c r="I10" s="29" t="s">
        <v>617</v>
      </c>
      <c r="J10" s="29" t="s">
        <v>613</v>
      </c>
    </row>
    <row r="11" customFormat="false" ht="15" hidden="false" customHeight="false" outlineLevel="0" collapsed="false">
      <c r="B11" s="53" t="n">
        <v>6</v>
      </c>
      <c r="C11" s="29" t="s">
        <v>353</v>
      </c>
      <c r="D11" s="29" t="s">
        <v>352</v>
      </c>
      <c r="E11" s="53" t="n">
        <f aca="false">'Benchmark KPIs'!D11</f>
        <v>16</v>
      </c>
      <c r="F11" s="53" t="s">
        <v>618</v>
      </c>
      <c r="G11" s="29" t="s">
        <v>333</v>
      </c>
      <c r="H11" s="28" t="s">
        <v>343</v>
      </c>
      <c r="I11" s="29" t="s">
        <v>619</v>
      </c>
      <c r="J11" s="29" t="s">
        <v>613</v>
      </c>
    </row>
    <row r="12" customFormat="false" ht="15" hidden="false" customHeight="false" outlineLevel="0" collapsed="false">
      <c r="B12" s="53" t="n">
        <v>7</v>
      </c>
      <c r="C12" s="29" t="s">
        <v>355</v>
      </c>
      <c r="D12" s="29" t="s">
        <v>354</v>
      </c>
      <c r="E12" s="66" t="n">
        <f aca="false">'Benchmark KPIs'!D12</f>
        <v>168</v>
      </c>
      <c r="F12" s="53" t="s">
        <v>246</v>
      </c>
      <c r="G12" s="29" t="s">
        <v>333</v>
      </c>
      <c r="H12" s="28" t="s">
        <v>343</v>
      </c>
      <c r="I12" s="29" t="s">
        <v>620</v>
      </c>
      <c r="J12" s="29" t="s">
        <v>613</v>
      </c>
    </row>
    <row r="13" customFormat="false" ht="15" hidden="false" customHeight="false" outlineLevel="0" collapsed="false">
      <c r="B13" s="53" t="n">
        <v>8</v>
      </c>
      <c r="C13" s="29" t="s">
        <v>356</v>
      </c>
      <c r="D13" s="29" t="s">
        <v>46</v>
      </c>
      <c r="E13" s="66" t="n">
        <f aca="false">'Benchmark KPIs'!D13</f>
        <v>812</v>
      </c>
      <c r="F13" s="53" t="s">
        <v>621</v>
      </c>
      <c r="G13" s="29" t="s">
        <v>333</v>
      </c>
      <c r="H13" s="28" t="s">
        <v>343</v>
      </c>
      <c r="I13" s="29" t="s">
        <v>622</v>
      </c>
      <c r="J13" s="29" t="s">
        <v>613</v>
      </c>
    </row>
    <row r="14" customFormat="false" ht="15" hidden="false" customHeight="false" outlineLevel="0" collapsed="false">
      <c r="B14" s="53" t="n">
        <v>9</v>
      </c>
      <c r="C14" s="29" t="s">
        <v>360</v>
      </c>
      <c r="D14" s="29" t="s">
        <v>623</v>
      </c>
      <c r="E14" s="66" t="n">
        <f aca="false">'Benchmark KPIs'!D15</f>
        <v>384900</v>
      </c>
      <c r="F14" s="53" t="s">
        <v>624</v>
      </c>
      <c r="G14" s="29" t="s">
        <v>333</v>
      </c>
      <c r="H14" s="28" t="s">
        <v>343</v>
      </c>
      <c r="I14" s="29" t="s">
        <v>625</v>
      </c>
      <c r="J14" s="29" t="s">
        <v>613</v>
      </c>
    </row>
    <row r="15" customFormat="false" ht="15" hidden="false" customHeight="false" outlineLevel="0" collapsed="false">
      <c r="B15" s="53" t="n">
        <v>10</v>
      </c>
      <c r="C15" s="29" t="s">
        <v>363</v>
      </c>
      <c r="D15" s="29" t="s">
        <v>626</v>
      </c>
      <c r="E15" s="66" t="n">
        <f aca="false">'Benchmark KPIs'!D16</f>
        <v>394208</v>
      </c>
      <c r="F15" s="53" t="s">
        <v>624</v>
      </c>
      <c r="G15" s="29" t="s">
        <v>333</v>
      </c>
      <c r="H15" s="28" t="s">
        <v>343</v>
      </c>
      <c r="I15" s="29" t="s">
        <v>627</v>
      </c>
      <c r="J15" s="29" t="s">
        <v>613</v>
      </c>
    </row>
    <row r="16" customFormat="false" ht="15" hidden="false" customHeight="false" outlineLevel="0" collapsed="false">
      <c r="B16" s="53" t="n">
        <v>11</v>
      </c>
      <c r="C16" s="29" t="s">
        <v>366</v>
      </c>
      <c r="D16" s="29" t="s">
        <v>365</v>
      </c>
      <c r="E16" s="66" t="n">
        <f aca="false">'Benchmark KPIs'!D17</f>
        <v>9308</v>
      </c>
      <c r="F16" s="53" t="s">
        <v>624</v>
      </c>
      <c r="G16" s="29" t="s">
        <v>333</v>
      </c>
      <c r="H16" s="28" t="s">
        <v>343</v>
      </c>
      <c r="I16" s="29" t="s">
        <v>628</v>
      </c>
      <c r="J16" s="29" t="s">
        <v>613</v>
      </c>
    </row>
    <row r="17" customFormat="false" ht="15" hidden="false" customHeight="false" outlineLevel="0" collapsed="false">
      <c r="B17" s="53" t="n">
        <v>12</v>
      </c>
      <c r="C17" s="29" t="s">
        <v>368</v>
      </c>
      <c r="D17" s="29" t="s">
        <v>367</v>
      </c>
      <c r="E17" s="66" t="n">
        <f aca="false">'Benchmark KPIs'!D18</f>
        <v>394208</v>
      </c>
      <c r="F17" s="53" t="s">
        <v>624</v>
      </c>
      <c r="G17" s="29" t="s">
        <v>333</v>
      </c>
      <c r="H17" s="28" t="s">
        <v>343</v>
      </c>
      <c r="I17" s="29" t="s">
        <v>629</v>
      </c>
      <c r="J17" s="29" t="s">
        <v>613</v>
      </c>
    </row>
    <row r="18" customFormat="false" ht="15" hidden="false" customHeight="false" outlineLevel="0" collapsed="false">
      <c r="B18" s="53" t="n">
        <v>13</v>
      </c>
      <c r="C18" s="29" t="s">
        <v>370</v>
      </c>
      <c r="D18" s="29" t="s">
        <v>369</v>
      </c>
      <c r="E18" s="66" t="n">
        <f aca="false">'Benchmark KPIs'!D19</f>
        <v>113840.13</v>
      </c>
      <c r="F18" s="53" t="s">
        <v>624</v>
      </c>
      <c r="G18" s="29" t="s">
        <v>333</v>
      </c>
      <c r="H18" s="28" t="s">
        <v>343</v>
      </c>
      <c r="I18" s="29" t="s">
        <v>630</v>
      </c>
      <c r="J18" s="29" t="s">
        <v>613</v>
      </c>
    </row>
    <row r="19" customFormat="false" ht="15" hidden="false" customHeight="false" outlineLevel="0" collapsed="false">
      <c r="B19" s="53" t="n">
        <v>14</v>
      </c>
      <c r="C19" s="29" t="s">
        <v>372</v>
      </c>
      <c r="D19" s="29" t="s">
        <v>631</v>
      </c>
      <c r="E19" s="65" t="n">
        <f aca="false">'Benchmark KPIs'!D20</f>
        <v>0.288781886719701</v>
      </c>
      <c r="F19" s="53" t="s">
        <v>632</v>
      </c>
      <c r="G19" s="29" t="s">
        <v>333</v>
      </c>
      <c r="H19" s="28" t="s">
        <v>343</v>
      </c>
      <c r="I19" s="29" t="s">
        <v>633</v>
      </c>
      <c r="J19" s="29" t="s">
        <v>613</v>
      </c>
    </row>
    <row r="20" customFormat="false" ht="15" hidden="false" customHeight="false" outlineLevel="0" collapsed="false">
      <c r="B20" s="53" t="n">
        <v>15</v>
      </c>
      <c r="C20" s="29" t="s">
        <v>373</v>
      </c>
      <c r="D20" s="29" t="s">
        <v>130</v>
      </c>
      <c r="E20" s="66" t="n">
        <f aca="false">'Benchmark KPIs'!D21</f>
        <v>280367.87</v>
      </c>
      <c r="F20" s="53" t="s">
        <v>624</v>
      </c>
      <c r="G20" s="29" t="s">
        <v>333</v>
      </c>
      <c r="H20" s="28" t="s">
        <v>343</v>
      </c>
      <c r="I20" s="29" t="s">
        <v>634</v>
      </c>
      <c r="J20" s="29" t="s">
        <v>613</v>
      </c>
    </row>
    <row r="21" customFormat="false" ht="15" hidden="false" customHeight="false" outlineLevel="0" collapsed="false">
      <c r="B21" s="53" t="n">
        <v>16</v>
      </c>
      <c r="C21" s="29" t="s">
        <v>375</v>
      </c>
      <c r="D21" s="29" t="s">
        <v>374</v>
      </c>
      <c r="E21" s="66" t="n">
        <f aca="false">'Benchmark KPIs'!D22</f>
        <v>80901.5</v>
      </c>
      <c r="F21" s="53" t="s">
        <v>624</v>
      </c>
      <c r="G21" s="29" t="s">
        <v>333</v>
      </c>
      <c r="H21" s="28" t="s">
        <v>343</v>
      </c>
      <c r="I21" s="29" t="s">
        <v>635</v>
      </c>
      <c r="J21" s="29" t="s">
        <v>613</v>
      </c>
    </row>
    <row r="22" customFormat="false" ht="15" hidden="false" customHeight="false" outlineLevel="0" collapsed="false">
      <c r="B22" s="53" t="n">
        <v>17</v>
      </c>
      <c r="C22" s="29" t="s">
        <v>378</v>
      </c>
      <c r="D22" s="29" t="s">
        <v>377</v>
      </c>
      <c r="E22" s="66" t="n">
        <f aca="false">'Benchmark KPIs'!D23</f>
        <v>151064.39</v>
      </c>
      <c r="F22" s="53" t="s">
        <v>624</v>
      </c>
      <c r="G22" s="29" t="s">
        <v>333</v>
      </c>
      <c r="H22" s="28" t="s">
        <v>343</v>
      </c>
      <c r="I22" s="29" t="s">
        <v>636</v>
      </c>
      <c r="J22" s="29" t="s">
        <v>613</v>
      </c>
    </row>
    <row r="23" customFormat="false" ht="15" hidden="false" customHeight="false" outlineLevel="0" collapsed="false">
      <c r="B23" s="53" t="n">
        <v>18</v>
      </c>
      <c r="C23" s="29" t="s">
        <v>381</v>
      </c>
      <c r="D23" s="29" t="s">
        <v>380</v>
      </c>
      <c r="E23" s="66" t="n">
        <f aca="false">'Benchmark KPIs'!D24</f>
        <v>7510.52</v>
      </c>
      <c r="F23" s="53" t="s">
        <v>624</v>
      </c>
      <c r="G23" s="29" t="s">
        <v>333</v>
      </c>
      <c r="H23" s="28" t="s">
        <v>343</v>
      </c>
      <c r="I23" s="29" t="s">
        <v>637</v>
      </c>
      <c r="J23" s="29" t="s">
        <v>613</v>
      </c>
    </row>
    <row r="24" customFormat="false" ht="15" hidden="false" customHeight="false" outlineLevel="0" collapsed="false">
      <c r="B24" s="53" t="n">
        <v>19</v>
      </c>
      <c r="C24" s="29" t="s">
        <v>384</v>
      </c>
      <c r="D24" s="29" t="s">
        <v>383</v>
      </c>
      <c r="E24" s="66" t="n">
        <f aca="false">'Benchmark KPIs'!D25</f>
        <v>40891.46</v>
      </c>
      <c r="F24" s="53" t="s">
        <v>624</v>
      </c>
      <c r="G24" s="29" t="s">
        <v>333</v>
      </c>
      <c r="H24" s="28" t="s">
        <v>343</v>
      </c>
      <c r="I24" s="29" t="s">
        <v>638</v>
      </c>
      <c r="J24" s="29" t="s">
        <v>613</v>
      </c>
    </row>
    <row r="25" customFormat="false" ht="15" hidden="false" customHeight="false" outlineLevel="0" collapsed="false">
      <c r="B25" s="53" t="n">
        <v>20</v>
      </c>
      <c r="C25" s="29" t="s">
        <v>386</v>
      </c>
      <c r="D25" s="29" t="s">
        <v>308</v>
      </c>
      <c r="E25" s="66" t="n">
        <f aca="false">'Benchmark KPIs'!D26</f>
        <v>19710.4</v>
      </c>
      <c r="F25" s="53" t="s">
        <v>624</v>
      </c>
      <c r="G25" s="29" t="s">
        <v>333</v>
      </c>
      <c r="H25" s="28" t="s">
        <v>343</v>
      </c>
      <c r="I25" s="29" t="s">
        <v>639</v>
      </c>
      <c r="J25" s="29" t="s">
        <v>613</v>
      </c>
    </row>
    <row r="26" customFormat="false" ht="15" hidden="false" customHeight="false" outlineLevel="0" collapsed="false">
      <c r="B26" s="53" t="n">
        <v>21</v>
      </c>
      <c r="C26" s="29" t="s">
        <v>409</v>
      </c>
      <c r="D26" s="29" t="s">
        <v>408</v>
      </c>
      <c r="E26" s="66" t="n">
        <f aca="false">'Benchmark KPIs'!D37</f>
        <v>3928.5</v>
      </c>
      <c r="F26" s="53" t="s">
        <v>640</v>
      </c>
      <c r="G26" s="29" t="s">
        <v>333</v>
      </c>
      <c r="H26" s="28" t="s">
        <v>343</v>
      </c>
      <c r="I26" s="29" t="s">
        <v>641</v>
      </c>
      <c r="J26" s="29" t="s">
        <v>613</v>
      </c>
    </row>
    <row r="27" customFormat="false" ht="15" hidden="false" customHeight="false" outlineLevel="0" collapsed="false">
      <c r="B27" s="53" t="n">
        <v>22</v>
      </c>
      <c r="C27" s="29" t="s">
        <v>412</v>
      </c>
      <c r="D27" s="29" t="s">
        <v>411</v>
      </c>
      <c r="E27" s="53" t="n">
        <f aca="false">'Benchmark KPIs'!D38</f>
        <v>23</v>
      </c>
      <c r="F27" s="53" t="s">
        <v>621</v>
      </c>
      <c r="G27" s="29" t="s">
        <v>333</v>
      </c>
      <c r="H27" s="28" t="s">
        <v>343</v>
      </c>
      <c r="I27" s="29" t="s">
        <v>642</v>
      </c>
      <c r="J27" s="29" t="s">
        <v>613</v>
      </c>
    </row>
    <row r="28" customFormat="false" ht="15" hidden="false" customHeight="false" outlineLevel="0" collapsed="false">
      <c r="B28" s="53" t="n">
        <v>23</v>
      </c>
      <c r="C28" s="29" t="s">
        <v>414</v>
      </c>
      <c r="D28" s="29" t="s">
        <v>205</v>
      </c>
      <c r="E28" s="67" t="n">
        <f aca="false">'Benchmark KPIs'!D39</f>
        <v>21.8830851470027</v>
      </c>
      <c r="F28" s="53" t="s">
        <v>643</v>
      </c>
      <c r="G28" s="29" t="s">
        <v>333</v>
      </c>
      <c r="H28" s="28" t="s">
        <v>343</v>
      </c>
      <c r="I28" s="29" t="s">
        <v>644</v>
      </c>
      <c r="J28" s="29" t="s">
        <v>613</v>
      </c>
    </row>
    <row r="29" customFormat="false" ht="15" hidden="false" customHeight="false" outlineLevel="0" collapsed="false">
      <c r="B29" s="53" t="n">
        <v>24</v>
      </c>
      <c r="C29" s="29" t="s">
        <v>441</v>
      </c>
      <c r="D29" s="29" t="s">
        <v>440</v>
      </c>
      <c r="E29" s="53" t="n">
        <f aca="false">'Benchmark KPIs'!D51</f>
        <v>13</v>
      </c>
      <c r="F29" s="53" t="s">
        <v>621</v>
      </c>
      <c r="G29" s="29" t="s">
        <v>333</v>
      </c>
      <c r="H29" s="28" t="s">
        <v>343</v>
      </c>
      <c r="I29" s="29" t="s">
        <v>645</v>
      </c>
      <c r="J29" s="29" t="s">
        <v>613</v>
      </c>
    </row>
    <row r="30" customFormat="false" ht="15" hidden="false" customHeight="false" outlineLevel="0" collapsed="false">
      <c r="B30" s="53" t="n">
        <v>25</v>
      </c>
      <c r="C30" s="29" t="s">
        <v>448</v>
      </c>
      <c r="D30" s="29" t="s">
        <v>447</v>
      </c>
      <c r="E30" s="53" t="n">
        <f aca="false">'Benchmark KPIs'!D54</f>
        <v>7</v>
      </c>
      <c r="F30" s="53" t="s">
        <v>621</v>
      </c>
      <c r="G30" s="29" t="s">
        <v>333</v>
      </c>
      <c r="H30" s="28" t="s">
        <v>343</v>
      </c>
      <c r="I30" s="29" t="s">
        <v>646</v>
      </c>
      <c r="J30" s="29" t="s">
        <v>613</v>
      </c>
    </row>
    <row r="31" customFormat="false" ht="15" hidden="false" customHeight="false" outlineLevel="0" collapsed="false">
      <c r="B31" s="53" t="n">
        <v>26</v>
      </c>
      <c r="C31" s="29" t="s">
        <v>451</v>
      </c>
      <c r="D31" s="29" t="s">
        <v>647</v>
      </c>
      <c r="E31" s="65" t="n">
        <f aca="false">'Benchmark KPIs'!D55</f>
        <v>0.0241829046505586</v>
      </c>
      <c r="F31" s="53" t="s">
        <v>632</v>
      </c>
      <c r="G31" s="29" t="s">
        <v>333</v>
      </c>
      <c r="H31" s="28" t="s">
        <v>343</v>
      </c>
      <c r="I31" s="29" t="s">
        <v>633</v>
      </c>
      <c r="J31" s="29" t="s">
        <v>613</v>
      </c>
    </row>
    <row r="32" customFormat="false" ht="15" hidden="false" customHeight="false" outlineLevel="0" collapsed="false">
      <c r="B32" s="53" t="n">
        <v>27</v>
      </c>
      <c r="C32" s="29" t="s">
        <v>648</v>
      </c>
      <c r="D32" s="29" t="s">
        <v>649</v>
      </c>
      <c r="E32" s="53" t="n">
        <v>0</v>
      </c>
      <c r="F32" s="53" t="s">
        <v>621</v>
      </c>
      <c r="G32" s="29" t="s">
        <v>650</v>
      </c>
      <c r="H32" s="68" t="s">
        <v>651</v>
      </c>
      <c r="I32" s="29" t="s">
        <v>652</v>
      </c>
      <c r="J32" s="29" t="s">
        <v>653</v>
      </c>
    </row>
    <row r="33" customFormat="false" ht="15" hidden="false" customHeight="false" outlineLevel="0" collapsed="false">
      <c r="B33" s="53" t="n">
        <v>28</v>
      </c>
      <c r="C33" s="29" t="s">
        <v>654</v>
      </c>
      <c r="D33" s="29" t="s">
        <v>655</v>
      </c>
      <c r="E33" s="53" t="n">
        <v>2</v>
      </c>
      <c r="F33" s="53" t="s">
        <v>621</v>
      </c>
      <c r="G33" s="29" t="s">
        <v>656</v>
      </c>
      <c r="H33" s="28" t="s">
        <v>343</v>
      </c>
      <c r="I33" s="29" t="s">
        <v>657</v>
      </c>
      <c r="J33" s="29" t="s">
        <v>658</v>
      </c>
    </row>
    <row r="34" customFormat="false" ht="15" hidden="false" customHeight="false" outlineLevel="0" collapsed="false">
      <c r="B34" s="53" t="n">
        <v>29</v>
      </c>
      <c r="C34" s="29" t="s">
        <v>659</v>
      </c>
      <c r="D34" s="29" t="s">
        <v>574</v>
      </c>
      <c r="E34" s="53" t="n">
        <v>2</v>
      </c>
      <c r="F34" s="53" t="s">
        <v>621</v>
      </c>
      <c r="G34" s="29" t="s">
        <v>656</v>
      </c>
      <c r="H34" s="28" t="s">
        <v>343</v>
      </c>
      <c r="I34" s="29" t="s">
        <v>660</v>
      </c>
      <c r="J34" s="29" t="s">
        <v>658</v>
      </c>
    </row>
    <row r="35" customFormat="false" ht="15" hidden="false" customHeight="false" outlineLevel="0" collapsed="false">
      <c r="B35" s="53" t="n">
        <v>30</v>
      </c>
      <c r="C35" s="29" t="s">
        <v>661</v>
      </c>
      <c r="D35" s="29" t="s">
        <v>571</v>
      </c>
      <c r="E35" s="53" t="n">
        <v>0</v>
      </c>
      <c r="F35" s="53" t="s">
        <v>621</v>
      </c>
      <c r="G35" s="29" t="s">
        <v>656</v>
      </c>
      <c r="H35" s="28" t="s">
        <v>343</v>
      </c>
      <c r="I35" s="29" t="s">
        <v>662</v>
      </c>
      <c r="J35" s="29" t="s">
        <v>658</v>
      </c>
    </row>
    <row r="36" customFormat="false" ht="15" hidden="false" customHeight="false" outlineLevel="0" collapsed="false">
      <c r="B36" s="53" t="n">
        <v>31</v>
      </c>
      <c r="C36" s="29" t="s">
        <v>663</v>
      </c>
      <c r="D36" s="29" t="s">
        <v>576</v>
      </c>
      <c r="E36" s="53" t="n">
        <v>1</v>
      </c>
      <c r="F36" s="53" t="s">
        <v>621</v>
      </c>
      <c r="G36" s="29" t="s">
        <v>656</v>
      </c>
      <c r="H36" s="28" t="s">
        <v>343</v>
      </c>
      <c r="I36" s="29" t="s">
        <v>664</v>
      </c>
      <c r="J36" s="29" t="s">
        <v>658</v>
      </c>
    </row>
    <row r="37" customFormat="false" ht="15" hidden="false" customHeight="false" outlineLevel="0" collapsed="false">
      <c r="B37" s="53" t="n">
        <v>32</v>
      </c>
      <c r="C37" s="29" t="s">
        <v>665</v>
      </c>
      <c r="D37" s="29" t="s">
        <v>666</v>
      </c>
      <c r="E37" s="53" t="n">
        <v>1</v>
      </c>
      <c r="F37" s="53" t="s">
        <v>621</v>
      </c>
      <c r="G37" s="29" t="s">
        <v>650</v>
      </c>
      <c r="H37" s="28" t="s">
        <v>343</v>
      </c>
      <c r="I37" s="29" t="s">
        <v>667</v>
      </c>
      <c r="J37" s="29" t="s">
        <v>653</v>
      </c>
    </row>
    <row r="38" customFormat="false" ht="15" hidden="false" customHeight="false" outlineLevel="0" collapsed="false">
      <c r="B38" s="53" t="n">
        <v>33</v>
      </c>
      <c r="C38" s="29" t="s">
        <v>668</v>
      </c>
      <c r="D38" s="29" t="s">
        <v>669</v>
      </c>
      <c r="E38" s="53" t="n">
        <v>8</v>
      </c>
      <c r="F38" s="53" t="s">
        <v>621</v>
      </c>
      <c r="G38" s="29" t="s">
        <v>656</v>
      </c>
      <c r="H38" s="28" t="s">
        <v>343</v>
      </c>
      <c r="I38" s="29" t="s">
        <v>670</v>
      </c>
      <c r="J38" s="29" t="s">
        <v>658</v>
      </c>
    </row>
    <row r="39" customFormat="false" ht="15" hidden="false" customHeight="false" outlineLevel="0" collapsed="false">
      <c r="B39" s="53" t="n">
        <v>34</v>
      </c>
      <c r="C39" s="29" t="s">
        <v>671</v>
      </c>
      <c r="D39" s="29" t="s">
        <v>672</v>
      </c>
      <c r="E39" s="54" t="n">
        <f aca="false">'Change Log'!H15</f>
        <v>-2544</v>
      </c>
      <c r="F39" s="53" t="s">
        <v>624</v>
      </c>
      <c r="G39" s="29" t="s">
        <v>656</v>
      </c>
      <c r="H39" s="28" t="s">
        <v>343</v>
      </c>
      <c r="I39" s="29" t="s">
        <v>673</v>
      </c>
      <c r="J39" s="29" t="s">
        <v>658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6"/>
  </cols>
  <sheetData>
    <row r="2" customFormat="false" ht="19.7" hidden="false" customHeight="false" outlineLevel="0" collapsed="false">
      <c r="B2" s="1" t="s">
        <v>674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52" t="s">
        <v>675</v>
      </c>
      <c r="C3" s="52"/>
      <c r="D3" s="52"/>
      <c r="E3" s="52"/>
      <c r="F3" s="52"/>
      <c r="G3" s="52"/>
    </row>
    <row r="4" customFormat="false" ht="15" hidden="false" customHeight="false" outlineLevel="0" collapsed="false">
      <c r="B4" s="9" t="s">
        <v>676</v>
      </c>
      <c r="C4" s="9" t="s">
        <v>677</v>
      </c>
      <c r="D4" s="9" t="s">
        <v>678</v>
      </c>
      <c r="E4" s="9" t="s">
        <v>306</v>
      </c>
      <c r="F4" s="9" t="s">
        <v>307</v>
      </c>
      <c r="G4" s="9" t="s">
        <v>679</v>
      </c>
    </row>
    <row r="5" customFormat="false" ht="15" hidden="false" customHeight="false" outlineLevel="0" collapsed="false">
      <c r="B5" s="3" t="s">
        <v>680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681</v>
      </c>
      <c r="C6" s="10" t="n">
        <f aca="false">Overview!D24</f>
        <v>280367.87</v>
      </c>
      <c r="D6" s="10" t="n">
        <f aca="false">'Benchmark KPIs'!D21</f>
        <v>280367.87</v>
      </c>
      <c r="E6" s="10" t="n">
        <f aca="false">C6-D6</f>
        <v>0</v>
      </c>
      <c r="F6" s="5" t="str">
        <f aca="false">IF(ABS(E6)&lt;=1,"TIES",IF(ABS(E6)&lt;=ABS(D6)*0.05,"WITHIN","OFF"))</f>
        <v>TIES</v>
      </c>
      <c r="G6" s="21" t="s">
        <v>682</v>
      </c>
    </row>
    <row r="7" customFormat="false" ht="15" hidden="false" customHeight="false" outlineLevel="0" collapsed="false">
      <c r="B7" s="4" t="s">
        <v>683</v>
      </c>
      <c r="C7" s="10" t="n">
        <v>394208</v>
      </c>
      <c r="D7" s="10" t="n">
        <f aca="false">'Benchmark KPIs'!D16</f>
        <v>394208</v>
      </c>
      <c r="E7" s="10" t="n">
        <f aca="false">C7-D7</f>
        <v>0</v>
      </c>
      <c r="F7" s="5" t="str">
        <f aca="false">IF(ABS(E7)&lt;=1,"TIES",IF(ABS(E7)&lt;=ABS(D7)*0.05,"WITHIN","OFF"))</f>
        <v>TIES</v>
      </c>
      <c r="G7" s="21" t="s">
        <v>684</v>
      </c>
    </row>
    <row r="8" customFormat="false" ht="15" hidden="false" customHeight="false" outlineLevel="0" collapsed="false">
      <c r="B8" s="4" t="s">
        <v>369</v>
      </c>
      <c r="C8" s="10" t="n">
        <v>113840.13</v>
      </c>
      <c r="D8" s="10" t="n">
        <f aca="false">'Benchmark KPIs'!D19</f>
        <v>113840.13</v>
      </c>
      <c r="E8" s="10" t="n">
        <f aca="false">C8-D8</f>
        <v>0</v>
      </c>
      <c r="F8" s="5" t="str">
        <f aca="false">IF(ABS(E8)&lt;=1,"TIES",IF(ABS(E8)&lt;=ABS(D8)*0.05,"WITHIN","OFF"))</f>
        <v>TIES</v>
      </c>
      <c r="G8" s="21" t="s">
        <v>684</v>
      </c>
    </row>
    <row r="9" customFormat="false" ht="15" hidden="false" customHeight="false" outlineLevel="0" collapsed="false">
      <c r="B9" s="4" t="s">
        <v>371</v>
      </c>
      <c r="C9" s="11" t="n">
        <v>0.288781886719701</v>
      </c>
      <c r="D9" s="11" t="n">
        <f aca="false">'Benchmark KPIs'!D20</f>
        <v>0.288781886719701</v>
      </c>
      <c r="E9" s="11" t="n">
        <f aca="false">C9-D9</f>
        <v>0</v>
      </c>
      <c r="F9" s="5" t="str">
        <f aca="false">IF(ABS(E9)&lt;=1,"TIES",IF(ABS(E9)&lt;=ABS(D9)*0.05,"WITHIN","OFF"))</f>
        <v>TIES</v>
      </c>
      <c r="G9" s="21" t="s">
        <v>684</v>
      </c>
    </row>
    <row r="11" customFormat="false" ht="15" hidden="false" customHeight="false" outlineLevel="0" collapsed="false">
      <c r="B11" s="3" t="s">
        <v>685</v>
      </c>
      <c r="C11" s="3"/>
      <c r="D11" s="3"/>
      <c r="E11" s="3"/>
      <c r="F11" s="3"/>
      <c r="G11" s="3"/>
    </row>
    <row r="12" customFormat="false" ht="15" hidden="false" customHeight="false" outlineLevel="0" collapsed="false">
      <c r="B12" s="4" t="s">
        <v>686</v>
      </c>
      <c r="C12" s="10" t="n">
        <f aca="false">Overview!D20</f>
        <v>80901.5</v>
      </c>
      <c r="D12" s="10" t="n">
        <f aca="false">'Cost Breakdown'!E6</f>
        <v>80901.5</v>
      </c>
      <c r="E12" s="10" t="n">
        <f aca="false">C12-D12</f>
        <v>0</v>
      </c>
      <c r="F12" s="5" t="str">
        <f aca="false">IF(ABS(E12)&lt;=1,"TIES",IF(ABS(E12)&lt;=ABS(D12)*0.05,"WITHIN","OFF"))</f>
        <v>TIES</v>
      </c>
      <c r="G12" s="21" t="s">
        <v>687</v>
      </c>
    </row>
    <row r="13" customFormat="false" ht="15" hidden="false" customHeight="false" outlineLevel="0" collapsed="false">
      <c r="B13" s="4" t="s">
        <v>688</v>
      </c>
      <c r="C13" s="10" t="n">
        <f aca="false">Overview!D21</f>
        <v>151064.39</v>
      </c>
      <c r="D13" s="10" t="n">
        <f aca="false">'Cost Breakdown'!E7</f>
        <v>151064.39</v>
      </c>
      <c r="E13" s="10" t="n">
        <f aca="false">C13-D13</f>
        <v>0</v>
      </c>
      <c r="F13" s="5" t="str">
        <f aca="false">IF(ABS(E13)&lt;=1,"TIES",IF(ABS(E13)&lt;=ABS(D13)*0.05,"WITHIN","OFF"))</f>
        <v>TIES</v>
      </c>
      <c r="G13" s="21" t="s">
        <v>687</v>
      </c>
    </row>
    <row r="14" customFormat="false" ht="15" hidden="false" customHeight="false" outlineLevel="0" collapsed="false">
      <c r="B14" s="4" t="s">
        <v>689</v>
      </c>
      <c r="C14" s="10" t="n">
        <f aca="false">Overview!D22</f>
        <v>7510.52</v>
      </c>
      <c r="D14" s="10" t="n">
        <f aca="false">'Cost Breakdown'!E8</f>
        <v>7510.52</v>
      </c>
      <c r="E14" s="10" t="n">
        <f aca="false">C14-D14</f>
        <v>0</v>
      </c>
      <c r="F14" s="5" t="str">
        <f aca="false">IF(ABS(E14)&lt;=1,"TIES",IF(ABS(E14)&lt;=ABS(D14)*0.05,"WITHIN","OFF"))</f>
        <v>TIES</v>
      </c>
      <c r="G14" s="21" t="s">
        <v>687</v>
      </c>
    </row>
    <row r="15" customFormat="false" ht="15" hidden="false" customHeight="false" outlineLevel="0" collapsed="false">
      <c r="B15" s="4" t="s">
        <v>690</v>
      </c>
      <c r="C15" s="10" t="n">
        <f aca="false">Overview!D23</f>
        <v>40891.46</v>
      </c>
      <c r="D15" s="10" t="n">
        <f aca="false">'Cost Breakdown'!E9</f>
        <v>40891.46</v>
      </c>
      <c r="E15" s="10" t="n">
        <f aca="false">C15-D15</f>
        <v>0</v>
      </c>
      <c r="F15" s="5" t="str">
        <f aca="false">IF(ABS(E15)&lt;=1,"TIES",IF(ABS(E15)&lt;=ABS(D15)*0.05,"WITHIN","OFF"))</f>
        <v>TIES</v>
      </c>
      <c r="G15" s="21" t="s">
        <v>687</v>
      </c>
    </row>
    <row r="17" customFormat="false" ht="15" hidden="false" customHeight="false" outlineLevel="0" collapsed="false">
      <c r="B17" s="3" t="s">
        <v>691</v>
      </c>
      <c r="C17" s="3"/>
      <c r="D17" s="3"/>
      <c r="E17" s="3"/>
      <c r="F17" s="3"/>
      <c r="G17" s="3"/>
    </row>
    <row r="18" customFormat="false" ht="15" hidden="false" customHeight="false" outlineLevel="0" collapsed="false">
      <c r="B18" s="4" t="s">
        <v>692</v>
      </c>
      <c r="C18" s="10" t="n">
        <f aca="false">'Budget vs Actual'!F34</f>
        <v>280367.87</v>
      </c>
      <c r="D18" s="10" t="n">
        <f aca="false">Overview!D24</f>
        <v>280367.87</v>
      </c>
      <c r="E18" s="10" t="n">
        <f aca="false">C18-D18</f>
        <v>0</v>
      </c>
      <c r="F18" s="5" t="str">
        <f aca="false">IF(ABS(E18)&lt;=1,"TIES",IF(ABS(E18)&lt;=ABS(D18)*0.05,"WITHIN","OFF"))</f>
        <v>TIES</v>
      </c>
      <c r="G18" s="21" t="s">
        <v>693</v>
      </c>
    </row>
    <row r="19" customFormat="false" ht="15" hidden="false" customHeight="false" outlineLevel="0" collapsed="false">
      <c r="B19" s="4" t="s">
        <v>694</v>
      </c>
      <c r="C19" s="10" t="n">
        <f aca="false">'Budget vs Actual'!E34</f>
        <v>317000.22</v>
      </c>
      <c r="D19" s="10" t="n">
        <f aca="false">Overview!C24</f>
        <v>317000.22</v>
      </c>
      <c r="E19" s="10" t="n">
        <f aca="false">C19-D19</f>
        <v>0</v>
      </c>
      <c r="F19" s="5" t="str">
        <f aca="false">IF(ABS(E19)&lt;=1,"TIES",IF(ABS(E19)&lt;=ABS(D19)*0.05,"WITHIN","OFF"))</f>
        <v>TIES</v>
      </c>
      <c r="G19" s="21" t="s">
        <v>693</v>
      </c>
    </row>
    <row r="21" customFormat="false" ht="15" hidden="false" customHeight="false" outlineLevel="0" collapsed="false">
      <c r="B21" s="3" t="s">
        <v>695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B22" s="4" t="s">
        <v>696</v>
      </c>
      <c r="C22" s="10" t="n">
        <f aca="false">Material!E16</f>
        <v>151064.39</v>
      </c>
      <c r="D22" s="10" t="n">
        <f aca="false">'Cost Breakdown'!E7</f>
        <v>151064.39</v>
      </c>
      <c r="E22" s="10" t="n">
        <f aca="false">C22-D22</f>
        <v>0</v>
      </c>
      <c r="F22" s="5" t="str">
        <f aca="false">IF(ABS(E22)&lt;=1,"TIES",IF(ABS(E22)&lt;=ABS(D22)*0.05,"WITHIN","OFF"))</f>
        <v>TIES</v>
      </c>
      <c r="G22" s="21" t="s">
        <v>697</v>
      </c>
    </row>
    <row r="23" customFormat="false" ht="15" hidden="false" customHeight="false" outlineLevel="0" collapsed="false">
      <c r="B23" s="4" t="s">
        <v>698</v>
      </c>
      <c r="C23" s="10" t="n">
        <f aca="false">'Benchmark KPIs'!D23</f>
        <v>151064.39</v>
      </c>
      <c r="D23" s="10" t="n">
        <f aca="false">'Cost Breakdown'!E7</f>
        <v>151064.39</v>
      </c>
      <c r="E23" s="10" t="n">
        <f aca="false">C23-D23</f>
        <v>0</v>
      </c>
      <c r="F23" s="5" t="str">
        <f aca="false">IF(ABS(E23)&lt;=1,"TIES",IF(ABS(E23)&lt;=ABS(D23)*0.05,"WITHIN","OFF"))</f>
        <v>TIES</v>
      </c>
      <c r="G23" s="21" t="s">
        <v>699</v>
      </c>
    </row>
    <row r="25" customFormat="false" ht="15" hidden="false" customHeight="false" outlineLevel="0" collapsed="false">
      <c r="B25" s="3" t="s">
        <v>700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4" t="s">
        <v>701</v>
      </c>
      <c r="C26" s="69" t="n">
        <f aca="false">'Crew &amp; Labor'!C28</f>
        <v>4159</v>
      </c>
      <c r="D26" s="69" t="n">
        <f aca="false">'Benchmark KPIs'!D37</f>
        <v>3928.5</v>
      </c>
      <c r="E26" s="69" t="n">
        <f aca="false">C26-D26</f>
        <v>230.5</v>
      </c>
      <c r="F26" s="5" t="str">
        <f aca="false">IF(ABS(E26)&lt;=5,"TIES",IF(ABS(E26)&lt;=ABS(D26)*0.05,"WITHIN","OFF"))</f>
        <v>OFF</v>
      </c>
      <c r="G26" s="21" t="s">
        <v>702</v>
      </c>
    </row>
    <row r="27" customFormat="false" ht="15" hidden="false" customHeight="false" outlineLevel="0" collapsed="false">
      <c r="B27" s="4" t="s">
        <v>703</v>
      </c>
      <c r="C27" s="69" t="n">
        <f aca="false">Productivity!D17</f>
        <v>3928.5</v>
      </c>
      <c r="D27" s="69" t="n">
        <f aca="false">'Benchmark KPIs'!D37</f>
        <v>3928.5</v>
      </c>
      <c r="E27" s="69" t="n">
        <f aca="false">C27-D27</f>
        <v>0</v>
      </c>
      <c r="F27" s="5" t="str">
        <f aca="false">IF(ABS(E27)&lt;=5,"TIES",IF(ABS(E27)&lt;=ABS(D27)*0.05,"WITHIN","OFF"))</f>
        <v>TIES</v>
      </c>
      <c r="G27" s="21" t="s">
        <v>704</v>
      </c>
    </row>
    <row r="28" customFormat="false" ht="15" hidden="false" customHeight="false" outlineLevel="0" collapsed="false">
      <c r="B28" s="4" t="s">
        <v>411</v>
      </c>
      <c r="C28" s="14" t="n">
        <v>23</v>
      </c>
      <c r="D28" s="14" t="n">
        <f aca="false">'Benchmark KPIs'!D38</f>
        <v>23</v>
      </c>
      <c r="E28" s="14" t="n">
        <f aca="false">C28-D28</f>
        <v>0</v>
      </c>
      <c r="F28" s="5" t="str">
        <f aca="false">IF(E28=0,"TIES",IF(ABS(E28)&lt;=1,"WITHIN","OFF"))</f>
        <v>TIES</v>
      </c>
      <c r="G28" s="21" t="s">
        <v>684</v>
      </c>
    </row>
    <row r="30" customFormat="false" ht="15" hidden="false" customHeight="false" outlineLevel="0" collapsed="false">
      <c r="B30" s="3" t="s">
        <v>705</v>
      </c>
      <c r="C30" s="3"/>
      <c r="D30" s="3"/>
      <c r="E30" s="3"/>
      <c r="F30" s="3"/>
      <c r="G30" s="3"/>
    </row>
    <row r="31" customFormat="false" ht="15" hidden="false" customHeight="false" outlineLevel="0" collapsed="false">
      <c r="B31" s="4" t="s">
        <v>205</v>
      </c>
      <c r="C31" s="17" t="n">
        <f aca="false">'Crew Analytics'!C12</f>
        <v>20.6702813176244</v>
      </c>
      <c r="D31" s="17" t="n">
        <f aca="false">'Benchmark KPIs'!D39</f>
        <v>21.8830851470027</v>
      </c>
      <c r="E31" s="17" t="n">
        <f aca="false">C31-D31</f>
        <v>-1.21280382937824</v>
      </c>
      <c r="F31" s="5" t="str">
        <f aca="false">IF(ABS(E31)&lt;=1,"TIES",IF(ABS(E31)&lt;=ABS(D31)*0.05,"WITHIN","OFF"))</f>
        <v>OFF</v>
      </c>
      <c r="G31" s="21" t="s">
        <v>706</v>
      </c>
    </row>
    <row r="32" customFormat="false" ht="15" hidden="false" customHeight="false" outlineLevel="0" collapsed="false">
      <c r="B32" s="4" t="s">
        <v>207</v>
      </c>
      <c r="C32" s="17" t="n">
        <f aca="false">'Crew Analytics'!C13</f>
        <v>29.2841933157009</v>
      </c>
      <c r="D32" s="17" t="n">
        <f aca="false">'Benchmark KPIs'!D40</f>
        <v>31.0024080437826</v>
      </c>
      <c r="E32" s="17" t="n">
        <f aca="false">C32-D32</f>
        <v>-1.71821472808173</v>
      </c>
      <c r="F32" s="5" t="str">
        <f aca="false">IF(ABS(E32)&lt;=1,"TIES",IF(ABS(E32)&lt;=ABS(D32)*0.05,"WITHIN","OFF"))</f>
        <v>OFF</v>
      </c>
      <c r="G32" s="21" t="s">
        <v>706</v>
      </c>
    </row>
    <row r="34" customFormat="false" ht="15" hidden="false" customHeight="false" outlineLevel="0" collapsed="false">
      <c r="B34" s="3" t="s">
        <v>707</v>
      </c>
      <c r="C34" s="3"/>
      <c r="D34" s="3"/>
      <c r="E34" s="3"/>
      <c r="F34" s="3"/>
      <c r="G34" s="3"/>
    </row>
    <row r="35" customFormat="false" ht="15" hidden="false" customHeight="false" outlineLevel="0" collapsed="false">
      <c r="B35" s="4" t="s">
        <v>260</v>
      </c>
      <c r="C35" s="14" t="n">
        <f aca="false">'PO Commitments'!D9</f>
        <v>7</v>
      </c>
      <c r="D35" s="14" t="n">
        <f aca="false">'Benchmark KPIs'!D54</f>
        <v>7</v>
      </c>
      <c r="E35" s="14" t="n">
        <f aca="false">C35-D35</f>
        <v>0</v>
      </c>
      <c r="F35" s="5" t="str">
        <f aca="false">IF(E35=0,"TIES",IF(ABS(E35)&lt;=1,"WITHIN","OFF"))</f>
        <v>TIES</v>
      </c>
      <c r="G35" s="21" t="s">
        <v>708</v>
      </c>
    </row>
    <row r="37" customFormat="false" ht="15" hidden="false" customHeight="false" outlineLevel="0" collapsed="false">
      <c r="B37" s="3" t="s">
        <v>709</v>
      </c>
      <c r="C37" s="3"/>
      <c r="D37" s="3"/>
      <c r="E37" s="3"/>
      <c r="F37" s="3"/>
      <c r="G37" s="3"/>
    </row>
    <row r="38" customFormat="false" ht="15" hidden="false" customHeight="false" outlineLevel="0" collapsed="false">
      <c r="B38" s="4" t="s">
        <v>280</v>
      </c>
      <c r="C38" s="10" t="n">
        <v>394208</v>
      </c>
      <c r="D38" s="10" t="n">
        <v>394208</v>
      </c>
      <c r="E38" s="10" t="n">
        <f aca="false">C38-D38</f>
        <v>0</v>
      </c>
      <c r="F38" s="5" t="str">
        <f aca="false">IF(ABS(E38)&lt;=1,"TIES",IF(ABS(E38)&lt;=ABS(D38)*0.05,"WITHIN","OFF"))</f>
        <v>TIES</v>
      </c>
      <c r="G38" s="21" t="s">
        <v>710</v>
      </c>
    </row>
    <row r="39" customFormat="false" ht="15" hidden="false" customHeight="false" outlineLevel="0" collapsed="false">
      <c r="B39" s="4" t="s">
        <v>308</v>
      </c>
      <c r="C39" s="10" t="n">
        <v>19710</v>
      </c>
      <c r="D39" s="10" t="n">
        <v>19710</v>
      </c>
      <c r="E39" s="10" t="n">
        <f aca="false">C39-D39</f>
        <v>0</v>
      </c>
      <c r="F39" s="5" t="str">
        <f aca="false">IF(ABS(E39)&lt;=1,"TIES",IF(ABS(E39)&lt;=ABS(D39)*0.05,"WITHIN","OFF"))</f>
        <v>TIES</v>
      </c>
      <c r="G39" s="21" t="s">
        <v>710</v>
      </c>
    </row>
    <row r="40" customFormat="false" ht="15" hidden="false" customHeight="false" outlineLevel="0" collapsed="false">
      <c r="B40" s="4" t="s">
        <v>130</v>
      </c>
      <c r="C40" s="10" t="n">
        <v>280368</v>
      </c>
      <c r="D40" s="10" t="n">
        <v>280368</v>
      </c>
      <c r="E40" s="10" t="n">
        <f aca="false">C40-D40</f>
        <v>0</v>
      </c>
      <c r="F40" s="5" t="str">
        <f aca="false">IF(ABS(E40)&lt;=1,"TIES",IF(ABS(E40)&lt;=ABS(D40)*0.05,"WITHIN","OFF"))</f>
        <v>TIES</v>
      </c>
      <c r="G40" s="21" t="s">
        <v>710</v>
      </c>
    </row>
    <row r="42" customFormat="false" ht="15" hidden="false" customHeight="false" outlineLevel="0" collapsed="false">
      <c r="B42" s="3" t="s">
        <v>711</v>
      </c>
      <c r="C42" s="3"/>
      <c r="D42" s="3"/>
      <c r="E42" s="3"/>
      <c r="F42" s="3"/>
      <c r="G42" s="3"/>
    </row>
    <row r="43" customFormat="false" ht="15" hidden="false" customHeight="false" outlineLevel="0" collapsed="false">
      <c r="B43" s="4" t="s">
        <v>712</v>
      </c>
      <c r="C43" s="14" t="n">
        <f aca="false">Vendors!B3</f>
        <v>13</v>
      </c>
      <c r="D43" s="14" t="n">
        <f aca="false">'Benchmark KPIs'!D51</f>
        <v>13</v>
      </c>
      <c r="E43" s="14" t="n">
        <f aca="false">C43-D43</f>
        <v>0</v>
      </c>
      <c r="F43" s="5" t="str">
        <f aca="false">IF(E43=0,"TIES",IF(ABS(E43)&lt;=1,"WITHIN","OFF"))</f>
        <v>TIES</v>
      </c>
      <c r="G43" s="21" t="s">
        <v>713</v>
      </c>
    </row>
    <row r="44" customFormat="false" ht="15" hidden="false" customHeight="false" outlineLevel="0" collapsed="false">
      <c r="B44" s="4" t="s">
        <v>714</v>
      </c>
      <c r="C44" s="10" t="n">
        <f aca="false">Vendors!E22</f>
        <v>174470.05</v>
      </c>
      <c r="D44" s="10" t="n">
        <v>174470</v>
      </c>
      <c r="E44" s="10" t="n">
        <f aca="false">C44-D44</f>
        <v>0.0499999999883585</v>
      </c>
      <c r="F44" s="5" t="str">
        <f aca="false">IF(ABS(E44)&lt;=1,"TIES",IF(ABS(E44)&lt;=ABS(D44)*0.05,"WITHIN","OFF"))</f>
        <v>TIES</v>
      </c>
      <c r="G44" s="21" t="s">
        <v>715</v>
      </c>
    </row>
    <row r="46" customFormat="false" ht="15" hidden="false" customHeight="false" outlineLevel="0" collapsed="false">
      <c r="B46" s="3" t="s">
        <v>716</v>
      </c>
      <c r="C46" s="3"/>
      <c r="D46" s="3"/>
      <c r="E46" s="3"/>
      <c r="F46" s="3"/>
      <c r="G46" s="3"/>
    </row>
    <row r="47" customFormat="false" ht="15" hidden="false" customHeight="false" outlineLevel="0" collapsed="false">
      <c r="B47" s="2" t="s">
        <v>717</v>
      </c>
      <c r="C47" s="2"/>
      <c r="D47" s="2"/>
      <c r="E47" s="2"/>
      <c r="F47" s="2"/>
      <c r="G47" s="2"/>
    </row>
    <row r="48" customFormat="false" ht="15" hidden="false" customHeight="false" outlineLevel="0" collapsed="false">
      <c r="B48" s="70" t="s">
        <v>718</v>
      </c>
      <c r="C48" s="71"/>
      <c r="D48" s="71"/>
      <c r="E48" s="71"/>
      <c r="F48" s="71"/>
      <c r="G48" s="71"/>
      <c r="H48" s="72"/>
      <c r="I48" s="72"/>
    </row>
    <row r="49" customFormat="false" ht="15" hidden="false" customHeight="false" outlineLevel="0" collapsed="false">
      <c r="B49" s="73" t="s">
        <v>719</v>
      </c>
      <c r="C49" s="73" t="n">
        <v>8</v>
      </c>
      <c r="D49" s="73" t="n">
        <f aca="false">'Root Cause Analysis'!C11</f>
        <v>8</v>
      </c>
      <c r="E49" s="73" t="n">
        <f aca="false">C49-D49</f>
        <v>0</v>
      </c>
      <c r="F49" s="73" t="str">
        <f aca="false">IF(ABS(E49)&lt;=1,"TIES",IF(ABS(E49)&lt;=ABS(D49)*0.05,"WITHIN","OFF"))</f>
        <v>TIES</v>
      </c>
      <c r="G49" s="73" t="s">
        <v>720</v>
      </c>
      <c r="H49" s="72"/>
      <c r="I49" s="72"/>
    </row>
    <row r="50" customFormat="false" ht="15" hidden="false" customHeight="false" outlineLevel="0" collapsed="false">
      <c r="B50" s="73" t="s">
        <v>582</v>
      </c>
      <c r="C50" s="74" t="n">
        <f aca="false">'Change Log'!H15</f>
        <v>-2544</v>
      </c>
      <c r="D50" s="74" t="n">
        <f aca="false">'Root Cause Analysis'!D11</f>
        <v>-2544</v>
      </c>
      <c r="E50" s="73" t="n">
        <f aca="false">C50-D50</f>
        <v>0</v>
      </c>
      <c r="F50" s="73" t="str">
        <f aca="false">IF(ABS(E50)&lt;=1,"TIES",IF(ABS(E50)&lt;=ABS(D50)*0.05,"WITHIN","OFF"))</f>
        <v>TIES</v>
      </c>
      <c r="G50" s="73" t="s">
        <v>720</v>
      </c>
      <c r="H50" s="72"/>
      <c r="I50" s="72"/>
    </row>
    <row r="51" customFormat="false" ht="15" hidden="false" customHeight="false" outlineLevel="0" collapsed="false">
      <c r="B51" s="72"/>
      <c r="C51" s="72"/>
      <c r="D51" s="72"/>
      <c r="E51" s="72"/>
      <c r="F51" s="72"/>
      <c r="G51" s="72"/>
      <c r="H51" s="72"/>
      <c r="I51" s="72"/>
    </row>
    <row r="52" customFormat="false" ht="15" hidden="false" customHeight="false" outlineLevel="0" collapsed="false">
      <c r="B52" s="70" t="s">
        <v>721</v>
      </c>
      <c r="C52" s="71"/>
      <c r="D52" s="71"/>
      <c r="E52" s="71"/>
      <c r="F52" s="71"/>
      <c r="G52" s="71"/>
      <c r="H52" s="72"/>
      <c r="I52" s="72"/>
    </row>
    <row r="53" customFormat="false" ht="15" hidden="false" customHeight="false" outlineLevel="0" collapsed="false">
      <c r="B53" s="73" t="s">
        <v>722</v>
      </c>
      <c r="C53" s="73" t="n">
        <v>0</v>
      </c>
      <c r="D53" s="73" t="n">
        <f aca="false">COUNTIF('Change Log'!C6:C14,"Backcharge")</f>
        <v>0</v>
      </c>
      <c r="E53" s="73" t="n">
        <f aca="false">C53-D53</f>
        <v>0</v>
      </c>
      <c r="F53" s="73" t="str">
        <f aca="false">IF(ABS(E53)&lt;=1,"TIES",IF(ABS(E53)&lt;=ABS(D53)*0.05,"WITHIN","OFF"))</f>
        <v>TIES</v>
      </c>
      <c r="G53" s="73" t="s">
        <v>723</v>
      </c>
      <c r="H53" s="72"/>
      <c r="I53" s="72"/>
    </row>
    <row r="54" customFormat="false" ht="15" hidden="false" customHeight="false" outlineLevel="0" collapsed="false">
      <c r="B54" s="72"/>
      <c r="C54" s="72"/>
      <c r="D54" s="72"/>
      <c r="E54" s="72"/>
      <c r="F54" s="72"/>
      <c r="G54" s="72"/>
      <c r="H54" s="72"/>
      <c r="I54" s="72"/>
    </row>
    <row r="55" customFormat="false" ht="15" hidden="false" customHeight="false" outlineLevel="0" collapsed="false">
      <c r="B55" s="70" t="s">
        <v>724</v>
      </c>
      <c r="C55" s="71"/>
      <c r="D55" s="71"/>
      <c r="E55" s="71"/>
      <c r="F55" s="71"/>
      <c r="G55" s="71"/>
      <c r="H55" s="72"/>
      <c r="I55" s="72"/>
    </row>
    <row r="56" customFormat="false" ht="15" hidden="false" customHeight="false" outlineLevel="0" collapsed="false">
      <c r="B56" s="73" t="s">
        <v>725</v>
      </c>
      <c r="C56" s="75" t="n">
        <f aca="false">'Metric Registry'!E17</f>
        <v>394208</v>
      </c>
      <c r="D56" s="75" t="n">
        <f aca="false">'Benchmark KPIs'!D18</f>
        <v>394208</v>
      </c>
      <c r="E56" s="73" t="n">
        <f aca="false">C56-D56</f>
        <v>0</v>
      </c>
      <c r="F56" s="73" t="str">
        <f aca="false">IF(ABS(E56)&lt;=1,"TIES",IF(ABS(E56)&lt;=ABS(D56)*0.05,"WITHIN","OFF"))</f>
        <v>TIES</v>
      </c>
      <c r="G56" s="73" t="s">
        <v>726</v>
      </c>
      <c r="H56" s="72"/>
      <c r="I56" s="72"/>
    </row>
    <row r="57" customFormat="false" ht="15" hidden="false" customHeight="false" outlineLevel="0" collapsed="false">
      <c r="B57" s="73" t="s">
        <v>727</v>
      </c>
      <c r="C57" s="75" t="n">
        <f aca="false">'Metric Registry'!E12</f>
        <v>168</v>
      </c>
      <c r="D57" s="75" t="n">
        <f aca="false">'Benchmark KPIs'!D12</f>
        <v>168</v>
      </c>
      <c r="E57" s="73" t="n">
        <f aca="false">C57-D57</f>
        <v>0</v>
      </c>
      <c r="F57" s="73" t="str">
        <f aca="false">IF(ABS(E57)&lt;=1,"TIES",IF(ABS(E57)&lt;=ABS(D57)*0.05,"WITHIN","OFF"))</f>
        <v>TIES</v>
      </c>
      <c r="G57" s="73" t="s">
        <v>726</v>
      </c>
      <c r="H57" s="72"/>
      <c r="I57" s="72"/>
    </row>
    <row r="58" customFormat="false" ht="15" hidden="false" customHeight="false" outlineLevel="0" collapsed="false">
      <c r="B58" s="73" t="s">
        <v>728</v>
      </c>
      <c r="C58" s="75" t="n">
        <f aca="false">'Metric Registry'!E13</f>
        <v>812</v>
      </c>
      <c r="D58" s="75" t="n">
        <f aca="false">'Benchmark KPIs'!D13</f>
        <v>812</v>
      </c>
      <c r="E58" s="73" t="n">
        <f aca="false">C58-D58</f>
        <v>0</v>
      </c>
      <c r="F58" s="73" t="str">
        <f aca="false">IF(ABS(E58)&lt;=1,"TIES",IF(ABS(E58)&lt;=ABS(D58)*0.05,"WITHIN","OFF"))</f>
        <v>TIES</v>
      </c>
      <c r="G58" s="73" t="s">
        <v>726</v>
      </c>
      <c r="H58" s="72"/>
      <c r="I58" s="72"/>
    </row>
    <row r="59" customFormat="false" ht="15" hidden="false" customHeight="false" outlineLevel="0" collapsed="false">
      <c r="B59" s="73" t="s">
        <v>729</v>
      </c>
      <c r="C59" s="76" t="n">
        <f aca="false">'Metric Registry'!E19</f>
        <v>0.288781886719701</v>
      </c>
      <c r="D59" s="75" t="n">
        <f aca="false">'Benchmark KPIs'!D21</f>
        <v>280367.87</v>
      </c>
      <c r="E59" s="73" t="n">
        <f aca="false">C59-D59</f>
        <v>-280367.581218113</v>
      </c>
      <c r="F59" s="73" t="str">
        <f aca="false">IF(ABS(E59)&lt;=1,"TIES",IF(ABS(E59)&lt;=ABS(D59)*0.05,"WITHIN","OFF"))</f>
        <v>OFF</v>
      </c>
      <c r="G59" s="73" t="s">
        <v>726</v>
      </c>
      <c r="H59" s="72"/>
      <c r="I59" s="72"/>
    </row>
    <row r="60" customFormat="false" ht="15" hidden="false" customHeight="false" outlineLevel="0" collapsed="false">
      <c r="B60" s="73" t="s">
        <v>730</v>
      </c>
      <c r="C60" s="73" t="n">
        <f aca="false">'Metric Registry'!E30</f>
        <v>7</v>
      </c>
      <c r="D60" s="73" t="n">
        <f aca="false">'Benchmark KPIs'!D54</f>
        <v>7</v>
      </c>
      <c r="E60" s="73" t="n">
        <f aca="false">C60-D60</f>
        <v>0</v>
      </c>
      <c r="F60" s="73" t="str">
        <f aca="false">IF(ABS(E60)&lt;=1,"TIES",IF(ABS(E60)&lt;=ABS(D60)*0.05,"WITHIN","OFF"))</f>
        <v>TIES</v>
      </c>
      <c r="G60" s="73" t="s">
        <v>726</v>
      </c>
      <c r="H60" s="72"/>
      <c r="I60" s="72"/>
    </row>
    <row r="61" customFormat="false" ht="15" hidden="false" customHeight="false" outlineLevel="0" collapsed="false">
      <c r="B61" s="72"/>
      <c r="C61" s="72"/>
      <c r="D61" s="72"/>
      <c r="E61" s="72"/>
      <c r="F61" s="72"/>
      <c r="G61" s="72"/>
      <c r="H61" s="72"/>
      <c r="I61" s="72"/>
    </row>
    <row r="62" customFormat="false" ht="15" hidden="false" customHeight="false" outlineLevel="0" collapsed="false">
      <c r="B62" s="70" t="s">
        <v>731</v>
      </c>
      <c r="C62" s="71"/>
      <c r="D62" s="71"/>
      <c r="E62" s="71"/>
      <c r="F62" s="71"/>
      <c r="G62" s="71"/>
      <c r="H62" s="72"/>
      <c r="I62" s="72"/>
    </row>
    <row r="63" customFormat="false" ht="15" hidden="false" customHeight="false" outlineLevel="0" collapsed="false">
      <c r="B63" s="73" t="s">
        <v>668</v>
      </c>
      <c r="C63" s="73" t="n">
        <f aca="false">'Metric Registry'!E36</f>
        <v>1</v>
      </c>
      <c r="D63" s="73" t="n">
        <v>8</v>
      </c>
      <c r="E63" s="73" t="n">
        <f aca="false">C63-D63</f>
        <v>-7</v>
      </c>
      <c r="F63" s="73" t="str">
        <f aca="false">IF(ABS(E63)&lt;=1,"TIES",IF(ABS(E63)&lt;=ABS(D63)*0.05,"WITHIN","OFF"))</f>
        <v>OFF</v>
      </c>
      <c r="G63" s="73" t="s">
        <v>732</v>
      </c>
      <c r="H63" s="72"/>
      <c r="I63" s="72"/>
    </row>
    <row r="64" customFormat="false" ht="15" hidden="false" customHeight="false" outlineLevel="0" collapsed="false">
      <c r="B64" s="72"/>
      <c r="C64" s="72"/>
      <c r="D64" s="72"/>
      <c r="E64" s="72"/>
      <c r="F64" s="72"/>
      <c r="G64" s="72"/>
      <c r="H64" s="72"/>
      <c r="I64" s="72"/>
    </row>
    <row r="65" customFormat="false" ht="15" hidden="false" customHeight="false" outlineLevel="0" collapsed="false">
      <c r="B65" s="72"/>
      <c r="C65" s="72"/>
      <c r="D65" s="72"/>
      <c r="E65" s="72"/>
      <c r="F65" s="72"/>
      <c r="G65" s="72"/>
      <c r="H65" s="72"/>
      <c r="I65" s="72"/>
    </row>
    <row r="66" customFormat="false" ht="15" hidden="false" customHeight="false" outlineLevel="0" collapsed="false">
      <c r="B66" s="77" t="s">
        <v>62</v>
      </c>
      <c r="C66" s="78"/>
      <c r="D66" s="78"/>
      <c r="E66" s="78"/>
      <c r="F66" s="78"/>
      <c r="G66" s="78"/>
      <c r="H66" s="72"/>
      <c r="I66" s="72"/>
    </row>
    <row r="67" customFormat="false" ht="15" hidden="false" customHeight="false" outlineLevel="0" collapsed="false">
      <c r="B67" s="79" t="s">
        <v>733</v>
      </c>
      <c r="C67" s="72"/>
      <c r="D67" s="72"/>
      <c r="E67" s="72"/>
      <c r="F67" s="72"/>
      <c r="G67" s="72"/>
      <c r="H67" s="72"/>
      <c r="I67" s="72"/>
    </row>
    <row r="68" customFormat="false" ht="15" hidden="false" customHeight="false" outlineLevel="0" collapsed="false">
      <c r="B68" s="79" t="s">
        <v>734</v>
      </c>
      <c r="C68" s="72"/>
      <c r="D68" s="72"/>
      <c r="E68" s="72"/>
      <c r="F68" s="72"/>
      <c r="G68" s="72"/>
      <c r="H68" s="72"/>
      <c r="I68" s="72"/>
    </row>
    <row r="69" customFormat="false" ht="15" hidden="false" customHeight="false" outlineLevel="0" collapsed="false">
      <c r="B69" s="79" t="s">
        <v>735</v>
      </c>
      <c r="C69" s="72"/>
      <c r="D69" s="72"/>
      <c r="E69" s="72"/>
      <c r="F69" s="72"/>
      <c r="G69" s="72"/>
      <c r="H69" s="72"/>
      <c r="I69" s="72"/>
    </row>
    <row r="70" customFormat="false" ht="15" hidden="false" customHeight="false" outlineLevel="0" collapsed="false">
      <c r="B70" s="80" t="s">
        <v>736</v>
      </c>
    </row>
    <row r="71" customFormat="false" ht="15" hidden="false" customHeight="false" outlineLevel="0" collapsed="false">
      <c r="B71" s="80" t="s">
        <v>737</v>
      </c>
    </row>
    <row r="72" customFormat="false" ht="15" hidden="false" customHeight="false" outlineLevel="0" collapsed="false">
      <c r="B72" s="80" t="s">
        <v>738</v>
      </c>
    </row>
    <row r="73" customFormat="false" ht="15" hidden="false" customHeight="false" outlineLevel="0" collapsed="false">
      <c r="B73" s="80" t="s">
        <v>739</v>
      </c>
    </row>
    <row r="74" customFormat="false" ht="15" hidden="false" customHeight="false" outlineLevel="0" collapsed="false">
      <c r="B74" s="80" t="s">
        <v>740</v>
      </c>
    </row>
  </sheetData>
  <mergeCells count="13">
    <mergeCell ref="B2:G2"/>
    <mergeCell ref="B3:G3"/>
    <mergeCell ref="B5:G5"/>
    <mergeCell ref="B11:G11"/>
    <mergeCell ref="B17:G17"/>
    <mergeCell ref="B21:G21"/>
    <mergeCell ref="B25:G25"/>
    <mergeCell ref="B30:G30"/>
    <mergeCell ref="B34:G34"/>
    <mergeCell ref="B37:G37"/>
    <mergeCell ref="B42:G42"/>
    <mergeCell ref="B46:G46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2026-04-13T15:54:19Z</dcterms:created>
  <dc:creator>openpyxl</dc:creator>
  <dc:description/>
  <dc:language>en-US</dc:language>
  <cp:lastModifiedBy/>
  <dcterms:modified xsi:type="dcterms:W3CDTF">2026-04-13T20:41:58Z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