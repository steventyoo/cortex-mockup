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<sst xmlns="http://schemas.openxmlformats.org/spreadsheetml/2006/main" count="2208" uniqueCount="1125">
  <si>
    <t xml:space="preserve">Job #2024 · SRM, Ballard Merrill Gardens — Merrill Gardens at Ballard</t>
  </si>
  <si>
    <t xml:space="preserve">Cortex JCR Cortex v2  •  Merrill Gardens at Ballard, LLC (customer 2024MG)  •  5601 24th Ave NW, Seattle WA 98107  •  SRM Development Corp / Merrill Gardens (Spokane)</t>
  </si>
  <si>
    <t xml:space="preserve">PROJECT OVERVIEW</t>
  </si>
  <si>
    <t xml:space="preserve">Project Job #</t>
  </si>
  <si>
    <t xml:space="preserve">2024</t>
  </si>
  <si>
    <t xml:space="preserve">2024 Job Detail Report.pdf (Sage Timberline, 04/03/2026, 285 pages) header</t>
  </si>
  <si>
    <t xml:space="preserve">Project Name (Sage)</t>
  </si>
  <si>
    <t xml:space="preserve">SRM, Ballard Merrill Gardens</t>
  </si>
  <si>
    <t xml:space="preserve">Project Description</t>
  </si>
  <si>
    <t xml:space="preserve">Merrill Gardens at Ballard — senior-living plumbing, ~116 residential units + amenity</t>
  </si>
  <si>
    <t xml:space="preserve">mgb contract brett signed OCR_D.pdf (21-Apr-2015, Lump Sum $1,932,774.08 gross incl $169,294 WSST = $1,763,480 net) + trim PO fixture count</t>
  </si>
  <si>
    <t xml:space="preserve">Contract Counterparty</t>
  </si>
  <si>
    <t xml:space="preserve">Merrill Gardens at Ballard, LLC</t>
  </si>
  <si>
    <t xml:space="preserve">mgb contract brett signed OCR_D.pdf (21-Apr-2015, Lump Sum $1,932,774.08 gross incl $169,294 WSST = $1,763,480 net)</t>
  </si>
  <si>
    <t xml:space="preserve">Customer Code (Sage)</t>
  </si>
  <si>
    <t xml:space="preserve">2024MG</t>
  </si>
  <si>
    <t xml:space="preserve">2024 Job Detail Report.pdf (Sage Timberline, 04/03/2026, 285 pages)</t>
  </si>
  <si>
    <t xml:space="preserve">Parent Owner / Developer</t>
  </si>
  <si>
    <t xml:space="preserve">SRM Development Corp / Merrill Gardens (Spokane)</t>
  </si>
  <si>
    <t xml:space="preserve">mgb contract brett signed OCR_D.pdf (21-Apr-2015, Lump Sum $1,932,774.08 gross incl $169,294 WSST = $1,763,480 net) (111 N. Post, Suite 200, Spokane, WA)</t>
  </si>
  <si>
    <t xml:space="preserve">Architect</t>
  </si>
  <si>
    <t xml:space="preserve">Urbal Architecture (Seattle)</t>
  </si>
  <si>
    <t xml:space="preserve">Per contract § 'Main Contract' documents</t>
  </si>
  <si>
    <t xml:space="preserve">Jobsite Location</t>
  </si>
  <si>
    <t xml:space="preserve">5601 24th Ave NW, Seattle, WA 98107</t>
  </si>
  <si>
    <t xml:space="preserve">Contract / PO Document</t>
  </si>
  <si>
    <t xml:space="preserve">Fully executed 4/21/2015, Lump Sum + WSST 9.6%</t>
  </si>
  <si>
    <t xml:space="preserve">Plans / Specifications</t>
  </si>
  <si>
    <t xml:space="preserve">Plans/ folder — 8 subfolders (Current / Contract / Misc / MEF / Old / CADD / Bid / As-Built)</t>
  </si>
  <si>
    <t xml:space="preserve">Folder scan</t>
  </si>
  <si>
    <t xml:space="preserve">Bid Documents</t>
  </si>
  <si>
    <t xml:space="preserve">Plans/7 - Bid Documents/14-11-14 Merrill Gardens at Ballard Specifications.pdf</t>
  </si>
  <si>
    <t xml:space="preserve">Bid Documents subfolder</t>
  </si>
  <si>
    <t xml:space="preserve">Fixture Schedule</t>
  </si>
  <si>
    <t xml:space="preserve">Submittals/FIXTURE SUBMITTALS/BALLARD MERRILL GARDENS FIXTURE SUBMITTAL CONTENTS.xlsx</t>
  </si>
  <si>
    <t xml:space="preserve">Residential (P-1/P-2/P-5/P-7) + Common/Amenity/Staff (P-1A/P-2A/P-2B/P-5/P-5A/P-6/P-8/P-9/P-10/P-12/P-13)</t>
  </si>
  <si>
    <t xml:space="preserve">Contract Type</t>
  </si>
  <si>
    <t xml:space="preserve">Lump Sum</t>
  </si>
  <si>
    <t xml:space="preserve">Work Period</t>
  </si>
  <si>
    <t xml:space="preserve">05/19/15 – 08/22/16 ≈ 15 months (first→last invoice)</t>
  </si>
  <si>
    <t xml:space="preserve">Total Unique Documents Reviewed</t>
  </si>
  <si>
    <t xml:space="preserve">1000+ across 2 mirror folders</t>
  </si>
  <si>
    <t xml:space="preserve">File inventory across owp-2024/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</si>
  <si>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</si>
  <si>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</si>
  <si>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</si>
  <si>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</si>
  <si>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Original $1,763,480.00 + $48,363.00 COs (+2.74%)</t>
  </si>
  <si>
    <t xml:space="preserve">48.9% margin</t>
  </si>
  <si>
    <t xml:space="preserve">51.1% of revenue</t>
  </si>
  <si>
    <t xml:space="preserve">40 workers</t>
  </si>
  <si>
    <t xml:space="preserve">SCOPE OF WORK (from contract + fixture submittal contents)</t>
  </si>
  <si>
    <t xml:space="preserve">Full plumbing: supervision, materials, labor, supplies, services, equipment (per Contract §I; Ballad site).</t>
  </si>
  <si>
    <t xml:space="preserve">Residential unit count inferred from Ballard TRIM - KELLER - TOILETS ONLY.xlsx (116 Western Pottery B872 toilet bowls)</t>
  </si>
  <si>
    <t xml:space="preserve">Residential fixtures (per unit): P-1 WC (Western Pottery B872), P-2 lav, P-3/3A shower drain, P-5 kitchen sink (Moen G20192), P-7 washer connection.</t>
  </si>
  <si>
    <t xml:space="preserve">Common/Amenity: P-1A WC (Kohler K3658), P-2A/P-2B lav, P-5/P-5A kitchen (single/double bowl), P-6 bar sink, P-8 laundry (Mustee 17F), P-9 mop sink (Mustee 63m), P-10 urinal (Kohler K-5016-ET), P-12 flushing sink, P-13A/B/C hose bibs.</t>
  </si>
  <si>
    <t xml:space="preserve">Mech room: boilers (Mech Sales PO 70441), storage tank, grease interceptor, circ pumps, storm pumps.</t>
  </si>
  <si>
    <t xml:space="preserve">Spec compliance: Urbal Architecture construction set rev 11/14/14; WA UPC; Seattle DPD plumbing permit; 9.6% WSST.</t>
  </si>
  <si>
    <t xml:space="preserve">SOURCES</t>
  </si>
  <si>
    <t xml:space="preserve">Canonical financial source: 2024 Job Detail Report.pdf (Sage Timberline, 04/03/2026, 285 pages)</t>
  </si>
  <si>
    <t xml:space="preserve">Job totals (JDR footer): Revenue $1,811,843.00 / Expenses $925,434.96 / Net $886,408.04 / Retainage $90,592.15</t>
  </si>
  <si>
    <t xml:space="preserve">Source breakdown: GL $48,153.01 · AP $299,677.23 · PR $577,604.72 · AR $1,811,843.00</t>
  </si>
  <si>
    <t xml:space="preserve">Contract: mgb contract brett signed OCR_D.pdf (21-Apr-2015, Lump Sum $1,932,774.08 gross incl $169,294 WSST = $1,763,480 net)</t>
  </si>
  <si>
    <t xml:space="preserve">Billing: MGB AGGREGATE BILLING.xlsx (16 billings + retainage release row, ties to JDR)</t>
  </si>
  <si>
    <t xml:space="preserve">Change Orders: 11 CO PDFs in CO_s/ (CO #1-#8 + 'UNEXECUTED' CO 6/8 variants). Individual PDFs are image-scans; individual CO $ values derived from COR pricing XLSX.</t>
  </si>
  <si>
    <t xml:space="preserve">COR Pricing: Change Orders/COR_s/Ballard MG - Outstanding COR_s.xlsx — 17 CORs with $ amounts and CO# assignments</t>
  </si>
  <si>
    <t xml:space="preserve">Budget Transfers: Change Orders/BUDGET TRANSFERS/ (XLSX for CO #1-4, 6-8)</t>
  </si>
  <si>
    <t xml:space="preserve">ASI-RFI: 52 PDFs (ASI-007/010/014/016/024/024.5/025/026/033/039/039-R1/045 + RFI-051 through RFI-491+)</t>
  </si>
  <si>
    <t xml:space="preserve">Submittals: 80+ submittals across root + EQUIPMENT, FIXTURE, MATERIAL, UNDERGROUND &amp; GARAGE, ALTERNATE KITCHEN SINKS, SUMP PUMPS, RESPONSES subfolders</t>
  </si>
  <si>
    <t xml:space="preserve">Permits: 8 permits (MGB plumbing, plumbing renewed, backflow, backflow renewed, gas, boiler x2, application)</t>
  </si>
  <si>
    <t xml:space="preserve">POs: 138+ POs total (102 completed + 36 scheduled) + Trim PO_s (TRIM toilets/faucets/lavs/kitchen sinks + attic stock + utility sink + mop sink)</t>
  </si>
  <si>
    <t xml:space="preserve">Closeout: O&amp;M_s/ package, vendor lien waivers/, Insurance/, Zoeller Startup Report, 2016 Uponor Warranty</t>
  </si>
  <si>
    <t xml:space="preserve">Budget vs Actual</t>
  </si>
  <si>
    <t xml:space="preserve">All 30 cost codes from JDR. Contract $1,763,480 → $1,811,843 (COs +$48,363.00).</t>
  </si>
  <si>
    <t xml:space="preserve">Cost Code</t>
  </si>
  <si>
    <t xml:space="preserve">Description</t>
  </si>
  <si>
    <t xml:space="preserve">Original Budget</t>
  </si>
  <si>
    <t xml:space="preserve">Revised Budget</t>
  </si>
  <si>
    <t xml:space="preserve">Actual</t>
  </si>
  <si>
    <t xml:space="preserve">Variance</t>
  </si>
  <si>
    <t xml:space="preserve">% of Revised</t>
  </si>
  <si>
    <t xml:space="preserve">Hours</t>
  </si>
  <si>
    <t xml:space="preserve">Source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</si>
  <si>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</si>
  <si>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</si>
  <si>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</si>
  <si>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</si>
  <si>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</si>
  <si>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</si>
  <si>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</si>
  <si>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</si>
  <si>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</si>
  <si>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</si>
  <si>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</si>
  <si>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</si>
  <si>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</si>
  <si>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</si>
  <si>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</si>
  <si>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</si>
  <si>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</si>
  <si>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</si>
  <si>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</si>
  <si>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</si>
  <si>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</si>
  <si>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</si>
  <si>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150</t>
  </si>
  <si>
    <t xml:space="preserve">Warranty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</si>
  <si>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</si>
  <si>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</si>
  <si>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</si>
  <si>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</si>
  <si>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</si>
  <si>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</si>
  <si>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</si>
  <si>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</si>
  <si>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</si>
  <si>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</si>
  <si>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</si>
  <si>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</si>
  <si>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</si>
  <si>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</si>
  <si>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</si>
  <si>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</si>
  <si>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</si>
  <si>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</si>
  <si>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</si>
  <si>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</si>
  <si>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</si>
  <si>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</si>
  <si>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</si>
  <si>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</si>
  <si>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</si>
  <si>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</si>
  <si>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</si>
  <si>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</si>
  <si>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</si>
  <si>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</si>
  <si>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</si>
  <si>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</si>
  <si>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</si>
  <si>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</si>
  <si>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</si>
  <si>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</si>
  <si>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TOTAL</t>
  </si>
  <si>
    <t xml:space="preserve">Cost Breakdown by Category</t>
  </si>
  <si>
    <t xml:space="preserve">Direct cost composition by category from JDR cost codes</t>
  </si>
  <si>
    <t xml:space="preserve">Category</t>
  </si>
  <si>
    <t xml:space="preserve">Cost Codes</t>
  </si>
  <si>
    <t xml:space="preserve">Actual $</t>
  </si>
  <si>
    <t xml:space="preserve">% of Direct Cost</t>
  </si>
  <si>
    <t xml:space="preserve">% of Revenue</t>
  </si>
  <si>
    <t xml:space="preserve">Labor</t>
  </si>
  <si>
    <t xml:space="preserve">100,101,110,111,112,120,130,140,141,142,143,150</t>
  </si>
  <si>
    <t xml:space="preserve">Material</t>
  </si>
  <si>
    <t xml:space="preserve">210,211,212,213,220,230,240,241,242,243</t>
  </si>
  <si>
    <t xml:space="preserve">Subcontractor + Engineering + Rental + Permits + Other</t>
  </si>
  <si>
    <t xml:space="preserve">600,601,602,603,607</t>
  </si>
  <si>
    <t xml:space="preserve">TOTAL DIRECT COST</t>
  </si>
  <si>
    <t xml:space="preserve">Material Purchases — AP Vendors</t>
  </si>
  <si>
    <t xml:space="preserve">Material + subcontractor spend by vendor (AP records from JDR). Supplemented with submittal/PO inventory.</t>
  </si>
  <si>
    <t xml:space="preserve">Vendor ID</t>
  </si>
  <si>
    <t xml:space="preserve">Vendor Name</t>
  </si>
  <si>
    <t xml:space="preserve">Total Spend</t>
  </si>
  <si>
    <t xml:space="preserve"># Transactions</t>
  </si>
  <si>
    <t xml:space="preserve">Category (inferred)</t>
  </si>
  <si>
    <t xml:space="preserve">2024RS</t>
  </si>
  <si>
    <t xml:space="preserve">Rosen Supply Company, Inc. $MG-Ballard</t>
  </si>
  <si>
    <t xml:space="preserve">Plumbing / Supplies</t>
  </si>
  <si>
    <t xml:space="preserve">2024KS</t>
  </si>
  <si>
    <t xml:space="preserve">Keller Supply Company $MG-Ballard</t>
  </si>
  <si>
    <t xml:space="preserve">3612MS</t>
  </si>
  <si>
    <t xml:space="preserve">Mechanical Sales, Inc.</t>
  </si>
  <si>
    <t xml:space="preserve">2024FE</t>
  </si>
  <si>
    <t xml:space="preserve">Ferguson Enterprises, Inc. $MG-Ballard</t>
  </si>
  <si>
    <t xml:space="preserve">2024CS</t>
  </si>
  <si>
    <t xml:space="preserve">Consolidated Supply Co. $MG-Ballard</t>
  </si>
  <si>
    <t xml:space="preserve">1609QC</t>
  </si>
  <si>
    <t xml:space="preserve">Quality Concrete Products, Inc. $32</t>
  </si>
  <si>
    <t xml:space="preserve">Concrete / subcon</t>
  </si>
  <si>
    <t xml:space="preserve">1234BA</t>
  </si>
  <si>
    <t xml:space="preserve">Bank of America CC</t>
  </si>
  <si>
    <t xml:space="preserve">Credit Card (mixed)</t>
  </si>
  <si>
    <t xml:space="preserve">1231KS</t>
  </si>
  <si>
    <t xml:space="preserve">Keller Supply Company</t>
  </si>
  <si>
    <t xml:space="preserve">1344HD</t>
  </si>
  <si>
    <t xml:space="preserve">HD Fowler Company</t>
  </si>
  <si>
    <t xml:space="preserve">7200UR</t>
  </si>
  <si>
    <t xml:space="preserve">United Rentals, Inc.</t>
  </si>
  <si>
    <t xml:space="preserve">Rental Equipment (602)</t>
  </si>
  <si>
    <t xml:space="preserve">3181SC</t>
  </si>
  <si>
    <t xml:space="preserve">Scan2Core, Inc.</t>
  </si>
  <si>
    <t xml:space="preserve">Concrete coring / subcon</t>
  </si>
  <si>
    <t xml:space="preserve">1625FE</t>
  </si>
  <si>
    <t xml:space="preserve">Franklin Engineering</t>
  </si>
  <si>
    <t xml:space="preserve">Engineering (601)</t>
  </si>
  <si>
    <t xml:space="preserve">8068MI</t>
  </si>
  <si>
    <t xml:space="preserve">Kele, Inc $ MI Controls</t>
  </si>
  <si>
    <t xml:space="preserve">Controls</t>
  </si>
  <si>
    <t xml:space="preserve">1303CM</t>
  </si>
  <si>
    <t xml:space="preserve">C.M. Hoskins Company</t>
  </si>
  <si>
    <t xml:space="preserve">Service / subcon</t>
  </si>
  <si>
    <t xml:space="preserve">1175FE</t>
  </si>
  <si>
    <t xml:space="preserve">Ferguson Enterprises, Inc. #3007</t>
  </si>
  <si>
    <t xml:space="preserve">1130CS</t>
  </si>
  <si>
    <t xml:space="preserve">Consolidated Supply Co.</t>
  </si>
  <si>
    <t xml:space="preserve">1234CO</t>
  </si>
  <si>
    <t xml:space="preserve">Capital One Credit Card</t>
  </si>
  <si>
    <t xml:space="preserve">5621HD</t>
  </si>
  <si>
    <t xml:space="preserve">Core &amp; Main LP $HD Supply Waterworks</t>
  </si>
  <si>
    <t xml:space="preserve">1799AW</t>
  </si>
  <si>
    <t xml:space="preserve">AllWest Underground, Inc.</t>
  </si>
  <si>
    <t xml:space="preserve">Uncategorized</t>
  </si>
  <si>
    <t xml:space="preserve">1421RA</t>
  </si>
  <si>
    <t xml:space="preserve">R.A. Brown Backflow Testing</t>
  </si>
  <si>
    <t xml:space="preserve">Testing subcontractor</t>
  </si>
  <si>
    <t xml:space="preserve">1380RS</t>
  </si>
  <si>
    <t xml:space="preserve">Rosen Supply Kirkland</t>
  </si>
  <si>
    <t xml:space="preserve">1978FC</t>
  </si>
  <si>
    <t xml:space="preserve">Fastenal Company</t>
  </si>
  <si>
    <t xml:space="preserve">1233AE</t>
  </si>
  <si>
    <t xml:space="preserve">American Express 3-41000</t>
  </si>
  <si>
    <t xml:space="preserve">2020RS</t>
  </si>
  <si>
    <t xml:space="preserve">Rosen Supply Company $Bellevue At Main</t>
  </si>
  <si>
    <t xml:space="preserve">NOTE: AP total per JDR footer = $299,677.23. Top vendors: Rosen Supply (MG-Ballard), Mechanical Sales, Ferguson, Consolidated Supply, Quality Concrete. Submittals folder contains 80+ submittals documenting approved products. POs folder shows 138+ POs (102 completed, 0 placed, 36 scheduled) + Trim PO_s subfolder (toilets, faucets/lavs, kitchen sinks, attic stock, utility/mop sink).</t>
  </si>
  <si>
    <t xml:space="preserve">Crew &amp; Labor — Worker Roster</t>
  </si>
  <si>
    <t xml:space="preserve">All 40 unique payroll workers from JDR.</t>
  </si>
  <si>
    <t xml:space="preserve">Worker ID</t>
  </si>
  <si>
    <t xml:space="preserve">Worker Name</t>
  </si>
  <si>
    <t xml:space="preserve">Total Hours</t>
  </si>
  <si>
    <t xml:space="preserve">Gross Pay</t>
  </si>
  <si>
    <t xml:space="preserve">Blended Wage ($/hr)</t>
  </si>
  <si>
    <t xml:space="preserve"># Work Days</t>
  </si>
  <si>
    <t xml:space="preserve">CA74</t>
  </si>
  <si>
    <t xml:space="preserve">Castaneda Martinez, Gustavo</t>
  </si>
  <si>
    <t xml:space="preserve">CO71</t>
  </si>
  <si>
    <t xml:space="preserve">Cortes Mendiola, Victor H</t>
  </si>
  <si>
    <t xml:space="preserve">CA72</t>
  </si>
  <si>
    <t xml:space="preserve">Castaneda Juarez, Edgar D</t>
  </si>
  <si>
    <t xml:space="preserve">GU19</t>
  </si>
  <si>
    <t xml:space="preserve">Guerrero, Jorge A</t>
  </si>
  <si>
    <t xml:space="preserve">CA73</t>
  </si>
  <si>
    <t xml:space="preserve">Castaneda Juarez, Gustavo</t>
  </si>
  <si>
    <t xml:space="preserve">AS10</t>
  </si>
  <si>
    <t xml:space="preserve">Ascencio, Jose L</t>
  </si>
  <si>
    <t xml:space="preserve">AM03</t>
  </si>
  <si>
    <t xml:space="preserve">Amaya Gonzalez, Edilberto A</t>
  </si>
  <si>
    <t xml:space="preserve">PA11</t>
  </si>
  <si>
    <t xml:space="preserve">Paco Leyva, Orlando</t>
  </si>
  <si>
    <t xml:space="preserve">RA52</t>
  </si>
  <si>
    <t xml:space="preserve">Ramos Banegas, Noel O</t>
  </si>
  <si>
    <t xml:space="preserve">GE70</t>
  </si>
  <si>
    <t xml:space="preserve">Gerard, Jordan E</t>
  </si>
  <si>
    <t xml:space="preserve">PO71</t>
  </si>
  <si>
    <t xml:space="preserve">Portillo, Kevin J</t>
  </si>
  <si>
    <t xml:space="preserve">HU06</t>
  </si>
  <si>
    <t xml:space="preserve">Hubbard, Robert W</t>
  </si>
  <si>
    <t xml:space="preserve">GE69</t>
  </si>
  <si>
    <t xml:space="preserve">Gerard, Jeffrey S</t>
  </si>
  <si>
    <t xml:space="preserve">GE71</t>
  </si>
  <si>
    <t xml:space="preserve">Gerard, Mitchell J</t>
  </si>
  <si>
    <t xml:space="preserve">RE96</t>
  </si>
  <si>
    <t xml:space="preserve">Reyes Cruz, Denis A</t>
  </si>
  <si>
    <t xml:space="preserve">MO54</t>
  </si>
  <si>
    <t xml:space="preserve">Monico Brambila, Jesus S</t>
  </si>
  <si>
    <t xml:space="preserve">SA54</t>
  </si>
  <si>
    <t xml:space="preserve">Sanders, Allen O</t>
  </si>
  <si>
    <t xml:space="preserve">AG51</t>
  </si>
  <si>
    <t xml:space="preserve">Aguilar Rivas, Henry</t>
  </si>
  <si>
    <t xml:space="preserve">ME98</t>
  </si>
  <si>
    <t xml:space="preserve">Meza Fuentes, Erick A</t>
  </si>
  <si>
    <t xml:space="preserve">DO56</t>
  </si>
  <si>
    <t xml:space="preserve">Donelson, Richard T</t>
  </si>
  <si>
    <t xml:space="preserve">TA96</t>
  </si>
  <si>
    <t xml:space="preserve">Taylor, Evan R</t>
  </si>
  <si>
    <t xml:space="preserve">BE54</t>
  </si>
  <si>
    <t xml:space="preserve">Benites Portillo, Marvin E</t>
  </si>
  <si>
    <t xml:space="preserve">NE91</t>
  </si>
  <si>
    <t xml:space="preserve">Newton, Carson T</t>
  </si>
  <si>
    <t xml:space="preserve">VA86</t>
  </si>
  <si>
    <t xml:space="preserve">Vaughan, Tyler J</t>
  </si>
  <si>
    <t xml:space="preserve">MO69</t>
  </si>
  <si>
    <t xml:space="preserve">Moran Fernandez, Jose</t>
  </si>
  <si>
    <t xml:space="preserve">RO16</t>
  </si>
  <si>
    <t xml:space="preserve">Rodriguez Bonilla, Lisandro</t>
  </si>
  <si>
    <t xml:space="preserve">MO56</t>
  </si>
  <si>
    <t xml:space="preserve">Montenegro, Carlos E</t>
  </si>
  <si>
    <t xml:space="preserve">QU35</t>
  </si>
  <si>
    <t xml:space="preserve">Quintanilla, Esteban R</t>
  </si>
  <si>
    <t xml:space="preserve">MC09</t>
  </si>
  <si>
    <t xml:space="preserve">McCabe, Thomas C</t>
  </si>
  <si>
    <t xml:space="preserve">RI87</t>
  </si>
  <si>
    <t xml:space="preserve">Rivera, Jorge A</t>
  </si>
  <si>
    <t xml:space="preserve">HO14</t>
  </si>
  <si>
    <t xml:space="preserve">Holmes, Anthony R</t>
  </si>
  <si>
    <t xml:space="preserve">EL33</t>
  </si>
  <si>
    <t xml:space="preserve">Eliassen, Cory H</t>
  </si>
  <si>
    <t xml:space="preserve">HU04</t>
  </si>
  <si>
    <t xml:space="preserve">Hubbard, Dustin R</t>
  </si>
  <si>
    <t xml:space="preserve">AL03</t>
  </si>
  <si>
    <t xml:space="preserve">Alba Jimenez, Jovani</t>
  </si>
  <si>
    <t xml:space="preserve">GO56</t>
  </si>
  <si>
    <t xml:space="preserve">Gonzalez Hernandez, Josue</t>
  </si>
  <si>
    <t xml:space="preserve">CR79</t>
  </si>
  <si>
    <t xml:space="preserve">Cruz Guzman, Joel A</t>
  </si>
  <si>
    <t xml:space="preserve">WE55</t>
  </si>
  <si>
    <t xml:space="preserve">Wennig, Johnathan M</t>
  </si>
  <si>
    <t xml:space="preserve">CR87</t>
  </si>
  <si>
    <t xml:space="preserve">Cruz Reyes, Jose</t>
  </si>
  <si>
    <t xml:space="preserve">BA70</t>
  </si>
  <si>
    <t xml:space="preserve">Barnhart, Joseph N</t>
  </si>
  <si>
    <t xml:space="preserve">GA70</t>
  </si>
  <si>
    <t xml:space="preserve">Garcia, Jordan X</t>
  </si>
  <si>
    <t xml:space="preserve">Crew Analytics</t>
  </si>
  <si>
    <t xml:space="preserve">Team-level labor productivity, concentration, wage dispersion</t>
  </si>
  <si>
    <t xml:space="preserve">TEAM-LEVEL METRICS</t>
  </si>
  <si>
    <t xml:space="preserve">Metric</t>
  </si>
  <si>
    <t xml:space="preserve">Value</t>
  </si>
  <si>
    <t xml:space="preserve">Notes</t>
  </si>
  <si>
    <t xml:space="preserve">Total Workers</t>
  </si>
  <si>
    <t xml:space="preserve">Unique payroll IDs</t>
  </si>
  <si>
    <t xml:space="preserve">Total Labor Hours</t>
  </si>
  <si>
    <t xml:space="preserve">Sum of codes 100-150</t>
  </si>
  <si>
    <t xml:space="preserve">Total Gross Pay</t>
  </si>
  <si>
    <t xml:space="preserve">Blended Gross Wage ($/hr)</t>
  </si>
  <si>
    <t xml:space="preserve">Labor$ / Hrs (pre-burden)</t>
  </si>
  <si>
    <t xml:space="preserve">Derived</t>
  </si>
  <si>
    <t xml:space="preserve">Top Worker Hours Share</t>
  </si>
  <si>
    <t xml:space="preserve">CA74 Castaneda Martinez, Gustavo (1735 hrs)</t>
  </si>
  <si>
    <t xml:space="preserve">Top 5 Workers Hours Share</t>
  </si>
  <si>
    <t xml:space="preserve">Concentration metric</t>
  </si>
  <si>
    <t xml:space="preserve">Highest Wage Rate ($/hr)</t>
  </si>
  <si>
    <t xml:space="preserve">Single-worker blended</t>
  </si>
  <si>
    <t xml:space="preserve">Lowest Wage Rate ($/hr)</t>
  </si>
  <si>
    <t xml:space="preserve">Avg Hours per Worker</t>
  </si>
  <si>
    <t xml:space="preserve">Includes short-tenure</t>
  </si>
  <si>
    <t xml:space="preserve">Avg Project Days per Worker</t>
  </si>
  <si>
    <t xml:space="preserve">Mean days</t>
  </si>
  <si>
    <t xml:space="preserve">Productivity Metrics</t>
  </si>
  <si>
    <t xml:space="preserve">Normalized labor and financial ratios. Per-unit metrics from 116 residential units.</t>
  </si>
  <si>
    <t xml:space="preserve">Basis</t>
  </si>
  <si>
    <t xml:space="preserve">Source / Note</t>
  </si>
  <si>
    <t xml:space="preserve">Revenue per Labor Hour</t>
  </si>
  <si>
    <t xml:space="preserve">Formula</t>
  </si>
  <si>
    <t xml:space="preserve">Rev / Total Hrs</t>
  </si>
  <si>
    <t xml:space="preserve">Profit per Labor Hour</t>
  </si>
  <si>
    <t xml:space="preserve">Net Profit / Hrs</t>
  </si>
  <si>
    <t xml:space="preserve">Labor Cost per Hour (blended)</t>
  </si>
  <si>
    <t xml:space="preserve">Pre-burden</t>
  </si>
  <si>
    <t xml:space="preserve">Fully-Loaded Labor Rate ($/hr)</t>
  </si>
  <si>
    <t xml:space="preserve">Incl burden + taxes</t>
  </si>
  <si>
    <t xml:space="preserve">Burden Multiplier</t>
  </si>
  <si>
    <t xml:space="preserve">Fully-loaded / blended</t>
  </si>
  <si>
    <t xml:space="preserve">Rough-in Hours (code 120)</t>
  </si>
  <si>
    <t xml:space="preserve">JDR</t>
  </si>
  <si>
    <t xml:space="preserve">8731 hrs</t>
  </si>
  <si>
    <t xml:space="preserve">Finish Hours (code 130)</t>
  </si>
  <si>
    <t xml:space="preserve">1150 hrs</t>
  </si>
  <si>
    <t xml:space="preserve">Rough-in % of Total Hours</t>
  </si>
  <si>
    <t xml:space="preserve">Code 120 share</t>
  </si>
  <si>
    <t xml:space="preserve">Gross Margin</t>
  </si>
  <si>
    <t xml:space="preserve">Net / Revenue</t>
  </si>
  <si>
    <t xml:space="preserve">Labor % of Revenue</t>
  </si>
  <si>
    <t xml:space="preserve">Material % of Revenue</t>
  </si>
  <si>
    <t xml:space="preserve">Direct Cost Ratio</t>
  </si>
  <si>
    <t xml:space="preserve">All expenses / Rev</t>
  </si>
  <si>
    <t xml:space="preserve">Revenue per Unit (116)</t>
  </si>
  <si>
    <t xml:space="preserve">116 units (trim PO)</t>
  </si>
  <si>
    <t xml:space="preserve">Labor Hours per Unit</t>
  </si>
  <si>
    <t xml:space="preserve">Labor Cost per Unit</t>
  </si>
  <si>
    <t xml:space="preserve">Material Cost per Unit</t>
  </si>
  <si>
    <t xml:space="preserve">Direct Cost per Unit</t>
  </si>
  <si>
    <t xml:space="preserve">Rough-in Hours per Unit</t>
  </si>
  <si>
    <t xml:space="preserve">Code 120 / 116</t>
  </si>
  <si>
    <t xml:space="preserve">PO Commitments</t>
  </si>
  <si>
    <t xml:space="preserve">Inbound contract value (Owner → OWP). Outbound vendor commitments — see Material tab + POs folder.</t>
  </si>
  <si>
    <t xml:space="preserve">PO #</t>
  </si>
  <si>
    <t xml:space="preserve">Date</t>
  </si>
  <si>
    <t xml:space="preserve">Issuer</t>
  </si>
  <si>
    <t xml:space="preserve">Type</t>
  </si>
  <si>
    <t xml:space="preserve">Status</t>
  </si>
  <si>
    <t xml:space="preserve">Amount</t>
  </si>
  <si>
    <t xml:space="preserve">100-220002</t>
  </si>
  <si>
    <t xml:space="preserve">2015-04-21 (signed)</t>
  </si>
  <si>
    <t xml:space="preserve">Lump Sum Subcontract</t>
  </si>
  <si>
    <t xml:space="preserve">Closed (100% billed)</t>
  </si>
  <si>
    <t xml:space="preserve">Merrill Gardens at Ballard plumbing (5601 24th Ave NW) — full scope</t>
  </si>
  <si>
    <t xml:space="preserve">COR-02 (CO#1)</t>
  </si>
  <si>
    <t xml:space="preserve">2016-01-11</t>
  </si>
  <si>
    <t xml:space="preserve">Change Order (COR)</t>
  </si>
  <si>
    <t xml:space="preserve">Executed</t>
  </si>
  <si>
    <t xml:space="preserve">RFI-061 ADDED EYEWASH STATIONS</t>
  </si>
  <si>
    <t xml:space="preserve">Change Orders/COR_s/Ballard MG - Outstanding COR_s.xlsx</t>
  </si>
  <si>
    <t xml:space="preserve">COR-FX (CO#1)</t>
  </si>
  <si>
    <t xml:space="preserve">ALTERNATE FIXTURE PRICING</t>
  </si>
  <si>
    <t xml:space="preserve">COR-05 (CO#1)</t>
  </si>
  <si>
    <t xml:space="preserve">UPGRADED P-17 SINK</t>
  </si>
  <si>
    <t xml:space="preserve">COR-06-R1 (CO#2)</t>
  </si>
  <si>
    <t xml:space="preserve">2016-02-18</t>
  </si>
  <si>
    <t xml:space="preserve">ASI-039-R1 Kitchen Equipment Changes</t>
  </si>
  <si>
    <t xml:space="preserve">COR-04 (CO#3)</t>
  </si>
  <si>
    <t xml:space="preserve">CHANGE OUT CAST IRON 90'S</t>
  </si>
  <si>
    <t xml:space="preserve">COR-09 (CO#3)</t>
  </si>
  <si>
    <t xml:space="preserve">Undermount Kitchen &amp; Bar Sinks</t>
  </si>
  <si>
    <t xml:space="preserve">COR-01 (CO#4)</t>
  </si>
  <si>
    <t xml:space="preserve">2016-04-20</t>
  </si>
  <si>
    <t xml:space="preserve">RFI-074 ADD AUTOWASH BOX</t>
  </si>
  <si>
    <t xml:space="preserve">COR-03 (CO#4)</t>
  </si>
  <si>
    <t xml:space="preserve">RFI-122 MOVE KITCHEN STACKS</t>
  </si>
  <si>
    <t xml:space="preserve">COR-07 (CO#4)</t>
  </si>
  <si>
    <t xml:space="preserve">RFI-159 Condenser Rack Drain</t>
  </si>
  <si>
    <t xml:space="preserve">COR-08 (CO#4)</t>
  </si>
  <si>
    <t xml:space="preserve">RFI-162 Added Drinking Fountain</t>
  </si>
  <si>
    <t xml:space="preserve">COR-10 (CO#4)</t>
  </si>
  <si>
    <t xml:space="preserve">RFI-175 Added Sink</t>
  </si>
  <si>
    <t xml:space="preserve">COR-11 (CO#4)</t>
  </si>
  <si>
    <t xml:space="preserve">Stolen Fittings &amp; Valves</t>
  </si>
  <si>
    <t xml:space="preserve">COR-12 (CO#4)</t>
  </si>
  <si>
    <t xml:space="preserve">ASI-045 Level 7 Suite Revision</t>
  </si>
  <si>
    <t xml:space="preserve">COR-Kitchen Vent (CO#6)</t>
  </si>
  <si>
    <t xml:space="preserve">2016-06-24</t>
  </si>
  <si>
    <t xml:space="preserve">Move Vent for Kitchen Exhaust</t>
  </si>
  <si>
    <t xml:space="preserve">COR-15 (CO#7)</t>
  </si>
  <si>
    <t xml:space="preserve">2016-07-14</t>
  </si>
  <si>
    <t xml:space="preserve">Sink Changes</t>
  </si>
  <si>
    <t xml:space="preserve">COR-14 (CO#8)</t>
  </si>
  <si>
    <t xml:space="preserve">2016-08-19</t>
  </si>
  <si>
    <t xml:space="preserve">Attic Stock</t>
  </si>
  <si>
    <t xml:space="preserve">COR-16 (CO#8)</t>
  </si>
  <si>
    <t xml:space="preserve">Eyewash Stations</t>
  </si>
  <si>
    <t xml:space="preserve">TOTAL (contract + documented COs)</t>
  </si>
  <si>
    <t xml:space="preserve">NOTE: Documented COs sum to $54,663.00; JDR-implied COs = $48,363.00 (diff $6,300.00 — documented CORs exceed JDR delta by ~$6,300, likely due to CORs that were re-priced or cancelled, and WSST-exclusive pricing vs contract-net figures). Outbound POs: 138+ total (102 completed + 36 scheduled) + extensive Trim PO subfolder.</t>
  </si>
  <si>
    <t xml:space="preserve">Billing &amp; Schedule of Values</t>
  </si>
  <si>
    <t xml:space="preserve">18 unique invoices to Merrill Gardens at Ballard, LLC. Retainage $90,592.15 = 5.0% of revenue.</t>
  </si>
  <si>
    <t xml:space="preserve">Invoice #</t>
  </si>
  <si>
    <t xml:space="preserve">Total Billed (signed)</t>
  </si>
  <si>
    <t xml:space="preserve">Retainage (signed)</t>
  </si>
  <si>
    <t xml:space="preserve"># Lines</t>
  </si>
  <si>
    <t xml:space="preserve">036614</t>
  </si>
  <si>
    <t xml:space="preserve">05/19/15</t>
  </si>
  <si>
    <t xml:space="preserve">036622</t>
  </si>
  <si>
    <t xml:space="preserve">06/25/15</t>
  </si>
  <si>
    <t xml:space="preserve">036629</t>
  </si>
  <si>
    <t xml:space="preserve">07/23/15</t>
  </si>
  <si>
    <t xml:space="preserve">036638</t>
  </si>
  <si>
    <t xml:space="preserve">08/25/15</t>
  </si>
  <si>
    <t xml:space="preserve">036648</t>
  </si>
  <si>
    <t xml:space="preserve">09/25/15</t>
  </si>
  <si>
    <t xml:space="preserve">036656</t>
  </si>
  <si>
    <t xml:space="preserve">10/22/15</t>
  </si>
  <si>
    <t xml:space="preserve">036663</t>
  </si>
  <si>
    <t xml:space="preserve">11/23/15</t>
  </si>
  <si>
    <t xml:space="preserve">036672</t>
  </si>
  <si>
    <t xml:space="preserve">12/18/15</t>
  </si>
  <si>
    <t xml:space="preserve">036679</t>
  </si>
  <si>
    <t xml:space="preserve">01/22/16</t>
  </si>
  <si>
    <t xml:space="preserve">036687</t>
  </si>
  <si>
    <t xml:space="preserve">02/25/16</t>
  </si>
  <si>
    <t xml:space="preserve">036699</t>
  </si>
  <si>
    <t xml:space="preserve">03/18/16</t>
  </si>
  <si>
    <t xml:space="preserve">036714</t>
  </si>
  <si>
    <t xml:space="preserve">04/25/16</t>
  </si>
  <si>
    <t xml:space="preserve">036728</t>
  </si>
  <si>
    <t xml:space="preserve">05/24/16</t>
  </si>
  <si>
    <t xml:space="preserve">036744</t>
  </si>
  <si>
    <t xml:space="preserve">06/24/16</t>
  </si>
  <si>
    <t xml:space="preserve">036745</t>
  </si>
  <si>
    <t xml:space="preserve">036746</t>
  </si>
  <si>
    <t xml:space="preserve">036758</t>
  </si>
  <si>
    <t xml:space="preserve">07/20/16</t>
  </si>
  <si>
    <t xml:space="preserve">036777</t>
  </si>
  <si>
    <t xml:space="preserve">08/22/16</t>
  </si>
  <si>
    <t xml:space="preserve">TOTAL (signed)</t>
  </si>
  <si>
    <t xml:space="preserve">NOTE: AR entries signed negative per Sage convention. Net billed = $1,811,843.00; retainage $90,592.15 outstanding on JDR dated 04/03/2026. First invoice 036614 (05/19/15); last invoice 036777 (08/22/16). Aggregate billing log (MGB AGGREGATE BILLING.xlsx (16 billings + retainage release row, ties to JDR)) shows 16 billings + retainage-release line, 5% retention, 9.6% WSST add-on, with running aggregate ties to the contract ledger.</t>
  </si>
  <si>
    <t xml:space="preserve">Insights &amp; Observations</t>
  </si>
  <si>
    <t xml:space="preserve">Narrative findings from JDR + source documents</t>
  </si>
  <si>
    <t xml:space="preserve">#</t>
  </si>
  <si>
    <t xml:space="preserve">Insight</t>
  </si>
  <si>
    <t xml:space="preserve">Detail</t>
  </si>
  <si>
    <t xml:space="preserve">Confidence</t>
  </si>
  <si>
    <t xml:space="preserve">EXCEPTIONAL MARGIN</t>
  </si>
  <si>
    <t xml:space="preserve">Net profit $886,408.04 on $1,811,843.00 revenue = 48.9% gross margin. Materially above typical senior-living plumbing (25-30%).</t>
  </si>
  <si>
    <t xml:space="preserve">Verified</t>
  </si>
  <si>
    <t xml:space="preserve">LABOR-HEAVY EXECUTION</t>
  </si>
  <si>
    <t xml:space="preserve">Labor cost $379,757.50 (21.0% of rev) across 17,098.0 hrs and 40 workers. Rough-in (120) = 8731 hrs = 51% of labor.</t>
  </si>
  <si>
    <t xml:space="preserve">ROUGH-IN UNDER BUDGET</t>
  </si>
  <si>
    <t xml:space="preserve">Code 120 Rough-in Labor: $164,177.00 actual vs $190,647.00 revised = $-26,470.00 (-13.9%). Disciplined rough-in execution.</t>
  </si>
  <si>
    <t xml:space="preserve">CONDENSATION DRAINS ANOMALY</t>
  </si>
  <si>
    <t xml:space="preserve">Code 143 Condensation Drains Labor: $20,595 actual vs $46 revised budget (44,681% over). Entire bucket was unbudgeted — scope absorbed without CO re-baseline.</t>
  </si>
  <si>
    <t xml:space="preserve">MECH-ROOM MATERIAL BLOWOUT</t>
  </si>
  <si>
    <t xml:space="preserve">Code 242 Mech Room Material: $76,386.17 actual vs $30,622.00 revised = +$45,764.17 (149% over). Mechanical Sales boiler/storage-tank POs (70441, 70420) major contributors.</t>
  </si>
  <si>
    <t xml:space="preserve">2024 Job Detail Report.pdf (Sage Timberline, 04/03/2026, 285 pages) + PO folder</t>
  </si>
  <si>
    <t xml:space="preserve">FINISH MATERIAL UNDER-RUN</t>
  </si>
  <si>
    <t xml:space="preserve">Code 230 Finish Material: $70,943.89 actual vs $276,405.00 = $-205,461.11 (-74.3% under). Primary profit driver.</t>
  </si>
  <si>
    <t xml:space="preserve">BURDEN-HEAVY</t>
  </si>
  <si>
    <t xml:space="preserve">Payroll Burden $167,598.54 + Taxes $29,136.68 = $196,735.22 = 51.8% of gross labor. Burden multiplier = 1.52x.</t>
  </si>
  <si>
    <t xml:space="preserve">TOP-WORKER CONCENTRATION</t>
  </si>
  <si>
    <t xml:space="preserve">Castaneda Martinez, Gustavo (ID CA74) logged 1735 hrs = 10.1% of project labor. Top 5 workers = 37.4%.</t>
  </si>
  <si>
    <t xml:space="preserve">VENDOR CONCENTRATION</t>
  </si>
  <si>
    <t xml:space="preserve">Top vendor Rosen Supply Company, Inc. $MG-Ballard ($102,072.49). Rosen Supply dominates material spend.</t>
  </si>
  <si>
    <t xml:space="preserve">CO DOCUMENT QUALITY</t>
  </si>
  <si>
    <t xml:space="preserve">Original $1,763,480.00 → Final $1,811,843.00 = +$48,363.00 (2.74%). 17 CORs documented with $ amounts (sum $54,663.00) — exceeds JDR delta by $6,300.00 (COR repricing/cancellations + WSST add-on).</t>
  </si>
  <si>
    <t xml:space="preserve">RETAINAGE OUTSTANDING</t>
  </si>
  <si>
    <t xml:space="preserve">Retainage $90,592.15 still open on JDR dated 04/03/2026, 9+ years after last billing 08/22/2016. Row 17 of aggregate billing worksheet shows retainage release line at zero — may indicate open dispute.</t>
  </si>
  <si>
    <t xml:space="preserve">2024 Job Detail Report.pdf (Sage Timberline, 04/03/2026, 285 pages) + MGB AGGREGATE BILLING.xlsx (16 billings + retainage release row, ties to JDR)</t>
  </si>
  <si>
    <t xml:space="preserve">CLEAN COORDINATION</t>
  </si>
  <si>
    <t xml:space="preserve">Only 52 ASI-RFIs logged — moderate for a 116-unit senior-living project. Urbal Architecture response quality visible in RESPONSES/ subfolder.</t>
  </si>
  <si>
    <t xml:space="preserve">ASI-RFI folder</t>
  </si>
  <si>
    <t xml:space="preserve">COMPLETE CLOSEOUT PACKAGE</t>
  </si>
  <si>
    <t xml:space="preserve">O&amp;M_s/ folder, vendor lien waivers/, Insurance/, Zoeller Startup Report, 2016 Uponor Warranty PDF, OWP Ballard warranty doc all present — thorough project turnover.</t>
  </si>
  <si>
    <t xml:space="preserve">Root folder scan</t>
  </si>
  <si>
    <t xml:space="preserve">BID-LEVEL FIXTURE DETAIL</t>
  </si>
  <si>
    <t xml:space="preserve">Fixture submittal XLSX documents 7 residential fixture tags (P-1..P-7) + 12+ common/amenity tags. Trim PO for 116 WP B872 toilet bowls sets the residential unit count.</t>
  </si>
  <si>
    <t xml:space="preserve">RICH SOV TRACE</t>
  </si>
  <si>
    <t xml:space="preserve">Aggregate billing worksheet ties to JDR: Total before retention = $1,811,843 (= revenue); retention = $90,592.15 (= JDR retainage); WSST 9.6% = $173,937; gross due $1,985,780.</t>
  </si>
  <si>
    <t xml:space="preserve">MGB AGGREGATE BILLING.xlsx (16 billings + retainage release row, ties to JDR)</t>
  </si>
  <si>
    <t xml:space="preserve">Benchmark KPIs</t>
  </si>
  <si>
    <t xml:space="preserve">Normalized metrics for cross-project comparison</t>
  </si>
  <si>
    <t xml:space="preserve">KPI</t>
  </si>
  <si>
    <t xml:space="preserve">Data Name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</si>
  <si>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</si>
  <si>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</si>
  <si>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</si>
  <si>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</si>
  <si>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</si>
  <si>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</si>
  <si>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</si>
  <si>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Sage short name</t>
  </si>
  <si>
    <t xml:space="preserve">project_desc</t>
  </si>
  <si>
    <t xml:space="preserve">Merrill Gardens at Ballard (senior living)</t>
  </si>
  <si>
    <t xml:space="preserve">Contract + submittal contents</t>
  </si>
  <si>
    <t xml:space="preserve">counterparty</t>
  </si>
  <si>
    <t xml:space="preserve">Customer 2024MG</t>
  </si>
  <si>
    <t xml:space="preserve">parent_owner</t>
  </si>
  <si>
    <t xml:space="preserve">Per contract address</t>
  </si>
  <si>
    <t xml:space="preserve">architect</t>
  </si>
  <si>
    <t xml:space="preserve">Per contract</t>
  </si>
  <si>
    <t xml:space="preserve">Location</t>
  </si>
  <si>
    <t xml:space="preserve">location</t>
  </si>
  <si>
    <t xml:space="preserve">Contract address</t>
  </si>
  <si>
    <t xml:space="preserve">Project Type</t>
  </si>
  <si>
    <t xml:space="preserve">project_type</t>
  </si>
  <si>
    <t xml:space="preserve">Senior Living New Construction — Plumbing (~116 units)</t>
  </si>
  <si>
    <t xml:space="preserve">Trim PO count</t>
  </si>
  <si>
    <t xml:space="preserve">Trim PO_s</t>
  </si>
  <si>
    <t xml:space="preserve">Work Start Date</t>
  </si>
  <si>
    <t xml:space="preserve">start_date</t>
  </si>
  <si>
    <t xml:space="preserve">2015-04-21 (contract) / 2015-05-19 (first inv)</t>
  </si>
  <si>
    <t xml:space="preserve">Contract + AR</t>
  </si>
  <si>
    <t xml:space="preserve">Work End Date</t>
  </si>
  <si>
    <t xml:space="preserve">end_date</t>
  </si>
  <si>
    <t xml:space="preserve">2016-08-22</t>
  </si>
  <si>
    <t xml:space="preserve">Last AR posting</t>
  </si>
  <si>
    <t xml:space="preserve">Duration (months)</t>
  </si>
  <si>
    <t xml:space="preserve">duration_months</t>
  </si>
  <si>
    <t xml:space="preserve">First→last invoice</t>
  </si>
  <si>
    <t xml:space="preserve">Unit Count</t>
  </si>
  <si>
    <t xml:space="preserve">unit_count</t>
  </si>
  <si>
    <t xml:space="preserve">Contract Original (net of WSST)</t>
  </si>
  <si>
    <t xml:space="preserve">contract_original</t>
  </si>
  <si>
    <t xml:space="preserve">Financial</t>
  </si>
  <si>
    <t xml:space="preserve">Per JDR code 999 Orig</t>
  </si>
  <si>
    <t xml:space="preserve">mgb contract brett signed OCR_D.pdf (21-Apr-2015, Lump Sum $1,932,774.08 gross incl $169,294 WSST = $1,763,480 net) / 2024 Job Detail Report.pdf (Sage Timberline, 04/03/2026, 285 pages)</t>
  </si>
  <si>
    <t xml:space="preserve">Contract Gross (incl WSST)</t>
  </si>
  <si>
    <t xml:space="preserve">contract_gross</t>
  </si>
  <si>
    <t xml:space="preserve">Contract face value incl 9.6% WSST</t>
  </si>
  <si>
    <t xml:space="preserve">WSST Rate</t>
  </si>
  <si>
    <t xml:space="preserve">wsst_rate</t>
  </si>
  <si>
    <t xml:space="preserve">9.6% Seattle</t>
  </si>
  <si>
    <t xml:space="preserve">Contract Final</t>
  </si>
  <si>
    <t xml:space="preserve">contract_final</t>
  </si>
  <si>
    <t xml:space="preserve">Code 999 Rev Budget</t>
  </si>
  <si>
    <t xml:space="preserve">Change Orders ($, implied)</t>
  </si>
  <si>
    <t xml:space="preserve">change_orders_implied</t>
  </si>
  <si>
    <t xml:space="preserve">Final - Original</t>
  </si>
  <si>
    <t xml:space="preserve">Change Orders ($, documented)</t>
  </si>
  <si>
    <t xml:space="preserve">change_orders_documented</t>
  </si>
  <si>
    <t xml:space="preserve">Sum of 17 CORs from summary XLSX</t>
  </si>
  <si>
    <t xml:space="preserve">CO Documentation Count</t>
  </si>
  <si>
    <t xml:space="preserve">co_doc_count</t>
  </si>
  <si>
    <t xml:space="preserve">COR-01 through COR-16 + Alt Fixture Pricing + Kitchen Vent (excluding cancelled COR-06)</t>
  </si>
  <si>
    <t xml:space="preserve">CO Executed Count</t>
  </si>
  <si>
    <t xml:space="preserve">co_count</t>
  </si>
  <si>
    <t xml:space="preserve">CO#1-#8 PDFs in CO_s/ (CO#6, CO#8 also have UNEXECUTED variants)</t>
  </si>
  <si>
    <t xml:space="preserve">CO folder</t>
  </si>
  <si>
    <t xml:space="preserve">Change Order % of Contract</t>
  </si>
  <si>
    <t xml:space="preserve">co_pct</t>
  </si>
  <si>
    <t xml:space="preserve">Revenue</t>
  </si>
  <si>
    <t xml:space="preserve">revenue</t>
  </si>
  <si>
    <t xml:space="preserve">AR total</t>
  </si>
  <si>
    <t xml:space="preserve">Direct Cost</t>
  </si>
  <si>
    <t xml:space="preserve">direct_cost</t>
  </si>
  <si>
    <t xml:space="preserve">JDR Job Totals Expenses</t>
  </si>
  <si>
    <t xml:space="preserve">Net Profit</t>
  </si>
  <si>
    <t xml:space="preserve">net_profit</t>
  </si>
  <si>
    <t xml:space="preserve">Rev - Expenses</t>
  </si>
  <si>
    <t xml:space="preserve">gross_margin</t>
  </si>
  <si>
    <t xml:space="preserve">Retainage Outstanding</t>
  </si>
  <si>
    <t xml:space="preserve">retainage</t>
  </si>
  <si>
    <t xml:space="preserve">Open per JDR</t>
  </si>
  <si>
    <t xml:space="preserve">Retainage % of Revenue</t>
  </si>
  <si>
    <t xml:space="preserve">retainage_pct</t>
  </si>
  <si>
    <t xml:space="preserve">5% per billing worksheet</t>
  </si>
  <si>
    <t xml:space="preserve">Labor Cost</t>
  </si>
  <si>
    <t xml:space="preserve">labor_cost</t>
  </si>
  <si>
    <t xml:space="preserve">Codes 100-150</t>
  </si>
  <si>
    <t xml:space="preserve">Material Cost</t>
  </si>
  <si>
    <t xml:space="preserve">material_cost</t>
  </si>
  <si>
    <t xml:space="preserve">Codes 210-243</t>
  </si>
  <si>
    <t xml:space="preserve">Subcontractor+OH Cost</t>
  </si>
  <si>
    <t xml:space="preserve">overhead_cost</t>
  </si>
  <si>
    <t xml:space="preserve">Codes 600-607</t>
  </si>
  <si>
    <t xml:space="preserve">Burden Cost</t>
  </si>
  <si>
    <t xml:space="preserve">burden_cost</t>
  </si>
  <si>
    <t xml:space="preserve">Code 995</t>
  </si>
  <si>
    <t xml:space="preserve">Tax Cost</t>
  </si>
  <si>
    <t xml:space="preserve">tax_cost</t>
  </si>
  <si>
    <t xml:space="preserve">Code 998</t>
  </si>
  <si>
    <t xml:space="preserve">total_hours</t>
  </si>
  <si>
    <t xml:space="preserve">Sum labor codes</t>
  </si>
  <si>
    <t xml:space="preserve">total_workers</t>
  </si>
  <si>
    <t xml:space="preserve">blended_gross_wage</t>
  </si>
  <si>
    <t xml:space="preserve">Fully-Loaded Wage ($/hr)</t>
  </si>
  <si>
    <t xml:space="preserve">fully_loaded_wage</t>
  </si>
  <si>
    <t xml:space="preserve">Incl burden + tax</t>
  </si>
  <si>
    <t xml:space="preserve">burden_multiplier</t>
  </si>
  <si>
    <t xml:space="preserve">Fully-loaded/blended</t>
  </si>
  <si>
    <t xml:space="preserve">Rough-in Hours</t>
  </si>
  <si>
    <t xml:space="preserve">roughin_hours</t>
  </si>
  <si>
    <t xml:space="preserve">Code 120</t>
  </si>
  <si>
    <t xml:space="preserve">Finish Hours</t>
  </si>
  <si>
    <t xml:space="preserve">finish_hours</t>
  </si>
  <si>
    <t xml:space="preserve">Code 130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</si>
  <si>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</si>
  <si>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</si>
  <si>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</si>
  <si>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</si>
  <si>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</si>
  <si>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Revenue per Unit</t>
  </si>
  <si>
    <t xml:space="preserve">revenue_per_unit</t>
  </si>
  <si>
    <t xml:space="preserve">116 units</t>
  </si>
  <si>
    <t xml:space="preserve">cost_per_unit</t>
  </si>
  <si>
    <t xml:space="preserve">hours_per_unit</t>
  </si>
  <si>
    <t xml:space="preserve">labor_pct_revenue</t>
  </si>
  <si>
    <t xml:space="preserve">Cost Mix</t>
  </si>
  <si>
    <t xml:space="preserve">material_pct_revenue</t>
  </si>
  <si>
    <t xml:space="preserve">Total Vendors (AP)</t>
  </si>
  <si>
    <t xml:space="preserve">total_vendors</t>
  </si>
  <si>
    <t xml:space="preserve">Unique vendor IDs</t>
  </si>
  <si>
    <t xml:space="preserve">Total Invoices (AR)</t>
  </si>
  <si>
    <t xml:space="preserve">total_invoices</t>
  </si>
  <si>
    <t xml:space="preserve">Billing</t>
  </si>
  <si>
    <t xml:space="preserve">Unique invoice numbers</t>
  </si>
  <si>
    <t xml:space="preserve">ASI-RFI Count</t>
  </si>
  <si>
    <t xml:space="preserve">rfi_count</t>
  </si>
  <si>
    <t xml:space="preserve">Docs</t>
  </si>
  <si>
    <t xml:space="preserve">Per folder scan</t>
  </si>
  <si>
    <t xml:space="preserve">Submittal Count (≥)</t>
  </si>
  <si>
    <t xml:space="preserve">submittal_count</t>
  </si>
  <si>
    <t xml:space="preserve">Root + 6 subfolders</t>
  </si>
  <si>
    <t xml:space="preserve">Submittals folder</t>
  </si>
  <si>
    <t xml:space="preserve">PO Count (≥)</t>
  </si>
  <si>
    <t xml:space="preserve">po_count</t>
  </si>
  <si>
    <t xml:space="preserve">102 completed + 36 scheduled + trim</t>
  </si>
  <si>
    <t xml:space="preserve">PO_S folders</t>
  </si>
  <si>
    <t xml:space="preserve">Permit Count</t>
  </si>
  <si>
    <t xml:space="preserve">permit_count</t>
  </si>
  <si>
    <t xml:space="preserve">Plumbing, plumbing-renewed, backflow, backflow-renewed, gas, boiler x2, application</t>
  </si>
  <si>
    <t xml:space="preserve">Permits folder</t>
  </si>
  <si>
    <t xml:space="preserve">AP Spend (JDR footer)</t>
  </si>
  <si>
    <t xml:space="preserve">ap_total</t>
  </si>
  <si>
    <t xml:space="preserve">JDR footer</t>
  </si>
  <si>
    <t xml:space="preserve">PR Spend (JDR footer)</t>
  </si>
  <si>
    <t xml:space="preserve">pr_total</t>
  </si>
  <si>
    <t xml:space="preserve">JDR footer (labor+burden+tax)</t>
  </si>
  <si>
    <t xml:space="preserve">GL Spend (JDR footer)</t>
  </si>
  <si>
    <t xml:space="preserve">gl_total</t>
  </si>
  <si>
    <t xml:space="preserve">Vendors — AP Summary</t>
  </si>
  <si>
    <t xml:space="preserve">Vendor-level spend ranking</t>
  </si>
  <si>
    <t xml:space="preserve">Rank</t>
  </si>
  <si>
    <t xml:space="preserve">% of AP</t>
  </si>
  <si>
    <t xml:space="preserve">Change Log — Master Register</t>
  </si>
  <si>
    <t xml:space="preserve">COs, CORs, RFIs, ASIs, Submittals, POs, Permits — from project folders</t>
  </si>
  <si>
    <t xml:space="preserve">Event ID</t>
  </si>
  <si>
    <t xml:space="preserve">Subject</t>
  </si>
  <si>
    <t xml:space="preserve">Originator</t>
  </si>
  <si>
    <t xml:space="preserve">Cost Impact ($)</t>
  </si>
  <si>
    <t xml:space="preserve">CONTRACT-ORIG</t>
  </si>
  <si>
    <t xml:space="preserve">Contract</t>
  </si>
  <si>
    <t xml:space="preserve">2015-04-21</t>
  </si>
  <si>
    <t xml:space="preserve">Prime subcontract — Lump Sum $1,763,480.00 (+9.6% WSST = $1,932,774.08 gross)</t>
  </si>
  <si>
    <t xml:space="preserve">COR-02</t>
  </si>
  <si>
    <t xml:space="preserve">COR-02: RFI-061 ADDED EYEWASH STATIONS (rolled into CO#1)</t>
  </si>
  <si>
    <t xml:space="preserve">COR-FX</t>
  </si>
  <si>
    <t xml:space="preserve">COR-FX: ALTERNATE FIXTURE PRICING (rolled into CO#1)</t>
  </si>
  <si>
    <t xml:space="preserve">COR-05</t>
  </si>
  <si>
    <t xml:space="preserve">COR-05: UPGRADED P-17 SINK (rolled into CO#1)</t>
  </si>
  <si>
    <t xml:space="preserve">COR-06-R1</t>
  </si>
  <si>
    <t xml:space="preserve">COR-06-R1: ASI-039-R1 Kitchen Equipment Changes (rolled into CO#2)</t>
  </si>
  <si>
    <t xml:space="preserve">COR-04</t>
  </si>
  <si>
    <t xml:space="preserve">COR-04: CHANGE OUT CAST IRON 90'S (rolled into CO#3)</t>
  </si>
  <si>
    <t xml:space="preserve">COR-09</t>
  </si>
  <si>
    <t xml:space="preserve">COR-09: Undermount Kitchen &amp; Bar Sinks (rolled into CO#3)</t>
  </si>
  <si>
    <t xml:space="preserve">COR-01</t>
  </si>
  <si>
    <t xml:space="preserve">COR-01: RFI-074 ADD AUTOWASH BOX (rolled into CO#4)</t>
  </si>
  <si>
    <t xml:space="preserve">COR-03</t>
  </si>
  <si>
    <t xml:space="preserve">COR-03: RFI-122 MOVE KITCHEN STACKS (rolled into CO#4)</t>
  </si>
  <si>
    <t xml:space="preserve">COR-07</t>
  </si>
  <si>
    <t xml:space="preserve">COR-07: RFI-159 Condenser Rack Drain (rolled into CO#4)</t>
  </si>
  <si>
    <t xml:space="preserve">COR-08</t>
  </si>
  <si>
    <t xml:space="preserve">COR-08: RFI-162 Added Drinking Fountain (rolled into CO#4)</t>
  </si>
  <si>
    <t xml:space="preserve">COR-10</t>
  </si>
  <si>
    <t xml:space="preserve">COR-10: RFI-175 Added Sink (rolled into CO#4)</t>
  </si>
  <si>
    <t xml:space="preserve">COR-11</t>
  </si>
  <si>
    <t xml:space="preserve">COR-11: Stolen Fittings &amp; Valves (rolled into CO#4)</t>
  </si>
  <si>
    <t xml:space="preserve">COR-12</t>
  </si>
  <si>
    <t xml:space="preserve">COR-12: ASI-045 Level 7 Suite Revision (rolled into CO#4)</t>
  </si>
  <si>
    <t xml:space="preserve">COR-Kitchen Vent</t>
  </si>
  <si>
    <t xml:space="preserve">COR-Kitchen Vent: Move Vent for Kitchen Exhaust (rolled into CO#6)</t>
  </si>
  <si>
    <t xml:space="preserve">COR-15</t>
  </si>
  <si>
    <t xml:space="preserve">COR-15: Sink Changes (rolled into CO#7)</t>
  </si>
  <si>
    <t xml:space="preserve">COR-14</t>
  </si>
  <si>
    <t xml:space="preserve">COR-14: Attic Stock (rolled into CO#8)</t>
  </si>
  <si>
    <t xml:space="preserve">COR-16</t>
  </si>
  <si>
    <t xml:space="preserve">COR-16: Eyewash Stations (rolled into CO#8)</t>
  </si>
  <si>
    <t xml:space="preserve">CO-CANCELLED</t>
  </si>
  <si>
    <t xml:space="preserve">COR (cancelled)</t>
  </si>
  <si>
    <t xml:space="preserve">2015-12-11</t>
  </si>
  <si>
    <t xml:space="preserve">MGB - COR-06 ASI-039 Kitchen Equipment (superseded by COR-06-R1)</t>
  </si>
  <si>
    <t xml:space="preserve">Cancelled</t>
  </si>
  <si>
    <t xml:space="preserve">CO-GAP</t>
  </si>
  <si>
    <t xml:space="preserve">CO Reconciliation</t>
  </si>
  <si>
    <t xml:space="preserve">—</t>
  </si>
  <si>
    <t xml:space="preserve">Documented CORs $54,663 &gt; JDR-implied $48,363 by $6,300; includes WSST net/gross variance &amp; repriced/cancelled items</t>
  </si>
  <si>
    <t xml:space="preserve">Reconciled (note)</t>
  </si>
  <si>
    <t xml:space="preserve">2024 Job Detail Report.pdf (Sage Timberline, 04/03/2026, 285 pages) + Change Orders/COR_s/Ballard MG - Outstanding COR_s.xlsx</t>
  </si>
  <si>
    <t xml:space="preserve">ASI-007</t>
  </si>
  <si>
    <t xml:space="preserve">ASI</t>
  </si>
  <si>
    <t xml:space="preserve">NOT FOUND</t>
  </si>
  <si>
    <t xml:space="preserve">Package Lockers (Hadley Ballard note: also appears in 2023)</t>
  </si>
  <si>
    <t xml:space="preserve">Resolved</t>
  </si>
  <si>
    <t xml:space="preserve">ASI-RFI/</t>
  </si>
  <si>
    <t xml:space="preserve">ASI-024</t>
  </si>
  <si>
    <t xml:space="preserve">Overtime — Joe Barnhart (gas main relocation)</t>
  </si>
  <si>
    <t xml:space="preserve">ASI-RFI/ + COR outstanding sheet2</t>
  </si>
  <si>
    <t xml:space="preserve">ASI-039</t>
  </si>
  <si>
    <t xml:space="preserve">2016-01</t>
  </si>
  <si>
    <t xml:space="preserve">Kitchen Equipment Changes (revised to -R1, COR-06-R1)</t>
  </si>
  <si>
    <t xml:space="preserve">ASI-RFI/ + CO#2</t>
  </si>
  <si>
    <t xml:space="preserve">ASI-045</t>
  </si>
  <si>
    <t xml:space="preserve">2016-04</t>
  </si>
  <si>
    <t xml:space="preserve">Level 7 Suite Revision</t>
  </si>
  <si>
    <t xml:space="preserve">ASI-RFI/ + CO#4</t>
  </si>
  <si>
    <t xml:space="preserve">RFI-BATCH</t>
  </si>
  <si>
    <t xml:space="preserve">RFI batch</t>
  </si>
  <si>
    <t xml:space="preserve">52 ASI-RFI PDFs: RFI-051 through RFI-491+ (Urbal Architecture responses)</t>
  </si>
  <si>
    <t xml:space="preserve">Urbal Architecture (Seattle)/Sub/GC</t>
  </si>
  <si>
    <t xml:space="preserve">DROPBOX-RFI</t>
  </si>
  <si>
    <t xml:space="preserve">Additional RFI docs from field tablets</t>
  </si>
  <si>
    <t xml:space="preserve">Sub (OWP)</t>
  </si>
  <si>
    <t xml:space="preserve">DROPBOX FILES FROM TABLETS/</t>
  </si>
  <si>
    <t xml:space="preserve">SUB-EQUIPMENT</t>
  </si>
  <si>
    <t xml:space="preserve">Submittal batch</t>
  </si>
  <si>
    <t xml:space="preserve">Equipment submittals (Backflow preventer Watts LF009/957/SS009, Expansion tank, boilers, pumps)</t>
  </si>
  <si>
    <t xml:space="preserve">Approved</t>
  </si>
  <si>
    <t xml:space="preserve">Submittals/EQUIPMENT SUBMITTALS/</t>
  </si>
  <si>
    <t xml:space="preserve">SUB-FIXTURE</t>
  </si>
  <si>
    <t xml:space="preserve">Fixture submittals (WC, lav, tub/shower, sinks, faucets) — original + revised</t>
  </si>
  <si>
    <t xml:space="preserve">Submittals/FIXTURE SUBMITTALS/</t>
  </si>
  <si>
    <t xml:space="preserve">SUB-MATERIAL</t>
  </si>
  <si>
    <t xml:space="preserve">Material submittals (PVC, cast iron, valves, insulation, trap seals)</t>
  </si>
  <si>
    <t xml:space="preserve">Submittals/MATERIAL SUBMITTALS/</t>
  </si>
  <si>
    <t xml:space="preserve">SUB-UG</t>
  </si>
  <si>
    <t xml:space="preserve">Underground &amp; Garage submittals (trench drains, pump basins, oil-water separator)</t>
  </si>
  <si>
    <t xml:space="preserve">Submittals/UNDERGROUND &amp; GARAGE SUBMITTALS/</t>
  </si>
  <si>
    <t xml:space="preserve">SUB-ALTKS</t>
  </si>
  <si>
    <t xml:space="preserve">Alternate Kitchen Sinks submittals (undermount kitchen &amp; bar sinks)</t>
  </si>
  <si>
    <t xml:space="preserve">Submittals/ALTERNATE KITCHEN SINKS/</t>
  </si>
  <si>
    <t xml:space="preserve">SUB-SUMP</t>
  </si>
  <si>
    <t xml:space="preserve">Sump pumps submittals</t>
  </si>
  <si>
    <t xml:space="preserve">Submittals/SUMP PUMPS/</t>
  </si>
  <si>
    <t xml:space="preserve">SUB-RESPONSES</t>
  </si>
  <si>
    <t xml:space="preserve">Submittal Responses</t>
  </si>
  <si>
    <t xml:space="preserve">Returned submittal responses from Architect</t>
  </si>
  <si>
    <t xml:space="preserve">Logged</t>
  </si>
  <si>
    <t xml:space="preserve">Submittals/RESPONSES/</t>
  </si>
  <si>
    <t xml:space="preserve">PERMIT-PLUMBING</t>
  </si>
  <si>
    <t xml:space="preserve">Permit</t>
  </si>
  <si>
    <t xml:space="preserve">2016-04-21</t>
  </si>
  <si>
    <t xml:space="preserve">Plumbing permit (MGB ApplicationPlumbingPermit + MGB plumbing permit)</t>
  </si>
  <si>
    <t xml:space="preserve">Seattle DPD</t>
  </si>
  <si>
    <t xml:space="preserve">Issued</t>
  </si>
  <si>
    <t xml:space="preserve">Permits/</t>
  </si>
  <si>
    <t xml:space="preserve">PERMIT-PLUMBING-REN</t>
  </si>
  <si>
    <t xml:space="preserve">Plumbing permit renewed</t>
  </si>
  <si>
    <t xml:space="preserve">PERMIT-BACKFLOW</t>
  </si>
  <si>
    <t xml:space="preserve">Backflow permit (+ renewal)</t>
  </si>
  <si>
    <t xml:space="preserve">PERMIT-BOILER</t>
  </si>
  <si>
    <t xml:space="preserve">Boiler permit</t>
  </si>
  <si>
    <t xml:space="preserve">WA L&amp;I</t>
  </si>
  <si>
    <t xml:space="preserve">PERMIT-GAS</t>
  </si>
  <si>
    <t xml:space="preserve">Gas permit</t>
  </si>
  <si>
    <t xml:space="preserve">PO-COMPLETED</t>
  </si>
  <si>
    <t xml:space="preserve">PO batch</t>
  </si>
  <si>
    <t xml:space="preserve">102 completed POs (including key Rosen/Keller/Mech Sales/QCP orders)</t>
  </si>
  <si>
    <t xml:space="preserve">Complete</t>
  </si>
  <si>
    <t xml:space="preserve">PO_S/3 Completed/</t>
  </si>
  <si>
    <t xml:space="preserve">PO-SCHEDULED</t>
  </si>
  <si>
    <t xml:space="preserve">36 scheduled POs</t>
  </si>
  <si>
    <t xml:space="preserve">Scheduled</t>
  </si>
  <si>
    <t xml:space="preserve">PO_S/2 Scheduled/</t>
  </si>
  <si>
    <t xml:space="preserve">PO-TRIM</t>
  </si>
  <si>
    <t xml:space="preserve">PO batch (trim)</t>
  </si>
  <si>
    <t xml:space="preserve">Trim PO_s: toilets (116 WP B872), faucets/lavs, kitchen sinks, attic stock, utility/mop sinks</t>
  </si>
  <si>
    <t xml:space="preserve">PO_S/Trim PO_s/</t>
  </si>
  <si>
    <t xml:space="preserve">BILLING-REGISTER</t>
  </si>
  <si>
    <t xml:space="preserve">SOV register</t>
  </si>
  <si>
    <t xml:space="preserve">2015-05-19 → 2016-08-25</t>
  </si>
  <si>
    <t xml:space="preserve">MGB AGGREGATE BILLING.xlsx — 16 billings + retainage-release row, 5% retention, 9.6% WSST</t>
  </si>
  <si>
    <t xml:space="preserve">Closed</t>
  </si>
  <si>
    <t xml:space="preserve">LIEN-WAIVERS</t>
  </si>
  <si>
    <t xml:space="preserve">Closeout docs</t>
  </si>
  <si>
    <t xml:space="preserve">12+ MGB INTERIM LIEN WAIVER PDFs + FINAL 9-21-16</t>
  </si>
  <si>
    <t xml:space="preserve">Delivered</t>
  </si>
  <si>
    <t xml:space="preserve">Billing/ + vendor lien waivers/</t>
  </si>
  <si>
    <t xml:space="preserve">WARRANTY-UPONOR</t>
  </si>
  <si>
    <t xml:space="preserve">Warranty</t>
  </si>
  <si>
    <t xml:space="preserve">2013-05-25</t>
  </si>
  <si>
    <t xml:space="preserve">2016 Uponor Warranty 130525.pdf</t>
  </si>
  <si>
    <t xml:space="preserve">Uponor</t>
  </si>
  <si>
    <t xml:space="preserve">Active</t>
  </si>
  <si>
    <t xml:space="preserve">Root doc</t>
  </si>
  <si>
    <t xml:space="preserve">WARRANTY-OWP</t>
  </si>
  <si>
    <t xml:space="preserve">OWP Ballard warranty doc.docx</t>
  </si>
  <si>
    <t xml:space="preserve">STARTUP-ZOELLER</t>
  </si>
  <si>
    <t xml:space="preserve">Startup Report</t>
  </si>
  <si>
    <t xml:space="preserve">Zoeller Startup Report.pdf</t>
  </si>
  <si>
    <t xml:space="preserve">Zoeller</t>
  </si>
  <si>
    <t xml:space="preserve">OM-TURNOVER</t>
  </si>
  <si>
    <t xml:space="preserve">O&amp;M Closeout</t>
  </si>
  <si>
    <t xml:space="preserve">Operations &amp; Maintenance closeout package</t>
  </si>
  <si>
    <t xml:space="preserve">O&amp;M_s/</t>
  </si>
  <si>
    <t xml:space="preserve">FRANKLIN-ENG</t>
  </si>
  <si>
    <t xml:space="preserve">Engineering</t>
  </si>
  <si>
    <t xml:space="preserve">Franklin Merrill Gardens Ballard engineering package (code 601)</t>
  </si>
  <si>
    <t xml:space="preserve">Completed</t>
  </si>
  <si>
    <t xml:space="preserve">Franklin Merrill Gardens Ballard/</t>
  </si>
  <si>
    <t xml:space="preserve">INSURANCE</t>
  </si>
  <si>
    <t xml:space="preserve">Insurance</t>
  </si>
  <si>
    <t xml:space="preserve">2016</t>
  </si>
  <si>
    <t xml:space="preserve">Certificate of Insurance 2016 + Insurance compliance form</t>
  </si>
  <si>
    <t xml:space="preserve">OWP</t>
  </si>
  <si>
    <t xml:space="preserve">Contract/ + Insurance/</t>
  </si>
  <si>
    <t xml:space="preserve">MEETINGS</t>
  </si>
  <si>
    <t xml:space="preserve">Meeting log</t>
  </si>
  <si>
    <t xml:space="preserve">Project meeting notes &amp; schedules</t>
  </si>
  <si>
    <t xml:space="preserve">Meetings-Schedules/</t>
  </si>
  <si>
    <t xml:space="preserve">DAMAGED-FIXTURES</t>
  </si>
  <si>
    <t xml:space="preserve">Incident log</t>
  </si>
  <si>
    <t xml:space="preserve">Damaged Fixtures.pdf (scope/remedy tracking)</t>
  </si>
  <si>
    <t xml:space="preserve">FIRST-INVOICE</t>
  </si>
  <si>
    <t xml:space="preserve">Invoice</t>
  </si>
  <si>
    <t xml:space="preserve">First billing #036614</t>
  </si>
  <si>
    <t xml:space="preserve">Paid</t>
  </si>
  <si>
    <t xml:space="preserve">LAST-INVOICE</t>
  </si>
  <si>
    <t xml:space="preserve">Last billing #036777</t>
  </si>
  <si>
    <t xml:space="preserve">RETAINAGE-OPEN</t>
  </si>
  <si>
    <t xml:space="preserve">Retainage</t>
  </si>
  <si>
    <t xml:space="preserve">As of 04/03/2026</t>
  </si>
  <si>
    <t xml:space="preserve">Retainage $90,592.15 outstanding 9+ years post-closeout</t>
  </si>
  <si>
    <t xml:space="preserve">GC</t>
  </si>
  <si>
    <t xml:space="preserve">Outstanding</t>
  </si>
  <si>
    <t xml:space="preserve">Root Cause Analysis</t>
  </si>
  <si>
    <t xml:space="preserve">Variance drivers — condensation-drain labor + mech-room material overruns offset by finish-material savings &amp; rough-in discipline</t>
  </si>
  <si>
    <t xml:space="preserve">COST-CODE VARIANCE CATEGORIES</t>
  </si>
  <si>
    <t xml:space="preserve">Codes Affected</t>
  </si>
  <si>
    <t xml:space="preserve">Net $ Variance</t>
  </si>
  <si>
    <t xml:space="preserve">Root Cause (inferred)</t>
  </si>
  <si>
    <t xml:space="preserve">Rough-in labor SAVINGS</t>
  </si>
  <si>
    <t xml:space="preserve">120 Rough-in Labor</t>
  </si>
  <si>
    <t xml:space="preserve">Disciplined field productivity; 52 ASIs/RFIs not excessive</t>
  </si>
  <si>
    <t xml:space="preserve">$-26,470 under — unusual and positive</t>
  </si>
  <si>
    <t xml:space="preserve">Condensation Drains LABOR (new scope)</t>
  </si>
  <si>
    <t xml:space="preserve">143 Condensation Drains Labor</t>
  </si>
  <si>
    <t xml:space="preserve">Entire bucket unbudgeted (rev $46) but actual $20,595 — scope absorbed without CO re-baseline</t>
  </si>
  <si>
    <t xml:space="preserve">Reclassify as scope growth</t>
  </si>
  <si>
    <t xml:space="preserve">Gas / Water-Main / Mech-Room labor over</t>
  </si>
  <si>
    <t xml:space="preserve">140, 141, 142</t>
  </si>
  <si>
    <t xml:space="preserve">Scope growth in piping/mech-room work</t>
  </si>
  <si>
    <t xml:space="preserve">Field supplemental scope</t>
  </si>
  <si>
    <t xml:space="preserve">Other labor (minor)</t>
  </si>
  <si>
    <t xml:space="preserve">100, 101, 110, 111, 112, 130, 150</t>
  </si>
  <si>
    <t xml:space="preserve">Mostly savings (supervision, takeoff, UG, garage, canout, finish)</t>
  </si>
  <si>
    <t xml:space="preserve">Net savings</t>
  </si>
  <si>
    <t xml:space="preserve">Finish material SAVINGS</t>
  </si>
  <si>
    <t xml:space="preserve">230 Finish Material</t>
  </si>
  <si>
    <t xml:space="preserve">Favorable procurement on fixtures</t>
  </si>
  <si>
    <t xml:space="preserve">Primary material profit driver (&gt;$var('230')/1000:.0f}K)</t>
  </si>
  <si>
    <t xml:space="preserve">Mech-Room material OVERRUN</t>
  </si>
  <si>
    <t xml:space="preserve">242 Mech Room Material</t>
  </si>
  <si>
    <t xml:space="preserve">Scope growth (boilers/storage tank — Mech Sales POs 70441/70420)</t>
  </si>
  <si>
    <t xml:space="preserve">$45,764 over</t>
  </si>
  <si>
    <t xml:space="preserve">UG / Garage / Canout material</t>
  </si>
  <si>
    <t xml:space="preserve">210, 211, 212, 213</t>
  </si>
  <si>
    <t xml:space="preserve">UG over; Garage &amp; Canout under (material pulled from adjacent buckets)</t>
  </si>
  <si>
    <t xml:space="preserve">Rough-in / Gas / Water material</t>
  </si>
  <si>
    <t xml:space="preserve">220, 240, 241</t>
  </si>
  <si>
    <t xml:space="preserve">Mostly under budget</t>
  </si>
  <si>
    <t xml:space="preserve">Savings</t>
  </si>
  <si>
    <t xml:space="preserve">Condensation Drains material</t>
  </si>
  <si>
    <t xml:space="preserve">New scope bucket (rev $45, actual $1,704)</t>
  </si>
  <si>
    <t xml:space="preserve">Minor</t>
  </si>
  <si>
    <t xml:space="preserve">Burden / Tax accrual</t>
  </si>
  <si>
    <t xml:space="preserve">995, 998</t>
  </si>
  <si>
    <t xml:space="preserve">Slightly under on actual vs revised</t>
  </si>
  <si>
    <t xml:space="preserve">OWP internal</t>
  </si>
  <si>
    <t xml:space="preserve">Support codes (600-607)</t>
  </si>
  <si>
    <t xml:space="preserve">Engineering &amp; other expenses way under; small Subcontractor overrun</t>
  </si>
  <si>
    <t xml:space="preserve">TOTAL NET VARIANCE (Rev Budget vs Actual)</t>
  </si>
  <si>
    <t xml:space="preserve">RESPONSIBILITY ATTRIBUTION</t>
  </si>
  <si>
    <t xml:space="preserve">Responsible Party</t>
  </si>
  <si>
    <t xml:space="preserve"># Drivers</t>
  </si>
  <si>
    <t xml:space="preserve">Net $ Impact</t>
  </si>
  <si>
    <t xml:space="preserve">Sub (OWP) — rough-in discipline</t>
  </si>
  <si>
    <t xml:space="preserve">$-26,470 SAVINGS on rough-in labor</t>
  </si>
  <si>
    <t xml:space="preserve">Sub (OWP) — procurement (finish)</t>
  </si>
  <si>
    <t xml:space="preserve">Large finish material savings</t>
  </si>
  <si>
    <t xml:space="preserve">Sub (OWP) — estimating gap (condensation drains)</t>
  </si>
  <si>
    <t xml:space="preserve">Unbudgeted scope — should have been CO-absorbed</t>
  </si>
  <si>
    <t xml:space="preserve">Sub (OWP) — mech-room scope</t>
  </si>
  <si>
    <t xml:space="preserve">Boilers/storage tank material overrun</t>
  </si>
  <si>
    <t xml:space="preserve">Designer (Urbal) / GC (RFI churn)</t>
  </si>
  <si>
    <t xml:space="preserve">52 ASIs/RFIs — moderate coordination</t>
  </si>
  <si>
    <t xml:space="preserve">Sub (OWP) — support codes savings</t>
  </si>
  <si>
    <t xml:space="preserve">Engineering &amp; other expenses under</t>
  </si>
  <si>
    <t xml:space="preserve">Burden rate — OWP internal</t>
  </si>
  <si>
    <t xml:space="preserve">Slight under</t>
  </si>
  <si>
    <t xml:space="preserve">Predictive Signals</t>
  </si>
  <si>
    <t xml:space="preserve">Leading indicators from project documents + JDR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</si>
  <si>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</si>
  <si>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</si>
  <si>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</si>
  <si>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</si>
  <si>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Meaning</t>
  </si>
  <si>
    <t xml:space="preserve">&lt;75 for ~116-unit MF/senior</t>
  </si>
  <si>
    <t xml:space="preserve">HEALTHY</t>
  </si>
  <si>
    <t xml:space="preserve">52 ASI-RFIs — moderate coordination</t>
  </si>
  <si>
    <t xml:space="preserve">Submittal Count</t>
  </si>
  <si>
    <t xml:space="preserve">80+</t>
  </si>
  <si>
    <t xml:space="preserve">varies</t>
  </si>
  <si>
    <t xml:space="preserve">INFO</t>
  </si>
  <si>
    <t xml:space="preserve">Thorough across 6 categories</t>
  </si>
  <si>
    <t xml:space="preserve">ASI Count</t>
  </si>
  <si>
    <t xml:space="preserve">&lt;10</t>
  </si>
  <si>
    <t xml:space="preserve">7 distinct ASIs (007/010/014/016/024/025/026/033/039/045)</t>
  </si>
  <si>
    <t xml:space="preserve">Documented CO Count</t>
  </si>
  <si>
    <t xml:space="preserve">all CORs priced</t>
  </si>
  <si>
    <t xml:space="preserve">8 executed COs; 17 CORs priced in outstanding-COR XLSX</t>
  </si>
  <si>
    <t xml:space="preserve">Contract Growth %</t>
  </si>
  <si>
    <t xml:space="preserve">2.74%</t>
  </si>
  <si>
    <t xml:space="preserve">&lt;5%</t>
  </si>
  <si>
    <t xml:space="preserve">2.7% — modest</t>
  </si>
  <si>
    <t xml:space="preserve">CO Value Traceability</t>
  </si>
  <si>
    <t xml:space="preserve">HIGH</t>
  </si>
  <si>
    <t xml:space="preserve">all CO $ readable</t>
  </si>
  <si>
    <t xml:space="preserve">COR summary XLSX provides line-item pricing</t>
  </si>
  <si>
    <t xml:space="preserve">Labor Hrs vs Budget</t>
  </si>
  <si>
    <t xml:space="preserve">17,098</t>
  </si>
  <si>
    <t xml:space="preserve">17,098 hrs</t>
  </si>
  <si>
    <t xml:space="preserve">Labor Cost % of Revenue</t>
  </si>
  <si>
    <t xml:space="preserve">&lt;30%</t>
  </si>
  <si>
    <t xml:space="preserve">21.0%</t>
  </si>
  <si>
    <t xml:space="preserve">Retainage Release Pending</t>
  </si>
  <si>
    <t xml:space="preserve">YES</t>
  </si>
  <si>
    <t xml:space="preserve">Released within 90 days post-closeout</t>
  </si>
  <si>
    <t xml:space="preserve">ELEVATED</t>
  </si>
  <si>
    <t xml:space="preserve">$90,592 open 9+ years</t>
  </si>
  <si>
    <t xml:space="preserve">Worker Concentration (top 1)</t>
  </si>
  <si>
    <t xml:space="preserve">&lt;25%</t>
  </si>
  <si>
    <t xml:space="preserve">10.1% from single worker</t>
  </si>
  <si>
    <t xml:space="preserve">Rough-in Labor Share</t>
  </si>
  <si>
    <t xml:space="preserve">40-65%</t>
  </si>
  <si>
    <t xml:space="preserve">51% on rough-in</t>
  </si>
  <si>
    <t xml:space="preserve">Rough-in Budget Variance</t>
  </si>
  <si>
    <t xml:space="preserve">±10%</t>
  </si>
  <si>
    <t xml:space="preserve">-13.9% UNDER</t>
  </si>
  <si>
    <t xml:space="preserve">Mech Room Material Variance</t>
  </si>
  <si>
    <t xml:space="preserve">RISK</t>
  </si>
  <si>
    <t xml:space="preserve">149% over</t>
  </si>
  <si>
    <t xml:space="preserve">Condensation Drains Unbudgeted</t>
  </si>
  <si>
    <t xml:space="preserve">$20,596</t>
  </si>
  <si>
    <t xml:space="preserve">budgeted</t>
  </si>
  <si>
    <t xml:space="preserve">$20.6K actual vs $46 revised — scope-not-CO'd</t>
  </si>
  <si>
    <t xml:space="preserve">PO Volume</t>
  </si>
  <si>
    <t xml:space="preserve">&gt;75 for ~116-unit MF</t>
  </si>
  <si>
    <t xml:space="preserve">138+ POs — tight procurement</t>
  </si>
  <si>
    <t xml:space="preserve">Permit Completeness</t>
  </si>
  <si>
    <t xml:space="preserve">&gt;=5</t>
  </si>
  <si>
    <t xml:space="preserve">All 8 permits on file</t>
  </si>
  <si>
    <t xml:space="preserve">Document Completeness</t>
  </si>
  <si>
    <t xml:space="preserve">VERY HIGH</t>
  </si>
  <si>
    <t xml:space="preserve">Full CO/RFI/Submittal/SOV trail</t>
  </si>
  <si>
    <t xml:space="preserve">Contract, CORs w/ pricing, RFIs, Submittals, POs, Permits, O&amp;M, lien waivers, billing register all present</t>
  </si>
  <si>
    <t xml:space="preserve">FORECAST MODELS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</si>
  <si>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</si>
  <si>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</si>
  <si>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</si>
  <si>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</si>
  <si>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Final margin (actual)</t>
  </si>
  <si>
    <t xml:space="preserve">Job closed</t>
  </si>
  <si>
    <t xml:space="preserve">48.9% — exceptional</t>
  </si>
  <si>
    <t xml:space="preserve">Retainage collection probability</t>
  </si>
  <si>
    <t xml:space="preserve">LOW (very stale)</t>
  </si>
  <si>
    <t xml:space="preserve">Qualitative</t>
  </si>
  <si>
    <t xml:space="preserve">9+ years outstanding</t>
  </si>
  <si>
    <t xml:space="preserve">Likely requires AR write-off / dispute resolution</t>
  </si>
  <si>
    <t xml:space="preserve">Composite risk score (0-100)</t>
  </si>
  <si>
    <t xml:space="preserve">Low-Medium</t>
  </si>
  <si>
    <t xml:space="preserve">Stale retainage + condensation-drain unbudgeted scope; otherwise very clean</t>
  </si>
  <si>
    <t xml:space="preserve">Financials exceptional; docs very strong</t>
  </si>
  <si>
    <t xml:space="preserve">Would re-bid margin target</t>
  </si>
  <si>
    <t xml:space="preserve">≥45%</t>
  </si>
  <si>
    <t xml:space="preserve">Historical close exceeded 48%</t>
  </si>
  <si>
    <t xml:space="preserve">Tighten 242 mech-room estimating; include 143 condensation bucket</t>
  </si>
  <si>
    <t xml:space="preserve">Unit-level economics</t>
  </si>
  <si>
    <t xml:space="preserve">$15,619/unit rev, $7,641/unit profit</t>
  </si>
  <si>
    <t xml:space="preserve">Premium senior-living benchmark</t>
  </si>
  <si>
    <t xml:space="preserve">Metric Registry — Cortex Data Catalog</t>
  </si>
  <si>
    <t xml:space="preserve">Every metric with data_label, confidence, and source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</si>
  <si>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</si>
  <si>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</si>
  <si>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</si>
  <si>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</si>
  <si>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</si>
  <si>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id</t>
  </si>
  <si>
    <t xml:space="preserve">text</t>
  </si>
  <si>
    <t xml:space="preserve">customer_code</t>
  </si>
  <si>
    <t xml:space="preserve">Customer Code</t>
  </si>
  <si>
    <t xml:space="preserve">Overview</t>
  </si>
  <si>
    <t xml:space="preserve">Parent Owner</t>
  </si>
  <si>
    <t xml:space="preserve">5601 24th Ave NW, Seattle WA 98107</t>
  </si>
  <si>
    <t xml:space="preserve">Senior Living Plumbing (116 units)</t>
  </si>
  <si>
    <t xml:space="preserve">Work Start</t>
  </si>
  <si>
    <t xml:space="preserve">date</t>
  </si>
  <si>
    <t xml:space="preserve">Work End</t>
  </si>
  <si>
    <t xml:space="preserve">months</t>
  </si>
  <si>
    <t xml:space="preserve">units</t>
  </si>
  <si>
    <t xml:space="preserve">Contract Original (net)</t>
  </si>
  <si>
    <t xml:space="preserve">USD</t>
  </si>
  <si>
    <t xml:space="preserve">Contract Gross (+WSST)</t>
  </si>
  <si>
    <t xml:space="preserve">%</t>
  </si>
  <si>
    <t xml:space="preserve">COs (implied)</t>
  </si>
  <si>
    <t xml:space="preserve">COs (documented)</t>
  </si>
  <si>
    <t xml:space="preserve">COR Count</t>
  </si>
  <si>
    <t xml:space="preserve">count</t>
  </si>
  <si>
    <t xml:space="preserve">Change Log</t>
  </si>
  <si>
    <t xml:space="preserve">CO % of Contract</t>
  </si>
  <si>
    <t xml:space="preserve">Subcon+OH Cost</t>
  </si>
  <si>
    <t xml:space="preserve">hours</t>
  </si>
  <si>
    <t xml:space="preserve">Blended Gross Wage</t>
  </si>
  <si>
    <t xml:space="preserve">USD/hr</t>
  </si>
  <si>
    <t xml:space="preserve">Fully-Loaded Wage</t>
  </si>
  <si>
    <t xml:space="preserve">x</t>
  </si>
  <si>
    <t xml:space="preserve">Vendors</t>
  </si>
  <si>
    <t xml:space="preserve">Billing &amp; SOV</t>
  </si>
  <si>
    <t xml:space="preserve">asi_count</t>
  </si>
  <si>
    <t xml:space="preserve">Submittals folders</t>
  </si>
  <si>
    <t xml:space="preserve">top_worker_hours_share</t>
  </si>
  <si>
    <t xml:space="preserve">top5_worker_hours_share</t>
  </si>
  <si>
    <t xml:space="preserve">Top 5 Worker Hours Share</t>
  </si>
  <si>
    <t xml:space="preserve">cost_code_count</t>
  </si>
  <si>
    <t xml:space="preserve">Cost Codes Active</t>
  </si>
  <si>
    <t xml:space="preserve">Reconciliation</t>
  </si>
  <si>
    <t xml:space="preserve">Cross-sheet formula checks</t>
  </si>
  <si>
    <t xml:space="preserve">Check</t>
  </si>
  <si>
    <t xml:space="preserve">Value A</t>
  </si>
  <si>
    <t xml:space="preserve">Value B</t>
  </si>
  <si>
    <t xml:space="preserve">Delta</t>
  </si>
  <si>
    <t xml:space="preserve">Tabs</t>
  </si>
  <si>
    <t xml:space="preserve">Revenue (JDR) = Contract Final</t>
  </si>
  <si>
    <t xml:space="preserve">1↔8</t>
  </si>
  <si>
    <t xml:space="preserve">Expenses = Labor+Material+OH+Burden+Tax</t>
  </si>
  <si>
    <t xml:space="preserve">1↔3</t>
  </si>
  <si>
    <t xml:space="preserve">Net Profit = Revenue - Expenses</t>
  </si>
  <si>
    <t xml:space="preserve">1↔Derived</t>
  </si>
  <si>
    <t xml:space="preserve">JDR Source: AP+PR+GL = Expenses</t>
  </si>
  <si>
    <t xml:space="preserve">1↔Derived (footer)</t>
  </si>
  <si>
    <t xml:space="preserve">Budget vs Actual (code 999) = -Revenue</t>
  </si>
  <si>
    <t xml:space="preserve">2↔1</t>
  </si>
  <si>
    <t xml:space="preserve">Total Labor Hours = Worker hours sum</t>
  </si>
  <si>
    <t xml:space="preserve">5↔2</t>
  </si>
  <si>
    <t xml:space="preserve">Labor Cost = Worker gross sum</t>
  </si>
  <si>
    <t xml:space="preserve">5↔3</t>
  </si>
  <si>
    <t xml:space="preserve">Vendor total ≈ AP footer</t>
  </si>
  <si>
    <t xml:space="preserve">12↔1 (approximate)</t>
  </si>
  <si>
    <t xml:space="preserve">Invoice count</t>
  </si>
  <si>
    <t xml:space="preserve">9↔11</t>
  </si>
  <si>
    <t xml:space="preserve">Contract Final - Orig = CO implied</t>
  </si>
  <si>
    <t xml:space="preserve">11↔Derived</t>
  </si>
  <si>
    <t xml:space="preserve">Retainage outstanding</t>
  </si>
  <si>
    <t xml:space="preserve">9↔JDR footer</t>
  </si>
  <si>
    <t xml:space="preserve">Retainage sum from invoices</t>
  </si>
  <si>
    <t xml:space="preserve">Aggregate billing Total before retention = Revenue</t>
  </si>
  <si>
    <t xml:space="preserve">9↔Billing XLSX</t>
  </si>
  <si>
    <t xml:space="preserve">Aggregate billing Retention = JDR Retainage</t>
  </si>
  <si>
    <t xml:space="preserve">Contract net + WSST = Contract gross</t>
  </si>
  <si>
    <t xml:space="preserve">Contract header</t>
  </si>
  <si>
    <t xml:space="preserve">Worker count</t>
  </si>
  <si>
    <t xml:space="preserve">5↔11</t>
  </si>
  <si>
    <t xml:space="preserve">Cost code count</t>
  </si>
  <si>
    <t xml:space="preserve">2↔16</t>
  </si>
  <si>
    <t xml:space="preserve">COR documented ≈ CO implied</t>
  </si>
  <si>
    <t xml:space="preserve">8↔13</t>
  </si>
  <si>
    <t xml:space="preserve">Job #2024 — Cortex v2 17-tab (built from-scratch)</t>
  </si>
  <si>
    <t xml:space="preserve">JDR Job Totals: Revenue $1,811,843.00 / Expenses $925,434.96 / Net $886,408.04 / Retainage $90,592.15</t>
  </si>
  <si>
    <t xml:space="preserve">JDR Source breakdown: GL $48,153.01 · AP $299,677.23 · PR $577,604.72 · AR $1,811,843.00</t>
  </si>
  <si>
    <t xml:space="preserve">Billing: MGB AGGREGATE BILLING.xlsx (16 billings + retainage release row, ties to JDR) — aggregate billings tie perfectly to JDR revenue and retainage</t>
  </si>
  <si>
    <t xml:space="preserve">COR Summary: Change Orders/COR_s/Ballard MG - Outstanding COR_s.xlsx — 17 CORs with $ pricing + CO# assignments (priced sum $54,663.00 vs JDR-implied $48,363.00)</t>
  </si>
  <si>
    <t xml:space="preserve">Budget Transfers: Change Orders/BUDGET TRANSFERS/ XLSX for CO#1-4, 6-8 (labor/burden/material line items)</t>
  </si>
  <si>
    <t xml:space="preserve">ASI-RFI: 52 PDFs (ASI-007/010/014/016/024/025/026/033/039/039-R1/045 + RFIs)</t>
  </si>
  <si>
    <t xml:space="preserve">Submittals: 80+ across 6 category subfolders</t>
  </si>
  <si>
    <t xml:space="preserve">Permits: 8 permits (plumbing, plumbing-renewed, backflow, backflow-renewed, gas, boiler x2, application)</t>
  </si>
  <si>
    <t xml:space="preserve">POs: 138+ total (102 completed / 0 placed / 36 scheduled) + Trim PO_s subfolder</t>
  </si>
  <si>
    <t xml:space="preserve">Closeout: O&amp;M_s, lien waivers, Insurance, Zoeller Startup, Uponor Warranty, OWP warranty doc</t>
  </si>
  <si>
    <t xml:space="preserve">Unresolved: (a) $90,592 retainage outstanding 9+ years; (b) $20.6K condensation-drain labor (code 143) unbudgeted and not CO'd; (c) COR total overshoots JDR delta by ~$6.3K (likely repricings/WSST)</t>
  </si>
  <si>
    <t xml:space="preserve">TIES = within $1  ·  WITHIN = within 5%  ·  NEAR = within 15%  ·  OFF = investigate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</si>
</sst>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#,##0.00"/>
    <numFmt numFmtId="167" formatCode="\$#,##0.00;[RED]&quot;-$&quot;#,##0.00"/>
    <numFmt numFmtId="168" formatCode="0.0%"/>
    <numFmt numFmtId="169" formatCode="#,##0"/>
    <numFmt numFmtId="170" formatCode="0.00\x"/>
    <numFmt numFmtId="171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9C000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F2F2F2"/>
      </patternFill>
    </fill>
    <fill>
      <patternFill patternType="solid">
        <fgColor rgb="FFFFC7CE"/>
        <bgColor rgb="FFFFE6E6"/>
      </patternFill>
    </fill>
    <fill>
      <patternFill patternType="solid">
        <fgColor rgb="FFFFF2CC"/>
        <bgColor rgb="FFFFE6E6"/>
      </patternFill>
    </fill>
    <fill>
      <patternFill patternType="solid">
        <fgColor rgb="FFFFE6E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E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7" min="6" style="0" width="18"/>
    <col collapsed="false" customWidth="true" hidden="false" outlineLevel="0" max="10" min="8" style="0" width="14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5" t="s">
        <v>4</v>
      </c>
      <c r="D6" s="5"/>
      <c r="E6" s="5"/>
      <c r="F6" s="6" t="s">
        <v>5</v>
      </c>
      <c r="G6" s="6"/>
      <c r="H6" s="6"/>
      <c r="I6" s="6"/>
      <c r="J6" s="6"/>
    </row>
    <row r="7" customFormat="false" ht="15" hidden="false" customHeight="true" outlineLevel="0" collapsed="false">
      <c r="B7" s="4" t="s">
        <v>6</v>
      </c>
      <c r="C7" s="5" t="s">
        <v>7</v>
      </c>
      <c r="D7" s="5"/>
      <c r="E7" s="5"/>
      <c r="F7" s="6" t="s">
        <v>5</v>
      </c>
      <c r="G7" s="6"/>
      <c r="H7" s="6"/>
      <c r="I7" s="6"/>
      <c r="J7" s="6"/>
    </row>
    <row r="8" customFormat="false" ht="23.85" hidden="false" customHeight="true" outlineLevel="0" collapsed="false">
      <c r="B8" s="4" t="s">
        <v>8</v>
      </c>
      <c r="C8" s="5" t="s">
        <v>9</v>
      </c>
      <c r="D8" s="5"/>
      <c r="E8" s="5"/>
      <c r="F8" s="6" t="s">
        <v>10</v>
      </c>
      <c r="G8" s="6"/>
      <c r="H8" s="6"/>
      <c r="I8" s="6"/>
      <c r="J8" s="6"/>
    </row>
    <row r="9" customFormat="false" ht="19.4" hidden="false" customHeight="true" outlineLevel="0" collapsed="false">
      <c r="B9" s="4" t="s">
        <v>11</v>
      </c>
      <c r="C9" s="5" t="s">
        <v>12</v>
      </c>
      <c r="D9" s="5"/>
      <c r="E9" s="5"/>
      <c r="F9" s="6" t="s">
        <v>13</v>
      </c>
      <c r="G9" s="6"/>
      <c r="H9" s="6"/>
      <c r="I9" s="6"/>
      <c r="J9" s="6"/>
    </row>
    <row r="10" customFormat="false" ht="15" hidden="false" customHeight="true" outlineLevel="0" collapsed="false">
      <c r="B10" s="4" t="s">
        <v>14</v>
      </c>
      <c r="C10" s="5" t="s">
        <v>15</v>
      </c>
      <c r="D10" s="5"/>
      <c r="E10" s="5"/>
      <c r="F10" s="6" t="s">
        <v>16</v>
      </c>
      <c r="G10" s="6"/>
      <c r="H10" s="6"/>
      <c r="I10" s="6"/>
      <c r="J10" s="6"/>
    </row>
    <row r="11" customFormat="false" ht="19.4" hidden="false" customHeight="true" outlineLevel="0" collapsed="false">
      <c r="B11" s="4" t="s">
        <v>17</v>
      </c>
      <c r="C11" s="5" t="s">
        <v>18</v>
      </c>
      <c r="D11" s="5"/>
      <c r="E11" s="5"/>
      <c r="F11" s="6" t="s">
        <v>19</v>
      </c>
      <c r="G11" s="6"/>
      <c r="H11" s="6"/>
      <c r="I11" s="6"/>
      <c r="J11" s="6"/>
    </row>
    <row r="12" customFormat="false" ht="15" hidden="false" customHeight="true" outlineLevel="0" collapsed="false">
      <c r="B12" s="4" t="s">
        <v>20</v>
      </c>
      <c r="C12" s="5" t="s">
        <v>21</v>
      </c>
      <c r="D12" s="5"/>
      <c r="E12" s="5"/>
      <c r="F12" s="6" t="s">
        <v>22</v>
      </c>
      <c r="G12" s="6"/>
      <c r="H12" s="6"/>
      <c r="I12" s="6"/>
      <c r="J12" s="6"/>
    </row>
    <row r="13" customFormat="false" ht="19.4" hidden="false" customHeight="true" outlineLevel="0" collapsed="false">
      <c r="B13" s="4" t="s">
        <v>23</v>
      </c>
      <c r="C13" s="5" t="s">
        <v>24</v>
      </c>
      <c r="D13" s="5"/>
      <c r="E13" s="5"/>
      <c r="F13" s="6" t="s">
        <v>13</v>
      </c>
      <c r="G13" s="6"/>
      <c r="H13" s="6"/>
      <c r="I13" s="6"/>
      <c r="J13" s="6"/>
    </row>
    <row r="14" customFormat="false" ht="23.85" hidden="false" customHeight="true" outlineLevel="0" collapsed="false">
      <c r="B14" s="4" t="s">
        <v>25</v>
      </c>
      <c r="C14" s="5" t="s">
        <v>13</v>
      </c>
      <c r="D14" s="5"/>
      <c r="E14" s="5"/>
      <c r="F14" s="6" t="s">
        <v>26</v>
      </c>
      <c r="G14" s="6"/>
      <c r="H14" s="6"/>
      <c r="I14" s="6"/>
      <c r="J14" s="6"/>
    </row>
    <row r="15" customFormat="false" ht="23.85" hidden="false" customHeight="true" outlineLevel="0" collapsed="false">
      <c r="B15" s="4" t="s">
        <v>27</v>
      </c>
      <c r="C15" s="5" t="s">
        <v>28</v>
      </c>
      <c r="D15" s="5"/>
      <c r="E15" s="5"/>
      <c r="F15" s="6" t="s">
        <v>29</v>
      </c>
      <c r="G15" s="6"/>
      <c r="H15" s="6"/>
      <c r="I15" s="6"/>
      <c r="J15" s="6"/>
    </row>
    <row r="16" customFormat="false" ht="23.85" hidden="false" customHeight="true" outlineLevel="0" collapsed="false">
      <c r="B16" s="4" t="s">
        <v>30</v>
      </c>
      <c r="C16" s="5" t="s">
        <v>31</v>
      </c>
      <c r="D16" s="5"/>
      <c r="E16" s="5"/>
      <c r="F16" s="6" t="s">
        <v>32</v>
      </c>
      <c r="G16" s="6"/>
      <c r="H16" s="6"/>
      <c r="I16" s="6"/>
      <c r="J16" s="6"/>
    </row>
    <row r="17" customFormat="false" ht="23.85" hidden="false" customHeight="true" outlineLevel="0" collapsed="false">
      <c r="B17" s="4" t="s">
        <v>33</v>
      </c>
      <c r="C17" s="5" t="s">
        <v>34</v>
      </c>
      <c r="D17" s="5"/>
      <c r="E17" s="5"/>
      <c r="F17" s="6" t="s">
        <v>35</v>
      </c>
      <c r="G17" s="6"/>
      <c r="H17" s="6"/>
      <c r="I17" s="6"/>
      <c r="J17" s="6"/>
    </row>
    <row r="18" customFormat="false" ht="19.4" hidden="false" customHeight="true" outlineLevel="0" collapsed="false">
      <c r="B18" s="4" t="s">
        <v>36</v>
      </c>
      <c r="C18" s="5" t="s">
        <v>37</v>
      </c>
      <c r="D18" s="5"/>
      <c r="E18" s="5"/>
      <c r="F18" s="6" t="s">
        <v>13</v>
      </c>
      <c r="G18" s="6"/>
      <c r="H18" s="6"/>
      <c r="I18" s="6"/>
      <c r="J18" s="6"/>
    </row>
    <row r="19" customFormat="false" ht="15" hidden="false" customHeight="true" outlineLevel="0" collapsed="false">
      <c r="B19" s="4" t="s">
        <v>38</v>
      </c>
      <c r="C19" s="5" t="s">
        <v>39</v>
      </c>
      <c r="D19" s="5"/>
      <c r="E19" s="5"/>
      <c r="F19" s="6" t="s">
        <v>16</v>
      </c>
      <c r="G19" s="6"/>
      <c r="H19" s="6"/>
      <c r="I19" s="6"/>
      <c r="J19" s="6"/>
    </row>
    <row r="20" customFormat="false" ht="23.85" hidden="false" customHeight="true" outlineLevel="0" collapsed="false">
      <c r="B20" s="4" t="s">
        <v>40</v>
      </c>
      <c r="C20" s="5" t="s">
        <v>41</v>
      </c>
      <c r="D20" s="5"/>
      <c r="E20" s="5"/>
      <c r="F20" s="6" t="s">
        <v>42</v>
      </c>
      <c r="G20" s="6"/>
      <c r="H20" s="6"/>
      <c r="I20" s="6"/>
      <c r="J20" s="6"/>
    </row>
    <row r="22" customFormat="false" ht="15" hidden="false" customHeight="false" outlineLevel="0" collapsed="false">
      <c r="B22" s="3" t="s">
        <v>43</v>
      </c>
      <c r="D22" s="3" t="s">
        <v>44</v>
      </c>
      <c r="F22" s="3" t="s">
        <v>45</v>
      </c>
      <c r="H22" s="3" t="s">
        <v>46</v>
      </c>
    </row>
    <row r="23" customFormat="false" ht="15" hidden="false" customHeight="false" outlineLevel="0" collapsed="false">
      <c r="B23" s="7" t="n">
        <v>1811843</v>
      </c>
      <c r="D23" s="7" t="n">
        <v>886408.04</v>
      </c>
      <c r="F23" s="7" t="n">
        <v>925434.96</v>
      </c>
      <c r="H23" s="8" t="n">
        <v>17098</v>
      </c>
    </row>
    <row r="24" customFormat="false" ht="15" hidden="false" customHeight="false" outlineLevel="0" collapsed="false">
      <c r="B24" s="9" t="s">
        <v>47</v>
      </c>
      <c r="D24" s="9" t="s">
        <v>48</v>
      </c>
      <c r="F24" s="9" t="s">
        <v>49</v>
      </c>
      <c r="H24" s="9" t="s">
        <v>50</v>
      </c>
    </row>
    <row r="27" customFormat="false" ht="15" hidden="false" customHeight="false" outlineLevel="0" collapsed="false">
      <c r="B27" s="3" t="s">
        <v>51</v>
      </c>
    </row>
    <row r="28" customFormat="false" ht="15" hidden="false" customHeight="true" outlineLevel="0" collapsed="false">
      <c r="B28" s="5" t="s">
        <v>52</v>
      </c>
      <c r="C28" s="5"/>
      <c r="D28" s="5"/>
      <c r="E28" s="5"/>
      <c r="F28" s="5"/>
      <c r="G28" s="5"/>
      <c r="H28" s="5"/>
      <c r="I28" s="5"/>
      <c r="J28" s="5"/>
    </row>
    <row r="29" customFormat="false" ht="15" hidden="false" customHeight="true" outlineLevel="0" collapsed="false">
      <c r="B29" s="5" t="s">
        <v>53</v>
      </c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true" outlineLevel="0" collapsed="false">
      <c r="B30" s="5" t="s">
        <v>54</v>
      </c>
      <c r="C30" s="5"/>
      <c r="D30" s="5"/>
      <c r="E30" s="5"/>
      <c r="F30" s="5"/>
      <c r="G30" s="5"/>
      <c r="H30" s="5"/>
      <c r="I30" s="5"/>
      <c r="J30" s="5"/>
    </row>
    <row r="31" customFormat="false" ht="23.85" hidden="false" customHeight="true" outlineLevel="0" collapsed="false">
      <c r="B31" s="5" t="s">
        <v>55</v>
      </c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true" outlineLevel="0" collapsed="false">
      <c r="B32" s="5" t="s">
        <v>56</v>
      </c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true" outlineLevel="0" collapsed="false">
      <c r="B33" s="5" t="s">
        <v>57</v>
      </c>
      <c r="C33" s="5"/>
      <c r="D33" s="5"/>
      <c r="E33" s="5"/>
      <c r="F33" s="5"/>
      <c r="G33" s="5"/>
      <c r="H33" s="5"/>
      <c r="I33" s="5"/>
      <c r="J33" s="5"/>
    </row>
    <row r="36" customFormat="false" ht="15" hidden="false" customHeight="false" outlineLevel="0" collapsed="false">
      <c r="B36" s="10" t="s">
        <v>58</v>
      </c>
      <c r="C36" s="10"/>
      <c r="D36" s="10"/>
      <c r="E36" s="10"/>
      <c r="F36" s="10"/>
      <c r="G36" s="10"/>
      <c r="H36" s="10"/>
      <c r="I36" s="10"/>
      <c r="J36" s="10"/>
    </row>
    <row r="37" customFormat="false" ht="15" hidden="false" customHeight="true" outlineLevel="0" collapsed="false">
      <c r="B37" s="6" t="s">
        <v>59</v>
      </c>
      <c r="C37" s="6"/>
      <c r="D37" s="6"/>
      <c r="E37" s="6"/>
      <c r="F37" s="6"/>
      <c r="G37" s="6"/>
      <c r="H37" s="6"/>
      <c r="I37" s="6"/>
      <c r="J37" s="6"/>
    </row>
    <row r="38" customFormat="false" ht="15" hidden="false" customHeight="true" outlineLevel="0" collapsed="false">
      <c r="B38" s="6" t="s">
        <v>60</v>
      </c>
      <c r="C38" s="6"/>
      <c r="D38" s="6"/>
      <c r="E38" s="6"/>
      <c r="F38" s="6"/>
      <c r="G38" s="6"/>
      <c r="H38" s="6"/>
      <c r="I38" s="6"/>
      <c r="J38" s="6"/>
    </row>
    <row r="39" customFormat="false" ht="15" hidden="false" customHeight="true" outlineLevel="0" collapsed="false">
      <c r="B39" s="6" t="s">
        <v>61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true" outlineLevel="0" collapsed="false">
      <c r="B40" s="6" t="s">
        <v>62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true" outlineLevel="0" collapsed="false">
      <c r="B41" s="6" t="s">
        <v>63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true" outlineLevel="0" collapsed="false">
      <c r="B42" s="6" t="s">
        <v>64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true" outlineLevel="0" collapsed="false">
      <c r="B43" s="6" t="s">
        <v>65</v>
      </c>
      <c r="C43" s="6"/>
      <c r="D43" s="6"/>
      <c r="E43" s="6"/>
      <c r="F43" s="6"/>
      <c r="G43" s="6"/>
      <c r="H43" s="6"/>
      <c r="I43" s="6"/>
      <c r="J43" s="6"/>
    </row>
    <row r="44" customFormat="false" ht="15" hidden="false" customHeight="true" outlineLevel="0" collapsed="false">
      <c r="B44" s="6" t="s">
        <v>66</v>
      </c>
      <c r="C44" s="6"/>
      <c r="D44" s="6"/>
      <c r="E44" s="6"/>
      <c r="F44" s="6"/>
      <c r="G44" s="6"/>
      <c r="H44" s="6"/>
      <c r="I44" s="6"/>
      <c r="J44" s="6"/>
    </row>
    <row r="45" customFormat="false" ht="15" hidden="false" customHeight="true" outlineLevel="0" collapsed="false">
      <c r="B45" s="6" t="s">
        <v>67</v>
      </c>
      <c r="C45" s="6"/>
      <c r="D45" s="6"/>
      <c r="E45" s="6"/>
      <c r="F45" s="6"/>
      <c r="G45" s="6"/>
      <c r="H45" s="6"/>
      <c r="I45" s="6"/>
      <c r="J45" s="6"/>
    </row>
    <row r="46" customFormat="false" ht="15" hidden="false" customHeight="true" outlineLevel="0" collapsed="false">
      <c r="B46" s="6" t="s">
        <v>68</v>
      </c>
      <c r="C46" s="6"/>
      <c r="D46" s="6"/>
      <c r="E46" s="6"/>
      <c r="F46" s="6"/>
      <c r="G46" s="6"/>
      <c r="H46" s="6"/>
      <c r="I46" s="6"/>
      <c r="J46" s="6"/>
    </row>
    <row r="47" customFormat="false" ht="15" hidden="false" customHeight="true" outlineLevel="0" collapsed="false">
      <c r="B47" s="6" t="s">
        <v>69</v>
      </c>
      <c r="C47" s="6"/>
      <c r="D47" s="6"/>
      <c r="E47" s="6"/>
      <c r="F47" s="6"/>
      <c r="G47" s="6"/>
      <c r="H47" s="6"/>
      <c r="I47" s="6"/>
      <c r="J47" s="6"/>
    </row>
    <row r="48" customFormat="false" ht="15" hidden="false" customHeight="true" outlineLevel="0" collapsed="false">
      <c r="B48" s="6" t="s">
        <v>70</v>
      </c>
      <c r="C48" s="6"/>
      <c r="D48" s="6"/>
      <c r="E48" s="6"/>
      <c r="F48" s="6"/>
      <c r="G48" s="6"/>
      <c r="H48" s="6"/>
      <c r="I48" s="6"/>
      <c r="J48" s="6"/>
    </row>
    <row r="49" customFormat="false" ht="15" hidden="false" customHeight="true" outlineLevel="0" collapsed="false">
      <c r="B49" s="6" t="s">
        <v>71</v>
      </c>
      <c r="C49" s="6"/>
      <c r="D49" s="6"/>
      <c r="E49" s="6"/>
      <c r="F49" s="6"/>
      <c r="G49" s="6"/>
      <c r="H49" s="6"/>
      <c r="I49" s="6"/>
      <c r="J49" s="6"/>
    </row>
  </sheetData>
  <mergeCells count="51">
    <mergeCell ref="B2:J2"/>
    <mergeCell ref="B3:J3"/>
    <mergeCell ref="C6:E6"/>
    <mergeCell ref="F6:J6"/>
    <mergeCell ref="C7:E7"/>
    <mergeCell ref="F7:J7"/>
    <mergeCell ref="C8:E8"/>
    <mergeCell ref="F8:J8"/>
    <mergeCell ref="C9:E9"/>
    <mergeCell ref="F9:J9"/>
    <mergeCell ref="C10:E10"/>
    <mergeCell ref="F10:J10"/>
    <mergeCell ref="C11:E11"/>
    <mergeCell ref="F11:J11"/>
    <mergeCell ref="C12:E12"/>
    <mergeCell ref="F12:J12"/>
    <mergeCell ref="C13:E13"/>
    <mergeCell ref="F13:J13"/>
    <mergeCell ref="C14:E14"/>
    <mergeCell ref="F14:J14"/>
    <mergeCell ref="C15:E15"/>
    <mergeCell ref="F15:J15"/>
    <mergeCell ref="C16:E16"/>
    <mergeCell ref="F16:J16"/>
    <mergeCell ref="C17:E17"/>
    <mergeCell ref="F17:J17"/>
    <mergeCell ref="C18:E18"/>
    <mergeCell ref="F18:J18"/>
    <mergeCell ref="C19:E19"/>
    <mergeCell ref="F19:J19"/>
    <mergeCell ref="C20:E20"/>
    <mergeCell ref="F20:J20"/>
    <mergeCell ref="B28:J28"/>
    <mergeCell ref="B29:J29"/>
    <mergeCell ref="B30:J30"/>
    <mergeCell ref="B31:J31"/>
    <mergeCell ref="B32:J32"/>
    <mergeCell ref="B33:J33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7" min="4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40"/>
  </cols>
  <sheetData>
    <row r="2" customFormat="false" ht="27.75" hidden="false" customHeight="true" outlineLevel="0" collapsed="false">
      <c r="B2" s="1" t="s">
        <v>72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73</v>
      </c>
      <c r="C3" s="2"/>
      <c r="D3" s="2"/>
      <c r="E3" s="2"/>
      <c r="F3" s="2"/>
      <c r="G3" s="2"/>
      <c r="H3" s="2"/>
      <c r="I3" s="2"/>
      <c r="J3" s="2"/>
    </row>
    <row r="5" customFormat="false" ht="23.85" hidden="false" customHeight="false" outlineLevel="0" collapsed="false">
      <c r="B5" s="11" t="s">
        <v>74</v>
      </c>
      <c r="C5" s="11" t="s">
        <v>75</v>
      </c>
      <c r="D5" s="11" t="s">
        <v>76</v>
      </c>
      <c r="E5" s="11" t="s">
        <v>77</v>
      </c>
      <c r="F5" s="11" t="s">
        <v>78</v>
      </c>
      <c r="G5" s="11" t="s">
        <v>79</v>
      </c>
      <c r="H5" s="11" t="s">
        <v>80</v>
      </c>
      <c r="I5" s="11" t="s">
        <v>81</v>
      </c>
      <c r="J5" s="11" t="s">
        <v>82</v>
      </c>
    </row>
    <row r="6" customFormat="false" ht="19.4" hidden="false" customHeight="false" outlineLevel="0" collapsed="false">
      <c r="B6" s="12" t="s">
        <v>83</v>
      </c>
      <c r="C6" s="5" t="s">
        <v>84</v>
      </c>
      <c r="D6" s="13" t="n">
        <v>14000</v>
      </c>
      <c r="E6" s="13" t="n">
        <v>14800</v>
      </c>
      <c r="F6" s="13" t="n">
        <v>12228.5</v>
      </c>
      <c r="G6" s="13" t="n">
        <f aca="false">F6-E6</f>
        <v>-2571.5</v>
      </c>
      <c r="H6" s="14" t="n">
        <f aca="false">IF(E6=0,"",F6/E6)</f>
        <v>0.82625</v>
      </c>
      <c r="I6" s="15" t="n">
        <v>295</v>
      </c>
      <c r="J6" s="6" t="s">
        <v>16</v>
      </c>
    </row>
    <row r="7" customFormat="false" ht="19.4" hidden="false" customHeight="false" outlineLevel="0" collapsed="false">
      <c r="B7" s="12" t="s">
        <v>85</v>
      </c>
      <c r="C7" s="5" t="s">
        <v>86</v>
      </c>
      <c r="D7" s="13" t="n">
        <v>20800</v>
      </c>
      <c r="E7" s="13" t="n">
        <v>21407</v>
      </c>
      <c r="F7" s="13" t="n">
        <v>20381.5</v>
      </c>
      <c r="G7" s="13" t="n">
        <f aca="false">F7-E7</f>
        <v>-1025.5</v>
      </c>
      <c r="H7" s="14" t="n">
        <f aca="false">IF(E7=0,"",F7/E7)</f>
        <v>0.95209510907647</v>
      </c>
      <c r="I7" s="15" t="n">
        <v>471.5</v>
      </c>
      <c r="J7" s="6" t="s">
        <v>16</v>
      </c>
    </row>
    <row r="8" customFormat="false" ht="19.4" hidden="false" customHeight="false" outlineLevel="0" collapsed="false">
      <c r="B8" s="12" t="s">
        <v>87</v>
      </c>
      <c r="C8" s="5" t="s">
        <v>88</v>
      </c>
      <c r="D8" s="13" t="n">
        <v>13300</v>
      </c>
      <c r="E8" s="13" t="n">
        <v>13300</v>
      </c>
      <c r="F8" s="13" t="n">
        <v>7558</v>
      </c>
      <c r="G8" s="13" t="n">
        <f aca="false">F8-E8</f>
        <v>-5742</v>
      </c>
      <c r="H8" s="14" t="n">
        <f aca="false">IF(E8=0,"",F8/E8)</f>
        <v>0.568270676691729</v>
      </c>
      <c r="I8" s="15" t="n">
        <v>297</v>
      </c>
      <c r="J8" s="6" t="s">
        <v>16</v>
      </c>
    </row>
    <row r="9" customFormat="false" ht="19.4" hidden="false" customHeight="false" outlineLevel="0" collapsed="false">
      <c r="B9" s="12" t="s">
        <v>89</v>
      </c>
      <c r="C9" s="5" t="s">
        <v>90</v>
      </c>
      <c r="D9" s="13" t="n">
        <v>85500</v>
      </c>
      <c r="E9" s="13" t="n">
        <v>91072</v>
      </c>
      <c r="F9" s="13" t="n">
        <v>66691</v>
      </c>
      <c r="G9" s="13" t="n">
        <f aca="false">F9-E9</f>
        <v>-24381</v>
      </c>
      <c r="H9" s="14" t="n">
        <f aca="false">IF(E9=0,"",F9/E9)</f>
        <v>0.732288738580464</v>
      </c>
      <c r="I9" s="15" t="n">
        <v>2754</v>
      </c>
      <c r="J9" s="6" t="s">
        <v>16</v>
      </c>
    </row>
    <row r="10" customFormat="false" ht="19.4" hidden="false" customHeight="false" outlineLevel="0" collapsed="false">
      <c r="B10" s="12" t="s">
        <v>91</v>
      </c>
      <c r="C10" s="5" t="s">
        <v>92</v>
      </c>
      <c r="D10" s="13" t="n">
        <v>9400</v>
      </c>
      <c r="E10" s="13" t="n">
        <v>9400</v>
      </c>
      <c r="F10" s="13" t="n">
        <v>5878.5</v>
      </c>
      <c r="G10" s="13" t="n">
        <f aca="false">F10-E10</f>
        <v>-3521.5</v>
      </c>
      <c r="H10" s="14" t="n">
        <f aca="false">IF(E10=0,"",F10/E10)</f>
        <v>0.625372340425532</v>
      </c>
      <c r="I10" s="15" t="n">
        <v>231</v>
      </c>
      <c r="J10" s="6" t="s">
        <v>16</v>
      </c>
    </row>
    <row r="11" customFormat="false" ht="19.4" hidden="false" customHeight="false" outlineLevel="0" collapsed="false">
      <c r="B11" s="12" t="s">
        <v>93</v>
      </c>
      <c r="C11" s="5" t="s">
        <v>94</v>
      </c>
      <c r="D11" s="13" t="n">
        <v>183700</v>
      </c>
      <c r="E11" s="13" t="n">
        <v>190647</v>
      </c>
      <c r="F11" s="13" t="n">
        <v>164177</v>
      </c>
      <c r="G11" s="13" t="n">
        <f aca="false">F11-E11</f>
        <v>-26470</v>
      </c>
      <c r="H11" s="14" t="n">
        <f aca="false">IF(E11=0,"",F11/E11)</f>
        <v>0.861157007453566</v>
      </c>
      <c r="I11" s="15" t="n">
        <v>8731</v>
      </c>
      <c r="J11" s="6" t="s">
        <v>16</v>
      </c>
    </row>
    <row r="12" customFormat="false" ht="19.4" hidden="false" customHeight="false" outlineLevel="0" collapsed="false">
      <c r="B12" s="12" t="s">
        <v>95</v>
      </c>
      <c r="C12" s="5" t="s">
        <v>96</v>
      </c>
      <c r="D12" s="13" t="n">
        <v>29900</v>
      </c>
      <c r="E12" s="13" t="n">
        <v>31289</v>
      </c>
      <c r="F12" s="13" t="n">
        <v>28250.5</v>
      </c>
      <c r="G12" s="13" t="n">
        <f aca="false">F12-E12</f>
        <v>-3038.5</v>
      </c>
      <c r="H12" s="14" t="n">
        <f aca="false">IF(E12=0,"",F12/E12)</f>
        <v>0.902889194285532</v>
      </c>
      <c r="I12" s="15" t="n">
        <v>1150.5</v>
      </c>
      <c r="J12" s="6" t="s">
        <v>16</v>
      </c>
    </row>
    <row r="13" customFormat="false" ht="19.4" hidden="false" customHeight="false" outlineLevel="0" collapsed="false">
      <c r="B13" s="12" t="s">
        <v>97</v>
      </c>
      <c r="C13" s="5" t="s">
        <v>98</v>
      </c>
      <c r="D13" s="13" t="n">
        <v>8700</v>
      </c>
      <c r="E13" s="13" t="n">
        <v>8700</v>
      </c>
      <c r="F13" s="13" t="n">
        <v>9547</v>
      </c>
      <c r="G13" s="13" t="n">
        <f aca="false">F13-E13</f>
        <v>847</v>
      </c>
      <c r="H13" s="14" t="n">
        <f aca="false">IF(E13=0,"",F13/E13)</f>
        <v>1.09735632183908</v>
      </c>
      <c r="I13" s="15" t="n">
        <v>406.5</v>
      </c>
      <c r="J13" s="6" t="s">
        <v>16</v>
      </c>
    </row>
    <row r="14" customFormat="false" ht="19.4" hidden="false" customHeight="false" outlineLevel="0" collapsed="false">
      <c r="B14" s="12" t="s">
        <v>99</v>
      </c>
      <c r="C14" s="5" t="s">
        <v>100</v>
      </c>
      <c r="D14" s="13" t="n">
        <v>27000</v>
      </c>
      <c r="E14" s="13" t="n">
        <v>27000</v>
      </c>
      <c r="F14" s="13" t="n">
        <v>33366.5</v>
      </c>
      <c r="G14" s="13" t="n">
        <f aca="false">F14-E14</f>
        <v>6366.5</v>
      </c>
      <c r="H14" s="14" t="n">
        <f aca="false">IF(E14=0,"",F14/E14)</f>
        <v>1.2357962962963</v>
      </c>
      <c r="I14" s="15" t="n">
        <v>1554.5</v>
      </c>
      <c r="J14" s="6" t="s">
        <v>16</v>
      </c>
    </row>
    <row r="15" customFormat="false" ht="19.4" hidden="false" customHeight="false" outlineLevel="0" collapsed="false">
      <c r="B15" s="12" t="s">
        <v>101</v>
      </c>
      <c r="C15" s="5" t="s">
        <v>102</v>
      </c>
      <c r="D15" s="13" t="n">
        <v>7000</v>
      </c>
      <c r="E15" s="13" t="n">
        <v>7097</v>
      </c>
      <c r="F15" s="13" t="n">
        <v>10740.5</v>
      </c>
      <c r="G15" s="13" t="n">
        <f aca="false">F15-E15</f>
        <v>3643.5</v>
      </c>
      <c r="H15" s="14" t="n">
        <f aca="false">IF(E15=0,"",F15/E15)</f>
        <v>1.51338593772016</v>
      </c>
      <c r="I15" s="15" t="n">
        <v>343.5</v>
      </c>
      <c r="J15" s="6" t="s">
        <v>16</v>
      </c>
    </row>
    <row r="16" customFormat="false" ht="19.4" hidden="false" customHeight="false" outlineLevel="0" collapsed="false">
      <c r="B16" s="12" t="s">
        <v>103</v>
      </c>
      <c r="C16" s="5" t="s">
        <v>104</v>
      </c>
      <c r="D16" s="13" t="n">
        <v>0</v>
      </c>
      <c r="E16" s="13" t="n">
        <v>46</v>
      </c>
      <c r="F16" s="13" t="n">
        <v>20595.5</v>
      </c>
      <c r="G16" s="13" t="n">
        <f aca="false">F16-E16</f>
        <v>20549.5</v>
      </c>
      <c r="H16" s="14" t="n">
        <f aca="false">IF(E16=0,"",F16/E16)</f>
        <v>447.728260869565</v>
      </c>
      <c r="I16" s="15" t="n">
        <v>854.5</v>
      </c>
      <c r="J16" s="6" t="s">
        <v>16</v>
      </c>
    </row>
    <row r="17" customFormat="false" ht="19.4" hidden="false" customHeight="false" outlineLevel="0" collapsed="false">
      <c r="B17" s="12" t="s">
        <v>105</v>
      </c>
      <c r="C17" s="5" t="s">
        <v>106</v>
      </c>
      <c r="D17" s="13" t="n">
        <v>0</v>
      </c>
      <c r="E17" s="13" t="n">
        <v>0</v>
      </c>
      <c r="F17" s="13" t="n">
        <v>343</v>
      </c>
      <c r="G17" s="13" t="n">
        <f aca="false">F17-E17</f>
        <v>343</v>
      </c>
      <c r="H17" s="14" t="str">
        <f aca="false">IF(E17=0,"",F17/E17)</f>
        <v/>
      </c>
      <c r="I17" s="15" t="n">
        <v>9</v>
      </c>
      <c r="J17" s="6" t="s">
        <v>16</v>
      </c>
    </row>
    <row r="18" customFormat="false" ht="19.4" hidden="false" customHeight="false" outlineLevel="0" collapsed="false">
      <c r="B18" s="12" t="s">
        <v>107</v>
      </c>
      <c r="C18" s="5" t="s">
        <v>108</v>
      </c>
      <c r="D18" s="13" t="n">
        <v>17800</v>
      </c>
      <c r="E18" s="13" t="n">
        <v>17800</v>
      </c>
      <c r="F18" s="13" t="n">
        <v>22920.93</v>
      </c>
      <c r="G18" s="13" t="n">
        <f aca="false">F18-E18</f>
        <v>5120.93</v>
      </c>
      <c r="H18" s="14" t="n">
        <f aca="false">IF(E18=0,"",F18/E18)</f>
        <v>1.28769269662921</v>
      </c>
      <c r="I18" s="15"/>
      <c r="J18" s="6" t="s">
        <v>16</v>
      </c>
    </row>
    <row r="19" customFormat="false" ht="19.4" hidden="false" customHeight="false" outlineLevel="0" collapsed="false">
      <c r="B19" s="12" t="s">
        <v>109</v>
      </c>
      <c r="C19" s="5" t="s">
        <v>110</v>
      </c>
      <c r="D19" s="13" t="n">
        <v>57600</v>
      </c>
      <c r="E19" s="13" t="n">
        <v>57951</v>
      </c>
      <c r="F19" s="13" t="n">
        <v>25579.57</v>
      </c>
      <c r="G19" s="13" t="n">
        <f aca="false">F19-E19</f>
        <v>-32371.43</v>
      </c>
      <c r="H19" s="14" t="n">
        <f aca="false">IF(E19=0,"",F19/E19)</f>
        <v>0.441399975841659</v>
      </c>
      <c r="I19" s="15"/>
      <c r="J19" s="6" t="s">
        <v>16</v>
      </c>
    </row>
    <row r="20" customFormat="false" ht="19.4" hidden="false" customHeight="false" outlineLevel="0" collapsed="false">
      <c r="B20" s="12" t="s">
        <v>111</v>
      </c>
      <c r="C20" s="5" t="s">
        <v>112</v>
      </c>
      <c r="D20" s="13" t="n">
        <v>14100</v>
      </c>
      <c r="E20" s="13" t="n">
        <v>14100</v>
      </c>
      <c r="F20" s="13" t="n">
        <v>8927.31</v>
      </c>
      <c r="G20" s="13" t="n">
        <f aca="false">F20-E20</f>
        <v>-5172.69</v>
      </c>
      <c r="H20" s="14" t="n">
        <f aca="false">IF(E20=0,"",F20/E20)</f>
        <v>0.633142553191489</v>
      </c>
      <c r="I20" s="15"/>
      <c r="J20" s="6" t="s">
        <v>16</v>
      </c>
    </row>
    <row r="21" customFormat="false" ht="19.4" hidden="false" customHeight="false" outlineLevel="0" collapsed="false">
      <c r="B21" s="12" t="s">
        <v>113</v>
      </c>
      <c r="C21" s="5" t="s">
        <v>114</v>
      </c>
      <c r="D21" s="13" t="n">
        <v>0</v>
      </c>
      <c r="E21" s="13" t="n">
        <v>0</v>
      </c>
      <c r="F21" s="13" t="n">
        <v>9.84</v>
      </c>
      <c r="G21" s="13" t="n">
        <f aca="false">F21-E21</f>
        <v>9.84</v>
      </c>
      <c r="H21" s="14" t="str">
        <f aca="false">IF(E21=0,"",F21/E21)</f>
        <v/>
      </c>
      <c r="I21" s="15"/>
      <c r="J21" s="6" t="s">
        <v>16</v>
      </c>
    </row>
    <row r="22" customFormat="false" ht="19.4" hidden="false" customHeight="false" outlineLevel="0" collapsed="false">
      <c r="B22" s="12" t="s">
        <v>115</v>
      </c>
      <c r="C22" s="5" t="s">
        <v>116</v>
      </c>
      <c r="D22" s="13" t="n">
        <v>122600</v>
      </c>
      <c r="E22" s="13" t="n">
        <v>124334</v>
      </c>
      <c r="F22" s="13" t="n">
        <v>75249.36</v>
      </c>
      <c r="G22" s="13" t="n">
        <f aca="false">F22-E22</f>
        <v>-49084.64</v>
      </c>
      <c r="H22" s="14" t="n">
        <f aca="false">IF(E22=0,"",F22/E22)</f>
        <v>0.605219489439735</v>
      </c>
      <c r="I22" s="15"/>
      <c r="J22" s="6" t="s">
        <v>16</v>
      </c>
    </row>
    <row r="23" customFormat="false" ht="19.4" hidden="false" customHeight="false" outlineLevel="0" collapsed="false">
      <c r="B23" s="12" t="s">
        <v>117</v>
      </c>
      <c r="C23" s="5" t="s">
        <v>118</v>
      </c>
      <c r="D23" s="13" t="n">
        <v>267000</v>
      </c>
      <c r="E23" s="13" t="n">
        <v>276405</v>
      </c>
      <c r="F23" s="13" t="n">
        <v>70943.89</v>
      </c>
      <c r="G23" s="13" t="n">
        <f aca="false">F23-E23</f>
        <v>-205461.11</v>
      </c>
      <c r="H23" s="14" t="n">
        <f aca="false">IF(E23=0,"",F23/E23)</f>
        <v>0.256666449593893</v>
      </c>
      <c r="I23" s="15"/>
      <c r="J23" s="6" t="s">
        <v>16</v>
      </c>
    </row>
    <row r="24" customFormat="false" ht="19.4" hidden="false" customHeight="false" outlineLevel="0" collapsed="false">
      <c r="B24" s="12" t="s">
        <v>119</v>
      </c>
      <c r="C24" s="5" t="s">
        <v>120</v>
      </c>
      <c r="D24" s="13" t="n">
        <v>7200</v>
      </c>
      <c r="E24" s="13" t="n">
        <v>7200</v>
      </c>
      <c r="F24" s="13" t="n">
        <v>4159.94</v>
      </c>
      <c r="G24" s="13" t="n">
        <f aca="false">F24-E24</f>
        <v>-3040.06</v>
      </c>
      <c r="H24" s="14" t="n">
        <f aca="false">IF(E24=0,"",F24/E24)</f>
        <v>0.577769444444444</v>
      </c>
      <c r="I24" s="15"/>
      <c r="J24" s="6" t="s">
        <v>16</v>
      </c>
    </row>
    <row r="25" customFormat="false" ht="19.4" hidden="false" customHeight="false" outlineLevel="0" collapsed="false">
      <c r="B25" s="12" t="s">
        <v>121</v>
      </c>
      <c r="C25" s="5" t="s">
        <v>122</v>
      </c>
      <c r="D25" s="13" t="n">
        <v>59400</v>
      </c>
      <c r="E25" s="13" t="n">
        <v>59400</v>
      </c>
      <c r="F25" s="13" t="n">
        <v>50657.33</v>
      </c>
      <c r="G25" s="13" t="n">
        <f aca="false">F25-E25</f>
        <v>-8742.67</v>
      </c>
      <c r="H25" s="14" t="n">
        <f aca="false">IF(E25=0,"",F25/E25)</f>
        <v>0.852817003367003</v>
      </c>
      <c r="I25" s="15"/>
      <c r="J25" s="6" t="s">
        <v>16</v>
      </c>
    </row>
    <row r="26" customFormat="false" ht="19.4" hidden="false" customHeight="false" outlineLevel="0" collapsed="false">
      <c r="B26" s="12" t="s">
        <v>123</v>
      </c>
      <c r="C26" s="5" t="s">
        <v>124</v>
      </c>
      <c r="D26" s="13" t="n">
        <v>29000</v>
      </c>
      <c r="E26" s="13" t="n">
        <v>30622</v>
      </c>
      <c r="F26" s="13" t="n">
        <v>76386.17</v>
      </c>
      <c r="G26" s="13" t="n">
        <f aca="false">F26-E26</f>
        <v>45764.17</v>
      </c>
      <c r="H26" s="14" t="n">
        <f aca="false">IF(E26=0,"",F26/E26)</f>
        <v>2.49448664358958</v>
      </c>
      <c r="I26" s="15"/>
      <c r="J26" s="6" t="s">
        <v>16</v>
      </c>
    </row>
    <row r="27" customFormat="false" ht="19.4" hidden="false" customHeight="false" outlineLevel="0" collapsed="false">
      <c r="B27" s="12" t="s">
        <v>125</v>
      </c>
      <c r="C27" s="5" t="s">
        <v>126</v>
      </c>
      <c r="D27" s="13" t="n">
        <v>0</v>
      </c>
      <c r="E27" s="13" t="n">
        <v>45</v>
      </c>
      <c r="F27" s="13" t="n">
        <v>1704</v>
      </c>
      <c r="G27" s="13" t="n">
        <f aca="false">F27-E27</f>
        <v>1659</v>
      </c>
      <c r="H27" s="14" t="n">
        <f aca="false">IF(E27=0,"",F27/E27)</f>
        <v>37.8666666666667</v>
      </c>
      <c r="I27" s="15"/>
      <c r="J27" s="6" t="s">
        <v>16</v>
      </c>
    </row>
    <row r="28" customFormat="false" ht="19.4" hidden="false" customHeight="false" outlineLevel="0" collapsed="false">
      <c r="B28" s="12" t="s">
        <v>127</v>
      </c>
      <c r="C28" s="5" t="s">
        <v>128</v>
      </c>
      <c r="D28" s="13" t="n">
        <v>1000</v>
      </c>
      <c r="E28" s="13" t="n">
        <v>1000</v>
      </c>
      <c r="F28" s="13" t="n">
        <v>1711</v>
      </c>
      <c r="G28" s="13" t="n">
        <f aca="false">F28-E28</f>
        <v>711</v>
      </c>
      <c r="H28" s="14" t="n">
        <f aca="false">IF(E28=0,"",F28/E28)</f>
        <v>1.711</v>
      </c>
      <c r="I28" s="15"/>
      <c r="J28" s="6" t="s">
        <v>16</v>
      </c>
    </row>
    <row r="29" customFormat="false" ht="19.4" hidden="false" customHeight="false" outlineLevel="0" collapsed="false">
      <c r="B29" s="12" t="s">
        <v>129</v>
      </c>
      <c r="C29" s="5" t="s">
        <v>130</v>
      </c>
      <c r="D29" s="13" t="n">
        <v>20000</v>
      </c>
      <c r="E29" s="13" t="n">
        <v>20000</v>
      </c>
      <c r="F29" s="13" t="n">
        <v>1218.23</v>
      </c>
      <c r="G29" s="13" t="n">
        <f aca="false">F29-E29</f>
        <v>-18781.77</v>
      </c>
      <c r="H29" s="14" t="n">
        <f aca="false">IF(E29=0,"",F29/E29)</f>
        <v>0.0609115</v>
      </c>
      <c r="I29" s="15"/>
      <c r="J29" s="6" t="s">
        <v>16</v>
      </c>
    </row>
    <row r="30" customFormat="false" ht="19.4" hidden="false" customHeight="false" outlineLevel="0" collapsed="false">
      <c r="B30" s="12" t="s">
        <v>131</v>
      </c>
      <c r="C30" s="5" t="s">
        <v>132</v>
      </c>
      <c r="D30" s="13" t="n">
        <v>5000</v>
      </c>
      <c r="E30" s="13" t="n">
        <v>5000</v>
      </c>
      <c r="F30" s="13" t="n">
        <v>2202.92</v>
      </c>
      <c r="G30" s="13" t="n">
        <f aca="false">F30-E30</f>
        <v>-2797.08</v>
      </c>
      <c r="H30" s="14" t="n">
        <f aca="false">IF(E30=0,"",F30/E30)</f>
        <v>0.440584</v>
      </c>
      <c r="I30" s="15"/>
      <c r="J30" s="6" t="s">
        <v>16</v>
      </c>
    </row>
    <row r="31" customFormat="false" ht="19.4" hidden="false" customHeight="false" outlineLevel="0" collapsed="false">
      <c r="B31" s="12" t="s">
        <v>133</v>
      </c>
      <c r="C31" s="5" t="s">
        <v>134</v>
      </c>
      <c r="D31" s="13" t="n">
        <v>11000</v>
      </c>
      <c r="E31" s="13" t="n">
        <v>11123</v>
      </c>
      <c r="F31" s="13" t="n">
        <v>7148</v>
      </c>
      <c r="G31" s="13" t="n">
        <f aca="false">F31-E31</f>
        <v>-3975</v>
      </c>
      <c r="H31" s="14" t="n">
        <f aca="false">IF(E31=0,"",F31/E31)</f>
        <v>0.642632383349816</v>
      </c>
      <c r="I31" s="15"/>
      <c r="J31" s="6" t="s">
        <v>16</v>
      </c>
    </row>
    <row r="32" customFormat="false" ht="19.4" hidden="false" customHeight="false" outlineLevel="0" collapsed="false">
      <c r="B32" s="12" t="s">
        <v>135</v>
      </c>
      <c r="C32" s="5" t="s">
        <v>136</v>
      </c>
      <c r="D32" s="13" t="n">
        <v>10000</v>
      </c>
      <c r="E32" s="13" t="n">
        <v>10000</v>
      </c>
      <c r="F32" s="13" t="n">
        <v>123.75</v>
      </c>
      <c r="G32" s="13" t="n">
        <f aca="false">F32-E32</f>
        <v>-9876.25</v>
      </c>
      <c r="H32" s="14" t="n">
        <f aca="false">IF(E32=0,"",F32/E32)</f>
        <v>0.012375</v>
      </c>
      <c r="I32" s="15"/>
      <c r="J32" s="6" t="s">
        <v>16</v>
      </c>
    </row>
    <row r="33" customFormat="false" ht="19.4" hidden="false" customHeight="false" outlineLevel="0" collapsed="false">
      <c r="B33" s="12" t="s">
        <v>137</v>
      </c>
      <c r="C33" s="5" t="s">
        <v>138</v>
      </c>
      <c r="D33" s="13" t="n">
        <v>173096.55</v>
      </c>
      <c r="E33" s="13" t="n">
        <v>180294</v>
      </c>
      <c r="F33" s="13" t="n">
        <v>167598.54</v>
      </c>
      <c r="G33" s="13" t="n">
        <f aca="false">F33-E33</f>
        <v>-12695.46</v>
      </c>
      <c r="H33" s="14" t="n">
        <f aca="false">IF(E33=0,"",F33/E33)</f>
        <v>0.929584678358681</v>
      </c>
      <c r="I33" s="15"/>
      <c r="J33" s="6" t="s">
        <v>16</v>
      </c>
    </row>
    <row r="34" customFormat="false" ht="19.4" hidden="false" customHeight="false" outlineLevel="0" collapsed="false">
      <c r="B34" s="12" t="s">
        <v>139</v>
      </c>
      <c r="C34" s="5" t="s">
        <v>140</v>
      </c>
      <c r="D34" s="13" t="n">
        <v>30546.45</v>
      </c>
      <c r="E34" s="13" t="n">
        <v>31729</v>
      </c>
      <c r="F34" s="13" t="n">
        <v>29136.68</v>
      </c>
      <c r="G34" s="13" t="n">
        <f aca="false">F34-E34</f>
        <v>-2592.32</v>
      </c>
      <c r="H34" s="14" t="n">
        <f aca="false">IF(E34=0,"",F34/E34)</f>
        <v>0.918298086923635</v>
      </c>
      <c r="I34" s="15"/>
      <c r="J34" s="6" t="s">
        <v>16</v>
      </c>
    </row>
    <row r="35" customFormat="false" ht="19.4" hidden="false" customHeight="false" outlineLevel="0" collapsed="false">
      <c r="B35" s="12" t="s">
        <v>141</v>
      </c>
      <c r="C35" s="5" t="s">
        <v>142</v>
      </c>
      <c r="D35" s="13" t="n">
        <v>-1763480</v>
      </c>
      <c r="E35" s="13" t="n">
        <v>-1811843</v>
      </c>
      <c r="F35" s="13" t="n">
        <v>-1811843</v>
      </c>
      <c r="G35" s="13" t="n">
        <f aca="false">F35-E35</f>
        <v>0</v>
      </c>
      <c r="H35" s="14" t="n">
        <f aca="false">IF(E35=0,"",F35/E35)</f>
        <v>1</v>
      </c>
      <c r="I35" s="15"/>
      <c r="J35" s="6" t="s">
        <v>16</v>
      </c>
    </row>
    <row r="36" customFormat="false" ht="15" hidden="false" customHeight="false" outlineLevel="0" collapsed="false">
      <c r="B36" s="16" t="s">
        <v>143</v>
      </c>
      <c r="D36" s="17" t="n">
        <f aca="false">SUM(D6:D35)</f>
        <v>-538837</v>
      </c>
      <c r="E36" s="17" t="n">
        <f aca="false">SUM(E6:E35)</f>
        <v>-550082</v>
      </c>
      <c r="F36" s="17" t="n">
        <f aca="false">SUM(F6:F35)</f>
        <v>-886408.04</v>
      </c>
      <c r="G36" s="17" t="n">
        <f aca="false">F36-E36</f>
        <v>-336326.04</v>
      </c>
      <c r="I36" s="8" t="n">
        <f aca="false">SUM(I6:I35)</f>
        <v>17098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6" min="4" style="0" width="18"/>
    <col collapsed="false" customWidth="true" hidden="false" outlineLevel="0" max="7" min="7" style="0" width="40"/>
  </cols>
  <sheetData>
    <row r="2" customFormat="false" ht="27.75" hidden="false" customHeight="true" outlineLevel="0" collapsed="false">
      <c r="B2" s="1" t="s">
        <v>144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145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146</v>
      </c>
      <c r="C5" s="11" t="s">
        <v>147</v>
      </c>
      <c r="D5" s="11" t="s">
        <v>148</v>
      </c>
      <c r="E5" s="11" t="s">
        <v>149</v>
      </c>
      <c r="F5" s="11" t="s">
        <v>150</v>
      </c>
      <c r="G5" s="11" t="s">
        <v>82</v>
      </c>
    </row>
    <row r="6" customFormat="false" ht="23.85" hidden="false" customHeight="false" outlineLevel="0" collapsed="false">
      <c r="B6" s="4" t="s">
        <v>151</v>
      </c>
      <c r="C6" s="12" t="s">
        <v>152</v>
      </c>
      <c r="D6" s="18" t="n">
        <v>379757.5</v>
      </c>
      <c r="E6" s="14" t="n">
        <f aca="false">D6/$D$11</f>
        <v>0.410355688313309</v>
      </c>
      <c r="F6" s="14" t="n">
        <f aca="false">D6/1811843</f>
        <v>0.20959735473769</v>
      </c>
      <c r="G6" s="6" t="s">
        <v>16</v>
      </c>
    </row>
    <row r="7" customFormat="false" ht="19.4" hidden="false" customHeight="false" outlineLevel="0" collapsed="false">
      <c r="B7" s="4" t="s">
        <v>153</v>
      </c>
      <c r="C7" s="12" t="s">
        <v>154</v>
      </c>
      <c r="D7" s="18" t="n">
        <v>336538.34</v>
      </c>
      <c r="E7" s="14" t="n">
        <f aca="false">D7/$D$11</f>
        <v>0.363654232383873</v>
      </c>
      <c r="F7" s="14" t="n">
        <f aca="false">D7/1811843</f>
        <v>0.185743654389481</v>
      </c>
      <c r="G7" s="6" t="s">
        <v>16</v>
      </c>
    </row>
    <row r="8" customFormat="false" ht="23.85" hidden="false" customHeight="false" outlineLevel="0" collapsed="false">
      <c r="B8" s="4" t="s">
        <v>155</v>
      </c>
      <c r="C8" s="12" t="s">
        <v>156</v>
      </c>
      <c r="D8" s="18" t="n">
        <v>12403.9</v>
      </c>
      <c r="E8" s="14" t="n">
        <f aca="false">D8/$D$11</f>
        <v>0.0134033190187671</v>
      </c>
      <c r="F8" s="14" t="n">
        <f aca="false">D8/1811843</f>
        <v>0.00684601259601411</v>
      </c>
      <c r="G8" s="6" t="s">
        <v>16</v>
      </c>
    </row>
    <row r="9" customFormat="false" ht="19.4" hidden="false" customHeight="false" outlineLevel="0" collapsed="false">
      <c r="B9" s="4" t="s">
        <v>138</v>
      </c>
      <c r="C9" s="12" t="s">
        <v>137</v>
      </c>
      <c r="D9" s="18" t="n">
        <v>167598.54</v>
      </c>
      <c r="E9" s="14" t="n">
        <f aca="false">D9/$D$11</f>
        <v>0.181102451543434</v>
      </c>
      <c r="F9" s="14" t="n">
        <f aca="false">D9/1811843</f>
        <v>0.0925016902678654</v>
      </c>
      <c r="G9" s="6" t="s">
        <v>16</v>
      </c>
    </row>
    <row r="10" customFormat="false" ht="19.4" hidden="false" customHeight="false" outlineLevel="0" collapsed="false">
      <c r="B10" s="4" t="s">
        <v>140</v>
      </c>
      <c r="C10" s="12" t="s">
        <v>139</v>
      </c>
      <c r="D10" s="18" t="n">
        <v>29136.68</v>
      </c>
      <c r="E10" s="14" t="n">
        <f aca="false">D10/$D$11</f>
        <v>0.0314843087406164</v>
      </c>
      <c r="F10" s="14" t="n">
        <f aca="false">D10/1811843</f>
        <v>0.0160812388269845</v>
      </c>
      <c r="G10" s="6" t="s">
        <v>16</v>
      </c>
    </row>
    <row r="11" customFormat="false" ht="15" hidden="false" customHeight="false" outlineLevel="0" collapsed="false">
      <c r="B11" s="16" t="s">
        <v>157</v>
      </c>
      <c r="D11" s="19" t="n">
        <f aca="false">SUM(D6:D10)</f>
        <v>925434.96</v>
      </c>
      <c r="E11" s="20" t="n">
        <v>1</v>
      </c>
      <c r="F11" s="20" t="n">
        <f aca="false">D11/1811843</f>
        <v>0.510769950818034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40"/>
  </cols>
  <sheetData>
    <row r="2" customFormat="false" ht="27.75" hidden="false" customHeight="true" outlineLevel="0" collapsed="false">
      <c r="B2" s="1" t="s">
        <v>158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159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160</v>
      </c>
      <c r="C5" s="11" t="s">
        <v>161</v>
      </c>
      <c r="D5" s="11" t="s">
        <v>162</v>
      </c>
      <c r="E5" s="11" t="s">
        <v>163</v>
      </c>
      <c r="F5" s="11" t="s">
        <v>164</v>
      </c>
      <c r="G5" s="11" t="s">
        <v>82</v>
      </c>
    </row>
    <row r="6" customFormat="false" ht="19.4" hidden="false" customHeight="false" outlineLevel="0" collapsed="false">
      <c r="B6" s="12" t="s">
        <v>165</v>
      </c>
      <c r="C6" s="5" t="s">
        <v>166</v>
      </c>
      <c r="D6" s="13" t="n">
        <v>102072.49</v>
      </c>
      <c r="E6" s="12" t="n">
        <v>99</v>
      </c>
      <c r="F6" s="12" t="s">
        <v>167</v>
      </c>
      <c r="G6" s="6" t="s">
        <v>16</v>
      </c>
    </row>
    <row r="7" customFormat="false" ht="19.4" hidden="false" customHeight="false" outlineLevel="0" collapsed="false">
      <c r="B7" s="12" t="s">
        <v>168</v>
      </c>
      <c r="C7" s="5" t="s">
        <v>169</v>
      </c>
      <c r="D7" s="13" t="n">
        <v>80438.14</v>
      </c>
      <c r="E7" s="12" t="n">
        <v>90</v>
      </c>
      <c r="F7" s="12" t="s">
        <v>167</v>
      </c>
      <c r="G7" s="6" t="s">
        <v>16</v>
      </c>
    </row>
    <row r="8" customFormat="false" ht="19.4" hidden="false" customHeight="false" outlineLevel="0" collapsed="false">
      <c r="B8" s="12" t="s">
        <v>170</v>
      </c>
      <c r="C8" s="5" t="s">
        <v>171</v>
      </c>
      <c r="D8" s="13" t="n">
        <v>37098.89</v>
      </c>
      <c r="E8" s="12" t="n">
        <v>6</v>
      </c>
      <c r="F8" s="12" t="s">
        <v>167</v>
      </c>
      <c r="G8" s="6" t="s">
        <v>16</v>
      </c>
    </row>
    <row r="9" customFormat="false" ht="19.4" hidden="false" customHeight="false" outlineLevel="0" collapsed="false">
      <c r="B9" s="12" t="s">
        <v>172</v>
      </c>
      <c r="C9" s="5" t="s">
        <v>173</v>
      </c>
      <c r="D9" s="13" t="n">
        <v>22824.24</v>
      </c>
      <c r="E9" s="12" t="n">
        <v>29</v>
      </c>
      <c r="F9" s="12" t="s">
        <v>167</v>
      </c>
      <c r="G9" s="6" t="s">
        <v>16</v>
      </c>
    </row>
    <row r="10" customFormat="false" ht="19.4" hidden="false" customHeight="false" outlineLevel="0" collapsed="false">
      <c r="B10" s="12" t="s">
        <v>174</v>
      </c>
      <c r="C10" s="5" t="s">
        <v>175</v>
      </c>
      <c r="D10" s="13" t="n">
        <v>21645.04</v>
      </c>
      <c r="E10" s="12" t="n">
        <v>9</v>
      </c>
      <c r="F10" s="12" t="s">
        <v>167</v>
      </c>
      <c r="G10" s="6" t="s">
        <v>16</v>
      </c>
    </row>
    <row r="11" customFormat="false" ht="19.4" hidden="false" customHeight="false" outlineLevel="0" collapsed="false">
      <c r="B11" s="12" t="s">
        <v>176</v>
      </c>
      <c r="C11" s="5" t="s">
        <v>177</v>
      </c>
      <c r="D11" s="13" t="n">
        <v>11655</v>
      </c>
      <c r="E11" s="12" t="n">
        <v>4</v>
      </c>
      <c r="F11" s="12" t="s">
        <v>178</v>
      </c>
      <c r="G11" s="6" t="s">
        <v>16</v>
      </c>
    </row>
    <row r="12" customFormat="false" ht="19.4" hidden="false" customHeight="false" outlineLevel="0" collapsed="false">
      <c r="B12" s="12" t="s">
        <v>179</v>
      </c>
      <c r="C12" s="5" t="s">
        <v>180</v>
      </c>
      <c r="D12" s="13" t="n">
        <v>7148</v>
      </c>
      <c r="E12" s="12" t="n">
        <v>9</v>
      </c>
      <c r="F12" s="12" t="s">
        <v>181</v>
      </c>
      <c r="G12" s="6" t="s">
        <v>16</v>
      </c>
    </row>
    <row r="13" customFormat="false" ht="19.4" hidden="false" customHeight="false" outlineLevel="0" collapsed="false">
      <c r="B13" s="12" t="s">
        <v>182</v>
      </c>
      <c r="C13" s="5" t="s">
        <v>183</v>
      </c>
      <c r="D13" s="13" t="n">
        <v>5234.3</v>
      </c>
      <c r="E13" s="12" t="n">
        <v>7</v>
      </c>
      <c r="F13" s="12" t="s">
        <v>167</v>
      </c>
      <c r="G13" s="6" t="s">
        <v>16</v>
      </c>
    </row>
    <row r="14" customFormat="false" ht="19.4" hidden="false" customHeight="false" outlineLevel="0" collapsed="false">
      <c r="B14" s="12" t="s">
        <v>184</v>
      </c>
      <c r="C14" s="5" t="s">
        <v>185</v>
      </c>
      <c r="D14" s="13" t="n">
        <v>3590.93</v>
      </c>
      <c r="E14" s="12" t="n">
        <v>1</v>
      </c>
      <c r="F14" s="12" t="s">
        <v>167</v>
      </c>
      <c r="G14" s="6" t="s">
        <v>16</v>
      </c>
    </row>
    <row r="15" customFormat="false" ht="19.4" hidden="false" customHeight="false" outlineLevel="0" collapsed="false">
      <c r="B15" s="12" t="s">
        <v>186</v>
      </c>
      <c r="C15" s="5" t="s">
        <v>187</v>
      </c>
      <c r="D15" s="13" t="n">
        <v>1948.38</v>
      </c>
      <c r="E15" s="12" t="n">
        <v>3</v>
      </c>
      <c r="F15" s="12" t="s">
        <v>188</v>
      </c>
      <c r="G15" s="6" t="s">
        <v>16</v>
      </c>
    </row>
    <row r="16" customFormat="false" ht="19.4" hidden="false" customHeight="false" outlineLevel="0" collapsed="false">
      <c r="B16" s="12" t="s">
        <v>189</v>
      </c>
      <c r="C16" s="5" t="s">
        <v>190</v>
      </c>
      <c r="D16" s="13" t="n">
        <v>1514</v>
      </c>
      <c r="E16" s="12" t="n">
        <v>2</v>
      </c>
      <c r="F16" s="12" t="s">
        <v>191</v>
      </c>
      <c r="G16" s="6" t="s">
        <v>16</v>
      </c>
    </row>
    <row r="17" customFormat="false" ht="19.4" hidden="false" customHeight="false" outlineLevel="0" collapsed="false">
      <c r="B17" s="12" t="s">
        <v>192</v>
      </c>
      <c r="C17" s="5" t="s">
        <v>193</v>
      </c>
      <c r="D17" s="13" t="n">
        <v>1021</v>
      </c>
      <c r="E17" s="12" t="n">
        <v>1</v>
      </c>
      <c r="F17" s="12" t="s">
        <v>194</v>
      </c>
      <c r="G17" s="6" t="s">
        <v>16</v>
      </c>
    </row>
    <row r="18" customFormat="false" ht="19.4" hidden="false" customHeight="false" outlineLevel="0" collapsed="false">
      <c r="B18" s="12" t="s">
        <v>195</v>
      </c>
      <c r="C18" s="5" t="s">
        <v>196</v>
      </c>
      <c r="D18" s="13" t="n">
        <v>847.74</v>
      </c>
      <c r="E18" s="12" t="n">
        <v>1</v>
      </c>
      <c r="F18" s="12" t="s">
        <v>197</v>
      </c>
      <c r="G18" s="6" t="s">
        <v>16</v>
      </c>
    </row>
    <row r="19" customFormat="false" ht="19.4" hidden="false" customHeight="false" outlineLevel="0" collapsed="false">
      <c r="B19" s="12" t="s">
        <v>198</v>
      </c>
      <c r="C19" s="5" t="s">
        <v>199</v>
      </c>
      <c r="D19" s="13" t="n">
        <v>716</v>
      </c>
      <c r="E19" s="12" t="n">
        <v>2</v>
      </c>
      <c r="F19" s="12" t="s">
        <v>200</v>
      </c>
      <c r="G19" s="6" t="s">
        <v>16</v>
      </c>
    </row>
    <row r="20" customFormat="false" ht="19.4" hidden="false" customHeight="false" outlineLevel="0" collapsed="false">
      <c r="B20" s="12" t="s">
        <v>201</v>
      </c>
      <c r="C20" s="5" t="s">
        <v>202</v>
      </c>
      <c r="D20" s="13" t="n">
        <v>390.48</v>
      </c>
      <c r="E20" s="12" t="n">
        <v>1</v>
      </c>
      <c r="F20" s="12" t="s">
        <v>167</v>
      </c>
      <c r="G20" s="6" t="s">
        <v>16</v>
      </c>
    </row>
    <row r="21" customFormat="false" ht="19.4" hidden="false" customHeight="false" outlineLevel="0" collapsed="false">
      <c r="B21" s="12" t="s">
        <v>203</v>
      </c>
      <c r="C21" s="5" t="s">
        <v>204</v>
      </c>
      <c r="D21" s="13" t="n">
        <v>348.12</v>
      </c>
      <c r="E21" s="12" t="n">
        <v>3</v>
      </c>
      <c r="F21" s="12" t="s">
        <v>167</v>
      </c>
      <c r="G21" s="6" t="s">
        <v>16</v>
      </c>
    </row>
    <row r="22" customFormat="false" ht="19.4" hidden="false" customHeight="false" outlineLevel="0" collapsed="false">
      <c r="B22" s="12" t="s">
        <v>205</v>
      </c>
      <c r="C22" s="5" t="s">
        <v>206</v>
      </c>
      <c r="D22" s="13" t="n">
        <v>315.62</v>
      </c>
      <c r="E22" s="12" t="n">
        <v>5</v>
      </c>
      <c r="F22" s="12" t="s">
        <v>181</v>
      </c>
      <c r="G22" s="6" t="s">
        <v>16</v>
      </c>
    </row>
    <row r="23" customFormat="false" ht="19.4" hidden="false" customHeight="false" outlineLevel="0" collapsed="false">
      <c r="B23" s="12" t="s">
        <v>207</v>
      </c>
      <c r="C23" s="5" t="s">
        <v>208</v>
      </c>
      <c r="D23" s="13" t="n">
        <v>256</v>
      </c>
      <c r="E23" s="12" t="n">
        <v>1</v>
      </c>
      <c r="F23" s="12" t="s">
        <v>167</v>
      </c>
      <c r="G23" s="6" t="s">
        <v>16</v>
      </c>
    </row>
    <row r="24" customFormat="false" ht="19.4" hidden="false" customHeight="false" outlineLevel="0" collapsed="false">
      <c r="B24" s="12" t="s">
        <v>209</v>
      </c>
      <c r="C24" s="5" t="s">
        <v>210</v>
      </c>
      <c r="D24" s="13" t="n">
        <v>254.54</v>
      </c>
      <c r="E24" s="12" t="n">
        <v>2</v>
      </c>
      <c r="F24" s="12" t="s">
        <v>211</v>
      </c>
      <c r="G24" s="6" t="s">
        <v>16</v>
      </c>
    </row>
    <row r="25" customFormat="false" ht="19.4" hidden="false" customHeight="false" outlineLevel="0" collapsed="false">
      <c r="B25" s="12" t="s">
        <v>212</v>
      </c>
      <c r="C25" s="5" t="s">
        <v>213</v>
      </c>
      <c r="D25" s="13" t="n">
        <v>197</v>
      </c>
      <c r="E25" s="12" t="n">
        <v>1</v>
      </c>
      <c r="F25" s="12" t="s">
        <v>214</v>
      </c>
      <c r="G25" s="6" t="s">
        <v>16</v>
      </c>
    </row>
    <row r="26" customFormat="false" ht="19.4" hidden="false" customHeight="false" outlineLevel="0" collapsed="false">
      <c r="B26" s="12" t="s">
        <v>215</v>
      </c>
      <c r="C26" s="5" t="s">
        <v>216</v>
      </c>
      <c r="D26" s="13" t="n">
        <v>123.14</v>
      </c>
      <c r="E26" s="12" t="n">
        <v>2</v>
      </c>
      <c r="F26" s="12" t="s">
        <v>167</v>
      </c>
      <c r="G26" s="6" t="s">
        <v>16</v>
      </c>
    </row>
    <row r="27" customFormat="false" ht="19.4" hidden="false" customHeight="false" outlineLevel="0" collapsed="false">
      <c r="B27" s="12" t="s">
        <v>217</v>
      </c>
      <c r="C27" s="5" t="s">
        <v>218</v>
      </c>
      <c r="D27" s="13" t="n">
        <v>36.18</v>
      </c>
      <c r="E27" s="12" t="n">
        <v>1</v>
      </c>
      <c r="F27" s="12" t="s">
        <v>211</v>
      </c>
      <c r="G27" s="6" t="s">
        <v>16</v>
      </c>
    </row>
    <row r="28" customFormat="false" ht="19.4" hidden="false" customHeight="false" outlineLevel="0" collapsed="false">
      <c r="B28" s="12" t="s">
        <v>219</v>
      </c>
      <c r="C28" s="5" t="s">
        <v>220</v>
      </c>
      <c r="D28" s="13" t="n">
        <v>2</v>
      </c>
      <c r="E28" s="12" t="n">
        <v>1</v>
      </c>
      <c r="F28" s="12" t="s">
        <v>211</v>
      </c>
      <c r="G28" s="6" t="s">
        <v>16</v>
      </c>
    </row>
    <row r="29" customFormat="false" ht="19.4" hidden="false" customHeight="false" outlineLevel="0" collapsed="false">
      <c r="B29" s="12" t="s">
        <v>221</v>
      </c>
      <c r="C29" s="5" t="s">
        <v>222</v>
      </c>
      <c r="D29" s="13" t="n">
        <v>0</v>
      </c>
      <c r="E29" s="12" t="n">
        <v>2</v>
      </c>
      <c r="F29" s="12" t="s">
        <v>167</v>
      </c>
      <c r="G29" s="6" t="s">
        <v>16</v>
      </c>
    </row>
    <row r="30" customFormat="false" ht="15" hidden="false" customHeight="false" outlineLevel="0" collapsed="false">
      <c r="B30" s="16" t="s">
        <v>143</v>
      </c>
      <c r="D30" s="19" t="n">
        <f aca="false">SUM(D6:D29)</f>
        <v>299677.23</v>
      </c>
      <c r="E30" s="21" t="n">
        <f aca="false">SUM(E6:E29)</f>
        <v>282</v>
      </c>
    </row>
    <row r="32" customFormat="false" ht="35.05" hidden="false" customHeight="true" outlineLevel="0" collapsed="false">
      <c r="B32" s="22" t="s">
        <v>223</v>
      </c>
      <c r="C32" s="22"/>
      <c r="D32" s="22"/>
      <c r="E32" s="22"/>
      <c r="F32" s="22"/>
      <c r="G32" s="22"/>
    </row>
  </sheetData>
  <mergeCells count="3">
    <mergeCell ref="B2:J2"/>
    <mergeCell ref="B3:J3"/>
    <mergeCell ref="B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40"/>
  </cols>
  <sheetData>
    <row r="2" customFormat="false" ht="27.75" hidden="false" customHeight="true" outlineLevel="0" collapsed="false">
      <c r="B2" s="1" t="s">
        <v>224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225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226</v>
      </c>
      <c r="C5" s="11" t="s">
        <v>227</v>
      </c>
      <c r="D5" s="11" t="s">
        <v>228</v>
      </c>
      <c r="E5" s="11" t="s">
        <v>229</v>
      </c>
      <c r="F5" s="11" t="s">
        <v>230</v>
      </c>
      <c r="G5" s="11" t="s">
        <v>231</v>
      </c>
      <c r="H5" s="11" t="s">
        <v>82</v>
      </c>
    </row>
    <row r="6" customFormat="false" ht="19.4" hidden="false" customHeight="false" outlineLevel="0" collapsed="false">
      <c r="B6" s="12" t="s">
        <v>232</v>
      </c>
      <c r="C6" s="5" t="s">
        <v>233</v>
      </c>
      <c r="D6" s="15" t="n">
        <v>1735</v>
      </c>
      <c r="E6" s="18" t="n">
        <v>58252</v>
      </c>
      <c r="F6" s="18" t="n">
        <f aca="false">IF(D6=0,0,E6/D6)</f>
        <v>33.5746397694524</v>
      </c>
      <c r="G6" s="12" t="n">
        <v>49</v>
      </c>
      <c r="H6" s="6" t="s">
        <v>16</v>
      </c>
    </row>
    <row r="7" customFormat="false" ht="19.4" hidden="false" customHeight="false" outlineLevel="0" collapsed="false">
      <c r="B7" s="12" t="s">
        <v>234</v>
      </c>
      <c r="C7" s="5" t="s">
        <v>235</v>
      </c>
      <c r="D7" s="15" t="n">
        <v>1221</v>
      </c>
      <c r="E7" s="18" t="n">
        <v>36239</v>
      </c>
      <c r="F7" s="18" t="n">
        <f aca="false">IF(D7=0,0,E7/D7)</f>
        <v>29.6797706797707</v>
      </c>
      <c r="G7" s="12" t="n">
        <v>32</v>
      </c>
      <c r="H7" s="6" t="s">
        <v>16</v>
      </c>
    </row>
    <row r="8" customFormat="false" ht="19.4" hidden="false" customHeight="false" outlineLevel="0" collapsed="false">
      <c r="B8" s="12" t="s">
        <v>236</v>
      </c>
      <c r="C8" s="5" t="s">
        <v>237</v>
      </c>
      <c r="D8" s="15" t="n">
        <v>1189.5</v>
      </c>
      <c r="E8" s="18" t="n">
        <v>23273.5</v>
      </c>
      <c r="F8" s="18" t="n">
        <f aca="false">IF(D8=0,0,E8/D8)</f>
        <v>19.5657839428331</v>
      </c>
      <c r="G8" s="12" t="n">
        <v>37</v>
      </c>
      <c r="H8" s="6" t="s">
        <v>16</v>
      </c>
    </row>
    <row r="9" customFormat="false" ht="19.4" hidden="false" customHeight="false" outlineLevel="0" collapsed="false">
      <c r="B9" s="12" t="s">
        <v>238</v>
      </c>
      <c r="C9" s="5" t="s">
        <v>239</v>
      </c>
      <c r="D9" s="15" t="n">
        <v>1128</v>
      </c>
      <c r="E9" s="18" t="n">
        <v>17608</v>
      </c>
      <c r="F9" s="18" t="n">
        <f aca="false">IF(D9=0,0,E9/D9)</f>
        <v>15.6099290780142</v>
      </c>
      <c r="G9" s="12" t="n">
        <v>32</v>
      </c>
      <c r="H9" s="6" t="s">
        <v>16</v>
      </c>
    </row>
    <row r="10" customFormat="false" ht="19.4" hidden="false" customHeight="false" outlineLevel="0" collapsed="false">
      <c r="B10" s="12" t="s">
        <v>240</v>
      </c>
      <c r="C10" s="5" t="s">
        <v>241</v>
      </c>
      <c r="D10" s="15" t="n">
        <v>1113.5</v>
      </c>
      <c r="E10" s="18" t="n">
        <v>20874</v>
      </c>
      <c r="F10" s="18" t="n">
        <f aca="false">IF(D10=0,0,E10/D10)</f>
        <v>18.7462954647508</v>
      </c>
      <c r="G10" s="12" t="n">
        <v>33</v>
      </c>
      <c r="H10" s="6" t="s">
        <v>16</v>
      </c>
    </row>
    <row r="11" customFormat="false" ht="19.4" hidden="false" customHeight="false" outlineLevel="0" collapsed="false">
      <c r="B11" s="12" t="s">
        <v>242</v>
      </c>
      <c r="C11" s="5" t="s">
        <v>243</v>
      </c>
      <c r="D11" s="15" t="n">
        <v>1104</v>
      </c>
      <c r="E11" s="18" t="n">
        <v>16272</v>
      </c>
      <c r="F11" s="18" t="n">
        <f aca="false">IF(D11=0,0,E11/D11)</f>
        <v>14.7391304347826</v>
      </c>
      <c r="G11" s="12" t="n">
        <v>32</v>
      </c>
      <c r="H11" s="6" t="s">
        <v>16</v>
      </c>
    </row>
    <row r="12" customFormat="false" ht="19.4" hidden="false" customHeight="false" outlineLevel="0" collapsed="false">
      <c r="B12" s="12" t="s">
        <v>244</v>
      </c>
      <c r="C12" s="5" t="s">
        <v>245</v>
      </c>
      <c r="D12" s="15" t="n">
        <v>981</v>
      </c>
      <c r="E12" s="18" t="n">
        <v>15104</v>
      </c>
      <c r="F12" s="18" t="n">
        <f aca="false">IF(D12=0,0,E12/D12)</f>
        <v>15.3965341488277</v>
      </c>
      <c r="G12" s="12" t="n">
        <v>27</v>
      </c>
      <c r="H12" s="6" t="s">
        <v>16</v>
      </c>
    </row>
    <row r="13" customFormat="false" ht="19.4" hidden="false" customHeight="false" outlineLevel="0" collapsed="false">
      <c r="B13" s="12" t="s">
        <v>246</v>
      </c>
      <c r="C13" s="5" t="s">
        <v>247</v>
      </c>
      <c r="D13" s="15" t="n">
        <v>933</v>
      </c>
      <c r="E13" s="18" t="n">
        <v>22813</v>
      </c>
      <c r="F13" s="18" t="n">
        <f aca="false">IF(D13=0,0,E13/D13)</f>
        <v>24.4512325830654</v>
      </c>
      <c r="G13" s="12" t="n">
        <v>24</v>
      </c>
      <c r="H13" s="6" t="s">
        <v>16</v>
      </c>
    </row>
    <row r="14" customFormat="false" ht="19.4" hidden="false" customHeight="false" outlineLevel="0" collapsed="false">
      <c r="B14" s="12" t="s">
        <v>248</v>
      </c>
      <c r="C14" s="5" t="s">
        <v>249</v>
      </c>
      <c r="D14" s="15" t="n">
        <v>932</v>
      </c>
      <c r="E14" s="18" t="n">
        <v>15170</v>
      </c>
      <c r="F14" s="18" t="n">
        <f aca="false">IF(D14=0,0,E14/D14)</f>
        <v>16.2768240343348</v>
      </c>
      <c r="G14" s="12" t="n">
        <v>27</v>
      </c>
      <c r="H14" s="6" t="s">
        <v>16</v>
      </c>
    </row>
    <row r="15" customFormat="false" ht="19.4" hidden="false" customHeight="false" outlineLevel="0" collapsed="false">
      <c r="B15" s="12" t="s">
        <v>250</v>
      </c>
      <c r="C15" s="5" t="s">
        <v>251</v>
      </c>
      <c r="D15" s="15" t="n">
        <v>787</v>
      </c>
      <c r="E15" s="18" t="n">
        <v>13221</v>
      </c>
      <c r="F15" s="18" t="n">
        <f aca="false">IF(D15=0,0,E15/D15)</f>
        <v>16.7992376111817</v>
      </c>
      <c r="G15" s="12" t="n">
        <v>25</v>
      </c>
      <c r="H15" s="6" t="s">
        <v>16</v>
      </c>
    </row>
    <row r="16" customFormat="false" ht="19.4" hidden="false" customHeight="false" outlineLevel="0" collapsed="false">
      <c r="B16" s="12" t="s">
        <v>252</v>
      </c>
      <c r="C16" s="5" t="s">
        <v>253</v>
      </c>
      <c r="D16" s="15" t="n">
        <v>714</v>
      </c>
      <c r="E16" s="18" t="n">
        <v>9535</v>
      </c>
      <c r="F16" s="18" t="n">
        <f aca="false">IF(D16=0,0,E16/D16)</f>
        <v>13.3543417366947</v>
      </c>
      <c r="G16" s="12" t="n">
        <v>20</v>
      </c>
      <c r="H16" s="6" t="s">
        <v>16</v>
      </c>
    </row>
    <row r="17" customFormat="false" ht="19.4" hidden="false" customHeight="false" outlineLevel="0" collapsed="false">
      <c r="B17" s="12" t="s">
        <v>254</v>
      </c>
      <c r="C17" s="5" t="s">
        <v>255</v>
      </c>
      <c r="D17" s="15" t="n">
        <v>612.5</v>
      </c>
      <c r="E17" s="18" t="n">
        <v>23388</v>
      </c>
      <c r="F17" s="18" t="n">
        <f aca="false">IF(D17=0,0,E17/D17)</f>
        <v>38.1844897959184</v>
      </c>
      <c r="G17" s="12" t="n">
        <v>60</v>
      </c>
      <c r="H17" s="6" t="s">
        <v>16</v>
      </c>
    </row>
    <row r="18" customFormat="false" ht="19.4" hidden="false" customHeight="false" outlineLevel="0" collapsed="false">
      <c r="B18" s="12" t="s">
        <v>256</v>
      </c>
      <c r="C18" s="5" t="s">
        <v>257</v>
      </c>
      <c r="D18" s="15" t="n">
        <v>544</v>
      </c>
      <c r="E18" s="18" t="n">
        <v>22874</v>
      </c>
      <c r="F18" s="18" t="n">
        <f aca="false">IF(D18=0,0,E18/D18)</f>
        <v>42.0477941176471</v>
      </c>
      <c r="G18" s="12" t="n">
        <v>68</v>
      </c>
      <c r="H18" s="6" t="s">
        <v>16</v>
      </c>
    </row>
    <row r="19" customFormat="false" ht="19.4" hidden="false" customHeight="false" outlineLevel="0" collapsed="false">
      <c r="B19" s="12" t="s">
        <v>258</v>
      </c>
      <c r="C19" s="5" t="s">
        <v>259</v>
      </c>
      <c r="D19" s="15" t="n">
        <v>492</v>
      </c>
      <c r="E19" s="18" t="n">
        <v>9632</v>
      </c>
      <c r="F19" s="18" t="n">
        <f aca="false">IF(D19=0,0,E19/D19)</f>
        <v>19.5772357723577</v>
      </c>
      <c r="G19" s="12" t="n">
        <v>18</v>
      </c>
      <c r="H19" s="6" t="s">
        <v>16</v>
      </c>
    </row>
    <row r="20" customFormat="false" ht="19.4" hidden="false" customHeight="false" outlineLevel="0" collapsed="false">
      <c r="B20" s="12" t="s">
        <v>260</v>
      </c>
      <c r="C20" s="5" t="s">
        <v>261</v>
      </c>
      <c r="D20" s="15" t="n">
        <v>489</v>
      </c>
      <c r="E20" s="18" t="n">
        <v>7754</v>
      </c>
      <c r="F20" s="18" t="n">
        <f aca="false">IF(D20=0,0,E20/D20)</f>
        <v>15.8568507157464</v>
      </c>
      <c r="G20" s="12" t="n">
        <v>14</v>
      </c>
      <c r="H20" s="6" t="s">
        <v>16</v>
      </c>
    </row>
    <row r="21" customFormat="false" ht="19.4" hidden="false" customHeight="false" outlineLevel="0" collapsed="false">
      <c r="B21" s="12" t="s">
        <v>262</v>
      </c>
      <c r="C21" s="5" t="s">
        <v>263</v>
      </c>
      <c r="D21" s="15" t="n">
        <v>408</v>
      </c>
      <c r="E21" s="18" t="n">
        <v>7264</v>
      </c>
      <c r="F21" s="18" t="n">
        <f aca="false">IF(D21=0,0,E21/D21)</f>
        <v>17.8039215686275</v>
      </c>
      <c r="G21" s="12" t="n">
        <v>13</v>
      </c>
      <c r="H21" s="6" t="s">
        <v>16</v>
      </c>
    </row>
    <row r="22" customFormat="false" ht="19.4" hidden="false" customHeight="false" outlineLevel="0" collapsed="false">
      <c r="B22" s="12" t="s">
        <v>264</v>
      </c>
      <c r="C22" s="5" t="s">
        <v>265</v>
      </c>
      <c r="D22" s="15" t="n">
        <v>341.5</v>
      </c>
      <c r="E22" s="18" t="n">
        <v>12463.5</v>
      </c>
      <c r="F22" s="18" t="n">
        <f aca="false">IF(D22=0,0,E22/D22)</f>
        <v>36.4963396778917</v>
      </c>
      <c r="G22" s="12" t="n">
        <v>28</v>
      </c>
      <c r="H22" s="6" t="s">
        <v>16</v>
      </c>
    </row>
    <row r="23" customFormat="false" ht="19.4" hidden="false" customHeight="false" outlineLevel="0" collapsed="false">
      <c r="B23" s="12" t="s">
        <v>266</v>
      </c>
      <c r="C23" s="5" t="s">
        <v>267</v>
      </c>
      <c r="D23" s="15" t="n">
        <v>340.5</v>
      </c>
      <c r="E23" s="18" t="n">
        <v>4426.5</v>
      </c>
      <c r="F23" s="18" t="n">
        <f aca="false">IF(D23=0,0,E23/D23)</f>
        <v>13</v>
      </c>
      <c r="G23" s="12" t="n">
        <v>9</v>
      </c>
      <c r="H23" s="6" t="s">
        <v>16</v>
      </c>
    </row>
    <row r="24" customFormat="false" ht="19.4" hidden="false" customHeight="false" outlineLevel="0" collapsed="false">
      <c r="B24" s="12" t="s">
        <v>268</v>
      </c>
      <c r="C24" s="5" t="s">
        <v>269</v>
      </c>
      <c r="D24" s="15" t="n">
        <v>277</v>
      </c>
      <c r="E24" s="18" t="n">
        <v>6632</v>
      </c>
      <c r="F24" s="18" t="n">
        <f aca="false">IF(D24=0,0,E24/D24)</f>
        <v>23.942238267148</v>
      </c>
      <c r="G24" s="12" t="n">
        <v>8</v>
      </c>
      <c r="H24" s="6" t="s">
        <v>16</v>
      </c>
    </row>
    <row r="25" customFormat="false" ht="19.4" hidden="false" customHeight="false" outlineLevel="0" collapsed="false">
      <c r="B25" s="12" t="s">
        <v>270</v>
      </c>
      <c r="C25" s="5" t="s">
        <v>271</v>
      </c>
      <c r="D25" s="15" t="n">
        <v>221</v>
      </c>
      <c r="E25" s="18" t="n">
        <v>10049</v>
      </c>
      <c r="F25" s="18" t="n">
        <f aca="false">IF(D25=0,0,E25/D25)</f>
        <v>45.4705882352941</v>
      </c>
      <c r="G25" s="12" t="n">
        <v>63</v>
      </c>
      <c r="H25" s="6" t="s">
        <v>16</v>
      </c>
    </row>
    <row r="26" customFormat="false" ht="19.4" hidden="false" customHeight="false" outlineLevel="0" collapsed="false">
      <c r="B26" s="12" t="s">
        <v>272</v>
      </c>
      <c r="C26" s="5" t="s">
        <v>273</v>
      </c>
      <c r="D26" s="15" t="n">
        <v>216</v>
      </c>
      <c r="E26" s="18" t="n">
        <v>3408</v>
      </c>
      <c r="F26" s="18" t="n">
        <f aca="false">IF(D26=0,0,E26/D26)</f>
        <v>15.7777777777778</v>
      </c>
      <c r="G26" s="12" t="n">
        <v>9</v>
      </c>
      <c r="H26" s="6" t="s">
        <v>16</v>
      </c>
    </row>
    <row r="27" customFormat="false" ht="19.4" hidden="false" customHeight="false" outlineLevel="0" collapsed="false">
      <c r="B27" s="12" t="s">
        <v>274</v>
      </c>
      <c r="C27" s="5" t="s">
        <v>275</v>
      </c>
      <c r="D27" s="15" t="n">
        <v>210.5</v>
      </c>
      <c r="E27" s="18" t="n">
        <v>2820</v>
      </c>
      <c r="F27" s="18" t="n">
        <f aca="false">IF(D27=0,0,E27/D27)</f>
        <v>13.396674584323</v>
      </c>
      <c r="G27" s="12" t="n">
        <v>9</v>
      </c>
      <c r="H27" s="6" t="s">
        <v>16</v>
      </c>
    </row>
    <row r="28" customFormat="false" ht="19.4" hidden="false" customHeight="false" outlineLevel="0" collapsed="false">
      <c r="B28" s="12" t="s">
        <v>276</v>
      </c>
      <c r="C28" s="5" t="s">
        <v>277</v>
      </c>
      <c r="D28" s="15" t="n">
        <v>156.5</v>
      </c>
      <c r="E28" s="18" t="n">
        <v>2347.5</v>
      </c>
      <c r="F28" s="18" t="n">
        <f aca="false">IF(D28=0,0,E28/D28)</f>
        <v>15</v>
      </c>
      <c r="G28" s="12" t="n">
        <v>6</v>
      </c>
      <c r="H28" s="6" t="s">
        <v>16</v>
      </c>
    </row>
    <row r="29" customFormat="false" ht="19.4" hidden="false" customHeight="false" outlineLevel="0" collapsed="false">
      <c r="B29" s="12" t="s">
        <v>278</v>
      </c>
      <c r="C29" s="5" t="s">
        <v>279</v>
      </c>
      <c r="D29" s="15" t="n">
        <v>137</v>
      </c>
      <c r="E29" s="18" t="n">
        <v>2877</v>
      </c>
      <c r="F29" s="18" t="n">
        <f aca="false">IF(D29=0,0,E29/D29)</f>
        <v>21</v>
      </c>
      <c r="G29" s="12" t="n">
        <v>9</v>
      </c>
      <c r="H29" s="6" t="s">
        <v>16</v>
      </c>
    </row>
    <row r="30" customFormat="false" ht="19.4" hidden="false" customHeight="false" outlineLevel="0" collapsed="false">
      <c r="B30" s="12" t="s">
        <v>280</v>
      </c>
      <c r="C30" s="5" t="s">
        <v>281</v>
      </c>
      <c r="D30" s="15" t="n">
        <v>104</v>
      </c>
      <c r="E30" s="18" t="n">
        <v>1872</v>
      </c>
      <c r="F30" s="18" t="n">
        <f aca="false">IF(D30=0,0,E30/D30)</f>
        <v>18</v>
      </c>
      <c r="G30" s="12" t="n">
        <v>4</v>
      </c>
      <c r="H30" s="6" t="s">
        <v>16</v>
      </c>
    </row>
    <row r="31" customFormat="false" ht="19.4" hidden="false" customHeight="false" outlineLevel="0" collapsed="false">
      <c r="B31" s="12" t="s">
        <v>282</v>
      </c>
      <c r="C31" s="5" t="s">
        <v>283</v>
      </c>
      <c r="D31" s="15" t="n">
        <v>104</v>
      </c>
      <c r="E31" s="18" t="n">
        <v>1520</v>
      </c>
      <c r="F31" s="18" t="n">
        <f aca="false">IF(D31=0,0,E31/D31)</f>
        <v>14.6153846153846</v>
      </c>
      <c r="G31" s="12" t="n">
        <v>3</v>
      </c>
      <c r="H31" s="6" t="s">
        <v>16</v>
      </c>
    </row>
    <row r="32" customFormat="false" ht="19.4" hidden="false" customHeight="false" outlineLevel="0" collapsed="false">
      <c r="B32" s="12" t="s">
        <v>284</v>
      </c>
      <c r="C32" s="5" t="s">
        <v>285</v>
      </c>
      <c r="D32" s="15" t="n">
        <v>91.5</v>
      </c>
      <c r="E32" s="18" t="n">
        <v>1555.5</v>
      </c>
      <c r="F32" s="18" t="n">
        <f aca="false">IF(D32=0,0,E32/D32)</f>
        <v>17</v>
      </c>
      <c r="G32" s="12" t="n">
        <v>5</v>
      </c>
      <c r="H32" s="6" t="s">
        <v>16</v>
      </c>
    </row>
    <row r="33" customFormat="false" ht="19.4" hidden="false" customHeight="false" outlineLevel="0" collapsed="false">
      <c r="B33" s="12" t="s">
        <v>286</v>
      </c>
      <c r="C33" s="5" t="s">
        <v>287</v>
      </c>
      <c r="D33" s="15" t="n">
        <v>91.5</v>
      </c>
      <c r="E33" s="18" t="n">
        <v>3111</v>
      </c>
      <c r="F33" s="18" t="n">
        <f aca="false">IF(D33=0,0,E33/D33)</f>
        <v>34</v>
      </c>
      <c r="G33" s="12" t="n">
        <v>4</v>
      </c>
      <c r="H33" s="6" t="s">
        <v>16</v>
      </c>
    </row>
    <row r="34" customFormat="false" ht="19.4" hidden="false" customHeight="false" outlineLevel="0" collapsed="false">
      <c r="B34" s="12" t="s">
        <v>288</v>
      </c>
      <c r="C34" s="5" t="s">
        <v>289</v>
      </c>
      <c r="D34" s="15" t="n">
        <v>76</v>
      </c>
      <c r="E34" s="18" t="n">
        <v>1596</v>
      </c>
      <c r="F34" s="18" t="n">
        <f aca="false">IF(D34=0,0,E34/D34)</f>
        <v>21</v>
      </c>
      <c r="G34" s="12" t="n">
        <v>8</v>
      </c>
      <c r="H34" s="6" t="s">
        <v>16</v>
      </c>
    </row>
    <row r="35" customFormat="false" ht="19.4" hidden="false" customHeight="false" outlineLevel="0" collapsed="false">
      <c r="B35" s="12" t="s">
        <v>290</v>
      </c>
      <c r="C35" s="5" t="s">
        <v>291</v>
      </c>
      <c r="D35" s="15" t="n">
        <v>64</v>
      </c>
      <c r="E35" s="18" t="n">
        <v>1408</v>
      </c>
      <c r="F35" s="18" t="n">
        <f aca="false">IF(D35=0,0,E35/D35)</f>
        <v>22</v>
      </c>
      <c r="G35" s="12" t="n">
        <v>4</v>
      </c>
      <c r="H35" s="6" t="s">
        <v>16</v>
      </c>
    </row>
    <row r="36" customFormat="false" ht="19.4" hidden="false" customHeight="false" outlineLevel="0" collapsed="false">
      <c r="B36" s="12" t="s">
        <v>292</v>
      </c>
      <c r="C36" s="5" t="s">
        <v>293</v>
      </c>
      <c r="D36" s="15" t="n">
        <v>62</v>
      </c>
      <c r="E36" s="18" t="n">
        <v>1178</v>
      </c>
      <c r="F36" s="18" t="n">
        <f aca="false">IF(D36=0,0,E36/D36)</f>
        <v>19</v>
      </c>
      <c r="G36" s="12" t="n">
        <v>2</v>
      </c>
      <c r="H36" s="6" t="s">
        <v>16</v>
      </c>
    </row>
    <row r="37" customFormat="false" ht="19.4" hidden="false" customHeight="false" outlineLevel="0" collapsed="false">
      <c r="B37" s="12" t="s">
        <v>294</v>
      </c>
      <c r="C37" s="5" t="s">
        <v>295</v>
      </c>
      <c r="D37" s="15" t="n">
        <v>49.5</v>
      </c>
      <c r="E37" s="18" t="n">
        <v>693</v>
      </c>
      <c r="F37" s="18" t="n">
        <f aca="false">IF(D37=0,0,E37/D37)</f>
        <v>14</v>
      </c>
      <c r="G37" s="12" t="n">
        <v>3</v>
      </c>
      <c r="H37" s="6" t="s">
        <v>16</v>
      </c>
    </row>
    <row r="38" customFormat="false" ht="19.4" hidden="false" customHeight="false" outlineLevel="0" collapsed="false">
      <c r="B38" s="12" t="s">
        <v>296</v>
      </c>
      <c r="C38" s="5" t="s">
        <v>297</v>
      </c>
      <c r="D38" s="15" t="n">
        <v>43</v>
      </c>
      <c r="E38" s="18" t="n">
        <v>682.5</v>
      </c>
      <c r="F38" s="18" t="n">
        <f aca="false">IF(D38=0,0,E38/D38)</f>
        <v>15.8720930232558</v>
      </c>
      <c r="G38" s="12" t="n">
        <v>20</v>
      </c>
      <c r="H38" s="6" t="s">
        <v>16</v>
      </c>
    </row>
    <row r="39" customFormat="false" ht="19.4" hidden="false" customHeight="false" outlineLevel="0" collapsed="false">
      <c r="B39" s="12" t="s">
        <v>298</v>
      </c>
      <c r="C39" s="5" t="s">
        <v>299</v>
      </c>
      <c r="D39" s="15" t="n">
        <v>24</v>
      </c>
      <c r="E39" s="18" t="n">
        <v>384</v>
      </c>
      <c r="F39" s="18" t="n">
        <f aca="false">IF(D39=0,0,E39/D39)</f>
        <v>16</v>
      </c>
      <c r="G39" s="12" t="n">
        <v>1</v>
      </c>
      <c r="H39" s="6" t="s">
        <v>16</v>
      </c>
    </row>
    <row r="40" customFormat="false" ht="19.4" hidden="false" customHeight="false" outlineLevel="0" collapsed="false">
      <c r="B40" s="12" t="s">
        <v>300</v>
      </c>
      <c r="C40" s="5" t="s">
        <v>301</v>
      </c>
      <c r="D40" s="15" t="n">
        <v>21</v>
      </c>
      <c r="E40" s="18" t="n">
        <v>357</v>
      </c>
      <c r="F40" s="18" t="n">
        <f aca="false">IF(D40=0,0,E40/D40)</f>
        <v>17</v>
      </c>
      <c r="G40" s="12" t="n">
        <v>2</v>
      </c>
      <c r="H40" s="6" t="s">
        <v>16</v>
      </c>
    </row>
    <row r="41" customFormat="false" ht="19.4" hidden="false" customHeight="false" outlineLevel="0" collapsed="false">
      <c r="B41" s="12" t="s">
        <v>302</v>
      </c>
      <c r="C41" s="5" t="s">
        <v>303</v>
      </c>
      <c r="D41" s="15" t="n">
        <v>16</v>
      </c>
      <c r="E41" s="18" t="n">
        <v>208</v>
      </c>
      <c r="F41" s="18" t="n">
        <f aca="false">IF(D41=0,0,E41/D41)</f>
        <v>13</v>
      </c>
      <c r="G41" s="12" t="n">
        <v>1</v>
      </c>
      <c r="H41" s="6" t="s">
        <v>16</v>
      </c>
    </row>
    <row r="42" customFormat="false" ht="19.4" hidden="false" customHeight="false" outlineLevel="0" collapsed="false">
      <c r="B42" s="12" t="s">
        <v>304</v>
      </c>
      <c r="C42" s="5" t="s">
        <v>305</v>
      </c>
      <c r="D42" s="15" t="n">
        <v>16</v>
      </c>
      <c r="E42" s="18" t="n">
        <v>288</v>
      </c>
      <c r="F42" s="18" t="n">
        <f aca="false">IF(D42=0,0,E42/D42)</f>
        <v>18</v>
      </c>
      <c r="G42" s="12" t="n">
        <v>1</v>
      </c>
      <c r="H42" s="6" t="s">
        <v>16</v>
      </c>
    </row>
    <row r="43" customFormat="false" ht="19.4" hidden="false" customHeight="false" outlineLevel="0" collapsed="false">
      <c r="B43" s="12" t="s">
        <v>306</v>
      </c>
      <c r="C43" s="5" t="s">
        <v>307</v>
      </c>
      <c r="D43" s="15" t="n">
        <v>8</v>
      </c>
      <c r="E43" s="18" t="n">
        <v>120</v>
      </c>
      <c r="F43" s="18" t="n">
        <f aca="false">IF(D43=0,0,E43/D43)</f>
        <v>15</v>
      </c>
      <c r="G43" s="12" t="n">
        <v>1</v>
      </c>
      <c r="H43" s="6" t="s">
        <v>16</v>
      </c>
    </row>
    <row r="44" customFormat="false" ht="19.4" hidden="false" customHeight="false" outlineLevel="0" collapsed="false">
      <c r="B44" s="12" t="s">
        <v>308</v>
      </c>
      <c r="C44" s="5" t="s">
        <v>309</v>
      </c>
      <c r="D44" s="15" t="n">
        <v>5</v>
      </c>
      <c r="E44" s="18" t="n">
        <v>191</v>
      </c>
      <c r="F44" s="18" t="n">
        <f aca="false">IF(D44=0,0,E44/D44)</f>
        <v>38.2</v>
      </c>
      <c r="G44" s="12" t="n">
        <v>2</v>
      </c>
      <c r="H44" s="6" t="s">
        <v>16</v>
      </c>
    </row>
    <row r="45" customFormat="false" ht="19.4" hidden="false" customHeight="false" outlineLevel="0" collapsed="false">
      <c r="B45" s="12" t="s">
        <v>310</v>
      </c>
      <c r="C45" s="5" t="s">
        <v>311</v>
      </c>
      <c r="D45" s="15" t="n">
        <v>2</v>
      </c>
      <c r="E45" s="18" t="n">
        <v>48</v>
      </c>
      <c r="F45" s="18" t="n">
        <f aca="false">IF(D45=0,0,E45/D45)</f>
        <v>24</v>
      </c>
      <c r="G45" s="12" t="n">
        <v>1</v>
      </c>
      <c r="H45" s="6" t="s">
        <v>16</v>
      </c>
    </row>
    <row r="46" customFormat="false" ht="15" hidden="false" customHeight="false" outlineLevel="0" collapsed="false">
      <c r="B46" s="16" t="s">
        <v>143</v>
      </c>
      <c r="D46" s="8" t="n">
        <f aca="false">SUM(D6:D45)</f>
        <v>17061</v>
      </c>
      <c r="E46" s="7" t="n">
        <f aca="false">SUM(E6:E45)</f>
        <v>379509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40"/>
  </cols>
  <sheetData>
    <row r="2" customFormat="false" ht="27.75" hidden="false" customHeight="true" outlineLevel="0" collapsed="false">
      <c r="B2" s="1" t="s">
        <v>312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313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314</v>
      </c>
    </row>
    <row r="6" customFormat="false" ht="15" hidden="false" customHeight="false" outlineLevel="0" collapsed="false">
      <c r="B6" s="11" t="s">
        <v>315</v>
      </c>
      <c r="C6" s="11" t="s">
        <v>316</v>
      </c>
      <c r="D6" s="11" t="s">
        <v>317</v>
      </c>
      <c r="E6" s="11" t="s">
        <v>82</v>
      </c>
    </row>
    <row r="7" customFormat="false" ht="19.4" hidden="false" customHeight="false" outlineLevel="0" collapsed="false">
      <c r="B7" s="5" t="s">
        <v>318</v>
      </c>
      <c r="C7" s="23" t="n">
        <v>40</v>
      </c>
      <c r="D7" s="5" t="s">
        <v>319</v>
      </c>
      <c r="E7" s="6" t="s">
        <v>16</v>
      </c>
    </row>
    <row r="8" customFormat="false" ht="19.4" hidden="false" customHeight="false" outlineLevel="0" collapsed="false">
      <c r="B8" s="5" t="s">
        <v>320</v>
      </c>
      <c r="C8" s="15" t="n">
        <v>17098</v>
      </c>
      <c r="D8" s="5" t="s">
        <v>321</v>
      </c>
      <c r="E8" s="6" t="s">
        <v>16</v>
      </c>
    </row>
    <row r="9" customFormat="false" ht="19.4" hidden="false" customHeight="false" outlineLevel="0" collapsed="false">
      <c r="B9" s="5" t="s">
        <v>322</v>
      </c>
      <c r="C9" s="15" t="n">
        <v>379757.5</v>
      </c>
      <c r="D9" s="5" t="s">
        <v>321</v>
      </c>
      <c r="E9" s="6" t="s">
        <v>16</v>
      </c>
    </row>
    <row r="10" customFormat="false" ht="15" hidden="false" customHeight="false" outlineLevel="0" collapsed="false">
      <c r="B10" s="5" t="s">
        <v>323</v>
      </c>
      <c r="C10" s="18" t="n">
        <v>22.2106386711896</v>
      </c>
      <c r="D10" s="5" t="s">
        <v>324</v>
      </c>
      <c r="E10" s="6" t="s">
        <v>325</v>
      </c>
    </row>
    <row r="11" customFormat="false" ht="15" hidden="false" customHeight="false" outlineLevel="0" collapsed="false">
      <c r="B11" s="5" t="s">
        <v>326</v>
      </c>
      <c r="C11" s="14" t="n">
        <v>0.101473856591414</v>
      </c>
      <c r="D11" s="5" t="s">
        <v>327</v>
      </c>
      <c r="E11" s="6" t="s">
        <v>325</v>
      </c>
    </row>
    <row r="12" customFormat="false" ht="15" hidden="false" customHeight="false" outlineLevel="0" collapsed="false">
      <c r="B12" s="5" t="s">
        <v>328</v>
      </c>
      <c r="C12" s="14" t="n">
        <v>0.37355246227629</v>
      </c>
      <c r="D12" s="5" t="s">
        <v>329</v>
      </c>
      <c r="E12" s="6" t="s">
        <v>325</v>
      </c>
    </row>
    <row r="13" customFormat="false" ht="15" hidden="false" customHeight="false" outlineLevel="0" collapsed="false">
      <c r="B13" s="5" t="s">
        <v>330</v>
      </c>
      <c r="C13" s="18" t="n">
        <v>45.4705882352941</v>
      </c>
      <c r="D13" s="5" t="s">
        <v>331</v>
      </c>
      <c r="E13" s="6" t="s">
        <v>325</v>
      </c>
    </row>
    <row r="14" customFormat="false" ht="15" hidden="false" customHeight="false" outlineLevel="0" collapsed="false">
      <c r="B14" s="5" t="s">
        <v>332</v>
      </c>
      <c r="C14" s="18" t="n">
        <v>13</v>
      </c>
      <c r="D14" s="5" t="s">
        <v>331</v>
      </c>
      <c r="E14" s="6" t="s">
        <v>325</v>
      </c>
    </row>
    <row r="15" customFormat="false" ht="15" hidden="false" customHeight="false" outlineLevel="0" collapsed="false">
      <c r="B15" s="5" t="s">
        <v>333</v>
      </c>
      <c r="C15" s="15" t="n">
        <v>427.45</v>
      </c>
      <c r="D15" s="5" t="s">
        <v>334</v>
      </c>
      <c r="E15" s="6" t="s">
        <v>325</v>
      </c>
    </row>
    <row r="16" customFormat="false" ht="15" hidden="false" customHeight="false" outlineLevel="0" collapsed="false">
      <c r="B16" s="5" t="s">
        <v>335</v>
      </c>
      <c r="C16" s="15" t="n">
        <v>17.85</v>
      </c>
      <c r="D16" s="5" t="s">
        <v>336</v>
      </c>
      <c r="E16" s="6" t="s">
        <v>325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4"/>
  </cols>
  <sheetData>
    <row r="2" customFormat="false" ht="27.75" hidden="false" customHeight="true" outlineLevel="0" collapsed="false">
      <c r="B2" s="1" t="s">
        <v>337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338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315</v>
      </c>
      <c r="C5" s="11" t="s">
        <v>316</v>
      </c>
      <c r="D5" s="11" t="s">
        <v>339</v>
      </c>
      <c r="E5" s="11" t="s">
        <v>340</v>
      </c>
    </row>
    <row r="6" customFormat="false" ht="15" hidden="false" customHeight="false" outlineLevel="0" collapsed="false">
      <c r="B6" s="5" t="s">
        <v>341</v>
      </c>
      <c r="C6" s="18" t="n">
        <f aca="false">1811843/17098</f>
        <v>105.968124926892</v>
      </c>
      <c r="D6" s="12" t="s">
        <v>342</v>
      </c>
      <c r="E6" s="6" t="s">
        <v>343</v>
      </c>
    </row>
    <row r="7" customFormat="false" ht="15" hidden="false" customHeight="false" outlineLevel="0" collapsed="false">
      <c r="B7" s="5" t="s">
        <v>344</v>
      </c>
      <c r="C7" s="18" t="n">
        <f aca="false">886408.04/17098</f>
        <v>51.8427909697041</v>
      </c>
      <c r="D7" s="12" t="s">
        <v>342</v>
      </c>
      <c r="E7" s="6" t="s">
        <v>345</v>
      </c>
    </row>
    <row r="8" customFormat="false" ht="15" hidden="false" customHeight="false" outlineLevel="0" collapsed="false">
      <c r="B8" s="5" t="s">
        <v>346</v>
      </c>
      <c r="C8" s="18" t="n">
        <f aca="false">379757.5/17098</f>
        <v>22.2106386711896</v>
      </c>
      <c r="D8" s="12" t="s">
        <v>342</v>
      </c>
      <c r="E8" s="6" t="s">
        <v>347</v>
      </c>
    </row>
    <row r="9" customFormat="false" ht="15" hidden="false" customHeight="false" outlineLevel="0" collapsed="false">
      <c r="B9" s="5" t="s">
        <v>348</v>
      </c>
      <c r="C9" s="18" t="n">
        <f aca="false">(379757.5+167598.54+29136.68)/17098</f>
        <v>33.7169680664405</v>
      </c>
      <c r="D9" s="12" t="s">
        <v>342</v>
      </c>
      <c r="E9" s="6" t="s">
        <v>349</v>
      </c>
    </row>
    <row r="10" customFormat="false" ht="15" hidden="false" customHeight="false" outlineLevel="0" collapsed="false">
      <c r="B10" s="5" t="s">
        <v>350</v>
      </c>
      <c r="C10" s="24" t="n">
        <f aca="false">(379757.5+167598.54+29136.68)/379757.5</f>
        <v>1.51805486395924</v>
      </c>
      <c r="D10" s="12" t="s">
        <v>342</v>
      </c>
      <c r="E10" s="6" t="s">
        <v>351</v>
      </c>
    </row>
    <row r="11" customFormat="false" ht="15" hidden="false" customHeight="false" outlineLevel="0" collapsed="false">
      <c r="B11" s="5" t="s">
        <v>352</v>
      </c>
      <c r="C11" s="15" t="n">
        <v>8731</v>
      </c>
      <c r="D11" s="12" t="s">
        <v>353</v>
      </c>
      <c r="E11" s="6" t="s">
        <v>354</v>
      </c>
    </row>
    <row r="12" customFormat="false" ht="15" hidden="false" customHeight="false" outlineLevel="0" collapsed="false">
      <c r="B12" s="5" t="s">
        <v>355</v>
      </c>
      <c r="C12" s="15" t="n">
        <v>1150.5</v>
      </c>
      <c r="D12" s="12" t="s">
        <v>353</v>
      </c>
      <c r="E12" s="6" t="s">
        <v>356</v>
      </c>
    </row>
    <row r="13" customFormat="false" ht="15" hidden="false" customHeight="false" outlineLevel="0" collapsed="false">
      <c r="B13" s="5" t="s">
        <v>357</v>
      </c>
      <c r="C13" s="14" t="n">
        <f aca="false">8731/17098</f>
        <v>0.51064451982688</v>
      </c>
      <c r="D13" s="12" t="s">
        <v>342</v>
      </c>
      <c r="E13" s="6" t="s">
        <v>358</v>
      </c>
    </row>
    <row r="14" customFormat="false" ht="15" hidden="false" customHeight="false" outlineLevel="0" collapsed="false">
      <c r="B14" s="5" t="s">
        <v>359</v>
      </c>
      <c r="C14" s="14" t="n">
        <f aca="false">886408.04/1811843</f>
        <v>0.489230049181966</v>
      </c>
      <c r="D14" s="12" t="s">
        <v>342</v>
      </c>
      <c r="E14" s="6" t="s">
        <v>360</v>
      </c>
    </row>
    <row r="15" customFormat="false" ht="15" hidden="false" customHeight="false" outlineLevel="0" collapsed="false">
      <c r="B15" s="5" t="s">
        <v>361</v>
      </c>
      <c r="C15" s="14" t="n">
        <f aca="false">379757.5/1811843</f>
        <v>0.20959735473769</v>
      </c>
      <c r="D15" s="12" t="s">
        <v>342</v>
      </c>
      <c r="E15" s="6"/>
    </row>
    <row r="16" customFormat="false" ht="15" hidden="false" customHeight="false" outlineLevel="0" collapsed="false">
      <c r="B16" s="5" t="s">
        <v>362</v>
      </c>
      <c r="C16" s="14" t="n">
        <f aca="false">336538.34/1811843</f>
        <v>0.185743654389481</v>
      </c>
      <c r="D16" s="12" t="s">
        <v>342</v>
      </c>
      <c r="E16" s="6"/>
    </row>
    <row r="17" customFormat="false" ht="15" hidden="false" customHeight="false" outlineLevel="0" collapsed="false">
      <c r="B17" s="5" t="s">
        <v>363</v>
      </c>
      <c r="C17" s="14" t="n">
        <f aca="false">925434.96/1811843</f>
        <v>0.510769950818034</v>
      </c>
      <c r="D17" s="12" t="s">
        <v>342</v>
      </c>
      <c r="E17" s="6" t="s">
        <v>364</v>
      </c>
    </row>
    <row r="18" customFormat="false" ht="15" hidden="false" customHeight="false" outlineLevel="0" collapsed="false">
      <c r="B18" s="5" t="s">
        <v>365</v>
      </c>
      <c r="C18" s="18" t="n">
        <f aca="false">1811843/116</f>
        <v>15619.3362068966</v>
      </c>
      <c r="D18" s="12" t="s">
        <v>342</v>
      </c>
      <c r="E18" s="6" t="s">
        <v>366</v>
      </c>
    </row>
    <row r="19" customFormat="false" ht="15" hidden="false" customHeight="false" outlineLevel="0" collapsed="false">
      <c r="B19" s="5" t="s">
        <v>367</v>
      </c>
      <c r="C19" s="15" t="n">
        <f aca="false">17098/116</f>
        <v>147.396551724138</v>
      </c>
      <c r="D19" s="12" t="s">
        <v>342</v>
      </c>
      <c r="E19" s="6"/>
    </row>
    <row r="20" customFormat="false" ht="15" hidden="false" customHeight="false" outlineLevel="0" collapsed="false">
      <c r="B20" s="5" t="s">
        <v>368</v>
      </c>
      <c r="C20" s="18" t="n">
        <f aca="false">379757.5/116</f>
        <v>3273.77155172414</v>
      </c>
      <c r="D20" s="12" t="s">
        <v>342</v>
      </c>
      <c r="E20" s="6"/>
    </row>
    <row r="21" customFormat="false" ht="15" hidden="false" customHeight="false" outlineLevel="0" collapsed="false">
      <c r="B21" s="5" t="s">
        <v>369</v>
      </c>
      <c r="C21" s="18" t="n">
        <f aca="false">336538.34/116</f>
        <v>2901.1925862069</v>
      </c>
      <c r="D21" s="12" t="s">
        <v>342</v>
      </c>
      <c r="E21" s="6"/>
    </row>
    <row r="22" customFormat="false" ht="15" hidden="false" customHeight="false" outlineLevel="0" collapsed="false">
      <c r="B22" s="5" t="s">
        <v>370</v>
      </c>
      <c r="C22" s="18" t="n">
        <f aca="false">925434.96/116</f>
        <v>7977.8875862069</v>
      </c>
      <c r="D22" s="12" t="s">
        <v>342</v>
      </c>
      <c r="E22" s="6"/>
    </row>
    <row r="23" customFormat="false" ht="15" hidden="false" customHeight="false" outlineLevel="0" collapsed="false">
      <c r="B23" s="5" t="s">
        <v>371</v>
      </c>
      <c r="C23" s="15" t="n">
        <f aca="false">8731/116</f>
        <v>75.2672413793104</v>
      </c>
      <c r="D23" s="12" t="s">
        <v>342</v>
      </c>
      <c r="E23" s="6" t="s">
        <v>372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54"/>
    <col collapsed="false" customWidth="true" hidden="false" outlineLevel="0" max="8" min="8" style="0" width="14"/>
    <col collapsed="false" customWidth="true" hidden="false" outlineLevel="0" max="9" min="9" style="0" width="42"/>
  </cols>
  <sheetData>
    <row r="2" customFormat="false" ht="27.75" hidden="false" customHeight="true" outlineLevel="0" collapsed="false">
      <c r="B2" s="1" t="s">
        <v>373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374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375</v>
      </c>
      <c r="C5" s="11" t="s">
        <v>376</v>
      </c>
      <c r="D5" s="11" t="s">
        <v>377</v>
      </c>
      <c r="E5" s="11" t="s">
        <v>378</v>
      </c>
      <c r="F5" s="11" t="s">
        <v>379</v>
      </c>
      <c r="G5" s="11" t="s">
        <v>75</v>
      </c>
      <c r="H5" s="11" t="s">
        <v>380</v>
      </c>
      <c r="I5" s="11" t="s">
        <v>82</v>
      </c>
    </row>
    <row r="6" customFormat="false" ht="28.35" hidden="false" customHeight="false" outlineLevel="0" collapsed="false">
      <c r="B6" s="12" t="s">
        <v>381</v>
      </c>
      <c r="C6" s="5" t="s">
        <v>382</v>
      </c>
      <c r="D6" s="5" t="s">
        <v>12</v>
      </c>
      <c r="E6" s="12" t="s">
        <v>383</v>
      </c>
      <c r="F6" s="25" t="s">
        <v>384</v>
      </c>
      <c r="G6" s="5" t="s">
        <v>385</v>
      </c>
      <c r="H6" s="18" t="n">
        <v>1763480</v>
      </c>
      <c r="I6" s="6" t="s">
        <v>13</v>
      </c>
    </row>
    <row r="7" customFormat="false" ht="19.4" hidden="false" customHeight="false" outlineLevel="0" collapsed="false">
      <c r="B7" s="12" t="s">
        <v>386</v>
      </c>
      <c r="C7" s="12" t="s">
        <v>387</v>
      </c>
      <c r="D7" s="5" t="s">
        <v>12</v>
      </c>
      <c r="E7" s="12" t="s">
        <v>388</v>
      </c>
      <c r="F7" s="25" t="s">
        <v>389</v>
      </c>
      <c r="G7" s="5" t="s">
        <v>390</v>
      </c>
      <c r="H7" s="13" t="n">
        <v>3015</v>
      </c>
      <c r="I7" s="6" t="s">
        <v>391</v>
      </c>
    </row>
    <row r="8" customFormat="false" ht="19.4" hidden="false" customHeight="false" outlineLevel="0" collapsed="false">
      <c r="B8" s="12" t="s">
        <v>392</v>
      </c>
      <c r="C8" s="12" t="s">
        <v>387</v>
      </c>
      <c r="D8" s="5" t="s">
        <v>12</v>
      </c>
      <c r="E8" s="12" t="s">
        <v>388</v>
      </c>
      <c r="F8" s="25" t="s">
        <v>389</v>
      </c>
      <c r="G8" s="5" t="s">
        <v>393</v>
      </c>
      <c r="H8" s="13" t="n">
        <v>653</v>
      </c>
      <c r="I8" s="6" t="s">
        <v>391</v>
      </c>
    </row>
    <row r="9" customFormat="false" ht="19.4" hidden="false" customHeight="false" outlineLevel="0" collapsed="false">
      <c r="B9" s="12" t="s">
        <v>394</v>
      </c>
      <c r="C9" s="12" t="s">
        <v>387</v>
      </c>
      <c r="D9" s="5" t="s">
        <v>12</v>
      </c>
      <c r="E9" s="12" t="s">
        <v>388</v>
      </c>
      <c r="F9" s="25" t="s">
        <v>389</v>
      </c>
      <c r="G9" s="5" t="s">
        <v>395</v>
      </c>
      <c r="H9" s="13" t="n">
        <v>161</v>
      </c>
      <c r="I9" s="6" t="s">
        <v>391</v>
      </c>
    </row>
    <row r="10" customFormat="false" ht="19.4" hidden="false" customHeight="false" outlineLevel="0" collapsed="false">
      <c r="B10" s="12" t="s">
        <v>396</v>
      </c>
      <c r="C10" s="12" t="s">
        <v>397</v>
      </c>
      <c r="D10" s="5" t="s">
        <v>12</v>
      </c>
      <c r="E10" s="12" t="s">
        <v>388</v>
      </c>
      <c r="F10" s="25" t="s">
        <v>389</v>
      </c>
      <c r="G10" s="5" t="s">
        <v>398</v>
      </c>
      <c r="H10" s="13" t="n">
        <v>1107</v>
      </c>
      <c r="I10" s="6" t="s">
        <v>391</v>
      </c>
    </row>
    <row r="11" customFormat="false" ht="19.4" hidden="false" customHeight="false" outlineLevel="0" collapsed="false">
      <c r="B11" s="12" t="s">
        <v>399</v>
      </c>
      <c r="C11" s="12" t="s">
        <v>397</v>
      </c>
      <c r="D11" s="5" t="s">
        <v>12</v>
      </c>
      <c r="E11" s="12" t="s">
        <v>388</v>
      </c>
      <c r="F11" s="25" t="s">
        <v>389</v>
      </c>
      <c r="G11" s="5" t="s">
        <v>400</v>
      </c>
      <c r="H11" s="13" t="n">
        <v>9302</v>
      </c>
      <c r="I11" s="6" t="s">
        <v>391</v>
      </c>
    </row>
    <row r="12" customFormat="false" ht="19.4" hidden="false" customHeight="false" outlineLevel="0" collapsed="false">
      <c r="B12" s="12" t="s">
        <v>401</v>
      </c>
      <c r="C12" s="12" t="s">
        <v>397</v>
      </c>
      <c r="D12" s="5" t="s">
        <v>12</v>
      </c>
      <c r="E12" s="12" t="s">
        <v>388</v>
      </c>
      <c r="F12" s="25" t="s">
        <v>389</v>
      </c>
      <c r="G12" s="5" t="s">
        <v>402</v>
      </c>
      <c r="H12" s="13" t="n">
        <v>6842</v>
      </c>
      <c r="I12" s="6" t="s">
        <v>391</v>
      </c>
    </row>
    <row r="13" customFormat="false" ht="19.4" hidden="false" customHeight="false" outlineLevel="0" collapsed="false">
      <c r="B13" s="12" t="s">
        <v>403</v>
      </c>
      <c r="C13" s="12" t="s">
        <v>404</v>
      </c>
      <c r="D13" s="5" t="s">
        <v>12</v>
      </c>
      <c r="E13" s="12" t="s">
        <v>388</v>
      </c>
      <c r="F13" s="25" t="s">
        <v>389</v>
      </c>
      <c r="G13" s="5" t="s">
        <v>405</v>
      </c>
      <c r="H13" s="13" t="n">
        <v>637</v>
      </c>
      <c r="I13" s="6" t="s">
        <v>391</v>
      </c>
    </row>
    <row r="14" customFormat="false" ht="19.4" hidden="false" customHeight="false" outlineLevel="0" collapsed="false">
      <c r="B14" s="12" t="s">
        <v>406</v>
      </c>
      <c r="C14" s="12" t="s">
        <v>404</v>
      </c>
      <c r="D14" s="5" t="s">
        <v>12</v>
      </c>
      <c r="E14" s="12" t="s">
        <v>388</v>
      </c>
      <c r="F14" s="25" t="s">
        <v>389</v>
      </c>
      <c r="G14" s="5" t="s">
        <v>407</v>
      </c>
      <c r="H14" s="13" t="n">
        <v>2012</v>
      </c>
      <c r="I14" s="6" t="s">
        <v>391</v>
      </c>
    </row>
    <row r="15" customFormat="false" ht="19.4" hidden="false" customHeight="false" outlineLevel="0" collapsed="false">
      <c r="B15" s="12" t="s">
        <v>408</v>
      </c>
      <c r="C15" s="12" t="s">
        <v>404</v>
      </c>
      <c r="D15" s="5" t="s">
        <v>12</v>
      </c>
      <c r="E15" s="12" t="s">
        <v>388</v>
      </c>
      <c r="F15" s="25" t="s">
        <v>389</v>
      </c>
      <c r="G15" s="5" t="s">
        <v>409</v>
      </c>
      <c r="H15" s="13" t="n">
        <v>271</v>
      </c>
      <c r="I15" s="6" t="s">
        <v>391</v>
      </c>
    </row>
    <row r="16" customFormat="false" ht="19.4" hidden="false" customHeight="false" outlineLevel="0" collapsed="false">
      <c r="B16" s="12" t="s">
        <v>410</v>
      </c>
      <c r="C16" s="12" t="s">
        <v>404</v>
      </c>
      <c r="D16" s="5" t="s">
        <v>12</v>
      </c>
      <c r="E16" s="12" t="s">
        <v>388</v>
      </c>
      <c r="F16" s="25" t="s">
        <v>389</v>
      </c>
      <c r="G16" s="5" t="s">
        <v>411</v>
      </c>
      <c r="H16" s="13" t="n">
        <v>2020</v>
      </c>
      <c r="I16" s="6" t="s">
        <v>391</v>
      </c>
    </row>
    <row r="17" customFormat="false" ht="19.4" hidden="false" customHeight="false" outlineLevel="0" collapsed="false">
      <c r="B17" s="12" t="s">
        <v>412</v>
      </c>
      <c r="C17" s="12" t="s">
        <v>404</v>
      </c>
      <c r="D17" s="5" t="s">
        <v>12</v>
      </c>
      <c r="E17" s="12" t="s">
        <v>388</v>
      </c>
      <c r="F17" s="25" t="s">
        <v>389</v>
      </c>
      <c r="G17" s="5" t="s">
        <v>413</v>
      </c>
      <c r="H17" s="13" t="n">
        <v>933</v>
      </c>
      <c r="I17" s="6" t="s">
        <v>391</v>
      </c>
    </row>
    <row r="18" customFormat="false" ht="19.4" hidden="false" customHeight="false" outlineLevel="0" collapsed="false">
      <c r="B18" s="12" t="s">
        <v>414</v>
      </c>
      <c r="C18" s="12" t="s">
        <v>404</v>
      </c>
      <c r="D18" s="5" t="s">
        <v>12</v>
      </c>
      <c r="E18" s="12" t="s">
        <v>388</v>
      </c>
      <c r="F18" s="25" t="s">
        <v>389</v>
      </c>
      <c r="G18" s="5" t="s">
        <v>415</v>
      </c>
      <c r="H18" s="13" t="n">
        <v>1772</v>
      </c>
      <c r="I18" s="6" t="s">
        <v>391</v>
      </c>
    </row>
    <row r="19" customFormat="false" ht="19.4" hidden="false" customHeight="false" outlineLevel="0" collapsed="false">
      <c r="B19" s="12" t="s">
        <v>416</v>
      </c>
      <c r="C19" s="12" t="s">
        <v>404</v>
      </c>
      <c r="D19" s="5" t="s">
        <v>12</v>
      </c>
      <c r="E19" s="12" t="s">
        <v>388</v>
      </c>
      <c r="F19" s="25" t="s">
        <v>389</v>
      </c>
      <c r="G19" s="5" t="s">
        <v>417</v>
      </c>
      <c r="H19" s="13" t="n">
        <v>21954</v>
      </c>
      <c r="I19" s="6" t="s">
        <v>391</v>
      </c>
    </row>
    <row r="20" customFormat="false" ht="23.85" hidden="false" customHeight="false" outlineLevel="0" collapsed="false">
      <c r="B20" s="12" t="s">
        <v>418</v>
      </c>
      <c r="C20" s="12" t="s">
        <v>419</v>
      </c>
      <c r="D20" s="5" t="s">
        <v>12</v>
      </c>
      <c r="E20" s="12" t="s">
        <v>388</v>
      </c>
      <c r="F20" s="25" t="s">
        <v>389</v>
      </c>
      <c r="G20" s="5" t="s">
        <v>420</v>
      </c>
      <c r="H20" s="13" t="n">
        <v>517</v>
      </c>
      <c r="I20" s="6" t="s">
        <v>391</v>
      </c>
    </row>
    <row r="21" customFormat="false" ht="19.4" hidden="false" customHeight="false" outlineLevel="0" collapsed="false">
      <c r="B21" s="12" t="s">
        <v>421</v>
      </c>
      <c r="C21" s="12" t="s">
        <v>422</v>
      </c>
      <c r="D21" s="5" t="s">
        <v>12</v>
      </c>
      <c r="E21" s="12" t="s">
        <v>388</v>
      </c>
      <c r="F21" s="25" t="s">
        <v>389</v>
      </c>
      <c r="G21" s="5" t="s">
        <v>423</v>
      </c>
      <c r="H21" s="13" t="n">
        <v>732</v>
      </c>
      <c r="I21" s="6" t="s">
        <v>391</v>
      </c>
    </row>
    <row r="22" customFormat="false" ht="19.4" hidden="false" customHeight="false" outlineLevel="0" collapsed="false">
      <c r="B22" s="12" t="s">
        <v>424</v>
      </c>
      <c r="C22" s="12" t="s">
        <v>425</v>
      </c>
      <c r="D22" s="5" t="s">
        <v>12</v>
      </c>
      <c r="E22" s="12" t="s">
        <v>388</v>
      </c>
      <c r="F22" s="25" t="s">
        <v>389</v>
      </c>
      <c r="G22" s="5" t="s">
        <v>426</v>
      </c>
      <c r="H22" s="13" t="n">
        <v>690</v>
      </c>
      <c r="I22" s="6" t="s">
        <v>391</v>
      </c>
    </row>
    <row r="23" customFormat="false" ht="19.4" hidden="false" customHeight="false" outlineLevel="0" collapsed="false">
      <c r="B23" s="12" t="s">
        <v>427</v>
      </c>
      <c r="C23" s="12" t="s">
        <v>425</v>
      </c>
      <c r="D23" s="5" t="s">
        <v>12</v>
      </c>
      <c r="E23" s="12" t="s">
        <v>388</v>
      </c>
      <c r="F23" s="25" t="s">
        <v>389</v>
      </c>
      <c r="G23" s="5" t="s">
        <v>428</v>
      </c>
      <c r="H23" s="13" t="n">
        <v>2045</v>
      </c>
      <c r="I23" s="6" t="s">
        <v>391</v>
      </c>
    </row>
    <row r="24" customFormat="false" ht="15" hidden="false" customHeight="false" outlineLevel="0" collapsed="false">
      <c r="B24" s="16" t="s">
        <v>429</v>
      </c>
      <c r="H24" s="19" t="n">
        <f aca="false">SUM(H6:H23)</f>
        <v>1818143</v>
      </c>
    </row>
    <row r="26" customFormat="false" ht="23.85" hidden="false" customHeight="true" outlineLevel="0" collapsed="false">
      <c r="B26" s="22" t="s">
        <v>430</v>
      </c>
      <c r="C26" s="22"/>
      <c r="D26" s="22"/>
      <c r="E26" s="22"/>
      <c r="F26" s="22"/>
      <c r="G26" s="22"/>
      <c r="H26" s="22"/>
      <c r="I26" s="22"/>
    </row>
  </sheetData>
  <mergeCells count="3">
    <mergeCell ref="B2:J2"/>
    <mergeCell ref="B3:J3"/>
    <mergeCell ref="B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27.75" hidden="false" customHeight="true" outlineLevel="0" collapsed="false">
      <c r="B2" s="1" t="s">
        <v>431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432</v>
      </c>
      <c r="C3" s="2"/>
      <c r="D3" s="2"/>
      <c r="E3" s="2"/>
      <c r="F3" s="2"/>
      <c r="G3" s="2"/>
      <c r="H3" s="2"/>
      <c r="I3" s="2"/>
      <c r="J3" s="2"/>
    </row>
    <row r="5" customFormat="false" ht="23.85" hidden="false" customHeight="false" outlineLevel="0" collapsed="false">
      <c r="B5" s="11" t="s">
        <v>433</v>
      </c>
      <c r="C5" s="11" t="s">
        <v>376</v>
      </c>
      <c r="D5" s="11" t="s">
        <v>434</v>
      </c>
      <c r="E5" s="11" t="s">
        <v>435</v>
      </c>
      <c r="F5" s="11" t="s">
        <v>436</v>
      </c>
      <c r="G5" s="11" t="s">
        <v>82</v>
      </c>
    </row>
    <row r="6" customFormat="false" ht="15" hidden="false" customHeight="false" outlineLevel="0" collapsed="false">
      <c r="B6" s="12" t="s">
        <v>437</v>
      </c>
      <c r="C6" s="12" t="s">
        <v>438</v>
      </c>
      <c r="D6" s="13" t="n">
        <v>-114100</v>
      </c>
      <c r="E6" s="13" t="n">
        <v>-5705</v>
      </c>
      <c r="F6" s="12" t="n">
        <v>4</v>
      </c>
      <c r="G6" s="6" t="s">
        <v>16</v>
      </c>
    </row>
    <row r="7" customFormat="false" ht="15" hidden="false" customHeight="false" outlineLevel="0" collapsed="false">
      <c r="B7" s="12" t="s">
        <v>439</v>
      </c>
      <c r="C7" s="12" t="s">
        <v>440</v>
      </c>
      <c r="D7" s="13" t="n">
        <v>-19000</v>
      </c>
      <c r="E7" s="13" t="n">
        <v>-950</v>
      </c>
      <c r="F7" s="12" t="n">
        <v>1</v>
      </c>
      <c r="G7" s="6" t="s">
        <v>16</v>
      </c>
    </row>
    <row r="8" customFormat="false" ht="15" hidden="false" customHeight="false" outlineLevel="0" collapsed="false">
      <c r="B8" s="12" t="s">
        <v>441</v>
      </c>
      <c r="C8" s="12" t="s">
        <v>442</v>
      </c>
      <c r="D8" s="13" t="n">
        <v>-25700</v>
      </c>
      <c r="E8" s="13" t="n">
        <v>-1285</v>
      </c>
      <c r="F8" s="12" t="n">
        <v>1</v>
      </c>
      <c r="G8" s="6" t="s">
        <v>16</v>
      </c>
    </row>
    <row r="9" customFormat="false" ht="15" hidden="false" customHeight="false" outlineLevel="0" collapsed="false">
      <c r="B9" s="12" t="s">
        <v>443</v>
      </c>
      <c r="C9" s="12" t="s">
        <v>444</v>
      </c>
      <c r="D9" s="13" t="n">
        <v>-89950</v>
      </c>
      <c r="E9" s="13" t="n">
        <v>-4497.5</v>
      </c>
      <c r="F9" s="12" t="n">
        <v>3</v>
      </c>
      <c r="G9" s="6" t="s">
        <v>16</v>
      </c>
    </row>
    <row r="10" customFormat="false" ht="15" hidden="false" customHeight="false" outlineLevel="0" collapsed="false">
      <c r="B10" s="12" t="s">
        <v>445</v>
      </c>
      <c r="C10" s="12" t="s">
        <v>446</v>
      </c>
      <c r="D10" s="13" t="n">
        <v>-321150</v>
      </c>
      <c r="E10" s="13" t="n">
        <v>-16057.5</v>
      </c>
      <c r="F10" s="12" t="n">
        <v>5</v>
      </c>
      <c r="G10" s="6" t="s">
        <v>16</v>
      </c>
    </row>
    <row r="11" customFormat="false" ht="15" hidden="false" customHeight="false" outlineLevel="0" collapsed="false">
      <c r="B11" s="12" t="s">
        <v>447</v>
      </c>
      <c r="C11" s="12" t="s">
        <v>448</v>
      </c>
      <c r="D11" s="13" t="n">
        <v>-446910</v>
      </c>
      <c r="E11" s="13" t="n">
        <v>-22345.5</v>
      </c>
      <c r="F11" s="12" t="n">
        <v>9</v>
      </c>
      <c r="G11" s="6" t="s">
        <v>16</v>
      </c>
    </row>
    <row r="12" customFormat="false" ht="15" hidden="false" customHeight="false" outlineLevel="0" collapsed="false">
      <c r="B12" s="12" t="s">
        <v>449</v>
      </c>
      <c r="C12" s="12" t="s">
        <v>450</v>
      </c>
      <c r="D12" s="13" t="n">
        <v>-156760</v>
      </c>
      <c r="E12" s="13" t="n">
        <v>-7838</v>
      </c>
      <c r="F12" s="12" t="n">
        <v>6</v>
      </c>
      <c r="G12" s="6" t="s">
        <v>16</v>
      </c>
    </row>
    <row r="13" customFormat="false" ht="15" hidden="false" customHeight="false" outlineLevel="0" collapsed="false">
      <c r="B13" s="12" t="s">
        <v>451</v>
      </c>
      <c r="C13" s="12" t="s">
        <v>452</v>
      </c>
      <c r="D13" s="13" t="n">
        <v>-231660</v>
      </c>
      <c r="E13" s="13" t="n">
        <v>-11583</v>
      </c>
      <c r="F13" s="12" t="n">
        <v>10</v>
      </c>
      <c r="G13" s="6" t="s">
        <v>16</v>
      </c>
    </row>
    <row r="14" customFormat="false" ht="15" hidden="false" customHeight="false" outlineLevel="0" collapsed="false">
      <c r="B14" s="12" t="s">
        <v>453</v>
      </c>
      <c r="C14" s="12" t="s">
        <v>454</v>
      </c>
      <c r="D14" s="13" t="n">
        <v>-141050</v>
      </c>
      <c r="E14" s="13" t="n">
        <v>-7052.5</v>
      </c>
      <c r="F14" s="12" t="n">
        <v>6</v>
      </c>
      <c r="G14" s="6" t="s">
        <v>16</v>
      </c>
    </row>
    <row r="15" customFormat="false" ht="15" hidden="false" customHeight="false" outlineLevel="0" collapsed="false">
      <c r="B15" s="12" t="s">
        <v>455</v>
      </c>
      <c r="C15" s="12" t="s">
        <v>456</v>
      </c>
      <c r="D15" s="13" t="n">
        <v>-59829</v>
      </c>
      <c r="E15" s="13" t="n">
        <v>-2991.45</v>
      </c>
      <c r="F15" s="12" t="n">
        <v>10</v>
      </c>
      <c r="G15" s="6" t="s">
        <v>16</v>
      </c>
    </row>
    <row r="16" customFormat="false" ht="15" hidden="false" customHeight="false" outlineLevel="0" collapsed="false">
      <c r="B16" s="12" t="s">
        <v>457</v>
      </c>
      <c r="C16" s="12" t="s">
        <v>458</v>
      </c>
      <c r="D16" s="13" t="n">
        <v>-49480</v>
      </c>
      <c r="E16" s="13" t="n">
        <v>-2474</v>
      </c>
      <c r="F16" s="12" t="n">
        <v>6</v>
      </c>
      <c r="G16" s="6" t="s">
        <v>16</v>
      </c>
    </row>
    <row r="17" customFormat="false" ht="15" hidden="false" customHeight="false" outlineLevel="0" collapsed="false">
      <c r="B17" s="12" t="s">
        <v>459</v>
      </c>
      <c r="C17" s="12" t="s">
        <v>460</v>
      </c>
      <c r="D17" s="13" t="n">
        <v>-56998</v>
      </c>
      <c r="E17" s="13" t="n">
        <v>-2849.9</v>
      </c>
      <c r="F17" s="12" t="n">
        <v>10</v>
      </c>
      <c r="G17" s="6" t="s">
        <v>16</v>
      </c>
    </row>
    <row r="18" customFormat="false" ht="15" hidden="false" customHeight="false" outlineLevel="0" collapsed="false">
      <c r="B18" s="12" t="s">
        <v>461</v>
      </c>
      <c r="C18" s="12" t="s">
        <v>462</v>
      </c>
      <c r="D18" s="13" t="n">
        <v>-55020</v>
      </c>
      <c r="E18" s="13" t="n">
        <v>-2751</v>
      </c>
      <c r="F18" s="12" t="n">
        <v>5</v>
      </c>
      <c r="G18" s="6" t="s">
        <v>16</v>
      </c>
    </row>
    <row r="19" customFormat="false" ht="15" hidden="false" customHeight="false" outlineLevel="0" collapsed="false">
      <c r="B19" s="12" t="s">
        <v>463</v>
      </c>
      <c r="C19" s="12" t="s">
        <v>464</v>
      </c>
      <c r="D19" s="13" t="n">
        <v>-40252</v>
      </c>
      <c r="E19" s="13" t="n">
        <v>-2012.6</v>
      </c>
      <c r="F19" s="12" t="n">
        <v>7</v>
      </c>
      <c r="G19" s="6" t="s">
        <v>16</v>
      </c>
    </row>
    <row r="20" customFormat="false" ht="15" hidden="false" customHeight="false" outlineLevel="0" collapsed="false">
      <c r="B20" s="12" t="s">
        <v>465</v>
      </c>
      <c r="C20" s="12" t="s">
        <v>464</v>
      </c>
      <c r="D20" s="13" t="n">
        <v>40252</v>
      </c>
      <c r="E20" s="13" t="n">
        <v>2012.6</v>
      </c>
      <c r="F20" s="12" t="n">
        <v>7</v>
      </c>
      <c r="G20" s="6" t="s">
        <v>16</v>
      </c>
    </row>
    <row r="21" customFormat="false" ht="15" hidden="false" customHeight="false" outlineLevel="0" collapsed="false">
      <c r="B21" s="12" t="s">
        <v>466</v>
      </c>
      <c r="C21" s="12" t="s">
        <v>464</v>
      </c>
      <c r="D21" s="13" t="n">
        <v>-40769</v>
      </c>
      <c r="E21" s="13" t="n">
        <v>-2038.45</v>
      </c>
      <c r="F21" s="12" t="n">
        <v>8</v>
      </c>
      <c r="G21" s="6" t="s">
        <v>16</v>
      </c>
    </row>
    <row r="22" customFormat="false" ht="15" hidden="false" customHeight="false" outlineLevel="0" collapsed="false">
      <c r="B22" s="12" t="s">
        <v>467</v>
      </c>
      <c r="C22" s="12" t="s">
        <v>468</v>
      </c>
      <c r="D22" s="13" t="n">
        <v>-732</v>
      </c>
      <c r="E22" s="13" t="n">
        <v>-36.6</v>
      </c>
      <c r="F22" s="12" t="n">
        <v>1</v>
      </c>
      <c r="G22" s="6" t="s">
        <v>16</v>
      </c>
    </row>
    <row r="23" customFormat="false" ht="15" hidden="false" customHeight="false" outlineLevel="0" collapsed="false">
      <c r="B23" s="12" t="s">
        <v>469</v>
      </c>
      <c r="C23" s="12" t="s">
        <v>470</v>
      </c>
      <c r="D23" s="13" t="n">
        <v>-2735</v>
      </c>
      <c r="E23" s="13" t="n">
        <v>-136.75</v>
      </c>
      <c r="F23" s="12" t="n">
        <v>2</v>
      </c>
      <c r="G23" s="6" t="s">
        <v>16</v>
      </c>
    </row>
    <row r="24" customFormat="false" ht="15" hidden="false" customHeight="false" outlineLevel="0" collapsed="false">
      <c r="B24" s="16" t="s">
        <v>471</v>
      </c>
      <c r="D24" s="26" t="n">
        <f aca="false">SUM(D6:D23)</f>
        <v>-1811843</v>
      </c>
      <c r="E24" s="26" t="n">
        <f aca="false">SUM(E6:E23)</f>
        <v>-90592.15</v>
      </c>
    </row>
    <row r="26" customFormat="false" ht="46.25" hidden="false" customHeight="true" outlineLevel="0" collapsed="false">
      <c r="B26" s="22" t="s">
        <v>472</v>
      </c>
      <c r="C26" s="22"/>
      <c r="D26" s="22"/>
      <c r="E26" s="22"/>
      <c r="F26" s="22"/>
      <c r="G26" s="22"/>
    </row>
  </sheetData>
  <mergeCells count="3">
    <mergeCell ref="B2:J2"/>
    <mergeCell ref="B3:J3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32"/>
    <col collapsed="false" customWidth="true" hidden="false" outlineLevel="0" max="4" min="4" style="0" width="78"/>
    <col collapsed="false" customWidth="true" hidden="false" outlineLevel="0" max="5" min="5" style="0" width="12"/>
    <col collapsed="false" customWidth="true" hidden="false" outlineLevel="0" max="6" min="6" style="0" width="40"/>
  </cols>
  <sheetData>
    <row r="2" customFormat="false" ht="27.75" hidden="false" customHeight="true" outlineLevel="0" collapsed="false">
      <c r="B2" s="1" t="s">
        <v>473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474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475</v>
      </c>
      <c r="C5" s="11" t="s">
        <v>476</v>
      </c>
      <c r="D5" s="11" t="s">
        <v>477</v>
      </c>
      <c r="E5" s="11" t="s">
        <v>478</v>
      </c>
      <c r="F5" s="11" t="s">
        <v>82</v>
      </c>
    </row>
    <row r="6" customFormat="false" ht="57.75" hidden="false" customHeight="true" outlineLevel="0" collapsed="false">
      <c r="B6" s="12" t="n">
        <v>1</v>
      </c>
      <c r="C6" s="4" t="s">
        <v>479</v>
      </c>
      <c r="D6" s="5" t="s">
        <v>480</v>
      </c>
      <c r="E6" s="25" t="s">
        <v>481</v>
      </c>
      <c r="F6" s="6" t="s">
        <v>16</v>
      </c>
    </row>
    <row r="7" customFormat="false" ht="57.75" hidden="false" customHeight="true" outlineLevel="0" collapsed="false">
      <c r="B7" s="12" t="n">
        <v>2</v>
      </c>
      <c r="C7" s="4" t="s">
        <v>482</v>
      </c>
      <c r="D7" s="5" t="s">
        <v>483</v>
      </c>
      <c r="E7" s="25" t="s">
        <v>481</v>
      </c>
      <c r="F7" s="6" t="s">
        <v>16</v>
      </c>
    </row>
    <row r="8" customFormat="false" ht="57.75" hidden="false" customHeight="true" outlineLevel="0" collapsed="false">
      <c r="B8" s="12" t="n">
        <v>3</v>
      </c>
      <c r="C8" s="4" t="s">
        <v>484</v>
      </c>
      <c r="D8" s="5" t="s">
        <v>485</v>
      </c>
      <c r="E8" s="25" t="s">
        <v>481</v>
      </c>
      <c r="F8" s="6" t="s">
        <v>16</v>
      </c>
    </row>
    <row r="9" customFormat="false" ht="57.75" hidden="false" customHeight="true" outlineLevel="0" collapsed="false">
      <c r="B9" s="12" t="n">
        <v>4</v>
      </c>
      <c r="C9" s="4" t="s">
        <v>486</v>
      </c>
      <c r="D9" s="5" t="s">
        <v>487</v>
      </c>
      <c r="E9" s="25" t="s">
        <v>481</v>
      </c>
      <c r="F9" s="6" t="s">
        <v>16</v>
      </c>
    </row>
    <row r="10" customFormat="false" ht="57.75" hidden="false" customHeight="true" outlineLevel="0" collapsed="false">
      <c r="B10" s="12" t="n">
        <v>5</v>
      </c>
      <c r="C10" s="4" t="s">
        <v>488</v>
      </c>
      <c r="D10" s="5" t="s">
        <v>489</v>
      </c>
      <c r="E10" s="25" t="s">
        <v>481</v>
      </c>
      <c r="F10" s="6" t="s">
        <v>490</v>
      </c>
    </row>
    <row r="11" customFormat="false" ht="57.75" hidden="false" customHeight="true" outlineLevel="0" collapsed="false">
      <c r="B11" s="12" t="n">
        <v>6</v>
      </c>
      <c r="C11" s="4" t="s">
        <v>491</v>
      </c>
      <c r="D11" s="5" t="s">
        <v>492</v>
      </c>
      <c r="E11" s="25" t="s">
        <v>481</v>
      </c>
      <c r="F11" s="6" t="s">
        <v>16</v>
      </c>
    </row>
    <row r="12" customFormat="false" ht="57.75" hidden="false" customHeight="true" outlineLevel="0" collapsed="false">
      <c r="B12" s="12" t="n">
        <v>7</v>
      </c>
      <c r="C12" s="4" t="s">
        <v>493</v>
      </c>
      <c r="D12" s="5" t="s">
        <v>494</v>
      </c>
      <c r="E12" s="25" t="s">
        <v>481</v>
      </c>
      <c r="F12" s="6" t="s">
        <v>16</v>
      </c>
    </row>
    <row r="13" customFormat="false" ht="57.75" hidden="false" customHeight="true" outlineLevel="0" collapsed="false">
      <c r="B13" s="12" t="n">
        <v>8</v>
      </c>
      <c r="C13" s="4" t="s">
        <v>495</v>
      </c>
      <c r="D13" s="5" t="s">
        <v>496</v>
      </c>
      <c r="E13" s="25" t="s">
        <v>481</v>
      </c>
      <c r="F13" s="6" t="s">
        <v>16</v>
      </c>
    </row>
    <row r="14" customFormat="false" ht="57.75" hidden="false" customHeight="true" outlineLevel="0" collapsed="false">
      <c r="B14" s="12" t="n">
        <v>9</v>
      </c>
      <c r="C14" s="4" t="s">
        <v>497</v>
      </c>
      <c r="D14" s="5" t="s">
        <v>498</v>
      </c>
      <c r="E14" s="25" t="s">
        <v>481</v>
      </c>
      <c r="F14" s="6" t="s">
        <v>16</v>
      </c>
    </row>
    <row r="15" customFormat="false" ht="57.75" hidden="false" customHeight="true" outlineLevel="0" collapsed="false">
      <c r="B15" s="12" t="n">
        <v>10</v>
      </c>
      <c r="C15" s="4" t="s">
        <v>499</v>
      </c>
      <c r="D15" s="5" t="s">
        <v>500</v>
      </c>
      <c r="E15" s="25" t="s">
        <v>481</v>
      </c>
      <c r="F15" s="6" t="s">
        <v>391</v>
      </c>
    </row>
    <row r="16" customFormat="false" ht="57.75" hidden="false" customHeight="true" outlineLevel="0" collapsed="false">
      <c r="B16" s="12" t="n">
        <v>11</v>
      </c>
      <c r="C16" s="4" t="s">
        <v>501</v>
      </c>
      <c r="D16" s="5" t="s">
        <v>502</v>
      </c>
      <c r="E16" s="25" t="s">
        <v>481</v>
      </c>
      <c r="F16" s="6" t="s">
        <v>503</v>
      </c>
    </row>
    <row r="17" customFormat="false" ht="57.75" hidden="false" customHeight="true" outlineLevel="0" collapsed="false">
      <c r="B17" s="12" t="n">
        <v>12</v>
      </c>
      <c r="C17" s="4" t="s">
        <v>504</v>
      </c>
      <c r="D17" s="5" t="s">
        <v>505</v>
      </c>
      <c r="E17" s="25" t="s">
        <v>481</v>
      </c>
      <c r="F17" s="6" t="s">
        <v>506</v>
      </c>
    </row>
    <row r="18" customFormat="false" ht="57.75" hidden="false" customHeight="true" outlineLevel="0" collapsed="false">
      <c r="B18" s="12" t="n">
        <v>13</v>
      </c>
      <c r="C18" s="4" t="s">
        <v>507</v>
      </c>
      <c r="D18" s="5" t="s">
        <v>508</v>
      </c>
      <c r="E18" s="25" t="s">
        <v>481</v>
      </c>
      <c r="F18" s="6" t="s">
        <v>509</v>
      </c>
    </row>
    <row r="19" customFormat="false" ht="57.75" hidden="false" customHeight="true" outlineLevel="0" collapsed="false">
      <c r="B19" s="12" t="n">
        <v>14</v>
      </c>
      <c r="C19" s="4" t="s">
        <v>510</v>
      </c>
      <c r="D19" s="5" t="s">
        <v>511</v>
      </c>
      <c r="E19" s="25" t="s">
        <v>481</v>
      </c>
      <c r="F19" s="6" t="s">
        <v>34</v>
      </c>
    </row>
    <row r="20" customFormat="false" ht="57.75" hidden="false" customHeight="true" outlineLevel="0" collapsed="false">
      <c r="B20" s="12" t="n">
        <v>15</v>
      </c>
      <c r="C20" s="4" t="s">
        <v>512</v>
      </c>
      <c r="D20" s="5" t="s">
        <v>513</v>
      </c>
      <c r="E20" s="25" t="s">
        <v>481</v>
      </c>
      <c r="F20" s="6" t="s">
        <v>514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8" min="8" style="0" width="42"/>
  </cols>
  <sheetData>
    <row r="2" customFormat="false" ht="27.75" hidden="false" customHeight="true" outlineLevel="0" collapsed="false">
      <c r="B2" s="1" t="s">
        <v>515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516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517</v>
      </c>
      <c r="C5" s="11" t="s">
        <v>518</v>
      </c>
      <c r="D5" s="11" t="s">
        <v>316</v>
      </c>
      <c r="E5" s="11" t="s">
        <v>146</v>
      </c>
      <c r="F5" s="11" t="s">
        <v>317</v>
      </c>
      <c r="G5" s="11" t="s">
        <v>478</v>
      </c>
      <c r="H5" s="11" t="s">
        <v>519</v>
      </c>
    </row>
    <row r="6" customFormat="false" ht="23.85" hidden="false" customHeight="false" outlineLevel="0" collapsed="false">
      <c r="B6" s="5" t="s">
        <v>520</v>
      </c>
      <c r="C6" s="5" t="s">
        <v>521</v>
      </c>
      <c r="D6" s="12" t="s">
        <v>4</v>
      </c>
      <c r="E6" s="12" t="s">
        <v>522</v>
      </c>
      <c r="F6" s="5" t="s">
        <v>523</v>
      </c>
      <c r="G6" s="25" t="s">
        <v>481</v>
      </c>
      <c r="H6" s="5" t="s">
        <v>16</v>
      </c>
    </row>
    <row r="7" customFormat="false" ht="23.85" hidden="false" customHeight="false" outlineLevel="0" collapsed="false">
      <c r="B7" s="5" t="s">
        <v>524</v>
      </c>
      <c r="C7" s="5" t="s">
        <v>525</v>
      </c>
      <c r="D7" s="12" t="s">
        <v>7</v>
      </c>
      <c r="E7" s="12" t="s">
        <v>522</v>
      </c>
      <c r="F7" s="5" t="s">
        <v>526</v>
      </c>
      <c r="G7" s="25" t="s">
        <v>481</v>
      </c>
      <c r="H7" s="5" t="s">
        <v>16</v>
      </c>
    </row>
    <row r="8" customFormat="false" ht="35.05" hidden="false" customHeight="false" outlineLevel="0" collapsed="false">
      <c r="B8" s="5" t="s">
        <v>8</v>
      </c>
      <c r="C8" s="5" t="s">
        <v>527</v>
      </c>
      <c r="D8" s="12" t="s">
        <v>528</v>
      </c>
      <c r="E8" s="12" t="s">
        <v>522</v>
      </c>
      <c r="F8" s="5" t="s">
        <v>529</v>
      </c>
      <c r="G8" s="25" t="s">
        <v>481</v>
      </c>
      <c r="H8" s="5" t="s">
        <v>13</v>
      </c>
    </row>
    <row r="9" customFormat="false" ht="35.05" hidden="false" customHeight="false" outlineLevel="0" collapsed="false">
      <c r="B9" s="5" t="s">
        <v>11</v>
      </c>
      <c r="C9" s="5" t="s">
        <v>530</v>
      </c>
      <c r="D9" s="12" t="s">
        <v>12</v>
      </c>
      <c r="E9" s="12" t="s">
        <v>522</v>
      </c>
      <c r="F9" s="5" t="s">
        <v>531</v>
      </c>
      <c r="G9" s="25" t="s">
        <v>481</v>
      </c>
      <c r="H9" s="5" t="s">
        <v>13</v>
      </c>
    </row>
    <row r="10" customFormat="false" ht="35.05" hidden="false" customHeight="false" outlineLevel="0" collapsed="false">
      <c r="B10" s="5" t="s">
        <v>17</v>
      </c>
      <c r="C10" s="5" t="s">
        <v>532</v>
      </c>
      <c r="D10" s="12" t="s">
        <v>18</v>
      </c>
      <c r="E10" s="12" t="s">
        <v>522</v>
      </c>
      <c r="F10" s="5" t="s">
        <v>533</v>
      </c>
      <c r="G10" s="25" t="s">
        <v>481</v>
      </c>
      <c r="H10" s="5" t="s">
        <v>13</v>
      </c>
    </row>
    <row r="11" customFormat="false" ht="35.05" hidden="false" customHeight="false" outlineLevel="0" collapsed="false">
      <c r="B11" s="5" t="s">
        <v>20</v>
      </c>
      <c r="C11" s="5" t="s">
        <v>534</v>
      </c>
      <c r="D11" s="12" t="s">
        <v>21</v>
      </c>
      <c r="E11" s="12" t="s">
        <v>522</v>
      </c>
      <c r="F11" s="5" t="s">
        <v>535</v>
      </c>
      <c r="G11" s="25" t="s">
        <v>481</v>
      </c>
      <c r="H11" s="5" t="s">
        <v>13</v>
      </c>
    </row>
    <row r="12" customFormat="false" ht="35.05" hidden="false" customHeight="false" outlineLevel="0" collapsed="false">
      <c r="B12" s="5" t="s">
        <v>536</v>
      </c>
      <c r="C12" s="5" t="s">
        <v>537</v>
      </c>
      <c r="D12" s="12" t="s">
        <v>24</v>
      </c>
      <c r="E12" s="12" t="s">
        <v>522</v>
      </c>
      <c r="F12" s="5" t="s">
        <v>538</v>
      </c>
      <c r="G12" s="25" t="s">
        <v>481</v>
      </c>
      <c r="H12" s="5" t="s">
        <v>13</v>
      </c>
    </row>
    <row r="13" customFormat="false" ht="35.05" hidden="false" customHeight="false" outlineLevel="0" collapsed="false">
      <c r="B13" s="5" t="s">
        <v>539</v>
      </c>
      <c r="C13" s="5" t="s">
        <v>540</v>
      </c>
      <c r="D13" s="12" t="s">
        <v>541</v>
      </c>
      <c r="E13" s="12" t="s">
        <v>522</v>
      </c>
      <c r="F13" s="5" t="s">
        <v>542</v>
      </c>
      <c r="G13" s="25" t="s">
        <v>481</v>
      </c>
      <c r="H13" s="5" t="s">
        <v>543</v>
      </c>
    </row>
    <row r="14" customFormat="false" ht="23.85" hidden="false" customHeight="false" outlineLevel="0" collapsed="false">
      <c r="B14" s="5" t="s">
        <v>544</v>
      </c>
      <c r="C14" s="5" t="s">
        <v>545</v>
      </c>
      <c r="D14" s="12" t="s">
        <v>546</v>
      </c>
      <c r="E14" s="12" t="s">
        <v>522</v>
      </c>
      <c r="F14" s="5" t="s">
        <v>547</v>
      </c>
      <c r="G14" s="25" t="s">
        <v>481</v>
      </c>
      <c r="H14" s="5" t="s">
        <v>16</v>
      </c>
    </row>
    <row r="15" customFormat="false" ht="23.85" hidden="false" customHeight="false" outlineLevel="0" collapsed="false">
      <c r="B15" s="5" t="s">
        <v>548</v>
      </c>
      <c r="C15" s="5" t="s">
        <v>549</v>
      </c>
      <c r="D15" s="12" t="s">
        <v>550</v>
      </c>
      <c r="E15" s="12" t="s">
        <v>522</v>
      </c>
      <c r="F15" s="5" t="s">
        <v>551</v>
      </c>
      <c r="G15" s="25" t="s">
        <v>481</v>
      </c>
      <c r="H15" s="5" t="s">
        <v>16</v>
      </c>
    </row>
    <row r="16" customFormat="false" ht="15" hidden="false" customHeight="false" outlineLevel="0" collapsed="false">
      <c r="B16" s="5" t="s">
        <v>552</v>
      </c>
      <c r="C16" s="5" t="s">
        <v>553</v>
      </c>
      <c r="D16" s="27" t="n">
        <v>15.1</v>
      </c>
      <c r="E16" s="12" t="s">
        <v>522</v>
      </c>
      <c r="F16" s="5" t="s">
        <v>554</v>
      </c>
      <c r="G16" s="25" t="s">
        <v>481</v>
      </c>
      <c r="H16" s="5" t="s">
        <v>325</v>
      </c>
    </row>
    <row r="17" customFormat="false" ht="35.05" hidden="false" customHeight="false" outlineLevel="0" collapsed="false">
      <c r="B17" s="5" t="s">
        <v>555</v>
      </c>
      <c r="C17" s="5" t="s">
        <v>556</v>
      </c>
      <c r="D17" s="28" t="n">
        <v>116</v>
      </c>
      <c r="E17" s="12" t="s">
        <v>522</v>
      </c>
      <c r="F17" s="5" t="s">
        <v>53</v>
      </c>
      <c r="G17" s="25" t="s">
        <v>481</v>
      </c>
      <c r="H17" s="5" t="s">
        <v>543</v>
      </c>
    </row>
    <row r="18" customFormat="false" ht="57.45" hidden="false" customHeight="false" outlineLevel="0" collapsed="false">
      <c r="B18" s="5" t="s">
        <v>557</v>
      </c>
      <c r="C18" s="5" t="s">
        <v>558</v>
      </c>
      <c r="D18" s="29" t="n">
        <v>1763480</v>
      </c>
      <c r="E18" s="12" t="s">
        <v>559</v>
      </c>
      <c r="F18" s="5" t="s">
        <v>560</v>
      </c>
      <c r="G18" s="25" t="s">
        <v>481</v>
      </c>
      <c r="H18" s="5" t="s">
        <v>561</v>
      </c>
    </row>
    <row r="19" customFormat="false" ht="35.05" hidden="false" customHeight="false" outlineLevel="0" collapsed="false">
      <c r="B19" s="5" t="s">
        <v>562</v>
      </c>
      <c r="C19" s="5" t="s">
        <v>563</v>
      </c>
      <c r="D19" s="29" t="n">
        <v>1932774.08</v>
      </c>
      <c r="E19" s="12" t="s">
        <v>559</v>
      </c>
      <c r="F19" s="5" t="s">
        <v>564</v>
      </c>
      <c r="G19" s="25" t="s">
        <v>481</v>
      </c>
      <c r="H19" s="5" t="s">
        <v>13</v>
      </c>
    </row>
    <row r="20" customFormat="false" ht="35.05" hidden="false" customHeight="false" outlineLevel="0" collapsed="false">
      <c r="B20" s="5" t="s">
        <v>565</v>
      </c>
      <c r="C20" s="5" t="s">
        <v>566</v>
      </c>
      <c r="D20" s="30" t="n">
        <v>0.096</v>
      </c>
      <c r="E20" s="12" t="s">
        <v>559</v>
      </c>
      <c r="F20" s="5" t="s">
        <v>567</v>
      </c>
      <c r="G20" s="25" t="s">
        <v>481</v>
      </c>
      <c r="H20" s="5" t="s">
        <v>13</v>
      </c>
    </row>
    <row r="21" customFormat="false" ht="23.85" hidden="false" customHeight="false" outlineLevel="0" collapsed="false">
      <c r="B21" s="5" t="s">
        <v>568</v>
      </c>
      <c r="C21" s="5" t="s">
        <v>569</v>
      </c>
      <c r="D21" s="29" t="n">
        <v>1811843</v>
      </c>
      <c r="E21" s="12" t="s">
        <v>559</v>
      </c>
      <c r="F21" s="5" t="s">
        <v>570</v>
      </c>
      <c r="G21" s="25" t="s">
        <v>481</v>
      </c>
      <c r="H21" s="5" t="s">
        <v>16</v>
      </c>
    </row>
    <row r="22" customFormat="false" ht="23.85" hidden="false" customHeight="false" outlineLevel="0" collapsed="false">
      <c r="B22" s="5" t="s">
        <v>571</v>
      </c>
      <c r="C22" s="5" t="s">
        <v>572</v>
      </c>
      <c r="D22" s="29" t="n">
        <v>48363</v>
      </c>
      <c r="E22" s="12" t="s">
        <v>559</v>
      </c>
      <c r="F22" s="5" t="s">
        <v>573</v>
      </c>
      <c r="G22" s="25" t="s">
        <v>481</v>
      </c>
      <c r="H22" s="5" t="s">
        <v>16</v>
      </c>
    </row>
    <row r="23" customFormat="false" ht="23.85" hidden="false" customHeight="false" outlineLevel="0" collapsed="false">
      <c r="B23" s="5" t="s">
        <v>574</v>
      </c>
      <c r="C23" s="5" t="s">
        <v>575</v>
      </c>
      <c r="D23" s="28" t="n">
        <v>54663</v>
      </c>
      <c r="E23" s="12" t="s">
        <v>559</v>
      </c>
      <c r="F23" s="5" t="s">
        <v>576</v>
      </c>
      <c r="G23" s="25" t="s">
        <v>481</v>
      </c>
      <c r="H23" s="5" t="s">
        <v>391</v>
      </c>
    </row>
    <row r="24" customFormat="false" ht="23.85" hidden="false" customHeight="false" outlineLevel="0" collapsed="false">
      <c r="B24" s="5" t="s">
        <v>577</v>
      </c>
      <c r="C24" s="5" t="s">
        <v>578</v>
      </c>
      <c r="D24" s="28" t="n">
        <v>17</v>
      </c>
      <c r="E24" s="12" t="s">
        <v>559</v>
      </c>
      <c r="F24" s="5" t="s">
        <v>579</v>
      </c>
      <c r="G24" s="25" t="s">
        <v>481</v>
      </c>
      <c r="H24" s="5" t="s">
        <v>391</v>
      </c>
    </row>
    <row r="25" customFormat="false" ht="23.85" hidden="false" customHeight="false" outlineLevel="0" collapsed="false">
      <c r="B25" s="5" t="s">
        <v>580</v>
      </c>
      <c r="C25" s="5" t="s">
        <v>581</v>
      </c>
      <c r="D25" s="28" t="n">
        <v>8</v>
      </c>
      <c r="E25" s="12" t="s">
        <v>559</v>
      </c>
      <c r="F25" s="5" t="s">
        <v>582</v>
      </c>
      <c r="G25" s="25" t="s">
        <v>481</v>
      </c>
      <c r="H25" s="5" t="s">
        <v>583</v>
      </c>
    </row>
    <row r="26" customFormat="false" ht="15" hidden="false" customHeight="false" outlineLevel="0" collapsed="false">
      <c r="B26" s="5" t="s">
        <v>584</v>
      </c>
      <c r="C26" s="5" t="s">
        <v>585</v>
      </c>
      <c r="D26" s="30" t="n">
        <v>0.0274247510604033</v>
      </c>
      <c r="E26" s="12" t="s">
        <v>559</v>
      </c>
      <c r="F26" s="5"/>
      <c r="G26" s="25" t="s">
        <v>481</v>
      </c>
      <c r="H26" s="5" t="s">
        <v>325</v>
      </c>
    </row>
    <row r="27" customFormat="false" ht="23.85" hidden="false" customHeight="false" outlineLevel="0" collapsed="false">
      <c r="B27" s="5" t="s">
        <v>586</v>
      </c>
      <c r="C27" s="5" t="s">
        <v>587</v>
      </c>
      <c r="D27" s="29" t="n">
        <v>1811843</v>
      </c>
      <c r="E27" s="12" t="s">
        <v>559</v>
      </c>
      <c r="F27" s="5" t="s">
        <v>588</v>
      </c>
      <c r="G27" s="25" t="s">
        <v>481</v>
      </c>
      <c r="H27" s="5" t="s">
        <v>16</v>
      </c>
    </row>
    <row r="28" customFormat="false" ht="23.85" hidden="false" customHeight="false" outlineLevel="0" collapsed="false">
      <c r="B28" s="5" t="s">
        <v>589</v>
      </c>
      <c r="C28" s="5" t="s">
        <v>590</v>
      </c>
      <c r="D28" s="29" t="n">
        <v>925434.96</v>
      </c>
      <c r="E28" s="12" t="s">
        <v>559</v>
      </c>
      <c r="F28" s="5" t="s">
        <v>591</v>
      </c>
      <c r="G28" s="25" t="s">
        <v>481</v>
      </c>
      <c r="H28" s="5" t="s">
        <v>16</v>
      </c>
    </row>
    <row r="29" customFormat="false" ht="23.85" hidden="false" customHeight="false" outlineLevel="0" collapsed="false">
      <c r="B29" s="5" t="s">
        <v>592</v>
      </c>
      <c r="C29" s="5" t="s">
        <v>593</v>
      </c>
      <c r="D29" s="29" t="n">
        <v>886408.04</v>
      </c>
      <c r="E29" s="12" t="s">
        <v>559</v>
      </c>
      <c r="F29" s="5" t="s">
        <v>594</v>
      </c>
      <c r="G29" s="25" t="s">
        <v>481</v>
      </c>
      <c r="H29" s="5" t="s">
        <v>16</v>
      </c>
    </row>
    <row r="30" customFormat="false" ht="15" hidden="false" customHeight="false" outlineLevel="0" collapsed="false">
      <c r="B30" s="5" t="s">
        <v>359</v>
      </c>
      <c r="C30" s="5" t="s">
        <v>595</v>
      </c>
      <c r="D30" s="30" t="n">
        <v>0.489230049181966</v>
      </c>
      <c r="E30" s="12" t="s">
        <v>559</v>
      </c>
      <c r="F30" s="5"/>
      <c r="G30" s="25" t="s">
        <v>481</v>
      </c>
      <c r="H30" s="5" t="s">
        <v>325</v>
      </c>
    </row>
    <row r="31" customFormat="false" ht="23.85" hidden="false" customHeight="false" outlineLevel="0" collapsed="false">
      <c r="B31" s="5" t="s">
        <v>596</v>
      </c>
      <c r="C31" s="5" t="s">
        <v>597</v>
      </c>
      <c r="D31" s="29" t="n">
        <v>90592.15</v>
      </c>
      <c r="E31" s="12" t="s">
        <v>559</v>
      </c>
      <c r="F31" s="5" t="s">
        <v>598</v>
      </c>
      <c r="G31" s="25" t="s">
        <v>481</v>
      </c>
      <c r="H31" s="5" t="s">
        <v>16</v>
      </c>
    </row>
    <row r="32" customFormat="false" ht="23.85" hidden="false" customHeight="false" outlineLevel="0" collapsed="false">
      <c r="B32" s="5" t="s">
        <v>599</v>
      </c>
      <c r="C32" s="5" t="s">
        <v>600</v>
      </c>
      <c r="D32" s="30" t="n">
        <v>0.05</v>
      </c>
      <c r="E32" s="12" t="s">
        <v>559</v>
      </c>
      <c r="F32" s="5" t="s">
        <v>601</v>
      </c>
      <c r="G32" s="25" t="s">
        <v>481</v>
      </c>
      <c r="H32" s="5" t="s">
        <v>514</v>
      </c>
    </row>
    <row r="33" customFormat="false" ht="23.85" hidden="false" customHeight="false" outlineLevel="0" collapsed="false">
      <c r="B33" s="5" t="s">
        <v>602</v>
      </c>
      <c r="C33" s="5" t="s">
        <v>603</v>
      </c>
      <c r="D33" s="29" t="n">
        <v>379757.5</v>
      </c>
      <c r="E33" s="12" t="s">
        <v>151</v>
      </c>
      <c r="F33" s="5" t="s">
        <v>604</v>
      </c>
      <c r="G33" s="25" t="s">
        <v>481</v>
      </c>
      <c r="H33" s="5" t="s">
        <v>16</v>
      </c>
    </row>
    <row r="34" customFormat="false" ht="23.85" hidden="false" customHeight="false" outlineLevel="0" collapsed="false">
      <c r="B34" s="5" t="s">
        <v>605</v>
      </c>
      <c r="C34" s="5" t="s">
        <v>606</v>
      </c>
      <c r="D34" s="29" t="n">
        <v>336538.34</v>
      </c>
      <c r="E34" s="12" t="s">
        <v>153</v>
      </c>
      <c r="F34" s="5" t="s">
        <v>607</v>
      </c>
      <c r="G34" s="25" t="s">
        <v>481</v>
      </c>
      <c r="H34" s="5" t="s">
        <v>16</v>
      </c>
    </row>
    <row r="35" customFormat="false" ht="23.85" hidden="false" customHeight="false" outlineLevel="0" collapsed="false">
      <c r="B35" s="5" t="s">
        <v>608</v>
      </c>
      <c r="C35" s="5" t="s">
        <v>609</v>
      </c>
      <c r="D35" s="29" t="n">
        <v>12403.9</v>
      </c>
      <c r="E35" s="12" t="s">
        <v>559</v>
      </c>
      <c r="F35" s="5" t="s">
        <v>610</v>
      </c>
      <c r="G35" s="25" t="s">
        <v>481</v>
      </c>
      <c r="H35" s="5" t="s">
        <v>16</v>
      </c>
    </row>
    <row r="36" customFormat="false" ht="23.85" hidden="false" customHeight="false" outlineLevel="0" collapsed="false">
      <c r="B36" s="5" t="s">
        <v>611</v>
      </c>
      <c r="C36" s="5" t="s">
        <v>612</v>
      </c>
      <c r="D36" s="29" t="n">
        <v>167598.54</v>
      </c>
      <c r="E36" s="12" t="s">
        <v>151</v>
      </c>
      <c r="F36" s="5" t="s">
        <v>613</v>
      </c>
      <c r="G36" s="25" t="s">
        <v>481</v>
      </c>
      <c r="H36" s="5" t="s">
        <v>16</v>
      </c>
    </row>
    <row r="37" customFormat="false" ht="23.85" hidden="false" customHeight="false" outlineLevel="0" collapsed="false">
      <c r="B37" s="5" t="s">
        <v>614</v>
      </c>
      <c r="C37" s="5" t="s">
        <v>615</v>
      </c>
      <c r="D37" s="29" t="n">
        <v>29136.68</v>
      </c>
      <c r="E37" s="12" t="s">
        <v>151</v>
      </c>
      <c r="F37" s="5" t="s">
        <v>616</v>
      </c>
      <c r="G37" s="25" t="s">
        <v>481</v>
      </c>
      <c r="H37" s="5" t="s">
        <v>16</v>
      </c>
    </row>
    <row r="38" customFormat="false" ht="23.85" hidden="false" customHeight="false" outlineLevel="0" collapsed="false">
      <c r="B38" s="5" t="s">
        <v>320</v>
      </c>
      <c r="C38" s="5" t="s">
        <v>617</v>
      </c>
      <c r="D38" s="27" t="n">
        <v>17098</v>
      </c>
      <c r="E38" s="12" t="s">
        <v>151</v>
      </c>
      <c r="F38" s="5" t="s">
        <v>618</v>
      </c>
      <c r="G38" s="25" t="s">
        <v>481</v>
      </c>
      <c r="H38" s="5" t="s">
        <v>16</v>
      </c>
    </row>
    <row r="39" customFormat="false" ht="23.85" hidden="false" customHeight="false" outlineLevel="0" collapsed="false">
      <c r="B39" s="5" t="s">
        <v>318</v>
      </c>
      <c r="C39" s="5" t="s">
        <v>619</v>
      </c>
      <c r="D39" s="28" t="n">
        <v>40</v>
      </c>
      <c r="E39" s="12" t="s">
        <v>151</v>
      </c>
      <c r="F39" s="5" t="s">
        <v>319</v>
      </c>
      <c r="G39" s="25" t="s">
        <v>481</v>
      </c>
      <c r="H39" s="5" t="s">
        <v>16</v>
      </c>
    </row>
    <row r="40" customFormat="false" ht="15" hidden="false" customHeight="false" outlineLevel="0" collapsed="false">
      <c r="B40" s="5" t="s">
        <v>323</v>
      </c>
      <c r="C40" s="5" t="s">
        <v>620</v>
      </c>
      <c r="D40" s="29" t="n">
        <v>22.2106386711896</v>
      </c>
      <c r="E40" s="12" t="s">
        <v>151</v>
      </c>
      <c r="F40" s="5" t="s">
        <v>347</v>
      </c>
      <c r="G40" s="25" t="s">
        <v>481</v>
      </c>
      <c r="H40" s="5" t="s">
        <v>325</v>
      </c>
    </row>
    <row r="41" customFormat="false" ht="15" hidden="false" customHeight="false" outlineLevel="0" collapsed="false">
      <c r="B41" s="5" t="s">
        <v>621</v>
      </c>
      <c r="C41" s="5" t="s">
        <v>622</v>
      </c>
      <c r="D41" s="29" t="n">
        <v>33.7169680664405</v>
      </c>
      <c r="E41" s="12" t="s">
        <v>151</v>
      </c>
      <c r="F41" s="5" t="s">
        <v>623</v>
      </c>
      <c r="G41" s="25" t="s">
        <v>481</v>
      </c>
      <c r="H41" s="5" t="s">
        <v>325</v>
      </c>
    </row>
    <row r="42" customFormat="false" ht="15" hidden="false" customHeight="false" outlineLevel="0" collapsed="false">
      <c r="B42" s="5" t="s">
        <v>350</v>
      </c>
      <c r="C42" s="5" t="s">
        <v>624</v>
      </c>
      <c r="D42" s="31" t="n">
        <v>1.51805486395924</v>
      </c>
      <c r="E42" s="12" t="s">
        <v>151</v>
      </c>
      <c r="F42" s="5" t="s">
        <v>625</v>
      </c>
      <c r="G42" s="25" t="s">
        <v>481</v>
      </c>
      <c r="H42" s="5" t="s">
        <v>325</v>
      </c>
    </row>
    <row r="43" customFormat="false" ht="23.85" hidden="false" customHeight="false" outlineLevel="0" collapsed="false">
      <c r="B43" s="5" t="s">
        <v>626</v>
      </c>
      <c r="C43" s="5" t="s">
        <v>627</v>
      </c>
      <c r="D43" s="27" t="n">
        <v>8731</v>
      </c>
      <c r="E43" s="12" t="s">
        <v>151</v>
      </c>
      <c r="F43" s="5" t="s">
        <v>628</v>
      </c>
      <c r="G43" s="25" t="s">
        <v>481</v>
      </c>
      <c r="H43" s="5" t="s">
        <v>16</v>
      </c>
    </row>
    <row r="44" customFormat="false" ht="23.85" hidden="false" customHeight="false" outlineLevel="0" collapsed="false">
      <c r="B44" s="5" t="s">
        <v>629</v>
      </c>
      <c r="C44" s="5" t="s">
        <v>630</v>
      </c>
      <c r="D44" s="27" t="n">
        <v>1150.5</v>
      </c>
      <c r="E44" s="12" t="s">
        <v>151</v>
      </c>
      <c r="F44" s="5" t="s">
        <v>631</v>
      </c>
      <c r="G44" s="25" t="s">
        <v>481</v>
      </c>
      <c r="H44" s="5" t="s">
        <v>16</v>
      </c>
    </row>
    <row r="45" customFormat="false" ht="15" hidden="false" customHeight="false" outlineLevel="0" collapsed="false">
      <c r="B45" s="5" t="s">
        <v>632</v>
      </c>
      <c r="C45" s="5" t="s">
        <v>633</v>
      </c>
      <c r="D45" s="27" t="n">
        <v>105.968124926892</v>
      </c>
      <c r="E45" s="12" t="s">
        <v>634</v>
      </c>
      <c r="F45" s="5"/>
      <c r="G45" s="25" t="s">
        <v>481</v>
      </c>
      <c r="H45" s="5" t="s">
        <v>325</v>
      </c>
    </row>
    <row r="46" customFormat="false" ht="15" hidden="false" customHeight="false" outlineLevel="0" collapsed="false">
      <c r="B46" s="5" t="s">
        <v>635</v>
      </c>
      <c r="C46" s="5" t="s">
        <v>636</v>
      </c>
      <c r="D46" s="27" t="n">
        <v>51.8427909697041</v>
      </c>
      <c r="E46" s="12" t="s">
        <v>634</v>
      </c>
      <c r="F46" s="5"/>
      <c r="G46" s="25" t="s">
        <v>481</v>
      </c>
      <c r="H46" s="5" t="s">
        <v>325</v>
      </c>
    </row>
    <row r="47" customFormat="false" ht="15" hidden="false" customHeight="false" outlineLevel="0" collapsed="false">
      <c r="B47" s="5" t="s">
        <v>637</v>
      </c>
      <c r="C47" s="5" t="s">
        <v>638</v>
      </c>
      <c r="D47" s="29" t="n">
        <v>15619.3362068966</v>
      </c>
      <c r="E47" s="12" t="s">
        <v>634</v>
      </c>
      <c r="F47" s="5" t="s">
        <v>639</v>
      </c>
      <c r="G47" s="25" t="s">
        <v>481</v>
      </c>
      <c r="H47" s="5" t="s">
        <v>325</v>
      </c>
    </row>
    <row r="48" customFormat="false" ht="15" hidden="false" customHeight="false" outlineLevel="0" collapsed="false">
      <c r="B48" s="5" t="s">
        <v>370</v>
      </c>
      <c r="C48" s="5" t="s">
        <v>640</v>
      </c>
      <c r="D48" s="29" t="n">
        <v>7977.8875862069</v>
      </c>
      <c r="E48" s="12" t="s">
        <v>634</v>
      </c>
      <c r="F48" s="5" t="s">
        <v>639</v>
      </c>
      <c r="G48" s="25" t="s">
        <v>481</v>
      </c>
      <c r="H48" s="5" t="s">
        <v>325</v>
      </c>
    </row>
    <row r="49" customFormat="false" ht="15" hidden="false" customHeight="false" outlineLevel="0" collapsed="false">
      <c r="B49" s="5" t="s">
        <v>367</v>
      </c>
      <c r="C49" s="5" t="s">
        <v>641</v>
      </c>
      <c r="D49" s="27" t="n">
        <v>147.396551724138</v>
      </c>
      <c r="E49" s="12" t="s">
        <v>634</v>
      </c>
      <c r="F49" s="5" t="s">
        <v>639</v>
      </c>
      <c r="G49" s="25" t="s">
        <v>481</v>
      </c>
      <c r="H49" s="5" t="s">
        <v>325</v>
      </c>
    </row>
    <row r="50" customFormat="false" ht="15" hidden="false" customHeight="false" outlineLevel="0" collapsed="false">
      <c r="B50" s="5" t="s">
        <v>361</v>
      </c>
      <c r="C50" s="5" t="s">
        <v>642</v>
      </c>
      <c r="D50" s="30" t="n">
        <v>0.20959735473769</v>
      </c>
      <c r="E50" s="12" t="s">
        <v>643</v>
      </c>
      <c r="F50" s="5"/>
      <c r="G50" s="25" t="s">
        <v>481</v>
      </c>
      <c r="H50" s="5" t="s">
        <v>325</v>
      </c>
    </row>
    <row r="51" customFormat="false" ht="15" hidden="false" customHeight="false" outlineLevel="0" collapsed="false">
      <c r="B51" s="5" t="s">
        <v>362</v>
      </c>
      <c r="C51" s="5" t="s">
        <v>644</v>
      </c>
      <c r="D51" s="30" t="n">
        <v>0.185743654389481</v>
      </c>
      <c r="E51" s="12" t="s">
        <v>643</v>
      </c>
      <c r="F51" s="5"/>
      <c r="G51" s="25" t="s">
        <v>481</v>
      </c>
      <c r="H51" s="5" t="s">
        <v>325</v>
      </c>
    </row>
    <row r="52" customFormat="false" ht="23.85" hidden="false" customHeight="false" outlineLevel="0" collapsed="false">
      <c r="B52" s="5" t="s">
        <v>645</v>
      </c>
      <c r="C52" s="5" t="s">
        <v>646</v>
      </c>
      <c r="D52" s="28" t="n">
        <v>24</v>
      </c>
      <c r="E52" s="12" t="s">
        <v>153</v>
      </c>
      <c r="F52" s="5" t="s">
        <v>647</v>
      </c>
      <c r="G52" s="25" t="s">
        <v>481</v>
      </c>
      <c r="H52" s="5" t="s">
        <v>16</v>
      </c>
    </row>
    <row r="53" customFormat="false" ht="23.85" hidden="false" customHeight="false" outlineLevel="0" collapsed="false">
      <c r="B53" s="5" t="s">
        <v>648</v>
      </c>
      <c r="C53" s="5" t="s">
        <v>649</v>
      </c>
      <c r="D53" s="28" t="n">
        <v>18</v>
      </c>
      <c r="E53" s="12" t="s">
        <v>650</v>
      </c>
      <c r="F53" s="5" t="s">
        <v>651</v>
      </c>
      <c r="G53" s="25" t="s">
        <v>481</v>
      </c>
      <c r="H53" s="5" t="s">
        <v>16</v>
      </c>
    </row>
    <row r="54" customFormat="false" ht="15" hidden="false" customHeight="false" outlineLevel="0" collapsed="false">
      <c r="B54" s="5" t="s">
        <v>652</v>
      </c>
      <c r="C54" s="5" t="s">
        <v>653</v>
      </c>
      <c r="D54" s="28" t="n">
        <v>52</v>
      </c>
      <c r="E54" s="12" t="s">
        <v>654</v>
      </c>
      <c r="F54" s="5" t="s">
        <v>655</v>
      </c>
      <c r="G54" s="25" t="s">
        <v>481</v>
      </c>
      <c r="H54" s="5" t="s">
        <v>506</v>
      </c>
    </row>
    <row r="55" customFormat="false" ht="15" hidden="false" customHeight="false" outlineLevel="0" collapsed="false">
      <c r="B55" s="5" t="s">
        <v>656</v>
      </c>
      <c r="C55" s="5" t="s">
        <v>657</v>
      </c>
      <c r="D55" s="28" t="n">
        <v>80</v>
      </c>
      <c r="E55" s="12" t="s">
        <v>654</v>
      </c>
      <c r="F55" s="5" t="s">
        <v>658</v>
      </c>
      <c r="G55" s="25" t="s">
        <v>481</v>
      </c>
      <c r="H55" s="5" t="s">
        <v>659</v>
      </c>
    </row>
    <row r="56" customFormat="false" ht="15" hidden="false" customHeight="false" outlineLevel="0" collapsed="false">
      <c r="B56" s="5" t="s">
        <v>660</v>
      </c>
      <c r="C56" s="5" t="s">
        <v>661</v>
      </c>
      <c r="D56" s="28" t="n">
        <v>138</v>
      </c>
      <c r="E56" s="12" t="s">
        <v>654</v>
      </c>
      <c r="F56" s="5" t="s">
        <v>662</v>
      </c>
      <c r="G56" s="25" t="s">
        <v>481</v>
      </c>
      <c r="H56" s="5" t="s">
        <v>663</v>
      </c>
    </row>
    <row r="57" customFormat="false" ht="23.85" hidden="false" customHeight="false" outlineLevel="0" collapsed="false">
      <c r="B57" s="5" t="s">
        <v>664</v>
      </c>
      <c r="C57" s="5" t="s">
        <v>665</v>
      </c>
      <c r="D57" s="28" t="n">
        <v>8</v>
      </c>
      <c r="E57" s="12" t="s">
        <v>654</v>
      </c>
      <c r="F57" s="5" t="s">
        <v>666</v>
      </c>
      <c r="G57" s="25" t="s">
        <v>481</v>
      </c>
      <c r="H57" s="5" t="s">
        <v>667</v>
      </c>
    </row>
    <row r="58" customFormat="false" ht="23.85" hidden="false" customHeight="false" outlineLevel="0" collapsed="false">
      <c r="B58" s="5" t="s">
        <v>668</v>
      </c>
      <c r="C58" s="5" t="s">
        <v>669</v>
      </c>
      <c r="D58" s="29" t="n">
        <v>299677.23</v>
      </c>
      <c r="E58" s="12" t="s">
        <v>153</v>
      </c>
      <c r="F58" s="5" t="s">
        <v>670</v>
      </c>
      <c r="G58" s="25" t="s">
        <v>481</v>
      </c>
      <c r="H58" s="5" t="s">
        <v>16</v>
      </c>
    </row>
    <row r="59" customFormat="false" ht="23.85" hidden="false" customHeight="false" outlineLevel="0" collapsed="false">
      <c r="B59" s="5" t="s">
        <v>671</v>
      </c>
      <c r="C59" s="5" t="s">
        <v>672</v>
      </c>
      <c r="D59" s="29" t="n">
        <v>577604.72</v>
      </c>
      <c r="E59" s="12" t="s">
        <v>151</v>
      </c>
      <c r="F59" s="5" t="s">
        <v>673</v>
      </c>
      <c r="G59" s="25" t="s">
        <v>481</v>
      </c>
      <c r="H59" s="5" t="s">
        <v>16</v>
      </c>
    </row>
    <row r="60" customFormat="false" ht="23.85" hidden="false" customHeight="false" outlineLevel="0" collapsed="false">
      <c r="B60" s="5" t="s">
        <v>674</v>
      </c>
      <c r="C60" s="5" t="s">
        <v>675</v>
      </c>
      <c r="D60" s="29" t="n">
        <v>48153.01</v>
      </c>
      <c r="E60" s="12" t="s">
        <v>559</v>
      </c>
      <c r="F60" s="5" t="s">
        <v>670</v>
      </c>
      <c r="G60" s="25" t="s">
        <v>481</v>
      </c>
      <c r="H60" s="5" t="s">
        <v>16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40"/>
  </cols>
  <sheetData>
    <row r="2" customFormat="false" ht="27.75" hidden="false" customHeight="true" outlineLevel="0" collapsed="false">
      <c r="B2" s="1" t="s">
        <v>676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677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678</v>
      </c>
      <c r="C5" s="11" t="s">
        <v>160</v>
      </c>
      <c r="D5" s="11" t="s">
        <v>161</v>
      </c>
      <c r="E5" s="11" t="s">
        <v>162</v>
      </c>
      <c r="F5" s="11" t="s">
        <v>163</v>
      </c>
      <c r="G5" s="11" t="s">
        <v>679</v>
      </c>
      <c r="H5" s="11" t="s">
        <v>82</v>
      </c>
    </row>
    <row r="6" customFormat="false" ht="19.4" hidden="false" customHeight="false" outlineLevel="0" collapsed="false">
      <c r="B6" s="12" t="n">
        <v>1</v>
      </c>
      <c r="C6" s="12" t="s">
        <v>165</v>
      </c>
      <c r="D6" s="5" t="s">
        <v>166</v>
      </c>
      <c r="E6" s="13" t="n">
        <v>102072.49</v>
      </c>
      <c r="F6" s="12" t="n">
        <v>99</v>
      </c>
      <c r="G6" s="14" t="n">
        <f aca="false">E6/299677.23</f>
        <v>0.340608093581217</v>
      </c>
      <c r="H6" s="6" t="s">
        <v>16</v>
      </c>
    </row>
    <row r="7" customFormat="false" ht="19.4" hidden="false" customHeight="false" outlineLevel="0" collapsed="false">
      <c r="B7" s="12" t="n">
        <v>2</v>
      </c>
      <c r="C7" s="12" t="s">
        <v>168</v>
      </c>
      <c r="D7" s="5" t="s">
        <v>169</v>
      </c>
      <c r="E7" s="13" t="n">
        <v>80438.14</v>
      </c>
      <c r="F7" s="12" t="n">
        <v>90</v>
      </c>
      <c r="G7" s="14" t="n">
        <f aca="false">E7/299677.23</f>
        <v>0.268415922023839</v>
      </c>
      <c r="H7" s="6" t="s">
        <v>16</v>
      </c>
    </row>
    <row r="8" customFormat="false" ht="19.4" hidden="false" customHeight="false" outlineLevel="0" collapsed="false">
      <c r="B8" s="12" t="n">
        <v>3</v>
      </c>
      <c r="C8" s="12" t="s">
        <v>170</v>
      </c>
      <c r="D8" s="5" t="s">
        <v>171</v>
      </c>
      <c r="E8" s="13" t="n">
        <v>37098.89</v>
      </c>
      <c r="F8" s="12" t="n">
        <v>6</v>
      </c>
      <c r="G8" s="14" t="n">
        <f aca="false">E8/299677.23</f>
        <v>0.123796158954085</v>
      </c>
      <c r="H8" s="6" t="s">
        <v>16</v>
      </c>
    </row>
    <row r="9" customFormat="false" ht="19.4" hidden="false" customHeight="false" outlineLevel="0" collapsed="false">
      <c r="B9" s="12" t="n">
        <v>4</v>
      </c>
      <c r="C9" s="12" t="s">
        <v>172</v>
      </c>
      <c r="D9" s="5" t="s">
        <v>173</v>
      </c>
      <c r="E9" s="13" t="n">
        <v>22824.24</v>
      </c>
      <c r="F9" s="12" t="n">
        <v>29</v>
      </c>
      <c r="G9" s="14" t="n">
        <f aca="false">E9/299677.23</f>
        <v>0.0761627434957271</v>
      </c>
      <c r="H9" s="6" t="s">
        <v>16</v>
      </c>
    </row>
    <row r="10" customFormat="false" ht="19.4" hidden="false" customHeight="false" outlineLevel="0" collapsed="false">
      <c r="B10" s="12" t="n">
        <v>5</v>
      </c>
      <c r="C10" s="12" t="s">
        <v>174</v>
      </c>
      <c r="D10" s="5" t="s">
        <v>175</v>
      </c>
      <c r="E10" s="13" t="n">
        <v>21645.04</v>
      </c>
      <c r="F10" s="12" t="n">
        <v>9</v>
      </c>
      <c r="G10" s="14" t="n">
        <f aca="false">E10/299677.23</f>
        <v>0.0722278432699074</v>
      </c>
      <c r="H10" s="6" t="s">
        <v>16</v>
      </c>
    </row>
    <row r="11" customFormat="false" ht="19.4" hidden="false" customHeight="false" outlineLevel="0" collapsed="false">
      <c r="B11" s="12" t="n">
        <v>6</v>
      </c>
      <c r="C11" s="12" t="s">
        <v>176</v>
      </c>
      <c r="D11" s="5" t="s">
        <v>177</v>
      </c>
      <c r="E11" s="13" t="n">
        <v>11655</v>
      </c>
      <c r="F11" s="12" t="n">
        <v>4</v>
      </c>
      <c r="G11" s="14" t="n">
        <f aca="false">E11/299677.23</f>
        <v>0.0388918437346741</v>
      </c>
      <c r="H11" s="6" t="s">
        <v>16</v>
      </c>
    </row>
    <row r="12" customFormat="false" ht="19.4" hidden="false" customHeight="false" outlineLevel="0" collapsed="false">
      <c r="B12" s="12" t="n">
        <v>7</v>
      </c>
      <c r="C12" s="12" t="s">
        <v>179</v>
      </c>
      <c r="D12" s="5" t="s">
        <v>180</v>
      </c>
      <c r="E12" s="13" t="n">
        <v>7148</v>
      </c>
      <c r="F12" s="12" t="n">
        <v>9</v>
      </c>
      <c r="G12" s="14" t="n">
        <f aca="false">E12/299677.23</f>
        <v>0.0238523293878551</v>
      </c>
      <c r="H12" s="6" t="s">
        <v>16</v>
      </c>
    </row>
    <row r="13" customFormat="false" ht="19.4" hidden="false" customHeight="false" outlineLevel="0" collapsed="false">
      <c r="B13" s="12" t="n">
        <v>8</v>
      </c>
      <c r="C13" s="12" t="s">
        <v>182</v>
      </c>
      <c r="D13" s="5" t="s">
        <v>183</v>
      </c>
      <c r="E13" s="13" t="n">
        <v>5234.3</v>
      </c>
      <c r="F13" s="12" t="n">
        <v>7</v>
      </c>
      <c r="G13" s="14" t="n">
        <f aca="false">E13/299677.23</f>
        <v>0.0174664588297216</v>
      </c>
      <c r="H13" s="6" t="s">
        <v>16</v>
      </c>
    </row>
    <row r="14" customFormat="false" ht="19.4" hidden="false" customHeight="false" outlineLevel="0" collapsed="false">
      <c r="B14" s="12" t="n">
        <v>9</v>
      </c>
      <c r="C14" s="12" t="s">
        <v>184</v>
      </c>
      <c r="D14" s="5" t="s">
        <v>185</v>
      </c>
      <c r="E14" s="13" t="n">
        <v>3590.93</v>
      </c>
      <c r="F14" s="12" t="n">
        <v>1</v>
      </c>
      <c r="G14" s="14" t="n">
        <f aca="false">E14/299677.23</f>
        <v>0.0119826588092796</v>
      </c>
      <c r="H14" s="6" t="s">
        <v>16</v>
      </c>
    </row>
    <row r="15" customFormat="false" ht="19.4" hidden="false" customHeight="false" outlineLevel="0" collapsed="false">
      <c r="B15" s="12" t="n">
        <v>10</v>
      </c>
      <c r="C15" s="12" t="s">
        <v>186</v>
      </c>
      <c r="D15" s="5" t="s">
        <v>187</v>
      </c>
      <c r="E15" s="13" t="n">
        <v>1948.38</v>
      </c>
      <c r="F15" s="12" t="n">
        <v>3</v>
      </c>
      <c r="G15" s="14" t="n">
        <f aca="false">E15/299677.23</f>
        <v>0.00650159506613165</v>
      </c>
      <c r="H15" s="6" t="s">
        <v>16</v>
      </c>
    </row>
    <row r="16" customFormat="false" ht="19.4" hidden="false" customHeight="false" outlineLevel="0" collapsed="false">
      <c r="B16" s="12" t="n">
        <v>11</v>
      </c>
      <c r="C16" s="12" t="s">
        <v>189</v>
      </c>
      <c r="D16" s="5" t="s">
        <v>190</v>
      </c>
      <c r="E16" s="13" t="n">
        <v>1514</v>
      </c>
      <c r="F16" s="12" t="n">
        <v>2</v>
      </c>
      <c r="G16" s="14" t="n">
        <f aca="false">E16/299677.23</f>
        <v>0.00505210222344888</v>
      </c>
      <c r="H16" s="6" t="s">
        <v>16</v>
      </c>
    </row>
    <row r="17" customFormat="false" ht="19.4" hidden="false" customHeight="false" outlineLevel="0" collapsed="false">
      <c r="B17" s="12" t="n">
        <v>12</v>
      </c>
      <c r="C17" s="12" t="s">
        <v>192</v>
      </c>
      <c r="D17" s="5" t="s">
        <v>193</v>
      </c>
      <c r="E17" s="13" t="n">
        <v>1021</v>
      </c>
      <c r="F17" s="12" t="n">
        <v>1</v>
      </c>
      <c r="G17" s="14" t="n">
        <f aca="false">E17/299677.23</f>
        <v>0.0034069989234751</v>
      </c>
      <c r="H17" s="6" t="s">
        <v>16</v>
      </c>
    </row>
    <row r="18" customFormat="false" ht="19.4" hidden="false" customHeight="false" outlineLevel="0" collapsed="false">
      <c r="B18" s="12" t="n">
        <v>13</v>
      </c>
      <c r="C18" s="12" t="s">
        <v>195</v>
      </c>
      <c r="D18" s="5" t="s">
        <v>196</v>
      </c>
      <c r="E18" s="13" t="n">
        <v>847.74</v>
      </c>
      <c r="F18" s="12" t="n">
        <v>1</v>
      </c>
      <c r="G18" s="14" t="n">
        <f aca="false">E18/299677.23</f>
        <v>0.00282884355277844</v>
      </c>
      <c r="H18" s="6" t="s">
        <v>16</v>
      </c>
    </row>
    <row r="19" customFormat="false" ht="19.4" hidden="false" customHeight="false" outlineLevel="0" collapsed="false">
      <c r="B19" s="12" t="n">
        <v>14</v>
      </c>
      <c r="C19" s="12" t="s">
        <v>198</v>
      </c>
      <c r="D19" s="5" t="s">
        <v>199</v>
      </c>
      <c r="E19" s="13" t="n">
        <v>716</v>
      </c>
      <c r="F19" s="12" t="n">
        <v>2</v>
      </c>
      <c r="G19" s="14" t="n">
        <f aca="false">E19/299677.23</f>
        <v>0.00238923724702074</v>
      </c>
      <c r="H19" s="6" t="s">
        <v>16</v>
      </c>
    </row>
    <row r="20" customFormat="false" ht="19.4" hidden="false" customHeight="false" outlineLevel="0" collapsed="false">
      <c r="B20" s="12" t="n">
        <v>15</v>
      </c>
      <c r="C20" s="12" t="s">
        <v>201</v>
      </c>
      <c r="D20" s="5" t="s">
        <v>202</v>
      </c>
      <c r="E20" s="13" t="n">
        <v>390.48</v>
      </c>
      <c r="F20" s="12" t="n">
        <v>1</v>
      </c>
      <c r="G20" s="14" t="n">
        <f aca="false">E20/299677.23</f>
        <v>0.00130300189974394</v>
      </c>
      <c r="H20" s="6" t="s">
        <v>16</v>
      </c>
    </row>
    <row r="21" customFormat="false" ht="19.4" hidden="false" customHeight="false" outlineLevel="0" collapsed="false">
      <c r="B21" s="12" t="n">
        <v>16</v>
      </c>
      <c r="C21" s="12" t="s">
        <v>203</v>
      </c>
      <c r="D21" s="5" t="s">
        <v>204</v>
      </c>
      <c r="E21" s="13" t="n">
        <v>348.12</v>
      </c>
      <c r="F21" s="12" t="n">
        <v>3</v>
      </c>
      <c r="G21" s="14" t="n">
        <f aca="false">E21/299677.23</f>
        <v>0.00116164981904031</v>
      </c>
      <c r="H21" s="6" t="s">
        <v>16</v>
      </c>
    </row>
    <row r="22" customFormat="false" ht="19.4" hidden="false" customHeight="false" outlineLevel="0" collapsed="false">
      <c r="B22" s="12" t="n">
        <v>17</v>
      </c>
      <c r="C22" s="12" t="s">
        <v>205</v>
      </c>
      <c r="D22" s="5" t="s">
        <v>206</v>
      </c>
      <c r="E22" s="13" t="n">
        <v>315.62</v>
      </c>
      <c r="F22" s="12" t="n">
        <v>5</v>
      </c>
      <c r="G22" s="14" t="n">
        <f aca="false">E22/299677.23</f>
        <v>0.00105319980433615</v>
      </c>
      <c r="H22" s="6" t="s">
        <v>16</v>
      </c>
    </row>
    <row r="23" customFormat="false" ht="19.4" hidden="false" customHeight="false" outlineLevel="0" collapsed="false">
      <c r="B23" s="12" t="n">
        <v>18</v>
      </c>
      <c r="C23" s="12" t="s">
        <v>207</v>
      </c>
      <c r="D23" s="5" t="s">
        <v>208</v>
      </c>
      <c r="E23" s="13" t="n">
        <v>256</v>
      </c>
      <c r="F23" s="12" t="n">
        <v>1</v>
      </c>
      <c r="G23" s="14" t="n">
        <f aca="false">E23/299677.23</f>
        <v>0.000854252423515794</v>
      </c>
      <c r="H23" s="6" t="s">
        <v>16</v>
      </c>
    </row>
    <row r="24" customFormat="false" ht="19.4" hidden="false" customHeight="false" outlineLevel="0" collapsed="false">
      <c r="B24" s="12" t="n">
        <v>19</v>
      </c>
      <c r="C24" s="12" t="s">
        <v>209</v>
      </c>
      <c r="D24" s="5" t="s">
        <v>210</v>
      </c>
      <c r="E24" s="13" t="n">
        <v>254.54</v>
      </c>
      <c r="F24" s="12" t="n">
        <v>2</v>
      </c>
      <c r="G24" s="14" t="n">
        <f aca="false">E24/299677.23</f>
        <v>0.000849380515162931</v>
      </c>
      <c r="H24" s="6" t="s">
        <v>16</v>
      </c>
    </row>
    <row r="25" customFormat="false" ht="19.4" hidden="false" customHeight="false" outlineLevel="0" collapsed="false">
      <c r="B25" s="12" t="n">
        <v>20</v>
      </c>
      <c r="C25" s="12" t="s">
        <v>212</v>
      </c>
      <c r="D25" s="5" t="s">
        <v>213</v>
      </c>
      <c r="E25" s="13" t="n">
        <v>197</v>
      </c>
      <c r="F25" s="12" t="n">
        <v>1</v>
      </c>
      <c r="G25" s="14" t="n">
        <f aca="false">E25/299677.23</f>
        <v>0.000657373935283639</v>
      </c>
      <c r="H25" s="6" t="s">
        <v>16</v>
      </c>
    </row>
    <row r="26" customFormat="false" ht="19.4" hidden="false" customHeight="false" outlineLevel="0" collapsed="false">
      <c r="B26" s="12" t="n">
        <v>21</v>
      </c>
      <c r="C26" s="12" t="s">
        <v>215</v>
      </c>
      <c r="D26" s="5" t="s">
        <v>216</v>
      </c>
      <c r="E26" s="13" t="n">
        <v>123.14</v>
      </c>
      <c r="F26" s="12" t="n">
        <v>2</v>
      </c>
      <c r="G26" s="14" t="n">
        <f aca="false">E26/299677.23</f>
        <v>0.000410908763405214</v>
      </c>
      <c r="H26" s="6" t="s">
        <v>16</v>
      </c>
    </row>
    <row r="27" customFormat="false" ht="19.4" hidden="false" customHeight="false" outlineLevel="0" collapsed="false">
      <c r="B27" s="12" t="n">
        <v>22</v>
      </c>
      <c r="C27" s="12" t="s">
        <v>217</v>
      </c>
      <c r="D27" s="5" t="s">
        <v>218</v>
      </c>
      <c r="E27" s="13" t="n">
        <v>36.18</v>
      </c>
      <c r="F27" s="12" t="n">
        <v>1</v>
      </c>
      <c r="G27" s="14" t="n">
        <f aca="false">E27/299677.23</f>
        <v>0.000120729893292193</v>
      </c>
      <c r="H27" s="6" t="s">
        <v>16</v>
      </c>
    </row>
    <row r="28" customFormat="false" ht="19.4" hidden="false" customHeight="false" outlineLevel="0" collapsed="false">
      <c r="B28" s="12" t="n">
        <v>23</v>
      </c>
      <c r="C28" s="12" t="s">
        <v>219</v>
      </c>
      <c r="D28" s="5" t="s">
        <v>220</v>
      </c>
      <c r="E28" s="13" t="n">
        <v>2</v>
      </c>
      <c r="F28" s="12" t="n">
        <v>1</v>
      </c>
      <c r="G28" s="14" t="n">
        <f aca="false">E28/299677.23</f>
        <v>6.67384705871714E-006</v>
      </c>
      <c r="H28" s="6" t="s">
        <v>16</v>
      </c>
    </row>
    <row r="29" customFormat="false" ht="19.4" hidden="false" customHeight="false" outlineLevel="0" collapsed="false">
      <c r="B29" s="12" t="n">
        <v>24</v>
      </c>
      <c r="C29" s="12" t="s">
        <v>221</v>
      </c>
      <c r="D29" s="5" t="s">
        <v>222</v>
      </c>
      <c r="E29" s="13" t="n">
        <v>0</v>
      </c>
      <c r="F29" s="12" t="n">
        <v>2</v>
      </c>
      <c r="G29" s="14" t="n">
        <f aca="false">E29/299677.23</f>
        <v>0</v>
      </c>
      <c r="H29" s="6" t="s">
        <v>16</v>
      </c>
    </row>
    <row r="30" customFormat="false" ht="15" hidden="false" customHeight="false" outlineLevel="0" collapsed="false">
      <c r="B30" s="16" t="s">
        <v>143</v>
      </c>
      <c r="E30" s="7" t="n">
        <f aca="false">SUM(E6:E29)</f>
        <v>299677.23</v>
      </c>
      <c r="F30" s="21" t="n">
        <f aca="false">SUM(F6:F29)</f>
        <v>282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5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46"/>
  </cols>
  <sheetData>
    <row r="2" customFormat="false" ht="27.75" hidden="false" customHeight="true" outlineLevel="0" collapsed="false">
      <c r="B2" s="1" t="s">
        <v>680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681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682</v>
      </c>
      <c r="C5" s="11" t="s">
        <v>378</v>
      </c>
      <c r="D5" s="11" t="s">
        <v>376</v>
      </c>
      <c r="E5" s="11" t="s">
        <v>683</v>
      </c>
      <c r="F5" s="11" t="s">
        <v>684</v>
      </c>
      <c r="G5" s="11" t="s">
        <v>685</v>
      </c>
      <c r="H5" s="11" t="s">
        <v>379</v>
      </c>
      <c r="I5" s="11" t="s">
        <v>82</v>
      </c>
    </row>
    <row r="6" customFormat="false" ht="23.85" hidden="false" customHeight="false" outlineLevel="0" collapsed="false">
      <c r="B6" s="12" t="s">
        <v>686</v>
      </c>
      <c r="C6" s="12" t="s">
        <v>687</v>
      </c>
      <c r="D6" s="12" t="s">
        <v>688</v>
      </c>
      <c r="E6" s="5" t="s">
        <v>689</v>
      </c>
      <c r="F6" s="5" t="s">
        <v>12</v>
      </c>
      <c r="G6" s="13" t="n">
        <v>1763480</v>
      </c>
      <c r="H6" s="12" t="s">
        <v>389</v>
      </c>
      <c r="I6" s="6" t="s">
        <v>13</v>
      </c>
    </row>
    <row r="7" customFormat="false" ht="23.85" hidden="false" customHeight="false" outlineLevel="0" collapsed="false">
      <c r="B7" s="12" t="s">
        <v>690</v>
      </c>
      <c r="C7" s="12" t="s">
        <v>388</v>
      </c>
      <c r="D7" s="12" t="s">
        <v>387</v>
      </c>
      <c r="E7" s="5" t="s">
        <v>691</v>
      </c>
      <c r="F7" s="5" t="s">
        <v>12</v>
      </c>
      <c r="G7" s="13" t="n">
        <v>3015</v>
      </c>
      <c r="H7" s="12" t="s">
        <v>389</v>
      </c>
      <c r="I7" s="6" t="s">
        <v>391</v>
      </c>
    </row>
    <row r="8" customFormat="false" ht="23.85" hidden="false" customHeight="false" outlineLevel="0" collapsed="false">
      <c r="B8" s="12" t="s">
        <v>692</v>
      </c>
      <c r="C8" s="12" t="s">
        <v>388</v>
      </c>
      <c r="D8" s="12" t="s">
        <v>387</v>
      </c>
      <c r="E8" s="5" t="s">
        <v>693</v>
      </c>
      <c r="F8" s="5" t="s">
        <v>12</v>
      </c>
      <c r="G8" s="13" t="n">
        <v>653</v>
      </c>
      <c r="H8" s="12" t="s">
        <v>389</v>
      </c>
      <c r="I8" s="6" t="s">
        <v>391</v>
      </c>
    </row>
    <row r="9" customFormat="false" ht="23.85" hidden="false" customHeight="false" outlineLevel="0" collapsed="false">
      <c r="B9" s="12" t="s">
        <v>694</v>
      </c>
      <c r="C9" s="12" t="s">
        <v>388</v>
      </c>
      <c r="D9" s="12" t="s">
        <v>387</v>
      </c>
      <c r="E9" s="5" t="s">
        <v>695</v>
      </c>
      <c r="F9" s="5" t="s">
        <v>12</v>
      </c>
      <c r="G9" s="13" t="n">
        <v>161</v>
      </c>
      <c r="H9" s="12" t="s">
        <v>389</v>
      </c>
      <c r="I9" s="6" t="s">
        <v>391</v>
      </c>
    </row>
    <row r="10" customFormat="false" ht="23.85" hidden="false" customHeight="false" outlineLevel="0" collapsed="false">
      <c r="B10" s="12" t="s">
        <v>696</v>
      </c>
      <c r="C10" s="12" t="s">
        <v>388</v>
      </c>
      <c r="D10" s="12" t="s">
        <v>397</v>
      </c>
      <c r="E10" s="5" t="s">
        <v>697</v>
      </c>
      <c r="F10" s="5" t="s">
        <v>12</v>
      </c>
      <c r="G10" s="13" t="n">
        <v>1107</v>
      </c>
      <c r="H10" s="12" t="s">
        <v>389</v>
      </c>
      <c r="I10" s="6" t="s">
        <v>391</v>
      </c>
    </row>
    <row r="11" customFormat="false" ht="23.85" hidden="false" customHeight="false" outlineLevel="0" collapsed="false">
      <c r="B11" s="12" t="s">
        <v>698</v>
      </c>
      <c r="C11" s="12" t="s">
        <v>388</v>
      </c>
      <c r="D11" s="12" t="s">
        <v>397</v>
      </c>
      <c r="E11" s="5" t="s">
        <v>699</v>
      </c>
      <c r="F11" s="5" t="s">
        <v>12</v>
      </c>
      <c r="G11" s="13" t="n">
        <v>9302</v>
      </c>
      <c r="H11" s="12" t="s">
        <v>389</v>
      </c>
      <c r="I11" s="6" t="s">
        <v>391</v>
      </c>
    </row>
    <row r="12" customFormat="false" ht="23.85" hidden="false" customHeight="false" outlineLevel="0" collapsed="false">
      <c r="B12" s="12" t="s">
        <v>700</v>
      </c>
      <c r="C12" s="12" t="s">
        <v>388</v>
      </c>
      <c r="D12" s="12" t="s">
        <v>397</v>
      </c>
      <c r="E12" s="5" t="s">
        <v>701</v>
      </c>
      <c r="F12" s="5" t="s">
        <v>12</v>
      </c>
      <c r="G12" s="13" t="n">
        <v>6842</v>
      </c>
      <c r="H12" s="12" t="s">
        <v>389</v>
      </c>
      <c r="I12" s="6" t="s">
        <v>391</v>
      </c>
    </row>
    <row r="13" customFormat="false" ht="23.85" hidden="false" customHeight="false" outlineLevel="0" collapsed="false">
      <c r="B13" s="12" t="s">
        <v>702</v>
      </c>
      <c r="C13" s="12" t="s">
        <v>388</v>
      </c>
      <c r="D13" s="12" t="s">
        <v>404</v>
      </c>
      <c r="E13" s="5" t="s">
        <v>703</v>
      </c>
      <c r="F13" s="5" t="s">
        <v>12</v>
      </c>
      <c r="G13" s="13" t="n">
        <v>637</v>
      </c>
      <c r="H13" s="12" t="s">
        <v>389</v>
      </c>
      <c r="I13" s="6" t="s">
        <v>391</v>
      </c>
    </row>
    <row r="14" customFormat="false" ht="23.85" hidden="false" customHeight="false" outlineLevel="0" collapsed="false">
      <c r="B14" s="12" t="s">
        <v>704</v>
      </c>
      <c r="C14" s="12" t="s">
        <v>388</v>
      </c>
      <c r="D14" s="12" t="s">
        <v>404</v>
      </c>
      <c r="E14" s="5" t="s">
        <v>705</v>
      </c>
      <c r="F14" s="5" t="s">
        <v>12</v>
      </c>
      <c r="G14" s="13" t="n">
        <v>2012</v>
      </c>
      <c r="H14" s="12" t="s">
        <v>389</v>
      </c>
      <c r="I14" s="6" t="s">
        <v>391</v>
      </c>
    </row>
    <row r="15" customFormat="false" ht="23.85" hidden="false" customHeight="false" outlineLevel="0" collapsed="false">
      <c r="B15" s="12" t="s">
        <v>706</v>
      </c>
      <c r="C15" s="12" t="s">
        <v>388</v>
      </c>
      <c r="D15" s="12" t="s">
        <v>404</v>
      </c>
      <c r="E15" s="5" t="s">
        <v>707</v>
      </c>
      <c r="F15" s="5" t="s">
        <v>12</v>
      </c>
      <c r="G15" s="13" t="n">
        <v>271</v>
      </c>
      <c r="H15" s="12" t="s">
        <v>389</v>
      </c>
      <c r="I15" s="6" t="s">
        <v>391</v>
      </c>
    </row>
    <row r="16" customFormat="false" ht="23.85" hidden="false" customHeight="false" outlineLevel="0" collapsed="false">
      <c r="B16" s="12" t="s">
        <v>708</v>
      </c>
      <c r="C16" s="12" t="s">
        <v>388</v>
      </c>
      <c r="D16" s="12" t="s">
        <v>404</v>
      </c>
      <c r="E16" s="5" t="s">
        <v>709</v>
      </c>
      <c r="F16" s="5" t="s">
        <v>12</v>
      </c>
      <c r="G16" s="13" t="n">
        <v>2020</v>
      </c>
      <c r="H16" s="12" t="s">
        <v>389</v>
      </c>
      <c r="I16" s="6" t="s">
        <v>391</v>
      </c>
    </row>
    <row r="17" customFormat="false" ht="23.85" hidden="false" customHeight="false" outlineLevel="0" collapsed="false">
      <c r="B17" s="12" t="s">
        <v>710</v>
      </c>
      <c r="C17" s="12" t="s">
        <v>388</v>
      </c>
      <c r="D17" s="12" t="s">
        <v>404</v>
      </c>
      <c r="E17" s="5" t="s">
        <v>711</v>
      </c>
      <c r="F17" s="5" t="s">
        <v>12</v>
      </c>
      <c r="G17" s="13" t="n">
        <v>933</v>
      </c>
      <c r="H17" s="12" t="s">
        <v>389</v>
      </c>
      <c r="I17" s="6" t="s">
        <v>391</v>
      </c>
    </row>
    <row r="18" customFormat="false" ht="23.85" hidden="false" customHeight="false" outlineLevel="0" collapsed="false">
      <c r="B18" s="12" t="s">
        <v>712</v>
      </c>
      <c r="C18" s="12" t="s">
        <v>388</v>
      </c>
      <c r="D18" s="12" t="s">
        <v>404</v>
      </c>
      <c r="E18" s="5" t="s">
        <v>713</v>
      </c>
      <c r="F18" s="5" t="s">
        <v>12</v>
      </c>
      <c r="G18" s="13" t="n">
        <v>1772</v>
      </c>
      <c r="H18" s="12" t="s">
        <v>389</v>
      </c>
      <c r="I18" s="6" t="s">
        <v>391</v>
      </c>
    </row>
    <row r="19" customFormat="false" ht="23.85" hidden="false" customHeight="false" outlineLevel="0" collapsed="false">
      <c r="B19" s="12" t="s">
        <v>714</v>
      </c>
      <c r="C19" s="12" t="s">
        <v>388</v>
      </c>
      <c r="D19" s="12" t="s">
        <v>404</v>
      </c>
      <c r="E19" s="5" t="s">
        <v>715</v>
      </c>
      <c r="F19" s="5" t="s">
        <v>12</v>
      </c>
      <c r="G19" s="13" t="n">
        <v>21954</v>
      </c>
      <c r="H19" s="12" t="s">
        <v>389</v>
      </c>
      <c r="I19" s="6" t="s">
        <v>391</v>
      </c>
    </row>
    <row r="20" customFormat="false" ht="23.85" hidden="false" customHeight="false" outlineLevel="0" collapsed="false">
      <c r="B20" s="12" t="s">
        <v>716</v>
      </c>
      <c r="C20" s="12" t="s">
        <v>388</v>
      </c>
      <c r="D20" s="12" t="s">
        <v>419</v>
      </c>
      <c r="E20" s="5" t="s">
        <v>717</v>
      </c>
      <c r="F20" s="5" t="s">
        <v>12</v>
      </c>
      <c r="G20" s="13" t="n">
        <v>517</v>
      </c>
      <c r="H20" s="12" t="s">
        <v>389</v>
      </c>
      <c r="I20" s="6" t="s">
        <v>391</v>
      </c>
    </row>
    <row r="21" customFormat="false" ht="23.85" hidden="false" customHeight="false" outlineLevel="0" collapsed="false">
      <c r="B21" s="12" t="s">
        <v>718</v>
      </c>
      <c r="C21" s="12" t="s">
        <v>388</v>
      </c>
      <c r="D21" s="12" t="s">
        <v>422</v>
      </c>
      <c r="E21" s="5" t="s">
        <v>719</v>
      </c>
      <c r="F21" s="5" t="s">
        <v>12</v>
      </c>
      <c r="G21" s="13" t="n">
        <v>732</v>
      </c>
      <c r="H21" s="12" t="s">
        <v>389</v>
      </c>
      <c r="I21" s="6" t="s">
        <v>391</v>
      </c>
    </row>
    <row r="22" customFormat="false" ht="23.85" hidden="false" customHeight="false" outlineLevel="0" collapsed="false">
      <c r="B22" s="12" t="s">
        <v>720</v>
      </c>
      <c r="C22" s="12" t="s">
        <v>388</v>
      </c>
      <c r="D22" s="12" t="s">
        <v>425</v>
      </c>
      <c r="E22" s="5" t="s">
        <v>721</v>
      </c>
      <c r="F22" s="5" t="s">
        <v>12</v>
      </c>
      <c r="G22" s="13" t="n">
        <v>690</v>
      </c>
      <c r="H22" s="12" t="s">
        <v>389</v>
      </c>
      <c r="I22" s="6" t="s">
        <v>391</v>
      </c>
    </row>
    <row r="23" customFormat="false" ht="23.85" hidden="false" customHeight="false" outlineLevel="0" collapsed="false">
      <c r="B23" s="12" t="s">
        <v>722</v>
      </c>
      <c r="C23" s="12" t="s">
        <v>388</v>
      </c>
      <c r="D23" s="12" t="s">
        <v>425</v>
      </c>
      <c r="E23" s="5" t="s">
        <v>723</v>
      </c>
      <c r="F23" s="5" t="s">
        <v>12</v>
      </c>
      <c r="G23" s="13" t="n">
        <v>2045</v>
      </c>
      <c r="H23" s="12" t="s">
        <v>389</v>
      </c>
      <c r="I23" s="6" t="s">
        <v>391</v>
      </c>
    </row>
    <row r="24" customFormat="false" ht="23.85" hidden="false" customHeight="false" outlineLevel="0" collapsed="false">
      <c r="B24" s="12" t="s">
        <v>724</v>
      </c>
      <c r="C24" s="12" t="s">
        <v>725</v>
      </c>
      <c r="D24" s="12" t="s">
        <v>726</v>
      </c>
      <c r="E24" s="5" t="s">
        <v>727</v>
      </c>
      <c r="F24" s="5" t="s">
        <v>12</v>
      </c>
      <c r="G24" s="13" t="n">
        <v>1480</v>
      </c>
      <c r="H24" s="12" t="s">
        <v>728</v>
      </c>
      <c r="I24" s="6" t="s">
        <v>391</v>
      </c>
    </row>
    <row r="25" customFormat="false" ht="28.35" hidden="false" customHeight="false" outlineLevel="0" collapsed="false">
      <c r="B25" s="12" t="s">
        <v>729</v>
      </c>
      <c r="C25" s="12" t="s">
        <v>730</v>
      </c>
      <c r="D25" s="12" t="s">
        <v>731</v>
      </c>
      <c r="E25" s="5" t="s">
        <v>732</v>
      </c>
      <c r="F25" s="5" t="s">
        <v>731</v>
      </c>
      <c r="G25" s="13" t="n">
        <v>6300</v>
      </c>
      <c r="H25" s="12" t="s">
        <v>733</v>
      </c>
      <c r="I25" s="6" t="s">
        <v>734</v>
      </c>
    </row>
    <row r="26" customFormat="false" ht="23.85" hidden="false" customHeight="false" outlineLevel="0" collapsed="false">
      <c r="B26" s="12" t="s">
        <v>735</v>
      </c>
      <c r="C26" s="12" t="s">
        <v>736</v>
      </c>
      <c r="D26" s="32" t="s">
        <v>737</v>
      </c>
      <c r="E26" s="5" t="s">
        <v>738</v>
      </c>
      <c r="F26" s="5" t="s">
        <v>21</v>
      </c>
      <c r="G26" s="13" t="n">
        <v>0</v>
      </c>
      <c r="H26" s="12" t="s">
        <v>739</v>
      </c>
      <c r="I26" s="6" t="s">
        <v>740</v>
      </c>
    </row>
    <row r="27" customFormat="false" ht="23.85" hidden="false" customHeight="false" outlineLevel="0" collapsed="false">
      <c r="B27" s="12" t="s">
        <v>741</v>
      </c>
      <c r="C27" s="12" t="s">
        <v>736</v>
      </c>
      <c r="D27" s="32" t="s">
        <v>737</v>
      </c>
      <c r="E27" s="5" t="s">
        <v>742</v>
      </c>
      <c r="F27" s="5" t="s">
        <v>21</v>
      </c>
      <c r="G27" s="13" t="n">
        <v>4232</v>
      </c>
      <c r="H27" s="12" t="s">
        <v>739</v>
      </c>
      <c r="I27" s="6" t="s">
        <v>743</v>
      </c>
    </row>
    <row r="28" customFormat="false" ht="23.85" hidden="false" customHeight="false" outlineLevel="0" collapsed="false">
      <c r="B28" s="12" t="s">
        <v>744</v>
      </c>
      <c r="C28" s="12" t="s">
        <v>736</v>
      </c>
      <c r="D28" s="12" t="s">
        <v>745</v>
      </c>
      <c r="E28" s="5" t="s">
        <v>746</v>
      </c>
      <c r="F28" s="5" t="s">
        <v>21</v>
      </c>
      <c r="G28" s="13" t="n">
        <v>1107</v>
      </c>
      <c r="H28" s="12" t="s">
        <v>739</v>
      </c>
      <c r="I28" s="6" t="s">
        <v>747</v>
      </c>
    </row>
    <row r="29" customFormat="false" ht="23.85" hidden="false" customHeight="false" outlineLevel="0" collapsed="false">
      <c r="B29" s="12" t="s">
        <v>748</v>
      </c>
      <c r="C29" s="12" t="s">
        <v>736</v>
      </c>
      <c r="D29" s="12" t="s">
        <v>749</v>
      </c>
      <c r="E29" s="5" t="s">
        <v>750</v>
      </c>
      <c r="F29" s="5" t="s">
        <v>21</v>
      </c>
      <c r="G29" s="13" t="n">
        <v>21954</v>
      </c>
      <c r="H29" s="12" t="s">
        <v>739</v>
      </c>
      <c r="I29" s="6" t="s">
        <v>751</v>
      </c>
    </row>
    <row r="30" customFormat="false" ht="23.85" hidden="false" customHeight="false" outlineLevel="0" collapsed="false">
      <c r="B30" s="12" t="s">
        <v>752</v>
      </c>
      <c r="C30" s="12" t="s">
        <v>753</v>
      </c>
      <c r="D30" s="32" t="s">
        <v>737</v>
      </c>
      <c r="E30" s="5" t="s">
        <v>754</v>
      </c>
      <c r="F30" s="5" t="s">
        <v>755</v>
      </c>
      <c r="G30" s="13" t="n">
        <v>0</v>
      </c>
      <c r="H30" s="12" t="s">
        <v>739</v>
      </c>
      <c r="I30" s="6" t="s">
        <v>740</v>
      </c>
    </row>
    <row r="31" customFormat="false" ht="15" hidden="false" customHeight="false" outlineLevel="0" collapsed="false">
      <c r="B31" s="12" t="s">
        <v>756</v>
      </c>
      <c r="C31" s="12" t="s">
        <v>753</v>
      </c>
      <c r="D31" s="32" t="s">
        <v>737</v>
      </c>
      <c r="E31" s="5" t="s">
        <v>757</v>
      </c>
      <c r="F31" s="5" t="s">
        <v>758</v>
      </c>
      <c r="G31" s="13" t="n">
        <v>0</v>
      </c>
      <c r="H31" s="12" t="s">
        <v>739</v>
      </c>
      <c r="I31" s="6" t="s">
        <v>759</v>
      </c>
    </row>
    <row r="32" customFormat="false" ht="23.85" hidden="false" customHeight="false" outlineLevel="0" collapsed="false">
      <c r="B32" s="12" t="s">
        <v>760</v>
      </c>
      <c r="C32" s="12" t="s">
        <v>761</v>
      </c>
      <c r="D32" s="32" t="s">
        <v>737</v>
      </c>
      <c r="E32" s="5" t="s">
        <v>762</v>
      </c>
      <c r="F32" s="5" t="s">
        <v>758</v>
      </c>
      <c r="G32" s="13" t="n">
        <v>0</v>
      </c>
      <c r="H32" s="12" t="s">
        <v>763</v>
      </c>
      <c r="I32" s="6" t="s">
        <v>764</v>
      </c>
    </row>
    <row r="33" customFormat="false" ht="23.85" hidden="false" customHeight="false" outlineLevel="0" collapsed="false">
      <c r="B33" s="12" t="s">
        <v>765</v>
      </c>
      <c r="C33" s="12" t="s">
        <v>761</v>
      </c>
      <c r="D33" s="32" t="s">
        <v>737</v>
      </c>
      <c r="E33" s="5" t="s">
        <v>766</v>
      </c>
      <c r="F33" s="5" t="s">
        <v>758</v>
      </c>
      <c r="G33" s="13" t="n">
        <v>0</v>
      </c>
      <c r="H33" s="12" t="s">
        <v>763</v>
      </c>
      <c r="I33" s="6" t="s">
        <v>767</v>
      </c>
    </row>
    <row r="34" customFormat="false" ht="15" hidden="false" customHeight="false" outlineLevel="0" collapsed="false">
      <c r="B34" s="12" t="s">
        <v>768</v>
      </c>
      <c r="C34" s="12" t="s">
        <v>761</v>
      </c>
      <c r="D34" s="32" t="s">
        <v>737</v>
      </c>
      <c r="E34" s="5" t="s">
        <v>769</v>
      </c>
      <c r="F34" s="5" t="s">
        <v>758</v>
      </c>
      <c r="G34" s="13" t="n">
        <v>0</v>
      </c>
      <c r="H34" s="12" t="s">
        <v>763</v>
      </c>
      <c r="I34" s="6" t="s">
        <v>770</v>
      </c>
    </row>
    <row r="35" customFormat="false" ht="23.85" hidden="false" customHeight="false" outlineLevel="0" collapsed="false">
      <c r="B35" s="12" t="s">
        <v>771</v>
      </c>
      <c r="C35" s="12" t="s">
        <v>761</v>
      </c>
      <c r="D35" s="32" t="s">
        <v>737</v>
      </c>
      <c r="E35" s="5" t="s">
        <v>772</v>
      </c>
      <c r="F35" s="5" t="s">
        <v>758</v>
      </c>
      <c r="G35" s="13" t="n">
        <v>0</v>
      </c>
      <c r="H35" s="12" t="s">
        <v>763</v>
      </c>
      <c r="I35" s="6" t="s">
        <v>773</v>
      </c>
    </row>
    <row r="36" customFormat="false" ht="23.85" hidden="false" customHeight="false" outlineLevel="0" collapsed="false">
      <c r="B36" s="12" t="s">
        <v>774</v>
      </c>
      <c r="C36" s="12" t="s">
        <v>761</v>
      </c>
      <c r="D36" s="32" t="s">
        <v>737</v>
      </c>
      <c r="E36" s="5" t="s">
        <v>775</v>
      </c>
      <c r="F36" s="5" t="s">
        <v>758</v>
      </c>
      <c r="G36" s="13" t="n">
        <v>0</v>
      </c>
      <c r="H36" s="12" t="s">
        <v>763</v>
      </c>
      <c r="I36" s="6" t="s">
        <v>776</v>
      </c>
    </row>
    <row r="37" customFormat="false" ht="15" hidden="false" customHeight="false" outlineLevel="0" collapsed="false">
      <c r="B37" s="12" t="s">
        <v>777</v>
      </c>
      <c r="C37" s="12" t="s">
        <v>761</v>
      </c>
      <c r="D37" s="32" t="s">
        <v>737</v>
      </c>
      <c r="E37" s="5" t="s">
        <v>778</v>
      </c>
      <c r="F37" s="5" t="s">
        <v>758</v>
      </c>
      <c r="G37" s="13" t="n">
        <v>0</v>
      </c>
      <c r="H37" s="12" t="s">
        <v>763</v>
      </c>
      <c r="I37" s="6" t="s">
        <v>779</v>
      </c>
    </row>
    <row r="38" customFormat="false" ht="23.85" hidden="false" customHeight="false" outlineLevel="0" collapsed="false">
      <c r="B38" s="12" t="s">
        <v>780</v>
      </c>
      <c r="C38" s="12" t="s">
        <v>781</v>
      </c>
      <c r="D38" s="32" t="s">
        <v>737</v>
      </c>
      <c r="E38" s="5" t="s">
        <v>782</v>
      </c>
      <c r="F38" s="5" t="s">
        <v>21</v>
      </c>
      <c r="G38" s="13" t="n">
        <v>0</v>
      </c>
      <c r="H38" s="12" t="s">
        <v>783</v>
      </c>
      <c r="I38" s="6" t="s">
        <v>784</v>
      </c>
    </row>
    <row r="39" customFormat="false" ht="23.85" hidden="false" customHeight="false" outlineLevel="0" collapsed="false">
      <c r="B39" s="12" t="s">
        <v>785</v>
      </c>
      <c r="C39" s="12" t="s">
        <v>786</v>
      </c>
      <c r="D39" s="12" t="s">
        <v>787</v>
      </c>
      <c r="E39" s="5" t="s">
        <v>788</v>
      </c>
      <c r="F39" s="5" t="s">
        <v>789</v>
      </c>
      <c r="G39" s="13" t="n">
        <v>0</v>
      </c>
      <c r="H39" s="12" t="s">
        <v>790</v>
      </c>
      <c r="I39" s="6" t="s">
        <v>791</v>
      </c>
    </row>
    <row r="40" customFormat="false" ht="23.85" hidden="false" customHeight="false" outlineLevel="0" collapsed="false">
      <c r="B40" s="12" t="s">
        <v>792</v>
      </c>
      <c r="C40" s="12" t="s">
        <v>786</v>
      </c>
      <c r="D40" s="32" t="s">
        <v>737</v>
      </c>
      <c r="E40" s="5" t="s">
        <v>793</v>
      </c>
      <c r="F40" s="5" t="s">
        <v>789</v>
      </c>
      <c r="G40" s="13" t="n">
        <v>0</v>
      </c>
      <c r="H40" s="12" t="s">
        <v>790</v>
      </c>
      <c r="I40" s="6" t="s">
        <v>791</v>
      </c>
    </row>
    <row r="41" customFormat="false" ht="15" hidden="false" customHeight="false" outlineLevel="0" collapsed="false">
      <c r="B41" s="12" t="s">
        <v>794</v>
      </c>
      <c r="C41" s="12" t="s">
        <v>786</v>
      </c>
      <c r="D41" s="32" t="s">
        <v>737</v>
      </c>
      <c r="E41" s="5" t="s">
        <v>795</v>
      </c>
      <c r="F41" s="5" t="s">
        <v>789</v>
      </c>
      <c r="G41" s="13" t="n">
        <v>0</v>
      </c>
      <c r="H41" s="12" t="s">
        <v>790</v>
      </c>
      <c r="I41" s="6" t="s">
        <v>791</v>
      </c>
    </row>
    <row r="42" customFormat="false" ht="15" hidden="false" customHeight="false" outlineLevel="0" collapsed="false">
      <c r="B42" s="12" t="s">
        <v>796</v>
      </c>
      <c r="C42" s="12" t="s">
        <v>786</v>
      </c>
      <c r="D42" s="12" t="s">
        <v>787</v>
      </c>
      <c r="E42" s="5" t="s">
        <v>797</v>
      </c>
      <c r="F42" s="5" t="s">
        <v>798</v>
      </c>
      <c r="G42" s="13" t="n">
        <v>0</v>
      </c>
      <c r="H42" s="12" t="s">
        <v>790</v>
      </c>
      <c r="I42" s="6" t="s">
        <v>791</v>
      </c>
    </row>
    <row r="43" customFormat="false" ht="15" hidden="false" customHeight="false" outlineLevel="0" collapsed="false">
      <c r="B43" s="12" t="s">
        <v>799</v>
      </c>
      <c r="C43" s="12" t="s">
        <v>786</v>
      </c>
      <c r="D43" s="32" t="s">
        <v>737</v>
      </c>
      <c r="E43" s="5" t="s">
        <v>800</v>
      </c>
      <c r="F43" s="5" t="s">
        <v>789</v>
      </c>
      <c r="G43" s="13" t="n">
        <v>0</v>
      </c>
      <c r="H43" s="12" t="s">
        <v>790</v>
      </c>
      <c r="I43" s="6" t="s">
        <v>791</v>
      </c>
    </row>
    <row r="44" customFormat="false" ht="23.85" hidden="false" customHeight="false" outlineLevel="0" collapsed="false">
      <c r="B44" s="12" t="s">
        <v>801</v>
      </c>
      <c r="C44" s="12" t="s">
        <v>802</v>
      </c>
      <c r="D44" s="32" t="s">
        <v>737</v>
      </c>
      <c r="E44" s="5" t="s">
        <v>803</v>
      </c>
      <c r="F44" s="5" t="s">
        <v>758</v>
      </c>
      <c r="G44" s="13" t="n">
        <v>0</v>
      </c>
      <c r="H44" s="12" t="s">
        <v>804</v>
      </c>
      <c r="I44" s="6" t="s">
        <v>805</v>
      </c>
    </row>
    <row r="45" customFormat="false" ht="15" hidden="false" customHeight="false" outlineLevel="0" collapsed="false">
      <c r="B45" s="12" t="s">
        <v>806</v>
      </c>
      <c r="C45" s="12" t="s">
        <v>802</v>
      </c>
      <c r="D45" s="32" t="s">
        <v>737</v>
      </c>
      <c r="E45" s="5" t="s">
        <v>807</v>
      </c>
      <c r="F45" s="5" t="s">
        <v>758</v>
      </c>
      <c r="G45" s="13" t="n">
        <v>0</v>
      </c>
      <c r="H45" s="12" t="s">
        <v>808</v>
      </c>
      <c r="I45" s="6" t="s">
        <v>809</v>
      </c>
    </row>
    <row r="46" customFormat="false" ht="23.85" hidden="false" customHeight="false" outlineLevel="0" collapsed="false">
      <c r="B46" s="12" t="s">
        <v>810</v>
      </c>
      <c r="C46" s="12" t="s">
        <v>811</v>
      </c>
      <c r="D46" s="32" t="s">
        <v>737</v>
      </c>
      <c r="E46" s="5" t="s">
        <v>812</v>
      </c>
      <c r="F46" s="5" t="s">
        <v>758</v>
      </c>
      <c r="G46" s="13" t="n">
        <v>0</v>
      </c>
      <c r="H46" s="12" t="s">
        <v>804</v>
      </c>
      <c r="I46" s="6" t="s">
        <v>813</v>
      </c>
    </row>
    <row r="47" customFormat="false" ht="23.85" hidden="false" customHeight="false" outlineLevel="0" collapsed="false">
      <c r="B47" s="12" t="s">
        <v>814</v>
      </c>
      <c r="C47" s="12" t="s">
        <v>815</v>
      </c>
      <c r="D47" s="12" t="s">
        <v>816</v>
      </c>
      <c r="E47" s="5" t="s">
        <v>817</v>
      </c>
      <c r="F47" s="5" t="s">
        <v>758</v>
      </c>
      <c r="G47" s="13" t="n">
        <v>0</v>
      </c>
      <c r="H47" s="12" t="s">
        <v>818</v>
      </c>
      <c r="I47" s="6" t="s">
        <v>514</v>
      </c>
    </row>
    <row r="48" customFormat="false" ht="15" hidden="false" customHeight="false" outlineLevel="0" collapsed="false">
      <c r="B48" s="12" t="s">
        <v>819</v>
      </c>
      <c r="C48" s="12" t="s">
        <v>820</v>
      </c>
      <c r="D48" s="32" t="s">
        <v>737</v>
      </c>
      <c r="E48" s="5" t="s">
        <v>821</v>
      </c>
      <c r="F48" s="5" t="s">
        <v>758</v>
      </c>
      <c r="G48" s="13" t="n">
        <v>0</v>
      </c>
      <c r="H48" s="12" t="s">
        <v>822</v>
      </c>
      <c r="I48" s="6" t="s">
        <v>823</v>
      </c>
    </row>
    <row r="49" customFormat="false" ht="15" hidden="false" customHeight="false" outlineLevel="0" collapsed="false">
      <c r="B49" s="12" t="s">
        <v>824</v>
      </c>
      <c r="C49" s="12" t="s">
        <v>825</v>
      </c>
      <c r="D49" s="12" t="s">
        <v>826</v>
      </c>
      <c r="E49" s="5" t="s">
        <v>827</v>
      </c>
      <c r="F49" s="5" t="s">
        <v>828</v>
      </c>
      <c r="G49" s="13" t="n">
        <v>0</v>
      </c>
      <c r="H49" s="12" t="s">
        <v>829</v>
      </c>
      <c r="I49" s="6" t="s">
        <v>830</v>
      </c>
    </row>
    <row r="50" customFormat="false" ht="15" hidden="false" customHeight="false" outlineLevel="0" collapsed="false">
      <c r="B50" s="12" t="s">
        <v>831</v>
      </c>
      <c r="C50" s="12" t="s">
        <v>825</v>
      </c>
      <c r="D50" s="32" t="s">
        <v>737</v>
      </c>
      <c r="E50" s="5" t="s">
        <v>832</v>
      </c>
      <c r="F50" s="5" t="s">
        <v>758</v>
      </c>
      <c r="G50" s="13" t="n">
        <v>0</v>
      </c>
      <c r="H50" s="12" t="s">
        <v>829</v>
      </c>
      <c r="I50" s="6" t="s">
        <v>830</v>
      </c>
    </row>
    <row r="51" customFormat="false" ht="15" hidden="false" customHeight="false" outlineLevel="0" collapsed="false">
      <c r="B51" s="12" t="s">
        <v>833</v>
      </c>
      <c r="C51" s="12" t="s">
        <v>834</v>
      </c>
      <c r="D51" s="32" t="s">
        <v>737</v>
      </c>
      <c r="E51" s="5" t="s">
        <v>835</v>
      </c>
      <c r="F51" s="5" t="s">
        <v>836</v>
      </c>
      <c r="G51" s="13" t="n">
        <v>0</v>
      </c>
      <c r="H51" s="12" t="s">
        <v>804</v>
      </c>
      <c r="I51" s="6" t="s">
        <v>830</v>
      </c>
    </row>
    <row r="52" customFormat="false" ht="15" hidden="false" customHeight="false" outlineLevel="0" collapsed="false">
      <c r="B52" s="12" t="s">
        <v>837</v>
      </c>
      <c r="C52" s="12" t="s">
        <v>838</v>
      </c>
      <c r="D52" s="32" t="s">
        <v>737</v>
      </c>
      <c r="E52" s="5" t="s">
        <v>839</v>
      </c>
      <c r="F52" s="5" t="s">
        <v>758</v>
      </c>
      <c r="G52" s="13" t="n">
        <v>0</v>
      </c>
      <c r="H52" s="12" t="s">
        <v>822</v>
      </c>
      <c r="I52" s="6" t="s">
        <v>840</v>
      </c>
    </row>
    <row r="53" customFormat="false" ht="15" hidden="false" customHeight="false" outlineLevel="0" collapsed="false">
      <c r="B53" s="12" t="s">
        <v>841</v>
      </c>
      <c r="C53" s="12" t="s">
        <v>842</v>
      </c>
      <c r="D53" s="32" t="s">
        <v>737</v>
      </c>
      <c r="E53" s="5" t="s">
        <v>843</v>
      </c>
      <c r="F53" s="5" t="s">
        <v>193</v>
      </c>
      <c r="G53" s="13" t="n">
        <v>0</v>
      </c>
      <c r="H53" s="12" t="s">
        <v>844</v>
      </c>
      <c r="I53" s="6" t="s">
        <v>845</v>
      </c>
    </row>
    <row r="54" customFormat="false" ht="15" hidden="false" customHeight="false" outlineLevel="0" collapsed="false">
      <c r="B54" s="12" t="s">
        <v>846</v>
      </c>
      <c r="C54" s="12" t="s">
        <v>847</v>
      </c>
      <c r="D54" s="12" t="s">
        <v>848</v>
      </c>
      <c r="E54" s="5" t="s">
        <v>849</v>
      </c>
      <c r="F54" s="5" t="s">
        <v>850</v>
      </c>
      <c r="G54" s="13" t="n">
        <v>0</v>
      </c>
      <c r="H54" s="12" t="s">
        <v>829</v>
      </c>
      <c r="I54" s="6" t="s">
        <v>851</v>
      </c>
    </row>
    <row r="55" customFormat="false" ht="23.85" hidden="false" customHeight="false" outlineLevel="0" collapsed="false">
      <c r="B55" s="12" t="s">
        <v>852</v>
      </c>
      <c r="C55" s="12" t="s">
        <v>853</v>
      </c>
      <c r="D55" s="32" t="s">
        <v>737</v>
      </c>
      <c r="E55" s="5" t="s">
        <v>854</v>
      </c>
      <c r="F55" s="5" t="s">
        <v>12</v>
      </c>
      <c r="G55" s="13" t="n">
        <v>0</v>
      </c>
      <c r="H55" s="12" t="s">
        <v>783</v>
      </c>
      <c r="I55" s="6" t="s">
        <v>855</v>
      </c>
    </row>
    <row r="56" customFormat="false" ht="15" hidden="false" customHeight="false" outlineLevel="0" collapsed="false">
      <c r="B56" s="12" t="s">
        <v>856</v>
      </c>
      <c r="C56" s="12" t="s">
        <v>857</v>
      </c>
      <c r="D56" s="32" t="s">
        <v>737</v>
      </c>
      <c r="E56" s="5" t="s">
        <v>858</v>
      </c>
      <c r="F56" s="5" t="s">
        <v>758</v>
      </c>
      <c r="G56" s="13" t="n">
        <v>0</v>
      </c>
      <c r="H56" s="12" t="s">
        <v>783</v>
      </c>
      <c r="I56" s="6" t="s">
        <v>830</v>
      </c>
    </row>
    <row r="57" customFormat="false" ht="19.4" hidden="false" customHeight="false" outlineLevel="0" collapsed="false">
      <c r="B57" s="12" t="s">
        <v>859</v>
      </c>
      <c r="C57" s="12" t="s">
        <v>860</v>
      </c>
      <c r="D57" s="12" t="s">
        <v>438</v>
      </c>
      <c r="E57" s="5" t="s">
        <v>861</v>
      </c>
      <c r="F57" s="5" t="s">
        <v>758</v>
      </c>
      <c r="G57" s="13" t="n">
        <v>114100</v>
      </c>
      <c r="H57" s="12" t="s">
        <v>862</v>
      </c>
      <c r="I57" s="6" t="s">
        <v>16</v>
      </c>
    </row>
    <row r="58" customFormat="false" ht="19.4" hidden="false" customHeight="false" outlineLevel="0" collapsed="false">
      <c r="B58" s="12" t="s">
        <v>863</v>
      </c>
      <c r="C58" s="12" t="s">
        <v>860</v>
      </c>
      <c r="D58" s="12" t="s">
        <v>470</v>
      </c>
      <c r="E58" s="5" t="s">
        <v>864</v>
      </c>
      <c r="F58" s="5" t="s">
        <v>758</v>
      </c>
      <c r="G58" s="13" t="n">
        <v>2735</v>
      </c>
      <c r="H58" s="12" t="s">
        <v>862</v>
      </c>
      <c r="I58" s="6" t="s">
        <v>16</v>
      </c>
    </row>
    <row r="59" customFormat="false" ht="19.4" hidden="false" customHeight="false" outlineLevel="0" collapsed="false">
      <c r="B59" s="12" t="s">
        <v>865</v>
      </c>
      <c r="C59" s="12" t="s">
        <v>866</v>
      </c>
      <c r="D59" s="12" t="s">
        <v>867</v>
      </c>
      <c r="E59" s="5" t="s">
        <v>868</v>
      </c>
      <c r="F59" s="5" t="s">
        <v>869</v>
      </c>
      <c r="G59" s="13" t="n">
        <v>0</v>
      </c>
      <c r="H59" s="12" t="s">
        <v>870</v>
      </c>
      <c r="I59" s="6" t="s">
        <v>16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40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6" min="6" style="0" width="44"/>
  </cols>
  <sheetData>
    <row r="2" customFormat="false" ht="27.75" hidden="false" customHeight="true" outlineLevel="0" collapsed="false">
      <c r="B2" s="1" t="s">
        <v>871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872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873</v>
      </c>
    </row>
    <row r="6" customFormat="false" ht="15" hidden="false" customHeight="false" outlineLevel="0" collapsed="false">
      <c r="B6" s="11" t="s">
        <v>146</v>
      </c>
      <c r="C6" s="11" t="s">
        <v>874</v>
      </c>
      <c r="D6" s="11" t="s">
        <v>875</v>
      </c>
      <c r="E6" s="11" t="s">
        <v>876</v>
      </c>
      <c r="F6" s="11" t="s">
        <v>317</v>
      </c>
    </row>
    <row r="7" customFormat="false" ht="15" hidden="false" customHeight="false" outlineLevel="0" collapsed="false">
      <c r="B7" s="5" t="s">
        <v>877</v>
      </c>
      <c r="C7" s="5" t="s">
        <v>878</v>
      </c>
      <c r="D7" s="13" t="n">
        <v>-26470</v>
      </c>
      <c r="E7" s="5" t="s">
        <v>879</v>
      </c>
      <c r="F7" s="6" t="s">
        <v>880</v>
      </c>
    </row>
    <row r="8" customFormat="false" ht="23.85" hidden="false" customHeight="false" outlineLevel="0" collapsed="false">
      <c r="B8" s="5" t="s">
        <v>881</v>
      </c>
      <c r="C8" s="5" t="s">
        <v>882</v>
      </c>
      <c r="D8" s="13" t="n">
        <v>20549.5</v>
      </c>
      <c r="E8" s="5" t="s">
        <v>883</v>
      </c>
      <c r="F8" s="6" t="s">
        <v>884</v>
      </c>
    </row>
    <row r="9" customFormat="false" ht="15" hidden="false" customHeight="false" outlineLevel="0" collapsed="false">
      <c r="B9" s="5" t="s">
        <v>885</v>
      </c>
      <c r="C9" s="5" t="s">
        <v>886</v>
      </c>
      <c r="D9" s="13" t="n">
        <v>10857</v>
      </c>
      <c r="E9" s="5" t="s">
        <v>887</v>
      </c>
      <c r="F9" s="6" t="s">
        <v>888</v>
      </c>
    </row>
    <row r="10" customFormat="false" ht="23.85" hidden="false" customHeight="false" outlineLevel="0" collapsed="false">
      <c r="B10" s="5" t="s">
        <v>889</v>
      </c>
      <c r="C10" s="5" t="s">
        <v>890</v>
      </c>
      <c r="D10" s="13" t="n">
        <v>-39937</v>
      </c>
      <c r="E10" s="5" t="s">
        <v>891</v>
      </c>
      <c r="F10" s="6" t="s">
        <v>892</v>
      </c>
    </row>
    <row r="11" customFormat="false" ht="15" hidden="false" customHeight="false" outlineLevel="0" collapsed="false">
      <c r="B11" s="5" t="s">
        <v>893</v>
      </c>
      <c r="C11" s="5" t="s">
        <v>894</v>
      </c>
      <c r="D11" s="13" t="n">
        <v>-205461.11</v>
      </c>
      <c r="E11" s="5" t="s">
        <v>895</v>
      </c>
      <c r="F11" s="6" t="s">
        <v>896</v>
      </c>
    </row>
    <row r="12" customFormat="false" ht="23.85" hidden="false" customHeight="false" outlineLevel="0" collapsed="false">
      <c r="B12" s="5" t="s">
        <v>897</v>
      </c>
      <c r="C12" s="5" t="s">
        <v>898</v>
      </c>
      <c r="D12" s="13" t="n">
        <v>45764.17</v>
      </c>
      <c r="E12" s="5" t="s">
        <v>899</v>
      </c>
      <c r="F12" s="6" t="s">
        <v>900</v>
      </c>
    </row>
    <row r="13" customFormat="false" ht="23.85" hidden="false" customHeight="false" outlineLevel="0" collapsed="false">
      <c r="B13" s="5" t="s">
        <v>901</v>
      </c>
      <c r="C13" s="5" t="s">
        <v>902</v>
      </c>
      <c r="D13" s="13" t="n">
        <v>-32413.35</v>
      </c>
      <c r="E13" s="5" t="s">
        <v>903</v>
      </c>
      <c r="F13" s="6" t="s">
        <v>892</v>
      </c>
    </row>
    <row r="14" customFormat="false" ht="15" hidden="false" customHeight="false" outlineLevel="0" collapsed="false">
      <c r="B14" s="5" t="s">
        <v>904</v>
      </c>
      <c r="C14" s="5" t="s">
        <v>905</v>
      </c>
      <c r="D14" s="13" t="n">
        <v>-60867.37</v>
      </c>
      <c r="E14" s="5" t="s">
        <v>906</v>
      </c>
      <c r="F14" s="6" t="s">
        <v>907</v>
      </c>
    </row>
    <row r="15" customFormat="false" ht="15" hidden="false" customHeight="false" outlineLevel="0" collapsed="false">
      <c r="B15" s="5" t="s">
        <v>908</v>
      </c>
      <c r="C15" s="5" t="s">
        <v>125</v>
      </c>
      <c r="D15" s="13" t="n">
        <v>1659</v>
      </c>
      <c r="E15" s="5" t="s">
        <v>909</v>
      </c>
      <c r="F15" s="6" t="s">
        <v>910</v>
      </c>
    </row>
    <row r="16" customFormat="false" ht="15" hidden="false" customHeight="false" outlineLevel="0" collapsed="false">
      <c r="B16" s="5" t="s">
        <v>911</v>
      </c>
      <c r="C16" s="5" t="s">
        <v>912</v>
      </c>
      <c r="D16" s="13" t="n">
        <v>-15287.78</v>
      </c>
      <c r="E16" s="5" t="s">
        <v>913</v>
      </c>
      <c r="F16" s="6" t="s">
        <v>914</v>
      </c>
    </row>
    <row r="17" customFormat="false" ht="23.85" hidden="false" customHeight="false" outlineLevel="0" collapsed="false">
      <c r="B17" s="5" t="s">
        <v>915</v>
      </c>
      <c r="C17" s="5" t="s">
        <v>156</v>
      </c>
      <c r="D17" s="13" t="n">
        <v>-34719.1</v>
      </c>
      <c r="E17" s="5" t="s">
        <v>916</v>
      </c>
      <c r="F17" s="6" t="s">
        <v>892</v>
      </c>
    </row>
    <row r="18" customFormat="false" ht="15" hidden="false" customHeight="false" outlineLevel="0" collapsed="false">
      <c r="B18" s="16" t="s">
        <v>917</v>
      </c>
      <c r="D18" s="17" t="n">
        <f aca="false">SUM(D7:D17)</f>
        <v>-336326.04</v>
      </c>
    </row>
    <row r="21" customFormat="false" ht="15" hidden="false" customHeight="false" outlineLevel="0" collapsed="false">
      <c r="B21" s="3" t="s">
        <v>918</v>
      </c>
    </row>
    <row r="22" customFormat="false" ht="15" hidden="false" customHeight="false" outlineLevel="0" collapsed="false">
      <c r="B22" s="11" t="s">
        <v>919</v>
      </c>
      <c r="C22" s="11" t="s">
        <v>920</v>
      </c>
      <c r="D22" s="11" t="s">
        <v>921</v>
      </c>
      <c r="E22" s="11" t="s">
        <v>317</v>
      </c>
    </row>
    <row r="23" customFormat="false" ht="15" hidden="false" customHeight="false" outlineLevel="0" collapsed="false">
      <c r="B23" s="5" t="s">
        <v>922</v>
      </c>
      <c r="C23" s="12" t="n">
        <v>1</v>
      </c>
      <c r="D23" s="13" t="n">
        <v>-26470</v>
      </c>
      <c r="E23" s="5" t="s">
        <v>923</v>
      </c>
    </row>
    <row r="24" customFormat="false" ht="15" hidden="false" customHeight="false" outlineLevel="0" collapsed="false">
      <c r="B24" s="5" t="s">
        <v>924</v>
      </c>
      <c r="C24" s="12" t="n">
        <v>1</v>
      </c>
      <c r="D24" s="13" t="n">
        <v>-205461.11</v>
      </c>
      <c r="E24" s="5" t="s">
        <v>925</v>
      </c>
    </row>
    <row r="25" customFormat="false" ht="23.85" hidden="false" customHeight="false" outlineLevel="0" collapsed="false">
      <c r="B25" s="5" t="s">
        <v>926</v>
      </c>
      <c r="C25" s="12" t="n">
        <v>1</v>
      </c>
      <c r="D25" s="13" t="n">
        <v>20549.5</v>
      </c>
      <c r="E25" s="5" t="s">
        <v>927</v>
      </c>
    </row>
    <row r="26" customFormat="false" ht="15" hidden="false" customHeight="false" outlineLevel="0" collapsed="false">
      <c r="B26" s="5" t="s">
        <v>928</v>
      </c>
      <c r="C26" s="12" t="n">
        <v>1</v>
      </c>
      <c r="D26" s="13" t="n">
        <v>45764.17</v>
      </c>
      <c r="E26" s="5" t="s">
        <v>929</v>
      </c>
    </row>
    <row r="27" customFormat="false" ht="15" hidden="false" customHeight="false" outlineLevel="0" collapsed="false">
      <c r="B27" s="5" t="s">
        <v>930</v>
      </c>
      <c r="C27" s="12" t="n">
        <v>52</v>
      </c>
      <c r="D27" s="13" t="n">
        <v>0</v>
      </c>
      <c r="E27" s="5" t="s">
        <v>931</v>
      </c>
    </row>
    <row r="28" customFormat="false" ht="15" hidden="false" customHeight="false" outlineLevel="0" collapsed="false">
      <c r="B28" s="5" t="s">
        <v>932</v>
      </c>
      <c r="C28" s="12" t="n">
        <v>5</v>
      </c>
      <c r="D28" s="13" t="n">
        <v>-34719.1</v>
      </c>
      <c r="E28" s="5" t="s">
        <v>933</v>
      </c>
    </row>
    <row r="29" customFormat="false" ht="15" hidden="false" customHeight="false" outlineLevel="0" collapsed="false">
      <c r="B29" s="5" t="s">
        <v>934</v>
      </c>
      <c r="C29" s="12" t="n">
        <v>2</v>
      </c>
      <c r="D29" s="13" t="n">
        <v>-15287.78</v>
      </c>
      <c r="E29" s="5" t="s">
        <v>935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5" min="4" style="0" width="22"/>
    <col collapsed="false" customWidth="true" hidden="false" outlineLevel="0" max="6" min="6" style="0" width="58"/>
  </cols>
  <sheetData>
    <row r="2" customFormat="false" ht="27.75" hidden="false" customHeight="true" outlineLevel="0" collapsed="false">
      <c r="B2" s="1" t="s">
        <v>936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937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938</v>
      </c>
    </row>
    <row r="6" customFormat="false" ht="15" hidden="false" customHeight="false" outlineLevel="0" collapsed="false">
      <c r="B6" s="11" t="s">
        <v>939</v>
      </c>
      <c r="C6" s="11" t="s">
        <v>940</v>
      </c>
      <c r="D6" s="11" t="s">
        <v>941</v>
      </c>
      <c r="E6" s="11" t="s">
        <v>379</v>
      </c>
      <c r="F6" s="11" t="s">
        <v>942</v>
      </c>
    </row>
    <row r="7" customFormat="false" ht="23.85" hidden="false" customHeight="false" outlineLevel="0" collapsed="false">
      <c r="B7" s="5" t="s">
        <v>652</v>
      </c>
      <c r="C7" s="12" t="n">
        <v>52</v>
      </c>
      <c r="D7" s="12" t="s">
        <v>943</v>
      </c>
      <c r="E7" s="25" t="s">
        <v>944</v>
      </c>
      <c r="F7" s="5" t="s">
        <v>945</v>
      </c>
    </row>
    <row r="8" customFormat="false" ht="15" hidden="false" customHeight="false" outlineLevel="0" collapsed="false">
      <c r="B8" s="5" t="s">
        <v>946</v>
      </c>
      <c r="C8" s="12" t="s">
        <v>947</v>
      </c>
      <c r="D8" s="12" t="s">
        <v>948</v>
      </c>
      <c r="E8" s="33" t="s">
        <v>949</v>
      </c>
      <c r="F8" s="5" t="s">
        <v>950</v>
      </c>
    </row>
    <row r="9" customFormat="false" ht="15" hidden="false" customHeight="false" outlineLevel="0" collapsed="false">
      <c r="B9" s="5" t="s">
        <v>951</v>
      </c>
      <c r="C9" s="12" t="n">
        <v>7</v>
      </c>
      <c r="D9" s="12" t="s">
        <v>952</v>
      </c>
      <c r="E9" s="25" t="s">
        <v>944</v>
      </c>
      <c r="F9" s="5" t="s">
        <v>953</v>
      </c>
    </row>
    <row r="10" customFormat="false" ht="15" hidden="false" customHeight="false" outlineLevel="0" collapsed="false">
      <c r="B10" s="5" t="s">
        <v>954</v>
      </c>
      <c r="C10" s="12" t="n">
        <v>8</v>
      </c>
      <c r="D10" s="12" t="s">
        <v>955</v>
      </c>
      <c r="E10" s="25" t="s">
        <v>944</v>
      </c>
      <c r="F10" s="5" t="s">
        <v>956</v>
      </c>
    </row>
    <row r="11" customFormat="false" ht="15" hidden="false" customHeight="false" outlineLevel="0" collapsed="false">
      <c r="B11" s="5" t="s">
        <v>957</v>
      </c>
      <c r="C11" s="12" t="s">
        <v>958</v>
      </c>
      <c r="D11" s="12" t="s">
        <v>959</v>
      </c>
      <c r="E11" s="25" t="s">
        <v>944</v>
      </c>
      <c r="F11" s="5" t="s">
        <v>960</v>
      </c>
    </row>
    <row r="12" customFormat="false" ht="15" hidden="false" customHeight="false" outlineLevel="0" collapsed="false">
      <c r="B12" s="5" t="s">
        <v>961</v>
      </c>
      <c r="C12" s="12" t="s">
        <v>962</v>
      </c>
      <c r="D12" s="12" t="s">
        <v>963</v>
      </c>
      <c r="E12" s="25" t="s">
        <v>944</v>
      </c>
      <c r="F12" s="5" t="s">
        <v>964</v>
      </c>
    </row>
    <row r="13" customFormat="false" ht="15" hidden="false" customHeight="false" outlineLevel="0" collapsed="false">
      <c r="B13" s="5" t="s">
        <v>965</v>
      </c>
      <c r="C13" s="12" t="s">
        <v>966</v>
      </c>
      <c r="D13" s="12" t="s">
        <v>948</v>
      </c>
      <c r="E13" s="33" t="s">
        <v>949</v>
      </c>
      <c r="F13" s="5" t="s">
        <v>967</v>
      </c>
    </row>
    <row r="14" customFormat="false" ht="15" hidden="false" customHeight="false" outlineLevel="0" collapsed="false">
      <c r="B14" s="5" t="s">
        <v>968</v>
      </c>
      <c r="C14" s="34" t="n">
        <v>0.20959735473769</v>
      </c>
      <c r="D14" s="12" t="s">
        <v>969</v>
      </c>
      <c r="E14" s="25" t="s">
        <v>944</v>
      </c>
      <c r="F14" s="5" t="s">
        <v>970</v>
      </c>
    </row>
    <row r="15" customFormat="false" ht="23.85" hidden="false" customHeight="false" outlineLevel="0" collapsed="false">
      <c r="B15" s="5" t="s">
        <v>971</v>
      </c>
      <c r="C15" s="12" t="s">
        <v>972</v>
      </c>
      <c r="D15" s="12" t="s">
        <v>973</v>
      </c>
      <c r="E15" s="35" t="s">
        <v>974</v>
      </c>
      <c r="F15" s="5" t="s">
        <v>975</v>
      </c>
    </row>
    <row r="16" customFormat="false" ht="15" hidden="false" customHeight="false" outlineLevel="0" collapsed="false">
      <c r="B16" s="5" t="s">
        <v>976</v>
      </c>
      <c r="C16" s="34" t="n">
        <v>0.101473856591414</v>
      </c>
      <c r="D16" s="12" t="s">
        <v>977</v>
      </c>
      <c r="E16" s="25" t="s">
        <v>944</v>
      </c>
      <c r="F16" s="5" t="s">
        <v>978</v>
      </c>
    </row>
    <row r="17" customFormat="false" ht="15" hidden="false" customHeight="false" outlineLevel="0" collapsed="false">
      <c r="B17" s="5" t="s">
        <v>979</v>
      </c>
      <c r="C17" s="34" t="n">
        <v>0.51064451982688</v>
      </c>
      <c r="D17" s="12" t="s">
        <v>980</v>
      </c>
      <c r="E17" s="25" t="s">
        <v>944</v>
      </c>
      <c r="F17" s="5" t="s">
        <v>981</v>
      </c>
    </row>
    <row r="18" customFormat="false" ht="15" hidden="false" customHeight="false" outlineLevel="0" collapsed="false">
      <c r="B18" s="5" t="s">
        <v>982</v>
      </c>
      <c r="C18" s="34" t="n">
        <v>-0.138842992546434</v>
      </c>
      <c r="D18" s="12" t="s">
        <v>983</v>
      </c>
      <c r="E18" s="25" t="s">
        <v>944</v>
      </c>
      <c r="F18" s="5" t="s">
        <v>984</v>
      </c>
    </row>
    <row r="19" customFormat="false" ht="15" hidden="false" customHeight="false" outlineLevel="0" collapsed="false">
      <c r="B19" s="5" t="s">
        <v>985</v>
      </c>
      <c r="C19" s="34" t="n">
        <v>1.49448664358958</v>
      </c>
      <c r="D19" s="12" t="s">
        <v>983</v>
      </c>
      <c r="E19" s="36" t="s">
        <v>986</v>
      </c>
      <c r="F19" s="5" t="s">
        <v>987</v>
      </c>
    </row>
    <row r="20" customFormat="false" ht="15" hidden="false" customHeight="false" outlineLevel="0" collapsed="false">
      <c r="B20" s="5" t="s">
        <v>988</v>
      </c>
      <c r="C20" s="12" t="s">
        <v>989</v>
      </c>
      <c r="D20" s="12" t="s">
        <v>990</v>
      </c>
      <c r="E20" s="36" t="s">
        <v>986</v>
      </c>
      <c r="F20" s="5" t="s">
        <v>991</v>
      </c>
    </row>
    <row r="21" customFormat="false" ht="15" hidden="false" customHeight="false" outlineLevel="0" collapsed="false">
      <c r="B21" s="5" t="s">
        <v>992</v>
      </c>
      <c r="C21" s="12" t="n">
        <v>138</v>
      </c>
      <c r="D21" s="12" t="s">
        <v>993</v>
      </c>
      <c r="E21" s="25" t="s">
        <v>944</v>
      </c>
      <c r="F21" s="5" t="s">
        <v>994</v>
      </c>
    </row>
    <row r="22" customFormat="false" ht="15" hidden="false" customHeight="false" outlineLevel="0" collapsed="false">
      <c r="B22" s="5" t="s">
        <v>995</v>
      </c>
      <c r="C22" s="12" t="n">
        <v>8</v>
      </c>
      <c r="D22" s="12" t="s">
        <v>996</v>
      </c>
      <c r="E22" s="25" t="s">
        <v>944</v>
      </c>
      <c r="F22" s="5" t="s">
        <v>997</v>
      </c>
    </row>
    <row r="23" customFormat="false" ht="35.05" hidden="false" customHeight="false" outlineLevel="0" collapsed="false">
      <c r="B23" s="5" t="s">
        <v>998</v>
      </c>
      <c r="C23" s="12" t="s">
        <v>999</v>
      </c>
      <c r="D23" s="12" t="s">
        <v>1000</v>
      </c>
      <c r="E23" s="25" t="s">
        <v>944</v>
      </c>
      <c r="F23" s="5" t="s">
        <v>1001</v>
      </c>
    </row>
    <row r="26" customFormat="false" ht="15" hidden="false" customHeight="false" outlineLevel="0" collapsed="false">
      <c r="B26" s="3" t="s">
        <v>1002</v>
      </c>
    </row>
    <row r="27" customFormat="false" ht="15" hidden="false" customHeight="false" outlineLevel="0" collapsed="false">
      <c r="B27" s="11" t="s">
        <v>1003</v>
      </c>
      <c r="C27" s="11" t="s">
        <v>1004</v>
      </c>
      <c r="D27" s="11" t="s">
        <v>478</v>
      </c>
      <c r="E27" s="11" t="s">
        <v>1005</v>
      </c>
      <c r="F27" s="11" t="s">
        <v>1006</v>
      </c>
    </row>
    <row r="28" customFormat="false" ht="15" hidden="false" customHeight="false" outlineLevel="0" collapsed="false">
      <c r="B28" s="5" t="s">
        <v>1007</v>
      </c>
      <c r="C28" s="34" t="n">
        <v>0.489230049181966</v>
      </c>
      <c r="D28" s="12" t="s">
        <v>78</v>
      </c>
      <c r="E28" s="12" t="s">
        <v>1008</v>
      </c>
      <c r="F28" s="5" t="s">
        <v>1009</v>
      </c>
    </row>
    <row r="29" customFormat="false" ht="15" hidden="false" customHeight="false" outlineLevel="0" collapsed="false">
      <c r="B29" s="5" t="s">
        <v>1010</v>
      </c>
      <c r="C29" s="12" t="s">
        <v>1011</v>
      </c>
      <c r="D29" s="12" t="s">
        <v>1012</v>
      </c>
      <c r="E29" s="12" t="s">
        <v>1013</v>
      </c>
      <c r="F29" s="5" t="s">
        <v>1014</v>
      </c>
    </row>
    <row r="30" customFormat="false" ht="46.25" hidden="false" customHeight="false" outlineLevel="0" collapsed="false">
      <c r="B30" s="5" t="s">
        <v>1015</v>
      </c>
      <c r="C30" s="12" t="n">
        <v>30</v>
      </c>
      <c r="D30" s="12" t="s">
        <v>1016</v>
      </c>
      <c r="E30" s="12" t="s">
        <v>1017</v>
      </c>
      <c r="F30" s="5" t="s">
        <v>1018</v>
      </c>
    </row>
    <row r="31" customFormat="false" ht="23.85" hidden="false" customHeight="false" outlineLevel="0" collapsed="false">
      <c r="B31" s="5" t="s">
        <v>1019</v>
      </c>
      <c r="C31" s="12" t="s">
        <v>1020</v>
      </c>
      <c r="D31" s="12" t="s">
        <v>325</v>
      </c>
      <c r="E31" s="12" t="s">
        <v>1021</v>
      </c>
      <c r="F31" s="5" t="s">
        <v>1022</v>
      </c>
    </row>
    <row r="32" customFormat="false" ht="23.85" hidden="false" customHeight="false" outlineLevel="0" collapsed="false">
      <c r="B32" s="5" t="s">
        <v>1023</v>
      </c>
      <c r="C32" s="12" t="s">
        <v>1024</v>
      </c>
      <c r="D32" s="12" t="s">
        <v>481</v>
      </c>
      <c r="E32" s="12" t="s">
        <v>639</v>
      </c>
      <c r="F32" s="5" t="s">
        <v>1025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2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</cols>
  <sheetData>
    <row r="2" customFormat="false" ht="27.75" hidden="false" customHeight="true" outlineLevel="0" collapsed="false">
      <c r="B2" s="1" t="s">
        <v>1026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1027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475</v>
      </c>
      <c r="C5" s="11" t="s">
        <v>1028</v>
      </c>
      <c r="D5" s="11" t="s">
        <v>1029</v>
      </c>
      <c r="E5" s="11" t="s">
        <v>316</v>
      </c>
      <c r="F5" s="11" t="s">
        <v>1030</v>
      </c>
      <c r="G5" s="11" t="s">
        <v>1031</v>
      </c>
      <c r="H5" s="11" t="s">
        <v>478</v>
      </c>
      <c r="I5" s="11" t="s">
        <v>1032</v>
      </c>
    </row>
    <row r="6" customFormat="false" ht="23.85" hidden="false" customHeight="false" outlineLevel="0" collapsed="false">
      <c r="B6" s="12" t="n">
        <v>1</v>
      </c>
      <c r="C6" s="5" t="s">
        <v>521</v>
      </c>
      <c r="D6" s="5" t="s">
        <v>520</v>
      </c>
      <c r="E6" s="12" t="s">
        <v>4</v>
      </c>
      <c r="F6" s="12" t="s">
        <v>1033</v>
      </c>
      <c r="G6" s="12" t="s">
        <v>515</v>
      </c>
      <c r="H6" s="25" t="s">
        <v>481</v>
      </c>
      <c r="I6" s="5" t="s">
        <v>16</v>
      </c>
    </row>
    <row r="7" customFormat="false" ht="23.85" hidden="false" customHeight="false" outlineLevel="0" collapsed="false">
      <c r="B7" s="12" t="n">
        <v>2</v>
      </c>
      <c r="C7" s="5" t="s">
        <v>525</v>
      </c>
      <c r="D7" s="5" t="s">
        <v>524</v>
      </c>
      <c r="E7" s="12" t="s">
        <v>7</v>
      </c>
      <c r="F7" s="12" t="s">
        <v>1034</v>
      </c>
      <c r="G7" s="12" t="s">
        <v>515</v>
      </c>
      <c r="H7" s="25" t="s">
        <v>481</v>
      </c>
      <c r="I7" s="5" t="s">
        <v>16</v>
      </c>
    </row>
    <row r="8" customFormat="false" ht="35.05" hidden="false" customHeight="false" outlineLevel="0" collapsed="false">
      <c r="B8" s="12" t="n">
        <v>3</v>
      </c>
      <c r="C8" s="5" t="s">
        <v>527</v>
      </c>
      <c r="D8" s="5" t="s">
        <v>8</v>
      </c>
      <c r="E8" s="12" t="s">
        <v>528</v>
      </c>
      <c r="F8" s="12" t="s">
        <v>1034</v>
      </c>
      <c r="G8" s="12" t="s">
        <v>515</v>
      </c>
      <c r="H8" s="25" t="s">
        <v>481</v>
      </c>
      <c r="I8" s="5" t="s">
        <v>13</v>
      </c>
    </row>
    <row r="9" customFormat="false" ht="35.05" hidden="false" customHeight="false" outlineLevel="0" collapsed="false">
      <c r="B9" s="12" t="n">
        <v>4</v>
      </c>
      <c r="C9" s="5" t="s">
        <v>530</v>
      </c>
      <c r="D9" s="5" t="s">
        <v>11</v>
      </c>
      <c r="E9" s="12" t="s">
        <v>12</v>
      </c>
      <c r="F9" s="12" t="s">
        <v>1034</v>
      </c>
      <c r="G9" s="12" t="s">
        <v>515</v>
      </c>
      <c r="H9" s="25" t="s">
        <v>481</v>
      </c>
      <c r="I9" s="5" t="s">
        <v>13</v>
      </c>
    </row>
    <row r="10" customFormat="false" ht="23.85" hidden="false" customHeight="false" outlineLevel="0" collapsed="false">
      <c r="B10" s="12" t="n">
        <v>5</v>
      </c>
      <c r="C10" s="5" t="s">
        <v>1035</v>
      </c>
      <c r="D10" s="5" t="s">
        <v>1036</v>
      </c>
      <c r="E10" s="12" t="s">
        <v>15</v>
      </c>
      <c r="F10" s="12" t="s">
        <v>1033</v>
      </c>
      <c r="G10" s="12" t="s">
        <v>1037</v>
      </c>
      <c r="H10" s="25" t="s">
        <v>481</v>
      </c>
      <c r="I10" s="5" t="s">
        <v>16</v>
      </c>
    </row>
    <row r="11" customFormat="false" ht="35.05" hidden="false" customHeight="false" outlineLevel="0" collapsed="false">
      <c r="B11" s="12" t="n">
        <v>6</v>
      </c>
      <c r="C11" s="5" t="s">
        <v>532</v>
      </c>
      <c r="D11" s="5" t="s">
        <v>1038</v>
      </c>
      <c r="E11" s="12" t="s">
        <v>18</v>
      </c>
      <c r="F11" s="12" t="s">
        <v>1034</v>
      </c>
      <c r="G11" s="12" t="s">
        <v>515</v>
      </c>
      <c r="H11" s="25" t="s">
        <v>481</v>
      </c>
      <c r="I11" s="5" t="s">
        <v>13</v>
      </c>
    </row>
    <row r="12" customFormat="false" ht="35.05" hidden="false" customHeight="false" outlineLevel="0" collapsed="false">
      <c r="B12" s="12" t="n">
        <v>7</v>
      </c>
      <c r="C12" s="5" t="s">
        <v>534</v>
      </c>
      <c r="D12" s="5" t="s">
        <v>20</v>
      </c>
      <c r="E12" s="12" t="s">
        <v>21</v>
      </c>
      <c r="F12" s="12" t="s">
        <v>1034</v>
      </c>
      <c r="G12" s="12" t="s">
        <v>515</v>
      </c>
      <c r="H12" s="25" t="s">
        <v>481</v>
      </c>
      <c r="I12" s="5" t="s">
        <v>13</v>
      </c>
    </row>
    <row r="13" customFormat="false" ht="35.05" hidden="false" customHeight="false" outlineLevel="0" collapsed="false">
      <c r="B13" s="12" t="n">
        <v>8</v>
      </c>
      <c r="C13" s="5" t="s">
        <v>537</v>
      </c>
      <c r="D13" s="5" t="s">
        <v>536</v>
      </c>
      <c r="E13" s="12" t="s">
        <v>1039</v>
      </c>
      <c r="F13" s="12" t="s">
        <v>1034</v>
      </c>
      <c r="G13" s="12" t="s">
        <v>515</v>
      </c>
      <c r="H13" s="25" t="s">
        <v>481</v>
      </c>
      <c r="I13" s="5" t="s">
        <v>13</v>
      </c>
    </row>
    <row r="14" customFormat="false" ht="23.85" hidden="false" customHeight="false" outlineLevel="0" collapsed="false">
      <c r="B14" s="12" t="n">
        <v>9</v>
      </c>
      <c r="C14" s="5" t="s">
        <v>540</v>
      </c>
      <c r="D14" s="5" t="s">
        <v>539</v>
      </c>
      <c r="E14" s="12" t="s">
        <v>1040</v>
      </c>
      <c r="F14" s="12" t="s">
        <v>1034</v>
      </c>
      <c r="G14" s="12" t="s">
        <v>515</v>
      </c>
      <c r="H14" s="25" t="s">
        <v>481</v>
      </c>
      <c r="I14" s="5" t="s">
        <v>543</v>
      </c>
    </row>
    <row r="15" customFormat="false" ht="35.05" hidden="false" customHeight="false" outlineLevel="0" collapsed="false">
      <c r="B15" s="12" t="n">
        <v>10</v>
      </c>
      <c r="C15" s="5" t="s">
        <v>545</v>
      </c>
      <c r="D15" s="5" t="s">
        <v>1041</v>
      </c>
      <c r="E15" s="12" t="s">
        <v>688</v>
      </c>
      <c r="F15" s="12" t="s">
        <v>1042</v>
      </c>
      <c r="G15" s="12" t="s">
        <v>515</v>
      </c>
      <c r="H15" s="25" t="s">
        <v>481</v>
      </c>
      <c r="I15" s="5" t="s">
        <v>13</v>
      </c>
    </row>
    <row r="16" customFormat="false" ht="23.85" hidden="false" customHeight="false" outlineLevel="0" collapsed="false">
      <c r="B16" s="12" t="n">
        <v>11</v>
      </c>
      <c r="C16" s="5" t="s">
        <v>549</v>
      </c>
      <c r="D16" s="5" t="s">
        <v>1043</v>
      </c>
      <c r="E16" s="12" t="s">
        <v>550</v>
      </c>
      <c r="F16" s="12" t="s">
        <v>1042</v>
      </c>
      <c r="G16" s="12" t="s">
        <v>515</v>
      </c>
      <c r="H16" s="25" t="s">
        <v>481</v>
      </c>
      <c r="I16" s="5" t="s">
        <v>16</v>
      </c>
    </row>
    <row r="17" customFormat="false" ht="15" hidden="false" customHeight="false" outlineLevel="0" collapsed="false">
      <c r="B17" s="12" t="n">
        <v>12</v>
      </c>
      <c r="C17" s="5" t="s">
        <v>553</v>
      </c>
      <c r="D17" s="5" t="s">
        <v>552</v>
      </c>
      <c r="E17" s="27" t="n">
        <v>15.1</v>
      </c>
      <c r="F17" s="12" t="s">
        <v>1044</v>
      </c>
      <c r="G17" s="12" t="s">
        <v>515</v>
      </c>
      <c r="H17" s="25" t="s">
        <v>481</v>
      </c>
      <c r="I17" s="5" t="s">
        <v>325</v>
      </c>
    </row>
    <row r="18" customFormat="false" ht="15" hidden="false" customHeight="false" outlineLevel="0" collapsed="false">
      <c r="B18" s="12" t="n">
        <v>13</v>
      </c>
      <c r="C18" s="5" t="s">
        <v>556</v>
      </c>
      <c r="D18" s="5" t="s">
        <v>555</v>
      </c>
      <c r="E18" s="28" t="n">
        <v>116</v>
      </c>
      <c r="F18" s="12" t="s">
        <v>1045</v>
      </c>
      <c r="G18" s="12" t="s">
        <v>515</v>
      </c>
      <c r="H18" s="25" t="s">
        <v>481</v>
      </c>
      <c r="I18" s="5" t="s">
        <v>543</v>
      </c>
    </row>
    <row r="19" customFormat="false" ht="35.05" hidden="false" customHeight="false" outlineLevel="0" collapsed="false">
      <c r="B19" s="12" t="n">
        <v>14</v>
      </c>
      <c r="C19" s="5" t="s">
        <v>558</v>
      </c>
      <c r="D19" s="5" t="s">
        <v>1046</v>
      </c>
      <c r="E19" s="29" t="n">
        <v>1763480</v>
      </c>
      <c r="F19" s="12" t="s">
        <v>1047</v>
      </c>
      <c r="G19" s="12" t="s">
        <v>515</v>
      </c>
      <c r="H19" s="25" t="s">
        <v>481</v>
      </c>
      <c r="I19" s="5" t="s">
        <v>13</v>
      </c>
    </row>
    <row r="20" customFormat="false" ht="35.05" hidden="false" customHeight="false" outlineLevel="0" collapsed="false">
      <c r="B20" s="12" t="n">
        <v>15</v>
      </c>
      <c r="C20" s="5" t="s">
        <v>563</v>
      </c>
      <c r="D20" s="5" t="s">
        <v>1048</v>
      </c>
      <c r="E20" s="29" t="n">
        <v>1932774.08</v>
      </c>
      <c r="F20" s="12" t="s">
        <v>1047</v>
      </c>
      <c r="G20" s="12" t="s">
        <v>515</v>
      </c>
      <c r="H20" s="25" t="s">
        <v>481</v>
      </c>
      <c r="I20" s="5" t="s">
        <v>13</v>
      </c>
    </row>
    <row r="21" customFormat="false" ht="35.05" hidden="false" customHeight="false" outlineLevel="0" collapsed="false">
      <c r="B21" s="12" t="n">
        <v>16</v>
      </c>
      <c r="C21" s="5" t="s">
        <v>566</v>
      </c>
      <c r="D21" s="5" t="s">
        <v>565</v>
      </c>
      <c r="E21" s="30" t="n">
        <v>0.096</v>
      </c>
      <c r="F21" s="12" t="s">
        <v>1049</v>
      </c>
      <c r="G21" s="12" t="s">
        <v>515</v>
      </c>
      <c r="H21" s="25" t="s">
        <v>481</v>
      </c>
      <c r="I21" s="5" t="s">
        <v>13</v>
      </c>
    </row>
    <row r="22" customFormat="false" ht="23.85" hidden="false" customHeight="false" outlineLevel="0" collapsed="false">
      <c r="B22" s="12" t="n">
        <v>17</v>
      </c>
      <c r="C22" s="5" t="s">
        <v>569</v>
      </c>
      <c r="D22" s="5" t="s">
        <v>568</v>
      </c>
      <c r="E22" s="29" t="n">
        <v>1811843</v>
      </c>
      <c r="F22" s="12" t="s">
        <v>1047</v>
      </c>
      <c r="G22" s="12" t="s">
        <v>515</v>
      </c>
      <c r="H22" s="25" t="s">
        <v>481</v>
      </c>
      <c r="I22" s="5" t="s">
        <v>16</v>
      </c>
    </row>
    <row r="23" customFormat="false" ht="23.85" hidden="false" customHeight="false" outlineLevel="0" collapsed="false">
      <c r="B23" s="12" t="n">
        <v>18</v>
      </c>
      <c r="C23" s="5" t="s">
        <v>572</v>
      </c>
      <c r="D23" s="5" t="s">
        <v>1050</v>
      </c>
      <c r="E23" s="29" t="n">
        <v>48363</v>
      </c>
      <c r="F23" s="12" t="s">
        <v>1047</v>
      </c>
      <c r="G23" s="12" t="s">
        <v>515</v>
      </c>
      <c r="H23" s="25" t="s">
        <v>481</v>
      </c>
      <c r="I23" s="5" t="s">
        <v>16</v>
      </c>
    </row>
    <row r="24" customFormat="false" ht="23.85" hidden="false" customHeight="false" outlineLevel="0" collapsed="false">
      <c r="B24" s="12" t="n">
        <v>19</v>
      </c>
      <c r="C24" s="5" t="s">
        <v>575</v>
      </c>
      <c r="D24" s="5" t="s">
        <v>1051</v>
      </c>
      <c r="E24" s="29" t="n">
        <v>54663</v>
      </c>
      <c r="F24" s="12" t="s">
        <v>1047</v>
      </c>
      <c r="G24" s="12" t="s">
        <v>515</v>
      </c>
      <c r="H24" s="25" t="s">
        <v>481</v>
      </c>
      <c r="I24" s="5" t="s">
        <v>391</v>
      </c>
    </row>
    <row r="25" customFormat="false" ht="23.85" hidden="false" customHeight="false" outlineLevel="0" collapsed="false">
      <c r="B25" s="12" t="n">
        <v>20</v>
      </c>
      <c r="C25" s="5" t="s">
        <v>578</v>
      </c>
      <c r="D25" s="5" t="s">
        <v>1052</v>
      </c>
      <c r="E25" s="28" t="n">
        <v>17</v>
      </c>
      <c r="F25" s="12" t="s">
        <v>1053</v>
      </c>
      <c r="G25" s="12" t="s">
        <v>1054</v>
      </c>
      <c r="H25" s="25" t="s">
        <v>481</v>
      </c>
      <c r="I25" s="5" t="s">
        <v>391</v>
      </c>
    </row>
    <row r="26" customFormat="false" ht="15" hidden="false" customHeight="false" outlineLevel="0" collapsed="false">
      <c r="B26" s="12" t="n">
        <v>21</v>
      </c>
      <c r="C26" s="5" t="s">
        <v>581</v>
      </c>
      <c r="D26" s="5" t="s">
        <v>580</v>
      </c>
      <c r="E26" s="28" t="n">
        <v>8</v>
      </c>
      <c r="F26" s="12" t="s">
        <v>1053</v>
      </c>
      <c r="G26" s="12" t="s">
        <v>1054</v>
      </c>
      <c r="H26" s="25" t="s">
        <v>481</v>
      </c>
      <c r="I26" s="5" t="s">
        <v>583</v>
      </c>
    </row>
    <row r="27" customFormat="false" ht="15" hidden="false" customHeight="false" outlineLevel="0" collapsed="false">
      <c r="B27" s="12" t="n">
        <v>22</v>
      </c>
      <c r="C27" s="5" t="s">
        <v>585</v>
      </c>
      <c r="D27" s="5" t="s">
        <v>1055</v>
      </c>
      <c r="E27" s="30" t="n">
        <v>0.0274247510604033</v>
      </c>
      <c r="F27" s="12" t="s">
        <v>1049</v>
      </c>
      <c r="G27" s="12" t="s">
        <v>515</v>
      </c>
      <c r="H27" s="25" t="s">
        <v>481</v>
      </c>
      <c r="I27" s="5" t="s">
        <v>325</v>
      </c>
    </row>
    <row r="28" customFormat="false" ht="23.85" hidden="false" customHeight="false" outlineLevel="0" collapsed="false">
      <c r="B28" s="12" t="n">
        <v>23</v>
      </c>
      <c r="C28" s="5" t="s">
        <v>587</v>
      </c>
      <c r="D28" s="5" t="s">
        <v>586</v>
      </c>
      <c r="E28" s="29" t="n">
        <v>1811843</v>
      </c>
      <c r="F28" s="12" t="s">
        <v>1047</v>
      </c>
      <c r="G28" s="12" t="s">
        <v>515</v>
      </c>
      <c r="H28" s="25" t="s">
        <v>481</v>
      </c>
      <c r="I28" s="5" t="s">
        <v>16</v>
      </c>
    </row>
    <row r="29" customFormat="false" ht="23.85" hidden="false" customHeight="false" outlineLevel="0" collapsed="false">
      <c r="B29" s="12" t="n">
        <v>24</v>
      </c>
      <c r="C29" s="5" t="s">
        <v>590</v>
      </c>
      <c r="D29" s="5" t="s">
        <v>589</v>
      </c>
      <c r="E29" s="29" t="n">
        <v>925434.96</v>
      </c>
      <c r="F29" s="12" t="s">
        <v>1047</v>
      </c>
      <c r="G29" s="12" t="s">
        <v>515</v>
      </c>
      <c r="H29" s="25" t="s">
        <v>481</v>
      </c>
      <c r="I29" s="5" t="s">
        <v>16</v>
      </c>
    </row>
    <row r="30" customFormat="false" ht="23.85" hidden="false" customHeight="false" outlineLevel="0" collapsed="false">
      <c r="B30" s="12" t="n">
        <v>25</v>
      </c>
      <c r="C30" s="5" t="s">
        <v>593</v>
      </c>
      <c r="D30" s="5" t="s">
        <v>592</v>
      </c>
      <c r="E30" s="29" t="n">
        <v>886408.04</v>
      </c>
      <c r="F30" s="12" t="s">
        <v>1047</v>
      </c>
      <c r="G30" s="12" t="s">
        <v>515</v>
      </c>
      <c r="H30" s="25" t="s">
        <v>481</v>
      </c>
      <c r="I30" s="5" t="s">
        <v>16</v>
      </c>
    </row>
    <row r="31" customFormat="false" ht="15" hidden="false" customHeight="false" outlineLevel="0" collapsed="false">
      <c r="B31" s="12" t="n">
        <v>26</v>
      </c>
      <c r="C31" s="5" t="s">
        <v>595</v>
      </c>
      <c r="D31" s="5" t="s">
        <v>359</v>
      </c>
      <c r="E31" s="30" t="n">
        <v>0.489230049181966</v>
      </c>
      <c r="F31" s="12" t="s">
        <v>1049</v>
      </c>
      <c r="G31" s="12" t="s">
        <v>515</v>
      </c>
      <c r="H31" s="25" t="s">
        <v>481</v>
      </c>
      <c r="I31" s="5" t="s">
        <v>325</v>
      </c>
    </row>
    <row r="32" customFormat="false" ht="23.85" hidden="false" customHeight="false" outlineLevel="0" collapsed="false">
      <c r="B32" s="12" t="n">
        <v>27</v>
      </c>
      <c r="C32" s="5" t="s">
        <v>597</v>
      </c>
      <c r="D32" s="5" t="s">
        <v>596</v>
      </c>
      <c r="E32" s="29" t="n">
        <v>90592.15</v>
      </c>
      <c r="F32" s="12" t="s">
        <v>1047</v>
      </c>
      <c r="G32" s="12" t="s">
        <v>515</v>
      </c>
      <c r="H32" s="25" t="s">
        <v>481</v>
      </c>
      <c r="I32" s="5" t="s">
        <v>16</v>
      </c>
    </row>
    <row r="33" customFormat="false" ht="15" hidden="false" customHeight="false" outlineLevel="0" collapsed="false">
      <c r="B33" s="12" t="n">
        <v>28</v>
      </c>
      <c r="C33" s="5" t="s">
        <v>600</v>
      </c>
      <c r="D33" s="5" t="s">
        <v>599</v>
      </c>
      <c r="E33" s="30" t="n">
        <v>0.05</v>
      </c>
      <c r="F33" s="12" t="s">
        <v>1049</v>
      </c>
      <c r="G33" s="12" t="s">
        <v>515</v>
      </c>
      <c r="H33" s="25" t="s">
        <v>481</v>
      </c>
      <c r="I33" s="5" t="s">
        <v>325</v>
      </c>
    </row>
    <row r="34" customFormat="false" ht="23.85" hidden="false" customHeight="false" outlineLevel="0" collapsed="false">
      <c r="B34" s="12" t="n">
        <v>29</v>
      </c>
      <c r="C34" s="5" t="s">
        <v>603</v>
      </c>
      <c r="D34" s="5" t="s">
        <v>602</v>
      </c>
      <c r="E34" s="29" t="n">
        <v>379757.5</v>
      </c>
      <c r="F34" s="12" t="s">
        <v>1047</v>
      </c>
      <c r="G34" s="12" t="s">
        <v>515</v>
      </c>
      <c r="H34" s="25" t="s">
        <v>481</v>
      </c>
      <c r="I34" s="5" t="s">
        <v>16</v>
      </c>
    </row>
    <row r="35" customFormat="false" ht="23.85" hidden="false" customHeight="false" outlineLevel="0" collapsed="false">
      <c r="B35" s="12" t="n">
        <v>30</v>
      </c>
      <c r="C35" s="5" t="s">
        <v>606</v>
      </c>
      <c r="D35" s="5" t="s">
        <v>605</v>
      </c>
      <c r="E35" s="29" t="n">
        <v>336538.34</v>
      </c>
      <c r="F35" s="12" t="s">
        <v>1047</v>
      </c>
      <c r="G35" s="12" t="s">
        <v>515</v>
      </c>
      <c r="H35" s="25" t="s">
        <v>481</v>
      </c>
      <c r="I35" s="5" t="s">
        <v>16</v>
      </c>
    </row>
    <row r="36" customFormat="false" ht="23.85" hidden="false" customHeight="false" outlineLevel="0" collapsed="false">
      <c r="B36" s="12" t="n">
        <v>31</v>
      </c>
      <c r="C36" s="5" t="s">
        <v>609</v>
      </c>
      <c r="D36" s="5" t="s">
        <v>1056</v>
      </c>
      <c r="E36" s="29" t="n">
        <v>12403.9</v>
      </c>
      <c r="F36" s="12" t="s">
        <v>1047</v>
      </c>
      <c r="G36" s="12" t="s">
        <v>515</v>
      </c>
      <c r="H36" s="25" t="s">
        <v>481</v>
      </c>
      <c r="I36" s="5" t="s">
        <v>16</v>
      </c>
    </row>
    <row r="37" customFormat="false" ht="23.85" hidden="false" customHeight="false" outlineLevel="0" collapsed="false">
      <c r="B37" s="12" t="n">
        <v>32</v>
      </c>
      <c r="C37" s="5" t="s">
        <v>612</v>
      </c>
      <c r="D37" s="5" t="s">
        <v>611</v>
      </c>
      <c r="E37" s="29" t="n">
        <v>167598.54</v>
      </c>
      <c r="F37" s="12" t="s">
        <v>1047</v>
      </c>
      <c r="G37" s="12" t="s">
        <v>515</v>
      </c>
      <c r="H37" s="25" t="s">
        <v>481</v>
      </c>
      <c r="I37" s="5" t="s">
        <v>16</v>
      </c>
    </row>
    <row r="38" customFormat="false" ht="23.85" hidden="false" customHeight="false" outlineLevel="0" collapsed="false">
      <c r="B38" s="12" t="n">
        <v>33</v>
      </c>
      <c r="C38" s="5" t="s">
        <v>615</v>
      </c>
      <c r="D38" s="5" t="s">
        <v>614</v>
      </c>
      <c r="E38" s="29" t="n">
        <v>29136.68</v>
      </c>
      <c r="F38" s="12" t="s">
        <v>1047</v>
      </c>
      <c r="G38" s="12" t="s">
        <v>515</v>
      </c>
      <c r="H38" s="25" t="s">
        <v>481</v>
      </c>
      <c r="I38" s="5" t="s">
        <v>16</v>
      </c>
    </row>
    <row r="39" customFormat="false" ht="23.85" hidden="false" customHeight="false" outlineLevel="0" collapsed="false">
      <c r="B39" s="12" t="n">
        <v>34</v>
      </c>
      <c r="C39" s="5" t="s">
        <v>617</v>
      </c>
      <c r="D39" s="5" t="s">
        <v>320</v>
      </c>
      <c r="E39" s="27" t="n">
        <v>17098</v>
      </c>
      <c r="F39" s="12" t="s">
        <v>1057</v>
      </c>
      <c r="G39" s="12" t="s">
        <v>515</v>
      </c>
      <c r="H39" s="25" t="s">
        <v>481</v>
      </c>
      <c r="I39" s="5" t="s">
        <v>16</v>
      </c>
    </row>
    <row r="40" customFormat="false" ht="23.85" hidden="false" customHeight="false" outlineLevel="0" collapsed="false">
      <c r="B40" s="12" t="n">
        <v>35</v>
      </c>
      <c r="C40" s="5" t="s">
        <v>619</v>
      </c>
      <c r="D40" s="5" t="s">
        <v>318</v>
      </c>
      <c r="E40" s="28" t="n">
        <v>40</v>
      </c>
      <c r="F40" s="12" t="s">
        <v>1053</v>
      </c>
      <c r="G40" s="12" t="s">
        <v>515</v>
      </c>
      <c r="H40" s="25" t="s">
        <v>481</v>
      </c>
      <c r="I40" s="5" t="s">
        <v>16</v>
      </c>
    </row>
    <row r="41" customFormat="false" ht="15" hidden="false" customHeight="false" outlineLevel="0" collapsed="false">
      <c r="B41" s="12" t="n">
        <v>36</v>
      </c>
      <c r="C41" s="5" t="s">
        <v>620</v>
      </c>
      <c r="D41" s="5" t="s">
        <v>1058</v>
      </c>
      <c r="E41" s="29" t="n">
        <v>22.2106386711896</v>
      </c>
      <c r="F41" s="12" t="s">
        <v>1059</v>
      </c>
      <c r="G41" s="12" t="s">
        <v>515</v>
      </c>
      <c r="H41" s="25" t="s">
        <v>481</v>
      </c>
      <c r="I41" s="5" t="s">
        <v>325</v>
      </c>
    </row>
    <row r="42" customFormat="false" ht="15" hidden="false" customHeight="false" outlineLevel="0" collapsed="false">
      <c r="B42" s="12" t="n">
        <v>37</v>
      </c>
      <c r="C42" s="5" t="s">
        <v>622</v>
      </c>
      <c r="D42" s="5" t="s">
        <v>1060</v>
      </c>
      <c r="E42" s="29" t="n">
        <v>33.7169680664405</v>
      </c>
      <c r="F42" s="12" t="s">
        <v>1059</v>
      </c>
      <c r="G42" s="12" t="s">
        <v>515</v>
      </c>
      <c r="H42" s="25" t="s">
        <v>481</v>
      </c>
      <c r="I42" s="5" t="s">
        <v>325</v>
      </c>
    </row>
    <row r="43" customFormat="false" ht="15" hidden="false" customHeight="false" outlineLevel="0" collapsed="false">
      <c r="B43" s="12" t="n">
        <v>38</v>
      </c>
      <c r="C43" s="5" t="s">
        <v>624</v>
      </c>
      <c r="D43" s="5" t="s">
        <v>350</v>
      </c>
      <c r="E43" s="31" t="n">
        <v>1.51805486395924</v>
      </c>
      <c r="F43" s="12" t="s">
        <v>1061</v>
      </c>
      <c r="G43" s="12" t="s">
        <v>515</v>
      </c>
      <c r="H43" s="25" t="s">
        <v>481</v>
      </c>
      <c r="I43" s="5" t="s">
        <v>325</v>
      </c>
    </row>
    <row r="44" customFormat="false" ht="15" hidden="false" customHeight="false" outlineLevel="0" collapsed="false">
      <c r="B44" s="12" t="n">
        <v>39</v>
      </c>
      <c r="C44" s="5" t="s">
        <v>633</v>
      </c>
      <c r="D44" s="5" t="s">
        <v>632</v>
      </c>
      <c r="E44" s="29" t="n">
        <v>105.968124926892</v>
      </c>
      <c r="F44" s="12" t="s">
        <v>1059</v>
      </c>
      <c r="G44" s="12" t="s">
        <v>515</v>
      </c>
      <c r="H44" s="25" t="s">
        <v>481</v>
      </c>
      <c r="I44" s="5" t="s">
        <v>325</v>
      </c>
    </row>
    <row r="45" customFormat="false" ht="15" hidden="false" customHeight="false" outlineLevel="0" collapsed="false">
      <c r="B45" s="12" t="n">
        <v>40</v>
      </c>
      <c r="C45" s="5" t="s">
        <v>636</v>
      </c>
      <c r="D45" s="5" t="s">
        <v>635</v>
      </c>
      <c r="E45" s="29" t="n">
        <v>51.8427909697041</v>
      </c>
      <c r="F45" s="12" t="s">
        <v>1059</v>
      </c>
      <c r="G45" s="12" t="s">
        <v>515</v>
      </c>
      <c r="H45" s="25" t="s">
        <v>481</v>
      </c>
      <c r="I45" s="5" t="s">
        <v>325</v>
      </c>
    </row>
    <row r="46" customFormat="false" ht="15" hidden="false" customHeight="false" outlineLevel="0" collapsed="false">
      <c r="B46" s="12" t="n">
        <v>41</v>
      </c>
      <c r="C46" s="5" t="s">
        <v>638</v>
      </c>
      <c r="D46" s="5" t="s">
        <v>637</v>
      </c>
      <c r="E46" s="29" t="n">
        <v>15619.3362068966</v>
      </c>
      <c r="F46" s="12" t="s">
        <v>1047</v>
      </c>
      <c r="G46" s="12" t="s">
        <v>515</v>
      </c>
      <c r="H46" s="25" t="s">
        <v>481</v>
      </c>
      <c r="I46" s="5" t="s">
        <v>325</v>
      </c>
    </row>
    <row r="47" customFormat="false" ht="15" hidden="false" customHeight="false" outlineLevel="0" collapsed="false">
      <c r="B47" s="12" t="n">
        <v>42</v>
      </c>
      <c r="C47" s="5" t="s">
        <v>640</v>
      </c>
      <c r="D47" s="5" t="s">
        <v>370</v>
      </c>
      <c r="E47" s="29" t="n">
        <v>7977.8875862069</v>
      </c>
      <c r="F47" s="12" t="s">
        <v>1047</v>
      </c>
      <c r="G47" s="12" t="s">
        <v>515</v>
      </c>
      <c r="H47" s="25" t="s">
        <v>481</v>
      </c>
      <c r="I47" s="5" t="s">
        <v>325</v>
      </c>
    </row>
    <row r="48" customFormat="false" ht="15" hidden="false" customHeight="false" outlineLevel="0" collapsed="false">
      <c r="B48" s="12" t="n">
        <v>43</v>
      </c>
      <c r="C48" s="5" t="s">
        <v>641</v>
      </c>
      <c r="D48" s="5" t="s">
        <v>367</v>
      </c>
      <c r="E48" s="27" t="n">
        <v>147.396551724138</v>
      </c>
      <c r="F48" s="12" t="s">
        <v>1057</v>
      </c>
      <c r="G48" s="12" t="s">
        <v>515</v>
      </c>
      <c r="H48" s="25" t="s">
        <v>481</v>
      </c>
      <c r="I48" s="5" t="s">
        <v>325</v>
      </c>
    </row>
    <row r="49" customFormat="false" ht="15" hidden="false" customHeight="false" outlineLevel="0" collapsed="false">
      <c r="B49" s="12" t="n">
        <v>44</v>
      </c>
      <c r="C49" s="5" t="s">
        <v>642</v>
      </c>
      <c r="D49" s="5" t="s">
        <v>361</v>
      </c>
      <c r="E49" s="30" t="n">
        <v>0.20959735473769</v>
      </c>
      <c r="F49" s="12" t="s">
        <v>1049</v>
      </c>
      <c r="G49" s="12" t="s">
        <v>515</v>
      </c>
      <c r="H49" s="25" t="s">
        <v>481</v>
      </c>
      <c r="I49" s="5" t="s">
        <v>325</v>
      </c>
    </row>
    <row r="50" customFormat="false" ht="15" hidden="false" customHeight="false" outlineLevel="0" collapsed="false">
      <c r="B50" s="12" t="n">
        <v>45</v>
      </c>
      <c r="C50" s="5" t="s">
        <v>644</v>
      </c>
      <c r="D50" s="5" t="s">
        <v>362</v>
      </c>
      <c r="E50" s="30" t="n">
        <v>0.185743654389481</v>
      </c>
      <c r="F50" s="12" t="s">
        <v>1049</v>
      </c>
      <c r="G50" s="12" t="s">
        <v>515</v>
      </c>
      <c r="H50" s="25" t="s">
        <v>481</v>
      </c>
      <c r="I50" s="5" t="s">
        <v>325</v>
      </c>
    </row>
    <row r="51" customFormat="false" ht="23.85" hidden="false" customHeight="false" outlineLevel="0" collapsed="false">
      <c r="B51" s="12" t="n">
        <v>46</v>
      </c>
      <c r="C51" s="5" t="s">
        <v>646</v>
      </c>
      <c r="D51" s="5" t="s">
        <v>645</v>
      </c>
      <c r="E51" s="28" t="n">
        <v>24</v>
      </c>
      <c r="F51" s="12" t="s">
        <v>1053</v>
      </c>
      <c r="G51" s="12" t="s">
        <v>1062</v>
      </c>
      <c r="H51" s="25" t="s">
        <v>481</v>
      </c>
      <c r="I51" s="5" t="s">
        <v>16</v>
      </c>
    </row>
    <row r="52" customFormat="false" ht="23.85" hidden="false" customHeight="false" outlineLevel="0" collapsed="false">
      <c r="B52" s="12" t="n">
        <v>47</v>
      </c>
      <c r="C52" s="5" t="s">
        <v>649</v>
      </c>
      <c r="D52" s="5" t="s">
        <v>648</v>
      </c>
      <c r="E52" s="28" t="n">
        <v>18</v>
      </c>
      <c r="F52" s="12" t="s">
        <v>1053</v>
      </c>
      <c r="G52" s="12" t="s">
        <v>1063</v>
      </c>
      <c r="H52" s="25" t="s">
        <v>481</v>
      </c>
      <c r="I52" s="5" t="s">
        <v>16</v>
      </c>
    </row>
    <row r="53" customFormat="false" ht="15" hidden="false" customHeight="false" outlineLevel="0" collapsed="false">
      <c r="B53" s="12" t="n">
        <v>48</v>
      </c>
      <c r="C53" s="5" t="s">
        <v>653</v>
      </c>
      <c r="D53" s="5" t="s">
        <v>652</v>
      </c>
      <c r="E53" s="28" t="n">
        <v>52</v>
      </c>
      <c r="F53" s="12" t="s">
        <v>1053</v>
      </c>
      <c r="G53" s="12" t="s">
        <v>1054</v>
      </c>
      <c r="H53" s="25" t="s">
        <v>481</v>
      </c>
      <c r="I53" s="5" t="s">
        <v>506</v>
      </c>
    </row>
    <row r="54" customFormat="false" ht="15" hidden="false" customHeight="false" outlineLevel="0" collapsed="false">
      <c r="B54" s="12" t="n">
        <v>49</v>
      </c>
      <c r="C54" s="5" t="s">
        <v>1064</v>
      </c>
      <c r="D54" s="5" t="s">
        <v>951</v>
      </c>
      <c r="E54" s="28" t="n">
        <v>7</v>
      </c>
      <c r="F54" s="12" t="s">
        <v>1053</v>
      </c>
      <c r="G54" s="12" t="s">
        <v>1054</v>
      </c>
      <c r="H54" s="25" t="s">
        <v>481</v>
      </c>
      <c r="I54" s="5" t="s">
        <v>506</v>
      </c>
    </row>
    <row r="55" customFormat="false" ht="15" hidden="false" customHeight="false" outlineLevel="0" collapsed="false">
      <c r="B55" s="12" t="n">
        <v>50</v>
      </c>
      <c r="C55" s="5" t="s">
        <v>657</v>
      </c>
      <c r="D55" s="5" t="s">
        <v>656</v>
      </c>
      <c r="E55" s="28" t="n">
        <v>80</v>
      </c>
      <c r="F55" s="12" t="s">
        <v>1053</v>
      </c>
      <c r="G55" s="12" t="s">
        <v>1054</v>
      </c>
      <c r="H55" s="25" t="s">
        <v>481</v>
      </c>
      <c r="I55" s="5" t="s">
        <v>1065</v>
      </c>
    </row>
    <row r="56" customFormat="false" ht="15" hidden="false" customHeight="false" outlineLevel="0" collapsed="false">
      <c r="B56" s="12" t="n">
        <v>51</v>
      </c>
      <c r="C56" s="5" t="s">
        <v>661</v>
      </c>
      <c r="D56" s="5" t="s">
        <v>660</v>
      </c>
      <c r="E56" s="28" t="n">
        <v>138</v>
      </c>
      <c r="F56" s="12" t="s">
        <v>1053</v>
      </c>
      <c r="G56" s="12" t="s">
        <v>1054</v>
      </c>
      <c r="H56" s="25" t="s">
        <v>481</v>
      </c>
      <c r="I56" s="5" t="s">
        <v>663</v>
      </c>
    </row>
    <row r="57" customFormat="false" ht="15" hidden="false" customHeight="false" outlineLevel="0" collapsed="false">
      <c r="B57" s="12" t="n">
        <v>52</v>
      </c>
      <c r="C57" s="5" t="s">
        <v>665</v>
      </c>
      <c r="D57" s="5" t="s">
        <v>664</v>
      </c>
      <c r="E57" s="28" t="n">
        <v>8</v>
      </c>
      <c r="F57" s="12" t="s">
        <v>1053</v>
      </c>
      <c r="G57" s="12" t="s">
        <v>1054</v>
      </c>
      <c r="H57" s="25" t="s">
        <v>481</v>
      </c>
      <c r="I57" s="5" t="s">
        <v>667</v>
      </c>
    </row>
    <row r="58" customFormat="false" ht="15" hidden="false" customHeight="false" outlineLevel="0" collapsed="false">
      <c r="B58" s="12" t="n">
        <v>53</v>
      </c>
      <c r="C58" s="5" t="s">
        <v>1066</v>
      </c>
      <c r="D58" s="5" t="s">
        <v>326</v>
      </c>
      <c r="E58" s="30" t="n">
        <v>0.101473856591414</v>
      </c>
      <c r="F58" s="12" t="s">
        <v>1049</v>
      </c>
      <c r="G58" s="12" t="s">
        <v>312</v>
      </c>
      <c r="H58" s="25" t="s">
        <v>481</v>
      </c>
      <c r="I58" s="5" t="s">
        <v>325</v>
      </c>
    </row>
    <row r="59" customFormat="false" ht="15" hidden="false" customHeight="false" outlineLevel="0" collapsed="false">
      <c r="B59" s="12" t="n">
        <v>54</v>
      </c>
      <c r="C59" s="5" t="s">
        <v>1067</v>
      </c>
      <c r="D59" s="5" t="s">
        <v>1068</v>
      </c>
      <c r="E59" s="30" t="n">
        <v>0.37355246227629</v>
      </c>
      <c r="F59" s="12" t="s">
        <v>1049</v>
      </c>
      <c r="G59" s="12" t="s">
        <v>312</v>
      </c>
      <c r="H59" s="25" t="s">
        <v>481</v>
      </c>
      <c r="I59" s="5" t="s">
        <v>325</v>
      </c>
    </row>
    <row r="60" customFormat="false" ht="23.85" hidden="false" customHeight="false" outlineLevel="0" collapsed="false">
      <c r="B60" s="12" t="n">
        <v>55</v>
      </c>
      <c r="C60" s="5" t="s">
        <v>1069</v>
      </c>
      <c r="D60" s="5" t="s">
        <v>1070</v>
      </c>
      <c r="E60" s="28" t="n">
        <v>30</v>
      </c>
      <c r="F60" s="12" t="s">
        <v>1053</v>
      </c>
      <c r="G60" s="12" t="s">
        <v>72</v>
      </c>
      <c r="H60" s="25" t="s">
        <v>481</v>
      </c>
      <c r="I60" s="5" t="s">
        <v>16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50"/>
    <col collapsed="false" customWidth="true" hidden="false" outlineLevel="0" max="5" min="4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</cols>
  <sheetData>
    <row r="2" customFormat="false" ht="27.75" hidden="false" customHeight="true" outlineLevel="0" collapsed="false">
      <c r="B2" s="1" t="s">
        <v>1071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1072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1" t="s">
        <v>475</v>
      </c>
      <c r="C5" s="11" t="s">
        <v>1073</v>
      </c>
      <c r="D5" s="11" t="s">
        <v>1074</v>
      </c>
      <c r="E5" s="11" t="s">
        <v>1075</v>
      </c>
      <c r="F5" s="11" t="s">
        <v>1076</v>
      </c>
      <c r="G5" s="11" t="s">
        <v>379</v>
      </c>
      <c r="H5" s="11" t="s">
        <v>1077</v>
      </c>
    </row>
    <row r="6" customFormat="false" ht="15" hidden="false" customHeight="false" outlineLevel="0" collapsed="false">
      <c r="B6" s="12" t="n">
        <v>1</v>
      </c>
      <c r="C6" s="5" t="s">
        <v>1078</v>
      </c>
      <c r="D6" s="18" t="n">
        <v>1811843</v>
      </c>
      <c r="E6" s="18" t="n">
        <v>1811843</v>
      </c>
      <c r="F6" s="13" t="n">
        <f aca="false">D6-E6</f>
        <v>0</v>
      </c>
      <c r="G6" s="12" t="str">
        <f aca="false">IF(ABS(F6)&lt;=1,"TIES",IF(ABS(F6)&lt;=ABS(E6)*0.05,"WITHIN",IF(ABS(F6)&lt;=ABS(E6)*0.15,"NEAR","OFF")))</f>
        <v>TIES</v>
      </c>
      <c r="H6" s="37" t="s">
        <v>1079</v>
      </c>
    </row>
    <row r="7" customFormat="false" ht="15" hidden="false" customHeight="false" outlineLevel="0" collapsed="false">
      <c r="B7" s="12" t="n">
        <v>2</v>
      </c>
      <c r="C7" s="5" t="s">
        <v>1080</v>
      </c>
      <c r="D7" s="18" t="n">
        <v>925434.96</v>
      </c>
      <c r="E7" s="18" t="n">
        <v>925434.96</v>
      </c>
      <c r="F7" s="13" t="n">
        <f aca="false">D7-E7</f>
        <v>0</v>
      </c>
      <c r="G7" s="12" t="str">
        <f aca="false">IF(ABS(F7)&lt;=1,"TIES",IF(ABS(F7)&lt;=ABS(E7)*0.05,"WITHIN",IF(ABS(F7)&lt;=ABS(E7)*0.15,"NEAR","OFF")))</f>
        <v>TIES</v>
      </c>
      <c r="H7" s="37" t="s">
        <v>1081</v>
      </c>
    </row>
    <row r="8" customFormat="false" ht="15" hidden="false" customHeight="false" outlineLevel="0" collapsed="false">
      <c r="B8" s="12" t="n">
        <v>3</v>
      </c>
      <c r="C8" s="5" t="s">
        <v>1082</v>
      </c>
      <c r="D8" s="18" t="n">
        <v>886408.04</v>
      </c>
      <c r="E8" s="18" t="n">
        <v>886408.04</v>
      </c>
      <c r="F8" s="13" t="n">
        <f aca="false">D8-E8</f>
        <v>0</v>
      </c>
      <c r="G8" s="12" t="str">
        <f aca="false">IF(ABS(F8)&lt;=1,"TIES",IF(ABS(F8)&lt;=ABS(E8)*0.05,"WITHIN",IF(ABS(F8)&lt;=ABS(E8)*0.15,"NEAR","OFF")))</f>
        <v>TIES</v>
      </c>
      <c r="H8" s="37" t="s">
        <v>1083</v>
      </c>
    </row>
    <row r="9" customFormat="false" ht="15" hidden="false" customHeight="false" outlineLevel="0" collapsed="false">
      <c r="B9" s="12" t="n">
        <v>4</v>
      </c>
      <c r="C9" s="5" t="s">
        <v>1084</v>
      </c>
      <c r="D9" s="18" t="n">
        <v>925434.96</v>
      </c>
      <c r="E9" s="18" t="n">
        <v>925434.96</v>
      </c>
      <c r="F9" s="13" t="n">
        <f aca="false">D9-E9</f>
        <v>0</v>
      </c>
      <c r="G9" s="12" t="str">
        <f aca="false">IF(ABS(F9)&lt;=1,"TIES",IF(ABS(F9)&lt;=ABS(E9)*0.05,"WITHIN",IF(ABS(F9)&lt;=ABS(E9)*0.15,"NEAR","OFF")))</f>
        <v>TIES</v>
      </c>
      <c r="H9" s="37" t="s">
        <v>1085</v>
      </c>
    </row>
    <row r="10" customFormat="false" ht="15" hidden="false" customHeight="false" outlineLevel="0" collapsed="false">
      <c r="B10" s="12" t="n">
        <v>5</v>
      </c>
      <c r="C10" s="5" t="s">
        <v>1086</v>
      </c>
      <c r="D10" s="18" t="n">
        <v>1811843</v>
      </c>
      <c r="E10" s="18" t="n">
        <v>1811843</v>
      </c>
      <c r="F10" s="13" t="n">
        <f aca="false">D10-E10</f>
        <v>0</v>
      </c>
      <c r="G10" s="12" t="str">
        <f aca="false">IF(ABS(F10)&lt;=1,"TIES",IF(ABS(F10)&lt;=ABS(E10)*0.05,"WITHIN",IF(ABS(F10)&lt;=ABS(E10)*0.15,"NEAR","OFF")))</f>
        <v>TIES</v>
      </c>
      <c r="H10" s="37" t="s">
        <v>1087</v>
      </c>
    </row>
    <row r="11" customFormat="false" ht="15" hidden="false" customHeight="false" outlineLevel="0" collapsed="false">
      <c r="B11" s="12" t="n">
        <v>6</v>
      </c>
      <c r="C11" s="5" t="s">
        <v>1088</v>
      </c>
      <c r="D11" s="18" t="n">
        <v>17098</v>
      </c>
      <c r="E11" s="18" t="n">
        <v>17061</v>
      </c>
      <c r="F11" s="13" t="n">
        <f aca="false">D11-E11</f>
        <v>37</v>
      </c>
      <c r="G11" s="12" t="str">
        <f aca="false">IF(ABS(F11)&lt;=1,"TIES",IF(ABS(F11)&lt;=ABS(E11)*0.05,"WITHIN",IF(ABS(F11)&lt;=ABS(E11)*0.15,"NEAR","OFF")))</f>
        <v>WITHIN</v>
      </c>
      <c r="H11" s="37" t="s">
        <v>1089</v>
      </c>
    </row>
    <row r="12" customFormat="false" ht="15" hidden="false" customHeight="false" outlineLevel="0" collapsed="false">
      <c r="B12" s="12" t="n">
        <v>7</v>
      </c>
      <c r="C12" s="5" t="s">
        <v>1090</v>
      </c>
      <c r="D12" s="18" t="n">
        <v>379757.5</v>
      </c>
      <c r="E12" s="18" t="n">
        <v>379509</v>
      </c>
      <c r="F12" s="13" t="n">
        <f aca="false">D12-E12</f>
        <v>248.5</v>
      </c>
      <c r="G12" s="12" t="str">
        <f aca="false">IF(ABS(F12)&lt;=1,"TIES",IF(ABS(F12)&lt;=ABS(E12)*0.05,"WITHIN",IF(ABS(F12)&lt;=ABS(E12)*0.15,"NEAR","OFF")))</f>
        <v>WITHIN</v>
      </c>
      <c r="H12" s="37" t="s">
        <v>1091</v>
      </c>
    </row>
    <row r="13" customFormat="false" ht="15" hidden="false" customHeight="false" outlineLevel="0" collapsed="false">
      <c r="B13" s="12" t="n">
        <v>8</v>
      </c>
      <c r="C13" s="5" t="s">
        <v>1092</v>
      </c>
      <c r="D13" s="18" t="n">
        <v>299677.23</v>
      </c>
      <c r="E13" s="18" t="n">
        <v>299677.23</v>
      </c>
      <c r="F13" s="13" t="n">
        <f aca="false">D13-E13</f>
        <v>0</v>
      </c>
      <c r="G13" s="12" t="str">
        <f aca="false">IF(ABS(F13)&lt;=1,"TIES",IF(ABS(F13)&lt;=ABS(E13)*0.05,"WITHIN",IF(ABS(F13)&lt;=ABS(E13)*0.15,"NEAR","OFF")))</f>
        <v>TIES</v>
      </c>
      <c r="H13" s="37" t="s">
        <v>1093</v>
      </c>
    </row>
    <row r="14" customFormat="false" ht="15" hidden="false" customHeight="false" outlineLevel="0" collapsed="false">
      <c r="B14" s="12" t="n">
        <v>9</v>
      </c>
      <c r="C14" s="5" t="s">
        <v>1094</v>
      </c>
      <c r="D14" s="38" t="n">
        <v>18</v>
      </c>
      <c r="E14" s="38" t="n">
        <v>18</v>
      </c>
      <c r="F14" s="13" t="n">
        <f aca="false">D14-E14</f>
        <v>0</v>
      </c>
      <c r="G14" s="12" t="str">
        <f aca="false">IF(ABS(F14)&lt;=1,"TIES",IF(ABS(F14)&lt;=ABS(E14)*0.05,"WITHIN",IF(ABS(F14)&lt;=ABS(E14)*0.15,"NEAR","OFF")))</f>
        <v>TIES</v>
      </c>
      <c r="H14" s="37" t="s">
        <v>1095</v>
      </c>
    </row>
    <row r="15" customFormat="false" ht="15" hidden="false" customHeight="false" outlineLevel="0" collapsed="false">
      <c r="B15" s="12" t="n">
        <v>10</v>
      </c>
      <c r="C15" s="5" t="s">
        <v>1096</v>
      </c>
      <c r="D15" s="18" t="n">
        <v>48363</v>
      </c>
      <c r="E15" s="18" t="n">
        <v>48363</v>
      </c>
      <c r="F15" s="13" t="n">
        <f aca="false">D15-E15</f>
        <v>0</v>
      </c>
      <c r="G15" s="12" t="str">
        <f aca="false">IF(ABS(F15)&lt;=1,"TIES",IF(ABS(F15)&lt;=ABS(E15)*0.05,"WITHIN",IF(ABS(F15)&lt;=ABS(E15)*0.15,"NEAR","OFF")))</f>
        <v>TIES</v>
      </c>
      <c r="H15" s="37" t="s">
        <v>1097</v>
      </c>
    </row>
    <row r="16" customFormat="false" ht="15" hidden="false" customHeight="false" outlineLevel="0" collapsed="false">
      <c r="B16" s="12" t="n">
        <v>11</v>
      </c>
      <c r="C16" s="5" t="s">
        <v>1098</v>
      </c>
      <c r="D16" s="18" t="n">
        <v>90592.15</v>
      </c>
      <c r="E16" s="18" t="n">
        <v>90592.15</v>
      </c>
      <c r="F16" s="13" t="n">
        <f aca="false">D16-E16</f>
        <v>0</v>
      </c>
      <c r="G16" s="12" t="str">
        <f aca="false">IF(ABS(F16)&lt;=1,"TIES",IF(ABS(F16)&lt;=ABS(E16)*0.05,"WITHIN",IF(ABS(F16)&lt;=ABS(E16)*0.15,"NEAR","OFF")))</f>
        <v>TIES</v>
      </c>
      <c r="H16" s="37" t="s">
        <v>1099</v>
      </c>
    </row>
    <row r="17" customFormat="false" ht="15" hidden="false" customHeight="false" outlineLevel="0" collapsed="false">
      <c r="B17" s="12" t="n">
        <v>12</v>
      </c>
      <c r="C17" s="5" t="s">
        <v>1100</v>
      </c>
      <c r="D17" s="18" t="n">
        <v>90592.15</v>
      </c>
      <c r="E17" s="18" t="n">
        <v>90592.15</v>
      </c>
      <c r="F17" s="13" t="n">
        <f aca="false">D17-E17</f>
        <v>0</v>
      </c>
      <c r="G17" s="12" t="str">
        <f aca="false">IF(ABS(F17)&lt;=1,"TIES",IF(ABS(F17)&lt;=ABS(E17)*0.05,"WITHIN",IF(ABS(F17)&lt;=ABS(E17)*0.15,"NEAR","OFF")))</f>
        <v>TIES</v>
      </c>
      <c r="H17" s="37" t="s">
        <v>1099</v>
      </c>
    </row>
    <row r="18" customFormat="false" ht="15" hidden="false" customHeight="false" outlineLevel="0" collapsed="false">
      <c r="B18" s="12" t="n">
        <v>13</v>
      </c>
      <c r="C18" s="5" t="s">
        <v>1101</v>
      </c>
      <c r="D18" s="18" t="n">
        <v>1811843</v>
      </c>
      <c r="E18" s="18" t="n">
        <v>1811843</v>
      </c>
      <c r="F18" s="13" t="n">
        <f aca="false">D18-E18</f>
        <v>0</v>
      </c>
      <c r="G18" s="12" t="str">
        <f aca="false">IF(ABS(F18)&lt;=1,"TIES",IF(ABS(F18)&lt;=ABS(E18)*0.05,"WITHIN",IF(ABS(F18)&lt;=ABS(E18)*0.15,"NEAR","OFF")))</f>
        <v>TIES</v>
      </c>
      <c r="H18" s="37" t="s">
        <v>1102</v>
      </c>
    </row>
    <row r="19" customFormat="false" ht="15" hidden="false" customHeight="false" outlineLevel="0" collapsed="false">
      <c r="B19" s="12" t="n">
        <v>14</v>
      </c>
      <c r="C19" s="5" t="s">
        <v>1103</v>
      </c>
      <c r="D19" s="18" t="n">
        <v>90592.15</v>
      </c>
      <c r="E19" s="18" t="n">
        <v>90592.15</v>
      </c>
      <c r="F19" s="13" t="n">
        <f aca="false">D19-E19</f>
        <v>0</v>
      </c>
      <c r="G19" s="12" t="str">
        <f aca="false">IF(ABS(F19)&lt;=1,"TIES",IF(ABS(F19)&lt;=ABS(E19)*0.05,"WITHIN",IF(ABS(F19)&lt;=ABS(E19)*0.15,"NEAR","OFF")))</f>
        <v>TIES</v>
      </c>
      <c r="H19" s="37" t="s">
        <v>1102</v>
      </c>
    </row>
    <row r="20" customFormat="false" ht="15" hidden="false" customHeight="false" outlineLevel="0" collapsed="false">
      <c r="B20" s="12" t="n">
        <v>15</v>
      </c>
      <c r="C20" s="5" t="s">
        <v>1104</v>
      </c>
      <c r="D20" s="18" t="n">
        <v>1932774.08</v>
      </c>
      <c r="E20" s="18" t="n">
        <v>1932774.08</v>
      </c>
      <c r="F20" s="13" t="n">
        <f aca="false">D20-E20</f>
        <v>0</v>
      </c>
      <c r="G20" s="12" t="str">
        <f aca="false">IF(ABS(F20)&lt;=1,"TIES",IF(ABS(F20)&lt;=ABS(E20)*0.05,"WITHIN",IF(ABS(F20)&lt;=ABS(E20)*0.15,"NEAR","OFF")))</f>
        <v>TIES</v>
      </c>
      <c r="H20" s="37" t="s">
        <v>1105</v>
      </c>
    </row>
    <row r="21" customFormat="false" ht="15" hidden="false" customHeight="false" outlineLevel="0" collapsed="false">
      <c r="B21" s="12" t="n">
        <v>16</v>
      </c>
      <c r="C21" s="5" t="s">
        <v>1106</v>
      </c>
      <c r="D21" s="38" t="n">
        <v>40</v>
      </c>
      <c r="E21" s="38" t="n">
        <v>40</v>
      </c>
      <c r="F21" s="13" t="n">
        <f aca="false">D21-E21</f>
        <v>0</v>
      </c>
      <c r="G21" s="12" t="str">
        <f aca="false">IF(ABS(F21)&lt;=1,"TIES",IF(ABS(F21)&lt;=ABS(E21)*0.05,"WITHIN",IF(ABS(F21)&lt;=ABS(E21)*0.15,"NEAR","OFF")))</f>
        <v>TIES</v>
      </c>
      <c r="H21" s="37" t="s">
        <v>1107</v>
      </c>
    </row>
    <row r="22" customFormat="false" ht="15" hidden="false" customHeight="false" outlineLevel="0" collapsed="false">
      <c r="B22" s="12" t="n">
        <v>17</v>
      </c>
      <c r="C22" s="5" t="s">
        <v>1108</v>
      </c>
      <c r="D22" s="38" t="n">
        <v>30</v>
      </c>
      <c r="E22" s="38" t="n">
        <v>30</v>
      </c>
      <c r="F22" s="13" t="n">
        <f aca="false">D22-E22</f>
        <v>0</v>
      </c>
      <c r="G22" s="12" t="str">
        <f aca="false">IF(ABS(F22)&lt;=1,"TIES",IF(ABS(F22)&lt;=ABS(E22)*0.05,"WITHIN",IF(ABS(F22)&lt;=ABS(E22)*0.15,"NEAR","OFF")))</f>
        <v>TIES</v>
      </c>
      <c r="H22" s="37" t="s">
        <v>1109</v>
      </c>
    </row>
    <row r="23" customFormat="false" ht="15" hidden="false" customHeight="false" outlineLevel="0" collapsed="false">
      <c r="B23" s="12" t="n">
        <v>18</v>
      </c>
      <c r="C23" s="5" t="s">
        <v>1110</v>
      </c>
      <c r="D23" s="18" t="n">
        <v>54663</v>
      </c>
      <c r="E23" s="18" t="n">
        <v>48363</v>
      </c>
      <c r="F23" s="13" t="n">
        <f aca="false">D23-E23</f>
        <v>6300</v>
      </c>
      <c r="G23" s="12" t="str">
        <f aca="false">IF(ABS(F23)&lt;=1,"TIES",IF(ABS(F23)&lt;=ABS(E23)*0.05,"WITHIN",IF(ABS(F23)&lt;=ABS(E23)*0.15,"NEAR","OFF")))</f>
        <v>NEAR</v>
      </c>
      <c r="H23" s="37" t="s">
        <v>1111</v>
      </c>
    </row>
    <row r="26" customFormat="false" ht="15" hidden="false" customHeight="false" outlineLevel="0" collapsed="false">
      <c r="B26" s="39" t="s">
        <v>58</v>
      </c>
      <c r="C26" s="40"/>
      <c r="D26" s="40"/>
      <c r="E26" s="40"/>
      <c r="F26" s="40"/>
      <c r="G26" s="40"/>
      <c r="H26" s="40"/>
    </row>
    <row r="27" customFormat="false" ht="15" hidden="false" customHeight="true" outlineLevel="0" collapsed="false">
      <c r="B27" s="6" t="s">
        <v>1112</v>
      </c>
      <c r="C27" s="6"/>
      <c r="D27" s="6"/>
      <c r="E27" s="6"/>
      <c r="F27" s="6"/>
      <c r="G27" s="6"/>
      <c r="H27" s="6"/>
    </row>
    <row r="28" customFormat="false" ht="15" hidden="false" customHeight="true" outlineLevel="0" collapsed="false">
      <c r="B28" s="6" t="s">
        <v>59</v>
      </c>
      <c r="C28" s="6"/>
      <c r="D28" s="6"/>
      <c r="E28" s="6"/>
      <c r="F28" s="6"/>
      <c r="G28" s="6"/>
      <c r="H28" s="6"/>
    </row>
    <row r="29" customFormat="false" ht="15" hidden="false" customHeight="true" outlineLevel="0" collapsed="false">
      <c r="B29" s="6" t="s">
        <v>1113</v>
      </c>
      <c r="C29" s="6"/>
      <c r="D29" s="6"/>
      <c r="E29" s="6"/>
      <c r="F29" s="6"/>
      <c r="G29" s="6"/>
      <c r="H29" s="6"/>
    </row>
    <row r="30" customFormat="false" ht="15" hidden="false" customHeight="true" outlineLevel="0" collapsed="false">
      <c r="B30" s="6" t="s">
        <v>1114</v>
      </c>
      <c r="C30" s="6"/>
      <c r="D30" s="6"/>
      <c r="E30" s="6"/>
      <c r="F30" s="6"/>
      <c r="G30" s="6"/>
      <c r="H30" s="6"/>
    </row>
    <row r="31" customFormat="false" ht="15" hidden="false" customHeight="true" outlineLevel="0" collapsed="false">
      <c r="B31" s="6" t="s">
        <v>62</v>
      </c>
      <c r="C31" s="6"/>
      <c r="D31" s="6"/>
      <c r="E31" s="6"/>
      <c r="F31" s="6"/>
      <c r="G31" s="6"/>
      <c r="H31" s="6"/>
    </row>
    <row r="32" customFormat="false" ht="15" hidden="false" customHeight="true" outlineLevel="0" collapsed="false">
      <c r="B32" s="6" t="s">
        <v>1115</v>
      </c>
      <c r="C32" s="6"/>
      <c r="D32" s="6"/>
      <c r="E32" s="6"/>
      <c r="F32" s="6"/>
      <c r="G32" s="6"/>
      <c r="H32" s="6"/>
    </row>
    <row r="33" customFormat="false" ht="15" hidden="false" customHeight="true" outlineLevel="0" collapsed="false">
      <c r="B33" s="6" t="s">
        <v>1116</v>
      </c>
      <c r="C33" s="6"/>
      <c r="D33" s="6"/>
      <c r="E33" s="6"/>
      <c r="F33" s="6"/>
      <c r="G33" s="6"/>
      <c r="H33" s="6"/>
    </row>
    <row r="34" customFormat="false" ht="15" hidden="false" customHeight="true" outlineLevel="0" collapsed="false">
      <c r="B34" s="6" t="s">
        <v>1117</v>
      </c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B35" s="6" t="s">
        <v>1118</v>
      </c>
      <c r="C35" s="6"/>
      <c r="D35" s="6"/>
      <c r="E35" s="6"/>
      <c r="F35" s="6"/>
      <c r="G35" s="6"/>
      <c r="H35" s="6"/>
    </row>
    <row r="36" customFormat="false" ht="15" hidden="false" customHeight="true" outlineLevel="0" collapsed="false">
      <c r="B36" s="6" t="s">
        <v>1119</v>
      </c>
      <c r="C36" s="6"/>
      <c r="D36" s="6"/>
      <c r="E36" s="6"/>
      <c r="F36" s="6"/>
      <c r="G36" s="6"/>
      <c r="H36" s="6"/>
    </row>
    <row r="37" customFormat="false" ht="15" hidden="false" customHeight="true" outlineLevel="0" collapsed="false">
      <c r="B37" s="6" t="s">
        <v>1120</v>
      </c>
      <c r="C37" s="6"/>
      <c r="D37" s="6"/>
      <c r="E37" s="6"/>
      <c r="F37" s="6"/>
      <c r="G37" s="6"/>
      <c r="H37" s="6"/>
    </row>
    <row r="38" customFormat="false" ht="15" hidden="false" customHeight="true" outlineLevel="0" collapsed="false">
      <c r="B38" s="6" t="s">
        <v>1121</v>
      </c>
      <c r="C38" s="6"/>
      <c r="D38" s="6"/>
      <c r="E38" s="6"/>
      <c r="F38" s="6"/>
      <c r="G38" s="6"/>
      <c r="H38" s="6"/>
    </row>
    <row r="39" customFormat="false" ht="15" hidden="false" customHeight="true" outlineLevel="0" collapsed="false">
      <c r="B39" s="6" t="s">
        <v>1122</v>
      </c>
      <c r="C39" s="6"/>
      <c r="D39" s="6"/>
      <c r="E39" s="6"/>
      <c r="F39" s="6"/>
      <c r="G39" s="6"/>
      <c r="H39" s="6"/>
    </row>
    <row r="40" customFormat="false" ht="15" hidden="false" customHeight="true" outlineLevel="0" collapsed="false">
      <c r="B40" s="6" t="s">
        <v>1123</v>
      </c>
      <c r="C40" s="6"/>
      <c r="D40" s="6"/>
      <c r="E40" s="6"/>
      <c r="F40" s="6"/>
      <c r="G40" s="6"/>
      <c r="H40" s="6"/>
    </row>
    <row r="41" customFormat="false" ht="15" hidden="false" customHeight="true" outlineLevel="0" collapsed="false">
      <c r="B41" s="6" t="s">
        <v>1124</v>
      </c>
      <c r="C41" s="6"/>
      <c r="D41" s="6"/>
      <c r="E41" s="6"/>
      <c r="F41" s="6"/>
      <c r="G41" s="6"/>
      <c r="H41" s="6"/>
    </row>
  </sheetData>
  <mergeCells count="17">
    <mergeCell ref="B2:J2"/>
    <mergeCell ref="B3:J3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2026-04-14T15:21:33Z</dcterms:created>
  <dc:creator>openpyxl</dc:creator>
  <dc:description/>
  <dc:language>en-US</dc:language>
  <cp:lastModifiedBy/>
  <dcterms:modified xsi:type="dcterms:W3CDTF">2026-04-14T15:21:33Z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