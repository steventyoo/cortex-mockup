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E6E6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0" fillId="10" borderId="0" pivotButton="0" quotePrefix="0" xfId="0"/>
    <xf numFmtId="0" fontId="8" fillId="3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0" fillId="12" borderId="4" pivotButton="0" quotePrefix="0" xfId="0"/>
    <xf numFmtId="0" fontId="0" fillId="12" borderId="5" pivotButton="0" quotePrefix="0" xfId="0"/>
    <xf numFmtId="0" fontId="0" fillId="12" borderId="0" pivotButton="0" quotePrefix="0" xfId="0"/>
    <xf numFmtId="0" fontId="12" fillId="3" borderId="1" applyAlignment="1" pivotButton="0" quotePrefix="0" xfId="0">
      <alignment horizontal="left" vertical="center" wrapText="1"/>
    </xf>
    <xf numFmtId="164" fontId="12" fillId="12" borderId="1" applyAlignment="1" pivotButton="0" quotePrefix="0" xfId="0">
      <alignment horizontal="right" vertical="center"/>
    </xf>
    <xf numFmtId="4" fontId="12" fillId="12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left" vertical="center" wrapText="1"/>
    </xf>
    <xf numFmtId="0" fontId="13" fillId="11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8" fillId="13" borderId="6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left" vertical="center" wrapText="1"/>
    </xf>
    <xf numFmtId="4" fontId="12" fillId="0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left" vertical="center" wrapText="1"/>
    </xf>
    <xf numFmtId="166" fontId="12" fillId="12" borderId="1" applyAlignment="1" pivotButton="0" quotePrefix="0" xfId="0">
      <alignment horizontal="left" vertical="center" wrapText="1"/>
    </xf>
    <xf numFmtId="4" fontId="4" fillId="12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4" fontId="12" fillId="0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left" vertical="center"/>
    </xf>
    <xf numFmtId="164" fontId="12" fillId="12" borderId="1" applyAlignment="1" pivotButton="0" quotePrefix="0" xfId="0">
      <alignment horizontal="left" vertical="center" wrapText="1"/>
    </xf>
    <xf numFmtId="166" fontId="12" fillId="12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3" fontId="12" fillId="12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4" fontId="12" fillId="12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/>
    </xf>
    <xf numFmtId="10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 wrapText="1"/>
    </xf>
    <xf numFmtId="10" fontId="12" fillId="1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167" fontId="12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Job #2024 · SRM, Ballard Merrill Gardens — Merrill Gardens at Ballard</t>
        </is>
      </c>
    </row>
    <row r="3" ht="22" customHeight="1">
      <c r="B3" s="44" t="inlineStr">
        <is>
          <t>Cortex JCR Cortex v2  •  Merrill Gardens at Ballard, LLC (customer 2024MG)  •  5601 24th Ave NW, Seattle WA 98107  •  SRM Development Corp / Merrill Gardens (Spokane)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46" t="inlineStr">
        <is>
          <t>PROJECT OVERVIEW</t>
        </is>
      </c>
    </row>
    <row r="6">
      <c r="B6" s="47" t="inlineStr">
        <is>
          <t>Project Job #</t>
        </is>
      </c>
      <c r="C6" s="48" t="inlineStr">
        <is>
          <t>2024</t>
        </is>
      </c>
      <c r="D6" s="6" t="n"/>
      <c r="E6" s="7" t="n"/>
      <c r="F6" s="48" t="inlineStr">
        <is>
          <t>2024 Job Detail Report.pdf (Sage Timberline, 04/03/2026, 285 pages) header</t>
        </is>
      </c>
      <c r="G6" s="6" t="n"/>
      <c r="H6" s="6" t="n"/>
      <c r="I6" s="6" t="n"/>
      <c r="J6" s="7" t="n"/>
    </row>
    <row r="7">
      <c r="B7" s="49" t="inlineStr">
        <is>
          <t>Project Name (Sage)</t>
        </is>
      </c>
      <c r="C7" s="50" t="inlineStr">
        <is>
          <t>SRM, Ballard Merrill Gardens</t>
        </is>
      </c>
      <c r="D7" s="51" t="n"/>
      <c r="E7" s="52" t="n"/>
      <c r="F7" s="50" t="inlineStr">
        <is>
          <t>2024 Job Detail Report.pdf (Sage Timberline, 04/03/2026, 285 pages) header</t>
        </is>
      </c>
      <c r="G7" s="51" t="n"/>
      <c r="H7" s="51" t="n"/>
      <c r="I7" s="51" t="n"/>
      <c r="J7" s="52" t="n"/>
    </row>
    <row r="8">
      <c r="B8" s="47" t="inlineStr">
        <is>
          <t>Project Description</t>
        </is>
      </c>
      <c r="C8" s="48" t="inlineStr">
        <is>
          <t>Merrill Gardens at Ballard — senior-living plumbing, ~116 residential units + amenity</t>
        </is>
      </c>
      <c r="D8" s="6" t="n"/>
      <c r="E8" s="7" t="n"/>
      <c r="F8" s="48" t="inlineStr">
        <is>
          <t>mgb contract brett signed OCR_D.pdf (21-Apr-2015, Lump Sum $1,932,774.08 gross incl $169,294 WSST = $1,763,480 net) + trim PO fixture count</t>
        </is>
      </c>
      <c r="G8" s="6" t="n"/>
      <c r="H8" s="6" t="n"/>
      <c r="I8" s="6" t="n"/>
      <c r="J8" s="7" t="n"/>
    </row>
    <row r="9">
      <c r="B9" s="49" t="inlineStr">
        <is>
          <t>Contract Counterparty</t>
        </is>
      </c>
      <c r="C9" s="50" t="inlineStr">
        <is>
          <t>Merrill Gardens at Ballard, LLC</t>
        </is>
      </c>
      <c r="D9" s="51" t="n"/>
      <c r="E9" s="52" t="n"/>
      <c r="F9" s="50" t="inlineStr">
        <is>
          <t>mgb contract brett signed OCR_D.pdf (21-Apr-2015, Lump Sum $1,932,774.08 gross incl $169,294 WSST = $1,763,480 net)</t>
        </is>
      </c>
      <c r="G9" s="51" t="n"/>
      <c r="H9" s="51" t="n"/>
      <c r="I9" s="51" t="n"/>
      <c r="J9" s="52" t="n"/>
    </row>
    <row r="10">
      <c r="B10" s="47" t="inlineStr">
        <is>
          <t>Customer Code (Sage)</t>
        </is>
      </c>
      <c r="C10" s="48" t="inlineStr">
        <is>
          <t>2024MG</t>
        </is>
      </c>
      <c r="D10" s="6" t="n"/>
      <c r="E10" s="7" t="n"/>
      <c r="F10" s="48" t="inlineStr">
        <is>
          <t>2024 Job Detail Report.pdf (Sage Timberline, 04/03/2026, 285 pages)</t>
        </is>
      </c>
      <c r="G10" s="6" t="n"/>
      <c r="H10" s="6" t="n"/>
      <c r="I10" s="6" t="n"/>
      <c r="J10" s="7" t="n"/>
    </row>
    <row r="11">
      <c r="B11" s="49" t="inlineStr">
        <is>
          <t>Parent Owner / Developer</t>
        </is>
      </c>
      <c r="C11" s="50" t="inlineStr">
        <is>
          <t>SRM Development Corp / Merrill Gardens (Spokane)</t>
        </is>
      </c>
      <c r="D11" s="51" t="n"/>
      <c r="E11" s="52" t="n"/>
      <c r="F11" s="50" t="inlineStr">
        <is>
          <t>mgb contract brett signed OCR_D.pdf (21-Apr-2015, Lump Sum $1,932,774.08 gross incl $169,294 WSST = $1,763,480 net) (111 N. Post, Suite 200, Spokane, WA)</t>
        </is>
      </c>
      <c r="G11" s="51" t="n"/>
      <c r="H11" s="51" t="n"/>
      <c r="I11" s="51" t="n"/>
      <c r="J11" s="52" t="n"/>
    </row>
    <row r="12">
      <c r="B12" s="47" t="inlineStr">
        <is>
          <t>Architect</t>
        </is>
      </c>
      <c r="C12" s="48" t="inlineStr">
        <is>
          <t>Urbal Architecture (Seattle)</t>
        </is>
      </c>
      <c r="D12" s="6" t="n"/>
      <c r="E12" s="7" t="n"/>
      <c r="F12" s="48" t="inlineStr">
        <is>
          <t>Per contract § 'Main Contract' documents</t>
        </is>
      </c>
      <c r="G12" s="6" t="n"/>
      <c r="H12" s="6" t="n"/>
      <c r="I12" s="6" t="n"/>
      <c r="J12" s="7" t="n"/>
    </row>
    <row r="13">
      <c r="B13" s="49" t="inlineStr">
        <is>
          <t>Jobsite Location</t>
        </is>
      </c>
      <c r="C13" s="50" t="inlineStr">
        <is>
          <t>5601 24th Ave NW, Seattle, WA 98107</t>
        </is>
      </c>
      <c r="D13" s="51" t="n"/>
      <c r="E13" s="52" t="n"/>
      <c r="F13" s="50" t="inlineStr">
        <is>
          <t>mgb contract brett signed OCR_D.pdf (21-Apr-2015, Lump Sum $1,932,774.08 gross incl $169,294 WSST = $1,763,480 net)</t>
        </is>
      </c>
      <c r="G13" s="51" t="n"/>
      <c r="H13" s="51" t="n"/>
      <c r="I13" s="51" t="n"/>
      <c r="J13" s="52" t="n"/>
    </row>
    <row r="14">
      <c r="B14" s="47" t="inlineStr">
        <is>
          <t>Contract / PO Document</t>
        </is>
      </c>
      <c r="C14" s="48" t="inlineStr">
        <is>
          <t>mgb contract brett signed OCR_D.pdf (21-Apr-2015, Lump Sum $1,932,774.08 gross incl $169,294 WSST = $1,763,480 net)</t>
        </is>
      </c>
      <c r="D14" s="6" t="n"/>
      <c r="E14" s="7" t="n"/>
      <c r="F14" s="48" t="inlineStr">
        <is>
          <t>Fully executed 4/21/2015, Lump Sum + WSST 9.6%</t>
        </is>
      </c>
      <c r="G14" s="6" t="n"/>
      <c r="H14" s="6" t="n"/>
      <c r="I14" s="6" t="n"/>
      <c r="J14" s="7" t="n"/>
    </row>
    <row r="15">
      <c r="B15" s="49" t="inlineStr">
        <is>
          <t>Plans / Specifications</t>
        </is>
      </c>
      <c r="C15" s="50" t="inlineStr">
        <is>
          <t>Plans/ folder — 8 subfolders (Current / Contract / Misc / MEF / Old / CADD / Bid / As-Built)</t>
        </is>
      </c>
      <c r="D15" s="51" t="n"/>
      <c r="E15" s="52" t="n"/>
      <c r="F15" s="50" t="inlineStr">
        <is>
          <t>Folder scan</t>
        </is>
      </c>
      <c r="G15" s="51" t="n"/>
      <c r="H15" s="51" t="n"/>
      <c r="I15" s="51" t="n"/>
      <c r="J15" s="52" t="n"/>
    </row>
    <row r="16">
      <c r="B16" s="47" t="inlineStr">
        <is>
          <t>Bid Documents</t>
        </is>
      </c>
      <c r="C16" s="48" t="inlineStr">
        <is>
          <t>Plans/7 - Bid Documents/14-11-14 Merrill Gardens at Ballard Specifications.pdf</t>
        </is>
      </c>
      <c r="D16" s="6" t="n"/>
      <c r="E16" s="7" t="n"/>
      <c r="F16" s="48" t="inlineStr">
        <is>
          <t>Bid Documents subfolder</t>
        </is>
      </c>
      <c r="G16" s="6" t="n"/>
      <c r="H16" s="6" t="n"/>
      <c r="I16" s="6" t="n"/>
      <c r="J16" s="7" t="n"/>
    </row>
    <row r="17">
      <c r="B17" s="49" t="inlineStr">
        <is>
          <t>Fixture Schedule</t>
        </is>
      </c>
      <c r="C17" s="50" t="inlineStr">
        <is>
          <t>Submittals/FIXTURE SUBMITTALS/BALLARD MERRILL GARDENS FIXTURE SUBMITTAL CONTENTS.xlsx</t>
        </is>
      </c>
      <c r="D17" s="51" t="n"/>
      <c r="E17" s="52" t="n"/>
      <c r="F17" s="50" t="inlineStr">
        <is>
          <t>Residential (P-1/P-2/P-5/P-7) + Common/Amenity/Staff (P-1A/P-2A/P-2B/P-5/P-5A/P-6/P-8/P-9/P-10/P-12/P-13)</t>
        </is>
      </c>
      <c r="G17" s="51" t="n"/>
      <c r="H17" s="51" t="n"/>
      <c r="I17" s="51" t="n"/>
      <c r="J17" s="52" t="n"/>
    </row>
    <row r="18">
      <c r="B18" s="47" t="inlineStr">
        <is>
          <t>Contract Type</t>
        </is>
      </c>
      <c r="C18" s="48" t="inlineStr">
        <is>
          <t>Lump Sum</t>
        </is>
      </c>
      <c r="D18" s="6" t="n"/>
      <c r="E18" s="7" t="n"/>
      <c r="F18" s="48" t="inlineStr">
        <is>
          <t>mgb contract brett signed OCR_D.pdf (21-Apr-2015, Lump Sum $1,932,774.08 gross incl $169,294 WSST = $1,763,480 net)</t>
        </is>
      </c>
      <c r="G18" s="6" t="n"/>
      <c r="H18" s="6" t="n"/>
      <c r="I18" s="6" t="n"/>
      <c r="J18" s="7" t="n"/>
    </row>
    <row r="19">
      <c r="B19" s="49" t="inlineStr">
        <is>
          <t>Work Period</t>
        </is>
      </c>
      <c r="C19" s="50" t="inlineStr">
        <is>
          <t>05/19/15 – 08/22/16 ≈ 15 months (first→last invoice)</t>
        </is>
      </c>
      <c r="D19" s="51" t="n"/>
      <c r="E19" s="52" t="n"/>
      <c r="F19" s="50" t="inlineStr">
        <is>
          <t>2024 Job Detail Report.pdf (Sage Timberline, 04/03/2026, 285 pages)</t>
        </is>
      </c>
      <c r="G19" s="51" t="n"/>
      <c r="H19" s="51" t="n"/>
      <c r="I19" s="51" t="n"/>
      <c r="J19" s="52" t="n"/>
    </row>
    <row r="20">
      <c r="B20" s="47" t="inlineStr">
        <is>
          <t>Total Unique Documents Reviewed</t>
        </is>
      </c>
      <c r="C20" s="48" t="inlineStr">
        <is>
          <t>1000+ across 2 mirror folders</t>
        </is>
      </c>
      <c r="D20" s="6" t="n"/>
      <c r="E20" s="7" t="n"/>
      <c r="F20" s="48" t="inlineStr">
        <is>
          <t>File inventory across owp-2024/</t>
        </is>
      </c>
      <c r="G20" s="6" t="n"/>
      <c r="H20" s="6" t="n"/>
      <c r="I20" s="6" t="n"/>
      <c r="J20" s="7" t="n"/>
    </row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>
      <c r="B22" s="46" t="inlineStr">
        <is>
          <t>CONTRACT VALUE</t>
        </is>
      </c>
      <c r="D22" s="54" t="inlineStr">
        <is>
          <t>NET PROFIT</t>
        </is>
      </c>
      <c r="F22" s="54" t="inlineStr">
        <is>
          <t>DIRECT COST</t>
        </is>
      </c>
      <c r="H22" s="54" t="inlineStr">
        <is>
          <t>LABOR HOURS</t>
        </is>
      </c>
    </row>
    <row r="23">
      <c r="B23" s="55" t="n">
        <v>1811843</v>
      </c>
      <c r="C23" s="53" t="n"/>
      <c r="D23" s="55" t="n">
        <v>886408.04</v>
      </c>
      <c r="E23" s="53" t="n"/>
      <c r="F23" s="55" t="n">
        <v>925434.96</v>
      </c>
      <c r="G23" s="53" t="n"/>
      <c r="H23" s="56" t="n">
        <v>17098</v>
      </c>
      <c r="I23" s="53" t="n"/>
      <c r="J23" s="53" t="n"/>
    </row>
    <row r="24">
      <c r="B24" s="47" t="inlineStr">
        <is>
          <t>Original $1,763,480.00 + $48,363.00 COs (+2.74%)</t>
        </is>
      </c>
      <c r="D24" s="48" t="inlineStr">
        <is>
          <t>48.9% margin</t>
        </is>
      </c>
      <c r="F24" s="48" t="inlineStr">
        <is>
          <t>51.1% of revenue</t>
        </is>
      </c>
      <c r="H24" s="48" t="inlineStr">
        <is>
          <t>40 workers</t>
        </is>
      </c>
    </row>
    <row r="25"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/>
    <row r="27">
      <c r="B27" s="57" t="inlineStr">
        <is>
          <t>SCOPE OF WORK (from contract + fixture submittal contents)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</row>
    <row r="28">
      <c r="B28" s="47" t="inlineStr">
        <is>
          <t>Full plumbing: supervision, materials, labor, supplies, services, equipment (per Contract §I; Ballad site).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49" t="inlineStr">
        <is>
          <t>Residential unit count inferred from Ballard TRIM - KELLER - TOILETS ONLY.xlsx (116 Western Pottery B872 toilet bowls)</t>
        </is>
      </c>
      <c r="C29" s="51" t="n"/>
      <c r="D29" s="51" t="n"/>
      <c r="E29" s="51" t="n"/>
      <c r="F29" s="51" t="n"/>
      <c r="G29" s="51" t="n"/>
      <c r="H29" s="51" t="n"/>
      <c r="I29" s="51" t="n"/>
      <c r="J29" s="52" t="n"/>
    </row>
    <row r="30">
      <c r="B30" s="47" t="inlineStr">
        <is>
          <t>Residential fixtures (per unit): P-1 WC (Western Pottery B872), P-2 lav, P-3/3A shower drain, P-5 kitchen sink (Moen G20192), P-7 washer connection.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9" t="inlineStr">
        <is>
          <t>Common/Amenity: P-1A WC (Kohler K3658), P-2A/P-2B lav, P-5/P-5A kitchen (single/double bowl), P-6 bar sink, P-8 laundry (Mustee 17F), P-9 mop sink (Mustee 63m), P-10 urinal (Kohler K-5016-ET), P-12 flushing sink, P-13A/B/C hose bibs.</t>
        </is>
      </c>
      <c r="C31" s="51" t="n"/>
      <c r="D31" s="51" t="n"/>
      <c r="E31" s="51" t="n"/>
      <c r="F31" s="51" t="n"/>
      <c r="G31" s="51" t="n"/>
      <c r="H31" s="51" t="n"/>
      <c r="I31" s="51" t="n"/>
      <c r="J31" s="52" t="n"/>
    </row>
    <row r="32">
      <c r="B32" s="47" t="inlineStr">
        <is>
          <t>Mech room: boilers (Mech Sales PO 70441), storage tank, grease interceptor, circ pumps, storm pumps.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49" t="inlineStr">
        <is>
          <t>Spec compliance: Urbal Architecture construction set rev 11/14/14; WA UPC; Seattle DPD plumbing permit; 9.6% WSST.</t>
        </is>
      </c>
      <c r="C33" s="51" t="n"/>
      <c r="D33" s="51" t="n"/>
      <c r="E33" s="51" t="n"/>
      <c r="F33" s="51" t="n"/>
      <c r="G33" s="51" t="n"/>
      <c r="H33" s="51" t="n"/>
      <c r="I33" s="51" t="n"/>
      <c r="J33" s="52" t="n"/>
    </row>
    <row r="34"/>
    <row r="35"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</row>
    <row r="36">
      <c r="B36" s="58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49" t="inlineStr">
        <is>
          <t>Canonical financial source: 2024 Job Detail Report.pdf (Sage Timberline, 04/03/2026, 285 pages)</t>
        </is>
      </c>
      <c r="C37" s="51" t="n"/>
      <c r="D37" s="51" t="n"/>
      <c r="E37" s="51" t="n"/>
      <c r="F37" s="51" t="n"/>
      <c r="G37" s="51" t="n"/>
      <c r="H37" s="51" t="n"/>
      <c r="I37" s="51" t="n"/>
      <c r="J37" s="52" t="n"/>
    </row>
    <row r="38">
      <c r="B38" s="47" t="inlineStr">
        <is>
          <t>Job totals (JDR footer): Revenue $1,811,843.00 / Expenses $925,434.96 / Net $886,408.04 / Retainage $90,592.15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9" t="inlineStr">
        <is>
          <t>Source breakdown: GL $48,153.01 · AP $299,677.23 · PR $577,604.72 · AR $1,811,843.00</t>
        </is>
      </c>
      <c r="C39" s="51" t="n"/>
      <c r="D39" s="51" t="n"/>
      <c r="E39" s="51" t="n"/>
      <c r="F39" s="51" t="n"/>
      <c r="G39" s="51" t="n"/>
      <c r="H39" s="51" t="n"/>
      <c r="I39" s="51" t="n"/>
      <c r="J39" s="52" t="n"/>
    </row>
    <row r="40">
      <c r="B40" s="47" t="inlineStr">
        <is>
          <t>Contract: mgb contract brett signed OCR_D.pdf (21-Apr-2015, Lump Sum $1,932,774.08 gross incl $169,294 WSST = $1,763,480 net)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9" t="inlineStr">
        <is>
          <t>Billing: MGB AGGREGATE BILLING.xlsx (16 billings + retainage release row, ties to JDR)</t>
        </is>
      </c>
      <c r="C41" s="51" t="n"/>
      <c r="D41" s="51" t="n"/>
      <c r="E41" s="51" t="n"/>
      <c r="F41" s="51" t="n"/>
      <c r="G41" s="51" t="n"/>
      <c r="H41" s="51" t="n"/>
      <c r="I41" s="51" t="n"/>
      <c r="J41" s="52" t="n"/>
    </row>
    <row r="42">
      <c r="B42" s="47" t="inlineStr">
        <is>
          <t>Change Orders: 11 CO PDFs in CO_s/ (CO #1-#8 + 'UNEXECUTED' CO 6/8 variants). Individual PDFs are image-scans; individual CO $ values derived from COR pricing XLSX.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49" t="inlineStr">
        <is>
          <t>COR Pricing: Change Orders/COR_s/Ballard MG - Outstanding COR_s.xlsx — 17 CORs with $ amounts and CO# assignments</t>
        </is>
      </c>
      <c r="C43" s="51" t="n"/>
      <c r="D43" s="51" t="n"/>
      <c r="E43" s="51" t="n"/>
      <c r="F43" s="51" t="n"/>
      <c r="G43" s="51" t="n"/>
      <c r="H43" s="51" t="n"/>
      <c r="I43" s="51" t="n"/>
      <c r="J43" s="52" t="n"/>
    </row>
    <row r="44">
      <c r="B44" s="47" t="inlineStr">
        <is>
          <t>Budget Transfers: Change Orders/BUDGET TRANSFERS/ (XLSX for CO #1-4, 6-8)</t>
        </is>
      </c>
      <c r="C44" s="6" t="n"/>
      <c r="D44" s="6" t="n"/>
      <c r="E44" s="6" t="n"/>
      <c r="F44" s="6" t="n"/>
      <c r="G44" s="6" t="n"/>
      <c r="H44" s="6" t="n"/>
      <c r="I44" s="6" t="n"/>
      <c r="J44" s="7" t="n"/>
    </row>
    <row r="45">
      <c r="B45" s="49" t="inlineStr">
        <is>
          <t>ASI-RFI: 52 PDFs (ASI-007/010/014/016/024/024.5/025/026/033/039/039-R1/045 + RFI-051 through RFI-491+)</t>
        </is>
      </c>
      <c r="C45" s="51" t="n"/>
      <c r="D45" s="51" t="n"/>
      <c r="E45" s="51" t="n"/>
      <c r="F45" s="51" t="n"/>
      <c r="G45" s="51" t="n"/>
      <c r="H45" s="51" t="n"/>
      <c r="I45" s="51" t="n"/>
      <c r="J45" s="52" t="n"/>
    </row>
    <row r="46">
      <c r="B46" s="47" t="inlineStr">
        <is>
          <t>Submittals: 80+ submittals across root + EQUIPMENT, FIXTURE, MATERIAL, UNDERGROUND &amp; GARAGE, ALTERNATE KITCHEN SINKS, SUMP PUMPS, RESPONSES subfolders</t>
        </is>
      </c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B47" s="49" t="inlineStr">
        <is>
          <t>Permits: 8 permits (MGB plumbing, plumbing renewed, backflow, backflow renewed, gas, boiler x2, application)</t>
        </is>
      </c>
      <c r="C47" s="51" t="n"/>
      <c r="D47" s="51" t="n"/>
      <c r="E47" s="51" t="n"/>
      <c r="F47" s="51" t="n"/>
      <c r="G47" s="51" t="n"/>
      <c r="H47" s="51" t="n"/>
      <c r="I47" s="51" t="n"/>
      <c r="J47" s="52" t="n"/>
    </row>
    <row r="48">
      <c r="B48" s="47" t="inlineStr">
        <is>
          <t>POs: 138+ POs total (102 completed + 36 scheduled) + Trim PO_s (TRIM toilets/faucets/lavs/kitchen sinks + attic stock + utility sink + mop sink)</t>
        </is>
      </c>
      <c r="C48" s="6" t="n"/>
      <c r="D48" s="6" t="n"/>
      <c r="E48" s="6" t="n"/>
      <c r="F48" s="6" t="n"/>
      <c r="G48" s="6" t="n"/>
      <c r="H48" s="6" t="n"/>
      <c r="I48" s="6" t="n"/>
      <c r="J48" s="7" t="n"/>
    </row>
    <row r="49">
      <c r="B49" s="49" t="inlineStr">
        <is>
          <t>Closeout: O&amp;M_s/ package, vendor lien waivers/, Insurance/, Zoeller Startup Report, 2016 Uponor Warranty</t>
        </is>
      </c>
      <c r="C49" s="51" t="n"/>
      <c r="D49" s="51" t="n"/>
      <c r="E49" s="51" t="n"/>
      <c r="F49" s="51" t="n"/>
      <c r="G49" s="51" t="n"/>
      <c r="H49" s="51" t="n"/>
      <c r="I49" s="51" t="n"/>
      <c r="J49" s="52" t="n"/>
    </row>
    <row r="50"/>
    <row r="51">
      <c r="B51" s="53" t="n"/>
      <c r="C51" s="53" t="n"/>
      <c r="D51" s="53" t="n"/>
      <c r="E51" s="53" t="n"/>
      <c r="F51" s="53" t="n"/>
      <c r="G51" s="53" t="n"/>
      <c r="H51" s="53" t="n"/>
      <c r="I51" s="53" t="n"/>
      <c r="J51" s="53" t="n"/>
    </row>
    <row r="52">
      <c r="B52" s="59" t="inlineStr">
        <is>
          <t>PROJECT TEAM (OWP Job Info)</t>
        </is>
      </c>
    </row>
    <row r="53">
      <c r="B53" s="60" t="inlineStr">
        <is>
          <t>Role</t>
        </is>
      </c>
      <c r="C53" s="61" t="inlineStr">
        <is>
          <t>Status</t>
        </is>
      </c>
      <c r="D53" s="61" t="inlineStr">
        <is>
          <t>Name / Firm</t>
        </is>
      </c>
      <c r="E53" s="53" t="n"/>
      <c r="F53" s="53" t="n"/>
      <c r="G53" s="53" t="n"/>
      <c r="H53" s="53" t="n"/>
      <c r="I53" s="53" t="n"/>
      <c r="J53" s="53" t="n"/>
    </row>
    <row r="54">
      <c r="B54" s="59" t="inlineStr">
        <is>
          <t>GC</t>
        </is>
      </c>
      <c r="C54" s="62" t="inlineStr">
        <is>
          <t>Extracted</t>
        </is>
      </c>
      <c r="D54" s="63" t="inlineStr">
        <is>
          <t>Exxel Pacific, Inc.</t>
        </is>
      </c>
    </row>
    <row r="55">
      <c r="B55" s="60" t="inlineStr">
        <is>
          <t>GC PM</t>
        </is>
      </c>
      <c r="C55" s="62" t="inlineStr">
        <is>
          <t>Extracted</t>
        </is>
      </c>
      <c r="D55" s="61" t="inlineStr">
        <is>
          <t>Justin Gotcher / Chris Austin</t>
        </is>
      </c>
      <c r="E55" s="53" t="n"/>
      <c r="F55" s="53" t="n"/>
      <c r="G55" s="53" t="n"/>
      <c r="H55" s="53" t="n"/>
      <c r="I55" s="53" t="n"/>
      <c r="J55" s="53" t="n"/>
    </row>
    <row r="56">
      <c r="B56" s="59" t="inlineStr">
        <is>
          <t>GC Superintendent</t>
        </is>
      </c>
      <c r="C56" s="62" t="inlineStr">
        <is>
          <t>Extracted</t>
        </is>
      </c>
      <c r="D56" s="63" t="inlineStr">
        <is>
          <t>Brian Proctor</t>
        </is>
      </c>
    </row>
    <row r="57">
      <c r="B57" s="60" t="inlineStr">
        <is>
          <t>GC PE</t>
        </is>
      </c>
      <c r="C57" s="62" t="inlineStr">
        <is>
          <t>Extracted</t>
        </is>
      </c>
      <c r="D57" s="61" t="inlineStr">
        <is>
          <t>Chris Austin</t>
        </is>
      </c>
      <c r="E57" s="53" t="n"/>
      <c r="F57" s="53" t="n"/>
      <c r="G57" s="53" t="n"/>
      <c r="H57" s="53" t="n"/>
      <c r="I57" s="53" t="n"/>
      <c r="J57" s="53" t="n"/>
    </row>
    <row r="58">
      <c r="B58" s="59" t="inlineStr">
        <is>
          <t>Developer</t>
        </is>
      </c>
      <c r="C58" s="62" t="inlineStr">
        <is>
          <t>Extracted</t>
        </is>
      </c>
      <c r="D58" s="63" t="inlineStr">
        <is>
          <t>Intra-Corp</t>
        </is>
      </c>
    </row>
    <row r="59">
      <c r="B59" s="60" t="inlineStr">
        <is>
          <t>Architect</t>
        </is>
      </c>
      <c r="C59" s="62" t="inlineStr">
        <is>
          <t>Extracted</t>
        </is>
      </c>
      <c r="D59" s="61" t="inlineStr">
        <is>
          <t>Nicholson Kovalchick</t>
        </is>
      </c>
      <c r="E59" s="53" t="n"/>
      <c r="F59" s="53" t="n"/>
      <c r="G59" s="53" t="n"/>
      <c r="H59" s="53" t="n"/>
      <c r="I59" s="53" t="n"/>
      <c r="J59" s="53" t="n"/>
    </row>
    <row r="60">
      <c r="B60" s="59" t="inlineStr">
        <is>
          <t>Structural</t>
        </is>
      </c>
      <c r="C60" s="64" t="inlineStr">
        <is>
          <t>N/A</t>
        </is>
      </c>
      <c r="D60" s="63" t="inlineStr">
        <is>
          <t>N/A</t>
        </is>
      </c>
    </row>
    <row r="61">
      <c r="B61" s="60" t="inlineStr">
        <is>
          <t>Acoustical</t>
        </is>
      </c>
      <c r="C61" s="64" t="inlineStr">
        <is>
          <t>N/A</t>
        </is>
      </c>
      <c r="D61" s="61" t="inlineStr">
        <is>
          <t>N/A</t>
        </is>
      </c>
      <c r="E61" s="53" t="n"/>
      <c r="F61" s="53" t="n"/>
      <c r="G61" s="53" t="n"/>
      <c r="H61" s="53" t="n"/>
      <c r="I61" s="53" t="n"/>
      <c r="J61" s="53" t="n"/>
    </row>
    <row r="62">
      <c r="B62" s="59" t="inlineStr">
        <is>
          <t>ADA Consultant</t>
        </is>
      </c>
      <c r="C62" s="64" t="inlineStr">
        <is>
          <t>N/A</t>
        </is>
      </c>
      <c r="D62" s="63" t="inlineStr">
        <is>
          <t>N/A</t>
        </is>
      </c>
    </row>
    <row r="63">
      <c r="B63" s="60" t="inlineStr">
        <is>
          <t>Interior Design</t>
        </is>
      </c>
      <c r="C63" s="64" t="inlineStr">
        <is>
          <t>N/A</t>
        </is>
      </c>
      <c r="D63" s="61" t="inlineStr">
        <is>
          <t>N/A</t>
        </is>
      </c>
      <c r="E63" s="53" t="n"/>
      <c r="F63" s="53" t="n"/>
      <c r="G63" s="53" t="n"/>
      <c r="H63" s="53" t="n"/>
      <c r="I63" s="53" t="n"/>
      <c r="J63" s="53" t="n"/>
    </row>
    <row r="64">
      <c r="B64" s="59" t="inlineStr">
        <is>
          <t>MEP Engineer</t>
        </is>
      </c>
      <c r="C64" s="62" t="inlineStr">
        <is>
          <t>Extracted</t>
        </is>
      </c>
      <c r="D64" s="63" t="inlineStr">
        <is>
          <t>Pressler</t>
        </is>
      </c>
    </row>
  </sheetData>
  <mergeCells count="62">
    <mergeCell ref="C16:E16"/>
    <mergeCell ref="D62:J62"/>
    <mergeCell ref="D56:J56"/>
    <mergeCell ref="F11:J11"/>
    <mergeCell ref="D58:J58"/>
    <mergeCell ref="B42:J42"/>
    <mergeCell ref="F10:J10"/>
    <mergeCell ref="F16:J16"/>
    <mergeCell ref="C9:E9"/>
    <mergeCell ref="F19:J19"/>
    <mergeCell ref="D55:J55"/>
    <mergeCell ref="F6:J6"/>
    <mergeCell ref="D64:J64"/>
    <mergeCell ref="C12:E12"/>
    <mergeCell ref="B38:J38"/>
    <mergeCell ref="B44:J44"/>
    <mergeCell ref="B29:J29"/>
    <mergeCell ref="F7:J7"/>
    <mergeCell ref="C11:E11"/>
    <mergeCell ref="F15:J15"/>
    <mergeCell ref="B37:J37"/>
    <mergeCell ref="D54:J54"/>
    <mergeCell ref="F12:J12"/>
    <mergeCell ref="B28:J28"/>
    <mergeCell ref="F20:J20"/>
    <mergeCell ref="D59:J59"/>
    <mergeCell ref="C8:E8"/>
    <mergeCell ref="B40:J40"/>
    <mergeCell ref="D60:J60"/>
    <mergeCell ref="C17:E17"/>
    <mergeCell ref="F18:J18"/>
    <mergeCell ref="B49:J49"/>
    <mergeCell ref="C7:E7"/>
    <mergeCell ref="D63:J63"/>
    <mergeCell ref="F8:J8"/>
    <mergeCell ref="B30:J30"/>
    <mergeCell ref="F17:J17"/>
    <mergeCell ref="B33:J33"/>
    <mergeCell ref="C13:E13"/>
    <mergeCell ref="C19:E19"/>
    <mergeCell ref="B45:J45"/>
    <mergeCell ref="B32:J32"/>
    <mergeCell ref="C18:E18"/>
    <mergeCell ref="B41:J41"/>
    <mergeCell ref="D57:J57"/>
    <mergeCell ref="F13:J13"/>
    <mergeCell ref="C15:E15"/>
    <mergeCell ref="B47:J47"/>
    <mergeCell ref="C6:E6"/>
    <mergeCell ref="F9:J9"/>
    <mergeCell ref="D61:J61"/>
    <mergeCell ref="B3:J3"/>
    <mergeCell ref="C14:E14"/>
    <mergeCell ref="B46:J46"/>
    <mergeCell ref="B39:J39"/>
    <mergeCell ref="B31:J31"/>
    <mergeCell ref="B48:J48"/>
    <mergeCell ref="B43:J43"/>
    <mergeCell ref="F14:J14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Budget vs Actual</t>
        </is>
      </c>
    </row>
    <row r="3" ht="22" customHeight="1">
      <c r="B3" s="44" t="inlineStr">
        <is>
          <t>All 30 cost codes from JDR. Contract $1,763,480 → $1,811,843 (COs +$48,363.00).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Cost Code</t>
        </is>
      </c>
      <c r="C5" s="65" t="inlineStr">
        <is>
          <t>Description</t>
        </is>
      </c>
      <c r="D5" s="65" t="inlineStr">
        <is>
          <t>Original Budget</t>
        </is>
      </c>
      <c r="E5" s="65" t="inlineStr">
        <is>
          <t>Revised Budget</t>
        </is>
      </c>
      <c r="F5" s="65" t="inlineStr">
        <is>
          <t>Actual</t>
        </is>
      </c>
      <c r="G5" s="65" t="inlineStr">
        <is>
          <t>Variance</t>
        </is>
      </c>
      <c r="H5" s="65" t="inlineStr">
        <is>
          <t>% of Revised</t>
        </is>
      </c>
      <c r="I5" s="65" t="inlineStr">
        <is>
          <t>Hours</t>
        </is>
      </c>
      <c r="J5" s="65" t="inlineStr">
        <is>
          <t>Source</t>
        </is>
      </c>
    </row>
    <row r="6">
      <c r="B6" s="47" t="inlineStr">
        <is>
          <t>100</t>
        </is>
      </c>
      <c r="C6" s="48" t="inlineStr">
        <is>
          <t>Supervision</t>
        </is>
      </c>
      <c r="D6" s="66" t="n">
        <v>14000</v>
      </c>
      <c r="E6" s="66" t="n">
        <v>14800</v>
      </c>
      <c r="F6" s="66" t="n">
        <v>12228.5</v>
      </c>
      <c r="G6" s="67">
        <f>F6-E6</f>
        <v/>
      </c>
      <c r="H6" s="68">
        <f>IF(E6=0,"",F6/E6)</f>
        <v/>
      </c>
      <c r="I6" s="69" t="n">
        <v>295</v>
      </c>
      <c r="J6" s="48" t="inlineStr">
        <is>
          <t>2024 Job Detail Report.pdf (Sage Timberline, 04/03/2026, 285 pages)</t>
        </is>
      </c>
    </row>
    <row r="7">
      <c r="B7" s="49" t="inlineStr">
        <is>
          <t>101</t>
        </is>
      </c>
      <c r="C7" s="50" t="inlineStr">
        <is>
          <t>Takeoff &amp; Purchase Labor</t>
        </is>
      </c>
      <c r="D7" s="70" t="n">
        <v>20800</v>
      </c>
      <c r="E7" s="70" t="n">
        <v>21407</v>
      </c>
      <c r="F7" s="70" t="n">
        <v>20381.5</v>
      </c>
      <c r="G7" s="71">
        <f>F7-E7</f>
        <v/>
      </c>
      <c r="H7" s="72">
        <f>IF(E7=0,"",F7/E7)</f>
        <v/>
      </c>
      <c r="I7" s="56" t="n">
        <v>471.5</v>
      </c>
      <c r="J7" s="50" t="inlineStr">
        <is>
          <t>2024 Job Detail Report.pdf (Sage Timberline, 04/03/2026, 285 pages)</t>
        </is>
      </c>
    </row>
    <row r="8">
      <c r="B8" s="47" t="inlineStr">
        <is>
          <t>110</t>
        </is>
      </c>
      <c r="C8" s="48" t="inlineStr">
        <is>
          <t>Underground Labor</t>
        </is>
      </c>
      <c r="D8" s="66" t="n">
        <v>13300</v>
      </c>
      <c r="E8" s="66" t="n">
        <v>13300</v>
      </c>
      <c r="F8" s="66" t="n">
        <v>7558</v>
      </c>
      <c r="G8" s="67">
        <f>F8-E8</f>
        <v/>
      </c>
      <c r="H8" s="68">
        <f>IF(E8=0,"",F8/E8)</f>
        <v/>
      </c>
      <c r="I8" s="69" t="n">
        <v>297</v>
      </c>
      <c r="J8" s="48" t="inlineStr">
        <is>
          <t>2024 Job Detail Report.pdf (Sage Timberline, 04/03/2026, 285 pages)</t>
        </is>
      </c>
    </row>
    <row r="9">
      <c r="B9" s="49" t="inlineStr">
        <is>
          <t>111</t>
        </is>
      </c>
      <c r="C9" s="50" t="inlineStr">
        <is>
          <t>Garage Labor</t>
        </is>
      </c>
      <c r="D9" s="70" t="n">
        <v>85500</v>
      </c>
      <c r="E9" s="70" t="n">
        <v>91072</v>
      </c>
      <c r="F9" s="70" t="n">
        <v>66691</v>
      </c>
      <c r="G9" s="71">
        <f>F9-E9</f>
        <v/>
      </c>
      <c r="H9" s="72">
        <f>IF(E9=0,"",F9/E9)</f>
        <v/>
      </c>
      <c r="I9" s="56" t="n">
        <v>2754</v>
      </c>
      <c r="J9" s="50" t="inlineStr">
        <is>
          <t>2024 Job Detail Report.pdf (Sage Timberline, 04/03/2026, 285 pages)</t>
        </is>
      </c>
    </row>
    <row r="10">
      <c r="B10" s="47" t="inlineStr">
        <is>
          <t>112</t>
        </is>
      </c>
      <c r="C10" s="48" t="inlineStr">
        <is>
          <t>Canout Labor</t>
        </is>
      </c>
      <c r="D10" s="66" t="n">
        <v>9400</v>
      </c>
      <c r="E10" s="66" t="n">
        <v>9400</v>
      </c>
      <c r="F10" s="66" t="n">
        <v>5878.5</v>
      </c>
      <c r="G10" s="67">
        <f>F10-E10</f>
        <v/>
      </c>
      <c r="H10" s="68">
        <f>IF(E10=0,"",F10/E10)</f>
        <v/>
      </c>
      <c r="I10" s="69" t="n">
        <v>231</v>
      </c>
      <c r="J10" s="48" t="inlineStr">
        <is>
          <t>2024 Job Detail Report.pdf (Sage Timberline, 04/03/2026, 285 pages)</t>
        </is>
      </c>
    </row>
    <row r="11">
      <c r="B11" s="49" t="inlineStr">
        <is>
          <t>120</t>
        </is>
      </c>
      <c r="C11" s="50" t="inlineStr">
        <is>
          <t>Roughin Labor</t>
        </is>
      </c>
      <c r="D11" s="70" t="n">
        <v>183700</v>
      </c>
      <c r="E11" s="70" t="n">
        <v>190647</v>
      </c>
      <c r="F11" s="70" t="n">
        <v>164177</v>
      </c>
      <c r="G11" s="71">
        <f>F11-E11</f>
        <v/>
      </c>
      <c r="H11" s="72">
        <f>IF(E11=0,"",F11/E11)</f>
        <v/>
      </c>
      <c r="I11" s="56" t="n">
        <v>8731</v>
      </c>
      <c r="J11" s="50" t="inlineStr">
        <is>
          <t>2024 Job Detail Report.pdf (Sage Timberline, 04/03/2026, 285 pages)</t>
        </is>
      </c>
    </row>
    <row r="12">
      <c r="B12" s="47" t="inlineStr">
        <is>
          <t>130</t>
        </is>
      </c>
      <c r="C12" s="48" t="inlineStr">
        <is>
          <t>Finish Labor</t>
        </is>
      </c>
      <c r="D12" s="66" t="n">
        <v>29900</v>
      </c>
      <c r="E12" s="66" t="n">
        <v>31289</v>
      </c>
      <c r="F12" s="66" t="n">
        <v>28250.5</v>
      </c>
      <c r="G12" s="67">
        <f>F12-E12</f>
        <v/>
      </c>
      <c r="H12" s="68">
        <f>IF(E12=0,"",F12/E12)</f>
        <v/>
      </c>
      <c r="I12" s="69" t="n">
        <v>1150.5</v>
      </c>
      <c r="J12" s="48" t="inlineStr">
        <is>
          <t>2024 Job Detail Report.pdf (Sage Timberline, 04/03/2026, 285 pages)</t>
        </is>
      </c>
    </row>
    <row r="13">
      <c r="B13" s="49" t="inlineStr">
        <is>
          <t>140</t>
        </is>
      </c>
      <c r="C13" s="50" t="inlineStr">
        <is>
          <t>Gas Labor</t>
        </is>
      </c>
      <c r="D13" s="70" t="n">
        <v>8700</v>
      </c>
      <c r="E13" s="70" t="n">
        <v>8700</v>
      </c>
      <c r="F13" s="70" t="n">
        <v>9547</v>
      </c>
      <c r="G13" s="71">
        <f>F13-E13</f>
        <v/>
      </c>
      <c r="H13" s="72">
        <f>IF(E13=0,"",F13/E13)</f>
        <v/>
      </c>
      <c r="I13" s="56" t="n">
        <v>406.5</v>
      </c>
      <c r="J13" s="50" t="inlineStr">
        <is>
          <t>2024 Job Detail Report.pdf (Sage Timberline, 04/03/2026, 285 pages)</t>
        </is>
      </c>
    </row>
    <row r="14">
      <c r="B14" s="47" t="inlineStr">
        <is>
          <t>141</t>
        </is>
      </c>
      <c r="C14" s="48" t="inlineStr">
        <is>
          <t>Water Main/Insulation Lab</t>
        </is>
      </c>
      <c r="D14" s="66" t="n">
        <v>27000</v>
      </c>
      <c r="E14" s="66" t="n">
        <v>27000</v>
      </c>
      <c r="F14" s="66" t="n">
        <v>33366.5</v>
      </c>
      <c r="G14" s="67">
        <f>F14-E14</f>
        <v/>
      </c>
      <c r="H14" s="68">
        <f>IF(E14=0,"",F14/E14)</f>
        <v/>
      </c>
      <c r="I14" s="69" t="n">
        <v>1554.5</v>
      </c>
      <c r="J14" s="48" t="inlineStr">
        <is>
          <t>2024 Job Detail Report.pdf (Sage Timberline, 04/03/2026, 285 pages)</t>
        </is>
      </c>
    </row>
    <row r="15">
      <c r="B15" s="49" t="inlineStr">
        <is>
          <t>142</t>
        </is>
      </c>
      <c r="C15" s="50" t="inlineStr">
        <is>
          <t>Mech Room Labor</t>
        </is>
      </c>
      <c r="D15" s="70" t="n">
        <v>7000</v>
      </c>
      <c r="E15" s="70" t="n">
        <v>7097</v>
      </c>
      <c r="F15" s="70" t="n">
        <v>10740.5</v>
      </c>
      <c r="G15" s="71">
        <f>F15-E15</f>
        <v/>
      </c>
      <c r="H15" s="72">
        <f>IF(E15=0,"",F15/E15)</f>
        <v/>
      </c>
      <c r="I15" s="56" t="n">
        <v>343.5</v>
      </c>
      <c r="J15" s="50" t="inlineStr">
        <is>
          <t>2024 Job Detail Report.pdf (Sage Timberline, 04/03/2026, 285 pages)</t>
        </is>
      </c>
    </row>
    <row r="16">
      <c r="B16" s="47" t="inlineStr">
        <is>
          <t>143</t>
        </is>
      </c>
      <c r="C16" s="48" t="inlineStr">
        <is>
          <t>Condensation Drains Labor</t>
        </is>
      </c>
      <c r="D16" s="66" t="n">
        <v>0</v>
      </c>
      <c r="E16" s="66" t="n">
        <v>46</v>
      </c>
      <c r="F16" s="66" t="n">
        <v>20595.5</v>
      </c>
      <c r="G16" s="67">
        <f>F16-E16</f>
        <v/>
      </c>
      <c r="H16" s="68">
        <f>IF(E16=0,"",F16/E16)</f>
        <v/>
      </c>
      <c r="I16" s="69" t="n">
        <v>854.5</v>
      </c>
      <c r="J16" s="48" t="inlineStr">
        <is>
          <t>2024 Job Detail Report.pdf (Sage Timberline, 04/03/2026, 285 pages)</t>
        </is>
      </c>
    </row>
    <row r="17">
      <c r="B17" s="49" t="inlineStr">
        <is>
          <t>150</t>
        </is>
      </c>
      <c r="C17" s="50" t="inlineStr">
        <is>
          <t>Warranty Labor</t>
        </is>
      </c>
      <c r="D17" s="70" t="n">
        <v>0</v>
      </c>
      <c r="E17" s="70" t="n">
        <v>0</v>
      </c>
      <c r="F17" s="70" t="n">
        <v>343</v>
      </c>
      <c r="G17" s="71">
        <f>F17-E17</f>
        <v/>
      </c>
      <c r="H17" s="72">
        <f>IF(E17=0,"",F17/E17)</f>
        <v/>
      </c>
      <c r="I17" s="56" t="n">
        <v>9</v>
      </c>
      <c r="J17" s="50" t="inlineStr">
        <is>
          <t>2024 Job Detail Report.pdf (Sage Timberline, 04/03/2026, 285 pages)</t>
        </is>
      </c>
    </row>
    <row r="18">
      <c r="B18" s="47" t="inlineStr">
        <is>
          <t>210</t>
        </is>
      </c>
      <c r="C18" s="48" t="inlineStr">
        <is>
          <t>Underground Material</t>
        </is>
      </c>
      <c r="D18" s="66" t="n">
        <v>17800</v>
      </c>
      <c r="E18" s="66" t="n">
        <v>17800</v>
      </c>
      <c r="F18" s="66" t="n">
        <v>22920.93</v>
      </c>
      <c r="G18" s="67">
        <f>F18-E18</f>
        <v/>
      </c>
      <c r="H18" s="68">
        <f>IF(E18=0,"",F18/E18)</f>
        <v/>
      </c>
      <c r="I18" s="17" t="inlineStr"/>
      <c r="J18" s="48" t="inlineStr">
        <is>
          <t>2024 Job Detail Report.pdf (Sage Timberline, 04/03/2026, 285 pages)</t>
        </is>
      </c>
    </row>
    <row r="19">
      <c r="B19" s="49" t="inlineStr">
        <is>
          <t>211</t>
        </is>
      </c>
      <c r="C19" s="50" t="inlineStr">
        <is>
          <t>Garage Material</t>
        </is>
      </c>
      <c r="D19" s="70" t="n">
        <v>57600</v>
      </c>
      <c r="E19" s="70" t="n">
        <v>57951</v>
      </c>
      <c r="F19" s="70" t="n">
        <v>25579.57</v>
      </c>
      <c r="G19" s="71">
        <f>F19-E19</f>
        <v/>
      </c>
      <c r="H19" s="72">
        <f>IF(E19=0,"",F19/E19)</f>
        <v/>
      </c>
      <c r="I19" s="73" t="inlineStr"/>
      <c r="J19" s="50" t="inlineStr">
        <is>
          <t>2024 Job Detail Report.pdf (Sage Timberline, 04/03/2026, 285 pages)</t>
        </is>
      </c>
    </row>
    <row r="20">
      <c r="B20" s="47" t="inlineStr">
        <is>
          <t>212</t>
        </is>
      </c>
      <c r="C20" s="48" t="inlineStr">
        <is>
          <t>Canout Material</t>
        </is>
      </c>
      <c r="D20" s="66" t="n">
        <v>14100</v>
      </c>
      <c r="E20" s="66" t="n">
        <v>14100</v>
      </c>
      <c r="F20" s="66" t="n">
        <v>8927.309999999999</v>
      </c>
      <c r="G20" s="67">
        <f>F20-E20</f>
        <v/>
      </c>
      <c r="H20" s="68">
        <f>IF(E20=0,"",F20/E20)</f>
        <v/>
      </c>
      <c r="I20" s="17" t="inlineStr"/>
      <c r="J20" s="48" t="inlineStr">
        <is>
          <t>2024 Job Detail Report.pdf (Sage Timberline, 04/03/2026, 285 pages)</t>
        </is>
      </c>
    </row>
    <row r="21">
      <c r="B21" s="49" t="inlineStr">
        <is>
          <t>213</t>
        </is>
      </c>
      <c r="C21" s="50" t="inlineStr">
        <is>
          <t>Foundation Material</t>
        </is>
      </c>
      <c r="D21" s="70" t="n">
        <v>0</v>
      </c>
      <c r="E21" s="70" t="n">
        <v>0</v>
      </c>
      <c r="F21" s="70" t="n">
        <v>9.84</v>
      </c>
      <c r="G21" s="71">
        <f>F21-E21</f>
        <v/>
      </c>
      <c r="H21" s="72">
        <f>IF(E21=0,"",F21/E21)</f>
        <v/>
      </c>
      <c r="I21" s="73" t="inlineStr"/>
      <c r="J21" s="50" t="inlineStr">
        <is>
          <t>2024 Job Detail Report.pdf (Sage Timberline, 04/03/2026, 285 pages)</t>
        </is>
      </c>
    </row>
    <row r="22">
      <c r="B22" s="47" t="inlineStr">
        <is>
          <t>220</t>
        </is>
      </c>
      <c r="C22" s="48" t="inlineStr">
        <is>
          <t>Roughin Material</t>
        </is>
      </c>
      <c r="D22" s="66" t="n">
        <v>122600</v>
      </c>
      <c r="E22" s="66" t="n">
        <v>124334</v>
      </c>
      <c r="F22" s="66" t="n">
        <v>75249.36</v>
      </c>
      <c r="G22" s="67">
        <f>F22-E22</f>
        <v/>
      </c>
      <c r="H22" s="68">
        <f>IF(E22=0,"",F22/E22)</f>
        <v/>
      </c>
      <c r="I22" s="17" t="inlineStr"/>
      <c r="J22" s="48" t="inlineStr">
        <is>
          <t>2024 Job Detail Report.pdf (Sage Timberline, 04/03/2026, 285 pages)</t>
        </is>
      </c>
    </row>
    <row r="23">
      <c r="B23" s="49" t="inlineStr">
        <is>
          <t>230</t>
        </is>
      </c>
      <c r="C23" s="50" t="inlineStr">
        <is>
          <t>Finish Material</t>
        </is>
      </c>
      <c r="D23" s="70" t="n">
        <v>267000</v>
      </c>
      <c r="E23" s="70" t="n">
        <v>276405</v>
      </c>
      <c r="F23" s="70" t="n">
        <v>70943.89</v>
      </c>
      <c r="G23" s="71">
        <f>F23-E23</f>
        <v/>
      </c>
      <c r="H23" s="72">
        <f>IF(E23=0,"",F23/E23)</f>
        <v/>
      </c>
      <c r="I23" s="73" t="inlineStr"/>
      <c r="J23" s="50" t="inlineStr">
        <is>
          <t>2024 Job Detail Report.pdf (Sage Timberline, 04/03/2026, 285 pages)</t>
        </is>
      </c>
    </row>
    <row r="24">
      <c r="B24" s="47" t="inlineStr">
        <is>
          <t>240</t>
        </is>
      </c>
      <c r="C24" s="48" t="inlineStr">
        <is>
          <t>Gas Material</t>
        </is>
      </c>
      <c r="D24" s="66" t="n">
        <v>7200</v>
      </c>
      <c r="E24" s="66" t="n">
        <v>7200</v>
      </c>
      <c r="F24" s="66" t="n">
        <v>4159.94</v>
      </c>
      <c r="G24" s="67">
        <f>F24-E24</f>
        <v/>
      </c>
      <c r="H24" s="68">
        <f>IF(E24=0,"",F24/E24)</f>
        <v/>
      </c>
      <c r="I24" s="17" t="inlineStr"/>
      <c r="J24" s="48" t="inlineStr">
        <is>
          <t>2024 Job Detail Report.pdf (Sage Timberline, 04/03/2026, 285 pages)</t>
        </is>
      </c>
    </row>
    <row r="25">
      <c r="B25" s="49" t="inlineStr">
        <is>
          <t>241</t>
        </is>
      </c>
      <c r="C25" s="50" t="inlineStr">
        <is>
          <t>Water Main/Insulation Mat</t>
        </is>
      </c>
      <c r="D25" s="70" t="n">
        <v>59400</v>
      </c>
      <c r="E25" s="70" t="n">
        <v>59400</v>
      </c>
      <c r="F25" s="70" t="n">
        <v>50657.33</v>
      </c>
      <c r="G25" s="71">
        <f>F25-E25</f>
        <v/>
      </c>
      <c r="H25" s="72">
        <f>IF(E25=0,"",F25/E25)</f>
        <v/>
      </c>
      <c r="I25" s="73" t="inlineStr"/>
      <c r="J25" s="50" t="inlineStr">
        <is>
          <t>2024 Job Detail Report.pdf (Sage Timberline, 04/03/2026, 285 pages)</t>
        </is>
      </c>
    </row>
    <row r="26">
      <c r="B26" s="47" t="inlineStr">
        <is>
          <t>242</t>
        </is>
      </c>
      <c r="C26" s="48" t="inlineStr">
        <is>
          <t>Mech Room Material</t>
        </is>
      </c>
      <c r="D26" s="66" t="n">
        <v>29000</v>
      </c>
      <c r="E26" s="66" t="n">
        <v>30622</v>
      </c>
      <c r="F26" s="66" t="n">
        <v>76386.17</v>
      </c>
      <c r="G26" s="67">
        <f>F26-E26</f>
        <v/>
      </c>
      <c r="H26" s="68">
        <f>IF(E26=0,"",F26/E26)</f>
        <v/>
      </c>
      <c r="I26" s="17" t="inlineStr"/>
      <c r="J26" s="48" t="inlineStr">
        <is>
          <t>2024 Job Detail Report.pdf (Sage Timberline, 04/03/2026, 285 pages)</t>
        </is>
      </c>
    </row>
    <row r="27">
      <c r="B27" s="49" t="inlineStr">
        <is>
          <t>243</t>
        </is>
      </c>
      <c r="C27" s="50" t="inlineStr">
        <is>
          <t>Condensation Drains Mat</t>
        </is>
      </c>
      <c r="D27" s="70" t="n">
        <v>0</v>
      </c>
      <c r="E27" s="70" t="n">
        <v>45</v>
      </c>
      <c r="F27" s="70" t="n">
        <v>1704</v>
      </c>
      <c r="G27" s="71">
        <f>F27-E27</f>
        <v/>
      </c>
      <c r="H27" s="72">
        <f>IF(E27=0,"",F27/E27)</f>
        <v/>
      </c>
      <c r="I27" s="73" t="inlineStr"/>
      <c r="J27" s="50" t="inlineStr">
        <is>
          <t>2024 Job Detail Report.pdf (Sage Timberline, 04/03/2026, 285 pages)</t>
        </is>
      </c>
    </row>
    <row r="28">
      <c r="B28" s="47" t="inlineStr">
        <is>
          <t>600</t>
        </is>
      </c>
      <c r="C28" s="48" t="inlineStr">
        <is>
          <t>Subcontractor</t>
        </is>
      </c>
      <c r="D28" s="66" t="n">
        <v>1000</v>
      </c>
      <c r="E28" s="66" t="n">
        <v>1000</v>
      </c>
      <c r="F28" s="66" t="n">
        <v>1711</v>
      </c>
      <c r="G28" s="67">
        <f>F28-E28</f>
        <v/>
      </c>
      <c r="H28" s="68">
        <f>IF(E28=0,"",F28/E28)</f>
        <v/>
      </c>
      <c r="I28" s="17" t="inlineStr"/>
      <c r="J28" s="48" t="inlineStr">
        <is>
          <t>2024 Job Detail Report.pdf (Sage Timberline, 04/03/2026, 285 pages)</t>
        </is>
      </c>
    </row>
    <row r="29">
      <c r="B29" s="49" t="inlineStr">
        <is>
          <t>601</t>
        </is>
      </c>
      <c r="C29" s="50" t="inlineStr">
        <is>
          <t>Engineering/Plans</t>
        </is>
      </c>
      <c r="D29" s="70" t="n">
        <v>20000</v>
      </c>
      <c r="E29" s="70" t="n">
        <v>20000</v>
      </c>
      <c r="F29" s="70" t="n">
        <v>1218.23</v>
      </c>
      <c r="G29" s="71">
        <f>F29-E29</f>
        <v/>
      </c>
      <c r="H29" s="72">
        <f>IF(E29=0,"",F29/E29)</f>
        <v/>
      </c>
      <c r="I29" s="73" t="inlineStr"/>
      <c r="J29" s="50" t="inlineStr">
        <is>
          <t>2024 Job Detail Report.pdf (Sage Timberline, 04/03/2026, 285 pages)</t>
        </is>
      </c>
    </row>
    <row r="30">
      <c r="B30" s="47" t="inlineStr">
        <is>
          <t>602</t>
        </is>
      </c>
      <c r="C30" s="48" t="inlineStr">
        <is>
          <t>Rental Equipment</t>
        </is>
      </c>
      <c r="D30" s="66" t="n">
        <v>5000</v>
      </c>
      <c r="E30" s="66" t="n">
        <v>5000</v>
      </c>
      <c r="F30" s="66" t="n">
        <v>2202.92</v>
      </c>
      <c r="G30" s="67">
        <f>F30-E30</f>
        <v/>
      </c>
      <c r="H30" s="68">
        <f>IF(E30=0,"",F30/E30)</f>
        <v/>
      </c>
      <c r="I30" s="17" t="inlineStr"/>
      <c r="J30" s="48" t="inlineStr">
        <is>
          <t>2024 Job Detail Report.pdf (Sage Timberline, 04/03/2026, 285 pages)</t>
        </is>
      </c>
    </row>
    <row r="31">
      <c r="B31" s="49" t="inlineStr">
        <is>
          <t>603</t>
        </is>
      </c>
      <c r="C31" s="50" t="inlineStr">
        <is>
          <t>Permits &amp; Licenses</t>
        </is>
      </c>
      <c r="D31" s="70" t="n">
        <v>11000</v>
      </c>
      <c r="E31" s="70" t="n">
        <v>11123</v>
      </c>
      <c r="F31" s="70" t="n">
        <v>7148</v>
      </c>
      <c r="G31" s="71">
        <f>F31-E31</f>
        <v/>
      </c>
      <c r="H31" s="72">
        <f>IF(E31=0,"",F31/E31)</f>
        <v/>
      </c>
      <c r="I31" s="73" t="inlineStr"/>
      <c r="J31" s="50" t="inlineStr">
        <is>
          <t>2024 Job Detail Report.pdf (Sage Timberline, 04/03/2026, 285 pages)</t>
        </is>
      </c>
    </row>
    <row r="32">
      <c r="B32" s="47" t="inlineStr">
        <is>
          <t>607</t>
        </is>
      </c>
      <c r="C32" s="48" t="inlineStr">
        <is>
          <t>Other Expenses</t>
        </is>
      </c>
      <c r="D32" s="66" t="n">
        <v>10000</v>
      </c>
      <c r="E32" s="66" t="n">
        <v>10000</v>
      </c>
      <c r="F32" s="66" t="n">
        <v>123.75</v>
      </c>
      <c r="G32" s="67">
        <f>F32-E32</f>
        <v/>
      </c>
      <c r="H32" s="68">
        <f>IF(E32=0,"",F32/E32)</f>
        <v/>
      </c>
      <c r="I32" s="17" t="inlineStr"/>
      <c r="J32" s="48" t="inlineStr">
        <is>
          <t>2024 Job Detail Report.pdf (Sage Timberline, 04/03/2026, 285 pages)</t>
        </is>
      </c>
    </row>
    <row r="33">
      <c r="B33" s="49" t="inlineStr">
        <is>
          <t>995</t>
        </is>
      </c>
      <c r="C33" s="50" t="inlineStr">
        <is>
          <t>Payroll Burden</t>
        </is>
      </c>
      <c r="D33" s="70" t="n">
        <v>173096.55</v>
      </c>
      <c r="E33" s="70" t="n">
        <v>180294</v>
      </c>
      <c r="F33" s="70" t="n">
        <v>167598.54</v>
      </c>
      <c r="G33" s="71">
        <f>F33-E33</f>
        <v/>
      </c>
      <c r="H33" s="72">
        <f>IF(E33=0,"",F33/E33)</f>
        <v/>
      </c>
      <c r="I33" s="73" t="inlineStr"/>
      <c r="J33" s="50" t="inlineStr">
        <is>
          <t>2024 Job Detail Report.pdf (Sage Timberline, 04/03/2026, 285 pages)</t>
        </is>
      </c>
    </row>
    <row r="34">
      <c r="B34" s="47" t="inlineStr">
        <is>
          <t>998</t>
        </is>
      </c>
      <c r="C34" s="48" t="inlineStr">
        <is>
          <t>Payroll Taxes</t>
        </is>
      </c>
      <c r="D34" s="66" t="n">
        <v>30546.45</v>
      </c>
      <c r="E34" s="66" t="n">
        <v>31729</v>
      </c>
      <c r="F34" s="66" t="n">
        <v>29136.68</v>
      </c>
      <c r="G34" s="67">
        <f>F34-E34</f>
        <v/>
      </c>
      <c r="H34" s="68">
        <f>IF(E34=0,"",F34/E34)</f>
        <v/>
      </c>
      <c r="I34" s="17" t="inlineStr"/>
      <c r="J34" s="48" t="inlineStr">
        <is>
          <t>2024 Job Detail Report.pdf (Sage Timberline, 04/03/2026, 285 pages)</t>
        </is>
      </c>
    </row>
    <row r="35">
      <c r="B35" s="49" t="inlineStr">
        <is>
          <t>999</t>
        </is>
      </c>
      <c r="C35" s="50" t="inlineStr">
        <is>
          <t>Sales</t>
        </is>
      </c>
      <c r="D35" s="70" t="n">
        <v>-1763480</v>
      </c>
      <c r="E35" s="70" t="n">
        <v>-1811843</v>
      </c>
      <c r="F35" s="70" t="n">
        <v>-1811843</v>
      </c>
      <c r="G35" s="71">
        <f>F35-E35</f>
        <v/>
      </c>
      <c r="H35" s="72">
        <f>IF(E35=0,"",F35/E35)</f>
        <v/>
      </c>
      <c r="I35" s="73" t="inlineStr"/>
      <c r="J35" s="50" t="inlineStr">
        <is>
          <t>2024 Job Detail Report.pdf (Sage Timberline, 04/03/2026, 285 pages)</t>
        </is>
      </c>
    </row>
    <row r="36">
      <c r="B36" s="74" t="inlineStr">
        <is>
          <t>TOTAL</t>
        </is>
      </c>
      <c r="D36" s="67">
        <f>SUM(D6:D35)</f>
        <v/>
      </c>
      <c r="E36" s="67">
        <f>SUM(E6:E35)</f>
        <v/>
      </c>
      <c r="F36" s="67">
        <f>SUM(F6:F35)</f>
        <v/>
      </c>
      <c r="G36" s="67">
        <f>F36-E36</f>
        <v/>
      </c>
      <c r="I36" s="75">
        <f>SUM(I6:I35)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Cost Breakdown by Category</t>
        </is>
      </c>
    </row>
    <row r="3" ht="22" customHeight="1">
      <c r="B3" s="44" t="inlineStr">
        <is>
          <t>Direct cost composition by category from JDR cost codes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Category</t>
        </is>
      </c>
      <c r="C5" s="65" t="inlineStr">
        <is>
          <t>Cost Codes</t>
        </is>
      </c>
      <c r="D5" s="65" t="inlineStr">
        <is>
          <t>Actual $</t>
        </is>
      </c>
      <c r="E5" s="65" t="inlineStr">
        <is>
          <t>% of Direct Cost</t>
        </is>
      </c>
      <c r="F5" s="65" t="inlineStr">
        <is>
          <t>% of Revenue</t>
        </is>
      </c>
      <c r="G5" s="65" t="inlineStr">
        <is>
          <t>Source</t>
        </is>
      </c>
    </row>
    <row r="6">
      <c r="B6" s="47" t="inlineStr">
        <is>
          <t>Labor</t>
        </is>
      </c>
      <c r="C6" s="48" t="inlineStr">
        <is>
          <t>100,101,110,111,112,120,130,140,141,142,143,150</t>
        </is>
      </c>
      <c r="D6" s="76" t="n">
        <v>379757.5</v>
      </c>
      <c r="E6" s="68">
        <f>D6/$D$11</f>
        <v/>
      </c>
      <c r="F6" s="68">
        <f>D6/1811843.0</f>
        <v/>
      </c>
      <c r="G6" s="48" t="inlineStr">
        <is>
          <t>2024 Job Detail Report.pdf (Sage Timberline, 04/03/2026, 285 pages)</t>
        </is>
      </c>
    </row>
    <row r="7">
      <c r="B7" s="49" t="inlineStr">
        <is>
          <t>Material</t>
        </is>
      </c>
      <c r="C7" s="50" t="inlineStr">
        <is>
          <t>210,211,212,213,220,230,240,241,242,243</t>
        </is>
      </c>
      <c r="D7" s="55" t="n">
        <v>336538.34</v>
      </c>
      <c r="E7" s="72">
        <f>D7/$D$11</f>
        <v/>
      </c>
      <c r="F7" s="72">
        <f>D7/1811843.0</f>
        <v/>
      </c>
      <c r="G7" s="50" t="inlineStr">
        <is>
          <t>2024 Job Detail Report.pdf (Sage Timberline, 04/03/2026, 285 pages)</t>
        </is>
      </c>
      <c r="H7" s="53" t="n"/>
      <c r="I7" s="53" t="n"/>
      <c r="J7" s="53" t="n"/>
    </row>
    <row r="8">
      <c r="B8" s="47" t="inlineStr">
        <is>
          <t>Subcontractor + Engineering + Rental + Permits + Other</t>
        </is>
      </c>
      <c r="C8" s="48" t="inlineStr">
        <is>
          <t>600,601,602,603,607</t>
        </is>
      </c>
      <c r="D8" s="76" t="n">
        <v>12403.9</v>
      </c>
      <c r="E8" s="68">
        <f>D8/$D$11</f>
        <v/>
      </c>
      <c r="F8" s="68">
        <f>D8/1811843.0</f>
        <v/>
      </c>
      <c r="G8" s="48" t="inlineStr">
        <is>
          <t>2024 Job Detail Report.pdf (Sage Timberline, 04/03/2026, 285 pages)</t>
        </is>
      </c>
    </row>
    <row r="9">
      <c r="B9" s="49" t="inlineStr">
        <is>
          <t>Payroll Burden</t>
        </is>
      </c>
      <c r="C9" s="50" t="inlineStr">
        <is>
          <t>995</t>
        </is>
      </c>
      <c r="D9" s="55" t="n">
        <v>167598.54</v>
      </c>
      <c r="E9" s="72">
        <f>D9/$D$11</f>
        <v/>
      </c>
      <c r="F9" s="72">
        <f>D9/1811843.0</f>
        <v/>
      </c>
      <c r="G9" s="50" t="inlineStr">
        <is>
          <t>2024 Job Detail Report.pdf (Sage Timberline, 04/03/2026, 285 pages)</t>
        </is>
      </c>
      <c r="H9" s="53" t="n"/>
      <c r="I9" s="53" t="n"/>
      <c r="J9" s="53" t="n"/>
    </row>
    <row r="10">
      <c r="B10" s="47" t="inlineStr">
        <is>
          <t>Payroll Taxes</t>
        </is>
      </c>
      <c r="C10" s="48" t="inlineStr">
        <is>
          <t>998</t>
        </is>
      </c>
      <c r="D10" s="76" t="n">
        <v>29136.68</v>
      </c>
      <c r="E10" s="68">
        <f>D10/$D$11</f>
        <v/>
      </c>
      <c r="F10" s="68">
        <f>D10/1811843.0</f>
        <v/>
      </c>
      <c r="G10" s="48" t="inlineStr">
        <is>
          <t>2024 Job Detail Report.pdf (Sage Timberline, 04/03/2026, 285 pages)</t>
        </is>
      </c>
    </row>
    <row r="11">
      <c r="B11" s="77" t="inlineStr">
        <is>
          <t>TOTAL DIRECT COST</t>
        </is>
      </c>
      <c r="C11" s="53" t="n"/>
      <c r="D11" s="78">
        <f>SUM(D6:D10)</f>
        <v/>
      </c>
      <c r="E11" s="79" t="n">
        <v>1</v>
      </c>
      <c r="F11" s="72">
        <f>D11/1811843.0</f>
        <v/>
      </c>
      <c r="G11" s="53" t="n"/>
      <c r="H11" s="53" t="n"/>
      <c r="I11" s="53" t="n"/>
      <c r="J1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Material Purchases — AP Vendors</t>
        </is>
      </c>
    </row>
    <row r="3" ht="22" customHeight="1">
      <c r="B3" s="44" t="inlineStr">
        <is>
          <t>Material + subcontractor spend by vendor (AP records from JDR). Supplemented with submittal/PO inventory.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Vendor ID</t>
        </is>
      </c>
      <c r="C5" s="65" t="inlineStr">
        <is>
          <t>Vendor Name</t>
        </is>
      </c>
      <c r="D5" s="65" t="inlineStr">
        <is>
          <t>Total Spend</t>
        </is>
      </c>
      <c r="E5" s="65" t="inlineStr">
        <is>
          <t># Transactions</t>
        </is>
      </c>
      <c r="F5" s="65" t="inlineStr">
        <is>
          <t>Category (inferred)</t>
        </is>
      </c>
      <c r="G5" s="65" t="inlineStr">
        <is>
          <t>Source</t>
        </is>
      </c>
    </row>
    <row r="6">
      <c r="B6" s="47" t="inlineStr">
        <is>
          <t>2024RS</t>
        </is>
      </c>
      <c r="C6" s="48" t="inlineStr">
        <is>
          <t>Rosen Supply Company, Inc. $MG-Ballard</t>
        </is>
      </c>
      <c r="D6" s="66" t="n">
        <v>102072.49</v>
      </c>
      <c r="E6" s="80" t="n">
        <v>99</v>
      </c>
      <c r="F6" s="48" t="inlineStr">
        <is>
          <t>Plumbing / Supplies</t>
        </is>
      </c>
      <c r="G6" s="48" t="inlineStr">
        <is>
          <t>2024 Job Detail Report.pdf (Sage Timberline, 04/03/2026, 285 pages)</t>
        </is>
      </c>
    </row>
    <row r="7">
      <c r="B7" s="49" t="inlineStr">
        <is>
          <t>2024KS</t>
        </is>
      </c>
      <c r="C7" s="50" t="inlineStr">
        <is>
          <t>Keller Supply Company $MG-Ballard</t>
        </is>
      </c>
      <c r="D7" s="70" t="n">
        <v>80438.13999999996</v>
      </c>
      <c r="E7" s="81" t="n">
        <v>90</v>
      </c>
      <c r="F7" s="50" t="inlineStr">
        <is>
          <t>Plumbing / Supplies</t>
        </is>
      </c>
      <c r="G7" s="50" t="inlineStr">
        <is>
          <t>2024 Job Detail Report.pdf (Sage Timberline, 04/03/2026, 285 pages)</t>
        </is>
      </c>
      <c r="H7" s="53" t="n"/>
      <c r="I7" s="53" t="n"/>
      <c r="J7" s="53" t="n"/>
    </row>
    <row r="8">
      <c r="B8" s="47" t="inlineStr">
        <is>
          <t>3612MS</t>
        </is>
      </c>
      <c r="C8" s="48" t="inlineStr">
        <is>
          <t>Mechanical Sales, Inc.</t>
        </is>
      </c>
      <c r="D8" s="66" t="n">
        <v>37098.89</v>
      </c>
      <c r="E8" s="80" t="n">
        <v>6</v>
      </c>
      <c r="F8" s="48" t="inlineStr">
        <is>
          <t>Plumbing / Supplies</t>
        </is>
      </c>
      <c r="G8" s="48" t="inlineStr">
        <is>
          <t>2024 Job Detail Report.pdf (Sage Timberline, 04/03/2026, 285 pages)</t>
        </is>
      </c>
    </row>
    <row r="9">
      <c r="B9" s="49" t="inlineStr">
        <is>
          <t>2024FE</t>
        </is>
      </c>
      <c r="C9" s="50" t="inlineStr">
        <is>
          <t>Ferguson Enterprises, Inc. $MG-Ballard</t>
        </is>
      </c>
      <c r="D9" s="70" t="n">
        <v>22824.24</v>
      </c>
      <c r="E9" s="81" t="n">
        <v>29</v>
      </c>
      <c r="F9" s="50" t="inlineStr">
        <is>
          <t>Plumbing / Supplies</t>
        </is>
      </c>
      <c r="G9" s="50" t="inlineStr">
        <is>
          <t>2024 Job Detail Report.pdf (Sage Timberline, 04/03/2026, 285 pages)</t>
        </is>
      </c>
      <c r="H9" s="53" t="n"/>
      <c r="I9" s="53" t="n"/>
      <c r="J9" s="53" t="n"/>
    </row>
    <row r="10">
      <c r="B10" s="47" t="inlineStr">
        <is>
          <t>2024CS</t>
        </is>
      </c>
      <c r="C10" s="48" t="inlineStr">
        <is>
          <t>Consolidated Supply Co. $MG-Ballard</t>
        </is>
      </c>
      <c r="D10" s="66" t="n">
        <v>21645.04</v>
      </c>
      <c r="E10" s="80" t="n">
        <v>9</v>
      </c>
      <c r="F10" s="48" t="inlineStr">
        <is>
          <t>Plumbing / Supplies</t>
        </is>
      </c>
      <c r="G10" s="48" t="inlineStr">
        <is>
          <t>2024 Job Detail Report.pdf (Sage Timberline, 04/03/2026, 285 pages)</t>
        </is>
      </c>
    </row>
    <row r="11">
      <c r="B11" s="49" t="inlineStr">
        <is>
          <t>1609QC</t>
        </is>
      </c>
      <c r="C11" s="50" t="inlineStr">
        <is>
          <t>Quality Concrete Products, Inc. $32</t>
        </is>
      </c>
      <c r="D11" s="70" t="n">
        <v>11655</v>
      </c>
      <c r="E11" s="81" t="n">
        <v>4</v>
      </c>
      <c r="F11" s="50" t="inlineStr">
        <is>
          <t>Concrete / subcon</t>
        </is>
      </c>
      <c r="G11" s="50" t="inlineStr">
        <is>
          <t>2024 Job Detail Report.pdf (Sage Timberline, 04/03/2026, 285 pages)</t>
        </is>
      </c>
      <c r="H11" s="53" t="n"/>
      <c r="I11" s="53" t="n"/>
      <c r="J11" s="53" t="n"/>
    </row>
    <row r="12">
      <c r="B12" s="47" t="inlineStr">
        <is>
          <t>1234BA</t>
        </is>
      </c>
      <c r="C12" s="48" t="inlineStr">
        <is>
          <t>Bank of America CC</t>
        </is>
      </c>
      <c r="D12" s="66" t="n">
        <v>7148</v>
      </c>
      <c r="E12" s="80" t="n">
        <v>9</v>
      </c>
      <c r="F12" s="48" t="inlineStr">
        <is>
          <t>Credit Card (mixed)</t>
        </is>
      </c>
      <c r="G12" s="48" t="inlineStr">
        <is>
          <t>2024 Job Detail Report.pdf (Sage Timberline, 04/03/2026, 285 pages)</t>
        </is>
      </c>
    </row>
    <row r="13">
      <c r="B13" s="49" t="inlineStr">
        <is>
          <t>1231KS</t>
        </is>
      </c>
      <c r="C13" s="50" t="inlineStr">
        <is>
          <t>Keller Supply Company</t>
        </is>
      </c>
      <c r="D13" s="70" t="n">
        <v>5234.3</v>
      </c>
      <c r="E13" s="81" t="n">
        <v>7</v>
      </c>
      <c r="F13" s="50" t="inlineStr">
        <is>
          <t>Plumbing / Supplies</t>
        </is>
      </c>
      <c r="G13" s="50" t="inlineStr">
        <is>
          <t>2024 Job Detail Report.pdf (Sage Timberline, 04/03/2026, 285 pages)</t>
        </is>
      </c>
      <c r="H13" s="53" t="n"/>
      <c r="I13" s="53" t="n"/>
      <c r="J13" s="53" t="n"/>
    </row>
    <row r="14">
      <c r="B14" s="47" t="inlineStr">
        <is>
          <t>1344HD</t>
        </is>
      </c>
      <c r="C14" s="48" t="inlineStr">
        <is>
          <t>HD Fowler Company</t>
        </is>
      </c>
      <c r="D14" s="66" t="n">
        <v>3590.93</v>
      </c>
      <c r="E14" s="80" t="n">
        <v>1</v>
      </c>
      <c r="F14" s="48" t="inlineStr">
        <is>
          <t>Plumbing / Supplies</t>
        </is>
      </c>
      <c r="G14" s="48" t="inlineStr">
        <is>
          <t>2024 Job Detail Report.pdf (Sage Timberline, 04/03/2026, 285 pages)</t>
        </is>
      </c>
    </row>
    <row r="15">
      <c r="B15" s="49" t="inlineStr">
        <is>
          <t>7200UR</t>
        </is>
      </c>
      <c r="C15" s="50" t="inlineStr">
        <is>
          <t>United Rentals, Inc.</t>
        </is>
      </c>
      <c r="D15" s="70" t="n">
        <v>1948.38</v>
      </c>
      <c r="E15" s="81" t="n">
        <v>3</v>
      </c>
      <c r="F15" s="50" t="inlineStr">
        <is>
          <t>Rental Equipment (602)</t>
        </is>
      </c>
      <c r="G15" s="50" t="inlineStr">
        <is>
          <t>2024 Job Detail Report.pdf (Sage Timberline, 04/03/2026, 285 pages)</t>
        </is>
      </c>
      <c r="H15" s="53" t="n"/>
      <c r="I15" s="53" t="n"/>
      <c r="J15" s="53" t="n"/>
    </row>
    <row r="16">
      <c r="B16" s="47" t="inlineStr">
        <is>
          <t>3181SC</t>
        </is>
      </c>
      <c r="C16" s="48" t="inlineStr">
        <is>
          <t>Scan2Core, Inc.</t>
        </is>
      </c>
      <c r="D16" s="66" t="n">
        <v>1514</v>
      </c>
      <c r="E16" s="80" t="n">
        <v>2</v>
      </c>
      <c r="F16" s="48" t="inlineStr">
        <is>
          <t>Concrete coring / subcon</t>
        </is>
      </c>
      <c r="G16" s="48" t="inlineStr">
        <is>
          <t>2024 Job Detail Report.pdf (Sage Timberline, 04/03/2026, 285 pages)</t>
        </is>
      </c>
    </row>
    <row r="17">
      <c r="B17" s="49" t="inlineStr">
        <is>
          <t>1625FE</t>
        </is>
      </c>
      <c r="C17" s="50" t="inlineStr">
        <is>
          <t>Franklin Engineering</t>
        </is>
      </c>
      <c r="D17" s="70" t="n">
        <v>1021</v>
      </c>
      <c r="E17" s="81" t="n">
        <v>1</v>
      </c>
      <c r="F17" s="50" t="inlineStr">
        <is>
          <t>Engineering (601)</t>
        </is>
      </c>
      <c r="G17" s="50" t="inlineStr">
        <is>
          <t>2024 Job Detail Report.pdf (Sage Timberline, 04/03/2026, 285 pages)</t>
        </is>
      </c>
      <c r="H17" s="53" t="n"/>
      <c r="I17" s="53" t="n"/>
      <c r="J17" s="53" t="n"/>
    </row>
    <row r="18">
      <c r="B18" s="47" t="inlineStr">
        <is>
          <t>8068MI</t>
        </is>
      </c>
      <c r="C18" s="48" t="inlineStr">
        <is>
          <t>Kele, Inc $ MI Controls</t>
        </is>
      </c>
      <c r="D18" s="66" t="n">
        <v>847.74</v>
      </c>
      <c r="E18" s="80" t="n">
        <v>1</v>
      </c>
      <c r="F18" s="48" t="inlineStr">
        <is>
          <t>Controls</t>
        </is>
      </c>
      <c r="G18" s="48" t="inlineStr">
        <is>
          <t>2024 Job Detail Report.pdf (Sage Timberline, 04/03/2026, 285 pages)</t>
        </is>
      </c>
    </row>
    <row r="19">
      <c r="B19" s="49" t="inlineStr">
        <is>
          <t>1303CM</t>
        </is>
      </c>
      <c r="C19" s="50" t="inlineStr">
        <is>
          <t>C.M. Hoskins Company</t>
        </is>
      </c>
      <c r="D19" s="70" t="n">
        <v>716</v>
      </c>
      <c r="E19" s="81" t="n">
        <v>2</v>
      </c>
      <c r="F19" s="50" t="inlineStr">
        <is>
          <t>Service / subcon</t>
        </is>
      </c>
      <c r="G19" s="50" t="inlineStr">
        <is>
          <t>2024 Job Detail Report.pdf (Sage Timberline, 04/03/2026, 285 pages)</t>
        </is>
      </c>
      <c r="H19" s="53" t="n"/>
      <c r="I19" s="53" t="n"/>
      <c r="J19" s="53" t="n"/>
    </row>
    <row r="20">
      <c r="B20" s="47" t="inlineStr">
        <is>
          <t>1175FE</t>
        </is>
      </c>
      <c r="C20" s="48" t="inlineStr">
        <is>
          <t>Ferguson Enterprises, Inc. #3007</t>
        </is>
      </c>
      <c r="D20" s="66" t="n">
        <v>390.48</v>
      </c>
      <c r="E20" s="80" t="n">
        <v>1</v>
      </c>
      <c r="F20" s="48" t="inlineStr">
        <is>
          <t>Plumbing / Supplies</t>
        </is>
      </c>
      <c r="G20" s="48" t="inlineStr">
        <is>
          <t>2024 Job Detail Report.pdf (Sage Timberline, 04/03/2026, 285 pages)</t>
        </is>
      </c>
    </row>
    <row r="21">
      <c r="B21" s="49" t="inlineStr">
        <is>
          <t>1130CS</t>
        </is>
      </c>
      <c r="C21" s="50" t="inlineStr">
        <is>
          <t>Consolidated Supply Co.</t>
        </is>
      </c>
      <c r="D21" s="70" t="n">
        <v>348.12</v>
      </c>
      <c r="E21" s="81" t="n">
        <v>3</v>
      </c>
      <c r="F21" s="50" t="inlineStr">
        <is>
          <t>Plumbing / Supplies</t>
        </is>
      </c>
      <c r="G21" s="50" t="inlineStr">
        <is>
          <t>2024 Job Detail Report.pdf (Sage Timberline, 04/03/2026, 285 pages)</t>
        </is>
      </c>
      <c r="H21" s="53" t="n"/>
      <c r="I21" s="53" t="n"/>
      <c r="J21" s="53" t="n"/>
    </row>
    <row r="22">
      <c r="B22" s="47" t="inlineStr">
        <is>
          <t>1234CO</t>
        </is>
      </c>
      <c r="C22" s="48" t="inlineStr">
        <is>
          <t>Capital One Credit Card</t>
        </is>
      </c>
      <c r="D22" s="66" t="n">
        <v>315.62</v>
      </c>
      <c r="E22" s="80" t="n">
        <v>5</v>
      </c>
      <c r="F22" s="48" t="inlineStr">
        <is>
          <t>Credit Card (mixed)</t>
        </is>
      </c>
      <c r="G22" s="48" t="inlineStr">
        <is>
          <t>2024 Job Detail Report.pdf (Sage Timberline, 04/03/2026, 285 pages)</t>
        </is>
      </c>
    </row>
    <row r="23">
      <c r="B23" s="49" t="inlineStr">
        <is>
          <t>5621HD</t>
        </is>
      </c>
      <c r="C23" s="50" t="inlineStr">
        <is>
          <t>Core &amp; Main LP $HD Supply Waterworks</t>
        </is>
      </c>
      <c r="D23" s="70" t="n">
        <v>256</v>
      </c>
      <c r="E23" s="81" t="n">
        <v>1</v>
      </c>
      <c r="F23" s="50" t="inlineStr">
        <is>
          <t>Plumbing / Supplies</t>
        </is>
      </c>
      <c r="G23" s="50" t="inlineStr">
        <is>
          <t>2024 Job Detail Report.pdf (Sage Timberline, 04/03/2026, 285 pages)</t>
        </is>
      </c>
      <c r="H23" s="53" t="n"/>
      <c r="I23" s="53" t="n"/>
      <c r="J23" s="53" t="n"/>
    </row>
    <row r="24">
      <c r="B24" s="47" t="inlineStr">
        <is>
          <t>1799AW</t>
        </is>
      </c>
      <c r="C24" s="48" t="inlineStr">
        <is>
          <t>AllWest Underground, Inc.</t>
        </is>
      </c>
      <c r="D24" s="66" t="n">
        <v>254.54</v>
      </c>
      <c r="E24" s="80" t="n">
        <v>2</v>
      </c>
      <c r="F24" s="48" t="inlineStr">
        <is>
          <t>Uncategorized</t>
        </is>
      </c>
      <c r="G24" s="48" t="inlineStr">
        <is>
          <t>2024 Job Detail Report.pdf (Sage Timberline, 04/03/2026, 285 pages)</t>
        </is>
      </c>
    </row>
    <row r="25">
      <c r="B25" s="49" t="inlineStr">
        <is>
          <t>1421RA</t>
        </is>
      </c>
      <c r="C25" s="50" t="inlineStr">
        <is>
          <t>R.A. Brown Backflow Testing</t>
        </is>
      </c>
      <c r="D25" s="70" t="n">
        <v>197</v>
      </c>
      <c r="E25" s="81" t="n">
        <v>1</v>
      </c>
      <c r="F25" s="50" t="inlineStr">
        <is>
          <t>Testing subcontractor</t>
        </is>
      </c>
      <c r="G25" s="50" t="inlineStr">
        <is>
          <t>2024 Job Detail Report.pdf (Sage Timberline, 04/03/2026, 285 pages)</t>
        </is>
      </c>
      <c r="H25" s="53" t="n"/>
      <c r="I25" s="53" t="n"/>
      <c r="J25" s="53" t="n"/>
    </row>
    <row r="26">
      <c r="B26" s="47" t="inlineStr">
        <is>
          <t>1380RS</t>
        </is>
      </c>
      <c r="C26" s="48" t="inlineStr">
        <is>
          <t>Rosen Supply Kirkland</t>
        </is>
      </c>
      <c r="D26" s="66" t="n">
        <v>123.14</v>
      </c>
      <c r="E26" s="80" t="n">
        <v>2</v>
      </c>
      <c r="F26" s="48" t="inlineStr">
        <is>
          <t>Plumbing / Supplies</t>
        </is>
      </c>
      <c r="G26" s="48" t="inlineStr">
        <is>
          <t>2024 Job Detail Report.pdf (Sage Timberline, 04/03/2026, 285 pages)</t>
        </is>
      </c>
    </row>
    <row r="27">
      <c r="B27" s="49" t="inlineStr">
        <is>
          <t>1978FC</t>
        </is>
      </c>
      <c r="C27" s="50" t="inlineStr">
        <is>
          <t>Fastenal Company</t>
        </is>
      </c>
      <c r="D27" s="70" t="n">
        <v>36.18</v>
      </c>
      <c r="E27" s="81" t="n">
        <v>1</v>
      </c>
      <c r="F27" s="50" t="inlineStr">
        <is>
          <t>Uncategorized</t>
        </is>
      </c>
      <c r="G27" s="50" t="inlineStr">
        <is>
          <t>2024 Job Detail Report.pdf (Sage Timberline, 04/03/2026, 285 pages)</t>
        </is>
      </c>
      <c r="H27" s="53" t="n"/>
      <c r="I27" s="53" t="n"/>
      <c r="J27" s="53" t="n"/>
    </row>
    <row r="28">
      <c r="B28" s="47" t="inlineStr">
        <is>
          <t>1233AE</t>
        </is>
      </c>
      <c r="C28" s="48" t="inlineStr">
        <is>
          <t>American Express 3-41000</t>
        </is>
      </c>
      <c r="D28" s="66" t="n">
        <v>2</v>
      </c>
      <c r="E28" s="80" t="n">
        <v>1</v>
      </c>
      <c r="F28" s="48" t="inlineStr">
        <is>
          <t>Uncategorized</t>
        </is>
      </c>
      <c r="G28" s="48" t="inlineStr">
        <is>
          <t>2024 Job Detail Report.pdf (Sage Timberline, 04/03/2026, 285 pages)</t>
        </is>
      </c>
    </row>
    <row r="29">
      <c r="B29" s="49" t="inlineStr">
        <is>
          <t>2020RS</t>
        </is>
      </c>
      <c r="C29" s="50" t="inlineStr">
        <is>
          <t>Rosen Supply Company $Bellevue At Main</t>
        </is>
      </c>
      <c r="D29" s="70" t="n">
        <v>0</v>
      </c>
      <c r="E29" s="81" t="n">
        <v>2</v>
      </c>
      <c r="F29" s="50" t="inlineStr">
        <is>
          <t>Plumbing / Supplies</t>
        </is>
      </c>
      <c r="G29" s="50" t="inlineStr">
        <is>
          <t>2024 Job Detail Report.pdf (Sage Timberline, 04/03/2026, 285 pages)</t>
        </is>
      </c>
      <c r="H29" s="53" t="n"/>
      <c r="I29" s="53" t="n"/>
      <c r="J29" s="53" t="n"/>
    </row>
    <row r="30">
      <c r="B30" s="74" t="inlineStr">
        <is>
          <t>TOTAL</t>
        </is>
      </c>
      <c r="D30" s="82">
        <f>SUM(D6:D29)</f>
        <v/>
      </c>
      <c r="E30" s="48">
        <f>SUM(E6:E29)</f>
        <v/>
      </c>
    </row>
    <row r="31"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</row>
    <row r="32">
      <c r="B32" s="47" t="inlineStr">
        <is>
          <t>NOTE: AP total per JDR footer = $299,677.23. Top vendors: Rosen Supply (MG-Ballard), Mechanical Sales, Ferguson, Consolidated Supply, Quality Concrete. Submittals folder contains 80+ submittals documenting approved products. POs folder shows 138+ POs (102 completed, 0 placed, 36 scheduled) + Trim PO_s subfolder (toilets, faucets/lavs, kitchen sinks, attic stock, utility/mop sink).</t>
        </is>
      </c>
      <c r="C32" s="6" t="n"/>
      <c r="D32" s="6" t="n"/>
      <c r="E32" s="6" t="n"/>
      <c r="F32" s="6" t="n"/>
      <c r="G32" s="7" t="n"/>
    </row>
  </sheetData>
  <mergeCells count="3">
    <mergeCell ref="B32:G32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4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Crew &amp; Labor — Worker Roster</t>
        </is>
      </c>
    </row>
    <row r="3" ht="22" customHeight="1">
      <c r="B3" s="44" t="inlineStr">
        <is>
          <t>All 40 unique payroll workers from JDR.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Worker ID</t>
        </is>
      </c>
      <c r="C5" s="65" t="inlineStr">
        <is>
          <t>Worker Name</t>
        </is>
      </c>
      <c r="D5" s="65" t="inlineStr">
        <is>
          <t>Total Hours</t>
        </is>
      </c>
      <c r="E5" s="65" t="inlineStr">
        <is>
          <t>Gross Pay</t>
        </is>
      </c>
      <c r="F5" s="65" t="inlineStr">
        <is>
          <t>Blended Wage ($/hr)</t>
        </is>
      </c>
      <c r="G5" s="65" t="inlineStr">
        <is>
          <t># Work Days</t>
        </is>
      </c>
      <c r="H5" s="65" t="inlineStr">
        <is>
          <t>Source</t>
        </is>
      </c>
    </row>
    <row r="6">
      <c r="B6" s="47" t="inlineStr">
        <is>
          <t>CA74</t>
        </is>
      </c>
      <c r="C6" s="48" t="inlineStr">
        <is>
          <t>Castaneda Martinez, Gustavo</t>
        </is>
      </c>
      <c r="D6" s="69" t="n">
        <v>1735</v>
      </c>
      <c r="E6" s="76" t="n">
        <v>58252</v>
      </c>
      <c r="F6" s="82">
        <f>IF(D6=0,0,E6/D6)</f>
        <v/>
      </c>
      <c r="G6" s="80" t="n">
        <v>49</v>
      </c>
      <c r="H6" s="48" t="inlineStr">
        <is>
          <t>2024 Job Detail Report.pdf (Sage Timberline, 04/03/2026, 285 pages)</t>
        </is>
      </c>
    </row>
    <row r="7">
      <c r="B7" s="49" t="inlineStr">
        <is>
          <t>CO71</t>
        </is>
      </c>
      <c r="C7" s="50" t="inlineStr">
        <is>
          <t>Cortes Mendiola, Victor H</t>
        </is>
      </c>
      <c r="D7" s="56" t="n">
        <v>1221</v>
      </c>
      <c r="E7" s="55" t="n">
        <v>36239</v>
      </c>
      <c r="F7" s="78">
        <f>IF(D7=0,0,E7/D7)</f>
        <v/>
      </c>
      <c r="G7" s="81" t="n">
        <v>32</v>
      </c>
      <c r="H7" s="50" t="inlineStr">
        <is>
          <t>2024 Job Detail Report.pdf (Sage Timberline, 04/03/2026, 285 pages)</t>
        </is>
      </c>
      <c r="I7" s="53" t="n"/>
      <c r="J7" s="53" t="n"/>
    </row>
    <row r="8">
      <c r="B8" s="47" t="inlineStr">
        <is>
          <t>CA72</t>
        </is>
      </c>
      <c r="C8" s="48" t="inlineStr">
        <is>
          <t>Castaneda Juarez, Edgar D</t>
        </is>
      </c>
      <c r="D8" s="69" t="n">
        <v>1189.5</v>
      </c>
      <c r="E8" s="76" t="n">
        <v>23273.5</v>
      </c>
      <c r="F8" s="82">
        <f>IF(D8=0,0,E8/D8)</f>
        <v/>
      </c>
      <c r="G8" s="80" t="n">
        <v>37</v>
      </c>
      <c r="H8" s="48" t="inlineStr">
        <is>
          <t>2024 Job Detail Report.pdf (Sage Timberline, 04/03/2026, 285 pages)</t>
        </is>
      </c>
    </row>
    <row r="9">
      <c r="B9" s="49" t="inlineStr">
        <is>
          <t>GU19</t>
        </is>
      </c>
      <c r="C9" s="50" t="inlineStr">
        <is>
          <t>Guerrero, Jorge A</t>
        </is>
      </c>
      <c r="D9" s="56" t="n">
        <v>1128</v>
      </c>
      <c r="E9" s="55" t="n">
        <v>17608</v>
      </c>
      <c r="F9" s="78">
        <f>IF(D9=0,0,E9/D9)</f>
        <v/>
      </c>
      <c r="G9" s="81" t="n">
        <v>32</v>
      </c>
      <c r="H9" s="50" t="inlineStr">
        <is>
          <t>2024 Job Detail Report.pdf (Sage Timberline, 04/03/2026, 285 pages)</t>
        </is>
      </c>
      <c r="I9" s="53" t="n"/>
      <c r="J9" s="53" t="n"/>
    </row>
    <row r="10">
      <c r="B10" s="47" t="inlineStr">
        <is>
          <t>CA73</t>
        </is>
      </c>
      <c r="C10" s="48" t="inlineStr">
        <is>
          <t>Castaneda Juarez, Gustavo</t>
        </is>
      </c>
      <c r="D10" s="69" t="n">
        <v>1113.5</v>
      </c>
      <c r="E10" s="76" t="n">
        <v>20874</v>
      </c>
      <c r="F10" s="82">
        <f>IF(D10=0,0,E10/D10)</f>
        <v/>
      </c>
      <c r="G10" s="80" t="n">
        <v>33</v>
      </c>
      <c r="H10" s="48" t="inlineStr">
        <is>
          <t>2024 Job Detail Report.pdf (Sage Timberline, 04/03/2026, 285 pages)</t>
        </is>
      </c>
    </row>
    <row r="11">
      <c r="B11" s="49" t="inlineStr">
        <is>
          <t>AS10</t>
        </is>
      </c>
      <c r="C11" s="50" t="inlineStr">
        <is>
          <t>Ascencio, Jose L</t>
        </is>
      </c>
      <c r="D11" s="56" t="n">
        <v>1104</v>
      </c>
      <c r="E11" s="55" t="n">
        <v>16272</v>
      </c>
      <c r="F11" s="78">
        <f>IF(D11=0,0,E11/D11)</f>
        <v/>
      </c>
      <c r="G11" s="81" t="n">
        <v>32</v>
      </c>
      <c r="H11" s="50" t="inlineStr">
        <is>
          <t>2024 Job Detail Report.pdf (Sage Timberline, 04/03/2026, 285 pages)</t>
        </is>
      </c>
      <c r="I11" s="53" t="n"/>
      <c r="J11" s="53" t="n"/>
    </row>
    <row r="12">
      <c r="B12" s="47" t="inlineStr">
        <is>
          <t>AM03</t>
        </is>
      </c>
      <c r="C12" s="48" t="inlineStr">
        <is>
          <t>Amaya Gonzalez, Edilberto A</t>
        </is>
      </c>
      <c r="D12" s="69" t="n">
        <v>981</v>
      </c>
      <c r="E12" s="76" t="n">
        <v>15104</v>
      </c>
      <c r="F12" s="82">
        <f>IF(D12=0,0,E12/D12)</f>
        <v/>
      </c>
      <c r="G12" s="80" t="n">
        <v>27</v>
      </c>
      <c r="H12" s="48" t="inlineStr">
        <is>
          <t>2024 Job Detail Report.pdf (Sage Timberline, 04/03/2026, 285 pages)</t>
        </is>
      </c>
    </row>
    <row r="13">
      <c r="B13" s="49" t="inlineStr">
        <is>
          <t>PA11</t>
        </is>
      </c>
      <c r="C13" s="50" t="inlineStr">
        <is>
          <t>Paco Leyva, Orlando</t>
        </is>
      </c>
      <c r="D13" s="56" t="n">
        <v>933</v>
      </c>
      <c r="E13" s="55" t="n">
        <v>22813</v>
      </c>
      <c r="F13" s="78">
        <f>IF(D13=0,0,E13/D13)</f>
        <v/>
      </c>
      <c r="G13" s="81" t="n">
        <v>24</v>
      </c>
      <c r="H13" s="50" t="inlineStr">
        <is>
          <t>2024 Job Detail Report.pdf (Sage Timberline, 04/03/2026, 285 pages)</t>
        </is>
      </c>
      <c r="I13" s="53" t="n"/>
      <c r="J13" s="53" t="n"/>
    </row>
    <row r="14">
      <c r="B14" s="47" t="inlineStr">
        <is>
          <t>RA52</t>
        </is>
      </c>
      <c r="C14" s="48" t="inlineStr">
        <is>
          <t>Ramos Banegas, Noel O</t>
        </is>
      </c>
      <c r="D14" s="69" t="n">
        <v>932</v>
      </c>
      <c r="E14" s="76" t="n">
        <v>15170</v>
      </c>
      <c r="F14" s="82">
        <f>IF(D14=0,0,E14/D14)</f>
        <v/>
      </c>
      <c r="G14" s="80" t="n">
        <v>27</v>
      </c>
      <c r="H14" s="48" t="inlineStr">
        <is>
          <t>2024 Job Detail Report.pdf (Sage Timberline, 04/03/2026, 285 pages)</t>
        </is>
      </c>
    </row>
    <row r="15">
      <c r="B15" s="49" t="inlineStr">
        <is>
          <t>GE70</t>
        </is>
      </c>
      <c r="C15" s="50" t="inlineStr">
        <is>
          <t>Gerard, Jordan E</t>
        </is>
      </c>
      <c r="D15" s="56" t="n">
        <v>787</v>
      </c>
      <c r="E15" s="55" t="n">
        <v>13221</v>
      </c>
      <c r="F15" s="78">
        <f>IF(D15=0,0,E15/D15)</f>
        <v/>
      </c>
      <c r="G15" s="81" t="n">
        <v>25</v>
      </c>
      <c r="H15" s="50" t="inlineStr">
        <is>
          <t>2024 Job Detail Report.pdf (Sage Timberline, 04/03/2026, 285 pages)</t>
        </is>
      </c>
      <c r="I15" s="53" t="n"/>
      <c r="J15" s="53" t="n"/>
    </row>
    <row r="16">
      <c r="B16" s="47" t="inlineStr">
        <is>
          <t>PO71</t>
        </is>
      </c>
      <c r="C16" s="48" t="inlineStr">
        <is>
          <t>Portillo, Kevin J</t>
        </is>
      </c>
      <c r="D16" s="69" t="n">
        <v>714</v>
      </c>
      <c r="E16" s="76" t="n">
        <v>9535</v>
      </c>
      <c r="F16" s="82">
        <f>IF(D16=0,0,E16/D16)</f>
        <v/>
      </c>
      <c r="G16" s="80" t="n">
        <v>20</v>
      </c>
      <c r="H16" s="48" t="inlineStr">
        <is>
          <t>2024 Job Detail Report.pdf (Sage Timberline, 04/03/2026, 285 pages)</t>
        </is>
      </c>
    </row>
    <row r="17">
      <c r="B17" s="49" t="inlineStr">
        <is>
          <t>HU06</t>
        </is>
      </c>
      <c r="C17" s="50" t="inlineStr">
        <is>
          <t>Hubbard, Robert W</t>
        </is>
      </c>
      <c r="D17" s="56" t="n">
        <v>612.5</v>
      </c>
      <c r="E17" s="55" t="n">
        <v>23388</v>
      </c>
      <c r="F17" s="78">
        <f>IF(D17=0,0,E17/D17)</f>
        <v/>
      </c>
      <c r="G17" s="81" t="n">
        <v>60</v>
      </c>
      <c r="H17" s="50" t="inlineStr">
        <is>
          <t>2024 Job Detail Report.pdf (Sage Timberline, 04/03/2026, 285 pages)</t>
        </is>
      </c>
      <c r="I17" s="53" t="n"/>
      <c r="J17" s="53" t="n"/>
    </row>
    <row r="18">
      <c r="B18" s="47" t="inlineStr">
        <is>
          <t>GE69</t>
        </is>
      </c>
      <c r="C18" s="48" t="inlineStr">
        <is>
          <t>Gerard, Jeffrey S</t>
        </is>
      </c>
      <c r="D18" s="69" t="n">
        <v>544</v>
      </c>
      <c r="E18" s="76" t="n">
        <v>22874</v>
      </c>
      <c r="F18" s="82">
        <f>IF(D18=0,0,E18/D18)</f>
        <v/>
      </c>
      <c r="G18" s="80" t="n">
        <v>68</v>
      </c>
      <c r="H18" s="48" t="inlineStr">
        <is>
          <t>2024 Job Detail Report.pdf (Sage Timberline, 04/03/2026, 285 pages)</t>
        </is>
      </c>
    </row>
    <row r="19">
      <c r="B19" s="49" t="inlineStr">
        <is>
          <t>GE71</t>
        </is>
      </c>
      <c r="C19" s="50" t="inlineStr">
        <is>
          <t>Gerard, Mitchell J</t>
        </is>
      </c>
      <c r="D19" s="56" t="n">
        <v>492</v>
      </c>
      <c r="E19" s="55" t="n">
        <v>9632</v>
      </c>
      <c r="F19" s="78">
        <f>IF(D19=0,0,E19/D19)</f>
        <v/>
      </c>
      <c r="G19" s="81" t="n">
        <v>18</v>
      </c>
      <c r="H19" s="50" t="inlineStr">
        <is>
          <t>2024 Job Detail Report.pdf (Sage Timberline, 04/03/2026, 285 pages)</t>
        </is>
      </c>
      <c r="I19" s="53" t="n"/>
      <c r="J19" s="53" t="n"/>
    </row>
    <row r="20">
      <c r="B20" s="47" t="inlineStr">
        <is>
          <t>RE96</t>
        </is>
      </c>
      <c r="C20" s="48" t="inlineStr">
        <is>
          <t>Reyes Cruz, Denis A</t>
        </is>
      </c>
      <c r="D20" s="69" t="n">
        <v>489</v>
      </c>
      <c r="E20" s="76" t="n">
        <v>7754</v>
      </c>
      <c r="F20" s="82">
        <f>IF(D20=0,0,E20/D20)</f>
        <v/>
      </c>
      <c r="G20" s="80" t="n">
        <v>14</v>
      </c>
      <c r="H20" s="48" t="inlineStr">
        <is>
          <t>2024 Job Detail Report.pdf (Sage Timberline, 04/03/2026, 285 pages)</t>
        </is>
      </c>
    </row>
    <row r="21">
      <c r="B21" s="49" t="inlineStr">
        <is>
          <t>MO54</t>
        </is>
      </c>
      <c r="C21" s="50" t="inlineStr">
        <is>
          <t>Monico Brambila, Jesus S</t>
        </is>
      </c>
      <c r="D21" s="56" t="n">
        <v>408</v>
      </c>
      <c r="E21" s="55" t="n">
        <v>7264</v>
      </c>
      <c r="F21" s="78">
        <f>IF(D21=0,0,E21/D21)</f>
        <v/>
      </c>
      <c r="G21" s="81" t="n">
        <v>13</v>
      </c>
      <c r="H21" s="50" t="inlineStr">
        <is>
          <t>2024 Job Detail Report.pdf (Sage Timberline, 04/03/2026, 285 pages)</t>
        </is>
      </c>
      <c r="I21" s="53" t="n"/>
      <c r="J21" s="53" t="n"/>
    </row>
    <row r="22">
      <c r="B22" s="47" t="inlineStr">
        <is>
          <t>SA54</t>
        </is>
      </c>
      <c r="C22" s="48" t="inlineStr">
        <is>
          <t>Sanders, Allen O</t>
        </is>
      </c>
      <c r="D22" s="69" t="n">
        <v>341.5</v>
      </c>
      <c r="E22" s="76" t="n">
        <v>12463.5</v>
      </c>
      <c r="F22" s="82">
        <f>IF(D22=0,0,E22/D22)</f>
        <v/>
      </c>
      <c r="G22" s="80" t="n">
        <v>28</v>
      </c>
      <c r="H22" s="48" t="inlineStr">
        <is>
          <t>2024 Job Detail Report.pdf (Sage Timberline, 04/03/2026, 285 pages)</t>
        </is>
      </c>
    </row>
    <row r="23">
      <c r="B23" s="49" t="inlineStr">
        <is>
          <t>AG51</t>
        </is>
      </c>
      <c r="C23" s="50" t="inlineStr">
        <is>
          <t>Aguilar Rivas, Henry</t>
        </is>
      </c>
      <c r="D23" s="56" t="n">
        <v>340.5</v>
      </c>
      <c r="E23" s="55" t="n">
        <v>4426.5</v>
      </c>
      <c r="F23" s="78">
        <f>IF(D23=0,0,E23/D23)</f>
        <v/>
      </c>
      <c r="G23" s="81" t="n">
        <v>9</v>
      </c>
      <c r="H23" s="50" t="inlineStr">
        <is>
          <t>2024 Job Detail Report.pdf (Sage Timberline, 04/03/2026, 285 pages)</t>
        </is>
      </c>
      <c r="I23" s="53" t="n"/>
      <c r="J23" s="53" t="n"/>
    </row>
    <row r="24">
      <c r="B24" s="47" t="inlineStr">
        <is>
          <t>ME98</t>
        </is>
      </c>
      <c r="C24" s="48" t="inlineStr">
        <is>
          <t>Meza Fuentes, Erick A</t>
        </is>
      </c>
      <c r="D24" s="69" t="n">
        <v>277</v>
      </c>
      <c r="E24" s="76" t="n">
        <v>6632</v>
      </c>
      <c r="F24" s="82">
        <f>IF(D24=0,0,E24/D24)</f>
        <v/>
      </c>
      <c r="G24" s="80" t="n">
        <v>8</v>
      </c>
      <c r="H24" s="48" t="inlineStr">
        <is>
          <t>2024 Job Detail Report.pdf (Sage Timberline, 04/03/2026, 285 pages)</t>
        </is>
      </c>
    </row>
    <row r="25">
      <c r="B25" s="49" t="inlineStr">
        <is>
          <t>DO56</t>
        </is>
      </c>
      <c r="C25" s="50" t="inlineStr">
        <is>
          <t>Donelson, Richard T</t>
        </is>
      </c>
      <c r="D25" s="56" t="n">
        <v>221</v>
      </c>
      <c r="E25" s="55" t="n">
        <v>10049</v>
      </c>
      <c r="F25" s="78">
        <f>IF(D25=0,0,E25/D25)</f>
        <v/>
      </c>
      <c r="G25" s="81" t="n">
        <v>63</v>
      </c>
      <c r="H25" s="50" t="inlineStr">
        <is>
          <t>2024 Job Detail Report.pdf (Sage Timberline, 04/03/2026, 285 pages)</t>
        </is>
      </c>
      <c r="I25" s="53" t="n"/>
      <c r="J25" s="53" t="n"/>
    </row>
    <row r="26">
      <c r="B26" s="47" t="inlineStr">
        <is>
          <t>TA96</t>
        </is>
      </c>
      <c r="C26" s="48" t="inlineStr">
        <is>
          <t>Taylor, Evan R</t>
        </is>
      </c>
      <c r="D26" s="69" t="n">
        <v>216</v>
      </c>
      <c r="E26" s="76" t="n">
        <v>3408</v>
      </c>
      <c r="F26" s="82">
        <f>IF(D26=0,0,E26/D26)</f>
        <v/>
      </c>
      <c r="G26" s="80" t="n">
        <v>9</v>
      </c>
      <c r="H26" s="48" t="inlineStr">
        <is>
          <t>2024 Job Detail Report.pdf (Sage Timberline, 04/03/2026, 285 pages)</t>
        </is>
      </c>
    </row>
    <row r="27">
      <c r="B27" s="49" t="inlineStr">
        <is>
          <t>BE54</t>
        </is>
      </c>
      <c r="C27" s="50" t="inlineStr">
        <is>
          <t>Benites Portillo, Marvin E</t>
        </is>
      </c>
      <c r="D27" s="56" t="n">
        <v>210.5</v>
      </c>
      <c r="E27" s="55" t="n">
        <v>2820</v>
      </c>
      <c r="F27" s="78">
        <f>IF(D27=0,0,E27/D27)</f>
        <v/>
      </c>
      <c r="G27" s="81" t="n">
        <v>9</v>
      </c>
      <c r="H27" s="50" t="inlineStr">
        <is>
          <t>2024 Job Detail Report.pdf (Sage Timberline, 04/03/2026, 285 pages)</t>
        </is>
      </c>
      <c r="I27" s="53" t="n"/>
      <c r="J27" s="53" t="n"/>
    </row>
    <row r="28">
      <c r="B28" s="47" t="inlineStr">
        <is>
          <t>NE91</t>
        </is>
      </c>
      <c r="C28" s="48" t="inlineStr">
        <is>
          <t>Newton, Carson T</t>
        </is>
      </c>
      <c r="D28" s="69" t="n">
        <v>156.5</v>
      </c>
      <c r="E28" s="76" t="n">
        <v>2347.5</v>
      </c>
      <c r="F28" s="82">
        <f>IF(D28=0,0,E28/D28)</f>
        <v/>
      </c>
      <c r="G28" s="80" t="n">
        <v>6</v>
      </c>
      <c r="H28" s="48" t="inlineStr">
        <is>
          <t>2024 Job Detail Report.pdf (Sage Timberline, 04/03/2026, 285 pages)</t>
        </is>
      </c>
    </row>
    <row r="29">
      <c r="B29" s="49" t="inlineStr">
        <is>
          <t>VA86</t>
        </is>
      </c>
      <c r="C29" s="50" t="inlineStr">
        <is>
          <t>Vaughan, Tyler J</t>
        </is>
      </c>
      <c r="D29" s="56" t="n">
        <v>137</v>
      </c>
      <c r="E29" s="55" t="n">
        <v>2877</v>
      </c>
      <c r="F29" s="78">
        <f>IF(D29=0,0,E29/D29)</f>
        <v/>
      </c>
      <c r="G29" s="81" t="n">
        <v>9</v>
      </c>
      <c r="H29" s="50" t="inlineStr">
        <is>
          <t>2024 Job Detail Report.pdf (Sage Timberline, 04/03/2026, 285 pages)</t>
        </is>
      </c>
      <c r="I29" s="53" t="n"/>
      <c r="J29" s="53" t="n"/>
    </row>
    <row r="30">
      <c r="B30" s="47" t="inlineStr">
        <is>
          <t>MO69</t>
        </is>
      </c>
      <c r="C30" s="48" t="inlineStr">
        <is>
          <t>Moran Fernandez, Jose</t>
        </is>
      </c>
      <c r="D30" s="69" t="n">
        <v>104</v>
      </c>
      <c r="E30" s="76" t="n">
        <v>1872</v>
      </c>
      <c r="F30" s="82">
        <f>IF(D30=0,0,E30/D30)</f>
        <v/>
      </c>
      <c r="G30" s="80" t="n">
        <v>4</v>
      </c>
      <c r="H30" s="48" t="inlineStr">
        <is>
          <t>2024 Job Detail Report.pdf (Sage Timberline, 04/03/2026, 285 pages)</t>
        </is>
      </c>
    </row>
    <row r="31">
      <c r="B31" s="49" t="inlineStr">
        <is>
          <t>RO16</t>
        </is>
      </c>
      <c r="C31" s="50" t="inlineStr">
        <is>
          <t>Rodriguez Bonilla, Lisandro</t>
        </is>
      </c>
      <c r="D31" s="56" t="n">
        <v>104</v>
      </c>
      <c r="E31" s="55" t="n">
        <v>1520</v>
      </c>
      <c r="F31" s="78">
        <f>IF(D31=0,0,E31/D31)</f>
        <v/>
      </c>
      <c r="G31" s="81" t="n">
        <v>3</v>
      </c>
      <c r="H31" s="50" t="inlineStr">
        <is>
          <t>2024 Job Detail Report.pdf (Sage Timberline, 04/03/2026, 285 pages)</t>
        </is>
      </c>
      <c r="I31" s="53" t="n"/>
      <c r="J31" s="53" t="n"/>
    </row>
    <row r="32">
      <c r="B32" s="47" t="inlineStr">
        <is>
          <t>MO56</t>
        </is>
      </c>
      <c r="C32" s="48" t="inlineStr">
        <is>
          <t>Montenegro, Carlos E</t>
        </is>
      </c>
      <c r="D32" s="69" t="n">
        <v>91.5</v>
      </c>
      <c r="E32" s="76" t="n">
        <v>1555.5</v>
      </c>
      <c r="F32" s="82">
        <f>IF(D32=0,0,E32/D32)</f>
        <v/>
      </c>
      <c r="G32" s="80" t="n">
        <v>5</v>
      </c>
      <c r="H32" s="48" t="inlineStr">
        <is>
          <t>2024 Job Detail Report.pdf (Sage Timberline, 04/03/2026, 285 pages)</t>
        </is>
      </c>
    </row>
    <row r="33">
      <c r="B33" s="49" t="inlineStr">
        <is>
          <t>QU35</t>
        </is>
      </c>
      <c r="C33" s="50" t="inlineStr">
        <is>
          <t>Quintanilla, Esteban R</t>
        </is>
      </c>
      <c r="D33" s="56" t="n">
        <v>91.5</v>
      </c>
      <c r="E33" s="55" t="n">
        <v>3111</v>
      </c>
      <c r="F33" s="78">
        <f>IF(D33=0,0,E33/D33)</f>
        <v/>
      </c>
      <c r="G33" s="81" t="n">
        <v>4</v>
      </c>
      <c r="H33" s="50" t="inlineStr">
        <is>
          <t>2024 Job Detail Report.pdf (Sage Timberline, 04/03/2026, 285 pages)</t>
        </is>
      </c>
      <c r="I33" s="53" t="n"/>
      <c r="J33" s="53" t="n"/>
    </row>
    <row r="34">
      <c r="B34" s="47" t="inlineStr">
        <is>
          <t>MC09</t>
        </is>
      </c>
      <c r="C34" s="48" t="inlineStr">
        <is>
          <t>McCabe, Thomas C</t>
        </is>
      </c>
      <c r="D34" s="69" t="n">
        <v>76</v>
      </c>
      <c r="E34" s="76" t="n">
        <v>1596</v>
      </c>
      <c r="F34" s="82">
        <f>IF(D34=0,0,E34/D34)</f>
        <v/>
      </c>
      <c r="G34" s="80" t="n">
        <v>8</v>
      </c>
      <c r="H34" s="48" t="inlineStr">
        <is>
          <t>2024 Job Detail Report.pdf (Sage Timberline, 04/03/2026, 285 pages)</t>
        </is>
      </c>
    </row>
    <row r="35">
      <c r="B35" s="49" t="inlineStr">
        <is>
          <t>RI87</t>
        </is>
      </c>
      <c r="C35" s="50" t="inlineStr">
        <is>
          <t>Rivera, Jorge A</t>
        </is>
      </c>
      <c r="D35" s="56" t="n">
        <v>64</v>
      </c>
      <c r="E35" s="55" t="n">
        <v>1408</v>
      </c>
      <c r="F35" s="78">
        <f>IF(D35=0,0,E35/D35)</f>
        <v/>
      </c>
      <c r="G35" s="81" t="n">
        <v>4</v>
      </c>
      <c r="H35" s="50" t="inlineStr">
        <is>
          <t>2024 Job Detail Report.pdf (Sage Timberline, 04/03/2026, 285 pages)</t>
        </is>
      </c>
      <c r="I35" s="53" t="n"/>
      <c r="J35" s="53" t="n"/>
    </row>
    <row r="36">
      <c r="B36" s="47" t="inlineStr">
        <is>
          <t>HO14</t>
        </is>
      </c>
      <c r="C36" s="48" t="inlineStr">
        <is>
          <t>Holmes, Anthony R</t>
        </is>
      </c>
      <c r="D36" s="69" t="n">
        <v>62</v>
      </c>
      <c r="E36" s="76" t="n">
        <v>1178</v>
      </c>
      <c r="F36" s="82">
        <f>IF(D36=0,0,E36/D36)</f>
        <v/>
      </c>
      <c r="G36" s="80" t="n">
        <v>2</v>
      </c>
      <c r="H36" s="48" t="inlineStr">
        <is>
          <t>2024 Job Detail Report.pdf (Sage Timberline, 04/03/2026, 285 pages)</t>
        </is>
      </c>
    </row>
    <row r="37">
      <c r="B37" s="49" t="inlineStr">
        <is>
          <t>EL33</t>
        </is>
      </c>
      <c r="C37" s="50" t="inlineStr">
        <is>
          <t>Eliassen, Cory H</t>
        </is>
      </c>
      <c r="D37" s="56" t="n">
        <v>49.5</v>
      </c>
      <c r="E37" s="55" t="n">
        <v>693</v>
      </c>
      <c r="F37" s="78">
        <f>IF(D37=0,0,E37/D37)</f>
        <v/>
      </c>
      <c r="G37" s="81" t="n">
        <v>3</v>
      </c>
      <c r="H37" s="50" t="inlineStr">
        <is>
          <t>2024 Job Detail Report.pdf (Sage Timberline, 04/03/2026, 285 pages)</t>
        </is>
      </c>
      <c r="I37" s="53" t="n"/>
      <c r="J37" s="53" t="n"/>
    </row>
    <row r="38">
      <c r="B38" s="47" t="inlineStr">
        <is>
          <t>HU04</t>
        </is>
      </c>
      <c r="C38" s="48" t="inlineStr">
        <is>
          <t>Hubbard, Dustin R</t>
        </is>
      </c>
      <c r="D38" s="69" t="n">
        <v>43</v>
      </c>
      <c r="E38" s="76" t="n">
        <v>682.5</v>
      </c>
      <c r="F38" s="82">
        <f>IF(D38=0,0,E38/D38)</f>
        <v/>
      </c>
      <c r="G38" s="80" t="n">
        <v>20</v>
      </c>
      <c r="H38" s="48" t="inlineStr">
        <is>
          <t>2024 Job Detail Report.pdf (Sage Timberline, 04/03/2026, 285 pages)</t>
        </is>
      </c>
    </row>
    <row r="39">
      <c r="B39" s="49" t="inlineStr">
        <is>
          <t>AL03</t>
        </is>
      </c>
      <c r="C39" s="50" t="inlineStr">
        <is>
          <t>Alba Jimenez, Jovani</t>
        </is>
      </c>
      <c r="D39" s="56" t="n">
        <v>24</v>
      </c>
      <c r="E39" s="55" t="n">
        <v>384</v>
      </c>
      <c r="F39" s="78">
        <f>IF(D39=0,0,E39/D39)</f>
        <v/>
      </c>
      <c r="G39" s="81" t="n">
        <v>1</v>
      </c>
      <c r="H39" s="50" t="inlineStr">
        <is>
          <t>2024 Job Detail Report.pdf (Sage Timberline, 04/03/2026, 285 pages)</t>
        </is>
      </c>
      <c r="I39" s="53" t="n"/>
      <c r="J39" s="53" t="n"/>
    </row>
    <row r="40">
      <c r="B40" s="47" t="inlineStr">
        <is>
          <t>GO56</t>
        </is>
      </c>
      <c r="C40" s="48" t="inlineStr">
        <is>
          <t>Gonzalez Hernandez, Josue</t>
        </is>
      </c>
      <c r="D40" s="69" t="n">
        <v>21</v>
      </c>
      <c r="E40" s="76" t="n">
        <v>357</v>
      </c>
      <c r="F40" s="82">
        <f>IF(D40=0,0,E40/D40)</f>
        <v/>
      </c>
      <c r="G40" s="80" t="n">
        <v>2</v>
      </c>
      <c r="H40" s="48" t="inlineStr">
        <is>
          <t>2024 Job Detail Report.pdf (Sage Timberline, 04/03/2026, 285 pages)</t>
        </is>
      </c>
    </row>
    <row r="41">
      <c r="B41" s="49" t="inlineStr">
        <is>
          <t>CR79</t>
        </is>
      </c>
      <c r="C41" s="50" t="inlineStr">
        <is>
          <t>Cruz Guzman, Joel A</t>
        </is>
      </c>
      <c r="D41" s="56" t="n">
        <v>16</v>
      </c>
      <c r="E41" s="55" t="n">
        <v>208</v>
      </c>
      <c r="F41" s="78">
        <f>IF(D41=0,0,E41/D41)</f>
        <v/>
      </c>
      <c r="G41" s="81" t="n">
        <v>1</v>
      </c>
      <c r="H41" s="50" t="inlineStr">
        <is>
          <t>2024 Job Detail Report.pdf (Sage Timberline, 04/03/2026, 285 pages)</t>
        </is>
      </c>
      <c r="I41" s="53" t="n"/>
      <c r="J41" s="53" t="n"/>
    </row>
    <row r="42">
      <c r="B42" s="47" t="inlineStr">
        <is>
          <t>WE55</t>
        </is>
      </c>
      <c r="C42" s="48" t="inlineStr">
        <is>
          <t>Wennig, Johnathan M</t>
        </is>
      </c>
      <c r="D42" s="69" t="n">
        <v>16</v>
      </c>
      <c r="E42" s="76" t="n">
        <v>288</v>
      </c>
      <c r="F42" s="82">
        <f>IF(D42=0,0,E42/D42)</f>
        <v/>
      </c>
      <c r="G42" s="80" t="n">
        <v>1</v>
      </c>
      <c r="H42" s="48" t="inlineStr">
        <is>
          <t>2024 Job Detail Report.pdf (Sage Timberline, 04/03/2026, 285 pages)</t>
        </is>
      </c>
    </row>
    <row r="43">
      <c r="B43" s="49" t="inlineStr">
        <is>
          <t>CR87</t>
        </is>
      </c>
      <c r="C43" s="50" t="inlineStr">
        <is>
          <t>Cruz Reyes, Jose</t>
        </is>
      </c>
      <c r="D43" s="56" t="n">
        <v>8</v>
      </c>
      <c r="E43" s="55" t="n">
        <v>120</v>
      </c>
      <c r="F43" s="78">
        <f>IF(D43=0,0,E43/D43)</f>
        <v/>
      </c>
      <c r="G43" s="81" t="n">
        <v>1</v>
      </c>
      <c r="H43" s="50" t="inlineStr">
        <is>
          <t>2024 Job Detail Report.pdf (Sage Timberline, 04/03/2026, 285 pages)</t>
        </is>
      </c>
      <c r="I43" s="53" t="n"/>
      <c r="J43" s="53" t="n"/>
    </row>
    <row r="44">
      <c r="B44" s="47" t="inlineStr">
        <is>
          <t>BA70</t>
        </is>
      </c>
      <c r="C44" s="48" t="inlineStr">
        <is>
          <t>Barnhart, Joseph N</t>
        </is>
      </c>
      <c r="D44" s="69" t="n">
        <v>5</v>
      </c>
      <c r="E44" s="76" t="n">
        <v>191</v>
      </c>
      <c r="F44" s="82">
        <f>IF(D44=0,0,E44/D44)</f>
        <v/>
      </c>
      <c r="G44" s="80" t="n">
        <v>2</v>
      </c>
      <c r="H44" s="48" t="inlineStr">
        <is>
          <t>2024 Job Detail Report.pdf (Sage Timberline, 04/03/2026, 285 pages)</t>
        </is>
      </c>
    </row>
    <row r="45">
      <c r="B45" s="49" t="inlineStr">
        <is>
          <t>GA70</t>
        </is>
      </c>
      <c r="C45" s="50" t="inlineStr">
        <is>
          <t>Garcia, Jordan X</t>
        </is>
      </c>
      <c r="D45" s="56" t="n">
        <v>2</v>
      </c>
      <c r="E45" s="55" t="n">
        <v>48</v>
      </c>
      <c r="F45" s="78">
        <f>IF(D45=0,0,E45/D45)</f>
        <v/>
      </c>
      <c r="G45" s="81" t="n">
        <v>1</v>
      </c>
      <c r="H45" s="50" t="inlineStr">
        <is>
          <t>2024 Job Detail Report.pdf (Sage Timberline, 04/03/2026, 285 pages)</t>
        </is>
      </c>
      <c r="I45" s="53" t="n"/>
      <c r="J45" s="53" t="n"/>
    </row>
    <row r="46">
      <c r="B46" s="74" t="inlineStr">
        <is>
          <t>TOTAL</t>
        </is>
      </c>
      <c r="D46" s="75">
        <f>SUM(D6:D45)</f>
        <v/>
      </c>
      <c r="E46" s="82">
        <f>SUM(E6:E45)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Crew Analytics</t>
        </is>
      </c>
    </row>
    <row r="3" ht="22" customHeight="1">
      <c r="B3" s="44" t="inlineStr">
        <is>
          <t>Team-level labor productivity, concentration, wage dispersion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46" t="inlineStr">
        <is>
          <t>TEAM-LEVEL METRICS</t>
        </is>
      </c>
    </row>
    <row r="6">
      <c r="B6" s="83" t="inlineStr">
        <is>
          <t>Metric</t>
        </is>
      </c>
      <c r="C6" s="84" t="inlineStr">
        <is>
          <t>Value</t>
        </is>
      </c>
      <c r="D6" s="84" t="inlineStr">
        <is>
          <t>Notes</t>
        </is>
      </c>
      <c r="E6" s="84" t="inlineStr">
        <is>
          <t>Source</t>
        </is>
      </c>
    </row>
    <row r="7">
      <c r="B7" s="49" t="inlineStr">
        <is>
          <t>Total Workers</t>
        </is>
      </c>
      <c r="C7" s="81" t="n">
        <v>40</v>
      </c>
      <c r="D7" s="50" t="inlineStr">
        <is>
          <t>Unique payroll IDs</t>
        </is>
      </c>
      <c r="E7" s="50" t="inlineStr">
        <is>
          <t>2024 Job Detail Report.pdf (Sage Timberline, 04/03/2026, 285 pages)</t>
        </is>
      </c>
      <c r="F7" s="53" t="n"/>
      <c r="G7" s="53" t="n"/>
      <c r="H7" s="53" t="n"/>
      <c r="I7" s="53" t="n"/>
      <c r="J7" s="53" t="n"/>
    </row>
    <row r="8">
      <c r="B8" s="47" t="inlineStr">
        <is>
          <t>Total Labor Hours</t>
        </is>
      </c>
      <c r="C8" s="69" t="n">
        <v>17098</v>
      </c>
      <c r="D8" s="48" t="inlineStr">
        <is>
          <t>Sum of codes 100-150</t>
        </is>
      </c>
      <c r="E8" s="48" t="inlineStr">
        <is>
          <t>2024 Job Detail Report.pdf (Sage Timberline, 04/03/2026, 285 pages)</t>
        </is>
      </c>
    </row>
    <row r="9">
      <c r="B9" s="49" t="inlineStr">
        <is>
          <t>Total Gross Pay</t>
        </is>
      </c>
      <c r="C9" s="56" t="n">
        <v>379757.5</v>
      </c>
      <c r="D9" s="50" t="inlineStr">
        <is>
          <t>Sum of codes 100-150</t>
        </is>
      </c>
      <c r="E9" s="50" t="inlineStr">
        <is>
          <t>2024 Job Detail Report.pdf (Sage Timberline, 04/03/2026, 285 pages)</t>
        </is>
      </c>
      <c r="F9" s="53" t="n"/>
      <c r="G9" s="53" t="n"/>
      <c r="H9" s="53" t="n"/>
      <c r="I9" s="53" t="n"/>
      <c r="J9" s="53" t="n"/>
    </row>
    <row r="10">
      <c r="B10" s="47" t="inlineStr">
        <is>
          <t>Blended Gross Wage ($/hr)</t>
        </is>
      </c>
      <c r="C10" s="76" t="n">
        <v>22.21063867118961</v>
      </c>
      <c r="D10" s="48" t="inlineStr">
        <is>
          <t>Labor$ / Hrs (pre-burden)</t>
        </is>
      </c>
      <c r="E10" s="85" t="inlineStr">
        <is>
          <t>Derived</t>
        </is>
      </c>
    </row>
    <row r="11">
      <c r="B11" s="49" t="inlineStr">
        <is>
          <t>Top Worker Hours Share</t>
        </is>
      </c>
      <c r="C11" s="79" t="n">
        <v>0.1014738565914142</v>
      </c>
      <c r="D11" s="50" t="inlineStr">
        <is>
          <t>CA74 Castaneda Martinez, Gustavo (1735 hrs)</t>
        </is>
      </c>
      <c r="E11" s="85" t="inlineStr">
        <is>
          <t>Derived</t>
        </is>
      </c>
      <c r="F11" s="53" t="n"/>
      <c r="G11" s="53" t="n"/>
      <c r="H11" s="53" t="n"/>
      <c r="I11" s="53" t="n"/>
      <c r="J11" s="53" t="n"/>
    </row>
    <row r="12">
      <c r="B12" s="47" t="inlineStr">
        <is>
          <t>Top 5 Workers Hours Share</t>
        </is>
      </c>
      <c r="C12" s="86" t="n">
        <v>0.3735524622762896</v>
      </c>
      <c r="D12" s="48" t="inlineStr">
        <is>
          <t>Concentration metric</t>
        </is>
      </c>
      <c r="E12" s="85" t="inlineStr">
        <is>
          <t>Derived</t>
        </is>
      </c>
    </row>
    <row r="13">
      <c r="B13" s="49" t="inlineStr">
        <is>
          <t>Highest Wage Rate ($/hr)</t>
        </is>
      </c>
      <c r="C13" s="55" t="n">
        <v>45.47058823529412</v>
      </c>
      <c r="D13" s="50" t="inlineStr">
        <is>
          <t>Single-worker blended</t>
        </is>
      </c>
      <c r="E13" s="85" t="inlineStr">
        <is>
          <t>Derived</t>
        </is>
      </c>
      <c r="F13" s="53" t="n"/>
      <c r="G13" s="53" t="n"/>
      <c r="H13" s="53" t="n"/>
      <c r="I13" s="53" t="n"/>
      <c r="J13" s="53" t="n"/>
    </row>
    <row r="14">
      <c r="B14" s="47" t="inlineStr">
        <is>
          <t>Lowest Wage Rate ($/hr)</t>
        </is>
      </c>
      <c r="C14" s="76" t="n">
        <v>13</v>
      </c>
      <c r="D14" s="48" t="inlineStr">
        <is>
          <t>Single-worker blended</t>
        </is>
      </c>
      <c r="E14" s="85" t="inlineStr">
        <is>
          <t>Derived</t>
        </is>
      </c>
    </row>
    <row r="15">
      <c r="B15" s="49" t="inlineStr">
        <is>
          <t>Avg Hours per Worker</t>
        </is>
      </c>
      <c r="C15" s="56" t="n">
        <v>427.45</v>
      </c>
      <c r="D15" s="50" t="inlineStr">
        <is>
          <t>Includes short-tenure</t>
        </is>
      </c>
      <c r="E15" s="85" t="inlineStr">
        <is>
          <t>Derived</t>
        </is>
      </c>
      <c r="F15" s="53" t="n"/>
      <c r="G15" s="53" t="n"/>
      <c r="H15" s="53" t="n"/>
      <c r="I15" s="53" t="n"/>
      <c r="J15" s="53" t="n"/>
    </row>
    <row r="16">
      <c r="B16" s="47" t="inlineStr">
        <is>
          <t>Avg Project Days per Worker</t>
        </is>
      </c>
      <c r="C16" s="69" t="n">
        <v>17.85</v>
      </c>
      <c r="D16" s="48" t="inlineStr">
        <is>
          <t>Mean days</t>
        </is>
      </c>
      <c r="E16" s="85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Productivity Metrics</t>
        </is>
      </c>
    </row>
    <row r="3" ht="22" customHeight="1">
      <c r="B3" s="44" t="inlineStr">
        <is>
          <t>Normalized labor and financial ratios. Per-unit metrics from 116 residential units.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Metric</t>
        </is>
      </c>
      <c r="C5" s="65" t="inlineStr">
        <is>
          <t>Value</t>
        </is>
      </c>
      <c r="D5" s="65" t="inlineStr">
        <is>
          <t>Basis</t>
        </is>
      </c>
      <c r="E5" s="65" t="inlineStr">
        <is>
          <t>Source / Note</t>
        </is>
      </c>
    </row>
    <row r="6">
      <c r="B6" s="47" t="inlineStr">
        <is>
          <t>Revenue per Labor Hour</t>
        </is>
      </c>
      <c r="C6" s="82">
        <f>1811843.0/17098.0</f>
        <v/>
      </c>
      <c r="D6" s="48" t="inlineStr">
        <is>
          <t>Formula</t>
        </is>
      </c>
      <c r="E6" s="48" t="inlineStr">
        <is>
          <t>Rev / Total Hrs</t>
        </is>
      </c>
    </row>
    <row r="7">
      <c r="B7" s="49" t="inlineStr">
        <is>
          <t>Profit per Labor Hour</t>
        </is>
      </c>
      <c r="C7" s="78">
        <f>886408.04/17098.0</f>
        <v/>
      </c>
      <c r="D7" s="50" t="inlineStr">
        <is>
          <t>Formula</t>
        </is>
      </c>
      <c r="E7" s="50" t="inlineStr">
        <is>
          <t>Net Profit / Hrs</t>
        </is>
      </c>
      <c r="F7" s="53" t="n"/>
      <c r="G7" s="53" t="n"/>
      <c r="H7" s="53" t="n"/>
      <c r="I7" s="53" t="n"/>
      <c r="J7" s="53" t="n"/>
    </row>
    <row r="8">
      <c r="B8" s="47" t="inlineStr">
        <is>
          <t>Labor Cost per Hour (blended)</t>
        </is>
      </c>
      <c r="C8" s="82">
        <f>379757.5/17098.0</f>
        <v/>
      </c>
      <c r="D8" s="48" t="inlineStr">
        <is>
          <t>Formula</t>
        </is>
      </c>
      <c r="E8" s="48" t="inlineStr">
        <is>
          <t>Pre-burden</t>
        </is>
      </c>
    </row>
    <row r="9">
      <c r="B9" s="49" t="inlineStr">
        <is>
          <t>Fully-Loaded Labor Rate ($/hr)</t>
        </is>
      </c>
      <c r="C9" s="78">
        <f>(379757.5+167598.54+29136.68)/17098.0</f>
        <v/>
      </c>
      <c r="D9" s="50" t="inlineStr">
        <is>
          <t>Formula</t>
        </is>
      </c>
      <c r="E9" s="50" t="inlineStr">
        <is>
          <t>Incl burden + taxes</t>
        </is>
      </c>
      <c r="F9" s="53" t="n"/>
      <c r="G9" s="53" t="n"/>
      <c r="H9" s="53" t="n"/>
      <c r="I9" s="53" t="n"/>
      <c r="J9" s="53" t="n"/>
    </row>
    <row r="10">
      <c r="B10" s="47" t="inlineStr">
        <is>
          <t>Burden Multiplier</t>
        </is>
      </c>
      <c r="C10" s="87">
        <f>(379757.5+167598.54+29136.68)/379757.5</f>
        <v/>
      </c>
      <c r="D10" s="48" t="inlineStr">
        <is>
          <t>Formula</t>
        </is>
      </c>
      <c r="E10" s="48" t="inlineStr">
        <is>
          <t>Fully-loaded / blended</t>
        </is>
      </c>
    </row>
    <row r="11">
      <c r="B11" s="49" t="inlineStr">
        <is>
          <t>Rough-in Hours (code 120)</t>
        </is>
      </c>
      <c r="C11" s="56" t="n">
        <v>8731</v>
      </c>
      <c r="D11" s="50" t="inlineStr">
        <is>
          <t>JDR</t>
        </is>
      </c>
      <c r="E11" s="50" t="inlineStr">
        <is>
          <t>8731 hrs</t>
        </is>
      </c>
      <c r="F11" s="53" t="n"/>
      <c r="G11" s="53" t="n"/>
      <c r="H11" s="53" t="n"/>
      <c r="I11" s="53" t="n"/>
      <c r="J11" s="53" t="n"/>
    </row>
    <row r="12">
      <c r="B12" s="47" t="inlineStr">
        <is>
          <t>Finish Hours (code 130)</t>
        </is>
      </c>
      <c r="C12" s="69" t="n">
        <v>1150.5</v>
      </c>
      <c r="D12" s="48" t="inlineStr">
        <is>
          <t>JDR</t>
        </is>
      </c>
      <c r="E12" s="48" t="inlineStr">
        <is>
          <t>1150 hrs</t>
        </is>
      </c>
    </row>
    <row r="13">
      <c r="B13" s="49" t="inlineStr">
        <is>
          <t>Rough-in % of Total Hours</t>
        </is>
      </c>
      <c r="C13" s="72">
        <f>8731.0/17098.0</f>
        <v/>
      </c>
      <c r="D13" s="50" t="inlineStr">
        <is>
          <t>Formula</t>
        </is>
      </c>
      <c r="E13" s="50" t="inlineStr">
        <is>
          <t>Code 120 share</t>
        </is>
      </c>
      <c r="F13" s="53" t="n"/>
      <c r="G13" s="53" t="n"/>
      <c r="H13" s="53" t="n"/>
      <c r="I13" s="53" t="n"/>
      <c r="J13" s="53" t="n"/>
    </row>
    <row r="14">
      <c r="B14" s="47" t="inlineStr">
        <is>
          <t>Gross Margin</t>
        </is>
      </c>
      <c r="C14" s="68">
        <f>886408.04/1811843.0</f>
        <v/>
      </c>
      <c r="D14" s="48" t="inlineStr">
        <is>
          <t>Formula</t>
        </is>
      </c>
      <c r="E14" s="48" t="inlineStr">
        <is>
          <t>Net / Revenue</t>
        </is>
      </c>
    </row>
    <row r="15">
      <c r="B15" s="49" t="inlineStr">
        <is>
          <t>Labor % of Revenue</t>
        </is>
      </c>
      <c r="C15" s="72">
        <f>379757.5/1811843.0</f>
        <v/>
      </c>
      <c r="D15" s="50" t="inlineStr">
        <is>
          <t>Formula</t>
        </is>
      </c>
      <c r="E15" s="88" t="inlineStr"/>
      <c r="F15" s="53" t="n"/>
      <c r="G15" s="53" t="n"/>
      <c r="H15" s="53" t="n"/>
      <c r="I15" s="53" t="n"/>
      <c r="J15" s="53" t="n"/>
    </row>
    <row r="16">
      <c r="B16" s="47" t="inlineStr">
        <is>
          <t>Material % of Revenue</t>
        </is>
      </c>
      <c r="C16" s="68">
        <f>336538.34/1811843.0</f>
        <v/>
      </c>
      <c r="D16" s="48" t="inlineStr">
        <is>
          <t>Formula</t>
        </is>
      </c>
      <c r="E16" s="8" t="inlineStr"/>
    </row>
    <row r="17">
      <c r="B17" s="49" t="inlineStr">
        <is>
          <t>Direct Cost Ratio</t>
        </is>
      </c>
      <c r="C17" s="72">
        <f>925434.96/1811843.0</f>
        <v/>
      </c>
      <c r="D17" s="50" t="inlineStr">
        <is>
          <t>Formula</t>
        </is>
      </c>
      <c r="E17" s="50" t="inlineStr">
        <is>
          <t>All expenses / Rev</t>
        </is>
      </c>
      <c r="F17" s="53" t="n"/>
      <c r="G17" s="53" t="n"/>
      <c r="H17" s="53" t="n"/>
      <c r="I17" s="53" t="n"/>
      <c r="J17" s="53" t="n"/>
    </row>
    <row r="18">
      <c r="B18" s="47" t="inlineStr">
        <is>
          <t>Revenue per Unit (116)</t>
        </is>
      </c>
      <c r="C18" s="82">
        <f>1811843.0/116</f>
        <v/>
      </c>
      <c r="D18" s="48" t="inlineStr">
        <is>
          <t>Formula</t>
        </is>
      </c>
      <c r="E18" s="48" t="inlineStr">
        <is>
          <t>116 units (trim PO)</t>
        </is>
      </c>
    </row>
    <row r="19">
      <c r="B19" s="49" t="inlineStr">
        <is>
          <t>Labor Hours per Unit</t>
        </is>
      </c>
      <c r="C19" s="89">
        <f>17098.0/116</f>
        <v/>
      </c>
      <c r="D19" s="50" t="inlineStr">
        <is>
          <t>Formula</t>
        </is>
      </c>
      <c r="E19" s="88" t="inlineStr"/>
      <c r="F19" s="53" t="n"/>
      <c r="G19" s="53" t="n"/>
      <c r="H19" s="53" t="n"/>
      <c r="I19" s="53" t="n"/>
      <c r="J19" s="53" t="n"/>
    </row>
    <row r="20">
      <c r="B20" s="47" t="inlineStr">
        <is>
          <t>Labor Cost per Unit</t>
        </is>
      </c>
      <c r="C20" s="82">
        <f>379757.5/116</f>
        <v/>
      </c>
      <c r="D20" s="48" t="inlineStr">
        <is>
          <t>Formula</t>
        </is>
      </c>
      <c r="E20" s="8" t="inlineStr"/>
    </row>
    <row r="21">
      <c r="B21" s="49" t="inlineStr">
        <is>
          <t>Material Cost per Unit</t>
        </is>
      </c>
      <c r="C21" s="78">
        <f>336538.34/116</f>
        <v/>
      </c>
      <c r="D21" s="50" t="inlineStr">
        <is>
          <t>Formula</t>
        </is>
      </c>
      <c r="E21" s="88" t="inlineStr"/>
      <c r="F21" s="53" t="n"/>
      <c r="G21" s="53" t="n"/>
      <c r="H21" s="53" t="n"/>
      <c r="I21" s="53" t="n"/>
      <c r="J21" s="53" t="n"/>
    </row>
    <row r="22">
      <c r="B22" s="47" t="inlineStr">
        <is>
          <t>Direct Cost per Unit</t>
        </is>
      </c>
      <c r="C22" s="82">
        <f>925434.96/116</f>
        <v/>
      </c>
      <c r="D22" s="48" t="inlineStr">
        <is>
          <t>Formula</t>
        </is>
      </c>
      <c r="E22" s="8" t="inlineStr"/>
    </row>
    <row r="23">
      <c r="B23" s="49" t="inlineStr">
        <is>
          <t>Rough-in Hours per Unit</t>
        </is>
      </c>
      <c r="C23" s="89">
        <f>8731.0/116</f>
        <v/>
      </c>
      <c r="D23" s="50" t="inlineStr">
        <is>
          <t>Formula</t>
        </is>
      </c>
      <c r="E23" s="50" t="inlineStr">
        <is>
          <t>Code 120 / 116</t>
        </is>
      </c>
      <c r="F23" s="53" t="n"/>
      <c r="G23" s="53" t="n"/>
      <c r="H23" s="53" t="n"/>
      <c r="I23" s="53" t="n"/>
      <c r="J2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PO Commitments</t>
        </is>
      </c>
    </row>
    <row r="3" ht="22" customHeight="1">
      <c r="B3" s="44" t="inlineStr">
        <is>
          <t>Inbound contract value (Owner → OWP). Outbound vendor commitments — see Material tab + POs folder.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PO #</t>
        </is>
      </c>
      <c r="C5" s="65" t="inlineStr">
        <is>
          <t>Date</t>
        </is>
      </c>
      <c r="D5" s="65" t="inlineStr">
        <is>
          <t>Issuer</t>
        </is>
      </c>
      <c r="E5" s="65" t="inlineStr">
        <is>
          <t>Type</t>
        </is>
      </c>
      <c r="F5" s="65" t="inlineStr">
        <is>
          <t>Status</t>
        </is>
      </c>
      <c r="G5" s="65" t="inlineStr">
        <is>
          <t>Description</t>
        </is>
      </c>
      <c r="H5" s="65" t="inlineStr">
        <is>
          <t>Amount</t>
        </is>
      </c>
      <c r="I5" s="65" t="inlineStr">
        <is>
          <t>Source</t>
        </is>
      </c>
    </row>
    <row r="6">
      <c r="B6" s="47" t="inlineStr">
        <is>
          <t>100-220002</t>
        </is>
      </c>
      <c r="C6" s="48" t="inlineStr">
        <is>
          <t>2015-04-21 (signed)</t>
        </is>
      </c>
      <c r="D6" s="48" t="inlineStr">
        <is>
          <t>Merrill Gardens at Ballard, LLC</t>
        </is>
      </c>
      <c r="E6" s="48" t="inlineStr">
        <is>
          <t>Lump Sum Subcontract</t>
        </is>
      </c>
      <c r="F6" s="90" t="inlineStr">
        <is>
          <t>Closed (100% billed)</t>
        </is>
      </c>
      <c r="G6" s="48" t="inlineStr">
        <is>
          <t>Merrill Gardens at Ballard plumbing (5601 24th Ave NW) — full scope</t>
        </is>
      </c>
      <c r="H6" s="76" t="n">
        <v>1763480</v>
      </c>
      <c r="I6" s="48" t="inlineStr">
        <is>
          <t>mgb contract brett signed OCR_D.pdf (21-Apr-2015, Lump Sum $1,932,774.08 gross incl $169,294 WSST = $1,763,480 net)</t>
        </is>
      </c>
    </row>
    <row r="7">
      <c r="B7" s="49" t="inlineStr">
        <is>
          <t>COR-02 (CO#1)</t>
        </is>
      </c>
      <c r="C7" s="50" t="inlineStr">
        <is>
          <t>2016-01-11</t>
        </is>
      </c>
      <c r="D7" s="50" t="inlineStr">
        <is>
          <t>Merrill Gardens at Ballard, LLC</t>
        </is>
      </c>
      <c r="E7" s="50" t="inlineStr">
        <is>
          <t>Change Order (COR)</t>
        </is>
      </c>
      <c r="F7" s="90" t="inlineStr">
        <is>
          <t>Executed</t>
        </is>
      </c>
      <c r="G7" s="50" t="inlineStr">
        <is>
          <t>RFI-061 ADDED EYEWASH STATIONS</t>
        </is>
      </c>
      <c r="H7" s="70" t="n">
        <v>3015</v>
      </c>
      <c r="I7" s="50" t="inlineStr">
        <is>
          <t>Change Orders/COR_s/Ballard MG - Outstanding COR_s.xlsx</t>
        </is>
      </c>
      <c r="J7" s="53" t="n"/>
    </row>
    <row r="8">
      <c r="B8" s="47" t="inlineStr">
        <is>
          <t>COR-FX (CO#1)</t>
        </is>
      </c>
      <c r="C8" s="48" t="inlineStr">
        <is>
          <t>2016-01-11</t>
        </is>
      </c>
      <c r="D8" s="48" t="inlineStr">
        <is>
          <t>Merrill Gardens at Ballard, LLC</t>
        </is>
      </c>
      <c r="E8" s="48" t="inlineStr">
        <is>
          <t>Change Order (COR)</t>
        </is>
      </c>
      <c r="F8" s="90" t="inlineStr">
        <is>
          <t>Executed</t>
        </is>
      </c>
      <c r="G8" s="48" t="inlineStr">
        <is>
          <t>ALTERNATE FIXTURE PRICING</t>
        </is>
      </c>
      <c r="H8" s="66" t="n">
        <v>653</v>
      </c>
      <c r="I8" s="48" t="inlineStr">
        <is>
          <t>Change Orders/COR_s/Ballard MG - Outstanding COR_s.xlsx</t>
        </is>
      </c>
    </row>
    <row r="9">
      <c r="B9" s="49" t="inlineStr">
        <is>
          <t>COR-05 (CO#1)</t>
        </is>
      </c>
      <c r="C9" s="50" t="inlineStr">
        <is>
          <t>2016-01-11</t>
        </is>
      </c>
      <c r="D9" s="50" t="inlineStr">
        <is>
          <t>Merrill Gardens at Ballard, LLC</t>
        </is>
      </c>
      <c r="E9" s="50" t="inlineStr">
        <is>
          <t>Change Order (COR)</t>
        </is>
      </c>
      <c r="F9" s="90" t="inlineStr">
        <is>
          <t>Executed</t>
        </is>
      </c>
      <c r="G9" s="50" t="inlineStr">
        <is>
          <t>UPGRADED P-17 SINK</t>
        </is>
      </c>
      <c r="H9" s="70" t="n">
        <v>161</v>
      </c>
      <c r="I9" s="50" t="inlineStr">
        <is>
          <t>Change Orders/COR_s/Ballard MG - Outstanding COR_s.xlsx</t>
        </is>
      </c>
      <c r="J9" s="53" t="n"/>
    </row>
    <row r="10">
      <c r="B10" s="47" t="inlineStr">
        <is>
          <t>COR-06-R1 (CO#2)</t>
        </is>
      </c>
      <c r="C10" s="48" t="inlineStr">
        <is>
          <t>2016-02-18</t>
        </is>
      </c>
      <c r="D10" s="48" t="inlineStr">
        <is>
          <t>Merrill Gardens at Ballard, LLC</t>
        </is>
      </c>
      <c r="E10" s="48" t="inlineStr">
        <is>
          <t>Change Order (COR)</t>
        </is>
      </c>
      <c r="F10" s="90" t="inlineStr">
        <is>
          <t>Executed</t>
        </is>
      </c>
      <c r="G10" s="48" t="inlineStr">
        <is>
          <t>ASI-039-R1 Kitchen Equipment Changes</t>
        </is>
      </c>
      <c r="H10" s="66" t="n">
        <v>1107</v>
      </c>
      <c r="I10" s="48" t="inlineStr">
        <is>
          <t>Change Orders/COR_s/Ballard MG - Outstanding COR_s.xlsx</t>
        </is>
      </c>
    </row>
    <row r="11">
      <c r="B11" s="49" t="inlineStr">
        <is>
          <t>COR-04 (CO#3)</t>
        </is>
      </c>
      <c r="C11" s="50" t="inlineStr">
        <is>
          <t>2016-02-18</t>
        </is>
      </c>
      <c r="D11" s="50" t="inlineStr">
        <is>
          <t>Merrill Gardens at Ballard, LLC</t>
        </is>
      </c>
      <c r="E11" s="50" t="inlineStr">
        <is>
          <t>Change Order (COR)</t>
        </is>
      </c>
      <c r="F11" s="90" t="inlineStr">
        <is>
          <t>Executed</t>
        </is>
      </c>
      <c r="G11" s="50" t="inlineStr">
        <is>
          <t>CHANGE OUT CAST IRON 90'S</t>
        </is>
      </c>
      <c r="H11" s="70" t="n">
        <v>9302</v>
      </c>
      <c r="I11" s="50" t="inlineStr">
        <is>
          <t>Change Orders/COR_s/Ballard MG - Outstanding COR_s.xlsx</t>
        </is>
      </c>
      <c r="J11" s="53" t="n"/>
    </row>
    <row r="12">
      <c r="B12" s="47" t="inlineStr">
        <is>
          <t>COR-09 (CO#3)</t>
        </is>
      </c>
      <c r="C12" s="48" t="inlineStr">
        <is>
          <t>2016-02-18</t>
        </is>
      </c>
      <c r="D12" s="48" t="inlineStr">
        <is>
          <t>Merrill Gardens at Ballard, LLC</t>
        </is>
      </c>
      <c r="E12" s="48" t="inlineStr">
        <is>
          <t>Change Order (COR)</t>
        </is>
      </c>
      <c r="F12" s="90" t="inlineStr">
        <is>
          <t>Executed</t>
        </is>
      </c>
      <c r="G12" s="48" t="inlineStr">
        <is>
          <t>Undermount Kitchen &amp; Bar Sinks</t>
        </is>
      </c>
      <c r="H12" s="66" t="n">
        <v>6842</v>
      </c>
      <c r="I12" s="48" t="inlineStr">
        <is>
          <t>Change Orders/COR_s/Ballard MG - Outstanding COR_s.xlsx</t>
        </is>
      </c>
    </row>
    <row r="13">
      <c r="B13" s="49" t="inlineStr">
        <is>
          <t>COR-01 (CO#4)</t>
        </is>
      </c>
      <c r="C13" s="50" t="inlineStr">
        <is>
          <t>2016-04-20</t>
        </is>
      </c>
      <c r="D13" s="50" t="inlineStr">
        <is>
          <t>Merrill Gardens at Ballard, LLC</t>
        </is>
      </c>
      <c r="E13" s="50" t="inlineStr">
        <is>
          <t>Change Order (COR)</t>
        </is>
      </c>
      <c r="F13" s="90" t="inlineStr">
        <is>
          <t>Executed</t>
        </is>
      </c>
      <c r="G13" s="50" t="inlineStr">
        <is>
          <t>RFI-074 ADD AUTOWASH BOX</t>
        </is>
      </c>
      <c r="H13" s="70" t="n">
        <v>637</v>
      </c>
      <c r="I13" s="50" t="inlineStr">
        <is>
          <t>Change Orders/COR_s/Ballard MG - Outstanding COR_s.xlsx</t>
        </is>
      </c>
      <c r="J13" s="53" t="n"/>
    </row>
    <row r="14">
      <c r="B14" s="47" t="inlineStr">
        <is>
          <t>COR-03 (CO#4)</t>
        </is>
      </c>
      <c r="C14" s="48" t="inlineStr">
        <is>
          <t>2016-04-20</t>
        </is>
      </c>
      <c r="D14" s="48" t="inlineStr">
        <is>
          <t>Merrill Gardens at Ballard, LLC</t>
        </is>
      </c>
      <c r="E14" s="48" t="inlineStr">
        <is>
          <t>Change Order (COR)</t>
        </is>
      </c>
      <c r="F14" s="90" t="inlineStr">
        <is>
          <t>Executed</t>
        </is>
      </c>
      <c r="G14" s="48" t="inlineStr">
        <is>
          <t>RFI-122 MOVE KITCHEN STACKS</t>
        </is>
      </c>
      <c r="H14" s="66" t="n">
        <v>2012</v>
      </c>
      <c r="I14" s="48" t="inlineStr">
        <is>
          <t>Change Orders/COR_s/Ballard MG - Outstanding COR_s.xlsx</t>
        </is>
      </c>
    </row>
    <row r="15">
      <c r="B15" s="49" t="inlineStr">
        <is>
          <t>COR-07 (CO#4)</t>
        </is>
      </c>
      <c r="C15" s="50" t="inlineStr">
        <is>
          <t>2016-04-20</t>
        </is>
      </c>
      <c r="D15" s="50" t="inlineStr">
        <is>
          <t>Merrill Gardens at Ballard, LLC</t>
        </is>
      </c>
      <c r="E15" s="50" t="inlineStr">
        <is>
          <t>Change Order (COR)</t>
        </is>
      </c>
      <c r="F15" s="90" t="inlineStr">
        <is>
          <t>Executed</t>
        </is>
      </c>
      <c r="G15" s="50" t="inlineStr">
        <is>
          <t>RFI-159 Condenser Rack Drain</t>
        </is>
      </c>
      <c r="H15" s="70" t="n">
        <v>271</v>
      </c>
      <c r="I15" s="50" t="inlineStr">
        <is>
          <t>Change Orders/COR_s/Ballard MG - Outstanding COR_s.xlsx</t>
        </is>
      </c>
      <c r="J15" s="53" t="n"/>
    </row>
    <row r="16">
      <c r="B16" s="47" t="inlineStr">
        <is>
          <t>COR-08 (CO#4)</t>
        </is>
      </c>
      <c r="C16" s="48" t="inlineStr">
        <is>
          <t>2016-04-20</t>
        </is>
      </c>
      <c r="D16" s="48" t="inlineStr">
        <is>
          <t>Merrill Gardens at Ballard, LLC</t>
        </is>
      </c>
      <c r="E16" s="48" t="inlineStr">
        <is>
          <t>Change Order (COR)</t>
        </is>
      </c>
      <c r="F16" s="90" t="inlineStr">
        <is>
          <t>Executed</t>
        </is>
      </c>
      <c r="G16" s="48" t="inlineStr">
        <is>
          <t>RFI-162 Added Drinking Fountain</t>
        </is>
      </c>
      <c r="H16" s="66" t="n">
        <v>2020</v>
      </c>
      <c r="I16" s="48" t="inlineStr">
        <is>
          <t>Change Orders/COR_s/Ballard MG - Outstanding COR_s.xlsx</t>
        </is>
      </c>
    </row>
    <row r="17">
      <c r="B17" s="49" t="inlineStr">
        <is>
          <t>COR-10 (CO#4)</t>
        </is>
      </c>
      <c r="C17" s="50" t="inlineStr">
        <is>
          <t>2016-04-20</t>
        </is>
      </c>
      <c r="D17" s="50" t="inlineStr">
        <is>
          <t>Merrill Gardens at Ballard, LLC</t>
        </is>
      </c>
      <c r="E17" s="50" t="inlineStr">
        <is>
          <t>Change Order (COR)</t>
        </is>
      </c>
      <c r="F17" s="90" t="inlineStr">
        <is>
          <t>Executed</t>
        </is>
      </c>
      <c r="G17" s="50" t="inlineStr">
        <is>
          <t>RFI-175 Added Sink</t>
        </is>
      </c>
      <c r="H17" s="70" t="n">
        <v>933</v>
      </c>
      <c r="I17" s="50" t="inlineStr">
        <is>
          <t>Change Orders/COR_s/Ballard MG - Outstanding COR_s.xlsx</t>
        </is>
      </c>
      <c r="J17" s="53" t="n"/>
    </row>
    <row r="18">
      <c r="B18" s="47" t="inlineStr">
        <is>
          <t>COR-11 (CO#4)</t>
        </is>
      </c>
      <c r="C18" s="48" t="inlineStr">
        <is>
          <t>2016-04-20</t>
        </is>
      </c>
      <c r="D18" s="48" t="inlineStr">
        <is>
          <t>Merrill Gardens at Ballard, LLC</t>
        </is>
      </c>
      <c r="E18" s="48" t="inlineStr">
        <is>
          <t>Change Order (COR)</t>
        </is>
      </c>
      <c r="F18" s="90" t="inlineStr">
        <is>
          <t>Executed</t>
        </is>
      </c>
      <c r="G18" s="48" t="inlineStr">
        <is>
          <t>Stolen Fittings &amp; Valves</t>
        </is>
      </c>
      <c r="H18" s="66" t="n">
        <v>1772</v>
      </c>
      <c r="I18" s="48" t="inlineStr">
        <is>
          <t>Change Orders/COR_s/Ballard MG - Outstanding COR_s.xlsx</t>
        </is>
      </c>
    </row>
    <row r="19">
      <c r="B19" s="49" t="inlineStr">
        <is>
          <t>COR-12 (CO#4)</t>
        </is>
      </c>
      <c r="C19" s="50" t="inlineStr">
        <is>
          <t>2016-04-20</t>
        </is>
      </c>
      <c r="D19" s="50" t="inlineStr">
        <is>
          <t>Merrill Gardens at Ballard, LLC</t>
        </is>
      </c>
      <c r="E19" s="50" t="inlineStr">
        <is>
          <t>Change Order (COR)</t>
        </is>
      </c>
      <c r="F19" s="90" t="inlineStr">
        <is>
          <t>Executed</t>
        </is>
      </c>
      <c r="G19" s="50" t="inlineStr">
        <is>
          <t>ASI-045 Level 7 Suite Revision</t>
        </is>
      </c>
      <c r="H19" s="70" t="n">
        <v>21954</v>
      </c>
      <c r="I19" s="50" t="inlineStr">
        <is>
          <t>Change Orders/COR_s/Ballard MG - Outstanding COR_s.xlsx</t>
        </is>
      </c>
      <c r="J19" s="53" t="n"/>
    </row>
    <row r="20">
      <c r="B20" s="47" t="inlineStr">
        <is>
          <t>COR-Kitchen Vent (CO#6)</t>
        </is>
      </c>
      <c r="C20" s="48" t="inlineStr">
        <is>
          <t>2016-06-24</t>
        </is>
      </c>
      <c r="D20" s="48" t="inlineStr">
        <is>
          <t>Merrill Gardens at Ballard, LLC</t>
        </is>
      </c>
      <c r="E20" s="48" t="inlineStr">
        <is>
          <t>Change Order (COR)</t>
        </is>
      </c>
      <c r="F20" s="90" t="inlineStr">
        <is>
          <t>Executed</t>
        </is>
      </c>
      <c r="G20" s="48" t="inlineStr">
        <is>
          <t>Move Vent for Kitchen Exhaust</t>
        </is>
      </c>
      <c r="H20" s="66" t="n">
        <v>517</v>
      </c>
      <c r="I20" s="48" t="inlineStr">
        <is>
          <t>Change Orders/COR_s/Ballard MG - Outstanding COR_s.xlsx</t>
        </is>
      </c>
    </row>
    <row r="21">
      <c r="B21" s="49" t="inlineStr">
        <is>
          <t>COR-15 (CO#7)</t>
        </is>
      </c>
      <c r="C21" s="50" t="inlineStr">
        <is>
          <t>2016-07-14</t>
        </is>
      </c>
      <c r="D21" s="50" t="inlineStr">
        <is>
          <t>Merrill Gardens at Ballard, LLC</t>
        </is>
      </c>
      <c r="E21" s="50" t="inlineStr">
        <is>
          <t>Change Order (COR)</t>
        </is>
      </c>
      <c r="F21" s="90" t="inlineStr">
        <is>
          <t>Executed</t>
        </is>
      </c>
      <c r="G21" s="50" t="inlineStr">
        <is>
          <t>Sink Changes</t>
        </is>
      </c>
      <c r="H21" s="70" t="n">
        <v>732</v>
      </c>
      <c r="I21" s="50" t="inlineStr">
        <is>
          <t>Change Orders/COR_s/Ballard MG - Outstanding COR_s.xlsx</t>
        </is>
      </c>
      <c r="J21" s="53" t="n"/>
    </row>
    <row r="22">
      <c r="B22" s="47" t="inlineStr">
        <is>
          <t>COR-14 (CO#8)</t>
        </is>
      </c>
      <c r="C22" s="48" t="inlineStr">
        <is>
          <t>2016-08-19</t>
        </is>
      </c>
      <c r="D22" s="48" t="inlineStr">
        <is>
          <t>Merrill Gardens at Ballard, LLC</t>
        </is>
      </c>
      <c r="E22" s="48" t="inlineStr">
        <is>
          <t>Change Order (COR)</t>
        </is>
      </c>
      <c r="F22" s="90" t="inlineStr">
        <is>
          <t>Executed</t>
        </is>
      </c>
      <c r="G22" s="48" t="inlineStr">
        <is>
          <t>Attic Stock</t>
        </is>
      </c>
      <c r="H22" s="66" t="n">
        <v>690</v>
      </c>
      <c r="I22" s="48" t="inlineStr">
        <is>
          <t>Change Orders/COR_s/Ballard MG - Outstanding COR_s.xlsx</t>
        </is>
      </c>
    </row>
    <row r="23">
      <c r="B23" s="49" t="inlineStr">
        <is>
          <t>COR-16 (CO#8)</t>
        </is>
      </c>
      <c r="C23" s="50" t="inlineStr">
        <is>
          <t>2016-08-19</t>
        </is>
      </c>
      <c r="D23" s="50" t="inlineStr">
        <is>
          <t>Merrill Gardens at Ballard, LLC</t>
        </is>
      </c>
      <c r="E23" s="50" t="inlineStr">
        <is>
          <t>Change Order (COR)</t>
        </is>
      </c>
      <c r="F23" s="90" t="inlineStr">
        <is>
          <t>Executed</t>
        </is>
      </c>
      <c r="G23" s="50" t="inlineStr">
        <is>
          <t>Eyewash Stations</t>
        </is>
      </c>
      <c r="H23" s="70" t="n">
        <v>2045</v>
      </c>
      <c r="I23" s="50" t="inlineStr">
        <is>
          <t>Change Orders/COR_s/Ballard MG - Outstanding COR_s.xlsx</t>
        </is>
      </c>
      <c r="J23" s="53" t="n"/>
    </row>
    <row r="24">
      <c r="B24" s="47" t="inlineStr">
        <is>
          <t>TOTAL (contract + documented COs)</t>
        </is>
      </c>
      <c r="H24" s="82">
        <f>SUM(H6:H23)</f>
        <v/>
      </c>
    </row>
    <row r="25"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>
      <c r="B26" s="47" t="inlineStr">
        <is>
          <t>NOTE: Documented COs sum to $54,663.00; JDR-implied COs = $48,363.00 (diff $6,300.00 — documented CORs exceed JDR delta by ~$6,300, likely due to CORs that were re-priced or cancelled, and WSST-exclusive pricing vs contract-net figures). Outbound POs: 138+ total (102 completed + 36 scheduled) + extensive Trim PO subfolder.</t>
        </is>
      </c>
      <c r="C26" s="6" t="n"/>
      <c r="D26" s="6" t="n"/>
      <c r="E26" s="6" t="n"/>
      <c r="F26" s="6" t="n"/>
      <c r="G26" s="6" t="n"/>
      <c r="H26" s="6" t="n"/>
      <c r="I26" s="7" t="n"/>
    </row>
  </sheetData>
  <mergeCells count="3">
    <mergeCell ref="B3:J3"/>
    <mergeCell ref="B2:J2"/>
    <mergeCell ref="B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Billing &amp; Schedule of Values</t>
        </is>
      </c>
    </row>
    <row r="3" ht="22" customHeight="1">
      <c r="B3" s="44" t="inlineStr">
        <is>
          <t>18 unique invoices to Merrill Gardens at Ballard, LLC. Retainage $90,592.15 = 5.0% of revenue.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Invoice #</t>
        </is>
      </c>
      <c r="C5" s="65" t="inlineStr">
        <is>
          <t>Date</t>
        </is>
      </c>
      <c r="D5" s="65" t="inlineStr">
        <is>
          <t>Total Billed (signed)</t>
        </is>
      </c>
      <c r="E5" s="65" t="inlineStr">
        <is>
          <t>Retainage (signed)</t>
        </is>
      </c>
      <c r="F5" s="65" t="inlineStr">
        <is>
          <t># Lines</t>
        </is>
      </c>
      <c r="G5" s="65" t="inlineStr">
        <is>
          <t>Source</t>
        </is>
      </c>
    </row>
    <row r="6">
      <c r="B6" s="47" t="inlineStr">
        <is>
          <t>036614</t>
        </is>
      </c>
      <c r="C6" s="48" t="inlineStr">
        <is>
          <t>05/19/15</t>
        </is>
      </c>
      <c r="D6" s="66" t="n">
        <v>-114100</v>
      </c>
      <c r="E6" s="66" t="n">
        <v>-5705</v>
      </c>
      <c r="F6" s="80" t="n">
        <v>4</v>
      </c>
      <c r="G6" s="48" t="inlineStr">
        <is>
          <t>2024 Job Detail Report.pdf (Sage Timberline, 04/03/2026, 285 pages)</t>
        </is>
      </c>
    </row>
    <row r="7">
      <c r="B7" s="49" t="inlineStr">
        <is>
          <t>036622</t>
        </is>
      </c>
      <c r="C7" s="50" t="inlineStr">
        <is>
          <t>06/25/15</t>
        </is>
      </c>
      <c r="D7" s="70" t="n">
        <v>-19000</v>
      </c>
      <c r="E7" s="70" t="n">
        <v>-950</v>
      </c>
      <c r="F7" s="81" t="n">
        <v>1</v>
      </c>
      <c r="G7" s="50" t="inlineStr">
        <is>
          <t>2024 Job Detail Report.pdf (Sage Timberline, 04/03/2026, 285 pages)</t>
        </is>
      </c>
      <c r="H7" s="53" t="n"/>
      <c r="I7" s="53" t="n"/>
      <c r="J7" s="53" t="n"/>
    </row>
    <row r="8">
      <c r="B8" s="47" t="inlineStr">
        <is>
          <t>036629</t>
        </is>
      </c>
      <c r="C8" s="48" t="inlineStr">
        <is>
          <t>07/23/15</t>
        </is>
      </c>
      <c r="D8" s="66" t="n">
        <v>-25700</v>
      </c>
      <c r="E8" s="66" t="n">
        <v>-1285</v>
      </c>
      <c r="F8" s="80" t="n">
        <v>1</v>
      </c>
      <c r="G8" s="48" t="inlineStr">
        <is>
          <t>2024 Job Detail Report.pdf (Sage Timberline, 04/03/2026, 285 pages)</t>
        </is>
      </c>
    </row>
    <row r="9">
      <c r="B9" s="49" t="inlineStr">
        <is>
          <t>036638</t>
        </is>
      </c>
      <c r="C9" s="50" t="inlineStr">
        <is>
          <t>08/25/15</t>
        </is>
      </c>
      <c r="D9" s="70" t="n">
        <v>-89950</v>
      </c>
      <c r="E9" s="70" t="n">
        <v>-4497.5</v>
      </c>
      <c r="F9" s="81" t="n">
        <v>3</v>
      </c>
      <c r="G9" s="50" t="inlineStr">
        <is>
          <t>2024 Job Detail Report.pdf (Sage Timberline, 04/03/2026, 285 pages)</t>
        </is>
      </c>
      <c r="H9" s="53" t="n"/>
      <c r="I9" s="53" t="n"/>
      <c r="J9" s="53" t="n"/>
    </row>
    <row r="10">
      <c r="B10" s="47" t="inlineStr">
        <is>
          <t>036648</t>
        </is>
      </c>
      <c r="C10" s="48" t="inlineStr">
        <is>
          <t>09/25/15</t>
        </is>
      </c>
      <c r="D10" s="66" t="n">
        <v>-321150</v>
      </c>
      <c r="E10" s="66" t="n">
        <v>-16057.5</v>
      </c>
      <c r="F10" s="80" t="n">
        <v>5</v>
      </c>
      <c r="G10" s="48" t="inlineStr">
        <is>
          <t>2024 Job Detail Report.pdf (Sage Timberline, 04/03/2026, 285 pages)</t>
        </is>
      </c>
    </row>
    <row r="11">
      <c r="B11" s="49" t="inlineStr">
        <is>
          <t>036656</t>
        </is>
      </c>
      <c r="C11" s="50" t="inlineStr">
        <is>
          <t>10/22/15</t>
        </is>
      </c>
      <c r="D11" s="70" t="n">
        <v>-446910</v>
      </c>
      <c r="E11" s="70" t="n">
        <v>-22345.5</v>
      </c>
      <c r="F11" s="81" t="n">
        <v>9</v>
      </c>
      <c r="G11" s="50" t="inlineStr">
        <is>
          <t>2024 Job Detail Report.pdf (Sage Timberline, 04/03/2026, 285 pages)</t>
        </is>
      </c>
      <c r="H11" s="53" t="n"/>
      <c r="I11" s="53" t="n"/>
      <c r="J11" s="53" t="n"/>
    </row>
    <row r="12">
      <c r="B12" s="47" t="inlineStr">
        <is>
          <t>036663</t>
        </is>
      </c>
      <c r="C12" s="48" t="inlineStr">
        <is>
          <t>11/23/15</t>
        </is>
      </c>
      <c r="D12" s="66" t="n">
        <v>-156760</v>
      </c>
      <c r="E12" s="66" t="n">
        <v>-7838</v>
      </c>
      <c r="F12" s="80" t="n">
        <v>6</v>
      </c>
      <c r="G12" s="48" t="inlineStr">
        <is>
          <t>2024 Job Detail Report.pdf (Sage Timberline, 04/03/2026, 285 pages)</t>
        </is>
      </c>
    </row>
    <row r="13">
      <c r="B13" s="49" t="inlineStr">
        <is>
          <t>036672</t>
        </is>
      </c>
      <c r="C13" s="50" t="inlineStr">
        <is>
          <t>12/18/15</t>
        </is>
      </c>
      <c r="D13" s="70" t="n">
        <v>-231660</v>
      </c>
      <c r="E13" s="70" t="n">
        <v>-11583</v>
      </c>
      <c r="F13" s="81" t="n">
        <v>10</v>
      </c>
      <c r="G13" s="50" t="inlineStr">
        <is>
          <t>2024 Job Detail Report.pdf (Sage Timberline, 04/03/2026, 285 pages)</t>
        </is>
      </c>
      <c r="H13" s="53" t="n"/>
      <c r="I13" s="53" t="n"/>
      <c r="J13" s="53" t="n"/>
    </row>
    <row r="14">
      <c r="B14" s="47" t="inlineStr">
        <is>
          <t>036679</t>
        </is>
      </c>
      <c r="C14" s="48" t="inlineStr">
        <is>
          <t>01/22/16</t>
        </is>
      </c>
      <c r="D14" s="66" t="n">
        <v>-141050</v>
      </c>
      <c r="E14" s="66" t="n">
        <v>-7052.5</v>
      </c>
      <c r="F14" s="80" t="n">
        <v>6</v>
      </c>
      <c r="G14" s="48" t="inlineStr">
        <is>
          <t>2024 Job Detail Report.pdf (Sage Timberline, 04/03/2026, 285 pages)</t>
        </is>
      </c>
    </row>
    <row r="15">
      <c r="B15" s="49" t="inlineStr">
        <is>
          <t>036687</t>
        </is>
      </c>
      <c r="C15" s="50" t="inlineStr">
        <is>
          <t>02/25/16</t>
        </is>
      </c>
      <c r="D15" s="70" t="n">
        <v>-59829</v>
      </c>
      <c r="E15" s="70" t="n">
        <v>-2991.45</v>
      </c>
      <c r="F15" s="81" t="n">
        <v>10</v>
      </c>
      <c r="G15" s="50" t="inlineStr">
        <is>
          <t>2024 Job Detail Report.pdf (Sage Timberline, 04/03/2026, 285 pages)</t>
        </is>
      </c>
      <c r="H15" s="53" t="n"/>
      <c r="I15" s="53" t="n"/>
      <c r="J15" s="53" t="n"/>
    </row>
    <row r="16">
      <c r="B16" s="47" t="inlineStr">
        <is>
          <t>036699</t>
        </is>
      </c>
      <c r="C16" s="48" t="inlineStr">
        <is>
          <t>03/18/16</t>
        </is>
      </c>
      <c r="D16" s="66" t="n">
        <v>-49480</v>
      </c>
      <c r="E16" s="66" t="n">
        <v>-2474</v>
      </c>
      <c r="F16" s="80" t="n">
        <v>6</v>
      </c>
      <c r="G16" s="48" t="inlineStr">
        <is>
          <t>2024 Job Detail Report.pdf (Sage Timberline, 04/03/2026, 285 pages)</t>
        </is>
      </c>
    </row>
    <row r="17">
      <c r="B17" s="49" t="inlineStr">
        <is>
          <t>036714</t>
        </is>
      </c>
      <c r="C17" s="50" t="inlineStr">
        <is>
          <t>04/25/16</t>
        </is>
      </c>
      <c r="D17" s="70" t="n">
        <v>-56998</v>
      </c>
      <c r="E17" s="70" t="n">
        <v>-2849.9</v>
      </c>
      <c r="F17" s="81" t="n">
        <v>10</v>
      </c>
      <c r="G17" s="50" t="inlineStr">
        <is>
          <t>2024 Job Detail Report.pdf (Sage Timberline, 04/03/2026, 285 pages)</t>
        </is>
      </c>
      <c r="H17" s="53" t="n"/>
      <c r="I17" s="53" t="n"/>
      <c r="J17" s="53" t="n"/>
    </row>
    <row r="18">
      <c r="B18" s="47" t="inlineStr">
        <is>
          <t>036728</t>
        </is>
      </c>
      <c r="C18" s="48" t="inlineStr">
        <is>
          <t>05/24/16</t>
        </is>
      </c>
      <c r="D18" s="66" t="n">
        <v>-55020</v>
      </c>
      <c r="E18" s="66" t="n">
        <v>-2751</v>
      </c>
      <c r="F18" s="80" t="n">
        <v>5</v>
      </c>
      <c r="G18" s="48" t="inlineStr">
        <is>
          <t>2024 Job Detail Report.pdf (Sage Timberline, 04/03/2026, 285 pages)</t>
        </is>
      </c>
    </row>
    <row r="19">
      <c r="B19" s="49" t="inlineStr">
        <is>
          <t>036744</t>
        </is>
      </c>
      <c r="C19" s="50" t="inlineStr">
        <is>
          <t>06/24/16</t>
        </is>
      </c>
      <c r="D19" s="70" t="n">
        <v>-40252</v>
      </c>
      <c r="E19" s="70" t="n">
        <v>-2012.6</v>
      </c>
      <c r="F19" s="81" t="n">
        <v>7</v>
      </c>
      <c r="G19" s="50" t="inlineStr">
        <is>
          <t>2024 Job Detail Report.pdf (Sage Timberline, 04/03/2026, 285 pages)</t>
        </is>
      </c>
      <c r="H19" s="53" t="n"/>
      <c r="I19" s="53" t="n"/>
      <c r="J19" s="53" t="n"/>
    </row>
    <row r="20">
      <c r="B20" s="47" t="inlineStr">
        <is>
          <t>036745</t>
        </is>
      </c>
      <c r="C20" s="48" t="inlineStr">
        <is>
          <t>06/24/16</t>
        </is>
      </c>
      <c r="D20" s="66" t="n">
        <v>40252</v>
      </c>
      <c r="E20" s="66" t="n">
        <v>2012.6</v>
      </c>
      <c r="F20" s="80" t="n">
        <v>7</v>
      </c>
      <c r="G20" s="48" t="inlineStr">
        <is>
          <t>2024 Job Detail Report.pdf (Sage Timberline, 04/03/2026, 285 pages)</t>
        </is>
      </c>
    </row>
    <row r="21">
      <c r="B21" s="49" t="inlineStr">
        <is>
          <t>036746</t>
        </is>
      </c>
      <c r="C21" s="50" t="inlineStr">
        <is>
          <t>06/24/16</t>
        </is>
      </c>
      <c r="D21" s="70" t="n">
        <v>-40769</v>
      </c>
      <c r="E21" s="70" t="n">
        <v>-2038.45</v>
      </c>
      <c r="F21" s="81" t="n">
        <v>8</v>
      </c>
      <c r="G21" s="50" t="inlineStr">
        <is>
          <t>2024 Job Detail Report.pdf (Sage Timberline, 04/03/2026, 285 pages)</t>
        </is>
      </c>
      <c r="H21" s="53" t="n"/>
      <c r="I21" s="53" t="n"/>
      <c r="J21" s="53" t="n"/>
    </row>
    <row r="22">
      <c r="B22" s="47" t="inlineStr">
        <is>
          <t>036758</t>
        </is>
      </c>
      <c r="C22" s="48" t="inlineStr">
        <is>
          <t>07/20/16</t>
        </is>
      </c>
      <c r="D22" s="66" t="n">
        <v>-732</v>
      </c>
      <c r="E22" s="66" t="n">
        <v>-36.6</v>
      </c>
      <c r="F22" s="80" t="n">
        <v>1</v>
      </c>
      <c r="G22" s="48" t="inlineStr">
        <is>
          <t>2024 Job Detail Report.pdf (Sage Timberline, 04/03/2026, 285 pages)</t>
        </is>
      </c>
    </row>
    <row r="23">
      <c r="B23" s="49" t="inlineStr">
        <is>
          <t>036777</t>
        </is>
      </c>
      <c r="C23" s="50" t="inlineStr">
        <is>
          <t>08/22/16</t>
        </is>
      </c>
      <c r="D23" s="70" t="n">
        <v>-2735</v>
      </c>
      <c r="E23" s="70" t="n">
        <v>-136.75</v>
      </c>
      <c r="F23" s="81" t="n">
        <v>2</v>
      </c>
      <c r="G23" s="50" t="inlineStr">
        <is>
          <t>2024 Job Detail Report.pdf (Sage Timberline, 04/03/2026, 285 pages)</t>
        </is>
      </c>
      <c r="H23" s="53" t="n"/>
      <c r="I23" s="53" t="n"/>
      <c r="J23" s="53" t="n"/>
    </row>
    <row r="24">
      <c r="B24" s="47" t="inlineStr">
        <is>
          <t>TOTAL (signed)</t>
        </is>
      </c>
      <c r="D24" s="67">
        <f>SUM(D6:D23)</f>
        <v/>
      </c>
      <c r="E24" s="67">
        <f>SUM(E6:E23)</f>
        <v/>
      </c>
    </row>
    <row r="25"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>
      <c r="B26" s="47" t="inlineStr">
        <is>
          <t>NOTE: AR entries signed negative per Sage convention. Net billed = $1,811,843.00; retainage $90,592.15 outstanding on JDR dated 04/03/2026. First invoice 036614 (05/19/15); last invoice 036777 (08/22/16). Aggregate billing log (MGB AGGREGATE BILLING.xlsx (16 billings + retainage release row, ties to JDR)) shows 16 billings + retainage-release line, 5% retention, 9.6% WSST add-on, with running aggregate ties to the contract ledger.</t>
        </is>
      </c>
      <c r="C26" s="6" t="n"/>
      <c r="D26" s="6" t="n"/>
      <c r="E26" s="6" t="n"/>
      <c r="F26" s="6" t="n"/>
      <c r="G26" s="7" t="n"/>
    </row>
  </sheetData>
  <mergeCells count="3">
    <mergeCell ref="B3:J3"/>
    <mergeCell ref="B2:J2"/>
    <mergeCell ref="B26:G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Insights &amp; Observations</t>
        </is>
      </c>
    </row>
    <row r="3" ht="22" customHeight="1">
      <c r="B3" s="44" t="inlineStr">
        <is>
          <t>Narrative findings from JDR + source documents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#</t>
        </is>
      </c>
      <c r="C5" s="65" t="inlineStr">
        <is>
          <t>Insight</t>
        </is>
      </c>
      <c r="D5" s="65" t="inlineStr">
        <is>
          <t>Detail</t>
        </is>
      </c>
      <c r="E5" s="65" t="inlineStr">
        <is>
          <t>Confidence</t>
        </is>
      </c>
      <c r="F5" s="65" t="inlineStr">
        <is>
          <t>Source</t>
        </is>
      </c>
    </row>
    <row r="6" ht="58" customHeight="1">
      <c r="B6" s="80" t="n">
        <v>1</v>
      </c>
      <c r="C6" s="48" t="inlineStr">
        <is>
          <t>EXCEPTIONAL MARGIN</t>
        </is>
      </c>
      <c r="D6" s="48" t="inlineStr">
        <is>
          <t>Net profit $886,408.04 on $1,811,843.00 revenue = 48.9% gross margin. Materially above typical senior-living plumbing (25-30%).</t>
        </is>
      </c>
      <c r="E6" s="91" t="inlineStr">
        <is>
          <t>Verified</t>
        </is>
      </c>
      <c r="F6" s="48" t="inlineStr">
        <is>
          <t>2024 Job Detail Report.pdf (Sage Timberline, 04/03/2026, 285 pages)</t>
        </is>
      </c>
    </row>
    <row r="7" ht="58" customHeight="1">
      <c r="B7" s="81" t="n">
        <v>2</v>
      </c>
      <c r="C7" s="50" t="inlineStr">
        <is>
          <t>LABOR-HEAVY EXECUTION</t>
        </is>
      </c>
      <c r="D7" s="50" t="inlineStr">
        <is>
          <t>Labor cost $379,757.50 (21.0% of rev) across 17,098.0 hrs and 40 workers. Rough-in (120) = 8731 hrs = 51% of labor.</t>
        </is>
      </c>
      <c r="E7" s="91" t="inlineStr">
        <is>
          <t>Verified</t>
        </is>
      </c>
      <c r="F7" s="50" t="inlineStr">
        <is>
          <t>2024 Job Detail Report.pdf (Sage Timberline, 04/03/2026, 285 pages)</t>
        </is>
      </c>
      <c r="G7" s="53" t="n"/>
      <c r="H7" s="53" t="n"/>
      <c r="I7" s="53" t="n"/>
      <c r="J7" s="53" t="n"/>
    </row>
    <row r="8" ht="58" customHeight="1">
      <c r="B8" s="80" t="n">
        <v>3</v>
      </c>
      <c r="C8" s="48" t="inlineStr">
        <is>
          <t>ROUGH-IN UNDER BUDGET</t>
        </is>
      </c>
      <c r="D8" s="48" t="inlineStr">
        <is>
          <t>Code 120 Rough-in Labor: $164,177.00 actual vs $190,647.00 revised = $-26,470.00 (-13.9%). Disciplined rough-in execution.</t>
        </is>
      </c>
      <c r="E8" s="91" t="inlineStr">
        <is>
          <t>Verified</t>
        </is>
      </c>
      <c r="F8" s="48" t="inlineStr">
        <is>
          <t>2024 Job Detail Report.pdf (Sage Timberline, 04/03/2026, 285 pages)</t>
        </is>
      </c>
    </row>
    <row r="9" ht="58" customHeight="1">
      <c r="B9" s="81" t="n">
        <v>4</v>
      </c>
      <c r="C9" s="50" t="inlineStr">
        <is>
          <t>CONDENSATION DRAINS ANOMALY</t>
        </is>
      </c>
      <c r="D9" s="50" t="inlineStr">
        <is>
          <t>Code 143 Condensation Drains Labor: $20,595 actual vs $46 revised budget (44,681% over). Entire bucket was unbudgeted — scope absorbed without CO re-baseline.</t>
        </is>
      </c>
      <c r="E9" s="91" t="inlineStr">
        <is>
          <t>Verified</t>
        </is>
      </c>
      <c r="F9" s="50" t="inlineStr">
        <is>
          <t>2024 Job Detail Report.pdf (Sage Timberline, 04/03/2026, 285 pages)</t>
        </is>
      </c>
      <c r="G9" s="53" t="n"/>
      <c r="H9" s="53" t="n"/>
      <c r="I9" s="53" t="n"/>
      <c r="J9" s="53" t="n"/>
    </row>
    <row r="10" ht="58" customHeight="1">
      <c r="B10" s="80" t="n">
        <v>5</v>
      </c>
      <c r="C10" s="48" t="inlineStr">
        <is>
          <t>MECH-ROOM MATERIAL BLOWOUT</t>
        </is>
      </c>
      <c r="D10" s="48" t="inlineStr">
        <is>
          <t>Code 242 Mech Room Material: $76,386.17 actual vs $30,622.00 revised = +$45,764.17 (149% over). Mechanical Sales boiler/storage-tank POs (70441, 70420) major contributors.</t>
        </is>
      </c>
      <c r="E10" s="91" t="inlineStr">
        <is>
          <t>Verified</t>
        </is>
      </c>
      <c r="F10" s="48" t="inlineStr">
        <is>
          <t>2024 Job Detail Report.pdf (Sage Timberline, 04/03/2026, 285 pages) + PO folder</t>
        </is>
      </c>
    </row>
    <row r="11" ht="58" customHeight="1">
      <c r="B11" s="81" t="n">
        <v>6</v>
      </c>
      <c r="C11" s="50" t="inlineStr">
        <is>
          <t>FINISH MATERIAL UNDER-RUN</t>
        </is>
      </c>
      <c r="D11" s="50" t="inlineStr">
        <is>
          <t>Code 230 Finish Material: $70,943.89 actual vs $276,405.00 = $-205,461.11 (-74.3% under). Primary profit driver.</t>
        </is>
      </c>
      <c r="E11" s="91" t="inlineStr">
        <is>
          <t>Verified</t>
        </is>
      </c>
      <c r="F11" s="50" t="inlineStr">
        <is>
          <t>2024 Job Detail Report.pdf (Sage Timberline, 04/03/2026, 285 pages)</t>
        </is>
      </c>
      <c r="G11" s="53" t="n"/>
      <c r="H11" s="53" t="n"/>
      <c r="I11" s="53" t="n"/>
      <c r="J11" s="53" t="n"/>
    </row>
    <row r="12" ht="58" customHeight="1">
      <c r="B12" s="80" t="n">
        <v>7</v>
      </c>
      <c r="C12" s="48" t="inlineStr">
        <is>
          <t>BURDEN-HEAVY</t>
        </is>
      </c>
      <c r="D12" s="48" t="inlineStr">
        <is>
          <t>Payroll Burden $167,598.54 + Taxes $29,136.68 = $196,735.22 = 51.8% of gross labor. Burden multiplier = 1.52x.</t>
        </is>
      </c>
      <c r="E12" s="91" t="inlineStr">
        <is>
          <t>Verified</t>
        </is>
      </c>
      <c r="F12" s="48" t="inlineStr">
        <is>
          <t>2024 Job Detail Report.pdf (Sage Timberline, 04/03/2026, 285 pages)</t>
        </is>
      </c>
    </row>
    <row r="13" ht="58" customHeight="1">
      <c r="B13" s="81" t="n">
        <v>8</v>
      </c>
      <c r="C13" s="50" t="inlineStr">
        <is>
          <t>TOP-WORKER CONCENTRATION</t>
        </is>
      </c>
      <c r="D13" s="50" t="inlineStr">
        <is>
          <t>Castaneda Martinez, Gustavo (ID CA74) logged 1735 hrs = 10.1% of project labor. Top 5 workers = 37.4%.</t>
        </is>
      </c>
      <c r="E13" s="91" t="inlineStr">
        <is>
          <t>Verified</t>
        </is>
      </c>
      <c r="F13" s="50" t="inlineStr">
        <is>
          <t>2024 Job Detail Report.pdf (Sage Timberline, 04/03/2026, 285 pages)</t>
        </is>
      </c>
      <c r="G13" s="53" t="n"/>
      <c r="H13" s="53" t="n"/>
      <c r="I13" s="53" t="n"/>
      <c r="J13" s="53" t="n"/>
    </row>
    <row r="14" ht="58" customHeight="1">
      <c r="B14" s="80" t="n">
        <v>9</v>
      </c>
      <c r="C14" s="48" t="inlineStr">
        <is>
          <t>VENDOR CONCENTRATION</t>
        </is>
      </c>
      <c r="D14" s="48" t="inlineStr">
        <is>
          <t>Top vendor Rosen Supply Company, Inc. $MG-Ballard ($102,072.49). Rosen Supply dominates material spend.</t>
        </is>
      </c>
      <c r="E14" s="91" t="inlineStr">
        <is>
          <t>Verified</t>
        </is>
      </c>
      <c r="F14" s="48" t="inlineStr">
        <is>
          <t>2024 Job Detail Report.pdf (Sage Timberline, 04/03/2026, 285 pages)</t>
        </is>
      </c>
    </row>
    <row r="15" ht="58" customHeight="1">
      <c r="B15" s="81" t="n">
        <v>10</v>
      </c>
      <c r="C15" s="50" t="inlineStr">
        <is>
          <t>CO DOCUMENT QUALITY</t>
        </is>
      </c>
      <c r="D15" s="50" t="inlineStr">
        <is>
          <t>Original $1,763,480.00 → Final $1,811,843.00 = +$48,363.00 (2.74%). 17 CORs documented with $ amounts (sum $54,663.00) — exceeds JDR delta by $6,300.00 (COR repricing/cancellations + WSST add-on).</t>
        </is>
      </c>
      <c r="E15" s="91" t="inlineStr">
        <is>
          <t>Verified</t>
        </is>
      </c>
      <c r="F15" s="50" t="inlineStr">
        <is>
          <t>Change Orders/COR_s/Ballard MG - Outstanding COR_s.xlsx</t>
        </is>
      </c>
      <c r="G15" s="53" t="n"/>
      <c r="H15" s="53" t="n"/>
      <c r="I15" s="53" t="n"/>
      <c r="J15" s="53" t="n"/>
    </row>
    <row r="16" ht="58" customHeight="1">
      <c r="B16" s="80" t="n">
        <v>11</v>
      </c>
      <c r="C16" s="48" t="inlineStr">
        <is>
          <t>RETAINAGE OUTSTANDING</t>
        </is>
      </c>
      <c r="D16" s="48" t="inlineStr">
        <is>
          <t>Retainage $90,592.15 still open on JDR dated 04/03/2026, 9+ years after last billing 08/22/2016. Row 17 of aggregate billing worksheet shows retainage release line at zero — may indicate open dispute.</t>
        </is>
      </c>
      <c r="E16" s="91" t="inlineStr">
        <is>
          <t>Verified</t>
        </is>
      </c>
      <c r="F16" s="48" t="inlineStr">
        <is>
          <t>2024 Job Detail Report.pdf (Sage Timberline, 04/03/2026, 285 pages) + MGB AGGREGATE BILLING.xlsx (16 billings + retainage release row, ties to JDR)</t>
        </is>
      </c>
    </row>
    <row r="17" ht="58" customHeight="1">
      <c r="B17" s="81" t="n">
        <v>12</v>
      </c>
      <c r="C17" s="50" t="inlineStr">
        <is>
          <t>CLEAN COORDINATION</t>
        </is>
      </c>
      <c r="D17" s="50" t="inlineStr">
        <is>
          <t>Only 52 ASI-RFIs logged — moderate for a 116-unit senior-living project. Urbal Architecture response quality visible in RESPONSES/ subfolder.</t>
        </is>
      </c>
      <c r="E17" s="91" t="inlineStr">
        <is>
          <t>Verified</t>
        </is>
      </c>
      <c r="F17" s="50" t="inlineStr">
        <is>
          <t>ASI-RFI folder</t>
        </is>
      </c>
      <c r="G17" s="53" t="n"/>
      <c r="H17" s="53" t="n"/>
      <c r="I17" s="53" t="n"/>
      <c r="J17" s="53" t="n"/>
    </row>
    <row r="18" ht="58" customHeight="1">
      <c r="B18" s="80" t="n">
        <v>13</v>
      </c>
      <c r="C18" s="48" t="inlineStr">
        <is>
          <t>COMPLETE CLOSEOUT PACKAGE</t>
        </is>
      </c>
      <c r="D18" s="48" t="inlineStr">
        <is>
          <t>O&amp;M_s/ folder, vendor lien waivers/, Insurance/, Zoeller Startup Report, 2016 Uponor Warranty PDF, OWP Ballard warranty doc all present — thorough project turnover.</t>
        </is>
      </c>
      <c r="E18" s="91" t="inlineStr">
        <is>
          <t>Verified</t>
        </is>
      </c>
      <c r="F18" s="48" t="inlineStr">
        <is>
          <t>Root folder scan</t>
        </is>
      </c>
    </row>
    <row r="19" ht="58" customHeight="1">
      <c r="B19" s="81" t="n">
        <v>14</v>
      </c>
      <c r="C19" s="50" t="inlineStr">
        <is>
          <t>BID-LEVEL FIXTURE DETAIL</t>
        </is>
      </c>
      <c r="D19" s="50" t="inlineStr">
        <is>
          <t>Fixture submittal XLSX documents 7 residential fixture tags (P-1..P-7) + 12+ common/amenity tags. Trim PO for 116 WP B872 toilet bowls sets the residential unit count.</t>
        </is>
      </c>
      <c r="E19" s="91" t="inlineStr">
        <is>
          <t>Verified</t>
        </is>
      </c>
      <c r="F19" s="50" t="inlineStr">
        <is>
          <t>Submittals/FIXTURE SUBMITTALS/BALLARD MERRILL GARDENS FIXTURE SUBMITTAL CONTENTS.xlsx</t>
        </is>
      </c>
      <c r="G19" s="53" t="n"/>
      <c r="H19" s="53" t="n"/>
      <c r="I19" s="53" t="n"/>
      <c r="J19" s="53" t="n"/>
    </row>
    <row r="20" ht="58" customHeight="1">
      <c r="B20" s="80" t="n">
        <v>15</v>
      </c>
      <c r="C20" s="48" t="inlineStr">
        <is>
          <t>RICH SOV TRACE</t>
        </is>
      </c>
      <c r="D20" s="48" t="inlineStr">
        <is>
          <t>Aggregate billing worksheet ties to JDR: Total before retention = $1,811,843 (= revenue); retention = $90,592.15 (= JDR retainage); WSST 9.6% = $173,937; gross due $1,985,780.</t>
        </is>
      </c>
      <c r="E20" s="91" t="inlineStr">
        <is>
          <t>Verified</t>
        </is>
      </c>
      <c r="F20" s="48" t="inlineStr">
        <is>
          <t>MGB AGGREGATE BILLING.xlsx (16 billings + retainage release row, ties to JDR)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Benchmark KPIs</t>
        </is>
      </c>
    </row>
    <row r="3" ht="22" customHeight="1">
      <c r="B3" s="44" t="inlineStr">
        <is>
          <t>Normalized metrics for cross-project comparison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KPI</t>
        </is>
      </c>
      <c r="C5" s="65" t="inlineStr">
        <is>
          <t>Data Name</t>
        </is>
      </c>
      <c r="D5" s="65" t="inlineStr">
        <is>
          <t>Value</t>
        </is>
      </c>
      <c r="E5" s="65" t="inlineStr">
        <is>
          <t>Category</t>
        </is>
      </c>
      <c r="F5" s="65" t="inlineStr">
        <is>
          <t>Notes</t>
        </is>
      </c>
      <c r="G5" s="65" t="inlineStr">
        <is>
          <t>Confidence</t>
        </is>
      </c>
      <c r="H5" s="65" t="inlineStr">
        <is>
          <t>Source Document</t>
        </is>
      </c>
    </row>
    <row r="6">
      <c r="B6" s="47" t="inlineStr">
        <is>
          <t>Job Number</t>
        </is>
      </c>
      <c r="C6" s="48" t="inlineStr">
        <is>
          <t>job_number</t>
        </is>
      </c>
      <c r="D6" s="48" t="inlineStr">
        <is>
          <t>2024</t>
        </is>
      </c>
      <c r="E6" s="48" t="inlineStr">
        <is>
          <t>Profile</t>
        </is>
      </c>
      <c r="F6" s="48" t="inlineStr">
        <is>
          <t>OWP job ID</t>
        </is>
      </c>
      <c r="G6" s="91" t="inlineStr">
        <is>
          <t>Verified</t>
        </is>
      </c>
      <c r="H6" s="48" t="inlineStr">
        <is>
          <t>2024 Job Detail Report.pdf (Sage Timberline, 04/03/2026, 285 pages)</t>
        </is>
      </c>
    </row>
    <row r="7">
      <c r="B7" s="49" t="inlineStr">
        <is>
          <t>Job Name</t>
        </is>
      </c>
      <c r="C7" s="50" t="inlineStr">
        <is>
          <t>job_name</t>
        </is>
      </c>
      <c r="D7" s="50" t="inlineStr">
        <is>
          <t>SRM, Ballard Merrill Gardens</t>
        </is>
      </c>
      <c r="E7" s="50" t="inlineStr">
        <is>
          <t>Profile</t>
        </is>
      </c>
      <c r="F7" s="50" t="inlineStr">
        <is>
          <t>Sage short name</t>
        </is>
      </c>
      <c r="G7" s="91" t="inlineStr">
        <is>
          <t>Verified</t>
        </is>
      </c>
      <c r="H7" s="50" t="inlineStr">
        <is>
          <t>2024 Job Detail Report.pdf (Sage Timberline, 04/03/2026, 285 pages)</t>
        </is>
      </c>
      <c r="I7" s="53" t="n"/>
      <c r="J7" s="53" t="n"/>
    </row>
    <row r="8">
      <c r="B8" s="47" t="inlineStr">
        <is>
          <t>Project Description</t>
        </is>
      </c>
      <c r="C8" s="48" t="inlineStr">
        <is>
          <t>project_desc</t>
        </is>
      </c>
      <c r="D8" s="48" t="inlineStr">
        <is>
          <t>Merrill Gardens at Ballard (senior living)</t>
        </is>
      </c>
      <c r="E8" s="48" t="inlineStr">
        <is>
          <t>Profile</t>
        </is>
      </c>
      <c r="F8" s="48" t="inlineStr">
        <is>
          <t>Contract + submittal contents</t>
        </is>
      </c>
      <c r="G8" s="91" t="inlineStr">
        <is>
          <t>Verified</t>
        </is>
      </c>
      <c r="H8" s="48" t="inlineStr">
        <is>
          <t>mgb contract brett signed OCR_D.pdf (21-Apr-2015, Lump Sum $1,932,774.08 gross incl $169,294 WSST = $1,763,480 net)</t>
        </is>
      </c>
    </row>
    <row r="9">
      <c r="B9" s="49" t="inlineStr">
        <is>
          <t>Contract Counterparty</t>
        </is>
      </c>
      <c r="C9" s="50" t="inlineStr">
        <is>
          <t>counterparty</t>
        </is>
      </c>
      <c r="D9" s="50" t="inlineStr">
        <is>
          <t>Merrill Gardens at Ballard, LLC</t>
        </is>
      </c>
      <c r="E9" s="50" t="inlineStr">
        <is>
          <t>Profile</t>
        </is>
      </c>
      <c r="F9" s="50" t="inlineStr">
        <is>
          <t>Customer 2024MG</t>
        </is>
      </c>
      <c r="G9" s="91" t="inlineStr">
        <is>
          <t>Verified</t>
        </is>
      </c>
      <c r="H9" s="50" t="inlineStr">
        <is>
          <t>mgb contract brett signed OCR_D.pdf (21-Apr-2015, Lump Sum $1,932,774.08 gross incl $169,294 WSST = $1,763,480 net)</t>
        </is>
      </c>
      <c r="I9" s="53" t="n"/>
      <c r="J9" s="53" t="n"/>
    </row>
    <row r="10">
      <c r="B10" s="47" t="inlineStr">
        <is>
          <t>Parent Owner / Developer</t>
        </is>
      </c>
      <c r="C10" s="48" t="inlineStr">
        <is>
          <t>parent_owner</t>
        </is>
      </c>
      <c r="D10" s="48" t="inlineStr">
        <is>
          <t>SRM Development Corp / Merrill Gardens (Spokane)</t>
        </is>
      </c>
      <c r="E10" s="48" t="inlineStr">
        <is>
          <t>Profile</t>
        </is>
      </c>
      <c r="F10" s="48" t="inlineStr">
        <is>
          <t>Per contract address</t>
        </is>
      </c>
      <c r="G10" s="91" t="inlineStr">
        <is>
          <t>Verified</t>
        </is>
      </c>
      <c r="H10" s="48" t="inlineStr">
        <is>
          <t>mgb contract brett signed OCR_D.pdf (21-Apr-2015, Lump Sum $1,932,774.08 gross incl $169,294 WSST = $1,763,480 net)</t>
        </is>
      </c>
    </row>
    <row r="11">
      <c r="B11" s="49" t="inlineStr">
        <is>
          <t>Architect</t>
        </is>
      </c>
      <c r="C11" s="50" t="inlineStr">
        <is>
          <t>architect</t>
        </is>
      </c>
      <c r="D11" s="50" t="inlineStr">
        <is>
          <t>Urbal Architecture (Seattle)</t>
        </is>
      </c>
      <c r="E11" s="50" t="inlineStr">
        <is>
          <t>Profile</t>
        </is>
      </c>
      <c r="F11" s="50" t="inlineStr">
        <is>
          <t>Per contract</t>
        </is>
      </c>
      <c r="G11" s="91" t="inlineStr">
        <is>
          <t>Verified</t>
        </is>
      </c>
      <c r="H11" s="50" t="inlineStr">
        <is>
          <t>mgb contract brett signed OCR_D.pdf (21-Apr-2015, Lump Sum $1,932,774.08 gross incl $169,294 WSST = $1,763,480 net)</t>
        </is>
      </c>
      <c r="I11" s="53" t="n"/>
      <c r="J11" s="53" t="n"/>
    </row>
    <row r="12">
      <c r="B12" s="47" t="inlineStr">
        <is>
          <t>Location</t>
        </is>
      </c>
      <c r="C12" s="48" t="inlineStr">
        <is>
          <t>location</t>
        </is>
      </c>
      <c r="D12" s="48" t="inlineStr">
        <is>
          <t>5601 24th Ave NW, Seattle, WA 98107</t>
        </is>
      </c>
      <c r="E12" s="48" t="inlineStr">
        <is>
          <t>Profile</t>
        </is>
      </c>
      <c r="F12" s="48" t="inlineStr">
        <is>
          <t>Contract address</t>
        </is>
      </c>
      <c r="G12" s="91" t="inlineStr">
        <is>
          <t>Verified</t>
        </is>
      </c>
      <c r="H12" s="48" t="inlineStr">
        <is>
          <t>mgb contract brett signed OCR_D.pdf (21-Apr-2015, Lump Sum $1,932,774.08 gross incl $169,294 WSST = $1,763,480 net)</t>
        </is>
      </c>
    </row>
    <row r="13">
      <c r="B13" s="49" t="inlineStr">
        <is>
          <t>Project Type</t>
        </is>
      </c>
      <c r="C13" s="50" t="inlineStr">
        <is>
          <t>project_type</t>
        </is>
      </c>
      <c r="D13" s="50" t="inlineStr">
        <is>
          <t>Senior Living New Construction — Plumbing (~116 units)</t>
        </is>
      </c>
      <c r="E13" s="50" t="inlineStr">
        <is>
          <t>Profile</t>
        </is>
      </c>
      <c r="F13" s="50" t="inlineStr">
        <is>
          <t>Trim PO count</t>
        </is>
      </c>
      <c r="G13" s="91" t="inlineStr">
        <is>
          <t>Verified</t>
        </is>
      </c>
      <c r="H13" s="50" t="inlineStr">
        <is>
          <t>Trim PO_s</t>
        </is>
      </c>
      <c r="I13" s="53" t="n"/>
      <c r="J13" s="53" t="n"/>
    </row>
    <row r="14">
      <c r="B14" s="47" t="inlineStr">
        <is>
          <t>Work Start Date</t>
        </is>
      </c>
      <c r="C14" s="48" t="inlineStr">
        <is>
          <t>start_date</t>
        </is>
      </c>
      <c r="D14" s="48" t="inlineStr">
        <is>
          <t>2015-04-21 (contract) / 2015-05-19 (first inv)</t>
        </is>
      </c>
      <c r="E14" s="48" t="inlineStr">
        <is>
          <t>Profile</t>
        </is>
      </c>
      <c r="F14" s="48" t="inlineStr">
        <is>
          <t>Contract + AR</t>
        </is>
      </c>
      <c r="G14" s="91" t="inlineStr">
        <is>
          <t>Verified</t>
        </is>
      </c>
      <c r="H14" s="48" t="inlineStr">
        <is>
          <t>2024 Job Detail Report.pdf (Sage Timberline, 04/03/2026, 285 pages)</t>
        </is>
      </c>
    </row>
    <row r="15">
      <c r="B15" s="49" t="inlineStr">
        <is>
          <t>Work End Date</t>
        </is>
      </c>
      <c r="C15" s="50" t="inlineStr">
        <is>
          <t>end_date</t>
        </is>
      </c>
      <c r="D15" s="50" t="inlineStr">
        <is>
          <t>2016-08-22</t>
        </is>
      </c>
      <c r="E15" s="50" t="inlineStr">
        <is>
          <t>Profile</t>
        </is>
      </c>
      <c r="F15" s="50" t="inlineStr">
        <is>
          <t>Last AR posting</t>
        </is>
      </c>
      <c r="G15" s="91" t="inlineStr">
        <is>
          <t>Verified</t>
        </is>
      </c>
      <c r="H15" s="50" t="inlineStr">
        <is>
          <t>2024 Job Detail Report.pdf (Sage Timberline, 04/03/2026, 285 pages)</t>
        </is>
      </c>
      <c r="I15" s="53" t="n"/>
      <c r="J15" s="53" t="n"/>
    </row>
    <row r="16">
      <c r="B16" s="47" t="inlineStr">
        <is>
          <t>Duration (months)</t>
        </is>
      </c>
      <c r="C16" s="48" t="inlineStr">
        <is>
          <t>duration_months</t>
        </is>
      </c>
      <c r="D16" s="69" t="n">
        <v>15.1</v>
      </c>
      <c r="E16" s="48" t="inlineStr">
        <is>
          <t>Profile</t>
        </is>
      </c>
      <c r="F16" s="48" t="inlineStr">
        <is>
          <t>First→last invoice</t>
        </is>
      </c>
      <c r="G16" s="91" t="inlineStr">
        <is>
          <t>Verified</t>
        </is>
      </c>
      <c r="H16" s="85" t="inlineStr">
        <is>
          <t>Derived</t>
        </is>
      </c>
    </row>
    <row r="17">
      <c r="B17" s="49" t="inlineStr">
        <is>
          <t>Unit Count</t>
        </is>
      </c>
      <c r="C17" s="50" t="inlineStr">
        <is>
          <t>unit_count</t>
        </is>
      </c>
      <c r="D17" s="81" t="n">
        <v>116</v>
      </c>
      <c r="E17" s="50" t="inlineStr">
        <is>
          <t>Profile</t>
        </is>
      </c>
      <c r="F17" s="50" t="inlineStr">
        <is>
          <t>Residential unit count inferred from Ballard TRIM - KELLER - TOILETS ONLY.xlsx (116 Western Pottery B872 toilet bowls)</t>
        </is>
      </c>
      <c r="G17" s="91" t="inlineStr">
        <is>
          <t>Verified</t>
        </is>
      </c>
      <c r="H17" s="50" t="inlineStr">
        <is>
          <t>Trim PO_s</t>
        </is>
      </c>
      <c r="I17" s="53" t="n"/>
      <c r="J17" s="53" t="n"/>
    </row>
    <row r="18">
      <c r="B18" s="47" t="inlineStr">
        <is>
          <t>Contract Original (net of WSST)</t>
        </is>
      </c>
      <c r="C18" s="48" t="inlineStr">
        <is>
          <t>contract_original</t>
        </is>
      </c>
      <c r="D18" s="76" t="n">
        <v>1763480</v>
      </c>
      <c r="E18" s="48" t="inlineStr">
        <is>
          <t>Financial</t>
        </is>
      </c>
      <c r="F18" s="48" t="inlineStr">
        <is>
          <t>Per JDR code 999 Orig</t>
        </is>
      </c>
      <c r="G18" s="91" t="inlineStr">
        <is>
          <t>Verified</t>
        </is>
      </c>
      <c r="H18" s="48" t="inlineStr">
        <is>
          <t>mgb contract brett signed OCR_D.pdf (21-Apr-2015, Lump Sum $1,932,774.08 gross incl $169,294 WSST = $1,763,480 net) / 2024 Job Detail Report.pdf (Sage Timberline, 04/03/2026, 285 pages)</t>
        </is>
      </c>
    </row>
    <row r="19">
      <c r="B19" s="49" t="inlineStr">
        <is>
          <t>Contract Gross (incl WSST)</t>
        </is>
      </c>
      <c r="C19" s="50" t="inlineStr">
        <is>
          <t>contract_gross</t>
        </is>
      </c>
      <c r="D19" s="55" t="n">
        <v>1932774.08</v>
      </c>
      <c r="E19" s="50" t="inlineStr">
        <is>
          <t>Financial</t>
        </is>
      </c>
      <c r="F19" s="50" t="inlineStr">
        <is>
          <t>Contract face value incl 9.6% WSST</t>
        </is>
      </c>
      <c r="G19" s="91" t="inlineStr">
        <is>
          <t>Verified</t>
        </is>
      </c>
      <c r="H19" s="50" t="inlineStr">
        <is>
          <t>mgb contract brett signed OCR_D.pdf (21-Apr-2015, Lump Sum $1,932,774.08 gross incl $169,294 WSST = $1,763,480 net)</t>
        </is>
      </c>
      <c r="I19" s="53" t="n"/>
      <c r="J19" s="53" t="n"/>
    </row>
    <row r="20">
      <c r="B20" s="47" t="inlineStr">
        <is>
          <t>WSST Rate</t>
        </is>
      </c>
      <c r="C20" s="48" t="inlineStr">
        <is>
          <t>wsst_rate</t>
        </is>
      </c>
      <c r="D20" s="92" t="n">
        <v>0.096</v>
      </c>
      <c r="E20" s="48" t="inlineStr">
        <is>
          <t>Financial</t>
        </is>
      </c>
      <c r="F20" s="48" t="inlineStr">
        <is>
          <t>9.6% Seattle</t>
        </is>
      </c>
      <c r="G20" s="91" t="inlineStr">
        <is>
          <t>Verified</t>
        </is>
      </c>
      <c r="H20" s="48" t="inlineStr">
        <is>
          <t>mgb contract brett signed OCR_D.pdf (21-Apr-2015, Lump Sum $1,932,774.08 gross incl $169,294 WSST = $1,763,480 net)</t>
        </is>
      </c>
    </row>
    <row r="21">
      <c r="B21" s="49" t="inlineStr">
        <is>
          <t>Contract Final</t>
        </is>
      </c>
      <c r="C21" s="50" t="inlineStr">
        <is>
          <t>contract_final</t>
        </is>
      </c>
      <c r="D21" s="55" t="n">
        <v>1811843</v>
      </c>
      <c r="E21" s="50" t="inlineStr">
        <is>
          <t>Financial</t>
        </is>
      </c>
      <c r="F21" s="50" t="inlineStr">
        <is>
          <t>Code 999 Rev Budget</t>
        </is>
      </c>
      <c r="G21" s="91" t="inlineStr">
        <is>
          <t>Verified</t>
        </is>
      </c>
      <c r="H21" s="50" t="inlineStr">
        <is>
          <t>2024 Job Detail Report.pdf (Sage Timberline, 04/03/2026, 285 pages)</t>
        </is>
      </c>
      <c r="I21" s="53" t="n"/>
      <c r="J21" s="53" t="n"/>
    </row>
    <row r="22">
      <c r="B22" s="47" t="inlineStr">
        <is>
          <t>Change Orders ($, implied)</t>
        </is>
      </c>
      <c r="C22" s="48" t="inlineStr">
        <is>
          <t>change_orders_implied</t>
        </is>
      </c>
      <c r="D22" s="76" t="n">
        <v>48363</v>
      </c>
      <c r="E22" s="48" t="inlineStr">
        <is>
          <t>Financial</t>
        </is>
      </c>
      <c r="F22" s="48" t="inlineStr">
        <is>
          <t>Final - Original</t>
        </is>
      </c>
      <c r="G22" s="91" t="inlineStr">
        <is>
          <t>Verified</t>
        </is>
      </c>
      <c r="H22" s="48" t="inlineStr">
        <is>
          <t>2024 Job Detail Report.pdf (Sage Timberline, 04/03/2026, 285 pages)</t>
        </is>
      </c>
    </row>
    <row r="23">
      <c r="B23" s="49" t="inlineStr">
        <is>
          <t>Change Orders ($, documented)</t>
        </is>
      </c>
      <c r="C23" s="50" t="inlineStr">
        <is>
          <t>change_orders_documented</t>
        </is>
      </c>
      <c r="D23" s="81" t="n">
        <v>54663</v>
      </c>
      <c r="E23" s="50" t="inlineStr">
        <is>
          <t>Financial</t>
        </is>
      </c>
      <c r="F23" s="50" t="inlineStr">
        <is>
          <t>Sum of 17 CORs from summary XLSX</t>
        </is>
      </c>
      <c r="G23" s="91" t="inlineStr">
        <is>
          <t>Verified</t>
        </is>
      </c>
      <c r="H23" s="50" t="inlineStr">
        <is>
          <t>Change Orders/COR_s/Ballard MG - Outstanding COR_s.xlsx</t>
        </is>
      </c>
      <c r="I23" s="53" t="n"/>
      <c r="J23" s="53" t="n"/>
    </row>
    <row r="24">
      <c r="B24" s="47" t="inlineStr">
        <is>
          <t>CO Documentation Count</t>
        </is>
      </c>
      <c r="C24" s="48" t="inlineStr">
        <is>
          <t>co_doc_count</t>
        </is>
      </c>
      <c r="D24" s="80" t="n">
        <v>17</v>
      </c>
      <c r="E24" s="48" t="inlineStr">
        <is>
          <t>Financial</t>
        </is>
      </c>
      <c r="F24" s="48" t="inlineStr">
        <is>
          <t>COR-01 through COR-16 + Alt Fixture Pricing + Kitchen Vent (excluding cancelled COR-06)</t>
        </is>
      </c>
      <c r="G24" s="91" t="inlineStr">
        <is>
          <t>Verified</t>
        </is>
      </c>
      <c r="H24" s="48" t="inlineStr">
        <is>
          <t>Change Orders/COR_s/Ballard MG - Outstanding COR_s.xlsx</t>
        </is>
      </c>
    </row>
    <row r="25">
      <c r="B25" s="49" t="inlineStr">
        <is>
          <t>CO Executed Count</t>
        </is>
      </c>
      <c r="C25" s="50" t="inlineStr">
        <is>
          <t>co_count</t>
        </is>
      </c>
      <c r="D25" s="81" t="n">
        <v>8</v>
      </c>
      <c r="E25" s="50" t="inlineStr">
        <is>
          <t>Financial</t>
        </is>
      </c>
      <c r="F25" s="50" t="inlineStr">
        <is>
          <t>CO#1-#8 PDFs in CO_s/ (CO#6, CO#8 also have UNEXECUTED variants)</t>
        </is>
      </c>
      <c r="G25" s="91" t="inlineStr">
        <is>
          <t>Verified</t>
        </is>
      </c>
      <c r="H25" s="50" t="inlineStr">
        <is>
          <t>CO folder</t>
        </is>
      </c>
      <c r="I25" s="53" t="n"/>
      <c r="J25" s="53" t="n"/>
    </row>
    <row r="26">
      <c r="B26" s="47" t="inlineStr">
        <is>
          <t>Change Order % of Contract</t>
        </is>
      </c>
      <c r="C26" s="48" t="inlineStr">
        <is>
          <t>co_pct</t>
        </is>
      </c>
      <c r="D26" s="92" t="n">
        <v>0.02742475106040329</v>
      </c>
      <c r="E26" s="48" t="inlineStr">
        <is>
          <t>Financial</t>
        </is>
      </c>
      <c r="F26" s="5" t="inlineStr"/>
      <c r="G26" s="91" t="inlineStr">
        <is>
          <t>Verified</t>
        </is>
      </c>
      <c r="H26" s="85" t="inlineStr">
        <is>
          <t>Derived</t>
        </is>
      </c>
    </row>
    <row r="27">
      <c r="B27" s="49" t="inlineStr">
        <is>
          <t>Revenue</t>
        </is>
      </c>
      <c r="C27" s="50" t="inlineStr">
        <is>
          <t>revenue</t>
        </is>
      </c>
      <c r="D27" s="55" t="n">
        <v>1811843</v>
      </c>
      <c r="E27" s="50" t="inlineStr">
        <is>
          <t>Financial</t>
        </is>
      </c>
      <c r="F27" s="50" t="inlineStr">
        <is>
          <t>AR total</t>
        </is>
      </c>
      <c r="G27" s="91" t="inlineStr">
        <is>
          <t>Verified</t>
        </is>
      </c>
      <c r="H27" s="50" t="inlineStr">
        <is>
          <t>2024 Job Detail Report.pdf (Sage Timberline, 04/03/2026, 285 pages)</t>
        </is>
      </c>
      <c r="I27" s="53" t="n"/>
      <c r="J27" s="53" t="n"/>
    </row>
    <row r="28">
      <c r="B28" s="47" t="inlineStr">
        <is>
          <t>Direct Cost</t>
        </is>
      </c>
      <c r="C28" s="48" t="inlineStr">
        <is>
          <t>direct_cost</t>
        </is>
      </c>
      <c r="D28" s="76" t="n">
        <v>925434.96</v>
      </c>
      <c r="E28" s="48" t="inlineStr">
        <is>
          <t>Financial</t>
        </is>
      </c>
      <c r="F28" s="48" t="inlineStr">
        <is>
          <t>JDR Job Totals Expenses</t>
        </is>
      </c>
      <c r="G28" s="91" t="inlineStr">
        <is>
          <t>Verified</t>
        </is>
      </c>
      <c r="H28" s="48" t="inlineStr">
        <is>
          <t>2024 Job Detail Report.pdf (Sage Timberline, 04/03/2026, 285 pages)</t>
        </is>
      </c>
    </row>
    <row r="29">
      <c r="B29" s="49" t="inlineStr">
        <is>
          <t>Net Profit</t>
        </is>
      </c>
      <c r="C29" s="50" t="inlineStr">
        <is>
          <t>net_profit</t>
        </is>
      </c>
      <c r="D29" s="55" t="n">
        <v>886408.04</v>
      </c>
      <c r="E29" s="50" t="inlineStr">
        <is>
          <t>Financial</t>
        </is>
      </c>
      <c r="F29" s="50" t="inlineStr">
        <is>
          <t>Rev - Expenses</t>
        </is>
      </c>
      <c r="G29" s="91" t="inlineStr">
        <is>
          <t>Verified</t>
        </is>
      </c>
      <c r="H29" s="50" t="inlineStr">
        <is>
          <t>2024 Job Detail Report.pdf (Sage Timberline, 04/03/2026, 285 pages)</t>
        </is>
      </c>
      <c r="I29" s="53" t="n"/>
      <c r="J29" s="53" t="n"/>
    </row>
    <row r="30">
      <c r="B30" s="47" t="inlineStr">
        <is>
          <t>Gross Margin</t>
        </is>
      </c>
      <c r="C30" s="48" t="inlineStr">
        <is>
          <t>gross_margin</t>
        </is>
      </c>
      <c r="D30" s="92" t="n">
        <v>0.4892300491819656</v>
      </c>
      <c r="E30" s="48" t="inlineStr">
        <is>
          <t>Financial</t>
        </is>
      </c>
      <c r="F30" s="5" t="inlineStr"/>
      <c r="G30" s="91" t="inlineStr">
        <is>
          <t>Verified</t>
        </is>
      </c>
      <c r="H30" s="85" t="inlineStr">
        <is>
          <t>Derived</t>
        </is>
      </c>
    </row>
    <row r="31">
      <c r="B31" s="49" t="inlineStr">
        <is>
          <t>Retainage Outstanding</t>
        </is>
      </c>
      <c r="C31" s="50" t="inlineStr">
        <is>
          <t>retainage</t>
        </is>
      </c>
      <c r="D31" s="55" t="n">
        <v>90592.14999999999</v>
      </c>
      <c r="E31" s="50" t="inlineStr">
        <is>
          <t>Financial</t>
        </is>
      </c>
      <c r="F31" s="50" t="inlineStr">
        <is>
          <t>Open per JDR</t>
        </is>
      </c>
      <c r="G31" s="91" t="inlineStr">
        <is>
          <t>Verified</t>
        </is>
      </c>
      <c r="H31" s="50" t="inlineStr">
        <is>
          <t>2024 Job Detail Report.pdf (Sage Timberline, 04/03/2026, 285 pages)</t>
        </is>
      </c>
      <c r="I31" s="53" t="n"/>
      <c r="J31" s="53" t="n"/>
    </row>
    <row r="32">
      <c r="B32" s="47" t="inlineStr">
        <is>
          <t>Retainage % of Revenue</t>
        </is>
      </c>
      <c r="C32" s="48" t="inlineStr">
        <is>
          <t>retainage_pct</t>
        </is>
      </c>
      <c r="D32" s="92" t="n">
        <v>0.05</v>
      </c>
      <c r="E32" s="48" t="inlineStr">
        <is>
          <t>Financial</t>
        </is>
      </c>
      <c r="F32" s="48" t="inlineStr">
        <is>
          <t>5% per billing worksheet</t>
        </is>
      </c>
      <c r="G32" s="91" t="inlineStr">
        <is>
          <t>Verified</t>
        </is>
      </c>
      <c r="H32" s="48" t="inlineStr">
        <is>
          <t>MGB AGGREGATE BILLING.xlsx (16 billings + retainage release row, ties to JDR)</t>
        </is>
      </c>
    </row>
    <row r="33">
      <c r="B33" s="49" t="inlineStr">
        <is>
          <t>Labor Cost</t>
        </is>
      </c>
      <c r="C33" s="50" t="inlineStr">
        <is>
          <t>labor_cost</t>
        </is>
      </c>
      <c r="D33" s="55" t="n">
        <v>379757.5</v>
      </c>
      <c r="E33" s="50" t="inlineStr">
        <is>
          <t>Labor</t>
        </is>
      </c>
      <c r="F33" s="50" t="inlineStr">
        <is>
          <t>Codes 100-150</t>
        </is>
      </c>
      <c r="G33" s="91" t="inlineStr">
        <is>
          <t>Verified</t>
        </is>
      </c>
      <c r="H33" s="50" t="inlineStr">
        <is>
          <t>2024 Job Detail Report.pdf (Sage Timberline, 04/03/2026, 285 pages)</t>
        </is>
      </c>
      <c r="I33" s="53" t="n"/>
      <c r="J33" s="53" t="n"/>
    </row>
    <row r="34">
      <c r="B34" s="47" t="inlineStr">
        <is>
          <t>Material Cost</t>
        </is>
      </c>
      <c r="C34" s="48" t="inlineStr">
        <is>
          <t>material_cost</t>
        </is>
      </c>
      <c r="D34" s="76" t="n">
        <v>336538.34</v>
      </c>
      <c r="E34" s="48" t="inlineStr">
        <is>
          <t>Material</t>
        </is>
      </c>
      <c r="F34" s="48" t="inlineStr">
        <is>
          <t>Codes 210-243</t>
        </is>
      </c>
      <c r="G34" s="91" t="inlineStr">
        <is>
          <t>Verified</t>
        </is>
      </c>
      <c r="H34" s="48" t="inlineStr">
        <is>
          <t>2024 Job Detail Report.pdf (Sage Timberline, 04/03/2026, 285 pages)</t>
        </is>
      </c>
    </row>
    <row r="35">
      <c r="B35" s="49" t="inlineStr">
        <is>
          <t>Subcontractor+OH Cost</t>
        </is>
      </c>
      <c r="C35" s="50" t="inlineStr">
        <is>
          <t>overhead_cost</t>
        </is>
      </c>
      <c r="D35" s="55" t="n">
        <v>12403.9</v>
      </c>
      <c r="E35" s="50" t="inlineStr">
        <is>
          <t>Financial</t>
        </is>
      </c>
      <c r="F35" s="50" t="inlineStr">
        <is>
          <t>Codes 600-607</t>
        </is>
      </c>
      <c r="G35" s="91" t="inlineStr">
        <is>
          <t>Verified</t>
        </is>
      </c>
      <c r="H35" s="50" t="inlineStr">
        <is>
          <t>2024 Job Detail Report.pdf (Sage Timberline, 04/03/2026, 285 pages)</t>
        </is>
      </c>
      <c r="I35" s="53" t="n"/>
      <c r="J35" s="53" t="n"/>
    </row>
    <row r="36">
      <c r="B36" s="47" t="inlineStr">
        <is>
          <t>Burden Cost</t>
        </is>
      </c>
      <c r="C36" s="48" t="inlineStr">
        <is>
          <t>burden_cost</t>
        </is>
      </c>
      <c r="D36" s="76" t="n">
        <v>167598.54</v>
      </c>
      <c r="E36" s="48" t="inlineStr">
        <is>
          <t>Labor</t>
        </is>
      </c>
      <c r="F36" s="48" t="inlineStr">
        <is>
          <t>Code 995</t>
        </is>
      </c>
      <c r="G36" s="91" t="inlineStr">
        <is>
          <t>Verified</t>
        </is>
      </c>
      <c r="H36" s="48" t="inlineStr">
        <is>
          <t>2024 Job Detail Report.pdf (Sage Timberline, 04/03/2026, 285 pages)</t>
        </is>
      </c>
    </row>
    <row r="37">
      <c r="B37" s="49" t="inlineStr">
        <is>
          <t>Tax Cost</t>
        </is>
      </c>
      <c r="C37" s="50" t="inlineStr">
        <is>
          <t>tax_cost</t>
        </is>
      </c>
      <c r="D37" s="55" t="n">
        <v>29136.68</v>
      </c>
      <c r="E37" s="50" t="inlineStr">
        <is>
          <t>Labor</t>
        </is>
      </c>
      <c r="F37" s="50" t="inlineStr">
        <is>
          <t>Code 998</t>
        </is>
      </c>
      <c r="G37" s="91" t="inlineStr">
        <is>
          <t>Verified</t>
        </is>
      </c>
      <c r="H37" s="50" t="inlineStr">
        <is>
          <t>2024 Job Detail Report.pdf (Sage Timberline, 04/03/2026, 285 pages)</t>
        </is>
      </c>
      <c r="I37" s="53" t="n"/>
      <c r="J37" s="53" t="n"/>
    </row>
    <row r="38">
      <c r="B38" s="47" t="inlineStr">
        <is>
          <t>Total Labor Hours</t>
        </is>
      </c>
      <c r="C38" s="48" t="inlineStr">
        <is>
          <t>total_hours</t>
        </is>
      </c>
      <c r="D38" s="69" t="n">
        <v>17098</v>
      </c>
      <c r="E38" s="48" t="inlineStr">
        <is>
          <t>Labor</t>
        </is>
      </c>
      <c r="F38" s="48" t="inlineStr">
        <is>
          <t>Sum labor codes</t>
        </is>
      </c>
      <c r="G38" s="91" t="inlineStr">
        <is>
          <t>Verified</t>
        </is>
      </c>
      <c r="H38" s="48" t="inlineStr">
        <is>
          <t>2024 Job Detail Report.pdf (Sage Timberline, 04/03/2026, 285 pages)</t>
        </is>
      </c>
    </row>
    <row r="39">
      <c r="B39" s="49" t="inlineStr">
        <is>
          <t>Total Workers</t>
        </is>
      </c>
      <c r="C39" s="50" t="inlineStr">
        <is>
          <t>total_workers</t>
        </is>
      </c>
      <c r="D39" s="81" t="n">
        <v>40</v>
      </c>
      <c r="E39" s="50" t="inlineStr">
        <is>
          <t>Labor</t>
        </is>
      </c>
      <c r="F39" s="50" t="inlineStr">
        <is>
          <t>Unique payroll IDs</t>
        </is>
      </c>
      <c r="G39" s="91" t="inlineStr">
        <is>
          <t>Verified</t>
        </is>
      </c>
      <c r="H39" s="50" t="inlineStr">
        <is>
          <t>2024 Job Detail Report.pdf (Sage Timberline, 04/03/2026, 285 pages)</t>
        </is>
      </c>
      <c r="I39" s="53" t="n"/>
      <c r="J39" s="53" t="n"/>
    </row>
    <row r="40">
      <c r="B40" s="47" t="inlineStr">
        <is>
          <t>Blended Gross Wage ($/hr)</t>
        </is>
      </c>
      <c r="C40" s="48" t="inlineStr">
        <is>
          <t>blended_gross_wage</t>
        </is>
      </c>
      <c r="D40" s="76" t="n">
        <v>22.21063867118961</v>
      </c>
      <c r="E40" s="48" t="inlineStr">
        <is>
          <t>Labor</t>
        </is>
      </c>
      <c r="F40" s="48" t="inlineStr">
        <is>
          <t>Pre-burden</t>
        </is>
      </c>
      <c r="G40" s="91" t="inlineStr">
        <is>
          <t>Verified</t>
        </is>
      </c>
      <c r="H40" s="85" t="inlineStr">
        <is>
          <t>Derived</t>
        </is>
      </c>
    </row>
    <row r="41">
      <c r="B41" s="49" t="inlineStr">
        <is>
          <t>Fully-Loaded Wage ($/hr)</t>
        </is>
      </c>
      <c r="C41" s="50" t="inlineStr">
        <is>
          <t>fully_loaded_wage</t>
        </is>
      </c>
      <c r="D41" s="55" t="n">
        <v>33.71696806644052</v>
      </c>
      <c r="E41" s="50" t="inlineStr">
        <is>
          <t>Labor</t>
        </is>
      </c>
      <c r="F41" s="50" t="inlineStr">
        <is>
          <t>Incl burden + tax</t>
        </is>
      </c>
      <c r="G41" s="91" t="inlineStr">
        <is>
          <t>Verified</t>
        </is>
      </c>
      <c r="H41" s="85" t="inlineStr">
        <is>
          <t>Derived</t>
        </is>
      </c>
      <c r="I41" s="53" t="n"/>
      <c r="J41" s="53" t="n"/>
    </row>
    <row r="42">
      <c r="B42" s="47" t="inlineStr">
        <is>
          <t>Burden Multiplier</t>
        </is>
      </c>
      <c r="C42" s="48" t="inlineStr">
        <is>
          <t>burden_multiplier</t>
        </is>
      </c>
      <c r="D42" s="93" t="n">
        <v>1.518054863959237</v>
      </c>
      <c r="E42" s="48" t="inlineStr">
        <is>
          <t>Labor</t>
        </is>
      </c>
      <c r="F42" s="48" t="inlineStr">
        <is>
          <t>Fully-loaded/blended</t>
        </is>
      </c>
      <c r="G42" s="91" t="inlineStr">
        <is>
          <t>Verified</t>
        </is>
      </c>
      <c r="H42" s="85" t="inlineStr">
        <is>
          <t>Derived</t>
        </is>
      </c>
    </row>
    <row r="43">
      <c r="B43" s="49" t="inlineStr">
        <is>
          <t>Rough-in Hours</t>
        </is>
      </c>
      <c r="C43" s="50" t="inlineStr">
        <is>
          <t>roughin_hours</t>
        </is>
      </c>
      <c r="D43" s="56" t="n">
        <v>8731</v>
      </c>
      <c r="E43" s="50" t="inlineStr">
        <is>
          <t>Labor</t>
        </is>
      </c>
      <c r="F43" s="50" t="inlineStr">
        <is>
          <t>Code 120</t>
        </is>
      </c>
      <c r="G43" s="91" t="inlineStr">
        <is>
          <t>Verified</t>
        </is>
      </c>
      <c r="H43" s="50" t="inlineStr">
        <is>
          <t>2024 Job Detail Report.pdf (Sage Timberline, 04/03/2026, 285 pages)</t>
        </is>
      </c>
      <c r="I43" s="53" t="n"/>
      <c r="J43" s="53" t="n"/>
    </row>
    <row r="44">
      <c r="B44" s="47" t="inlineStr">
        <is>
          <t>Finish Hours</t>
        </is>
      </c>
      <c r="C44" s="48" t="inlineStr">
        <is>
          <t>finish_hours</t>
        </is>
      </c>
      <c r="D44" s="69" t="n">
        <v>1150.5</v>
      </c>
      <c r="E44" s="48" t="inlineStr">
        <is>
          <t>Labor</t>
        </is>
      </c>
      <c r="F44" s="48" t="inlineStr">
        <is>
          <t>Code 130</t>
        </is>
      </c>
      <c r="G44" s="91" t="inlineStr">
        <is>
          <t>Verified</t>
        </is>
      </c>
      <c r="H44" s="48" t="inlineStr">
        <is>
          <t>2024 Job Detail Report.pdf (Sage Timberline, 04/03/2026, 285 pages)</t>
        </is>
      </c>
    </row>
    <row r="45">
      <c r="B45" s="49" t="inlineStr">
        <is>
          <t>Revenue per Hour</t>
        </is>
      </c>
      <c r="C45" s="50" t="inlineStr">
        <is>
          <t>revenue_per_hour</t>
        </is>
      </c>
      <c r="D45" s="56" t="n">
        <v>105.968124926892</v>
      </c>
      <c r="E45" s="50" t="inlineStr">
        <is>
          <t>Productivity</t>
        </is>
      </c>
      <c r="F45" s="94" t="inlineStr"/>
      <c r="G45" s="91" t="inlineStr">
        <is>
          <t>Verified</t>
        </is>
      </c>
      <c r="H45" s="85" t="inlineStr">
        <is>
          <t>Derived</t>
        </is>
      </c>
      <c r="I45" s="53" t="n"/>
      <c r="J45" s="53" t="n"/>
    </row>
    <row r="46">
      <c r="B46" s="47" t="inlineStr">
        <is>
          <t>Profit per Hour</t>
        </is>
      </c>
      <c r="C46" s="48" t="inlineStr">
        <is>
          <t>profit_per_hour</t>
        </is>
      </c>
      <c r="D46" s="69" t="n">
        <v>51.84279096970406</v>
      </c>
      <c r="E46" s="48" t="inlineStr">
        <is>
          <t>Productivity</t>
        </is>
      </c>
      <c r="F46" s="5" t="inlineStr"/>
      <c r="G46" s="91" t="inlineStr">
        <is>
          <t>Verified</t>
        </is>
      </c>
      <c r="H46" s="85" t="inlineStr">
        <is>
          <t>Derived</t>
        </is>
      </c>
    </row>
    <row r="47">
      <c r="B47" s="49" t="inlineStr">
        <is>
          <t>Revenue per Unit</t>
        </is>
      </c>
      <c r="C47" s="50" t="inlineStr">
        <is>
          <t>revenue_per_unit</t>
        </is>
      </c>
      <c r="D47" s="55" t="n">
        <v>15619.33620689655</v>
      </c>
      <c r="E47" s="50" t="inlineStr">
        <is>
          <t>Productivity</t>
        </is>
      </c>
      <c r="F47" s="50" t="inlineStr">
        <is>
          <t>116 units</t>
        </is>
      </c>
      <c r="G47" s="91" t="inlineStr">
        <is>
          <t>Verified</t>
        </is>
      </c>
      <c r="H47" s="85" t="inlineStr">
        <is>
          <t>Derived</t>
        </is>
      </c>
      <c r="I47" s="53" t="n"/>
      <c r="J47" s="53" t="n"/>
    </row>
    <row r="48">
      <c r="B48" s="47" t="inlineStr">
        <is>
          <t>Direct Cost per Unit</t>
        </is>
      </c>
      <c r="C48" s="48" t="inlineStr">
        <is>
          <t>cost_per_unit</t>
        </is>
      </c>
      <c r="D48" s="76" t="n">
        <v>7977.887586206896</v>
      </c>
      <c r="E48" s="48" t="inlineStr">
        <is>
          <t>Productivity</t>
        </is>
      </c>
      <c r="F48" s="48" t="inlineStr">
        <is>
          <t>116 units</t>
        </is>
      </c>
      <c r="G48" s="91" t="inlineStr">
        <is>
          <t>Verified</t>
        </is>
      </c>
      <c r="H48" s="85" t="inlineStr">
        <is>
          <t>Derived</t>
        </is>
      </c>
    </row>
    <row r="49">
      <c r="B49" s="49" t="inlineStr">
        <is>
          <t>Labor Hours per Unit</t>
        </is>
      </c>
      <c r="C49" s="50" t="inlineStr">
        <is>
          <t>hours_per_unit</t>
        </is>
      </c>
      <c r="D49" s="56" t="n">
        <v>147.3965517241379</v>
      </c>
      <c r="E49" s="50" t="inlineStr">
        <is>
          <t>Productivity</t>
        </is>
      </c>
      <c r="F49" s="50" t="inlineStr">
        <is>
          <t>116 units</t>
        </is>
      </c>
      <c r="G49" s="91" t="inlineStr">
        <is>
          <t>Verified</t>
        </is>
      </c>
      <c r="H49" s="85" t="inlineStr">
        <is>
          <t>Derived</t>
        </is>
      </c>
      <c r="I49" s="53" t="n"/>
      <c r="J49" s="53" t="n"/>
    </row>
    <row r="50">
      <c r="B50" s="47" t="inlineStr">
        <is>
          <t>Labor % of Revenue</t>
        </is>
      </c>
      <c r="C50" s="48" t="inlineStr">
        <is>
          <t>labor_pct_revenue</t>
        </is>
      </c>
      <c r="D50" s="92" t="n">
        <v>0.2095973547376898</v>
      </c>
      <c r="E50" s="48" t="inlineStr">
        <is>
          <t>Cost Mix</t>
        </is>
      </c>
      <c r="F50" s="5" t="inlineStr"/>
      <c r="G50" s="91" t="inlineStr">
        <is>
          <t>Verified</t>
        </is>
      </c>
      <c r="H50" s="85" t="inlineStr">
        <is>
          <t>Derived</t>
        </is>
      </c>
    </row>
    <row r="51">
      <c r="B51" s="49" t="inlineStr">
        <is>
          <t>Material % of Revenue</t>
        </is>
      </c>
      <c r="C51" s="50" t="inlineStr">
        <is>
          <t>material_pct_revenue</t>
        </is>
      </c>
      <c r="D51" s="95" t="n">
        <v>0.1857436543894808</v>
      </c>
      <c r="E51" s="50" t="inlineStr">
        <is>
          <t>Cost Mix</t>
        </is>
      </c>
      <c r="F51" s="94" t="inlineStr"/>
      <c r="G51" s="91" t="inlineStr">
        <is>
          <t>Verified</t>
        </is>
      </c>
      <c r="H51" s="85" t="inlineStr">
        <is>
          <t>Derived</t>
        </is>
      </c>
      <c r="I51" s="53" t="n"/>
      <c r="J51" s="53" t="n"/>
    </row>
    <row r="52">
      <c r="B52" s="47" t="inlineStr">
        <is>
          <t>Total Vendors (AP)</t>
        </is>
      </c>
      <c r="C52" s="48" t="inlineStr">
        <is>
          <t>total_vendors</t>
        </is>
      </c>
      <c r="D52" s="80" t="n">
        <v>24</v>
      </c>
      <c r="E52" s="48" t="inlineStr">
        <is>
          <t>Material</t>
        </is>
      </c>
      <c r="F52" s="48" t="inlineStr">
        <is>
          <t>Unique vendor IDs</t>
        </is>
      </c>
      <c r="G52" s="91" t="inlineStr">
        <is>
          <t>Verified</t>
        </is>
      </c>
      <c r="H52" s="48" t="inlineStr">
        <is>
          <t>2024 Job Detail Report.pdf (Sage Timberline, 04/03/2026, 285 pages)</t>
        </is>
      </c>
    </row>
    <row r="53">
      <c r="B53" s="49" t="inlineStr">
        <is>
          <t>Total Invoices (AR)</t>
        </is>
      </c>
      <c r="C53" s="50" t="inlineStr">
        <is>
          <t>total_invoices</t>
        </is>
      </c>
      <c r="D53" s="81" t="n">
        <v>18</v>
      </c>
      <c r="E53" s="50" t="inlineStr">
        <is>
          <t>Billing</t>
        </is>
      </c>
      <c r="F53" s="50" t="inlineStr">
        <is>
          <t>Unique invoice numbers</t>
        </is>
      </c>
      <c r="G53" s="91" t="inlineStr">
        <is>
          <t>Verified</t>
        </is>
      </c>
      <c r="H53" s="50" t="inlineStr">
        <is>
          <t>2024 Job Detail Report.pdf (Sage Timberline, 04/03/2026, 285 pages)</t>
        </is>
      </c>
      <c r="I53" s="53" t="n"/>
      <c r="J53" s="53" t="n"/>
    </row>
    <row r="54">
      <c r="B54" s="47" t="inlineStr">
        <is>
          <t>ASI-RFI Count</t>
        </is>
      </c>
      <c r="C54" s="48" t="inlineStr">
        <is>
          <t>rfi_count</t>
        </is>
      </c>
      <c r="D54" s="80" t="n">
        <v>52</v>
      </c>
      <c r="E54" s="48" t="inlineStr">
        <is>
          <t>Docs</t>
        </is>
      </c>
      <c r="F54" s="48" t="inlineStr">
        <is>
          <t>Per folder scan</t>
        </is>
      </c>
      <c r="G54" s="91" t="inlineStr">
        <is>
          <t>Verified</t>
        </is>
      </c>
      <c r="H54" s="48" t="inlineStr">
        <is>
          <t>ASI-RFI folder</t>
        </is>
      </c>
    </row>
    <row r="55">
      <c r="B55" s="49" t="inlineStr">
        <is>
          <t>Submittal Count (≥)</t>
        </is>
      </c>
      <c r="C55" s="50" t="inlineStr">
        <is>
          <t>submittal_count</t>
        </is>
      </c>
      <c r="D55" s="81" t="n">
        <v>80</v>
      </c>
      <c r="E55" s="50" t="inlineStr">
        <is>
          <t>Docs</t>
        </is>
      </c>
      <c r="F55" s="50" t="inlineStr">
        <is>
          <t>Root + 6 subfolders</t>
        </is>
      </c>
      <c r="G55" s="91" t="inlineStr">
        <is>
          <t>Verified</t>
        </is>
      </c>
      <c r="H55" s="50" t="inlineStr">
        <is>
          <t>Submittals folder</t>
        </is>
      </c>
      <c r="I55" s="53" t="n"/>
      <c r="J55" s="53" t="n"/>
    </row>
    <row r="56">
      <c r="B56" s="47" t="inlineStr">
        <is>
          <t>PO Count (≥)</t>
        </is>
      </c>
      <c r="C56" s="48" t="inlineStr">
        <is>
          <t>po_count</t>
        </is>
      </c>
      <c r="D56" s="80" t="n">
        <v>138</v>
      </c>
      <c r="E56" s="48" t="inlineStr">
        <is>
          <t>Docs</t>
        </is>
      </c>
      <c r="F56" s="48" t="inlineStr">
        <is>
          <t>102 completed + 36 scheduled + trim</t>
        </is>
      </c>
      <c r="G56" s="91" t="inlineStr">
        <is>
          <t>Verified</t>
        </is>
      </c>
      <c r="H56" s="48" t="inlineStr">
        <is>
          <t>PO_S folders</t>
        </is>
      </c>
    </row>
    <row r="57">
      <c r="B57" s="49" t="inlineStr">
        <is>
          <t>Permit Count</t>
        </is>
      </c>
      <c r="C57" s="50" t="inlineStr">
        <is>
          <t>permit_count</t>
        </is>
      </c>
      <c r="D57" s="81" t="n">
        <v>8</v>
      </c>
      <c r="E57" s="50" t="inlineStr">
        <is>
          <t>Docs</t>
        </is>
      </c>
      <c r="F57" s="50" t="inlineStr">
        <is>
          <t>Plumbing, plumbing-renewed, backflow, backflow-renewed, gas, boiler x2, application</t>
        </is>
      </c>
      <c r="G57" s="91" t="inlineStr">
        <is>
          <t>Verified</t>
        </is>
      </c>
      <c r="H57" s="50" t="inlineStr">
        <is>
          <t>Permits folder</t>
        </is>
      </c>
      <c r="I57" s="53" t="n"/>
      <c r="J57" s="53" t="n"/>
    </row>
    <row r="58">
      <c r="B58" s="47" t="inlineStr">
        <is>
          <t>AP Spend (JDR footer)</t>
        </is>
      </c>
      <c r="C58" s="48" t="inlineStr">
        <is>
          <t>ap_total</t>
        </is>
      </c>
      <c r="D58" s="76" t="n">
        <v>299677.23</v>
      </c>
      <c r="E58" s="48" t="inlineStr">
        <is>
          <t>Material</t>
        </is>
      </c>
      <c r="F58" s="48" t="inlineStr">
        <is>
          <t>JDR footer</t>
        </is>
      </c>
      <c r="G58" s="91" t="inlineStr">
        <is>
          <t>Verified</t>
        </is>
      </c>
      <c r="H58" s="48" t="inlineStr">
        <is>
          <t>2024 Job Detail Report.pdf (Sage Timberline, 04/03/2026, 285 pages)</t>
        </is>
      </c>
    </row>
    <row r="59">
      <c r="B59" s="49" t="inlineStr">
        <is>
          <t>PR Spend (JDR footer)</t>
        </is>
      </c>
      <c r="C59" s="50" t="inlineStr">
        <is>
          <t>pr_total</t>
        </is>
      </c>
      <c r="D59" s="55" t="n">
        <v>577604.72</v>
      </c>
      <c r="E59" s="50" t="inlineStr">
        <is>
          <t>Labor</t>
        </is>
      </c>
      <c r="F59" s="50" t="inlineStr">
        <is>
          <t>JDR footer (labor+burden+tax)</t>
        </is>
      </c>
      <c r="G59" s="91" t="inlineStr">
        <is>
          <t>Verified</t>
        </is>
      </c>
      <c r="H59" s="50" t="inlineStr">
        <is>
          <t>2024 Job Detail Report.pdf (Sage Timberline, 04/03/2026, 285 pages)</t>
        </is>
      </c>
      <c r="I59" s="53" t="n"/>
      <c r="J59" s="53" t="n"/>
    </row>
    <row r="60">
      <c r="B60" s="47" t="inlineStr">
        <is>
          <t>GL Spend (JDR footer)</t>
        </is>
      </c>
      <c r="C60" s="48" t="inlineStr">
        <is>
          <t>gl_total</t>
        </is>
      </c>
      <c r="D60" s="76" t="n">
        <v>48153.01</v>
      </c>
      <c r="E60" s="48" t="inlineStr">
        <is>
          <t>Financial</t>
        </is>
      </c>
      <c r="F60" s="48" t="inlineStr">
        <is>
          <t>JDR footer</t>
        </is>
      </c>
      <c r="G60" s="91" t="inlineStr">
        <is>
          <t>Verified</t>
        </is>
      </c>
      <c r="H60" s="48" t="inlineStr">
        <is>
          <t>2024 Job Detail Report.pdf (Sage Timberline, 04/03/2026, 285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Vendors — AP Summary</t>
        </is>
      </c>
    </row>
    <row r="3" ht="22" customHeight="1">
      <c r="B3" s="44" t="inlineStr">
        <is>
          <t>Vendor-level spend ranking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Rank</t>
        </is>
      </c>
      <c r="C5" s="65" t="inlineStr">
        <is>
          <t>Vendor ID</t>
        </is>
      </c>
      <c r="D5" s="65" t="inlineStr">
        <is>
          <t>Vendor Name</t>
        </is>
      </c>
      <c r="E5" s="65" t="inlineStr">
        <is>
          <t>Total Spend</t>
        </is>
      </c>
      <c r="F5" s="65" t="inlineStr">
        <is>
          <t># Transactions</t>
        </is>
      </c>
      <c r="G5" s="65" t="inlineStr">
        <is>
          <t>% of AP</t>
        </is>
      </c>
      <c r="H5" s="65" t="inlineStr">
        <is>
          <t>Source</t>
        </is>
      </c>
    </row>
    <row r="6">
      <c r="B6" s="80" t="n">
        <v>1</v>
      </c>
      <c r="C6" s="48" t="inlineStr">
        <is>
          <t>2024RS</t>
        </is>
      </c>
      <c r="D6" s="48" t="inlineStr">
        <is>
          <t>Rosen Supply Company, Inc. $MG-Ballard</t>
        </is>
      </c>
      <c r="E6" s="66" t="n">
        <v>102072.49</v>
      </c>
      <c r="F6" s="80" t="n">
        <v>99</v>
      </c>
      <c r="G6" s="68">
        <f>E6/299677.2299999999</f>
        <v/>
      </c>
      <c r="H6" s="48" t="inlineStr">
        <is>
          <t>2024 Job Detail Report.pdf (Sage Timberline, 04/03/2026, 285 pages)</t>
        </is>
      </c>
    </row>
    <row r="7">
      <c r="B7" s="81" t="n">
        <v>2</v>
      </c>
      <c r="C7" s="50" t="inlineStr">
        <is>
          <t>2024KS</t>
        </is>
      </c>
      <c r="D7" s="50" t="inlineStr">
        <is>
          <t>Keller Supply Company $MG-Ballard</t>
        </is>
      </c>
      <c r="E7" s="70" t="n">
        <v>80438.13999999996</v>
      </c>
      <c r="F7" s="81" t="n">
        <v>90</v>
      </c>
      <c r="G7" s="72">
        <f>E7/299677.2299999999</f>
        <v/>
      </c>
      <c r="H7" s="50" t="inlineStr">
        <is>
          <t>2024 Job Detail Report.pdf (Sage Timberline, 04/03/2026, 285 pages)</t>
        </is>
      </c>
      <c r="I7" s="53" t="n"/>
      <c r="J7" s="53" t="n"/>
    </row>
    <row r="8">
      <c r="B8" s="80" t="n">
        <v>3</v>
      </c>
      <c r="C8" s="48" t="inlineStr">
        <is>
          <t>3612MS</t>
        </is>
      </c>
      <c r="D8" s="48" t="inlineStr">
        <is>
          <t>Mechanical Sales, Inc.</t>
        </is>
      </c>
      <c r="E8" s="66" t="n">
        <v>37098.89</v>
      </c>
      <c r="F8" s="80" t="n">
        <v>6</v>
      </c>
      <c r="G8" s="68">
        <f>E8/299677.2299999999</f>
        <v/>
      </c>
      <c r="H8" s="48" t="inlineStr">
        <is>
          <t>2024 Job Detail Report.pdf (Sage Timberline, 04/03/2026, 285 pages)</t>
        </is>
      </c>
    </row>
    <row r="9">
      <c r="B9" s="81" t="n">
        <v>4</v>
      </c>
      <c r="C9" s="50" t="inlineStr">
        <is>
          <t>2024FE</t>
        </is>
      </c>
      <c r="D9" s="50" t="inlineStr">
        <is>
          <t>Ferguson Enterprises, Inc. $MG-Ballard</t>
        </is>
      </c>
      <c r="E9" s="70" t="n">
        <v>22824.24</v>
      </c>
      <c r="F9" s="81" t="n">
        <v>29</v>
      </c>
      <c r="G9" s="72">
        <f>E9/299677.2299999999</f>
        <v/>
      </c>
      <c r="H9" s="50" t="inlineStr">
        <is>
          <t>2024 Job Detail Report.pdf (Sage Timberline, 04/03/2026, 285 pages)</t>
        </is>
      </c>
      <c r="I9" s="53" t="n"/>
      <c r="J9" s="53" t="n"/>
    </row>
    <row r="10">
      <c r="B10" s="80" t="n">
        <v>5</v>
      </c>
      <c r="C10" s="48" t="inlineStr">
        <is>
          <t>2024CS</t>
        </is>
      </c>
      <c r="D10" s="48" t="inlineStr">
        <is>
          <t>Consolidated Supply Co. $MG-Ballard</t>
        </is>
      </c>
      <c r="E10" s="66" t="n">
        <v>21645.04</v>
      </c>
      <c r="F10" s="80" t="n">
        <v>9</v>
      </c>
      <c r="G10" s="68">
        <f>E10/299677.2299999999</f>
        <v/>
      </c>
      <c r="H10" s="48" t="inlineStr">
        <is>
          <t>2024 Job Detail Report.pdf (Sage Timberline, 04/03/2026, 285 pages)</t>
        </is>
      </c>
    </row>
    <row r="11">
      <c r="B11" s="81" t="n">
        <v>6</v>
      </c>
      <c r="C11" s="50" t="inlineStr">
        <is>
          <t>1609QC</t>
        </is>
      </c>
      <c r="D11" s="50" t="inlineStr">
        <is>
          <t>Quality Concrete Products, Inc. $32</t>
        </is>
      </c>
      <c r="E11" s="70" t="n">
        <v>11655</v>
      </c>
      <c r="F11" s="81" t="n">
        <v>4</v>
      </c>
      <c r="G11" s="72">
        <f>E11/299677.2299999999</f>
        <v/>
      </c>
      <c r="H11" s="50" t="inlineStr">
        <is>
          <t>2024 Job Detail Report.pdf (Sage Timberline, 04/03/2026, 285 pages)</t>
        </is>
      </c>
      <c r="I11" s="53" t="n"/>
      <c r="J11" s="53" t="n"/>
    </row>
    <row r="12">
      <c r="B12" s="80" t="n">
        <v>7</v>
      </c>
      <c r="C12" s="48" t="inlineStr">
        <is>
          <t>1234BA</t>
        </is>
      </c>
      <c r="D12" s="48" t="inlineStr">
        <is>
          <t>Bank of America CC</t>
        </is>
      </c>
      <c r="E12" s="66" t="n">
        <v>7148</v>
      </c>
      <c r="F12" s="80" t="n">
        <v>9</v>
      </c>
      <c r="G12" s="68">
        <f>E12/299677.2299999999</f>
        <v/>
      </c>
      <c r="H12" s="48" t="inlineStr">
        <is>
          <t>2024 Job Detail Report.pdf (Sage Timberline, 04/03/2026, 285 pages)</t>
        </is>
      </c>
    </row>
    <row r="13">
      <c r="B13" s="81" t="n">
        <v>8</v>
      </c>
      <c r="C13" s="50" t="inlineStr">
        <is>
          <t>1231KS</t>
        </is>
      </c>
      <c r="D13" s="50" t="inlineStr">
        <is>
          <t>Keller Supply Company</t>
        </is>
      </c>
      <c r="E13" s="70" t="n">
        <v>5234.3</v>
      </c>
      <c r="F13" s="81" t="n">
        <v>7</v>
      </c>
      <c r="G13" s="72">
        <f>E13/299677.2299999999</f>
        <v/>
      </c>
      <c r="H13" s="50" t="inlineStr">
        <is>
          <t>2024 Job Detail Report.pdf (Sage Timberline, 04/03/2026, 285 pages)</t>
        </is>
      </c>
      <c r="I13" s="53" t="n"/>
      <c r="J13" s="53" t="n"/>
    </row>
    <row r="14">
      <c r="B14" s="80" t="n">
        <v>9</v>
      </c>
      <c r="C14" s="48" t="inlineStr">
        <is>
          <t>1344HD</t>
        </is>
      </c>
      <c r="D14" s="48" t="inlineStr">
        <is>
          <t>HD Fowler Company</t>
        </is>
      </c>
      <c r="E14" s="66" t="n">
        <v>3590.93</v>
      </c>
      <c r="F14" s="80" t="n">
        <v>1</v>
      </c>
      <c r="G14" s="68">
        <f>E14/299677.2299999999</f>
        <v/>
      </c>
      <c r="H14" s="48" t="inlineStr">
        <is>
          <t>2024 Job Detail Report.pdf (Sage Timberline, 04/03/2026, 285 pages)</t>
        </is>
      </c>
    </row>
    <row r="15">
      <c r="B15" s="81" t="n">
        <v>10</v>
      </c>
      <c r="C15" s="50" t="inlineStr">
        <is>
          <t>7200UR</t>
        </is>
      </c>
      <c r="D15" s="50" t="inlineStr">
        <is>
          <t>United Rentals, Inc.</t>
        </is>
      </c>
      <c r="E15" s="70" t="n">
        <v>1948.38</v>
      </c>
      <c r="F15" s="81" t="n">
        <v>3</v>
      </c>
      <c r="G15" s="72">
        <f>E15/299677.2299999999</f>
        <v/>
      </c>
      <c r="H15" s="50" t="inlineStr">
        <is>
          <t>2024 Job Detail Report.pdf (Sage Timberline, 04/03/2026, 285 pages)</t>
        </is>
      </c>
      <c r="I15" s="53" t="n"/>
      <c r="J15" s="53" t="n"/>
    </row>
    <row r="16">
      <c r="B16" s="80" t="n">
        <v>11</v>
      </c>
      <c r="C16" s="48" t="inlineStr">
        <is>
          <t>3181SC</t>
        </is>
      </c>
      <c r="D16" s="48" t="inlineStr">
        <is>
          <t>Scan2Core, Inc.</t>
        </is>
      </c>
      <c r="E16" s="66" t="n">
        <v>1514</v>
      </c>
      <c r="F16" s="80" t="n">
        <v>2</v>
      </c>
      <c r="G16" s="68">
        <f>E16/299677.2299999999</f>
        <v/>
      </c>
      <c r="H16" s="48" t="inlineStr">
        <is>
          <t>2024 Job Detail Report.pdf (Sage Timberline, 04/03/2026, 285 pages)</t>
        </is>
      </c>
    </row>
    <row r="17">
      <c r="B17" s="81" t="n">
        <v>12</v>
      </c>
      <c r="C17" s="50" t="inlineStr">
        <is>
          <t>1625FE</t>
        </is>
      </c>
      <c r="D17" s="50" t="inlineStr">
        <is>
          <t>Franklin Engineering</t>
        </is>
      </c>
      <c r="E17" s="70" t="n">
        <v>1021</v>
      </c>
      <c r="F17" s="81" t="n">
        <v>1</v>
      </c>
      <c r="G17" s="72">
        <f>E17/299677.2299999999</f>
        <v/>
      </c>
      <c r="H17" s="50" t="inlineStr">
        <is>
          <t>2024 Job Detail Report.pdf (Sage Timberline, 04/03/2026, 285 pages)</t>
        </is>
      </c>
      <c r="I17" s="53" t="n"/>
      <c r="J17" s="53" t="n"/>
    </row>
    <row r="18">
      <c r="B18" s="80" t="n">
        <v>13</v>
      </c>
      <c r="C18" s="48" t="inlineStr">
        <is>
          <t>8068MI</t>
        </is>
      </c>
      <c r="D18" s="48" t="inlineStr">
        <is>
          <t>Kele, Inc $ MI Controls</t>
        </is>
      </c>
      <c r="E18" s="66" t="n">
        <v>847.74</v>
      </c>
      <c r="F18" s="80" t="n">
        <v>1</v>
      </c>
      <c r="G18" s="68">
        <f>E18/299677.2299999999</f>
        <v/>
      </c>
      <c r="H18" s="48" t="inlineStr">
        <is>
          <t>2024 Job Detail Report.pdf (Sage Timberline, 04/03/2026, 285 pages)</t>
        </is>
      </c>
    </row>
    <row r="19">
      <c r="B19" s="81" t="n">
        <v>14</v>
      </c>
      <c r="C19" s="50" t="inlineStr">
        <is>
          <t>1303CM</t>
        </is>
      </c>
      <c r="D19" s="50" t="inlineStr">
        <is>
          <t>C.M. Hoskins Company</t>
        </is>
      </c>
      <c r="E19" s="70" t="n">
        <v>716</v>
      </c>
      <c r="F19" s="81" t="n">
        <v>2</v>
      </c>
      <c r="G19" s="72">
        <f>E19/299677.2299999999</f>
        <v/>
      </c>
      <c r="H19" s="50" t="inlineStr">
        <is>
          <t>2024 Job Detail Report.pdf (Sage Timberline, 04/03/2026, 285 pages)</t>
        </is>
      </c>
      <c r="I19" s="53" t="n"/>
      <c r="J19" s="53" t="n"/>
    </row>
    <row r="20">
      <c r="B20" s="80" t="n">
        <v>15</v>
      </c>
      <c r="C20" s="48" t="inlineStr">
        <is>
          <t>1175FE</t>
        </is>
      </c>
      <c r="D20" s="48" t="inlineStr">
        <is>
          <t>Ferguson Enterprises, Inc. #3007</t>
        </is>
      </c>
      <c r="E20" s="66" t="n">
        <v>390.48</v>
      </c>
      <c r="F20" s="80" t="n">
        <v>1</v>
      </c>
      <c r="G20" s="68">
        <f>E20/299677.2299999999</f>
        <v/>
      </c>
      <c r="H20" s="48" t="inlineStr">
        <is>
          <t>2024 Job Detail Report.pdf (Sage Timberline, 04/03/2026, 285 pages)</t>
        </is>
      </c>
    </row>
    <row r="21">
      <c r="B21" s="81" t="n">
        <v>16</v>
      </c>
      <c r="C21" s="50" t="inlineStr">
        <is>
          <t>1130CS</t>
        </is>
      </c>
      <c r="D21" s="50" t="inlineStr">
        <is>
          <t>Consolidated Supply Co.</t>
        </is>
      </c>
      <c r="E21" s="70" t="n">
        <v>348.12</v>
      </c>
      <c r="F21" s="81" t="n">
        <v>3</v>
      </c>
      <c r="G21" s="72">
        <f>E21/299677.2299999999</f>
        <v/>
      </c>
      <c r="H21" s="50" t="inlineStr">
        <is>
          <t>2024 Job Detail Report.pdf (Sage Timberline, 04/03/2026, 285 pages)</t>
        </is>
      </c>
      <c r="I21" s="53" t="n"/>
      <c r="J21" s="53" t="n"/>
    </row>
    <row r="22">
      <c r="B22" s="80" t="n">
        <v>17</v>
      </c>
      <c r="C22" s="48" t="inlineStr">
        <is>
          <t>1234CO</t>
        </is>
      </c>
      <c r="D22" s="48" t="inlineStr">
        <is>
          <t>Capital One Credit Card</t>
        </is>
      </c>
      <c r="E22" s="66" t="n">
        <v>315.62</v>
      </c>
      <c r="F22" s="80" t="n">
        <v>5</v>
      </c>
      <c r="G22" s="68">
        <f>E22/299677.2299999999</f>
        <v/>
      </c>
      <c r="H22" s="48" t="inlineStr">
        <is>
          <t>2024 Job Detail Report.pdf (Sage Timberline, 04/03/2026, 285 pages)</t>
        </is>
      </c>
    </row>
    <row r="23">
      <c r="B23" s="81" t="n">
        <v>18</v>
      </c>
      <c r="C23" s="50" t="inlineStr">
        <is>
          <t>5621HD</t>
        </is>
      </c>
      <c r="D23" s="50" t="inlineStr">
        <is>
          <t>Core &amp; Main LP $HD Supply Waterworks</t>
        </is>
      </c>
      <c r="E23" s="70" t="n">
        <v>256</v>
      </c>
      <c r="F23" s="81" t="n">
        <v>1</v>
      </c>
      <c r="G23" s="72">
        <f>E23/299677.2299999999</f>
        <v/>
      </c>
      <c r="H23" s="50" t="inlineStr">
        <is>
          <t>2024 Job Detail Report.pdf (Sage Timberline, 04/03/2026, 285 pages)</t>
        </is>
      </c>
      <c r="I23" s="53" t="n"/>
      <c r="J23" s="53" t="n"/>
    </row>
    <row r="24">
      <c r="B24" s="80" t="n">
        <v>19</v>
      </c>
      <c r="C24" s="48" t="inlineStr">
        <is>
          <t>1799AW</t>
        </is>
      </c>
      <c r="D24" s="48" t="inlineStr">
        <is>
          <t>AllWest Underground, Inc.</t>
        </is>
      </c>
      <c r="E24" s="66" t="n">
        <v>254.54</v>
      </c>
      <c r="F24" s="80" t="n">
        <v>2</v>
      </c>
      <c r="G24" s="68">
        <f>E24/299677.2299999999</f>
        <v/>
      </c>
      <c r="H24" s="48" t="inlineStr">
        <is>
          <t>2024 Job Detail Report.pdf (Sage Timberline, 04/03/2026, 285 pages)</t>
        </is>
      </c>
    </row>
    <row r="25">
      <c r="B25" s="81" t="n">
        <v>20</v>
      </c>
      <c r="C25" s="50" t="inlineStr">
        <is>
          <t>1421RA</t>
        </is>
      </c>
      <c r="D25" s="50" t="inlineStr">
        <is>
          <t>R.A. Brown Backflow Testing</t>
        </is>
      </c>
      <c r="E25" s="70" t="n">
        <v>197</v>
      </c>
      <c r="F25" s="81" t="n">
        <v>1</v>
      </c>
      <c r="G25" s="72">
        <f>E25/299677.2299999999</f>
        <v/>
      </c>
      <c r="H25" s="50" t="inlineStr">
        <is>
          <t>2024 Job Detail Report.pdf (Sage Timberline, 04/03/2026, 285 pages)</t>
        </is>
      </c>
      <c r="I25" s="53" t="n"/>
      <c r="J25" s="53" t="n"/>
    </row>
    <row r="26">
      <c r="B26" s="80" t="n">
        <v>21</v>
      </c>
      <c r="C26" s="48" t="inlineStr">
        <is>
          <t>1380RS</t>
        </is>
      </c>
      <c r="D26" s="48" t="inlineStr">
        <is>
          <t>Rosen Supply Kirkland</t>
        </is>
      </c>
      <c r="E26" s="66" t="n">
        <v>123.14</v>
      </c>
      <c r="F26" s="80" t="n">
        <v>2</v>
      </c>
      <c r="G26" s="68">
        <f>E26/299677.2299999999</f>
        <v/>
      </c>
      <c r="H26" s="48" t="inlineStr">
        <is>
          <t>2024 Job Detail Report.pdf (Sage Timberline, 04/03/2026, 285 pages)</t>
        </is>
      </c>
    </row>
    <row r="27">
      <c r="B27" s="81" t="n">
        <v>22</v>
      </c>
      <c r="C27" s="50" t="inlineStr">
        <is>
          <t>1978FC</t>
        </is>
      </c>
      <c r="D27" s="50" t="inlineStr">
        <is>
          <t>Fastenal Company</t>
        </is>
      </c>
      <c r="E27" s="70" t="n">
        <v>36.18</v>
      </c>
      <c r="F27" s="81" t="n">
        <v>1</v>
      </c>
      <c r="G27" s="72">
        <f>E27/299677.2299999999</f>
        <v/>
      </c>
      <c r="H27" s="50" t="inlineStr">
        <is>
          <t>2024 Job Detail Report.pdf (Sage Timberline, 04/03/2026, 285 pages)</t>
        </is>
      </c>
      <c r="I27" s="53" t="n"/>
      <c r="J27" s="53" t="n"/>
    </row>
    <row r="28">
      <c r="B28" s="80" t="n">
        <v>23</v>
      </c>
      <c r="C28" s="48" t="inlineStr">
        <is>
          <t>1233AE</t>
        </is>
      </c>
      <c r="D28" s="48" t="inlineStr">
        <is>
          <t>American Express 3-41000</t>
        </is>
      </c>
      <c r="E28" s="66" t="n">
        <v>2</v>
      </c>
      <c r="F28" s="80" t="n">
        <v>1</v>
      </c>
      <c r="G28" s="68">
        <f>E28/299677.2299999999</f>
        <v/>
      </c>
      <c r="H28" s="48" t="inlineStr">
        <is>
          <t>2024 Job Detail Report.pdf (Sage Timberline, 04/03/2026, 285 pages)</t>
        </is>
      </c>
    </row>
    <row r="29">
      <c r="B29" s="81" t="n">
        <v>24</v>
      </c>
      <c r="C29" s="50" t="inlineStr">
        <is>
          <t>2020RS</t>
        </is>
      </c>
      <c r="D29" s="50" t="inlineStr">
        <is>
          <t>Rosen Supply Company $Bellevue At Main</t>
        </is>
      </c>
      <c r="E29" s="70" t="n">
        <v>0</v>
      </c>
      <c r="F29" s="81" t="n">
        <v>2</v>
      </c>
      <c r="G29" s="72">
        <f>E29/299677.2299999999</f>
        <v/>
      </c>
      <c r="H29" s="50" t="inlineStr">
        <is>
          <t>2024 Job Detail Report.pdf (Sage Timberline, 04/03/2026, 285 pages)</t>
        </is>
      </c>
      <c r="I29" s="53" t="n"/>
      <c r="J29" s="53" t="n"/>
    </row>
    <row r="30">
      <c r="B30" s="74" t="inlineStr">
        <is>
          <t>TOTAL</t>
        </is>
      </c>
      <c r="E30" s="82">
        <f>SUM(E6:E29)</f>
        <v/>
      </c>
      <c r="F30" s="48">
        <f>SUM(F6:F29)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59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Change Log — Master Register</t>
        </is>
      </c>
    </row>
    <row r="3" ht="22" customHeight="1">
      <c r="B3" s="44" t="inlineStr">
        <is>
          <t>COs, CORs, RFIs, ASIs, Submittals, POs, Permits — from project folders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Event ID</t>
        </is>
      </c>
      <c r="C5" s="65" t="inlineStr">
        <is>
          <t>Type</t>
        </is>
      </c>
      <c r="D5" s="65" t="inlineStr">
        <is>
          <t>Date</t>
        </is>
      </c>
      <c r="E5" s="65" t="inlineStr">
        <is>
          <t>Subject</t>
        </is>
      </c>
      <c r="F5" s="65" t="inlineStr">
        <is>
          <t>Originator</t>
        </is>
      </c>
      <c r="G5" s="65" t="inlineStr">
        <is>
          <t>Cost Impact ($)</t>
        </is>
      </c>
      <c r="H5" s="65" t="inlineStr">
        <is>
          <t>Status</t>
        </is>
      </c>
      <c r="I5" s="65" t="inlineStr">
        <is>
          <t>Source</t>
        </is>
      </c>
    </row>
    <row r="6">
      <c r="B6" s="47" t="inlineStr">
        <is>
          <t>CONTRACT-ORIG</t>
        </is>
      </c>
      <c r="C6" s="48" t="inlineStr">
        <is>
          <t>Contract</t>
        </is>
      </c>
      <c r="D6" s="48" t="inlineStr">
        <is>
          <t>2015-04-21</t>
        </is>
      </c>
      <c r="E6" s="48" t="inlineStr">
        <is>
          <t>Prime subcontract — Lump Sum $1,763,480.00 (+9.6% WSST = $1,932,774.08 gross)</t>
        </is>
      </c>
      <c r="F6" s="48" t="inlineStr">
        <is>
          <t>Merrill Gardens at Ballard, LLC</t>
        </is>
      </c>
      <c r="G6" s="66" t="n">
        <v>1763480</v>
      </c>
      <c r="H6" s="48" t="inlineStr">
        <is>
          <t>Executed</t>
        </is>
      </c>
      <c r="I6" s="48" t="inlineStr">
        <is>
          <t>mgb contract brett signed OCR_D.pdf (21-Apr-2015, Lump Sum $1,932,774.08 gross incl $169,294 WSST = $1,763,480 net)</t>
        </is>
      </c>
    </row>
    <row r="7">
      <c r="B7" s="49" t="inlineStr">
        <is>
          <t>COR-02</t>
        </is>
      </c>
      <c r="C7" s="50" t="inlineStr">
        <is>
          <t>Change Order (COR)</t>
        </is>
      </c>
      <c r="D7" s="50" t="inlineStr">
        <is>
          <t>2016-01-11</t>
        </is>
      </c>
      <c r="E7" s="50" t="inlineStr">
        <is>
          <t>COR-02: RFI-061 ADDED EYEWASH STATIONS (rolled into CO#1)</t>
        </is>
      </c>
      <c r="F7" s="50" t="inlineStr">
        <is>
          <t>Merrill Gardens at Ballard, LLC</t>
        </is>
      </c>
      <c r="G7" s="70" t="n">
        <v>3015</v>
      </c>
      <c r="H7" s="50" t="inlineStr">
        <is>
          <t>Executed</t>
        </is>
      </c>
      <c r="I7" s="50" t="inlineStr">
        <is>
          <t>Change Orders/COR_s/Ballard MG - Outstanding COR_s.xlsx</t>
        </is>
      </c>
      <c r="J7" s="53" t="n"/>
    </row>
    <row r="8">
      <c r="B8" s="47" t="inlineStr">
        <is>
          <t>COR-FX</t>
        </is>
      </c>
      <c r="C8" s="48" t="inlineStr">
        <is>
          <t>Change Order (COR)</t>
        </is>
      </c>
      <c r="D8" s="48" t="inlineStr">
        <is>
          <t>2016-01-11</t>
        </is>
      </c>
      <c r="E8" s="48" t="inlineStr">
        <is>
          <t>COR-FX: ALTERNATE FIXTURE PRICING (rolled into CO#1)</t>
        </is>
      </c>
      <c r="F8" s="48" t="inlineStr">
        <is>
          <t>Merrill Gardens at Ballard, LLC</t>
        </is>
      </c>
      <c r="G8" s="66" t="n">
        <v>653</v>
      </c>
      <c r="H8" s="48" t="inlineStr">
        <is>
          <t>Executed</t>
        </is>
      </c>
      <c r="I8" s="48" t="inlineStr">
        <is>
          <t>Change Orders/COR_s/Ballard MG - Outstanding COR_s.xlsx</t>
        </is>
      </c>
    </row>
    <row r="9">
      <c r="B9" s="49" t="inlineStr">
        <is>
          <t>COR-05</t>
        </is>
      </c>
      <c r="C9" s="50" t="inlineStr">
        <is>
          <t>Change Order (COR)</t>
        </is>
      </c>
      <c r="D9" s="50" t="inlineStr">
        <is>
          <t>2016-01-11</t>
        </is>
      </c>
      <c r="E9" s="50" t="inlineStr">
        <is>
          <t>COR-05: UPGRADED P-17 SINK (rolled into CO#1)</t>
        </is>
      </c>
      <c r="F9" s="50" t="inlineStr">
        <is>
          <t>Merrill Gardens at Ballard, LLC</t>
        </is>
      </c>
      <c r="G9" s="70" t="n">
        <v>161</v>
      </c>
      <c r="H9" s="50" t="inlineStr">
        <is>
          <t>Executed</t>
        </is>
      </c>
      <c r="I9" s="50" t="inlineStr">
        <is>
          <t>Change Orders/COR_s/Ballard MG - Outstanding COR_s.xlsx</t>
        </is>
      </c>
      <c r="J9" s="53" t="n"/>
    </row>
    <row r="10">
      <c r="B10" s="47" t="inlineStr">
        <is>
          <t>COR-06-R1</t>
        </is>
      </c>
      <c r="C10" s="48" t="inlineStr">
        <is>
          <t>Change Order (COR)</t>
        </is>
      </c>
      <c r="D10" s="48" t="inlineStr">
        <is>
          <t>2016-02-18</t>
        </is>
      </c>
      <c r="E10" s="48" t="inlineStr">
        <is>
          <t>COR-06-R1: ASI-039-R1 Kitchen Equipment Changes (rolled into CO#2)</t>
        </is>
      </c>
      <c r="F10" s="48" t="inlineStr">
        <is>
          <t>Merrill Gardens at Ballard, LLC</t>
        </is>
      </c>
      <c r="G10" s="66" t="n">
        <v>1107</v>
      </c>
      <c r="H10" s="48" t="inlineStr">
        <is>
          <t>Executed</t>
        </is>
      </c>
      <c r="I10" s="48" t="inlineStr">
        <is>
          <t>Change Orders/COR_s/Ballard MG - Outstanding COR_s.xlsx</t>
        </is>
      </c>
    </row>
    <row r="11">
      <c r="B11" s="49" t="inlineStr">
        <is>
          <t>COR-04</t>
        </is>
      </c>
      <c r="C11" s="50" t="inlineStr">
        <is>
          <t>Change Order (COR)</t>
        </is>
      </c>
      <c r="D11" s="50" t="inlineStr">
        <is>
          <t>2016-02-18</t>
        </is>
      </c>
      <c r="E11" s="50" t="inlineStr">
        <is>
          <t>COR-04: CHANGE OUT CAST IRON 90'S (rolled into CO#3)</t>
        </is>
      </c>
      <c r="F11" s="50" t="inlineStr">
        <is>
          <t>Merrill Gardens at Ballard, LLC</t>
        </is>
      </c>
      <c r="G11" s="70" t="n">
        <v>9302</v>
      </c>
      <c r="H11" s="50" t="inlineStr">
        <is>
          <t>Executed</t>
        </is>
      </c>
      <c r="I11" s="50" t="inlineStr">
        <is>
          <t>Change Orders/COR_s/Ballard MG - Outstanding COR_s.xlsx</t>
        </is>
      </c>
      <c r="J11" s="53" t="n"/>
    </row>
    <row r="12">
      <c r="B12" s="47" t="inlineStr">
        <is>
          <t>COR-09</t>
        </is>
      </c>
      <c r="C12" s="48" t="inlineStr">
        <is>
          <t>Change Order (COR)</t>
        </is>
      </c>
      <c r="D12" s="48" t="inlineStr">
        <is>
          <t>2016-02-18</t>
        </is>
      </c>
      <c r="E12" s="48" t="inlineStr">
        <is>
          <t>COR-09: Undermount Kitchen &amp; Bar Sinks (rolled into CO#3)</t>
        </is>
      </c>
      <c r="F12" s="48" t="inlineStr">
        <is>
          <t>Merrill Gardens at Ballard, LLC</t>
        </is>
      </c>
      <c r="G12" s="66" t="n">
        <v>6842</v>
      </c>
      <c r="H12" s="48" t="inlineStr">
        <is>
          <t>Executed</t>
        </is>
      </c>
      <c r="I12" s="48" t="inlineStr">
        <is>
          <t>Change Orders/COR_s/Ballard MG - Outstanding COR_s.xlsx</t>
        </is>
      </c>
    </row>
    <row r="13">
      <c r="B13" s="49" t="inlineStr">
        <is>
          <t>COR-01</t>
        </is>
      </c>
      <c r="C13" s="50" t="inlineStr">
        <is>
          <t>Change Order (COR)</t>
        </is>
      </c>
      <c r="D13" s="50" t="inlineStr">
        <is>
          <t>2016-04-20</t>
        </is>
      </c>
      <c r="E13" s="50" t="inlineStr">
        <is>
          <t>COR-01: RFI-074 ADD AUTOWASH BOX (rolled into CO#4)</t>
        </is>
      </c>
      <c r="F13" s="50" t="inlineStr">
        <is>
          <t>Merrill Gardens at Ballard, LLC</t>
        </is>
      </c>
      <c r="G13" s="70" t="n">
        <v>637</v>
      </c>
      <c r="H13" s="50" t="inlineStr">
        <is>
          <t>Executed</t>
        </is>
      </c>
      <c r="I13" s="50" t="inlineStr">
        <is>
          <t>Change Orders/COR_s/Ballard MG - Outstanding COR_s.xlsx</t>
        </is>
      </c>
      <c r="J13" s="53" t="n"/>
    </row>
    <row r="14">
      <c r="B14" s="47" t="inlineStr">
        <is>
          <t>COR-03</t>
        </is>
      </c>
      <c r="C14" s="48" t="inlineStr">
        <is>
          <t>Change Order (COR)</t>
        </is>
      </c>
      <c r="D14" s="48" t="inlineStr">
        <is>
          <t>2016-04-20</t>
        </is>
      </c>
      <c r="E14" s="48" t="inlineStr">
        <is>
          <t>COR-03: RFI-122 MOVE KITCHEN STACKS (rolled into CO#4)</t>
        </is>
      </c>
      <c r="F14" s="48" t="inlineStr">
        <is>
          <t>Merrill Gardens at Ballard, LLC</t>
        </is>
      </c>
      <c r="G14" s="66" t="n">
        <v>2012</v>
      </c>
      <c r="H14" s="48" t="inlineStr">
        <is>
          <t>Executed</t>
        </is>
      </c>
      <c r="I14" s="48" t="inlineStr">
        <is>
          <t>Change Orders/COR_s/Ballard MG - Outstanding COR_s.xlsx</t>
        </is>
      </c>
    </row>
    <row r="15">
      <c r="B15" s="49" t="inlineStr">
        <is>
          <t>COR-07</t>
        </is>
      </c>
      <c r="C15" s="50" t="inlineStr">
        <is>
          <t>Change Order (COR)</t>
        </is>
      </c>
      <c r="D15" s="50" t="inlineStr">
        <is>
          <t>2016-04-20</t>
        </is>
      </c>
      <c r="E15" s="50" t="inlineStr">
        <is>
          <t>COR-07: RFI-159 Condenser Rack Drain (rolled into CO#4)</t>
        </is>
      </c>
      <c r="F15" s="50" t="inlineStr">
        <is>
          <t>Merrill Gardens at Ballard, LLC</t>
        </is>
      </c>
      <c r="G15" s="70" t="n">
        <v>271</v>
      </c>
      <c r="H15" s="50" t="inlineStr">
        <is>
          <t>Executed</t>
        </is>
      </c>
      <c r="I15" s="50" t="inlineStr">
        <is>
          <t>Change Orders/COR_s/Ballard MG - Outstanding COR_s.xlsx</t>
        </is>
      </c>
      <c r="J15" s="53" t="n"/>
    </row>
    <row r="16">
      <c r="B16" s="47" t="inlineStr">
        <is>
          <t>COR-08</t>
        </is>
      </c>
      <c r="C16" s="48" t="inlineStr">
        <is>
          <t>Change Order (COR)</t>
        </is>
      </c>
      <c r="D16" s="48" t="inlineStr">
        <is>
          <t>2016-04-20</t>
        </is>
      </c>
      <c r="E16" s="48" t="inlineStr">
        <is>
          <t>COR-08: RFI-162 Added Drinking Fountain (rolled into CO#4)</t>
        </is>
      </c>
      <c r="F16" s="48" t="inlineStr">
        <is>
          <t>Merrill Gardens at Ballard, LLC</t>
        </is>
      </c>
      <c r="G16" s="66" t="n">
        <v>2020</v>
      </c>
      <c r="H16" s="48" t="inlineStr">
        <is>
          <t>Executed</t>
        </is>
      </c>
      <c r="I16" s="48" t="inlineStr">
        <is>
          <t>Change Orders/COR_s/Ballard MG - Outstanding COR_s.xlsx</t>
        </is>
      </c>
    </row>
    <row r="17">
      <c r="B17" s="49" t="inlineStr">
        <is>
          <t>COR-10</t>
        </is>
      </c>
      <c r="C17" s="50" t="inlineStr">
        <is>
          <t>Change Order (COR)</t>
        </is>
      </c>
      <c r="D17" s="50" t="inlineStr">
        <is>
          <t>2016-04-20</t>
        </is>
      </c>
      <c r="E17" s="50" t="inlineStr">
        <is>
          <t>COR-10: RFI-175 Added Sink (rolled into CO#4)</t>
        </is>
      </c>
      <c r="F17" s="50" t="inlineStr">
        <is>
          <t>Merrill Gardens at Ballard, LLC</t>
        </is>
      </c>
      <c r="G17" s="70" t="n">
        <v>933</v>
      </c>
      <c r="H17" s="50" t="inlineStr">
        <is>
          <t>Executed</t>
        </is>
      </c>
      <c r="I17" s="50" t="inlineStr">
        <is>
          <t>Change Orders/COR_s/Ballard MG - Outstanding COR_s.xlsx</t>
        </is>
      </c>
      <c r="J17" s="53" t="n"/>
    </row>
    <row r="18">
      <c r="B18" s="47" t="inlineStr">
        <is>
          <t>COR-11</t>
        </is>
      </c>
      <c r="C18" s="48" t="inlineStr">
        <is>
          <t>Change Order (COR)</t>
        </is>
      </c>
      <c r="D18" s="48" t="inlineStr">
        <is>
          <t>2016-04-20</t>
        </is>
      </c>
      <c r="E18" s="48" t="inlineStr">
        <is>
          <t>COR-11: Stolen Fittings &amp; Valves (rolled into CO#4)</t>
        </is>
      </c>
      <c r="F18" s="48" t="inlineStr">
        <is>
          <t>Merrill Gardens at Ballard, LLC</t>
        </is>
      </c>
      <c r="G18" s="66" t="n">
        <v>1772</v>
      </c>
      <c r="H18" s="48" t="inlineStr">
        <is>
          <t>Executed</t>
        </is>
      </c>
      <c r="I18" s="48" t="inlineStr">
        <is>
          <t>Change Orders/COR_s/Ballard MG - Outstanding COR_s.xlsx</t>
        </is>
      </c>
    </row>
    <row r="19">
      <c r="B19" s="49" t="inlineStr">
        <is>
          <t>COR-12</t>
        </is>
      </c>
      <c r="C19" s="50" t="inlineStr">
        <is>
          <t>Change Order (COR)</t>
        </is>
      </c>
      <c r="D19" s="50" t="inlineStr">
        <is>
          <t>2016-04-20</t>
        </is>
      </c>
      <c r="E19" s="50" t="inlineStr">
        <is>
          <t>COR-12: ASI-045 Level 7 Suite Revision (rolled into CO#4)</t>
        </is>
      </c>
      <c r="F19" s="50" t="inlineStr">
        <is>
          <t>Merrill Gardens at Ballard, LLC</t>
        </is>
      </c>
      <c r="G19" s="70" t="n">
        <v>21954</v>
      </c>
      <c r="H19" s="50" t="inlineStr">
        <is>
          <t>Executed</t>
        </is>
      </c>
      <c r="I19" s="50" t="inlineStr">
        <is>
          <t>Change Orders/COR_s/Ballard MG - Outstanding COR_s.xlsx</t>
        </is>
      </c>
      <c r="J19" s="53" t="n"/>
    </row>
    <row r="20">
      <c r="B20" s="47" t="inlineStr">
        <is>
          <t>COR-Kitchen Vent</t>
        </is>
      </c>
      <c r="C20" s="48" t="inlineStr">
        <is>
          <t>Change Order (COR)</t>
        </is>
      </c>
      <c r="D20" s="48" t="inlineStr">
        <is>
          <t>2016-06-24</t>
        </is>
      </c>
      <c r="E20" s="48" t="inlineStr">
        <is>
          <t>COR-Kitchen Vent: Move Vent for Kitchen Exhaust (rolled into CO#6)</t>
        </is>
      </c>
      <c r="F20" s="48" t="inlineStr">
        <is>
          <t>Merrill Gardens at Ballard, LLC</t>
        </is>
      </c>
      <c r="G20" s="66" t="n">
        <v>517</v>
      </c>
      <c r="H20" s="48" t="inlineStr">
        <is>
          <t>Executed</t>
        </is>
      </c>
      <c r="I20" s="48" t="inlineStr">
        <is>
          <t>Change Orders/COR_s/Ballard MG - Outstanding COR_s.xlsx</t>
        </is>
      </c>
    </row>
    <row r="21">
      <c r="B21" s="49" t="inlineStr">
        <is>
          <t>COR-15</t>
        </is>
      </c>
      <c r="C21" s="50" t="inlineStr">
        <is>
          <t>Change Order (COR)</t>
        </is>
      </c>
      <c r="D21" s="50" t="inlineStr">
        <is>
          <t>2016-07-14</t>
        </is>
      </c>
      <c r="E21" s="50" t="inlineStr">
        <is>
          <t>COR-15: Sink Changes (rolled into CO#7)</t>
        </is>
      </c>
      <c r="F21" s="50" t="inlineStr">
        <is>
          <t>Merrill Gardens at Ballard, LLC</t>
        </is>
      </c>
      <c r="G21" s="70" t="n">
        <v>732</v>
      </c>
      <c r="H21" s="50" t="inlineStr">
        <is>
          <t>Executed</t>
        </is>
      </c>
      <c r="I21" s="50" t="inlineStr">
        <is>
          <t>Change Orders/COR_s/Ballard MG - Outstanding COR_s.xlsx</t>
        </is>
      </c>
      <c r="J21" s="53" t="n"/>
    </row>
    <row r="22">
      <c r="B22" s="47" t="inlineStr">
        <is>
          <t>COR-14</t>
        </is>
      </c>
      <c r="C22" s="48" t="inlineStr">
        <is>
          <t>Change Order (COR)</t>
        </is>
      </c>
      <c r="D22" s="48" t="inlineStr">
        <is>
          <t>2016-08-19</t>
        </is>
      </c>
      <c r="E22" s="48" t="inlineStr">
        <is>
          <t>COR-14: Attic Stock (rolled into CO#8)</t>
        </is>
      </c>
      <c r="F22" s="48" t="inlineStr">
        <is>
          <t>Merrill Gardens at Ballard, LLC</t>
        </is>
      </c>
      <c r="G22" s="66" t="n">
        <v>690</v>
      </c>
      <c r="H22" s="48" t="inlineStr">
        <is>
          <t>Executed</t>
        </is>
      </c>
      <c r="I22" s="48" t="inlineStr">
        <is>
          <t>Change Orders/COR_s/Ballard MG - Outstanding COR_s.xlsx</t>
        </is>
      </c>
    </row>
    <row r="23">
      <c r="B23" s="49" t="inlineStr">
        <is>
          <t>COR-16</t>
        </is>
      </c>
      <c r="C23" s="50" t="inlineStr">
        <is>
          <t>Change Order (COR)</t>
        </is>
      </c>
      <c r="D23" s="50" t="inlineStr">
        <is>
          <t>2016-08-19</t>
        </is>
      </c>
      <c r="E23" s="50" t="inlineStr">
        <is>
          <t>COR-16: Eyewash Stations (rolled into CO#8)</t>
        </is>
      </c>
      <c r="F23" s="50" t="inlineStr">
        <is>
          <t>Merrill Gardens at Ballard, LLC</t>
        </is>
      </c>
      <c r="G23" s="70" t="n">
        <v>2045</v>
      </c>
      <c r="H23" s="50" t="inlineStr">
        <is>
          <t>Executed</t>
        </is>
      </c>
      <c r="I23" s="50" t="inlineStr">
        <is>
          <t>Change Orders/COR_s/Ballard MG - Outstanding COR_s.xlsx</t>
        </is>
      </c>
      <c r="J23" s="53" t="n"/>
    </row>
    <row r="24">
      <c r="B24" s="47" t="inlineStr">
        <is>
          <t>CO-CANCELLED</t>
        </is>
      </c>
      <c r="C24" s="48" t="inlineStr">
        <is>
          <t>COR (cancelled)</t>
        </is>
      </c>
      <c r="D24" s="48" t="inlineStr">
        <is>
          <t>2015-12-11</t>
        </is>
      </c>
      <c r="E24" s="48" t="inlineStr">
        <is>
          <t>MGB - COR-06 ASI-039 Kitchen Equipment (superseded by COR-06-R1)</t>
        </is>
      </c>
      <c r="F24" s="48" t="inlineStr">
        <is>
          <t>Merrill Gardens at Ballard, LLC</t>
        </is>
      </c>
      <c r="G24" s="66" t="n">
        <v>1480</v>
      </c>
      <c r="H24" s="48" t="inlineStr">
        <is>
          <t>Cancelled</t>
        </is>
      </c>
      <c r="I24" s="48" t="inlineStr">
        <is>
          <t>Change Orders/COR_s/Ballard MG - Outstanding COR_s.xlsx</t>
        </is>
      </c>
    </row>
    <row r="25">
      <c r="B25" s="49" t="inlineStr">
        <is>
          <t>CO-GAP</t>
        </is>
      </c>
      <c r="C25" s="50" t="inlineStr">
        <is>
          <t>CO Reconciliation</t>
        </is>
      </c>
      <c r="D25" s="50" t="inlineStr">
        <is>
          <t>—</t>
        </is>
      </c>
      <c r="E25" s="50" t="inlineStr">
        <is>
          <t>Documented CORs $54,663 &gt; JDR-implied $48,363 by $6,300; includes WSST net/gross variance &amp; repriced/cancelled items</t>
        </is>
      </c>
      <c r="F25" s="50" t="inlineStr">
        <is>
          <t>—</t>
        </is>
      </c>
      <c r="G25" s="70" t="n">
        <v>6300</v>
      </c>
      <c r="H25" s="50" t="inlineStr">
        <is>
          <t>Reconciled (note)</t>
        </is>
      </c>
      <c r="I25" s="50" t="inlineStr">
        <is>
          <t>2024 Job Detail Report.pdf (Sage Timberline, 04/03/2026, 285 pages) + Change Orders/COR_s/Ballard MG - Outstanding COR_s.xlsx</t>
        </is>
      </c>
      <c r="J25" s="53" t="n"/>
    </row>
    <row r="26">
      <c r="B26" s="47" t="inlineStr">
        <is>
          <t>ASI-007</t>
        </is>
      </c>
      <c r="C26" s="48" t="inlineStr">
        <is>
          <t>ASI</t>
        </is>
      </c>
      <c r="D26" s="96" t="inlineStr">
        <is>
          <t>NOT FOUND</t>
        </is>
      </c>
      <c r="E26" s="48" t="inlineStr">
        <is>
          <t>Package Lockers (Hadley Ballard note: also appears in 2023)</t>
        </is>
      </c>
      <c r="F26" s="48" t="inlineStr">
        <is>
          <t>Urbal Architecture (Seattle)</t>
        </is>
      </c>
      <c r="G26" s="66" t="n">
        <v>0</v>
      </c>
      <c r="H26" s="48" t="inlineStr">
        <is>
          <t>Resolved</t>
        </is>
      </c>
      <c r="I26" s="48" t="inlineStr">
        <is>
          <t>ASI-RFI/</t>
        </is>
      </c>
    </row>
    <row r="27">
      <c r="B27" s="49" t="inlineStr">
        <is>
          <t>ASI-024</t>
        </is>
      </c>
      <c r="C27" s="50" t="inlineStr">
        <is>
          <t>ASI</t>
        </is>
      </c>
      <c r="D27" s="96" t="inlineStr">
        <is>
          <t>NOT FOUND</t>
        </is>
      </c>
      <c r="E27" s="50" t="inlineStr">
        <is>
          <t>Overtime — Joe Barnhart (gas main relocation)</t>
        </is>
      </c>
      <c r="F27" s="50" t="inlineStr">
        <is>
          <t>Urbal Architecture (Seattle)</t>
        </is>
      </c>
      <c r="G27" s="70" t="n">
        <v>4232</v>
      </c>
      <c r="H27" s="50" t="inlineStr">
        <is>
          <t>Resolved</t>
        </is>
      </c>
      <c r="I27" s="50" t="inlineStr">
        <is>
          <t>ASI-RFI/ + COR outstanding sheet2</t>
        </is>
      </c>
      <c r="J27" s="53" t="n"/>
    </row>
    <row r="28">
      <c r="B28" s="47" t="inlineStr">
        <is>
          <t>ASI-039</t>
        </is>
      </c>
      <c r="C28" s="48" t="inlineStr">
        <is>
          <t>ASI</t>
        </is>
      </c>
      <c r="D28" s="48" t="inlineStr">
        <is>
          <t>2016-01</t>
        </is>
      </c>
      <c r="E28" s="48" t="inlineStr">
        <is>
          <t>Kitchen Equipment Changes (revised to -R1, COR-06-R1)</t>
        </is>
      </c>
      <c r="F28" s="48" t="inlineStr">
        <is>
          <t>Urbal Architecture (Seattle)</t>
        </is>
      </c>
      <c r="G28" s="66" t="n">
        <v>1107</v>
      </c>
      <c r="H28" s="48" t="inlineStr">
        <is>
          <t>Resolved</t>
        </is>
      </c>
      <c r="I28" s="48" t="inlineStr">
        <is>
          <t>ASI-RFI/ + CO#2</t>
        </is>
      </c>
    </row>
    <row r="29">
      <c r="B29" s="49" t="inlineStr">
        <is>
          <t>ASI-045</t>
        </is>
      </c>
      <c r="C29" s="50" t="inlineStr">
        <is>
          <t>ASI</t>
        </is>
      </c>
      <c r="D29" s="50" t="inlineStr">
        <is>
          <t>2016-04</t>
        </is>
      </c>
      <c r="E29" s="50" t="inlineStr">
        <is>
          <t>Level 7 Suite Revision</t>
        </is>
      </c>
      <c r="F29" s="50" t="inlineStr">
        <is>
          <t>Urbal Architecture (Seattle)</t>
        </is>
      </c>
      <c r="G29" s="70" t="n">
        <v>21954</v>
      </c>
      <c r="H29" s="50" t="inlineStr">
        <is>
          <t>Resolved</t>
        </is>
      </c>
      <c r="I29" s="50" t="inlineStr">
        <is>
          <t>ASI-RFI/ + CO#4</t>
        </is>
      </c>
      <c r="J29" s="53" t="n"/>
    </row>
    <row r="30">
      <c r="B30" s="47" t="inlineStr">
        <is>
          <t>RFI-BATCH</t>
        </is>
      </c>
      <c r="C30" s="48" t="inlineStr">
        <is>
          <t>RFI batch</t>
        </is>
      </c>
      <c r="D30" s="96" t="inlineStr">
        <is>
          <t>NOT FOUND</t>
        </is>
      </c>
      <c r="E30" s="48" t="inlineStr">
        <is>
          <t>52 ASI-RFI PDFs: RFI-051 through RFI-491+ (Urbal Architecture responses)</t>
        </is>
      </c>
      <c r="F30" s="48" t="inlineStr">
        <is>
          <t>Urbal Architecture (Seattle)/Sub/GC</t>
        </is>
      </c>
      <c r="G30" s="66" t="n">
        <v>0</v>
      </c>
      <c r="H30" s="48" t="inlineStr">
        <is>
          <t>Resolved</t>
        </is>
      </c>
      <c r="I30" s="48" t="inlineStr">
        <is>
          <t>ASI-RFI/</t>
        </is>
      </c>
    </row>
    <row r="31">
      <c r="B31" s="49" t="inlineStr">
        <is>
          <t>DROPBOX-RFI</t>
        </is>
      </c>
      <c r="C31" s="50" t="inlineStr">
        <is>
          <t>RFI batch</t>
        </is>
      </c>
      <c r="D31" s="96" t="inlineStr">
        <is>
          <t>NOT FOUND</t>
        </is>
      </c>
      <c r="E31" s="50" t="inlineStr">
        <is>
          <t>Additional RFI docs from field tablets</t>
        </is>
      </c>
      <c r="F31" s="50" t="inlineStr">
        <is>
          <t>Sub (OWP)</t>
        </is>
      </c>
      <c r="G31" s="70" t="n">
        <v>0</v>
      </c>
      <c r="H31" s="50" t="inlineStr">
        <is>
          <t>Resolved</t>
        </is>
      </c>
      <c r="I31" s="50" t="inlineStr">
        <is>
          <t>DROPBOX FILES FROM TABLETS/</t>
        </is>
      </c>
      <c r="J31" s="53" t="n"/>
    </row>
    <row r="32">
      <c r="B32" s="47" t="inlineStr">
        <is>
          <t>SUB-EQUIPMENT</t>
        </is>
      </c>
      <c r="C32" s="48" t="inlineStr">
        <is>
          <t>Submittal batch</t>
        </is>
      </c>
      <c r="D32" s="96" t="inlineStr">
        <is>
          <t>NOT FOUND</t>
        </is>
      </c>
      <c r="E32" s="48" t="inlineStr">
        <is>
          <t>Equipment submittals (Backflow preventer Watts LF009/957/SS009, Expansion tank, boilers, pumps)</t>
        </is>
      </c>
      <c r="F32" s="48" t="inlineStr">
        <is>
          <t>Sub (OWP)</t>
        </is>
      </c>
      <c r="G32" s="66" t="n">
        <v>0</v>
      </c>
      <c r="H32" s="48" t="inlineStr">
        <is>
          <t>Approved</t>
        </is>
      </c>
      <c r="I32" s="48" t="inlineStr">
        <is>
          <t>Submittals/EQUIPMENT SUBMITTALS/</t>
        </is>
      </c>
    </row>
    <row r="33">
      <c r="B33" s="49" t="inlineStr">
        <is>
          <t>SUB-FIXTURE</t>
        </is>
      </c>
      <c r="C33" s="50" t="inlineStr">
        <is>
          <t>Submittal batch</t>
        </is>
      </c>
      <c r="D33" s="96" t="inlineStr">
        <is>
          <t>NOT FOUND</t>
        </is>
      </c>
      <c r="E33" s="50" t="inlineStr">
        <is>
          <t>Fixture submittals (WC, lav, tub/shower, sinks, faucets) — original + revised</t>
        </is>
      </c>
      <c r="F33" s="50" t="inlineStr">
        <is>
          <t>Sub (OWP)</t>
        </is>
      </c>
      <c r="G33" s="70" t="n">
        <v>0</v>
      </c>
      <c r="H33" s="50" t="inlineStr">
        <is>
          <t>Approved</t>
        </is>
      </c>
      <c r="I33" s="50" t="inlineStr">
        <is>
          <t>Submittals/FIXTURE SUBMITTALS/</t>
        </is>
      </c>
      <c r="J33" s="53" t="n"/>
    </row>
    <row r="34">
      <c r="B34" s="47" t="inlineStr">
        <is>
          <t>SUB-MATERIAL</t>
        </is>
      </c>
      <c r="C34" s="48" t="inlineStr">
        <is>
          <t>Submittal batch</t>
        </is>
      </c>
      <c r="D34" s="96" t="inlineStr">
        <is>
          <t>NOT FOUND</t>
        </is>
      </c>
      <c r="E34" s="48" t="inlineStr">
        <is>
          <t>Material submittals (PVC, cast iron, valves, insulation, trap seals)</t>
        </is>
      </c>
      <c r="F34" s="48" t="inlineStr">
        <is>
          <t>Sub (OWP)</t>
        </is>
      </c>
      <c r="G34" s="66" t="n">
        <v>0</v>
      </c>
      <c r="H34" s="48" t="inlineStr">
        <is>
          <t>Approved</t>
        </is>
      </c>
      <c r="I34" s="48" t="inlineStr">
        <is>
          <t>Submittals/MATERIAL SUBMITTALS/</t>
        </is>
      </c>
    </row>
    <row r="35">
      <c r="B35" s="49" t="inlineStr">
        <is>
          <t>SUB-UG</t>
        </is>
      </c>
      <c r="C35" s="50" t="inlineStr">
        <is>
          <t>Submittal batch</t>
        </is>
      </c>
      <c r="D35" s="96" t="inlineStr">
        <is>
          <t>NOT FOUND</t>
        </is>
      </c>
      <c r="E35" s="50" t="inlineStr">
        <is>
          <t>Underground &amp; Garage submittals (trench drains, pump basins, oil-water separator)</t>
        </is>
      </c>
      <c r="F35" s="50" t="inlineStr">
        <is>
          <t>Sub (OWP)</t>
        </is>
      </c>
      <c r="G35" s="70" t="n">
        <v>0</v>
      </c>
      <c r="H35" s="50" t="inlineStr">
        <is>
          <t>Approved</t>
        </is>
      </c>
      <c r="I35" s="50" t="inlineStr">
        <is>
          <t>Submittals/UNDERGROUND &amp; GARAGE SUBMITTALS/</t>
        </is>
      </c>
      <c r="J35" s="53" t="n"/>
    </row>
    <row r="36">
      <c r="B36" s="47" t="inlineStr">
        <is>
          <t>SUB-ALTKS</t>
        </is>
      </c>
      <c r="C36" s="48" t="inlineStr">
        <is>
          <t>Submittal batch</t>
        </is>
      </c>
      <c r="D36" s="96" t="inlineStr">
        <is>
          <t>NOT FOUND</t>
        </is>
      </c>
      <c r="E36" s="48" t="inlineStr">
        <is>
          <t>Alternate Kitchen Sinks submittals (undermount kitchen &amp; bar sinks)</t>
        </is>
      </c>
      <c r="F36" s="48" t="inlineStr">
        <is>
          <t>Sub (OWP)</t>
        </is>
      </c>
      <c r="G36" s="66" t="n">
        <v>0</v>
      </c>
      <c r="H36" s="48" t="inlineStr">
        <is>
          <t>Approved</t>
        </is>
      </c>
      <c r="I36" s="48" t="inlineStr">
        <is>
          <t>Submittals/ALTERNATE KITCHEN SINKS/</t>
        </is>
      </c>
    </row>
    <row r="37">
      <c r="B37" s="49" t="inlineStr">
        <is>
          <t>SUB-SUMP</t>
        </is>
      </c>
      <c r="C37" s="50" t="inlineStr">
        <is>
          <t>Submittal batch</t>
        </is>
      </c>
      <c r="D37" s="96" t="inlineStr">
        <is>
          <t>NOT FOUND</t>
        </is>
      </c>
      <c r="E37" s="50" t="inlineStr">
        <is>
          <t>Sump pumps submittals</t>
        </is>
      </c>
      <c r="F37" s="50" t="inlineStr">
        <is>
          <t>Sub (OWP)</t>
        </is>
      </c>
      <c r="G37" s="70" t="n">
        <v>0</v>
      </c>
      <c r="H37" s="50" t="inlineStr">
        <is>
          <t>Approved</t>
        </is>
      </c>
      <c r="I37" s="50" t="inlineStr">
        <is>
          <t>Submittals/SUMP PUMPS/</t>
        </is>
      </c>
      <c r="J37" s="53" t="n"/>
    </row>
    <row r="38">
      <c r="B38" s="47" t="inlineStr">
        <is>
          <t>SUB-RESPONSES</t>
        </is>
      </c>
      <c r="C38" s="48" t="inlineStr">
        <is>
          <t>Submittal Responses</t>
        </is>
      </c>
      <c r="D38" s="96" t="inlineStr">
        <is>
          <t>NOT FOUND</t>
        </is>
      </c>
      <c r="E38" s="48" t="inlineStr">
        <is>
          <t>Returned submittal responses from Architect</t>
        </is>
      </c>
      <c r="F38" s="48" t="inlineStr">
        <is>
          <t>Urbal Architecture (Seattle)</t>
        </is>
      </c>
      <c r="G38" s="66" t="n">
        <v>0</v>
      </c>
      <c r="H38" s="48" t="inlineStr">
        <is>
          <t>Logged</t>
        </is>
      </c>
      <c r="I38" s="48" t="inlineStr">
        <is>
          <t>Submittals/RESPONSES/</t>
        </is>
      </c>
    </row>
    <row r="39">
      <c r="B39" s="49" t="inlineStr">
        <is>
          <t>PERMIT-PLUMBING</t>
        </is>
      </c>
      <c r="C39" s="50" t="inlineStr">
        <is>
          <t>Permit</t>
        </is>
      </c>
      <c r="D39" s="50" t="inlineStr">
        <is>
          <t>2016-04-21</t>
        </is>
      </c>
      <c r="E39" s="50" t="inlineStr">
        <is>
          <t>Plumbing permit (MGB ApplicationPlumbingPermit + MGB plumbing permit)</t>
        </is>
      </c>
      <c r="F39" s="50" t="inlineStr">
        <is>
          <t>Seattle DPD</t>
        </is>
      </c>
      <c r="G39" s="70" t="n">
        <v>0</v>
      </c>
      <c r="H39" s="50" t="inlineStr">
        <is>
          <t>Issued</t>
        </is>
      </c>
      <c r="I39" s="50" t="inlineStr">
        <is>
          <t>Permits/</t>
        </is>
      </c>
      <c r="J39" s="53" t="n"/>
    </row>
    <row r="40">
      <c r="B40" s="47" t="inlineStr">
        <is>
          <t>PERMIT-PLUMBING-REN</t>
        </is>
      </c>
      <c r="C40" s="48" t="inlineStr">
        <is>
          <t>Permit</t>
        </is>
      </c>
      <c r="D40" s="96" t="inlineStr">
        <is>
          <t>NOT FOUND</t>
        </is>
      </c>
      <c r="E40" s="48" t="inlineStr">
        <is>
          <t>Plumbing permit renewed</t>
        </is>
      </c>
      <c r="F40" s="48" t="inlineStr">
        <is>
          <t>Seattle DPD</t>
        </is>
      </c>
      <c r="G40" s="66" t="n">
        <v>0</v>
      </c>
      <c r="H40" s="48" t="inlineStr">
        <is>
          <t>Issued</t>
        </is>
      </c>
      <c r="I40" s="48" t="inlineStr">
        <is>
          <t>Permits/</t>
        </is>
      </c>
    </row>
    <row r="41">
      <c r="B41" s="49" t="inlineStr">
        <is>
          <t>PERMIT-BACKFLOW</t>
        </is>
      </c>
      <c r="C41" s="50" t="inlineStr">
        <is>
          <t>Permit</t>
        </is>
      </c>
      <c r="D41" s="96" t="inlineStr">
        <is>
          <t>NOT FOUND</t>
        </is>
      </c>
      <c r="E41" s="50" t="inlineStr">
        <is>
          <t>Backflow permit (+ renewal)</t>
        </is>
      </c>
      <c r="F41" s="50" t="inlineStr">
        <is>
          <t>Seattle DPD</t>
        </is>
      </c>
      <c r="G41" s="70" t="n">
        <v>0</v>
      </c>
      <c r="H41" s="50" t="inlineStr">
        <is>
          <t>Issued</t>
        </is>
      </c>
      <c r="I41" s="50" t="inlineStr">
        <is>
          <t>Permits/</t>
        </is>
      </c>
      <c r="J41" s="53" t="n"/>
    </row>
    <row r="42">
      <c r="B42" s="47" t="inlineStr">
        <is>
          <t>PERMIT-BOILER</t>
        </is>
      </c>
      <c r="C42" s="48" t="inlineStr">
        <is>
          <t>Permit</t>
        </is>
      </c>
      <c r="D42" s="48" t="inlineStr">
        <is>
          <t>2016-04-21</t>
        </is>
      </c>
      <c r="E42" s="48" t="inlineStr">
        <is>
          <t>Boiler permit</t>
        </is>
      </c>
      <c r="F42" s="48" t="inlineStr">
        <is>
          <t>WA L&amp;I</t>
        </is>
      </c>
      <c r="G42" s="66" t="n">
        <v>0</v>
      </c>
      <c r="H42" s="48" t="inlineStr">
        <is>
          <t>Issued</t>
        </is>
      </c>
      <c r="I42" s="48" t="inlineStr">
        <is>
          <t>Permits/</t>
        </is>
      </c>
    </row>
    <row r="43">
      <c r="B43" s="49" t="inlineStr">
        <is>
          <t>PERMIT-GAS</t>
        </is>
      </c>
      <c r="C43" s="50" t="inlineStr">
        <is>
          <t>Permit</t>
        </is>
      </c>
      <c r="D43" s="96" t="inlineStr">
        <is>
          <t>NOT FOUND</t>
        </is>
      </c>
      <c r="E43" s="50" t="inlineStr">
        <is>
          <t>Gas permit</t>
        </is>
      </c>
      <c r="F43" s="50" t="inlineStr">
        <is>
          <t>Seattle DPD</t>
        </is>
      </c>
      <c r="G43" s="70" t="n">
        <v>0</v>
      </c>
      <c r="H43" s="50" t="inlineStr">
        <is>
          <t>Issued</t>
        </is>
      </c>
      <c r="I43" s="50" t="inlineStr">
        <is>
          <t>Permits/</t>
        </is>
      </c>
      <c r="J43" s="53" t="n"/>
    </row>
    <row r="44">
      <c r="B44" s="47" t="inlineStr">
        <is>
          <t>PO-COMPLETED</t>
        </is>
      </c>
      <c r="C44" s="48" t="inlineStr">
        <is>
          <t>PO batch</t>
        </is>
      </c>
      <c r="D44" s="96" t="inlineStr">
        <is>
          <t>NOT FOUND</t>
        </is>
      </c>
      <c r="E44" s="48" t="inlineStr">
        <is>
          <t>102 completed POs (including key Rosen/Keller/Mech Sales/QCP orders)</t>
        </is>
      </c>
      <c r="F44" s="48" t="inlineStr">
        <is>
          <t>Sub (OWP)</t>
        </is>
      </c>
      <c r="G44" s="66" t="n">
        <v>0</v>
      </c>
      <c r="H44" s="48" t="inlineStr">
        <is>
          <t>Complete</t>
        </is>
      </c>
      <c r="I44" s="48" t="inlineStr">
        <is>
          <t>PO_S/3 Completed/</t>
        </is>
      </c>
    </row>
    <row r="45">
      <c r="B45" s="49" t="inlineStr">
        <is>
          <t>PO-SCHEDULED</t>
        </is>
      </c>
      <c r="C45" s="50" t="inlineStr">
        <is>
          <t>PO batch</t>
        </is>
      </c>
      <c r="D45" s="96" t="inlineStr">
        <is>
          <t>NOT FOUND</t>
        </is>
      </c>
      <c r="E45" s="50" t="inlineStr">
        <is>
          <t>36 scheduled POs</t>
        </is>
      </c>
      <c r="F45" s="50" t="inlineStr">
        <is>
          <t>Sub (OWP)</t>
        </is>
      </c>
      <c r="G45" s="70" t="n">
        <v>0</v>
      </c>
      <c r="H45" s="50" t="inlineStr">
        <is>
          <t>Scheduled</t>
        </is>
      </c>
      <c r="I45" s="50" t="inlineStr">
        <is>
          <t>PO_S/2 Scheduled/</t>
        </is>
      </c>
      <c r="J45" s="53" t="n"/>
    </row>
    <row r="46">
      <c r="B46" s="47" t="inlineStr">
        <is>
          <t>PO-TRIM</t>
        </is>
      </c>
      <c r="C46" s="48" t="inlineStr">
        <is>
          <t>PO batch (trim)</t>
        </is>
      </c>
      <c r="D46" s="96" t="inlineStr">
        <is>
          <t>NOT FOUND</t>
        </is>
      </c>
      <c r="E46" s="48" t="inlineStr">
        <is>
          <t>Trim PO_s: toilets (116 WP B872), faucets/lavs, kitchen sinks, attic stock, utility/mop sinks</t>
        </is>
      </c>
      <c r="F46" s="48" t="inlineStr">
        <is>
          <t>Sub (OWP)</t>
        </is>
      </c>
      <c r="G46" s="66" t="n">
        <v>0</v>
      </c>
      <c r="H46" s="48" t="inlineStr">
        <is>
          <t>Complete</t>
        </is>
      </c>
      <c r="I46" s="48" t="inlineStr">
        <is>
          <t>PO_S/Trim PO_s/</t>
        </is>
      </c>
    </row>
    <row r="47">
      <c r="B47" s="49" t="inlineStr">
        <is>
          <t>BILLING-REGISTER</t>
        </is>
      </c>
      <c r="C47" s="50" t="inlineStr">
        <is>
          <t>SOV register</t>
        </is>
      </c>
      <c r="D47" s="50" t="inlineStr">
        <is>
          <t>2015-05-19 → 2016-08-25</t>
        </is>
      </c>
      <c r="E47" s="50" t="inlineStr">
        <is>
          <t>MGB AGGREGATE BILLING.xlsx — 16 billings + retainage-release row, 5% retention, 9.6% WSST</t>
        </is>
      </c>
      <c r="F47" s="50" t="inlineStr">
        <is>
          <t>Sub (OWP)</t>
        </is>
      </c>
      <c r="G47" s="70" t="n">
        <v>0</v>
      </c>
      <c r="H47" s="50" t="inlineStr">
        <is>
          <t>Closed</t>
        </is>
      </c>
      <c r="I47" s="50" t="inlineStr">
        <is>
          <t>MGB AGGREGATE BILLING.xlsx (16 billings + retainage release row, ties to JDR)</t>
        </is>
      </c>
      <c r="J47" s="53" t="n"/>
    </row>
    <row r="48">
      <c r="B48" s="47" t="inlineStr">
        <is>
          <t>LIEN-WAIVERS</t>
        </is>
      </c>
      <c r="C48" s="48" t="inlineStr">
        <is>
          <t>Closeout docs</t>
        </is>
      </c>
      <c r="D48" s="96" t="inlineStr">
        <is>
          <t>NOT FOUND</t>
        </is>
      </c>
      <c r="E48" s="48" t="inlineStr">
        <is>
          <t>12+ MGB INTERIM LIEN WAIVER PDFs + FINAL 9-21-16</t>
        </is>
      </c>
      <c r="F48" s="48" t="inlineStr">
        <is>
          <t>Sub (OWP)</t>
        </is>
      </c>
      <c r="G48" s="66" t="n">
        <v>0</v>
      </c>
      <c r="H48" s="48" t="inlineStr">
        <is>
          <t>Delivered</t>
        </is>
      </c>
      <c r="I48" s="48" t="inlineStr">
        <is>
          <t>Billing/ + vendor lien waivers/</t>
        </is>
      </c>
    </row>
    <row r="49">
      <c r="B49" s="49" t="inlineStr">
        <is>
          <t>WARRANTY-UPONOR</t>
        </is>
      </c>
      <c r="C49" s="50" t="inlineStr">
        <is>
          <t>Warranty</t>
        </is>
      </c>
      <c r="D49" s="50" t="inlineStr">
        <is>
          <t>2013-05-25</t>
        </is>
      </c>
      <c r="E49" s="50" t="inlineStr">
        <is>
          <t>2016 Uponor Warranty 130525.pdf</t>
        </is>
      </c>
      <c r="F49" s="50" t="inlineStr">
        <is>
          <t>Uponor</t>
        </is>
      </c>
      <c r="G49" s="70" t="n">
        <v>0</v>
      </c>
      <c r="H49" s="50" t="inlineStr">
        <is>
          <t>Active</t>
        </is>
      </c>
      <c r="I49" s="50" t="inlineStr">
        <is>
          <t>Root doc</t>
        </is>
      </c>
      <c r="J49" s="53" t="n"/>
    </row>
    <row r="50">
      <c r="B50" s="47" t="inlineStr">
        <is>
          <t>WARRANTY-OWP</t>
        </is>
      </c>
      <c r="C50" s="48" t="inlineStr">
        <is>
          <t>Warranty</t>
        </is>
      </c>
      <c r="D50" s="96" t="inlineStr">
        <is>
          <t>NOT FOUND</t>
        </is>
      </c>
      <c r="E50" s="48" t="inlineStr">
        <is>
          <t>OWP Ballard warranty doc.docx</t>
        </is>
      </c>
      <c r="F50" s="48" t="inlineStr">
        <is>
          <t>Sub (OWP)</t>
        </is>
      </c>
      <c r="G50" s="66" t="n">
        <v>0</v>
      </c>
      <c r="H50" s="48" t="inlineStr">
        <is>
          <t>Active</t>
        </is>
      </c>
      <c r="I50" s="48" t="inlineStr">
        <is>
          <t>Root doc</t>
        </is>
      </c>
    </row>
    <row r="51">
      <c r="B51" s="49" t="inlineStr">
        <is>
          <t>STARTUP-ZOELLER</t>
        </is>
      </c>
      <c r="C51" s="50" t="inlineStr">
        <is>
          <t>Startup Report</t>
        </is>
      </c>
      <c r="D51" s="96" t="inlineStr">
        <is>
          <t>NOT FOUND</t>
        </is>
      </c>
      <c r="E51" s="50" t="inlineStr">
        <is>
          <t>Zoeller Startup Report.pdf</t>
        </is>
      </c>
      <c r="F51" s="50" t="inlineStr">
        <is>
          <t>Zoeller</t>
        </is>
      </c>
      <c r="G51" s="70" t="n">
        <v>0</v>
      </c>
      <c r="H51" s="50" t="inlineStr">
        <is>
          <t>Complete</t>
        </is>
      </c>
      <c r="I51" s="50" t="inlineStr">
        <is>
          <t>Root doc</t>
        </is>
      </c>
      <c r="J51" s="53" t="n"/>
    </row>
    <row r="52">
      <c r="B52" s="47" t="inlineStr">
        <is>
          <t>OM-TURNOVER</t>
        </is>
      </c>
      <c r="C52" s="48" t="inlineStr">
        <is>
          <t>O&amp;M Closeout</t>
        </is>
      </c>
      <c r="D52" s="96" t="inlineStr">
        <is>
          <t>NOT FOUND</t>
        </is>
      </c>
      <c r="E52" s="48" t="inlineStr">
        <is>
          <t>Operations &amp; Maintenance closeout package</t>
        </is>
      </c>
      <c r="F52" s="48" t="inlineStr">
        <is>
          <t>Sub (OWP)</t>
        </is>
      </c>
      <c r="G52" s="66" t="n">
        <v>0</v>
      </c>
      <c r="H52" s="48" t="inlineStr">
        <is>
          <t>Delivered</t>
        </is>
      </c>
      <c r="I52" s="48" t="inlineStr">
        <is>
          <t>O&amp;M_s/</t>
        </is>
      </c>
    </row>
    <row r="53">
      <c r="B53" s="49" t="inlineStr">
        <is>
          <t>FRANKLIN-ENG</t>
        </is>
      </c>
      <c r="C53" s="50" t="inlineStr">
        <is>
          <t>Engineering</t>
        </is>
      </c>
      <c r="D53" s="96" t="inlineStr">
        <is>
          <t>NOT FOUND</t>
        </is>
      </c>
      <c r="E53" s="50" t="inlineStr">
        <is>
          <t>Franklin Merrill Gardens Ballard engineering package (code 601)</t>
        </is>
      </c>
      <c r="F53" s="50" t="inlineStr">
        <is>
          <t>Franklin Engineering</t>
        </is>
      </c>
      <c r="G53" s="70" t="n">
        <v>0</v>
      </c>
      <c r="H53" s="50" t="inlineStr">
        <is>
          <t>Completed</t>
        </is>
      </c>
      <c r="I53" s="50" t="inlineStr">
        <is>
          <t>Franklin Merrill Gardens Ballard/</t>
        </is>
      </c>
      <c r="J53" s="53" t="n"/>
    </row>
    <row r="54">
      <c r="B54" s="47" t="inlineStr">
        <is>
          <t>INSURANCE</t>
        </is>
      </c>
      <c r="C54" s="48" t="inlineStr">
        <is>
          <t>Insurance</t>
        </is>
      </c>
      <c r="D54" s="48" t="inlineStr">
        <is>
          <t>2016</t>
        </is>
      </c>
      <c r="E54" s="48" t="inlineStr">
        <is>
          <t>Certificate of Insurance 2016 + Insurance compliance form</t>
        </is>
      </c>
      <c r="F54" s="48" t="inlineStr">
        <is>
          <t>OWP</t>
        </is>
      </c>
      <c r="G54" s="66" t="n">
        <v>0</v>
      </c>
      <c r="H54" s="48" t="inlineStr">
        <is>
          <t>Active</t>
        </is>
      </c>
      <c r="I54" s="48" t="inlineStr">
        <is>
          <t>Contract/ + Insurance/</t>
        </is>
      </c>
    </row>
    <row r="55">
      <c r="B55" s="49" t="inlineStr">
        <is>
          <t>MEETINGS</t>
        </is>
      </c>
      <c r="C55" s="50" t="inlineStr">
        <is>
          <t>Meeting log</t>
        </is>
      </c>
      <c r="D55" s="96" t="inlineStr">
        <is>
          <t>NOT FOUND</t>
        </is>
      </c>
      <c r="E55" s="50" t="inlineStr">
        <is>
          <t>Project meeting notes &amp; schedules</t>
        </is>
      </c>
      <c r="F55" s="50" t="inlineStr">
        <is>
          <t>Merrill Gardens at Ballard, LLC</t>
        </is>
      </c>
      <c r="G55" s="70" t="n">
        <v>0</v>
      </c>
      <c r="H55" s="50" t="inlineStr">
        <is>
          <t>Logged</t>
        </is>
      </c>
      <c r="I55" s="50" t="inlineStr">
        <is>
          <t>Meetings-Schedules/</t>
        </is>
      </c>
      <c r="J55" s="53" t="n"/>
    </row>
    <row r="56">
      <c r="B56" s="47" t="inlineStr">
        <is>
          <t>DAMAGED-FIXTURES</t>
        </is>
      </c>
      <c r="C56" s="48" t="inlineStr">
        <is>
          <t>Incident log</t>
        </is>
      </c>
      <c r="D56" s="96" t="inlineStr">
        <is>
          <t>NOT FOUND</t>
        </is>
      </c>
      <c r="E56" s="48" t="inlineStr">
        <is>
          <t>Damaged Fixtures.pdf (scope/remedy tracking)</t>
        </is>
      </c>
      <c r="F56" s="48" t="inlineStr">
        <is>
          <t>Sub (OWP)</t>
        </is>
      </c>
      <c r="G56" s="66" t="n">
        <v>0</v>
      </c>
      <c r="H56" s="48" t="inlineStr">
        <is>
          <t>Logged</t>
        </is>
      </c>
      <c r="I56" s="48" t="inlineStr">
        <is>
          <t>Root doc</t>
        </is>
      </c>
    </row>
    <row r="57">
      <c r="B57" s="49" t="inlineStr">
        <is>
          <t>FIRST-INVOICE</t>
        </is>
      </c>
      <c r="C57" s="50" t="inlineStr">
        <is>
          <t>Invoice</t>
        </is>
      </c>
      <c r="D57" s="50" t="inlineStr">
        <is>
          <t>05/19/15</t>
        </is>
      </c>
      <c r="E57" s="50" t="inlineStr">
        <is>
          <t>First billing #036614</t>
        </is>
      </c>
      <c r="F57" s="50" t="inlineStr">
        <is>
          <t>Sub (OWP)</t>
        </is>
      </c>
      <c r="G57" s="70" t="n">
        <v>114100</v>
      </c>
      <c r="H57" s="50" t="inlineStr">
        <is>
          <t>Paid</t>
        </is>
      </c>
      <c r="I57" s="50" t="inlineStr">
        <is>
          <t>2024 Job Detail Report.pdf (Sage Timberline, 04/03/2026, 285 pages)</t>
        </is>
      </c>
      <c r="J57" s="53" t="n"/>
    </row>
    <row r="58">
      <c r="B58" s="47" t="inlineStr">
        <is>
          <t>LAST-INVOICE</t>
        </is>
      </c>
      <c r="C58" s="48" t="inlineStr">
        <is>
          <t>Invoice</t>
        </is>
      </c>
      <c r="D58" s="48" t="inlineStr">
        <is>
          <t>08/22/16</t>
        </is>
      </c>
      <c r="E58" s="48" t="inlineStr">
        <is>
          <t>Last billing #036777</t>
        </is>
      </c>
      <c r="F58" s="48" t="inlineStr">
        <is>
          <t>Sub (OWP)</t>
        </is>
      </c>
      <c r="G58" s="66" t="n">
        <v>2735</v>
      </c>
      <c r="H58" s="48" t="inlineStr">
        <is>
          <t>Paid</t>
        </is>
      </c>
      <c r="I58" s="48" t="inlineStr">
        <is>
          <t>2024 Job Detail Report.pdf (Sage Timberline, 04/03/2026, 285 pages)</t>
        </is>
      </c>
    </row>
    <row r="59">
      <c r="B59" s="49" t="inlineStr">
        <is>
          <t>RETAINAGE-OPEN</t>
        </is>
      </c>
      <c r="C59" s="50" t="inlineStr">
        <is>
          <t>Retainage</t>
        </is>
      </c>
      <c r="D59" s="50" t="inlineStr">
        <is>
          <t>As of 04/03/2026</t>
        </is>
      </c>
      <c r="E59" s="50" t="inlineStr">
        <is>
          <t>Retainage $90,592.15 outstanding 9+ years post-closeout</t>
        </is>
      </c>
      <c r="F59" s="50" t="inlineStr">
        <is>
          <t>GC</t>
        </is>
      </c>
      <c r="G59" s="70" t="n">
        <v>0</v>
      </c>
      <c r="H59" s="50" t="inlineStr">
        <is>
          <t>Outstanding</t>
        </is>
      </c>
      <c r="I59" s="50" t="inlineStr">
        <is>
          <t>2024 Job Detail Report.pdf (Sage Timberline, 04/03/2026, 285 pages)</t>
        </is>
      </c>
      <c r="J59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Root Cause Analysis</t>
        </is>
      </c>
    </row>
    <row r="3" ht="22" customHeight="1">
      <c r="B3" s="44" t="inlineStr">
        <is>
          <t>Variance drivers — condensation-drain labor + mech-room material overruns offset by finish-material savings &amp; rough-in discipline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46" t="inlineStr">
        <is>
          <t>COST-CODE VARIANCE CATEGORIES</t>
        </is>
      </c>
    </row>
    <row r="6">
      <c r="B6" s="83" t="inlineStr">
        <is>
          <t>Category</t>
        </is>
      </c>
      <c r="C6" s="84" t="inlineStr">
        <is>
          <t>Codes Affected</t>
        </is>
      </c>
      <c r="D6" s="84" t="inlineStr">
        <is>
          <t>Net $ Variance</t>
        </is>
      </c>
      <c r="E6" s="84" t="inlineStr">
        <is>
          <t>Root Cause (inferred)</t>
        </is>
      </c>
      <c r="F6" s="84" t="inlineStr">
        <is>
          <t>Notes</t>
        </is>
      </c>
    </row>
    <row r="7">
      <c r="B7" s="49" t="inlineStr">
        <is>
          <t>Rough-in labor SAVINGS</t>
        </is>
      </c>
      <c r="C7" s="50" t="inlineStr">
        <is>
          <t>120 Rough-in Labor</t>
        </is>
      </c>
      <c r="D7" s="70" t="n">
        <v>-26470</v>
      </c>
      <c r="E7" s="50" t="inlineStr">
        <is>
          <t>Disciplined field productivity; 52 ASIs/RFIs not excessive</t>
        </is>
      </c>
      <c r="F7" s="50" t="inlineStr">
        <is>
          <t>$-26,470 under — unusual and positive</t>
        </is>
      </c>
      <c r="G7" s="53" t="n"/>
      <c r="H7" s="53" t="n"/>
      <c r="I7" s="53" t="n"/>
      <c r="J7" s="53" t="n"/>
    </row>
    <row r="8">
      <c r="B8" s="47" t="inlineStr">
        <is>
          <t>Condensation Drains LABOR (new scope)</t>
        </is>
      </c>
      <c r="C8" s="48" t="inlineStr">
        <is>
          <t>143 Condensation Drains Labor</t>
        </is>
      </c>
      <c r="D8" s="66" t="n">
        <v>20549.5</v>
      </c>
      <c r="E8" s="48" t="inlineStr">
        <is>
          <t>Entire bucket unbudgeted (rev $46) but actual $20,595 — scope absorbed without CO re-baseline</t>
        </is>
      </c>
      <c r="F8" s="48" t="inlineStr">
        <is>
          <t>Reclassify as scope growth</t>
        </is>
      </c>
    </row>
    <row r="9">
      <c r="B9" s="49" t="inlineStr">
        <is>
          <t>Gas / Water-Main / Mech-Room labor over</t>
        </is>
      </c>
      <c r="C9" s="50" t="inlineStr">
        <is>
          <t>140, 141, 142</t>
        </is>
      </c>
      <c r="D9" s="70" t="n">
        <v>10857</v>
      </c>
      <c r="E9" s="50" t="inlineStr">
        <is>
          <t>Scope growth in piping/mech-room work</t>
        </is>
      </c>
      <c r="F9" s="50" t="inlineStr">
        <is>
          <t>Field supplemental scope</t>
        </is>
      </c>
      <c r="G9" s="53" t="n"/>
      <c r="H9" s="53" t="n"/>
      <c r="I9" s="53" t="n"/>
      <c r="J9" s="53" t="n"/>
    </row>
    <row r="10">
      <c r="B10" s="47" t="inlineStr">
        <is>
          <t>Other labor (minor)</t>
        </is>
      </c>
      <c r="C10" s="48" t="inlineStr">
        <is>
          <t>100, 101, 110, 111, 112, 130, 150</t>
        </is>
      </c>
      <c r="D10" s="66" t="n">
        <v>-39937</v>
      </c>
      <c r="E10" s="48" t="inlineStr">
        <is>
          <t>Mostly savings (supervision, takeoff, UG, garage, canout, finish)</t>
        </is>
      </c>
      <c r="F10" s="48" t="inlineStr">
        <is>
          <t>Net savings</t>
        </is>
      </c>
    </row>
    <row r="11">
      <c r="B11" s="49" t="inlineStr">
        <is>
          <t>Finish material SAVINGS</t>
        </is>
      </c>
      <c r="C11" s="50" t="inlineStr">
        <is>
          <t>230 Finish Material</t>
        </is>
      </c>
      <c r="D11" s="70" t="n">
        <v>-205461.11</v>
      </c>
      <c r="E11" s="50" t="inlineStr">
        <is>
          <t>Favorable procurement on fixtures</t>
        </is>
      </c>
      <c r="F11" s="50" t="inlineStr">
        <is>
          <t>Primary material profit driver (&gt;$var('230')/1000:.0f}K)</t>
        </is>
      </c>
      <c r="G11" s="53" t="n"/>
      <c r="H11" s="53" t="n"/>
      <c r="I11" s="53" t="n"/>
      <c r="J11" s="53" t="n"/>
    </row>
    <row r="12">
      <c r="B12" s="47" t="inlineStr">
        <is>
          <t>Mech-Room material OVERRUN</t>
        </is>
      </c>
      <c r="C12" s="48" t="inlineStr">
        <is>
          <t>242 Mech Room Material</t>
        </is>
      </c>
      <c r="D12" s="66" t="n">
        <v>45764.17</v>
      </c>
      <c r="E12" s="48" t="inlineStr">
        <is>
          <t>Scope growth (boilers/storage tank — Mech Sales POs 70441/70420)</t>
        </is>
      </c>
      <c r="F12" s="48" t="inlineStr">
        <is>
          <t>$45,764 over</t>
        </is>
      </c>
    </row>
    <row r="13">
      <c r="B13" s="49" t="inlineStr">
        <is>
          <t>UG / Garage / Canout material</t>
        </is>
      </c>
      <c r="C13" s="50" t="inlineStr">
        <is>
          <t>210, 211, 212, 213</t>
        </is>
      </c>
      <c r="D13" s="70" t="n">
        <v>-32413.35</v>
      </c>
      <c r="E13" s="50" t="inlineStr">
        <is>
          <t>UG over; Garage &amp; Canout under (material pulled from adjacent buckets)</t>
        </is>
      </c>
      <c r="F13" s="50" t="inlineStr">
        <is>
          <t>Net savings</t>
        </is>
      </c>
      <c r="G13" s="53" t="n"/>
      <c r="H13" s="53" t="n"/>
      <c r="I13" s="53" t="n"/>
      <c r="J13" s="53" t="n"/>
    </row>
    <row r="14">
      <c r="B14" s="47" t="inlineStr">
        <is>
          <t>Rough-in / Gas / Water material</t>
        </is>
      </c>
      <c r="C14" s="48" t="inlineStr">
        <is>
          <t>220, 240, 241</t>
        </is>
      </c>
      <c r="D14" s="66" t="n">
        <v>-60867.37</v>
      </c>
      <c r="E14" s="48" t="inlineStr">
        <is>
          <t>Mostly under budget</t>
        </is>
      </c>
      <c r="F14" s="48" t="inlineStr">
        <is>
          <t>Savings</t>
        </is>
      </c>
    </row>
    <row r="15">
      <c r="B15" s="49" t="inlineStr">
        <is>
          <t>Condensation Drains material</t>
        </is>
      </c>
      <c r="C15" s="50" t="inlineStr">
        <is>
          <t>243</t>
        </is>
      </c>
      <c r="D15" s="70" t="n">
        <v>1659</v>
      </c>
      <c r="E15" s="50" t="inlineStr">
        <is>
          <t>New scope bucket (rev $45, actual $1,704)</t>
        </is>
      </c>
      <c r="F15" s="50" t="inlineStr">
        <is>
          <t>Minor</t>
        </is>
      </c>
      <c r="G15" s="53" t="n"/>
      <c r="H15" s="53" t="n"/>
      <c r="I15" s="53" t="n"/>
      <c r="J15" s="53" t="n"/>
    </row>
    <row r="16">
      <c r="B16" s="47" t="inlineStr">
        <is>
          <t>Burden / Tax accrual</t>
        </is>
      </c>
      <c r="C16" s="48" t="inlineStr">
        <is>
          <t>995, 998</t>
        </is>
      </c>
      <c r="D16" s="66" t="n">
        <v>-15287.77999999999</v>
      </c>
      <c r="E16" s="48" t="inlineStr">
        <is>
          <t>Slightly under on actual vs revised</t>
        </is>
      </c>
      <c r="F16" s="48" t="inlineStr">
        <is>
          <t>OWP internal</t>
        </is>
      </c>
    </row>
    <row r="17">
      <c r="B17" s="49" t="inlineStr">
        <is>
          <t>Support codes (600-607)</t>
        </is>
      </c>
      <c r="C17" s="50" t="inlineStr">
        <is>
          <t>600,601,602,603,607</t>
        </is>
      </c>
      <c r="D17" s="70" t="n">
        <v>-34719.1</v>
      </c>
      <c r="E17" s="50" t="inlineStr">
        <is>
          <t>Engineering &amp; other expenses way under; small Subcontractor overrun</t>
        </is>
      </c>
      <c r="F17" s="50" t="inlineStr">
        <is>
          <t>Net savings</t>
        </is>
      </c>
      <c r="G17" s="53" t="n"/>
      <c r="H17" s="53" t="n"/>
      <c r="I17" s="53" t="n"/>
      <c r="J17" s="53" t="n"/>
    </row>
    <row r="18">
      <c r="B18" s="47" t="inlineStr">
        <is>
          <t>TOTAL NET VARIANCE (Rev Budget vs Actual)</t>
        </is>
      </c>
      <c r="D18" s="67">
        <f>SUM(D7:D17)</f>
        <v/>
      </c>
    </row>
    <row r="19"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</row>
    <row r="20"/>
    <row r="21">
      <c r="B21" s="46" t="inlineStr">
        <is>
          <t>RESPONSIBILITY ATTRIBUTION</t>
        </is>
      </c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>
      <c r="B22" s="83" t="inlineStr">
        <is>
          <t>Responsible Party</t>
        </is>
      </c>
      <c r="C22" s="84" t="inlineStr">
        <is>
          <t># Drivers</t>
        </is>
      </c>
      <c r="D22" s="84" t="inlineStr">
        <is>
          <t>Net $ Impact</t>
        </is>
      </c>
      <c r="E22" s="84" t="inlineStr">
        <is>
          <t>Notes</t>
        </is>
      </c>
    </row>
    <row r="23">
      <c r="B23" s="49" t="inlineStr">
        <is>
          <t>Sub (OWP) — rough-in discipline</t>
        </is>
      </c>
      <c r="C23" s="81" t="n">
        <v>1</v>
      </c>
      <c r="D23" s="70" t="n">
        <v>-26470</v>
      </c>
      <c r="E23" s="50" t="inlineStr">
        <is>
          <t>$-26,470 SAVINGS on rough-in labor</t>
        </is>
      </c>
      <c r="F23" s="53" t="n"/>
      <c r="G23" s="53" t="n"/>
      <c r="H23" s="53" t="n"/>
      <c r="I23" s="53" t="n"/>
      <c r="J23" s="53" t="n"/>
    </row>
    <row r="24">
      <c r="B24" s="47" t="inlineStr">
        <is>
          <t>Sub (OWP) — procurement (finish)</t>
        </is>
      </c>
      <c r="C24" s="80" t="n">
        <v>1</v>
      </c>
      <c r="D24" s="66" t="n">
        <v>-205461.11</v>
      </c>
      <c r="E24" s="48" t="inlineStr">
        <is>
          <t>Large finish material savings</t>
        </is>
      </c>
    </row>
    <row r="25">
      <c r="B25" s="49" t="inlineStr">
        <is>
          <t>Sub (OWP) — estimating gap (condensation drains)</t>
        </is>
      </c>
      <c r="C25" s="81" t="n">
        <v>1</v>
      </c>
      <c r="D25" s="70" t="n">
        <v>20549.5</v>
      </c>
      <c r="E25" s="50" t="inlineStr">
        <is>
          <t>Unbudgeted scope — should have been CO-absorbed</t>
        </is>
      </c>
      <c r="F25" s="53" t="n"/>
      <c r="G25" s="53" t="n"/>
      <c r="H25" s="53" t="n"/>
      <c r="I25" s="53" t="n"/>
      <c r="J25" s="53" t="n"/>
    </row>
    <row r="26">
      <c r="B26" s="47" t="inlineStr">
        <is>
          <t>Sub (OWP) — mech-room scope</t>
        </is>
      </c>
      <c r="C26" s="80" t="n">
        <v>1</v>
      </c>
      <c r="D26" s="66" t="n">
        <v>45764.17</v>
      </c>
      <c r="E26" s="48" t="inlineStr">
        <is>
          <t>Boilers/storage tank material overrun</t>
        </is>
      </c>
    </row>
    <row r="27">
      <c r="B27" s="49" t="inlineStr">
        <is>
          <t>Designer (Urbal) / GC (RFI churn)</t>
        </is>
      </c>
      <c r="C27" s="81" t="n">
        <v>52</v>
      </c>
      <c r="D27" s="70" t="n">
        <v>0</v>
      </c>
      <c r="E27" s="50" t="inlineStr">
        <is>
          <t>52 ASIs/RFIs — moderate coordination</t>
        </is>
      </c>
      <c r="F27" s="53" t="n"/>
      <c r="G27" s="53" t="n"/>
      <c r="H27" s="53" t="n"/>
      <c r="I27" s="53" t="n"/>
      <c r="J27" s="53" t="n"/>
    </row>
    <row r="28">
      <c r="B28" s="47" t="inlineStr">
        <is>
          <t>Sub (OWP) — support codes savings</t>
        </is>
      </c>
      <c r="C28" s="80" t="n">
        <v>5</v>
      </c>
      <c r="D28" s="66" t="n">
        <v>-34719.1</v>
      </c>
      <c r="E28" s="48" t="inlineStr">
        <is>
          <t>Engineering &amp; other expenses under</t>
        </is>
      </c>
    </row>
    <row r="29">
      <c r="B29" s="49" t="inlineStr">
        <is>
          <t>Burden rate — OWP internal</t>
        </is>
      </c>
      <c r="C29" s="81" t="n">
        <v>2</v>
      </c>
      <c r="D29" s="70" t="n">
        <v>-15287.77999999999</v>
      </c>
      <c r="E29" s="50" t="inlineStr">
        <is>
          <t>Slight under</t>
        </is>
      </c>
      <c r="F29" s="53" t="n"/>
      <c r="G29" s="53" t="n"/>
      <c r="H29" s="53" t="n"/>
      <c r="I29" s="53" t="n"/>
      <c r="J29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Predictive Signals</t>
        </is>
      </c>
    </row>
    <row r="3" ht="22" customHeight="1">
      <c r="B3" s="44" t="inlineStr">
        <is>
          <t>Leading indicators from project documents + JDR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46" t="inlineStr">
        <is>
          <t>CURRENT-STATE SIGNALS</t>
        </is>
      </c>
    </row>
    <row r="6">
      <c r="B6" s="83" t="inlineStr">
        <is>
          <t>Indicator</t>
        </is>
      </c>
      <c r="C6" s="84" t="inlineStr">
        <is>
          <t>Current Value</t>
        </is>
      </c>
      <c r="D6" s="84" t="inlineStr">
        <is>
          <t>Benchmark</t>
        </is>
      </c>
      <c r="E6" s="84" t="inlineStr">
        <is>
          <t>Status</t>
        </is>
      </c>
      <c r="F6" s="84" t="inlineStr">
        <is>
          <t>Meaning</t>
        </is>
      </c>
    </row>
    <row r="7">
      <c r="B7" s="49" t="inlineStr">
        <is>
          <t>ASI-RFI Count</t>
        </is>
      </c>
      <c r="C7" s="81" t="n">
        <v>52</v>
      </c>
      <c r="D7" s="50" t="inlineStr">
        <is>
          <t>&lt;75 for ~116-unit MF/senior</t>
        </is>
      </c>
      <c r="E7" s="91" t="inlineStr">
        <is>
          <t>HEALTHY</t>
        </is>
      </c>
      <c r="F7" s="50" t="inlineStr">
        <is>
          <t>52 ASI-RFIs — moderate coordination</t>
        </is>
      </c>
      <c r="G7" s="53" t="n"/>
      <c r="H7" s="53" t="n"/>
      <c r="I7" s="53" t="n"/>
      <c r="J7" s="53" t="n"/>
    </row>
    <row r="8">
      <c r="B8" s="47" t="inlineStr">
        <is>
          <t>Submittal Count</t>
        </is>
      </c>
      <c r="C8" s="48" t="inlineStr">
        <is>
          <t>80+</t>
        </is>
      </c>
      <c r="D8" s="48" t="inlineStr">
        <is>
          <t>varies</t>
        </is>
      </c>
      <c r="E8" s="54" t="inlineStr">
        <is>
          <t>INFO</t>
        </is>
      </c>
      <c r="F8" s="48" t="inlineStr">
        <is>
          <t>Thorough across 6 categories</t>
        </is>
      </c>
    </row>
    <row r="9">
      <c r="B9" s="49" t="inlineStr">
        <is>
          <t>ASI Count</t>
        </is>
      </c>
      <c r="C9" s="81" t="n">
        <v>7</v>
      </c>
      <c r="D9" s="50" t="inlineStr">
        <is>
          <t>&lt;10</t>
        </is>
      </c>
      <c r="E9" s="91" t="inlineStr">
        <is>
          <t>HEALTHY</t>
        </is>
      </c>
      <c r="F9" s="50" t="inlineStr">
        <is>
          <t>7 distinct ASIs (007/010/014/016/024/025/026/033/039/045)</t>
        </is>
      </c>
      <c r="G9" s="53" t="n"/>
      <c r="H9" s="53" t="n"/>
      <c r="I9" s="53" t="n"/>
      <c r="J9" s="53" t="n"/>
    </row>
    <row r="10">
      <c r="B10" s="47" t="inlineStr">
        <is>
          <t>Documented CO Count</t>
        </is>
      </c>
      <c r="C10" s="80" t="n">
        <v>8</v>
      </c>
      <c r="D10" s="48" t="inlineStr">
        <is>
          <t>all CORs priced</t>
        </is>
      </c>
      <c r="E10" s="91" t="inlineStr">
        <is>
          <t>HEALTHY</t>
        </is>
      </c>
      <c r="F10" s="48" t="inlineStr">
        <is>
          <t>8 executed COs; 17 CORs priced in outstanding-COR XLSX</t>
        </is>
      </c>
    </row>
    <row r="11">
      <c r="B11" s="49" t="inlineStr">
        <is>
          <t>Contract Growth %</t>
        </is>
      </c>
      <c r="C11" s="50" t="inlineStr">
        <is>
          <t>2.74%</t>
        </is>
      </c>
      <c r="D11" s="50" t="inlineStr">
        <is>
          <t>&lt;5%</t>
        </is>
      </c>
      <c r="E11" s="91" t="inlineStr">
        <is>
          <t>HEALTHY</t>
        </is>
      </c>
      <c r="F11" s="50" t="inlineStr">
        <is>
          <t>2.7% — modest</t>
        </is>
      </c>
      <c r="G11" s="53" t="n"/>
      <c r="H11" s="53" t="n"/>
      <c r="I11" s="53" t="n"/>
      <c r="J11" s="53" t="n"/>
    </row>
    <row r="12">
      <c r="B12" s="47" t="inlineStr">
        <is>
          <t>CO Value Traceability</t>
        </is>
      </c>
      <c r="C12" s="48" t="inlineStr">
        <is>
          <t>HIGH</t>
        </is>
      </c>
      <c r="D12" s="48" t="inlineStr">
        <is>
          <t>all CO $ readable</t>
        </is>
      </c>
      <c r="E12" s="91" t="inlineStr">
        <is>
          <t>HEALTHY</t>
        </is>
      </c>
      <c r="F12" s="48" t="inlineStr">
        <is>
          <t>COR summary XLSX provides line-item pricing</t>
        </is>
      </c>
    </row>
    <row r="13">
      <c r="B13" s="49" t="inlineStr">
        <is>
          <t>Labor Hrs vs Budget</t>
        </is>
      </c>
      <c r="C13" s="50" t="inlineStr">
        <is>
          <t>17,098</t>
        </is>
      </c>
      <c r="D13" s="50" t="inlineStr">
        <is>
          <t>varies</t>
        </is>
      </c>
      <c r="E13" s="54" t="inlineStr">
        <is>
          <t>INFO</t>
        </is>
      </c>
      <c r="F13" s="50" t="inlineStr">
        <is>
          <t>17,098 hrs</t>
        </is>
      </c>
      <c r="G13" s="53" t="n"/>
      <c r="H13" s="53" t="n"/>
      <c r="I13" s="53" t="n"/>
      <c r="J13" s="53" t="n"/>
    </row>
    <row r="14">
      <c r="B14" s="47" t="inlineStr">
        <is>
          <t>Labor Cost % of Revenue</t>
        </is>
      </c>
      <c r="C14" s="86" t="n">
        <v>0.2095973547376898</v>
      </c>
      <c r="D14" s="48" t="inlineStr">
        <is>
          <t>&lt;30%</t>
        </is>
      </c>
      <c r="E14" s="91" t="inlineStr">
        <is>
          <t>HEALTHY</t>
        </is>
      </c>
      <c r="F14" s="48" t="inlineStr">
        <is>
          <t>21.0%</t>
        </is>
      </c>
    </row>
    <row r="15">
      <c r="B15" s="49" t="inlineStr">
        <is>
          <t>Retainage Release Pending</t>
        </is>
      </c>
      <c r="C15" s="50" t="inlineStr">
        <is>
          <t>YES</t>
        </is>
      </c>
      <c r="D15" s="50" t="inlineStr">
        <is>
          <t>Released within 90 days post-closeout</t>
        </is>
      </c>
      <c r="E15" s="97" t="inlineStr">
        <is>
          <t>ELEVATED</t>
        </is>
      </c>
      <c r="F15" s="50" t="inlineStr">
        <is>
          <t>$90,592 open 9+ years</t>
        </is>
      </c>
      <c r="G15" s="53" t="n"/>
      <c r="H15" s="53" t="n"/>
      <c r="I15" s="53" t="n"/>
      <c r="J15" s="53" t="n"/>
    </row>
    <row r="16">
      <c r="B16" s="47" t="inlineStr">
        <is>
          <t>Worker Concentration (top 1)</t>
        </is>
      </c>
      <c r="C16" s="86" t="n">
        <v>0.1014738565914142</v>
      </c>
      <c r="D16" s="48" t="inlineStr">
        <is>
          <t>&lt;25%</t>
        </is>
      </c>
      <c r="E16" s="91" t="inlineStr">
        <is>
          <t>HEALTHY</t>
        </is>
      </c>
      <c r="F16" s="48" t="inlineStr">
        <is>
          <t>10.1% from single worker</t>
        </is>
      </c>
    </row>
    <row r="17">
      <c r="B17" s="49" t="inlineStr">
        <is>
          <t>Rough-in Labor Share</t>
        </is>
      </c>
      <c r="C17" s="79" t="n">
        <v>0.5106445198268803</v>
      </c>
      <c r="D17" s="50" t="inlineStr">
        <is>
          <t>40-65%</t>
        </is>
      </c>
      <c r="E17" s="91" t="inlineStr">
        <is>
          <t>HEALTHY</t>
        </is>
      </c>
      <c r="F17" s="50" t="inlineStr">
        <is>
          <t>51% on rough-in</t>
        </is>
      </c>
      <c r="G17" s="53" t="n"/>
      <c r="H17" s="53" t="n"/>
      <c r="I17" s="53" t="n"/>
      <c r="J17" s="53" t="n"/>
    </row>
    <row r="18">
      <c r="B18" s="47" t="inlineStr">
        <is>
          <t>Rough-in Budget Variance</t>
        </is>
      </c>
      <c r="C18" s="86" t="n">
        <v>-0.138842992546434</v>
      </c>
      <c r="D18" s="48" t="inlineStr">
        <is>
          <t>±10%</t>
        </is>
      </c>
      <c r="E18" s="91" t="inlineStr">
        <is>
          <t>HEALTHY</t>
        </is>
      </c>
      <c r="F18" s="48" t="inlineStr">
        <is>
          <t>-13.9% UNDER</t>
        </is>
      </c>
    </row>
    <row r="19">
      <c r="B19" s="49" t="inlineStr">
        <is>
          <t>Mech Room Material Variance</t>
        </is>
      </c>
      <c r="C19" s="79" t="n">
        <v>1.494486643589576</v>
      </c>
      <c r="D19" s="50" t="inlineStr">
        <is>
          <t>±10%</t>
        </is>
      </c>
      <c r="E19" s="98" t="inlineStr">
        <is>
          <t>RISK</t>
        </is>
      </c>
      <c r="F19" s="50" t="inlineStr">
        <is>
          <t>149% over</t>
        </is>
      </c>
      <c r="G19" s="53" t="n"/>
      <c r="H19" s="53" t="n"/>
      <c r="I19" s="53" t="n"/>
      <c r="J19" s="53" t="n"/>
    </row>
    <row r="20">
      <c r="B20" s="47" t="inlineStr">
        <is>
          <t>Condensation Drains Unbudgeted</t>
        </is>
      </c>
      <c r="C20" s="48" t="inlineStr">
        <is>
          <t>$20,596</t>
        </is>
      </c>
      <c r="D20" s="48" t="inlineStr">
        <is>
          <t>budgeted</t>
        </is>
      </c>
      <c r="E20" s="98" t="inlineStr">
        <is>
          <t>RISK</t>
        </is>
      </c>
      <c r="F20" s="48" t="inlineStr">
        <is>
          <t>$20.6K actual vs $46 revised — scope-not-CO'd</t>
        </is>
      </c>
    </row>
    <row r="21">
      <c r="B21" s="49" t="inlineStr">
        <is>
          <t>PO Volume</t>
        </is>
      </c>
      <c r="C21" s="81" t="n">
        <v>138</v>
      </c>
      <c r="D21" s="50" t="inlineStr">
        <is>
          <t>&gt;75 for ~116-unit MF</t>
        </is>
      </c>
      <c r="E21" s="91" t="inlineStr">
        <is>
          <t>HEALTHY</t>
        </is>
      </c>
      <c r="F21" s="50" t="inlineStr">
        <is>
          <t>138+ POs — tight procurement</t>
        </is>
      </c>
      <c r="G21" s="53" t="n"/>
      <c r="H21" s="53" t="n"/>
      <c r="I21" s="53" t="n"/>
      <c r="J21" s="53" t="n"/>
    </row>
    <row r="22">
      <c r="B22" s="47" t="inlineStr">
        <is>
          <t>Permit Completeness</t>
        </is>
      </c>
      <c r="C22" s="80" t="n">
        <v>8</v>
      </c>
      <c r="D22" s="48" t="inlineStr">
        <is>
          <t>&gt;=5</t>
        </is>
      </c>
      <c r="E22" s="91" t="inlineStr">
        <is>
          <t>HEALTHY</t>
        </is>
      </c>
      <c r="F22" s="48" t="inlineStr">
        <is>
          <t>All 8 permits on file</t>
        </is>
      </c>
    </row>
    <row r="23">
      <c r="B23" s="49" t="inlineStr">
        <is>
          <t>Document Completeness</t>
        </is>
      </c>
      <c r="C23" s="50" t="inlineStr">
        <is>
          <t>VERY HIGH</t>
        </is>
      </c>
      <c r="D23" s="50" t="inlineStr">
        <is>
          <t>Full CO/RFI/Submittal/SOV trail</t>
        </is>
      </c>
      <c r="E23" s="91" t="inlineStr">
        <is>
          <t>HEALTHY</t>
        </is>
      </c>
      <c r="F23" s="50" t="inlineStr">
        <is>
          <t>Contract, CORs w/ pricing, RFIs, Submittals, POs, Permits, O&amp;M, lien waivers, billing register all present</t>
        </is>
      </c>
      <c r="G23" s="53" t="n"/>
      <c r="H23" s="53" t="n"/>
      <c r="I23" s="53" t="n"/>
      <c r="J23" s="53" t="n"/>
    </row>
    <row r="24"/>
    <row r="25"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>
      <c r="B26" s="46" t="inlineStr">
        <is>
          <t>FORECAST MODELS</t>
        </is>
      </c>
    </row>
    <row r="27">
      <c r="B27" s="83" t="inlineStr">
        <is>
          <t>Forecast</t>
        </is>
      </c>
      <c r="C27" s="84" t="inlineStr">
        <is>
          <t>Current Estimate</t>
        </is>
      </c>
      <c r="D27" s="84" t="inlineStr">
        <is>
          <t>Confidence</t>
        </is>
      </c>
      <c r="E27" s="84" t="inlineStr">
        <is>
          <t>Driver</t>
        </is>
      </c>
      <c r="F27" s="84" t="inlineStr">
        <is>
          <t>Model Note</t>
        </is>
      </c>
      <c r="G27" s="53" t="n"/>
      <c r="H27" s="53" t="n"/>
      <c r="I27" s="53" t="n"/>
      <c r="J27" s="53" t="n"/>
    </row>
    <row r="28">
      <c r="B28" s="47" t="inlineStr">
        <is>
          <t>Final margin (actual)</t>
        </is>
      </c>
      <c r="C28" s="86" t="n">
        <v>0.4892300491819656</v>
      </c>
      <c r="D28" s="48" t="inlineStr">
        <is>
          <t>Actual</t>
        </is>
      </c>
      <c r="E28" s="48" t="inlineStr">
        <is>
          <t>Job closed</t>
        </is>
      </c>
      <c r="F28" s="48" t="inlineStr">
        <is>
          <t>48.9% — exceptional</t>
        </is>
      </c>
    </row>
    <row r="29">
      <c r="B29" s="49" t="inlineStr">
        <is>
          <t>Retainage collection probability</t>
        </is>
      </c>
      <c r="C29" s="50" t="inlineStr">
        <is>
          <t>LOW (very stale)</t>
        </is>
      </c>
      <c r="D29" s="50" t="inlineStr">
        <is>
          <t>Qualitative</t>
        </is>
      </c>
      <c r="E29" s="50" t="inlineStr">
        <is>
          <t>9+ years outstanding</t>
        </is>
      </c>
      <c r="F29" s="50" t="inlineStr">
        <is>
          <t>Likely requires AR write-off / dispute resolution</t>
        </is>
      </c>
      <c r="G29" s="53" t="n"/>
      <c r="H29" s="53" t="n"/>
      <c r="I29" s="53" t="n"/>
      <c r="J29" s="53" t="n"/>
    </row>
    <row r="30">
      <c r="B30" s="47" t="inlineStr">
        <is>
          <t>Composite risk score (0-100)</t>
        </is>
      </c>
      <c r="C30" s="80" t="n">
        <v>30</v>
      </c>
      <c r="D30" s="48" t="inlineStr">
        <is>
          <t>Low-Medium</t>
        </is>
      </c>
      <c r="E30" s="48" t="inlineStr">
        <is>
          <t>Stale retainage + condensation-drain unbudgeted scope; otherwise very clean</t>
        </is>
      </c>
      <c r="F30" s="48" t="inlineStr">
        <is>
          <t>Financials exceptional; docs very strong</t>
        </is>
      </c>
    </row>
    <row r="31">
      <c r="B31" s="49" t="inlineStr">
        <is>
          <t>Would re-bid margin target</t>
        </is>
      </c>
      <c r="C31" s="50" t="inlineStr">
        <is>
          <t>≥45%</t>
        </is>
      </c>
      <c r="D31" s="85" t="inlineStr">
        <is>
          <t>Derived</t>
        </is>
      </c>
      <c r="E31" s="50" t="inlineStr">
        <is>
          <t>Historical close exceeded 48%</t>
        </is>
      </c>
      <c r="F31" s="50" t="inlineStr">
        <is>
          <t>Tighten 242 mech-room estimating; include 143 condensation bucket</t>
        </is>
      </c>
      <c r="G31" s="53" t="n"/>
      <c r="H31" s="53" t="n"/>
      <c r="I31" s="53" t="n"/>
      <c r="J31" s="53" t="n"/>
    </row>
    <row r="32">
      <c r="B32" s="47" t="inlineStr">
        <is>
          <t>Unit-level economics</t>
        </is>
      </c>
      <c r="C32" s="48" t="inlineStr">
        <is>
          <t>$15,619/unit rev, $7,641/unit profit</t>
        </is>
      </c>
      <c r="D32" s="91" t="inlineStr">
        <is>
          <t>Verified</t>
        </is>
      </c>
      <c r="E32" s="48" t="inlineStr">
        <is>
          <t>116 units</t>
        </is>
      </c>
      <c r="F32" s="48" t="inlineStr">
        <is>
          <t>Premium senior-living benchmark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Metric Registry — Cortex Data Catalog</t>
        </is>
      </c>
    </row>
    <row r="3" ht="22" customHeight="1">
      <c r="B3" s="44" t="inlineStr">
        <is>
          <t>Every metric with data_label, confidence, and source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#</t>
        </is>
      </c>
      <c r="C5" s="65" t="inlineStr">
        <is>
          <t>Data Label</t>
        </is>
      </c>
      <c r="D5" s="65" t="inlineStr">
        <is>
          <t>Human Label</t>
        </is>
      </c>
      <c r="E5" s="65" t="inlineStr">
        <is>
          <t>Value</t>
        </is>
      </c>
      <c r="F5" s="65" t="inlineStr">
        <is>
          <t>Unit</t>
        </is>
      </c>
      <c r="G5" s="65" t="inlineStr">
        <is>
          <t>Source Tab</t>
        </is>
      </c>
      <c r="H5" s="65" t="inlineStr">
        <is>
          <t>Confidence</t>
        </is>
      </c>
      <c r="I5" s="65" t="inlineStr">
        <is>
          <t>Source Document(s)</t>
        </is>
      </c>
    </row>
    <row r="6">
      <c r="B6" s="80" t="n">
        <v>1</v>
      </c>
      <c r="C6" s="48" t="inlineStr">
        <is>
          <t>job_number</t>
        </is>
      </c>
      <c r="D6" s="48" t="inlineStr">
        <is>
          <t>Job Number</t>
        </is>
      </c>
      <c r="E6" s="48" t="inlineStr">
        <is>
          <t>2024</t>
        </is>
      </c>
      <c r="F6" s="48" t="inlineStr">
        <is>
          <t>id</t>
        </is>
      </c>
      <c r="G6" s="48" t="inlineStr">
        <is>
          <t>Benchmark KPIs</t>
        </is>
      </c>
      <c r="H6" s="91" t="inlineStr">
        <is>
          <t>Verified</t>
        </is>
      </c>
      <c r="I6" s="48" t="inlineStr">
        <is>
          <t>2024 Job Detail Report.pdf (Sage Timberline, 04/03/2026, 285 pages)</t>
        </is>
      </c>
    </row>
    <row r="7">
      <c r="B7" s="81" t="n">
        <v>2</v>
      </c>
      <c r="C7" s="50" t="inlineStr">
        <is>
          <t>job_name</t>
        </is>
      </c>
      <c r="D7" s="50" t="inlineStr">
        <is>
          <t>Job Name</t>
        </is>
      </c>
      <c r="E7" s="50" t="inlineStr">
        <is>
          <t>SRM, Ballard Merrill Gardens</t>
        </is>
      </c>
      <c r="F7" s="50" t="inlineStr">
        <is>
          <t>text</t>
        </is>
      </c>
      <c r="G7" s="50" t="inlineStr">
        <is>
          <t>Benchmark KPIs</t>
        </is>
      </c>
      <c r="H7" s="91" t="inlineStr">
        <is>
          <t>Verified</t>
        </is>
      </c>
      <c r="I7" s="50" t="inlineStr">
        <is>
          <t>2024 Job Detail Report.pdf (Sage Timberline, 04/03/2026, 285 pages)</t>
        </is>
      </c>
      <c r="J7" s="53" t="n"/>
    </row>
    <row r="8">
      <c r="B8" s="80" t="n">
        <v>3</v>
      </c>
      <c r="C8" s="48" t="inlineStr">
        <is>
          <t>project_desc</t>
        </is>
      </c>
      <c r="D8" s="48" t="inlineStr">
        <is>
          <t>Project Description</t>
        </is>
      </c>
      <c r="E8" s="48" t="inlineStr">
        <is>
          <t>Merrill Gardens at Ballard (senior living)</t>
        </is>
      </c>
      <c r="F8" s="48" t="inlineStr">
        <is>
          <t>text</t>
        </is>
      </c>
      <c r="G8" s="48" t="inlineStr">
        <is>
          <t>Benchmark KPIs</t>
        </is>
      </c>
      <c r="H8" s="91" t="inlineStr">
        <is>
          <t>Verified</t>
        </is>
      </c>
      <c r="I8" s="48" t="inlineStr">
        <is>
          <t>mgb contract brett signed OCR_D.pdf (21-Apr-2015, Lump Sum $1,932,774.08 gross incl $169,294 WSST = $1,763,480 net)</t>
        </is>
      </c>
    </row>
    <row r="9">
      <c r="B9" s="81" t="n">
        <v>4</v>
      </c>
      <c r="C9" s="50" t="inlineStr">
        <is>
          <t>counterparty</t>
        </is>
      </c>
      <c r="D9" s="50" t="inlineStr">
        <is>
          <t>Contract Counterparty</t>
        </is>
      </c>
      <c r="E9" s="50" t="inlineStr">
        <is>
          <t>Merrill Gardens at Ballard, LLC</t>
        </is>
      </c>
      <c r="F9" s="50" t="inlineStr">
        <is>
          <t>text</t>
        </is>
      </c>
      <c r="G9" s="50" t="inlineStr">
        <is>
          <t>Benchmark KPIs</t>
        </is>
      </c>
      <c r="H9" s="91" t="inlineStr">
        <is>
          <t>Verified</t>
        </is>
      </c>
      <c r="I9" s="50" t="inlineStr">
        <is>
          <t>mgb contract brett signed OCR_D.pdf (21-Apr-2015, Lump Sum $1,932,774.08 gross incl $169,294 WSST = $1,763,480 net)</t>
        </is>
      </c>
      <c r="J9" s="53" t="n"/>
    </row>
    <row r="10">
      <c r="B10" s="80" t="n">
        <v>5</v>
      </c>
      <c r="C10" s="48" t="inlineStr">
        <is>
          <t>customer_code</t>
        </is>
      </c>
      <c r="D10" s="48" t="inlineStr">
        <is>
          <t>Customer Code</t>
        </is>
      </c>
      <c r="E10" s="48" t="inlineStr">
        <is>
          <t>2024MG</t>
        </is>
      </c>
      <c r="F10" s="48" t="inlineStr">
        <is>
          <t>id</t>
        </is>
      </c>
      <c r="G10" s="48" t="inlineStr">
        <is>
          <t>Overview</t>
        </is>
      </c>
      <c r="H10" s="91" t="inlineStr">
        <is>
          <t>Verified</t>
        </is>
      </c>
      <c r="I10" s="48" t="inlineStr">
        <is>
          <t>2024 Job Detail Report.pdf (Sage Timberline, 04/03/2026, 285 pages)</t>
        </is>
      </c>
    </row>
    <row r="11">
      <c r="B11" s="81" t="n">
        <v>6</v>
      </c>
      <c r="C11" s="50" t="inlineStr">
        <is>
          <t>parent_owner</t>
        </is>
      </c>
      <c r="D11" s="50" t="inlineStr">
        <is>
          <t>Parent Owner</t>
        </is>
      </c>
      <c r="E11" s="50" t="inlineStr">
        <is>
          <t>SRM Development Corp / Merrill Gardens (Spokane)</t>
        </is>
      </c>
      <c r="F11" s="50" t="inlineStr">
        <is>
          <t>text</t>
        </is>
      </c>
      <c r="G11" s="50" t="inlineStr">
        <is>
          <t>Benchmark KPIs</t>
        </is>
      </c>
      <c r="H11" s="91" t="inlineStr">
        <is>
          <t>Verified</t>
        </is>
      </c>
      <c r="I11" s="50" t="inlineStr">
        <is>
          <t>mgb contract brett signed OCR_D.pdf (21-Apr-2015, Lump Sum $1,932,774.08 gross incl $169,294 WSST = $1,763,480 net)</t>
        </is>
      </c>
      <c r="J11" s="53" t="n"/>
    </row>
    <row r="12">
      <c r="B12" s="80" t="n">
        <v>7</v>
      </c>
      <c r="C12" s="48" t="inlineStr">
        <is>
          <t>architect</t>
        </is>
      </c>
      <c r="D12" s="48" t="inlineStr">
        <is>
          <t>Architect</t>
        </is>
      </c>
      <c r="E12" s="48" t="inlineStr">
        <is>
          <t>Urbal Architecture (Seattle)</t>
        </is>
      </c>
      <c r="F12" s="48" t="inlineStr">
        <is>
          <t>text</t>
        </is>
      </c>
      <c r="G12" s="48" t="inlineStr">
        <is>
          <t>Benchmark KPIs</t>
        </is>
      </c>
      <c r="H12" s="91" t="inlineStr">
        <is>
          <t>Verified</t>
        </is>
      </c>
      <c r="I12" s="48" t="inlineStr">
        <is>
          <t>mgb contract brett signed OCR_D.pdf (21-Apr-2015, Lump Sum $1,932,774.08 gross incl $169,294 WSST = $1,763,480 net)</t>
        </is>
      </c>
    </row>
    <row r="13">
      <c r="B13" s="81" t="n">
        <v>8</v>
      </c>
      <c r="C13" s="50" t="inlineStr">
        <is>
          <t>location</t>
        </is>
      </c>
      <c r="D13" s="50" t="inlineStr">
        <is>
          <t>Location</t>
        </is>
      </c>
      <c r="E13" s="50" t="inlineStr">
        <is>
          <t>5601 24th Ave NW, Seattle WA 98107</t>
        </is>
      </c>
      <c r="F13" s="50" t="inlineStr">
        <is>
          <t>text</t>
        </is>
      </c>
      <c r="G13" s="50" t="inlineStr">
        <is>
          <t>Benchmark KPIs</t>
        </is>
      </c>
      <c r="H13" s="91" t="inlineStr">
        <is>
          <t>Verified</t>
        </is>
      </c>
      <c r="I13" s="50" t="inlineStr">
        <is>
          <t>mgb contract brett signed OCR_D.pdf (21-Apr-2015, Lump Sum $1,932,774.08 gross incl $169,294 WSST = $1,763,480 net)</t>
        </is>
      </c>
      <c r="J13" s="53" t="n"/>
    </row>
    <row r="14">
      <c r="B14" s="80" t="n">
        <v>9</v>
      </c>
      <c r="C14" s="48" t="inlineStr">
        <is>
          <t>project_type</t>
        </is>
      </c>
      <c r="D14" s="48" t="inlineStr">
        <is>
          <t>Project Type</t>
        </is>
      </c>
      <c r="E14" s="48" t="inlineStr">
        <is>
          <t>Senior Living Plumbing (116 units)</t>
        </is>
      </c>
      <c r="F14" s="48" t="inlineStr">
        <is>
          <t>text</t>
        </is>
      </c>
      <c r="G14" s="48" t="inlineStr">
        <is>
          <t>Benchmark KPIs</t>
        </is>
      </c>
      <c r="H14" s="91" t="inlineStr">
        <is>
          <t>Verified</t>
        </is>
      </c>
      <c r="I14" s="48" t="inlineStr">
        <is>
          <t>Trim PO_s</t>
        </is>
      </c>
    </row>
    <row r="15">
      <c r="B15" s="81" t="n">
        <v>10</v>
      </c>
      <c r="C15" s="50" t="inlineStr">
        <is>
          <t>start_date</t>
        </is>
      </c>
      <c r="D15" s="50" t="inlineStr">
        <is>
          <t>Work Start</t>
        </is>
      </c>
      <c r="E15" s="50" t="inlineStr">
        <is>
          <t>2015-04-21</t>
        </is>
      </c>
      <c r="F15" s="50" t="inlineStr">
        <is>
          <t>date</t>
        </is>
      </c>
      <c r="G15" s="50" t="inlineStr">
        <is>
          <t>Benchmark KPIs</t>
        </is>
      </c>
      <c r="H15" s="91" t="inlineStr">
        <is>
          <t>Verified</t>
        </is>
      </c>
      <c r="I15" s="50" t="inlineStr">
        <is>
          <t>mgb contract brett signed OCR_D.pdf (21-Apr-2015, Lump Sum $1,932,774.08 gross incl $169,294 WSST = $1,763,480 net)</t>
        </is>
      </c>
      <c r="J15" s="53" t="n"/>
    </row>
    <row r="16">
      <c r="B16" s="80" t="n">
        <v>11</v>
      </c>
      <c r="C16" s="48" t="inlineStr">
        <is>
          <t>end_date</t>
        </is>
      </c>
      <c r="D16" s="48" t="inlineStr">
        <is>
          <t>Work End</t>
        </is>
      </c>
      <c r="E16" s="48" t="inlineStr">
        <is>
          <t>2016-08-22</t>
        </is>
      </c>
      <c r="F16" s="48" t="inlineStr">
        <is>
          <t>date</t>
        </is>
      </c>
      <c r="G16" s="48" t="inlineStr">
        <is>
          <t>Benchmark KPIs</t>
        </is>
      </c>
      <c r="H16" s="91" t="inlineStr">
        <is>
          <t>Verified</t>
        </is>
      </c>
      <c r="I16" s="48" t="inlineStr">
        <is>
          <t>2024 Job Detail Report.pdf (Sage Timberline, 04/03/2026, 285 pages)</t>
        </is>
      </c>
    </row>
    <row r="17">
      <c r="B17" s="81" t="n">
        <v>12</v>
      </c>
      <c r="C17" s="50" t="inlineStr">
        <is>
          <t>duration_months</t>
        </is>
      </c>
      <c r="D17" s="50" t="inlineStr">
        <is>
          <t>Duration (months)</t>
        </is>
      </c>
      <c r="E17" s="56" t="n">
        <v>15.1</v>
      </c>
      <c r="F17" s="50" t="inlineStr">
        <is>
          <t>months</t>
        </is>
      </c>
      <c r="G17" s="50" t="inlineStr">
        <is>
          <t>Benchmark KPIs</t>
        </is>
      </c>
      <c r="H17" s="91" t="inlineStr">
        <is>
          <t>Verified</t>
        </is>
      </c>
      <c r="I17" s="85" t="inlineStr">
        <is>
          <t>Derived</t>
        </is>
      </c>
      <c r="J17" s="53" t="n"/>
    </row>
    <row r="18">
      <c r="B18" s="80" t="n">
        <v>13</v>
      </c>
      <c r="C18" s="48" t="inlineStr">
        <is>
          <t>unit_count</t>
        </is>
      </c>
      <c r="D18" s="48" t="inlineStr">
        <is>
          <t>Unit Count</t>
        </is>
      </c>
      <c r="E18" s="80" t="n">
        <v>116</v>
      </c>
      <c r="F18" s="48" t="inlineStr">
        <is>
          <t>units</t>
        </is>
      </c>
      <c r="G18" s="48" t="inlineStr">
        <is>
          <t>Benchmark KPIs</t>
        </is>
      </c>
      <c r="H18" s="91" t="inlineStr">
        <is>
          <t>Verified</t>
        </is>
      </c>
      <c r="I18" s="48" t="inlineStr">
        <is>
          <t>Trim PO_s</t>
        </is>
      </c>
    </row>
    <row r="19">
      <c r="B19" s="81" t="n">
        <v>14</v>
      </c>
      <c r="C19" s="50" t="inlineStr">
        <is>
          <t>contract_original</t>
        </is>
      </c>
      <c r="D19" s="50" t="inlineStr">
        <is>
          <t>Contract Original (net)</t>
        </is>
      </c>
      <c r="E19" s="55" t="n">
        <v>1763480</v>
      </c>
      <c r="F19" s="50" t="inlineStr">
        <is>
          <t>USD</t>
        </is>
      </c>
      <c r="G19" s="50" t="inlineStr">
        <is>
          <t>Benchmark KPIs</t>
        </is>
      </c>
      <c r="H19" s="91" t="inlineStr">
        <is>
          <t>Verified</t>
        </is>
      </c>
      <c r="I19" s="50" t="inlineStr">
        <is>
          <t>mgb contract brett signed OCR_D.pdf (21-Apr-2015, Lump Sum $1,932,774.08 gross incl $169,294 WSST = $1,763,480 net)</t>
        </is>
      </c>
      <c r="J19" s="53" t="n"/>
    </row>
    <row r="20">
      <c r="B20" s="80" t="n">
        <v>15</v>
      </c>
      <c r="C20" s="48" t="inlineStr">
        <is>
          <t>contract_gross</t>
        </is>
      </c>
      <c r="D20" s="48" t="inlineStr">
        <is>
          <t>Contract Gross (+WSST)</t>
        </is>
      </c>
      <c r="E20" s="76" t="n">
        <v>1932774.08</v>
      </c>
      <c r="F20" s="48" t="inlineStr">
        <is>
          <t>USD</t>
        </is>
      </c>
      <c r="G20" s="48" t="inlineStr">
        <is>
          <t>Benchmark KPIs</t>
        </is>
      </c>
      <c r="H20" s="91" t="inlineStr">
        <is>
          <t>Verified</t>
        </is>
      </c>
      <c r="I20" s="48" t="inlineStr">
        <is>
          <t>mgb contract brett signed OCR_D.pdf (21-Apr-2015, Lump Sum $1,932,774.08 gross incl $169,294 WSST = $1,763,480 net)</t>
        </is>
      </c>
    </row>
    <row r="21">
      <c r="B21" s="81" t="n">
        <v>16</v>
      </c>
      <c r="C21" s="50" t="inlineStr">
        <is>
          <t>wsst_rate</t>
        </is>
      </c>
      <c r="D21" s="50" t="inlineStr">
        <is>
          <t>WSST Rate</t>
        </is>
      </c>
      <c r="E21" s="95" t="n">
        <v>0.096</v>
      </c>
      <c r="F21" s="50" t="inlineStr">
        <is>
          <t>%</t>
        </is>
      </c>
      <c r="G21" s="50" t="inlineStr">
        <is>
          <t>Benchmark KPIs</t>
        </is>
      </c>
      <c r="H21" s="91" t="inlineStr">
        <is>
          <t>Verified</t>
        </is>
      </c>
      <c r="I21" s="50" t="inlineStr">
        <is>
          <t>mgb contract brett signed OCR_D.pdf (21-Apr-2015, Lump Sum $1,932,774.08 gross incl $169,294 WSST = $1,763,480 net)</t>
        </is>
      </c>
      <c r="J21" s="53" t="n"/>
    </row>
    <row r="22">
      <c r="B22" s="80" t="n">
        <v>17</v>
      </c>
      <c r="C22" s="48" t="inlineStr">
        <is>
          <t>contract_final</t>
        </is>
      </c>
      <c r="D22" s="48" t="inlineStr">
        <is>
          <t>Contract Final</t>
        </is>
      </c>
      <c r="E22" s="76" t="n">
        <v>1811843</v>
      </c>
      <c r="F22" s="48" t="inlineStr">
        <is>
          <t>USD</t>
        </is>
      </c>
      <c r="G22" s="48" t="inlineStr">
        <is>
          <t>Benchmark KPIs</t>
        </is>
      </c>
      <c r="H22" s="91" t="inlineStr">
        <is>
          <t>Verified</t>
        </is>
      </c>
      <c r="I22" s="48" t="inlineStr">
        <is>
          <t>2024 Job Detail Report.pdf (Sage Timberline, 04/03/2026, 285 pages)</t>
        </is>
      </c>
    </row>
    <row r="23">
      <c r="B23" s="81" t="n">
        <v>18</v>
      </c>
      <c r="C23" s="50" t="inlineStr">
        <is>
          <t>change_orders_implied</t>
        </is>
      </c>
      <c r="D23" s="50" t="inlineStr">
        <is>
          <t>COs (implied)</t>
        </is>
      </c>
      <c r="E23" s="55" t="n">
        <v>48363</v>
      </c>
      <c r="F23" s="50" t="inlineStr">
        <is>
          <t>USD</t>
        </is>
      </c>
      <c r="G23" s="50" t="inlineStr">
        <is>
          <t>Benchmark KPIs</t>
        </is>
      </c>
      <c r="H23" s="91" t="inlineStr">
        <is>
          <t>Verified</t>
        </is>
      </c>
      <c r="I23" s="50" t="inlineStr">
        <is>
          <t>2024 Job Detail Report.pdf (Sage Timberline, 04/03/2026, 285 pages)</t>
        </is>
      </c>
      <c r="J23" s="53" t="n"/>
    </row>
    <row r="24">
      <c r="B24" s="80" t="n">
        <v>19</v>
      </c>
      <c r="C24" s="48" t="inlineStr">
        <is>
          <t>change_orders_documented</t>
        </is>
      </c>
      <c r="D24" s="48" t="inlineStr">
        <is>
          <t>COs (documented)</t>
        </is>
      </c>
      <c r="E24" s="76" t="n">
        <v>54663</v>
      </c>
      <c r="F24" s="48" t="inlineStr">
        <is>
          <t>USD</t>
        </is>
      </c>
      <c r="G24" s="48" t="inlineStr">
        <is>
          <t>Benchmark KPIs</t>
        </is>
      </c>
      <c r="H24" s="91" t="inlineStr">
        <is>
          <t>Verified</t>
        </is>
      </c>
      <c r="I24" s="48" t="inlineStr">
        <is>
          <t>Change Orders/COR_s/Ballard MG - Outstanding COR_s.xlsx</t>
        </is>
      </c>
    </row>
    <row r="25">
      <c r="B25" s="81" t="n">
        <v>20</v>
      </c>
      <c r="C25" s="50" t="inlineStr">
        <is>
          <t>co_doc_count</t>
        </is>
      </c>
      <c r="D25" s="50" t="inlineStr">
        <is>
          <t>COR Count</t>
        </is>
      </c>
      <c r="E25" s="81" t="n">
        <v>17</v>
      </c>
      <c r="F25" s="50" t="inlineStr">
        <is>
          <t>count</t>
        </is>
      </c>
      <c r="G25" s="50" t="inlineStr">
        <is>
          <t>Change Log</t>
        </is>
      </c>
      <c r="H25" s="91" t="inlineStr">
        <is>
          <t>Verified</t>
        </is>
      </c>
      <c r="I25" s="50" t="inlineStr">
        <is>
          <t>Change Orders/COR_s/Ballard MG - Outstanding COR_s.xlsx</t>
        </is>
      </c>
      <c r="J25" s="53" t="n"/>
    </row>
    <row r="26">
      <c r="B26" s="80" t="n">
        <v>21</v>
      </c>
      <c r="C26" s="48" t="inlineStr">
        <is>
          <t>co_count</t>
        </is>
      </c>
      <c r="D26" s="48" t="inlineStr">
        <is>
          <t>CO Executed Count</t>
        </is>
      </c>
      <c r="E26" s="80" t="n">
        <v>8</v>
      </c>
      <c r="F26" s="48" t="inlineStr">
        <is>
          <t>count</t>
        </is>
      </c>
      <c r="G26" s="48" t="inlineStr">
        <is>
          <t>Change Log</t>
        </is>
      </c>
      <c r="H26" s="91" t="inlineStr">
        <is>
          <t>Verified</t>
        </is>
      </c>
      <c r="I26" s="48" t="inlineStr">
        <is>
          <t>CO folder</t>
        </is>
      </c>
    </row>
    <row r="27">
      <c r="B27" s="81" t="n">
        <v>22</v>
      </c>
      <c r="C27" s="50" t="inlineStr">
        <is>
          <t>co_pct</t>
        </is>
      </c>
      <c r="D27" s="50" t="inlineStr">
        <is>
          <t>CO % of Contract</t>
        </is>
      </c>
      <c r="E27" s="95" t="n">
        <v>0.02742475106040329</v>
      </c>
      <c r="F27" s="50" t="inlineStr">
        <is>
          <t>%</t>
        </is>
      </c>
      <c r="G27" s="50" t="inlineStr">
        <is>
          <t>Benchmark KPIs</t>
        </is>
      </c>
      <c r="H27" s="91" t="inlineStr">
        <is>
          <t>Verified</t>
        </is>
      </c>
      <c r="I27" s="85" t="inlineStr">
        <is>
          <t>Derived</t>
        </is>
      </c>
      <c r="J27" s="53" t="n"/>
    </row>
    <row r="28">
      <c r="B28" s="80" t="n">
        <v>23</v>
      </c>
      <c r="C28" s="48" t="inlineStr">
        <is>
          <t>revenue</t>
        </is>
      </c>
      <c r="D28" s="48" t="inlineStr">
        <is>
          <t>Revenue</t>
        </is>
      </c>
      <c r="E28" s="76" t="n">
        <v>1811843</v>
      </c>
      <c r="F28" s="48" t="inlineStr">
        <is>
          <t>USD</t>
        </is>
      </c>
      <c r="G28" s="48" t="inlineStr">
        <is>
          <t>Benchmark KPIs</t>
        </is>
      </c>
      <c r="H28" s="91" t="inlineStr">
        <is>
          <t>Verified</t>
        </is>
      </c>
      <c r="I28" s="48" t="inlineStr">
        <is>
          <t>2024 Job Detail Report.pdf (Sage Timberline, 04/03/2026, 285 pages)</t>
        </is>
      </c>
    </row>
    <row r="29">
      <c r="B29" s="81" t="n">
        <v>24</v>
      </c>
      <c r="C29" s="50" t="inlineStr">
        <is>
          <t>direct_cost</t>
        </is>
      </c>
      <c r="D29" s="50" t="inlineStr">
        <is>
          <t>Direct Cost</t>
        </is>
      </c>
      <c r="E29" s="55" t="n">
        <v>925434.96</v>
      </c>
      <c r="F29" s="50" t="inlineStr">
        <is>
          <t>USD</t>
        </is>
      </c>
      <c r="G29" s="50" t="inlineStr">
        <is>
          <t>Benchmark KPIs</t>
        </is>
      </c>
      <c r="H29" s="91" t="inlineStr">
        <is>
          <t>Verified</t>
        </is>
      </c>
      <c r="I29" s="50" t="inlineStr">
        <is>
          <t>2024 Job Detail Report.pdf (Sage Timberline, 04/03/2026, 285 pages)</t>
        </is>
      </c>
      <c r="J29" s="53" t="n"/>
    </row>
    <row r="30">
      <c r="B30" s="80" t="n">
        <v>25</v>
      </c>
      <c r="C30" s="48" t="inlineStr">
        <is>
          <t>net_profit</t>
        </is>
      </c>
      <c r="D30" s="48" t="inlineStr">
        <is>
          <t>Net Profit</t>
        </is>
      </c>
      <c r="E30" s="76" t="n">
        <v>886408.04</v>
      </c>
      <c r="F30" s="48" t="inlineStr">
        <is>
          <t>USD</t>
        </is>
      </c>
      <c r="G30" s="48" t="inlineStr">
        <is>
          <t>Benchmark KPIs</t>
        </is>
      </c>
      <c r="H30" s="91" t="inlineStr">
        <is>
          <t>Verified</t>
        </is>
      </c>
      <c r="I30" s="48" t="inlineStr">
        <is>
          <t>2024 Job Detail Report.pdf (Sage Timberline, 04/03/2026, 285 pages)</t>
        </is>
      </c>
    </row>
    <row r="31">
      <c r="B31" s="81" t="n">
        <v>26</v>
      </c>
      <c r="C31" s="50" t="inlineStr">
        <is>
          <t>gross_margin</t>
        </is>
      </c>
      <c r="D31" s="50" t="inlineStr">
        <is>
          <t>Gross Margin</t>
        </is>
      </c>
      <c r="E31" s="95" t="n">
        <v>0.4892300491819656</v>
      </c>
      <c r="F31" s="50" t="inlineStr">
        <is>
          <t>%</t>
        </is>
      </c>
      <c r="G31" s="50" t="inlineStr">
        <is>
          <t>Benchmark KPIs</t>
        </is>
      </c>
      <c r="H31" s="91" t="inlineStr">
        <is>
          <t>Verified</t>
        </is>
      </c>
      <c r="I31" s="85" t="inlineStr">
        <is>
          <t>Derived</t>
        </is>
      </c>
      <c r="J31" s="53" t="n"/>
    </row>
    <row r="32">
      <c r="B32" s="80" t="n">
        <v>27</v>
      </c>
      <c r="C32" s="48" t="inlineStr">
        <is>
          <t>retainage</t>
        </is>
      </c>
      <c r="D32" s="48" t="inlineStr">
        <is>
          <t>Retainage Outstanding</t>
        </is>
      </c>
      <c r="E32" s="76" t="n">
        <v>90592.14999999999</v>
      </c>
      <c r="F32" s="48" t="inlineStr">
        <is>
          <t>USD</t>
        </is>
      </c>
      <c r="G32" s="48" t="inlineStr">
        <is>
          <t>Benchmark KPIs</t>
        </is>
      </c>
      <c r="H32" s="91" t="inlineStr">
        <is>
          <t>Verified</t>
        </is>
      </c>
      <c r="I32" s="48" t="inlineStr">
        <is>
          <t>2024 Job Detail Report.pdf (Sage Timberline, 04/03/2026, 285 pages)</t>
        </is>
      </c>
    </row>
    <row r="33">
      <c r="B33" s="81" t="n">
        <v>28</v>
      </c>
      <c r="C33" s="50" t="inlineStr">
        <is>
          <t>retainage_pct</t>
        </is>
      </c>
      <c r="D33" s="50" t="inlineStr">
        <is>
          <t>Retainage % of Revenue</t>
        </is>
      </c>
      <c r="E33" s="95" t="n">
        <v>0.05</v>
      </c>
      <c r="F33" s="50" t="inlineStr">
        <is>
          <t>%</t>
        </is>
      </c>
      <c r="G33" s="50" t="inlineStr">
        <is>
          <t>Benchmark KPIs</t>
        </is>
      </c>
      <c r="H33" s="91" t="inlineStr">
        <is>
          <t>Verified</t>
        </is>
      </c>
      <c r="I33" s="85" t="inlineStr">
        <is>
          <t>Derived</t>
        </is>
      </c>
      <c r="J33" s="53" t="n"/>
    </row>
    <row r="34">
      <c r="B34" s="80" t="n">
        <v>29</v>
      </c>
      <c r="C34" s="48" t="inlineStr">
        <is>
          <t>labor_cost</t>
        </is>
      </c>
      <c r="D34" s="48" t="inlineStr">
        <is>
          <t>Labor Cost</t>
        </is>
      </c>
      <c r="E34" s="76" t="n">
        <v>379757.5</v>
      </c>
      <c r="F34" s="48" t="inlineStr">
        <is>
          <t>USD</t>
        </is>
      </c>
      <c r="G34" s="48" t="inlineStr">
        <is>
          <t>Benchmark KPIs</t>
        </is>
      </c>
      <c r="H34" s="91" t="inlineStr">
        <is>
          <t>Verified</t>
        </is>
      </c>
      <c r="I34" s="48" t="inlineStr">
        <is>
          <t>2024 Job Detail Report.pdf (Sage Timberline, 04/03/2026, 285 pages)</t>
        </is>
      </c>
    </row>
    <row r="35">
      <c r="B35" s="81" t="n">
        <v>30</v>
      </c>
      <c r="C35" s="50" t="inlineStr">
        <is>
          <t>material_cost</t>
        </is>
      </c>
      <c r="D35" s="50" t="inlineStr">
        <is>
          <t>Material Cost</t>
        </is>
      </c>
      <c r="E35" s="55" t="n">
        <v>336538.34</v>
      </c>
      <c r="F35" s="50" t="inlineStr">
        <is>
          <t>USD</t>
        </is>
      </c>
      <c r="G35" s="50" t="inlineStr">
        <is>
          <t>Benchmark KPIs</t>
        </is>
      </c>
      <c r="H35" s="91" t="inlineStr">
        <is>
          <t>Verified</t>
        </is>
      </c>
      <c r="I35" s="50" t="inlineStr">
        <is>
          <t>2024 Job Detail Report.pdf (Sage Timberline, 04/03/2026, 285 pages)</t>
        </is>
      </c>
      <c r="J35" s="53" t="n"/>
    </row>
    <row r="36">
      <c r="B36" s="80" t="n">
        <v>31</v>
      </c>
      <c r="C36" s="48" t="inlineStr">
        <is>
          <t>overhead_cost</t>
        </is>
      </c>
      <c r="D36" s="48" t="inlineStr">
        <is>
          <t>Subcon+OH Cost</t>
        </is>
      </c>
      <c r="E36" s="76" t="n">
        <v>12403.9</v>
      </c>
      <c r="F36" s="48" t="inlineStr">
        <is>
          <t>USD</t>
        </is>
      </c>
      <c r="G36" s="48" t="inlineStr">
        <is>
          <t>Benchmark KPIs</t>
        </is>
      </c>
      <c r="H36" s="91" t="inlineStr">
        <is>
          <t>Verified</t>
        </is>
      </c>
      <c r="I36" s="48" t="inlineStr">
        <is>
          <t>2024 Job Detail Report.pdf (Sage Timberline, 04/03/2026, 285 pages)</t>
        </is>
      </c>
    </row>
    <row r="37">
      <c r="B37" s="81" t="n">
        <v>32</v>
      </c>
      <c r="C37" s="50" t="inlineStr">
        <is>
          <t>burden_cost</t>
        </is>
      </c>
      <c r="D37" s="50" t="inlineStr">
        <is>
          <t>Burden Cost</t>
        </is>
      </c>
      <c r="E37" s="55" t="n">
        <v>167598.54</v>
      </c>
      <c r="F37" s="50" t="inlineStr">
        <is>
          <t>USD</t>
        </is>
      </c>
      <c r="G37" s="50" t="inlineStr">
        <is>
          <t>Benchmark KPIs</t>
        </is>
      </c>
      <c r="H37" s="91" t="inlineStr">
        <is>
          <t>Verified</t>
        </is>
      </c>
      <c r="I37" s="50" t="inlineStr">
        <is>
          <t>2024 Job Detail Report.pdf (Sage Timberline, 04/03/2026, 285 pages)</t>
        </is>
      </c>
      <c r="J37" s="53" t="n"/>
    </row>
    <row r="38">
      <c r="B38" s="80" t="n">
        <v>33</v>
      </c>
      <c r="C38" s="48" t="inlineStr">
        <is>
          <t>tax_cost</t>
        </is>
      </c>
      <c r="D38" s="48" t="inlineStr">
        <is>
          <t>Tax Cost</t>
        </is>
      </c>
      <c r="E38" s="76" t="n">
        <v>29136.68</v>
      </c>
      <c r="F38" s="48" t="inlineStr">
        <is>
          <t>USD</t>
        </is>
      </c>
      <c r="G38" s="48" t="inlineStr">
        <is>
          <t>Benchmark KPIs</t>
        </is>
      </c>
      <c r="H38" s="91" t="inlineStr">
        <is>
          <t>Verified</t>
        </is>
      </c>
      <c r="I38" s="48" t="inlineStr">
        <is>
          <t>2024 Job Detail Report.pdf (Sage Timberline, 04/03/2026, 285 pages)</t>
        </is>
      </c>
    </row>
    <row r="39">
      <c r="B39" s="81" t="n">
        <v>34</v>
      </c>
      <c r="C39" s="50" t="inlineStr">
        <is>
          <t>total_hours</t>
        </is>
      </c>
      <c r="D39" s="50" t="inlineStr">
        <is>
          <t>Total Labor Hours</t>
        </is>
      </c>
      <c r="E39" s="56" t="n">
        <v>17098</v>
      </c>
      <c r="F39" s="50" t="inlineStr">
        <is>
          <t>hours</t>
        </is>
      </c>
      <c r="G39" s="50" t="inlineStr">
        <is>
          <t>Benchmark KPIs</t>
        </is>
      </c>
      <c r="H39" s="91" t="inlineStr">
        <is>
          <t>Verified</t>
        </is>
      </c>
      <c r="I39" s="50" t="inlineStr">
        <is>
          <t>2024 Job Detail Report.pdf (Sage Timberline, 04/03/2026, 285 pages)</t>
        </is>
      </c>
      <c r="J39" s="53" t="n"/>
    </row>
    <row r="40">
      <c r="B40" s="80" t="n">
        <v>35</v>
      </c>
      <c r="C40" s="48" t="inlineStr">
        <is>
          <t>total_workers</t>
        </is>
      </c>
      <c r="D40" s="48" t="inlineStr">
        <is>
          <t>Total Workers</t>
        </is>
      </c>
      <c r="E40" s="80" t="n">
        <v>40</v>
      </c>
      <c r="F40" s="48" t="inlineStr">
        <is>
          <t>count</t>
        </is>
      </c>
      <c r="G40" s="48" t="inlineStr">
        <is>
          <t>Benchmark KPIs</t>
        </is>
      </c>
      <c r="H40" s="91" t="inlineStr">
        <is>
          <t>Verified</t>
        </is>
      </c>
      <c r="I40" s="48" t="inlineStr">
        <is>
          <t>2024 Job Detail Report.pdf (Sage Timberline, 04/03/2026, 285 pages)</t>
        </is>
      </c>
    </row>
    <row r="41">
      <c r="B41" s="81" t="n">
        <v>36</v>
      </c>
      <c r="C41" s="50" t="inlineStr">
        <is>
          <t>blended_gross_wage</t>
        </is>
      </c>
      <c r="D41" s="50" t="inlineStr">
        <is>
          <t>Blended Gross Wage</t>
        </is>
      </c>
      <c r="E41" s="55" t="n">
        <v>22.21063867118961</v>
      </c>
      <c r="F41" s="50" t="inlineStr">
        <is>
          <t>USD/hr</t>
        </is>
      </c>
      <c r="G41" s="50" t="inlineStr">
        <is>
          <t>Benchmark KPIs</t>
        </is>
      </c>
      <c r="H41" s="91" t="inlineStr">
        <is>
          <t>Verified</t>
        </is>
      </c>
      <c r="I41" s="85" t="inlineStr">
        <is>
          <t>Derived</t>
        </is>
      </c>
      <c r="J41" s="53" t="n"/>
    </row>
    <row r="42">
      <c r="B42" s="80" t="n">
        <v>37</v>
      </c>
      <c r="C42" s="48" t="inlineStr">
        <is>
          <t>fully_loaded_wage</t>
        </is>
      </c>
      <c r="D42" s="48" t="inlineStr">
        <is>
          <t>Fully-Loaded Wage</t>
        </is>
      </c>
      <c r="E42" s="76" t="n">
        <v>33.71696806644052</v>
      </c>
      <c r="F42" s="48" t="inlineStr">
        <is>
          <t>USD/hr</t>
        </is>
      </c>
      <c r="G42" s="48" t="inlineStr">
        <is>
          <t>Benchmark KPIs</t>
        </is>
      </c>
      <c r="H42" s="91" t="inlineStr">
        <is>
          <t>Verified</t>
        </is>
      </c>
      <c r="I42" s="85" t="inlineStr">
        <is>
          <t>Derived</t>
        </is>
      </c>
    </row>
    <row r="43">
      <c r="B43" s="81" t="n">
        <v>38</v>
      </c>
      <c r="C43" s="50" t="inlineStr">
        <is>
          <t>burden_multiplier</t>
        </is>
      </c>
      <c r="D43" s="50" t="inlineStr">
        <is>
          <t>Burden Multiplier</t>
        </is>
      </c>
      <c r="E43" s="99" t="n">
        <v>1.518054863959237</v>
      </c>
      <c r="F43" s="50" t="inlineStr">
        <is>
          <t>x</t>
        </is>
      </c>
      <c r="G43" s="50" t="inlineStr">
        <is>
          <t>Benchmark KPIs</t>
        </is>
      </c>
      <c r="H43" s="91" t="inlineStr">
        <is>
          <t>Verified</t>
        </is>
      </c>
      <c r="I43" s="85" t="inlineStr">
        <is>
          <t>Derived</t>
        </is>
      </c>
      <c r="J43" s="53" t="n"/>
    </row>
    <row r="44">
      <c r="B44" s="80" t="n">
        <v>39</v>
      </c>
      <c r="C44" s="48" t="inlineStr">
        <is>
          <t>revenue_per_hour</t>
        </is>
      </c>
      <c r="D44" s="48" t="inlineStr">
        <is>
          <t>Revenue per Hour</t>
        </is>
      </c>
      <c r="E44" s="76" t="n">
        <v>105.968124926892</v>
      </c>
      <c r="F44" s="48" t="inlineStr">
        <is>
          <t>USD/hr</t>
        </is>
      </c>
      <c r="G44" s="48" t="inlineStr">
        <is>
          <t>Benchmark KPIs</t>
        </is>
      </c>
      <c r="H44" s="91" t="inlineStr">
        <is>
          <t>Verified</t>
        </is>
      </c>
      <c r="I44" s="85" t="inlineStr">
        <is>
          <t>Derived</t>
        </is>
      </c>
    </row>
    <row r="45">
      <c r="B45" s="81" t="n">
        <v>40</v>
      </c>
      <c r="C45" s="50" t="inlineStr">
        <is>
          <t>profit_per_hour</t>
        </is>
      </c>
      <c r="D45" s="50" t="inlineStr">
        <is>
          <t>Profit per Hour</t>
        </is>
      </c>
      <c r="E45" s="55" t="n">
        <v>51.84279096970406</v>
      </c>
      <c r="F45" s="50" t="inlineStr">
        <is>
          <t>USD/hr</t>
        </is>
      </c>
      <c r="G45" s="50" t="inlineStr">
        <is>
          <t>Benchmark KPIs</t>
        </is>
      </c>
      <c r="H45" s="91" t="inlineStr">
        <is>
          <t>Verified</t>
        </is>
      </c>
      <c r="I45" s="85" t="inlineStr">
        <is>
          <t>Derived</t>
        </is>
      </c>
      <c r="J45" s="53" t="n"/>
    </row>
    <row r="46">
      <c r="B46" s="80" t="n">
        <v>41</v>
      </c>
      <c r="C46" s="48" t="inlineStr">
        <is>
          <t>revenue_per_unit</t>
        </is>
      </c>
      <c r="D46" s="48" t="inlineStr">
        <is>
          <t>Revenue per Unit</t>
        </is>
      </c>
      <c r="E46" s="76" t="n">
        <v>15619.33620689655</v>
      </c>
      <c r="F46" s="48" t="inlineStr">
        <is>
          <t>USD</t>
        </is>
      </c>
      <c r="G46" s="48" t="inlineStr">
        <is>
          <t>Benchmark KPIs</t>
        </is>
      </c>
      <c r="H46" s="91" t="inlineStr">
        <is>
          <t>Verified</t>
        </is>
      </c>
      <c r="I46" s="85" t="inlineStr">
        <is>
          <t>Derived</t>
        </is>
      </c>
    </row>
    <row r="47">
      <c r="B47" s="81" t="n">
        <v>42</v>
      </c>
      <c r="C47" s="50" t="inlineStr">
        <is>
          <t>cost_per_unit</t>
        </is>
      </c>
      <c r="D47" s="50" t="inlineStr">
        <is>
          <t>Direct Cost per Unit</t>
        </is>
      </c>
      <c r="E47" s="55" t="n">
        <v>7977.887586206896</v>
      </c>
      <c r="F47" s="50" t="inlineStr">
        <is>
          <t>USD</t>
        </is>
      </c>
      <c r="G47" s="50" t="inlineStr">
        <is>
          <t>Benchmark KPIs</t>
        </is>
      </c>
      <c r="H47" s="91" t="inlineStr">
        <is>
          <t>Verified</t>
        </is>
      </c>
      <c r="I47" s="85" t="inlineStr">
        <is>
          <t>Derived</t>
        </is>
      </c>
      <c r="J47" s="53" t="n"/>
    </row>
    <row r="48">
      <c r="B48" s="80" t="n">
        <v>43</v>
      </c>
      <c r="C48" s="48" t="inlineStr">
        <is>
          <t>hours_per_unit</t>
        </is>
      </c>
      <c r="D48" s="48" t="inlineStr">
        <is>
          <t>Labor Hours per Unit</t>
        </is>
      </c>
      <c r="E48" s="69" t="n">
        <v>147.3965517241379</v>
      </c>
      <c r="F48" s="48" t="inlineStr">
        <is>
          <t>hours</t>
        </is>
      </c>
      <c r="G48" s="48" t="inlineStr">
        <is>
          <t>Benchmark KPIs</t>
        </is>
      </c>
      <c r="H48" s="91" t="inlineStr">
        <is>
          <t>Verified</t>
        </is>
      </c>
      <c r="I48" s="85" t="inlineStr">
        <is>
          <t>Derived</t>
        </is>
      </c>
    </row>
    <row r="49">
      <c r="B49" s="81" t="n">
        <v>44</v>
      </c>
      <c r="C49" s="50" t="inlineStr">
        <is>
          <t>labor_pct_revenue</t>
        </is>
      </c>
      <c r="D49" s="50" t="inlineStr">
        <is>
          <t>Labor % of Revenue</t>
        </is>
      </c>
      <c r="E49" s="95" t="n">
        <v>0.2095973547376898</v>
      </c>
      <c r="F49" s="50" t="inlineStr">
        <is>
          <t>%</t>
        </is>
      </c>
      <c r="G49" s="50" t="inlineStr">
        <is>
          <t>Benchmark KPIs</t>
        </is>
      </c>
      <c r="H49" s="91" t="inlineStr">
        <is>
          <t>Verified</t>
        </is>
      </c>
      <c r="I49" s="85" t="inlineStr">
        <is>
          <t>Derived</t>
        </is>
      </c>
      <c r="J49" s="53" t="n"/>
    </row>
    <row r="50">
      <c r="B50" s="80" t="n">
        <v>45</v>
      </c>
      <c r="C50" s="48" t="inlineStr">
        <is>
          <t>material_pct_revenue</t>
        </is>
      </c>
      <c r="D50" s="48" t="inlineStr">
        <is>
          <t>Material % of Revenue</t>
        </is>
      </c>
      <c r="E50" s="92" t="n">
        <v>0.1857436543894808</v>
      </c>
      <c r="F50" s="48" t="inlineStr">
        <is>
          <t>%</t>
        </is>
      </c>
      <c r="G50" s="48" t="inlineStr">
        <is>
          <t>Benchmark KPIs</t>
        </is>
      </c>
      <c r="H50" s="91" t="inlineStr">
        <is>
          <t>Verified</t>
        </is>
      </c>
      <c r="I50" s="85" t="inlineStr">
        <is>
          <t>Derived</t>
        </is>
      </c>
    </row>
    <row r="51">
      <c r="B51" s="81" t="n">
        <v>46</v>
      </c>
      <c r="C51" s="50" t="inlineStr">
        <is>
          <t>total_vendors</t>
        </is>
      </c>
      <c r="D51" s="50" t="inlineStr">
        <is>
          <t>Total Vendors (AP)</t>
        </is>
      </c>
      <c r="E51" s="81" t="n">
        <v>24</v>
      </c>
      <c r="F51" s="50" t="inlineStr">
        <is>
          <t>count</t>
        </is>
      </c>
      <c r="G51" s="50" t="inlineStr">
        <is>
          <t>Vendors</t>
        </is>
      </c>
      <c r="H51" s="91" t="inlineStr">
        <is>
          <t>Verified</t>
        </is>
      </c>
      <c r="I51" s="50" t="inlineStr">
        <is>
          <t>2024 Job Detail Report.pdf (Sage Timberline, 04/03/2026, 285 pages)</t>
        </is>
      </c>
      <c r="J51" s="53" t="n"/>
    </row>
    <row r="52">
      <c r="B52" s="80" t="n">
        <v>47</v>
      </c>
      <c r="C52" s="48" t="inlineStr">
        <is>
          <t>total_invoices</t>
        </is>
      </c>
      <c r="D52" s="48" t="inlineStr">
        <is>
          <t>Total Invoices (AR)</t>
        </is>
      </c>
      <c r="E52" s="80" t="n">
        <v>18</v>
      </c>
      <c r="F52" s="48" t="inlineStr">
        <is>
          <t>count</t>
        </is>
      </c>
      <c r="G52" s="48" t="inlineStr">
        <is>
          <t>Billing &amp; SOV</t>
        </is>
      </c>
      <c r="H52" s="91" t="inlineStr">
        <is>
          <t>Verified</t>
        </is>
      </c>
      <c r="I52" s="48" t="inlineStr">
        <is>
          <t>2024 Job Detail Report.pdf (Sage Timberline, 04/03/2026, 285 pages)</t>
        </is>
      </c>
    </row>
    <row r="53">
      <c r="B53" s="81" t="n">
        <v>48</v>
      </c>
      <c r="C53" s="50" t="inlineStr">
        <is>
          <t>rfi_count</t>
        </is>
      </c>
      <c r="D53" s="50" t="inlineStr">
        <is>
          <t>ASI-RFI Count</t>
        </is>
      </c>
      <c r="E53" s="81" t="n">
        <v>52</v>
      </c>
      <c r="F53" s="50" t="inlineStr">
        <is>
          <t>count</t>
        </is>
      </c>
      <c r="G53" s="50" t="inlineStr">
        <is>
          <t>Change Log</t>
        </is>
      </c>
      <c r="H53" s="91" t="inlineStr">
        <is>
          <t>Verified</t>
        </is>
      </c>
      <c r="I53" s="50" t="inlineStr">
        <is>
          <t>ASI-RFI folder</t>
        </is>
      </c>
      <c r="J53" s="53" t="n"/>
    </row>
    <row r="54">
      <c r="B54" s="80" t="n">
        <v>49</v>
      </c>
      <c r="C54" s="48" t="inlineStr">
        <is>
          <t>asi_count</t>
        </is>
      </c>
      <c r="D54" s="48" t="inlineStr">
        <is>
          <t>ASI Count</t>
        </is>
      </c>
      <c r="E54" s="80" t="n">
        <v>7</v>
      </c>
      <c r="F54" s="48" t="inlineStr">
        <is>
          <t>count</t>
        </is>
      </c>
      <c r="G54" s="48" t="inlineStr">
        <is>
          <t>Change Log</t>
        </is>
      </c>
      <c r="H54" s="91" t="inlineStr">
        <is>
          <t>Verified</t>
        </is>
      </c>
      <c r="I54" s="48" t="inlineStr">
        <is>
          <t>ASI-RFI folder</t>
        </is>
      </c>
    </row>
    <row r="55">
      <c r="B55" s="81" t="n">
        <v>50</v>
      </c>
      <c r="C55" s="50" t="inlineStr">
        <is>
          <t>submittal_count</t>
        </is>
      </c>
      <c r="D55" s="50" t="inlineStr">
        <is>
          <t>Submittal Count (≥)</t>
        </is>
      </c>
      <c r="E55" s="81" t="n">
        <v>80</v>
      </c>
      <c r="F55" s="50" t="inlineStr">
        <is>
          <t>count</t>
        </is>
      </c>
      <c r="G55" s="50" t="inlineStr">
        <is>
          <t>Change Log</t>
        </is>
      </c>
      <c r="H55" s="91" t="inlineStr">
        <is>
          <t>Verified</t>
        </is>
      </c>
      <c r="I55" s="50" t="inlineStr">
        <is>
          <t>Submittals folders</t>
        </is>
      </c>
      <c r="J55" s="53" t="n"/>
    </row>
    <row r="56">
      <c r="B56" s="80" t="n">
        <v>51</v>
      </c>
      <c r="C56" s="48" t="inlineStr">
        <is>
          <t>po_count</t>
        </is>
      </c>
      <c r="D56" s="48" t="inlineStr">
        <is>
          <t>PO Count (≥)</t>
        </is>
      </c>
      <c r="E56" s="80" t="n">
        <v>138</v>
      </c>
      <c r="F56" s="48" t="inlineStr">
        <is>
          <t>count</t>
        </is>
      </c>
      <c r="G56" s="48" t="inlineStr">
        <is>
          <t>Change Log</t>
        </is>
      </c>
      <c r="H56" s="91" t="inlineStr">
        <is>
          <t>Verified</t>
        </is>
      </c>
      <c r="I56" s="48" t="inlineStr">
        <is>
          <t>PO_S folders</t>
        </is>
      </c>
    </row>
    <row r="57">
      <c r="B57" s="81" t="n">
        <v>52</v>
      </c>
      <c r="C57" s="50" t="inlineStr">
        <is>
          <t>permit_count</t>
        </is>
      </c>
      <c r="D57" s="50" t="inlineStr">
        <is>
          <t>Permit Count</t>
        </is>
      </c>
      <c r="E57" s="81" t="n">
        <v>8</v>
      </c>
      <c r="F57" s="50" t="inlineStr">
        <is>
          <t>count</t>
        </is>
      </c>
      <c r="G57" s="50" t="inlineStr">
        <is>
          <t>Change Log</t>
        </is>
      </c>
      <c r="H57" s="91" t="inlineStr">
        <is>
          <t>Verified</t>
        </is>
      </c>
      <c r="I57" s="50" t="inlineStr">
        <is>
          <t>Permits folder</t>
        </is>
      </c>
      <c r="J57" s="53" t="n"/>
    </row>
    <row r="58">
      <c r="B58" s="80" t="n">
        <v>53</v>
      </c>
      <c r="C58" s="48" t="inlineStr">
        <is>
          <t>top_worker_hours_share</t>
        </is>
      </c>
      <c r="D58" s="48" t="inlineStr">
        <is>
          <t>Top Worker Hours Share</t>
        </is>
      </c>
      <c r="E58" s="92" t="n">
        <v>0.1014738565914142</v>
      </c>
      <c r="F58" s="48" t="inlineStr">
        <is>
          <t>%</t>
        </is>
      </c>
      <c r="G58" s="48" t="inlineStr">
        <is>
          <t>Crew Analytics</t>
        </is>
      </c>
      <c r="H58" s="91" t="inlineStr">
        <is>
          <t>Verified</t>
        </is>
      </c>
      <c r="I58" s="85" t="inlineStr">
        <is>
          <t>Derived</t>
        </is>
      </c>
    </row>
    <row r="59">
      <c r="B59" s="81" t="n">
        <v>54</v>
      </c>
      <c r="C59" s="50" t="inlineStr">
        <is>
          <t>top5_worker_hours_share</t>
        </is>
      </c>
      <c r="D59" s="50" t="inlineStr">
        <is>
          <t>Top 5 Worker Hours Share</t>
        </is>
      </c>
      <c r="E59" s="95" t="n">
        <v>0.3735524622762896</v>
      </c>
      <c r="F59" s="50" t="inlineStr">
        <is>
          <t>%</t>
        </is>
      </c>
      <c r="G59" s="50" t="inlineStr">
        <is>
          <t>Crew Analytics</t>
        </is>
      </c>
      <c r="H59" s="91" t="inlineStr">
        <is>
          <t>Verified</t>
        </is>
      </c>
      <c r="I59" s="85" t="inlineStr">
        <is>
          <t>Derived</t>
        </is>
      </c>
      <c r="J59" s="53" t="n"/>
    </row>
    <row r="60">
      <c r="B60" s="80" t="n">
        <v>55</v>
      </c>
      <c r="C60" s="48" t="inlineStr">
        <is>
          <t>cost_code_count</t>
        </is>
      </c>
      <c r="D60" s="48" t="inlineStr">
        <is>
          <t>Cost Codes Active</t>
        </is>
      </c>
      <c r="E60" s="80" t="n">
        <v>30</v>
      </c>
      <c r="F60" s="48" t="inlineStr">
        <is>
          <t>count</t>
        </is>
      </c>
      <c r="G60" s="48" t="inlineStr">
        <is>
          <t>Budget vs Actual</t>
        </is>
      </c>
      <c r="H60" s="91" t="inlineStr">
        <is>
          <t>Verified</t>
        </is>
      </c>
      <c r="I60" s="48" t="inlineStr">
        <is>
          <t>2024 Job Detail Report.pdf (Sage Timberline, 04/03/2026, 285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3" t="inlineStr">
        <is>
          <t>Reconciliation</t>
        </is>
      </c>
    </row>
    <row r="3" ht="22" customHeight="1">
      <c r="B3" s="44" t="inlineStr">
        <is>
          <t>Cross-sheet formula checks</t>
        </is>
      </c>
    </row>
    <row r="4" ht="2" customHeight="1"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</row>
    <row r="5">
      <c r="B5" s="65" t="inlineStr">
        <is>
          <t>#</t>
        </is>
      </c>
      <c r="C5" s="65" t="inlineStr">
        <is>
          <t>Check</t>
        </is>
      </c>
      <c r="D5" s="65" t="inlineStr">
        <is>
          <t>Value A</t>
        </is>
      </c>
      <c r="E5" s="65" t="inlineStr">
        <is>
          <t>Value B</t>
        </is>
      </c>
      <c r="F5" s="65" t="inlineStr">
        <is>
          <t>Delta</t>
        </is>
      </c>
      <c r="G5" s="65" t="inlineStr">
        <is>
          <t>Status</t>
        </is>
      </c>
      <c r="H5" s="65" t="inlineStr">
        <is>
          <t>Tabs</t>
        </is>
      </c>
    </row>
    <row r="6">
      <c r="B6" s="80" t="n">
        <v>1</v>
      </c>
      <c r="C6" s="48" t="inlineStr">
        <is>
          <t>Revenue (JDR) = Contract Final</t>
        </is>
      </c>
      <c r="D6" s="76" t="n">
        <v>1811843</v>
      </c>
      <c r="E6" s="76" t="n">
        <v>1811843</v>
      </c>
      <c r="F6" s="67">
        <f>D6-E6</f>
        <v/>
      </c>
      <c r="G6" s="48">
        <f>IF(ABS(F6)&lt;=1,"TIES",IF(ABS(F6)&lt;=ABS(E6)*0.05,"WITHIN",IF(ABS(F6)&lt;=ABS(E6)*0.15,"NEAR","OFF")))</f>
        <v/>
      </c>
      <c r="H6" s="48" t="inlineStr">
        <is>
          <t>1↔8</t>
        </is>
      </c>
    </row>
    <row r="7">
      <c r="B7" s="81" t="n">
        <v>2</v>
      </c>
      <c r="C7" s="50" t="inlineStr">
        <is>
          <t>Expenses = Labor+Material+OH+Burden+Tax</t>
        </is>
      </c>
      <c r="D7" s="55" t="n">
        <v>925434.96</v>
      </c>
      <c r="E7" s="55" t="n">
        <v>925434.9600000002</v>
      </c>
      <c r="F7" s="71">
        <f>D7-E7</f>
        <v/>
      </c>
      <c r="G7" s="50">
        <f>IF(ABS(F7)&lt;=1,"TIES",IF(ABS(F7)&lt;=ABS(E7)*0.05,"WITHIN",IF(ABS(F7)&lt;=ABS(E7)*0.15,"NEAR","OFF")))</f>
        <v/>
      </c>
      <c r="H7" s="50" t="inlineStr">
        <is>
          <t>1↔3</t>
        </is>
      </c>
      <c r="I7" s="53" t="n"/>
      <c r="J7" s="53" t="n"/>
    </row>
    <row r="8">
      <c r="B8" s="80" t="n">
        <v>3</v>
      </c>
      <c r="C8" s="48" t="inlineStr">
        <is>
          <t>Net Profit = Revenue - Expenses</t>
        </is>
      </c>
      <c r="D8" s="76" t="n">
        <v>886408.04</v>
      </c>
      <c r="E8" s="76" t="n">
        <v>886408.04</v>
      </c>
      <c r="F8" s="67">
        <f>D8-E8</f>
        <v/>
      </c>
      <c r="G8" s="48">
        <f>IF(ABS(F8)&lt;=1,"TIES",IF(ABS(F8)&lt;=ABS(E8)*0.05,"WITHIN",IF(ABS(F8)&lt;=ABS(E8)*0.15,"NEAR","OFF")))</f>
        <v/>
      </c>
      <c r="H8" s="48" t="inlineStr">
        <is>
          <t>1↔Derived</t>
        </is>
      </c>
    </row>
    <row r="9">
      <c r="B9" s="81" t="n">
        <v>4</v>
      </c>
      <c r="C9" s="50" t="inlineStr">
        <is>
          <t>JDR Source: AP+PR+GL = Expenses</t>
        </is>
      </c>
      <c r="D9" s="55" t="n">
        <v>925434.96</v>
      </c>
      <c r="E9" s="55" t="n">
        <v>925434.96</v>
      </c>
      <c r="F9" s="71">
        <f>D9-E9</f>
        <v/>
      </c>
      <c r="G9" s="50">
        <f>IF(ABS(F9)&lt;=1,"TIES",IF(ABS(F9)&lt;=ABS(E9)*0.05,"WITHIN",IF(ABS(F9)&lt;=ABS(E9)*0.15,"NEAR","OFF")))</f>
        <v/>
      </c>
      <c r="H9" s="50" t="inlineStr">
        <is>
          <t>1↔Derived (footer)</t>
        </is>
      </c>
      <c r="I9" s="53" t="n"/>
      <c r="J9" s="53" t="n"/>
    </row>
    <row r="10">
      <c r="B10" s="80" t="n">
        <v>5</v>
      </c>
      <c r="C10" s="48" t="inlineStr">
        <is>
          <t>Budget vs Actual (code 999) = -Revenue</t>
        </is>
      </c>
      <c r="D10" s="76" t="n">
        <v>1811843</v>
      </c>
      <c r="E10" s="76" t="n">
        <v>1811843</v>
      </c>
      <c r="F10" s="67">
        <f>D10-E10</f>
        <v/>
      </c>
      <c r="G10" s="48">
        <f>IF(ABS(F10)&lt;=1,"TIES",IF(ABS(F10)&lt;=ABS(E10)*0.05,"WITHIN",IF(ABS(F10)&lt;=ABS(E10)*0.15,"NEAR","OFF")))</f>
        <v/>
      </c>
      <c r="H10" s="48" t="inlineStr">
        <is>
          <t>2↔1</t>
        </is>
      </c>
    </row>
    <row r="11">
      <c r="B11" s="81" t="n">
        <v>6</v>
      </c>
      <c r="C11" s="50" t="inlineStr">
        <is>
          <t>Total Labor Hours = Worker hours sum</t>
        </is>
      </c>
      <c r="D11" s="55" t="n">
        <v>17098</v>
      </c>
      <c r="E11" s="55" t="n">
        <v>17061</v>
      </c>
      <c r="F11" s="71">
        <f>D11-E11</f>
        <v/>
      </c>
      <c r="G11" s="50">
        <f>IF(ABS(F11)&lt;=1,"TIES",IF(ABS(F11)&lt;=ABS(E11)*0.05,"WITHIN",IF(ABS(F11)&lt;=ABS(E11)*0.15,"NEAR","OFF")))</f>
        <v/>
      </c>
      <c r="H11" s="50" t="inlineStr">
        <is>
          <t>5↔2</t>
        </is>
      </c>
      <c r="I11" s="53" t="n"/>
      <c r="J11" s="53" t="n"/>
    </row>
    <row r="12">
      <c r="B12" s="80" t="n">
        <v>7</v>
      </c>
      <c r="C12" s="48" t="inlineStr">
        <is>
          <t>Labor Cost = Worker gross sum</t>
        </is>
      </c>
      <c r="D12" s="76" t="n">
        <v>379757.5</v>
      </c>
      <c r="E12" s="76" t="n">
        <v>379509</v>
      </c>
      <c r="F12" s="67">
        <f>D12-E12</f>
        <v/>
      </c>
      <c r="G12" s="48">
        <f>IF(ABS(F12)&lt;=1,"TIES",IF(ABS(F12)&lt;=ABS(E12)*0.05,"WITHIN",IF(ABS(F12)&lt;=ABS(E12)*0.15,"NEAR","OFF")))</f>
        <v/>
      </c>
      <c r="H12" s="48" t="inlineStr">
        <is>
          <t>5↔3</t>
        </is>
      </c>
    </row>
    <row r="13">
      <c r="B13" s="81" t="n">
        <v>8</v>
      </c>
      <c r="C13" s="50" t="inlineStr">
        <is>
          <t>Vendor total ≈ AP footer</t>
        </is>
      </c>
      <c r="D13" s="55" t="n">
        <v>299677.2299999999</v>
      </c>
      <c r="E13" s="55" t="n">
        <v>299677.23</v>
      </c>
      <c r="F13" s="71">
        <f>D13-E13</f>
        <v/>
      </c>
      <c r="G13" s="50">
        <f>IF(ABS(F13)&lt;=1,"TIES",IF(ABS(F13)&lt;=ABS(E13)*0.05,"WITHIN",IF(ABS(F13)&lt;=ABS(E13)*0.15,"NEAR","OFF")))</f>
        <v/>
      </c>
      <c r="H13" s="50" t="inlineStr">
        <is>
          <t>12↔1 (approximate)</t>
        </is>
      </c>
      <c r="I13" s="53" t="n"/>
      <c r="J13" s="53" t="n"/>
    </row>
    <row r="14">
      <c r="B14" s="80" t="n">
        <v>9</v>
      </c>
      <c r="C14" s="48" t="inlineStr">
        <is>
          <t>Invoice count</t>
        </is>
      </c>
      <c r="D14" s="80" t="n">
        <v>18</v>
      </c>
      <c r="E14" s="80" t="n">
        <v>18</v>
      </c>
      <c r="F14" s="67">
        <f>D14-E14</f>
        <v/>
      </c>
      <c r="G14" s="48">
        <f>IF(ABS(F14)&lt;=1,"TIES",IF(ABS(F14)&lt;=ABS(E14)*0.05,"WITHIN",IF(ABS(F14)&lt;=ABS(E14)*0.15,"NEAR","OFF")))</f>
        <v/>
      </c>
      <c r="H14" s="48" t="inlineStr">
        <is>
          <t>9↔11</t>
        </is>
      </c>
    </row>
    <row r="15">
      <c r="B15" s="81" t="n">
        <v>10</v>
      </c>
      <c r="C15" s="50" t="inlineStr">
        <is>
          <t>Contract Final - Orig = CO implied</t>
        </is>
      </c>
      <c r="D15" s="55" t="n">
        <v>48363</v>
      </c>
      <c r="E15" s="55" t="n">
        <v>48363</v>
      </c>
      <c r="F15" s="71">
        <f>D15-E15</f>
        <v/>
      </c>
      <c r="G15" s="50">
        <f>IF(ABS(F15)&lt;=1,"TIES",IF(ABS(F15)&lt;=ABS(E15)*0.05,"WITHIN",IF(ABS(F15)&lt;=ABS(E15)*0.15,"NEAR","OFF")))</f>
        <v/>
      </c>
      <c r="H15" s="50" t="inlineStr">
        <is>
          <t>11↔Derived</t>
        </is>
      </c>
      <c r="I15" s="53" t="n"/>
      <c r="J15" s="53" t="n"/>
    </row>
    <row r="16">
      <c r="B16" s="80" t="n">
        <v>11</v>
      </c>
      <c r="C16" s="48" t="inlineStr">
        <is>
          <t>Retainage outstanding</t>
        </is>
      </c>
      <c r="D16" s="76" t="n">
        <v>90592.14999999999</v>
      </c>
      <c r="E16" s="76" t="n">
        <v>90592.14999999999</v>
      </c>
      <c r="F16" s="67">
        <f>D16-E16</f>
        <v/>
      </c>
      <c r="G16" s="48">
        <f>IF(ABS(F16)&lt;=1,"TIES",IF(ABS(F16)&lt;=ABS(E16)*0.05,"WITHIN",IF(ABS(F16)&lt;=ABS(E16)*0.15,"NEAR","OFF")))</f>
        <v/>
      </c>
      <c r="H16" s="48" t="inlineStr">
        <is>
          <t>9↔JDR footer</t>
        </is>
      </c>
    </row>
    <row r="17">
      <c r="B17" s="81" t="n">
        <v>12</v>
      </c>
      <c r="C17" s="50" t="inlineStr">
        <is>
          <t>Retainage sum from invoices</t>
        </is>
      </c>
      <c r="D17" s="55" t="n">
        <v>90592.14999999999</v>
      </c>
      <c r="E17" s="55" t="n">
        <v>90592.14999999999</v>
      </c>
      <c r="F17" s="71">
        <f>D17-E17</f>
        <v/>
      </c>
      <c r="G17" s="50">
        <f>IF(ABS(F17)&lt;=1,"TIES",IF(ABS(F17)&lt;=ABS(E17)*0.05,"WITHIN",IF(ABS(F17)&lt;=ABS(E17)*0.15,"NEAR","OFF")))</f>
        <v/>
      </c>
      <c r="H17" s="50" t="inlineStr">
        <is>
          <t>9↔JDR footer</t>
        </is>
      </c>
      <c r="I17" s="53" t="n"/>
      <c r="J17" s="53" t="n"/>
    </row>
    <row r="18">
      <c r="B18" s="80" t="n">
        <v>13</v>
      </c>
      <c r="C18" s="48" t="inlineStr">
        <is>
          <t>Aggregate billing Total before retention = Revenue</t>
        </is>
      </c>
      <c r="D18" s="76" t="n">
        <v>1811843</v>
      </c>
      <c r="E18" s="76" t="n">
        <v>1811843</v>
      </c>
      <c r="F18" s="67">
        <f>D18-E18</f>
        <v/>
      </c>
      <c r="G18" s="48">
        <f>IF(ABS(F18)&lt;=1,"TIES",IF(ABS(F18)&lt;=ABS(E18)*0.05,"WITHIN",IF(ABS(F18)&lt;=ABS(E18)*0.15,"NEAR","OFF")))</f>
        <v/>
      </c>
      <c r="H18" s="48" t="inlineStr">
        <is>
          <t>9↔Billing XLSX</t>
        </is>
      </c>
    </row>
    <row r="19">
      <c r="B19" s="81" t="n">
        <v>14</v>
      </c>
      <c r="C19" s="50" t="inlineStr">
        <is>
          <t>Aggregate billing Retention = JDR Retainage</t>
        </is>
      </c>
      <c r="D19" s="55" t="n">
        <v>90592.14999999999</v>
      </c>
      <c r="E19" s="55" t="n">
        <v>90592.14999999999</v>
      </c>
      <c r="F19" s="71">
        <f>D19-E19</f>
        <v/>
      </c>
      <c r="G19" s="50">
        <f>IF(ABS(F19)&lt;=1,"TIES",IF(ABS(F19)&lt;=ABS(E19)*0.05,"WITHIN",IF(ABS(F19)&lt;=ABS(E19)*0.15,"NEAR","OFF")))</f>
        <v/>
      </c>
      <c r="H19" s="50" t="inlineStr">
        <is>
          <t>9↔Billing XLSX</t>
        </is>
      </c>
      <c r="I19" s="53" t="n"/>
      <c r="J19" s="53" t="n"/>
    </row>
    <row r="20">
      <c r="B20" s="80" t="n">
        <v>15</v>
      </c>
      <c r="C20" s="48" t="inlineStr">
        <is>
          <t>Contract net + WSST = Contract gross</t>
        </is>
      </c>
      <c r="D20" s="76" t="n">
        <v>1932774.08</v>
      </c>
      <c r="E20" s="76" t="n">
        <v>1932774.08</v>
      </c>
      <c r="F20" s="67">
        <f>D20-E20</f>
        <v/>
      </c>
      <c r="G20" s="48">
        <f>IF(ABS(F20)&lt;=1,"TIES",IF(ABS(F20)&lt;=ABS(E20)*0.05,"WITHIN",IF(ABS(F20)&lt;=ABS(E20)*0.15,"NEAR","OFF")))</f>
        <v/>
      </c>
      <c r="H20" s="48" t="inlineStr">
        <is>
          <t>Contract header</t>
        </is>
      </c>
    </row>
    <row r="21">
      <c r="B21" s="81" t="n">
        <v>16</v>
      </c>
      <c r="C21" s="50" t="inlineStr">
        <is>
          <t>Worker count</t>
        </is>
      </c>
      <c r="D21" s="81" t="n">
        <v>40</v>
      </c>
      <c r="E21" s="81" t="n">
        <v>40</v>
      </c>
      <c r="F21" s="71">
        <f>D21-E21</f>
        <v/>
      </c>
      <c r="G21" s="50">
        <f>IF(ABS(F21)&lt;=1,"TIES",IF(ABS(F21)&lt;=ABS(E21)*0.05,"WITHIN",IF(ABS(F21)&lt;=ABS(E21)*0.15,"NEAR","OFF")))</f>
        <v/>
      </c>
      <c r="H21" s="50" t="inlineStr">
        <is>
          <t>5↔11</t>
        </is>
      </c>
      <c r="I21" s="53" t="n"/>
      <c r="J21" s="53" t="n"/>
    </row>
    <row r="22">
      <c r="B22" s="80" t="n">
        <v>17</v>
      </c>
      <c r="C22" s="48" t="inlineStr">
        <is>
          <t>Cost code count</t>
        </is>
      </c>
      <c r="D22" s="80" t="n">
        <v>30</v>
      </c>
      <c r="E22" s="80" t="n">
        <v>30</v>
      </c>
      <c r="F22" s="67">
        <f>D22-E22</f>
        <v/>
      </c>
      <c r="G22" s="48">
        <f>IF(ABS(F22)&lt;=1,"TIES",IF(ABS(F22)&lt;=ABS(E22)*0.05,"WITHIN",IF(ABS(F22)&lt;=ABS(E22)*0.15,"NEAR","OFF")))</f>
        <v/>
      </c>
      <c r="H22" s="48" t="inlineStr">
        <is>
          <t>2↔16</t>
        </is>
      </c>
    </row>
    <row r="23">
      <c r="B23" s="81" t="n">
        <v>18</v>
      </c>
      <c r="C23" s="50" t="inlineStr">
        <is>
          <t>COR documented ≈ CO implied</t>
        </is>
      </c>
      <c r="D23" s="55" t="n">
        <v>54663</v>
      </c>
      <c r="E23" s="55" t="n">
        <v>48363</v>
      </c>
      <c r="F23" s="71">
        <f>D23-E23</f>
        <v/>
      </c>
      <c r="G23" s="50">
        <f>IF(ABS(F23)&lt;=1,"TIES",IF(ABS(F23)&lt;=ABS(E23)*0.05,"WITHIN",IF(ABS(F23)&lt;=ABS(E23)*0.15,"NEAR","OFF")))</f>
        <v/>
      </c>
      <c r="H23" s="50" t="inlineStr">
        <is>
          <t>8↔13</t>
        </is>
      </c>
      <c r="I23" s="53" t="n"/>
      <c r="J23" s="53" t="n"/>
    </row>
    <row r="24"/>
    <row r="25"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>
      <c r="B26" s="58" t="inlineStr">
        <is>
          <t>SOURCES</t>
        </is>
      </c>
      <c r="C26" s="42" t="n"/>
      <c r="D26" s="42" t="n"/>
      <c r="E26" s="42" t="n"/>
      <c r="F26" s="42" t="n"/>
      <c r="G26" s="42" t="n"/>
      <c r="H26" s="42" t="n"/>
    </row>
    <row r="27">
      <c r="B27" s="49" t="inlineStr">
        <is>
          <t>Job #2024 — Cortex v2 17-tab (built from-scratch)</t>
        </is>
      </c>
      <c r="C27" s="51" t="n"/>
      <c r="D27" s="51" t="n"/>
      <c r="E27" s="51" t="n"/>
      <c r="F27" s="51" t="n"/>
      <c r="G27" s="51" t="n"/>
      <c r="H27" s="52" t="n"/>
      <c r="I27" s="53" t="n"/>
      <c r="J27" s="53" t="n"/>
    </row>
    <row r="28">
      <c r="B28" s="47" t="inlineStr">
        <is>
          <t>Canonical financial source: 2024 Job Detail Report.pdf (Sage Timberline, 04/03/2026, 285 pages)</t>
        </is>
      </c>
      <c r="C28" s="6" t="n"/>
      <c r="D28" s="6" t="n"/>
      <c r="E28" s="6" t="n"/>
      <c r="F28" s="6" t="n"/>
      <c r="G28" s="6" t="n"/>
      <c r="H28" s="7" t="n"/>
    </row>
    <row r="29">
      <c r="B29" s="49" t="inlineStr">
        <is>
          <t>JDR Job Totals: Revenue $1,811,843.00 / Expenses $925,434.96 / Net $886,408.04 / Retainage $90,592.15</t>
        </is>
      </c>
      <c r="C29" s="51" t="n"/>
      <c r="D29" s="51" t="n"/>
      <c r="E29" s="51" t="n"/>
      <c r="F29" s="51" t="n"/>
      <c r="G29" s="51" t="n"/>
      <c r="H29" s="52" t="n"/>
      <c r="I29" s="53" t="n"/>
      <c r="J29" s="53" t="n"/>
    </row>
    <row r="30">
      <c r="B30" s="47" t="inlineStr">
        <is>
          <t>JDR Source breakdown: GL $48,153.01 · AP $299,677.23 · PR $577,604.72 · AR $1,811,843.00</t>
        </is>
      </c>
      <c r="C30" s="6" t="n"/>
      <c r="D30" s="6" t="n"/>
      <c r="E30" s="6" t="n"/>
      <c r="F30" s="6" t="n"/>
      <c r="G30" s="6" t="n"/>
      <c r="H30" s="7" t="n"/>
    </row>
    <row r="31">
      <c r="B31" s="49" t="inlineStr">
        <is>
          <t>Contract: mgb contract brett signed OCR_D.pdf (21-Apr-2015, Lump Sum $1,932,774.08 gross incl $169,294 WSST = $1,763,480 net)</t>
        </is>
      </c>
      <c r="C31" s="51" t="n"/>
      <c r="D31" s="51" t="n"/>
      <c r="E31" s="51" t="n"/>
      <c r="F31" s="51" t="n"/>
      <c r="G31" s="51" t="n"/>
      <c r="H31" s="52" t="n"/>
      <c r="I31" s="53" t="n"/>
      <c r="J31" s="53" t="n"/>
    </row>
    <row r="32">
      <c r="B32" s="47" t="inlineStr">
        <is>
          <t>Billing: MGB AGGREGATE BILLING.xlsx (16 billings + retainage release row, ties to JDR) — aggregate billings tie perfectly to JDR revenue and retainage</t>
        </is>
      </c>
      <c r="C32" s="6" t="n"/>
      <c r="D32" s="6" t="n"/>
      <c r="E32" s="6" t="n"/>
      <c r="F32" s="6" t="n"/>
      <c r="G32" s="6" t="n"/>
      <c r="H32" s="7" t="n"/>
    </row>
    <row r="33">
      <c r="B33" s="49" t="inlineStr">
        <is>
          <t>COR Summary: Change Orders/COR_s/Ballard MG - Outstanding COR_s.xlsx — 17 CORs with $ pricing + CO# assignments (priced sum $54,663.00 vs JDR-implied $48,363.00)</t>
        </is>
      </c>
      <c r="C33" s="51" t="n"/>
      <c r="D33" s="51" t="n"/>
      <c r="E33" s="51" t="n"/>
      <c r="F33" s="51" t="n"/>
      <c r="G33" s="51" t="n"/>
      <c r="H33" s="52" t="n"/>
      <c r="I33" s="53" t="n"/>
      <c r="J33" s="53" t="n"/>
    </row>
    <row r="34">
      <c r="B34" s="47" t="inlineStr">
        <is>
          <t>Budget Transfers: Change Orders/BUDGET TRANSFERS/ XLSX for CO#1-4, 6-8 (labor/burden/material line items)</t>
        </is>
      </c>
      <c r="C34" s="6" t="n"/>
      <c r="D34" s="6" t="n"/>
      <c r="E34" s="6" t="n"/>
      <c r="F34" s="6" t="n"/>
      <c r="G34" s="6" t="n"/>
      <c r="H34" s="7" t="n"/>
    </row>
    <row r="35">
      <c r="B35" s="49" t="inlineStr">
        <is>
          <t>ASI-RFI: 52 PDFs (ASI-007/010/014/016/024/025/026/033/039/039-R1/045 + RFIs)</t>
        </is>
      </c>
      <c r="C35" s="51" t="n"/>
      <c r="D35" s="51" t="n"/>
      <c r="E35" s="51" t="n"/>
      <c r="F35" s="51" t="n"/>
      <c r="G35" s="51" t="n"/>
      <c r="H35" s="52" t="n"/>
      <c r="I35" s="53" t="n"/>
      <c r="J35" s="53" t="n"/>
    </row>
    <row r="36">
      <c r="B36" s="47" t="inlineStr">
        <is>
          <t>Submittals: 80+ across 6 category subfolders</t>
        </is>
      </c>
      <c r="C36" s="6" t="n"/>
      <c r="D36" s="6" t="n"/>
      <c r="E36" s="6" t="n"/>
      <c r="F36" s="6" t="n"/>
      <c r="G36" s="6" t="n"/>
      <c r="H36" s="7" t="n"/>
    </row>
    <row r="37">
      <c r="B37" s="49" t="inlineStr">
        <is>
          <t>Permits: 8 permits (plumbing, plumbing-renewed, backflow, backflow-renewed, gas, boiler x2, application)</t>
        </is>
      </c>
      <c r="C37" s="51" t="n"/>
      <c r="D37" s="51" t="n"/>
      <c r="E37" s="51" t="n"/>
      <c r="F37" s="51" t="n"/>
      <c r="G37" s="51" t="n"/>
      <c r="H37" s="52" t="n"/>
      <c r="I37" s="53" t="n"/>
      <c r="J37" s="53" t="n"/>
    </row>
    <row r="38">
      <c r="B38" s="47" t="inlineStr">
        <is>
          <t>POs: 138+ total (102 completed / 0 placed / 36 scheduled) + Trim PO_s subfolder</t>
        </is>
      </c>
      <c r="C38" s="6" t="n"/>
      <c r="D38" s="6" t="n"/>
      <c r="E38" s="6" t="n"/>
      <c r="F38" s="6" t="n"/>
      <c r="G38" s="6" t="n"/>
      <c r="H38" s="7" t="n"/>
    </row>
    <row r="39">
      <c r="B39" s="49" t="inlineStr">
        <is>
          <t>Closeout: O&amp;M_s, lien waivers, Insurance, Zoeller Startup, Uponor Warranty, OWP warranty doc</t>
        </is>
      </c>
      <c r="C39" s="51" t="n"/>
      <c r="D39" s="51" t="n"/>
      <c r="E39" s="51" t="n"/>
      <c r="F39" s="51" t="n"/>
      <c r="G39" s="51" t="n"/>
      <c r="H39" s="52" t="n"/>
      <c r="I39" s="53" t="n"/>
      <c r="J39" s="53" t="n"/>
    </row>
    <row r="40">
      <c r="B40" s="47" t="inlineStr">
        <is>
          <t>Unresolved: (a) $90,592 retainage outstanding 9+ years; (b) $20.6K condensation-drain labor (code 143) unbudgeted and not CO'd; (c) COR total overshoots JDR delta by ~$6.3K (likely repricings/WSST)</t>
        </is>
      </c>
      <c r="C40" s="6" t="n"/>
      <c r="D40" s="6" t="n"/>
      <c r="E40" s="6" t="n"/>
      <c r="F40" s="6" t="n"/>
      <c r="G40" s="6" t="n"/>
      <c r="H40" s="7" t="n"/>
    </row>
    <row r="41">
      <c r="B41" s="49" t="inlineStr">
        <is>
          <t>TIES = within $1  ·  WITHIN = within 5%  ·  NEAR = within 15%  ·  OFF = investigate</t>
        </is>
      </c>
      <c r="C41" s="51" t="n"/>
      <c r="D41" s="51" t="n"/>
      <c r="E41" s="51" t="n"/>
      <c r="F41" s="51" t="n"/>
      <c r="G41" s="51" t="n"/>
      <c r="H41" s="52" t="n"/>
      <c r="I41" s="53" t="n"/>
      <c r="J41" s="53" t="n"/>
    </row>
  </sheetData>
  <mergeCells count="17">
    <mergeCell ref="B36:H36"/>
    <mergeCell ref="B32:H32"/>
    <mergeCell ref="B3:J3"/>
    <mergeCell ref="B40:H40"/>
    <mergeCell ref="B27:H27"/>
    <mergeCell ref="B41:H41"/>
    <mergeCell ref="B35:H35"/>
    <mergeCell ref="B39:H39"/>
    <mergeCell ref="B31:H31"/>
    <mergeCell ref="B30:H30"/>
    <mergeCell ref="B38:H38"/>
    <mergeCell ref="B29:H29"/>
    <mergeCell ref="B33:H33"/>
    <mergeCell ref="B2:J2"/>
    <mergeCell ref="B34:H34"/>
    <mergeCell ref="B37:H37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2026-04-16T14:56:53Z</dcterms:created>
  <dcterms:modified xmlns:dcterms="http://purl.org/dc/terms/" xmlns:xsi="http://www.w3.org/2001/XMLSchema-instance" xsi:type="dcterms:W3CDTF">2026-04-16T14:58:13Z</dcterms:modified>
</cp:coreProperties>
</file>