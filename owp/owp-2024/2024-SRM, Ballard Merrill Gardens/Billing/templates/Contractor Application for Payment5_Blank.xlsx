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4-SRM, Ballard Merrill Gardens\Billing\"/>
    </mc:Choice>
  </mc:AlternateContent>
  <bookViews>
    <workbookView xWindow="0" yWindow="0" windowWidth="28800" windowHeight="13725"/>
  </bookViews>
  <sheets>
    <sheet name="PAY APPLICATION" sheetId="1" r:id="rId1"/>
    <sheet name="use to fax" sheetId="4" r:id="rId2"/>
    <sheet name="EXAMPLE" sheetId="2" r:id="rId3"/>
    <sheet name="Sheet3" sheetId="3" r:id="rId4"/>
  </sheets>
  <definedNames>
    <definedName name="_xlnm.Print_Area" localSheetId="2">EXAMPLE!$A$1:$Q$33</definedName>
    <definedName name="_xlnm.Print_Area" localSheetId="0">'PAY APPLICATION'!$A$1:$Q$34</definedName>
    <definedName name="_xlnm.Print_Area" localSheetId="1">'use to fax'!$A$1:$Q$34</definedName>
  </definedNames>
  <calcPr calcId="152511"/>
</workbook>
</file>

<file path=xl/calcChain.xml><?xml version="1.0" encoding="utf-8"?>
<calcChain xmlns="http://schemas.openxmlformats.org/spreadsheetml/2006/main">
  <c r="C29" i="1" l="1"/>
  <c r="G29" i="1"/>
  <c r="H29" i="1"/>
  <c r="I29" i="1"/>
  <c r="J29" i="1"/>
  <c r="K29" i="1"/>
  <c r="L29" i="1"/>
  <c r="M29" i="1"/>
  <c r="N29" i="1"/>
  <c r="O29" i="1"/>
  <c r="P29" i="1"/>
  <c r="E29" i="1"/>
  <c r="F29" i="1"/>
  <c r="D29" i="1" s="1"/>
  <c r="K19" i="1"/>
  <c r="K30" i="1" s="1"/>
  <c r="L19" i="1"/>
  <c r="M19" i="1"/>
  <c r="M30" i="1" s="1"/>
  <c r="N19" i="1"/>
  <c r="E17" i="1"/>
  <c r="E19" i="1" s="1"/>
  <c r="E30" i="1" s="1"/>
  <c r="F17" i="1"/>
  <c r="F19" i="1" s="1"/>
  <c r="F30" i="1" s="1"/>
  <c r="G17" i="1"/>
  <c r="G19" i="1" s="1"/>
  <c r="G30" i="1" s="1"/>
  <c r="H17" i="1"/>
  <c r="H19" i="1" s="1"/>
  <c r="H30" i="1" s="1"/>
  <c r="I17" i="1"/>
  <c r="I19" i="1" s="1"/>
  <c r="I30" i="1" s="1"/>
  <c r="J17" i="1"/>
  <c r="J19" i="1" s="1"/>
  <c r="J30" i="1" s="1"/>
  <c r="K17" i="1"/>
  <c r="L17" i="1"/>
  <c r="M17" i="1"/>
  <c r="N17" i="1"/>
  <c r="O17" i="1"/>
  <c r="O19" i="1" s="1"/>
  <c r="O30" i="1" s="1"/>
  <c r="P17" i="1"/>
  <c r="P19" i="1" s="1"/>
  <c r="P30" i="1" s="1"/>
  <c r="C17" i="1"/>
  <c r="C19" i="1"/>
  <c r="C30" i="1" s="1"/>
  <c r="Q4" i="1"/>
  <c r="Q17" i="1" s="1"/>
  <c r="Q19" i="1" s="1"/>
  <c r="Q5" i="1"/>
  <c r="Q6" i="1"/>
  <c r="Q7" i="1"/>
  <c r="Q8" i="1"/>
  <c r="Q9" i="1"/>
  <c r="Q10" i="1"/>
  <c r="Q11" i="1"/>
  <c r="Q12" i="1"/>
  <c r="Q13" i="1"/>
  <c r="Q14" i="1"/>
  <c r="Q15" i="1"/>
  <c r="Q16" i="1"/>
  <c r="Q21" i="1"/>
  <c r="Q29" i="1" s="1"/>
  <c r="Q22" i="1"/>
  <c r="Q23" i="1"/>
  <c r="Q24" i="1"/>
  <c r="Q25" i="1"/>
  <c r="Q26" i="1"/>
  <c r="Q27" i="1"/>
  <c r="Q28" i="1"/>
  <c r="I19" i="2"/>
  <c r="I30" i="2"/>
  <c r="Q4" i="2"/>
  <c r="Q19" i="2" s="1"/>
  <c r="Q5" i="2"/>
  <c r="Q6" i="2"/>
  <c r="Q7" i="2"/>
  <c r="Q8" i="2"/>
  <c r="Q9" i="2"/>
  <c r="Q10" i="2"/>
  <c r="Q11" i="2"/>
  <c r="Q12" i="2"/>
  <c r="Q13" i="2"/>
  <c r="Q14" i="2"/>
  <c r="Q15" i="2"/>
  <c r="Q16" i="2"/>
  <c r="Q21" i="2"/>
  <c r="Q22" i="2"/>
  <c r="Q23" i="2"/>
  <c r="Q24" i="2"/>
  <c r="Q25" i="2"/>
  <c r="Q26" i="2"/>
  <c r="Q27" i="2"/>
  <c r="Q28" i="2"/>
  <c r="Q29" i="2"/>
  <c r="P19" i="2"/>
  <c r="P30" i="2" s="1"/>
  <c r="O19" i="2"/>
  <c r="O30" i="2" s="1"/>
  <c r="N19" i="2"/>
  <c r="N30" i="2" s="1"/>
  <c r="M19" i="2"/>
  <c r="M30" i="2" s="1"/>
  <c r="L19" i="2"/>
  <c r="L30" i="2" s="1"/>
  <c r="K19" i="2"/>
  <c r="K30" i="2" s="1"/>
  <c r="J19" i="2"/>
  <c r="J30" i="2" s="1"/>
  <c r="J32" i="2" s="1"/>
  <c r="J33" i="2" s="1"/>
  <c r="H19" i="2"/>
  <c r="H30" i="2" s="1"/>
  <c r="G19" i="2"/>
  <c r="G30" i="2" s="1"/>
  <c r="F19" i="2"/>
  <c r="F30" i="2"/>
  <c r="F31" i="2" s="1"/>
  <c r="F32" i="2" s="1"/>
  <c r="F33" i="2" s="1"/>
  <c r="E19" i="2"/>
  <c r="E30" i="2" s="1"/>
  <c r="C19" i="2"/>
  <c r="C30" i="2" s="1"/>
  <c r="D29" i="2"/>
  <c r="D28" i="2"/>
  <c r="D27" i="2"/>
  <c r="D26" i="2"/>
  <c r="D25" i="2"/>
  <c r="D24" i="2"/>
  <c r="D23" i="2"/>
  <c r="D22" i="2"/>
  <c r="D21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5" i="1"/>
  <c r="D6" i="1"/>
  <c r="D7" i="1"/>
  <c r="D8" i="1"/>
  <c r="D9" i="1"/>
  <c r="D10" i="1"/>
  <c r="D11" i="1"/>
  <c r="D12" i="1"/>
  <c r="D13" i="1"/>
  <c r="D14" i="1"/>
  <c r="D15" i="1"/>
  <c r="D16" i="1"/>
  <c r="D21" i="1"/>
  <c r="D22" i="1"/>
  <c r="D23" i="1"/>
  <c r="D24" i="1"/>
  <c r="D25" i="1"/>
  <c r="D26" i="1"/>
  <c r="D27" i="1"/>
  <c r="D28" i="1"/>
  <c r="D4" i="1"/>
  <c r="N30" i="1"/>
  <c r="N31" i="1" s="1"/>
  <c r="N32" i="1" s="1"/>
  <c r="N33" i="1" s="1"/>
  <c r="L30" i="1"/>
  <c r="M31" i="2" l="1"/>
  <c r="M32" i="2" s="1"/>
  <c r="M33" i="2" s="1"/>
  <c r="M31" i="1"/>
  <c r="M32" i="1"/>
  <c r="M33" i="1" s="1"/>
  <c r="E31" i="2"/>
  <c r="E32" i="2"/>
  <c r="Q30" i="2"/>
  <c r="L32" i="1"/>
  <c r="L33" i="1" s="1"/>
  <c r="K31" i="1"/>
  <c r="K32" i="1" s="1"/>
  <c r="K33" i="1" s="1"/>
  <c r="P31" i="1"/>
  <c r="P32" i="1"/>
  <c r="P33" i="1" s="1"/>
  <c r="P31" i="2"/>
  <c r="P32" i="2" s="1"/>
  <c r="P33" i="2" s="1"/>
  <c r="O31" i="1"/>
  <c r="O32" i="1" s="1"/>
  <c r="O33" i="1" s="1"/>
  <c r="G31" i="1"/>
  <c r="G32" i="1" s="1"/>
  <c r="G33" i="1" s="1"/>
  <c r="J31" i="1"/>
  <c r="J32" i="1"/>
  <c r="J33" i="1" s="1"/>
  <c r="O31" i="2"/>
  <c r="O32" i="2" s="1"/>
  <c r="O33" i="2" s="1"/>
  <c r="I32" i="2"/>
  <c r="I33" i="2" s="1"/>
  <c r="H32" i="2"/>
  <c r="H33" i="2" s="1"/>
  <c r="H31" i="2"/>
  <c r="F31" i="1"/>
  <c r="F32" i="1"/>
  <c r="F33" i="1" s="1"/>
  <c r="K32" i="2"/>
  <c r="K33" i="2" s="1"/>
  <c r="K31" i="2"/>
  <c r="E31" i="1"/>
  <c r="Q30" i="1"/>
  <c r="E32" i="1"/>
  <c r="N31" i="2"/>
  <c r="N32" i="2" s="1"/>
  <c r="N33" i="2" s="1"/>
  <c r="D30" i="1"/>
  <c r="C31" i="1"/>
  <c r="I31" i="1"/>
  <c r="I32" i="1" s="1"/>
  <c r="I33" i="1" s="1"/>
  <c r="G31" i="2"/>
  <c r="G32" i="2" s="1"/>
  <c r="G33" i="2" s="1"/>
  <c r="H31" i="1"/>
  <c r="H32" i="1"/>
  <c r="H33" i="1" s="1"/>
  <c r="D30" i="2"/>
  <c r="C31" i="2"/>
  <c r="C32" i="2"/>
  <c r="L31" i="2"/>
  <c r="L32" i="2" s="1"/>
  <c r="L33" i="2" s="1"/>
  <c r="D19" i="1"/>
  <c r="I31" i="2"/>
  <c r="D17" i="1"/>
  <c r="D19" i="2"/>
  <c r="L31" i="1"/>
  <c r="D31" i="2" l="1"/>
  <c r="D31" i="1"/>
  <c r="Q31" i="2"/>
  <c r="Q31" i="1"/>
  <c r="C33" i="2"/>
  <c r="D32" i="2"/>
  <c r="D33" i="2" s="1"/>
  <c r="Q32" i="2"/>
  <c r="E33" i="2"/>
  <c r="Q33" i="2" s="1"/>
  <c r="C32" i="1"/>
  <c r="Q32" i="1"/>
  <c r="E33" i="1"/>
  <c r="Q33" i="1" s="1"/>
  <c r="D32" i="1" l="1"/>
  <c r="D33" i="1" s="1"/>
  <c r="C33" i="1"/>
</calcChain>
</file>

<file path=xl/sharedStrings.xml><?xml version="1.0" encoding="utf-8"?>
<sst xmlns="http://schemas.openxmlformats.org/spreadsheetml/2006/main" count="126" uniqueCount="46">
  <si>
    <t>VALUE</t>
  </si>
  <si>
    <t>MAY</t>
  </si>
  <si>
    <t>JUN</t>
  </si>
  <si>
    <t>JUL</t>
  </si>
  <si>
    <t>AUG</t>
  </si>
  <si>
    <t>OCT</t>
  </si>
  <si>
    <t>NOV</t>
  </si>
  <si>
    <t>DEC</t>
  </si>
  <si>
    <t>JAN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</si>
  <si>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</si>
  <si>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</si>
  <si>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</si>
  <si>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</si>
  <si>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</si>
  <si>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</si>
  <si>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</si>
  <si>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</si>
  <si>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</si>
  <si>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</si>
  <si>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</si>
  <si>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</si>
  <si>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</si>
  <si>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#</t>
  </si>
  <si>
    <t>APPROVED CHANGE ORDERS</t>
  </si>
  <si>
    <t>ORIGINAL CONTRACT AMOUNT</t>
  </si>
  <si>
    <t>CURRENT CONTRACT AMOUNT</t>
  </si>
  <si>
    <t>NET PAYMENT TOTAL DUE</t>
  </si>
  <si>
    <t>% COMP</t>
  </si>
  <si>
    <t>SCHEDULE OF VALUES</t>
  </si>
  <si>
    <t>PAY APPLICATION #</t>
  </si>
  <si>
    <t>FEB</t>
  </si>
  <si>
    <t>MAR</t>
  </si>
  <si>
    <t>APR</t>
  </si>
  <si>
    <t>SEP</t>
  </si>
  <si>
    <t>TO DATE</t>
  </si>
  <si>
    <t>N</t>
  </si>
  <si>
    <t>O</t>
  </si>
  <si>
    <t>PAYMENT DUE 25TH OF MONTH</t>
  </si>
  <si>
    <t>CO# 1</t>
  </si>
  <si>
    <t>CO# 2</t>
  </si>
  <si>
    <t>Requested Payment</t>
  </si>
  <si>
    <t>LESS RETAINAGE @ 5% OFF SUBTOTAL</t>
  </si>
  <si>
    <t>LESS RETAINAGE @ 5%</t>
  </si>
  <si>
    <t>LESS RETAINAGE @ 5% OF SUBTOTAL</t>
  </si>
  <si>
    <t>Retention Request Release</t>
  </si>
  <si>
    <t>SALES TAX AMOUNT: 9.5%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</si>
</sst>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,##0"/>
    <numFmt numFmtId="166" formatCode="&quot;$&quot;#,##0.0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6" fontId="0" fillId="0" borderId="0" xfId="0" applyNumberFormat="1" applyAlignment="1">
      <alignment vertic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9" fontId="3" fillId="0" borderId="1" xfId="0" applyNumberFormat="1" applyFont="1" applyBorder="1" applyAlignment="1">
      <alignment horizontal="center" wrapText="1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/>
    <xf numFmtId="164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166" fontId="0" fillId="0" borderId="2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2" xfId="0" applyBorder="1"/>
    <xf numFmtId="0" fontId="2" fillId="0" borderId="4" xfId="0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9" fontId="0" fillId="0" borderId="5" xfId="0" applyNumberFormat="1" applyBorder="1" applyAlignment="1">
      <alignment vertical="center"/>
    </xf>
    <xf numFmtId="0" fontId="0" fillId="0" borderId="4" xfId="0" applyBorder="1"/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2" fillId="0" borderId="2" xfId="0" applyFont="1" applyBorder="1" applyAlignment="1">
      <alignment horizontal="center"/>
    </xf>
    <xf numFmtId="9" fontId="2" fillId="0" borderId="3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wrapText="1"/>
    </xf>
    <xf numFmtId="164" fontId="0" fillId="0" borderId="0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/>
    <xf numFmtId="1" fontId="0" fillId="0" borderId="0" xfId="0" applyNumberFormat="1" applyBorder="1"/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vertical="center"/>
    </xf>
    <xf numFmtId="1" fontId="0" fillId="0" borderId="1" xfId="0" applyNumberFormat="1" applyBorder="1"/>
    <xf numFmtId="0" fontId="0" fillId="0" borderId="4" xfId="0" applyBorder="1" applyAlignment="1">
      <alignment horizontal="center"/>
    </xf>
    <xf numFmtId="43" fontId="0" fillId="0" borderId="0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2" xfId="0" applyNumberFormat="1" applyBorder="1" applyAlignment="1">
      <alignment vertical="center"/>
    </xf>
    <xf numFmtId="0" fontId="2" fillId="0" borderId="0" xfId="0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wrapText="1"/>
    </xf>
    <xf numFmtId="43" fontId="6" fillId="0" borderId="0" xfId="0" applyNumberFormat="1" applyFont="1" applyBorder="1" applyAlignment="1">
      <alignment vertical="center"/>
    </xf>
    <xf numFmtId="43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vertical="center"/>
    </xf>
    <xf numFmtId="9" fontId="6" fillId="0" borderId="1" xfId="0" applyNumberFormat="1" applyFont="1" applyBorder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166" fontId="6" fillId="0" borderId="2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vertical="center"/>
    </xf>
    <xf numFmtId="43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43" fontId="6" fillId="0" borderId="3" xfId="0" applyNumberFormat="1" applyFont="1" applyBorder="1" applyAlignment="1">
      <alignment vertical="center"/>
    </xf>
    <xf numFmtId="43" fontId="6" fillId="0" borderId="6" xfId="0" applyNumberFormat="1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9" fontId="6" fillId="0" borderId="4" xfId="1" applyFont="1" applyBorder="1" applyAlignment="1">
      <alignment vertical="center"/>
    </xf>
    <xf numFmtId="9" fontId="0" fillId="0" borderId="4" xfId="1" applyFont="1" applyBorder="1" applyAlignment="1">
      <alignment vertical="center"/>
    </xf>
    <xf numFmtId="1" fontId="3" fillId="2" borderId="0" xfId="0" applyNumberFormat="1" applyFont="1" applyFill="1" applyAlignment="1">
      <alignment horizontal="center" wrapText="1"/>
    </xf>
    <xf numFmtId="164" fontId="3" fillId="2" borderId="2" xfId="0" applyNumberFormat="1" applyFont="1" applyFill="1" applyBorder="1" applyAlignment="1">
      <alignment horizontal="center" vertical="center"/>
    </xf>
    <xf numFmtId="43" fontId="6" fillId="2" borderId="0" xfId="0" applyNumberFormat="1" applyFont="1" applyFill="1" applyBorder="1" applyAlignment="1">
      <alignment vertical="center"/>
    </xf>
    <xf numFmtId="43" fontId="6" fillId="2" borderId="0" xfId="0" applyNumberFormat="1" applyFont="1" applyFill="1" applyAlignment="1">
      <alignment vertical="center"/>
    </xf>
    <xf numFmtId="43" fontId="6" fillId="2" borderId="2" xfId="0" applyNumberFormat="1" applyFont="1" applyFill="1" applyBorder="1" applyAlignment="1">
      <alignment vertical="center"/>
    </xf>
    <xf numFmtId="166" fontId="6" fillId="2" borderId="4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6</xdr:row>
      <xdr:rowOff>104775</xdr:rowOff>
    </xdr:from>
    <xdr:to>
      <xdr:col>11</xdr:col>
      <xdr:colOff>38100</xdr:colOff>
      <xdr:row>15</xdr:row>
      <xdr:rowOff>76200</xdr:rowOff>
    </xdr:to>
    <xdr:sp macro="" textlink="">
      <xdr:nvSpPr>
        <xdr:cNvPr id="1025" name="WordArt 1"/>
        <xdr:cNvSpPr>
          <a:spLocks noChangeArrowheads="1" noChangeShapeType="1" noTextEdit="1"/>
        </xdr:cNvSpPr>
      </xdr:nvSpPr>
      <xdr:spPr bwMode="auto">
        <a:xfrm rot="-803550">
          <a:off x="4200525" y="1352550"/>
          <a:ext cx="2486025" cy="14287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>
            <a:buNone/>
          </a:pPr>
          <a:r>
            <a:rPr lang="en-US" sz="3600" kern="10" spc="72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EXAMPLE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tabSelected="1" view="pageBreakPreview" zoomScaleNormal="100" zoomScaleSheetLayoutView="100" workbookViewId="0">
      <selection activeCell="G9" sqref="G9"/>
    </sheetView>
  </sheetViews>
  <sheetFormatPr defaultRowHeight="12.75" x14ac:dyDescent="0.2"/>
  <cols>
    <col min="1" max="1" width="3.7109375" style="1" customWidth="1"/>
    <col min="2" max="2" width="38" bestFit="1" customWidth="1"/>
    <col min="3" max="3" width="12.140625" style="8" customWidth="1"/>
    <col min="4" max="4" width="8.42578125" style="11" customWidth="1"/>
    <col min="5" max="12" width="8.28515625" style="38" customWidth="1"/>
    <col min="13" max="15" width="8.28515625" style="39" customWidth="1"/>
    <col min="16" max="16" width="8.28515625" style="45" customWidth="1"/>
    <col min="17" max="17" width="10.7109375" customWidth="1"/>
  </cols>
  <sheetData>
    <row r="1" spans="1:17" s="4" customFormat="1" ht="25.5" customHeight="1" x14ac:dyDescent="0.2">
      <c r="B1" s="4" t="s">
        <v>29</v>
      </c>
      <c r="C1" s="7"/>
      <c r="D1" s="9"/>
      <c r="E1" s="36"/>
      <c r="F1" s="36"/>
      <c r="G1" s="36"/>
      <c r="H1" s="36"/>
      <c r="I1" s="36"/>
      <c r="J1" s="36"/>
      <c r="K1" s="36"/>
      <c r="L1" s="36"/>
      <c r="M1" s="37"/>
      <c r="N1" s="37"/>
      <c r="O1" s="37"/>
      <c r="P1" s="42"/>
      <c r="Q1" s="62" t="s">
        <v>40</v>
      </c>
    </row>
    <row r="2" spans="1:17" s="29" customFormat="1" ht="18" customHeight="1" thickBot="1" x14ac:dyDescent="0.25">
      <c r="B2" s="24"/>
      <c r="C2" s="25"/>
      <c r="D2" s="30"/>
      <c r="E2" s="40" t="s">
        <v>8</v>
      </c>
      <c r="F2" s="40" t="s">
        <v>30</v>
      </c>
      <c r="G2" s="40" t="s">
        <v>31</v>
      </c>
      <c r="H2" s="40" t="s">
        <v>32</v>
      </c>
      <c r="I2" s="40" t="s">
        <v>1</v>
      </c>
      <c r="J2" s="40" t="s">
        <v>2</v>
      </c>
      <c r="K2" s="40" t="s">
        <v>3</v>
      </c>
      <c r="L2" s="40" t="s">
        <v>4</v>
      </c>
      <c r="M2" s="40" t="s">
        <v>33</v>
      </c>
      <c r="N2" s="40" t="s">
        <v>5</v>
      </c>
      <c r="O2" s="40" t="s">
        <v>6</v>
      </c>
      <c r="P2" s="43" t="s">
        <v>7</v>
      </c>
      <c r="Q2" s="24" t="s">
        <v>34</v>
      </c>
    </row>
    <row r="3" spans="1:17" s="28" customFormat="1" ht="20.25" customHeight="1" x14ac:dyDescent="0.2">
      <c r="A3" s="26"/>
      <c r="B3" s="31" t="s">
        <v>28</v>
      </c>
      <c r="C3" s="32" t="s">
        <v>0</v>
      </c>
      <c r="D3" s="33" t="s">
        <v>27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8"/>
      <c r="Q3" s="47"/>
    </row>
    <row r="4" spans="1:17" ht="18.95" customHeight="1" x14ac:dyDescent="0.2">
      <c r="A4" s="1" t="s">
        <v>9</v>
      </c>
      <c r="B4" s="2"/>
      <c r="C4" s="6"/>
      <c r="D4" s="10" t="e">
        <f>SUM(E4:P4)/C4*100%</f>
        <v>#DIV/0!</v>
      </c>
      <c r="E4" s="49"/>
      <c r="F4" s="49"/>
      <c r="G4" s="49"/>
      <c r="H4" s="49"/>
      <c r="I4" s="49"/>
      <c r="J4" s="49"/>
      <c r="K4" s="49"/>
      <c r="L4" s="49"/>
      <c r="M4" s="47"/>
      <c r="N4" s="47"/>
      <c r="O4" s="47"/>
      <c r="P4" s="48"/>
      <c r="Q4" s="49">
        <f>SUM(E4:P4)</f>
        <v>0</v>
      </c>
    </row>
    <row r="5" spans="1:17" ht="18.95" customHeight="1" x14ac:dyDescent="0.2">
      <c r="A5" s="1" t="s">
        <v>10</v>
      </c>
      <c r="B5" s="2"/>
      <c r="C5" s="6"/>
      <c r="D5" s="10" t="e">
        <f t="shared" ref="D5:D32" si="0">SUM(E5:P5)/C5*100%</f>
        <v>#DIV/0!</v>
      </c>
      <c r="E5" s="49"/>
      <c r="F5" s="49"/>
      <c r="G5" s="49"/>
      <c r="H5" s="49"/>
      <c r="I5" s="49"/>
      <c r="J5" s="49"/>
      <c r="K5" s="49"/>
      <c r="L5" s="49"/>
      <c r="M5" s="47"/>
      <c r="N5" s="47"/>
      <c r="O5" s="47"/>
      <c r="P5" s="48"/>
      <c r="Q5" s="49">
        <f t="shared" ref="Q5:Q16" si="1">SUM(E5:P5)</f>
        <v>0</v>
      </c>
    </row>
    <row r="6" spans="1:17" ht="18.95" customHeight="1" x14ac:dyDescent="0.2">
      <c r="A6" s="1" t="s">
        <v>11</v>
      </c>
      <c r="B6" s="2"/>
      <c r="C6" s="6"/>
      <c r="D6" s="10" t="e">
        <f t="shared" si="0"/>
        <v>#DIV/0!</v>
      </c>
      <c r="E6" s="49"/>
      <c r="F6" s="49"/>
      <c r="G6" s="49"/>
      <c r="H6" s="49"/>
      <c r="I6" s="49"/>
      <c r="J6" s="49"/>
      <c r="K6" s="49"/>
      <c r="L6" s="49"/>
      <c r="M6" s="47"/>
      <c r="N6" s="47"/>
      <c r="O6" s="47"/>
      <c r="P6" s="48"/>
      <c r="Q6" s="49">
        <f t="shared" si="1"/>
        <v>0</v>
      </c>
    </row>
    <row r="7" spans="1:17" ht="18.95" customHeight="1" x14ac:dyDescent="0.2">
      <c r="A7" s="1" t="s">
        <v>12</v>
      </c>
      <c r="B7" s="2"/>
      <c r="C7" s="6"/>
      <c r="D7" s="10" t="e">
        <f t="shared" si="0"/>
        <v>#DIV/0!</v>
      </c>
      <c r="E7" s="49"/>
      <c r="F7" s="49"/>
      <c r="G7" s="49"/>
      <c r="H7" s="49"/>
      <c r="I7" s="49"/>
      <c r="J7" s="49"/>
      <c r="K7" s="49"/>
      <c r="L7" s="49"/>
      <c r="M7" s="47"/>
      <c r="N7" s="47"/>
      <c r="O7" s="47"/>
      <c r="P7" s="48"/>
      <c r="Q7" s="49">
        <f t="shared" si="1"/>
        <v>0</v>
      </c>
    </row>
    <row r="8" spans="1:17" ht="18.95" customHeight="1" x14ac:dyDescent="0.2">
      <c r="A8" s="1" t="s">
        <v>13</v>
      </c>
      <c r="B8" s="2"/>
      <c r="C8" s="6"/>
      <c r="D8" s="10" t="e">
        <f t="shared" si="0"/>
        <v>#DIV/0!</v>
      </c>
      <c r="E8" s="49"/>
      <c r="F8" s="49"/>
      <c r="G8" s="49"/>
      <c r="H8" s="49"/>
      <c r="I8" s="49"/>
      <c r="J8" s="49"/>
      <c r="K8" s="49"/>
      <c r="L8" s="49"/>
      <c r="M8" s="47"/>
      <c r="N8" s="47"/>
      <c r="O8" s="47"/>
      <c r="P8" s="48"/>
      <c r="Q8" s="49">
        <f t="shared" si="1"/>
        <v>0</v>
      </c>
    </row>
    <row r="9" spans="1:17" ht="18.95" customHeight="1" x14ac:dyDescent="0.2">
      <c r="A9" s="1" t="s">
        <v>14</v>
      </c>
      <c r="B9" s="2"/>
      <c r="C9" s="6"/>
      <c r="D9" s="10" t="e">
        <f t="shared" si="0"/>
        <v>#DIV/0!</v>
      </c>
      <c r="E9" s="49"/>
      <c r="F9" s="49"/>
      <c r="G9" s="49"/>
      <c r="H9" s="49"/>
      <c r="I9" s="49"/>
      <c r="J9" s="49"/>
      <c r="K9" s="49"/>
      <c r="L9" s="49"/>
      <c r="M9" s="47"/>
      <c r="N9" s="47"/>
      <c r="O9" s="47"/>
      <c r="P9" s="48"/>
      <c r="Q9" s="49">
        <f t="shared" si="1"/>
        <v>0</v>
      </c>
    </row>
    <row r="10" spans="1:17" ht="18.95" customHeight="1" x14ac:dyDescent="0.2">
      <c r="A10" s="1" t="s">
        <v>15</v>
      </c>
      <c r="B10" s="2"/>
      <c r="C10" s="6"/>
      <c r="D10" s="10" t="e">
        <f t="shared" si="0"/>
        <v>#DIV/0!</v>
      </c>
      <c r="E10" s="49"/>
      <c r="F10" s="49"/>
      <c r="G10" s="49"/>
      <c r="H10" s="49"/>
      <c r="I10" s="49"/>
      <c r="J10" s="49"/>
      <c r="K10" s="49"/>
      <c r="L10" s="49"/>
      <c r="M10" s="47"/>
      <c r="N10" s="47"/>
      <c r="O10" s="47"/>
      <c r="P10" s="48"/>
      <c r="Q10" s="49">
        <f t="shared" si="1"/>
        <v>0</v>
      </c>
    </row>
    <row r="11" spans="1:17" ht="18.95" customHeight="1" x14ac:dyDescent="0.2">
      <c r="A11" s="1" t="s">
        <v>16</v>
      </c>
      <c r="B11" s="2"/>
      <c r="C11" s="6"/>
      <c r="D11" s="10" t="e">
        <f t="shared" si="0"/>
        <v>#DIV/0!</v>
      </c>
      <c r="E11" s="49"/>
      <c r="F11" s="49"/>
      <c r="G11" s="49"/>
      <c r="H11" s="49"/>
      <c r="I11" s="49"/>
      <c r="J11" s="49"/>
      <c r="K11" s="49"/>
      <c r="L11" s="49"/>
      <c r="M11" s="47"/>
      <c r="N11" s="47"/>
      <c r="O11" s="47"/>
      <c r="P11" s="48"/>
      <c r="Q11" s="49">
        <f t="shared" si="1"/>
        <v>0</v>
      </c>
    </row>
    <row r="12" spans="1:17" ht="18.95" customHeight="1" x14ac:dyDescent="0.2">
      <c r="A12" s="1" t="s">
        <v>17</v>
      </c>
      <c r="B12" s="2"/>
      <c r="C12" s="6"/>
      <c r="D12" s="10" t="e">
        <f t="shared" si="0"/>
        <v>#DIV/0!</v>
      </c>
      <c r="E12" s="49"/>
      <c r="F12" s="49"/>
      <c r="G12" s="49"/>
      <c r="H12" s="49"/>
      <c r="I12" s="49"/>
      <c r="J12" s="49"/>
      <c r="K12" s="49"/>
      <c r="L12" s="49"/>
      <c r="M12" s="47"/>
      <c r="N12" s="47"/>
      <c r="O12" s="47"/>
      <c r="P12" s="48"/>
      <c r="Q12" s="49">
        <f t="shared" si="1"/>
        <v>0</v>
      </c>
    </row>
    <row r="13" spans="1:17" ht="18.95" customHeight="1" x14ac:dyDescent="0.2">
      <c r="A13" s="1" t="s">
        <v>18</v>
      </c>
      <c r="B13" s="2"/>
      <c r="C13" s="6"/>
      <c r="D13" s="10" t="e">
        <f t="shared" si="0"/>
        <v>#DIV/0!</v>
      </c>
      <c r="E13" s="49"/>
      <c r="F13" s="49"/>
      <c r="G13" s="49"/>
      <c r="H13" s="49"/>
      <c r="I13" s="49"/>
      <c r="J13" s="49"/>
      <c r="K13" s="49"/>
      <c r="L13" s="49"/>
      <c r="M13" s="47"/>
      <c r="N13" s="47"/>
      <c r="O13" s="47"/>
      <c r="P13" s="48"/>
      <c r="Q13" s="49">
        <f t="shared" si="1"/>
        <v>0</v>
      </c>
    </row>
    <row r="14" spans="1:17" ht="18.95" customHeight="1" x14ac:dyDescent="0.2">
      <c r="A14" s="1" t="s">
        <v>19</v>
      </c>
      <c r="B14" s="2"/>
      <c r="C14" s="6"/>
      <c r="D14" s="10" t="e">
        <f t="shared" si="0"/>
        <v>#DIV/0!</v>
      </c>
      <c r="E14" s="49"/>
      <c r="F14" s="49"/>
      <c r="G14" s="49"/>
      <c r="H14" s="49"/>
      <c r="I14" s="49"/>
      <c r="J14" s="49"/>
      <c r="K14" s="49"/>
      <c r="L14" s="49"/>
      <c r="M14" s="47"/>
      <c r="N14" s="47"/>
      <c r="O14" s="47"/>
      <c r="P14" s="48"/>
      <c r="Q14" s="49">
        <f t="shared" si="1"/>
        <v>0</v>
      </c>
    </row>
    <row r="15" spans="1:17" ht="18.95" customHeight="1" x14ac:dyDescent="0.2">
      <c r="A15" s="1" t="s">
        <v>20</v>
      </c>
      <c r="B15" s="2"/>
      <c r="C15" s="6"/>
      <c r="D15" s="10" t="e">
        <f t="shared" si="0"/>
        <v>#DIV/0!</v>
      </c>
      <c r="E15" s="49"/>
      <c r="F15" s="49"/>
      <c r="G15" s="49"/>
      <c r="H15" s="49"/>
      <c r="I15" s="49"/>
      <c r="J15" s="49"/>
      <c r="K15" s="49"/>
      <c r="L15" s="49"/>
      <c r="M15" s="47"/>
      <c r="N15" s="47"/>
      <c r="O15" s="47"/>
      <c r="P15" s="48"/>
      <c r="Q15" s="49">
        <f t="shared" si="1"/>
        <v>0</v>
      </c>
    </row>
    <row r="16" spans="1:17" ht="18.95" customHeight="1" x14ac:dyDescent="0.2">
      <c r="A16" s="1" t="s">
        <v>21</v>
      </c>
      <c r="B16" s="2"/>
      <c r="C16" s="6"/>
      <c r="D16" s="10" t="e">
        <f t="shared" si="0"/>
        <v>#DIV/0!</v>
      </c>
      <c r="E16" s="49"/>
      <c r="F16" s="49"/>
      <c r="G16" s="49"/>
      <c r="H16" s="49"/>
      <c r="I16" s="49"/>
      <c r="J16" s="49"/>
      <c r="K16" s="49"/>
      <c r="L16" s="49"/>
      <c r="M16" s="47"/>
      <c r="N16" s="47"/>
      <c r="O16" s="47"/>
      <c r="P16" s="48"/>
      <c r="Q16" s="49">
        <f t="shared" si="1"/>
        <v>0</v>
      </c>
    </row>
    <row r="17" spans="1:17" ht="18.95" customHeight="1" x14ac:dyDescent="0.2">
      <c r="A17" s="1" t="s">
        <v>35</v>
      </c>
      <c r="B17" s="98" t="s">
        <v>45</v>
      </c>
      <c r="C17" s="6">
        <f>SUM(C4:C15)*9.5%</f>
        <v>0</v>
      </c>
      <c r="D17" s="10" t="e">
        <f t="shared" si="0"/>
        <v>#DIV/0!</v>
      </c>
      <c r="E17" s="6">
        <f t="shared" ref="E17:Q17" si="2">SUM(E4:E15)*9.5%</f>
        <v>0</v>
      </c>
      <c r="F17" s="6">
        <f t="shared" si="2"/>
        <v>0</v>
      </c>
      <c r="G17" s="6">
        <f t="shared" si="2"/>
        <v>0</v>
      </c>
      <c r="H17" s="6">
        <f t="shared" si="2"/>
        <v>0</v>
      </c>
      <c r="I17" s="6">
        <f t="shared" si="2"/>
        <v>0</v>
      </c>
      <c r="J17" s="6">
        <f t="shared" si="2"/>
        <v>0</v>
      </c>
      <c r="K17" s="6">
        <f t="shared" si="2"/>
        <v>0</v>
      </c>
      <c r="L17" s="6">
        <f t="shared" si="2"/>
        <v>0</v>
      </c>
      <c r="M17" s="6">
        <f t="shared" si="2"/>
        <v>0</v>
      </c>
      <c r="N17" s="6">
        <f t="shared" si="2"/>
        <v>0</v>
      </c>
      <c r="O17" s="6">
        <f t="shared" si="2"/>
        <v>0</v>
      </c>
      <c r="P17" s="6">
        <f t="shared" si="2"/>
        <v>0</v>
      </c>
      <c r="Q17" s="6">
        <f t="shared" si="2"/>
        <v>0</v>
      </c>
    </row>
    <row r="18" spans="1:17" ht="18.95" customHeight="1" x14ac:dyDescent="0.2">
      <c r="A18" s="1" t="s">
        <v>36</v>
      </c>
      <c r="B18" s="2"/>
      <c r="C18" s="6"/>
      <c r="D18" s="10"/>
      <c r="E18" s="49"/>
      <c r="F18" s="49"/>
      <c r="G18" s="49"/>
      <c r="H18" s="49"/>
      <c r="I18" s="49"/>
      <c r="J18" s="49"/>
      <c r="K18" s="49"/>
      <c r="L18" s="49"/>
      <c r="M18" s="47"/>
      <c r="N18" s="47"/>
      <c r="O18" s="47"/>
      <c r="P18" s="48"/>
      <c r="Q18" s="49"/>
    </row>
    <row r="19" spans="1:17" s="19" customFormat="1" ht="18.95" customHeight="1" thickBot="1" x14ac:dyDescent="0.25">
      <c r="A19" s="13"/>
      <c r="B19" s="14" t="s">
        <v>24</v>
      </c>
      <c r="C19" s="15">
        <f>SUM(C4:C17)</f>
        <v>0</v>
      </c>
      <c r="D19" s="16" t="e">
        <f t="shared" si="0"/>
        <v>#DIV/0!</v>
      </c>
      <c r="E19" s="50">
        <f>SUM(E4:E17)</f>
        <v>0</v>
      </c>
      <c r="F19" s="50">
        <f>SUM(F4:F17)</f>
        <v>0</v>
      </c>
      <c r="G19" s="50">
        <f t="shared" ref="G19:P19" si="3">SUM(G4:G17)</f>
        <v>0</v>
      </c>
      <c r="H19" s="50">
        <f t="shared" si="3"/>
        <v>0</v>
      </c>
      <c r="I19" s="50">
        <f t="shared" si="3"/>
        <v>0</v>
      </c>
      <c r="J19" s="50">
        <f t="shared" si="3"/>
        <v>0</v>
      </c>
      <c r="K19" s="50">
        <f t="shared" si="3"/>
        <v>0</v>
      </c>
      <c r="L19" s="50">
        <f t="shared" si="3"/>
        <v>0</v>
      </c>
      <c r="M19" s="50">
        <f t="shared" si="3"/>
        <v>0</v>
      </c>
      <c r="N19" s="50">
        <f t="shared" si="3"/>
        <v>0</v>
      </c>
      <c r="O19" s="50">
        <f t="shared" si="3"/>
        <v>0</v>
      </c>
      <c r="P19" s="50">
        <f t="shared" si="3"/>
        <v>0</v>
      </c>
      <c r="Q19" s="50">
        <f>SUM(Q4:Q17)</f>
        <v>0</v>
      </c>
    </row>
    <row r="20" spans="1:17" ht="18.95" customHeight="1" x14ac:dyDescent="0.2">
      <c r="A20" s="1" t="s">
        <v>22</v>
      </c>
      <c r="B20" s="35" t="s">
        <v>23</v>
      </c>
      <c r="C20" s="6"/>
      <c r="D20" s="10"/>
      <c r="E20" s="49"/>
      <c r="F20" s="49"/>
      <c r="G20" s="49"/>
      <c r="H20" s="49"/>
      <c r="I20" s="49"/>
      <c r="J20" s="49"/>
      <c r="K20" s="49"/>
      <c r="L20" s="49"/>
      <c r="M20" s="47"/>
      <c r="N20" s="47"/>
      <c r="O20" s="47"/>
      <c r="P20" s="48"/>
      <c r="Q20" s="49"/>
    </row>
    <row r="21" spans="1:17" ht="18.95" customHeight="1" x14ac:dyDescent="0.2">
      <c r="A21" s="1">
        <v>1</v>
      </c>
      <c r="B21" s="2"/>
      <c r="C21" s="6"/>
      <c r="D21" s="10" t="e">
        <f t="shared" si="0"/>
        <v>#DIV/0!</v>
      </c>
      <c r="E21" s="49"/>
      <c r="F21" s="49"/>
      <c r="G21" s="49"/>
      <c r="H21" s="49"/>
      <c r="I21" s="49"/>
      <c r="J21" s="49"/>
      <c r="K21" s="49"/>
      <c r="L21" s="49"/>
      <c r="M21" s="47"/>
      <c r="N21" s="47"/>
      <c r="O21" s="47"/>
      <c r="P21" s="48"/>
      <c r="Q21" s="49">
        <f t="shared" ref="Q21:Q28" si="4">SUM(E21:P21)</f>
        <v>0</v>
      </c>
    </row>
    <row r="22" spans="1:17" ht="18.95" customHeight="1" x14ac:dyDescent="0.2">
      <c r="A22" s="1">
        <v>2</v>
      </c>
      <c r="B22" s="2"/>
      <c r="C22" s="6"/>
      <c r="D22" s="10" t="e">
        <f t="shared" si="0"/>
        <v>#DIV/0!</v>
      </c>
      <c r="E22" s="49"/>
      <c r="F22" s="49"/>
      <c r="G22" s="49"/>
      <c r="H22" s="49"/>
      <c r="I22" s="49"/>
      <c r="J22" s="49"/>
      <c r="K22" s="49"/>
      <c r="L22" s="49"/>
      <c r="M22" s="47"/>
      <c r="N22" s="47"/>
      <c r="O22" s="47"/>
      <c r="P22" s="48"/>
      <c r="Q22" s="49">
        <f t="shared" si="4"/>
        <v>0</v>
      </c>
    </row>
    <row r="23" spans="1:17" ht="18.95" customHeight="1" x14ac:dyDescent="0.2">
      <c r="A23" s="1">
        <v>3</v>
      </c>
      <c r="B23" s="2"/>
      <c r="C23" s="6"/>
      <c r="D23" s="10" t="e">
        <f t="shared" si="0"/>
        <v>#DIV/0!</v>
      </c>
      <c r="E23" s="49"/>
      <c r="F23" s="49"/>
      <c r="G23" s="49"/>
      <c r="H23" s="49"/>
      <c r="I23" s="49"/>
      <c r="J23" s="49"/>
      <c r="K23" s="49"/>
      <c r="L23" s="49"/>
      <c r="M23" s="47"/>
      <c r="N23" s="47"/>
      <c r="O23" s="47"/>
      <c r="P23" s="48"/>
      <c r="Q23" s="49">
        <f t="shared" si="4"/>
        <v>0</v>
      </c>
    </row>
    <row r="24" spans="1:17" ht="18.95" customHeight="1" x14ac:dyDescent="0.2">
      <c r="A24" s="1">
        <v>4</v>
      </c>
      <c r="B24" s="2"/>
      <c r="C24" s="6"/>
      <c r="D24" s="10" t="e">
        <f t="shared" si="0"/>
        <v>#DIV/0!</v>
      </c>
      <c r="E24" s="49"/>
      <c r="F24" s="49"/>
      <c r="G24" s="49"/>
      <c r="H24" s="49"/>
      <c r="I24" s="49"/>
      <c r="J24" s="49"/>
      <c r="K24" s="49"/>
      <c r="L24" s="49"/>
      <c r="M24" s="47"/>
      <c r="N24" s="47"/>
      <c r="O24" s="47"/>
      <c r="P24" s="48"/>
      <c r="Q24" s="49">
        <f t="shared" si="4"/>
        <v>0</v>
      </c>
    </row>
    <row r="25" spans="1:17" ht="18.95" customHeight="1" x14ac:dyDescent="0.2">
      <c r="A25" s="1">
        <v>5</v>
      </c>
      <c r="B25" s="2"/>
      <c r="C25" s="6"/>
      <c r="D25" s="10" t="e">
        <f t="shared" si="0"/>
        <v>#DIV/0!</v>
      </c>
      <c r="E25" s="49"/>
      <c r="F25" s="49"/>
      <c r="G25" s="49"/>
      <c r="H25" s="49"/>
      <c r="I25" s="49"/>
      <c r="J25" s="49"/>
      <c r="K25" s="49"/>
      <c r="L25" s="49"/>
      <c r="M25" s="47"/>
      <c r="N25" s="47"/>
      <c r="O25" s="47"/>
      <c r="P25" s="48"/>
      <c r="Q25" s="49">
        <f t="shared" si="4"/>
        <v>0</v>
      </c>
    </row>
    <row r="26" spans="1:17" ht="18.95" customHeight="1" x14ac:dyDescent="0.2">
      <c r="A26" s="1">
        <v>6</v>
      </c>
      <c r="B26" s="2"/>
      <c r="C26" s="6"/>
      <c r="D26" s="10" t="e">
        <f t="shared" si="0"/>
        <v>#DIV/0!</v>
      </c>
      <c r="E26" s="49"/>
      <c r="F26" s="49"/>
      <c r="G26" s="49"/>
      <c r="H26" s="49"/>
      <c r="I26" s="49"/>
      <c r="J26" s="49"/>
      <c r="K26" s="49"/>
      <c r="L26" s="49"/>
      <c r="M26" s="47"/>
      <c r="N26" s="47"/>
      <c r="O26" s="47"/>
      <c r="P26" s="48"/>
      <c r="Q26" s="49">
        <f t="shared" si="4"/>
        <v>0</v>
      </c>
    </row>
    <row r="27" spans="1:17" ht="18.95" customHeight="1" x14ac:dyDescent="0.2">
      <c r="A27" s="1">
        <v>7</v>
      </c>
      <c r="B27" s="2"/>
      <c r="C27" s="6"/>
      <c r="D27" s="10" t="e">
        <f t="shared" si="0"/>
        <v>#DIV/0!</v>
      </c>
      <c r="E27" s="49"/>
      <c r="F27" s="49"/>
      <c r="G27" s="49"/>
      <c r="H27" s="49"/>
      <c r="I27" s="49"/>
      <c r="J27" s="49"/>
      <c r="K27" s="49"/>
      <c r="L27" s="49"/>
      <c r="M27" s="47"/>
      <c r="N27" s="47"/>
      <c r="O27" s="47"/>
      <c r="P27" s="48"/>
      <c r="Q27" s="49">
        <f t="shared" si="4"/>
        <v>0</v>
      </c>
    </row>
    <row r="28" spans="1:17" ht="18.95" customHeight="1" x14ac:dyDescent="0.2">
      <c r="A28" s="1">
        <v>8</v>
      </c>
      <c r="B28" s="2"/>
      <c r="C28" s="6"/>
      <c r="D28" s="10" t="e">
        <f t="shared" si="0"/>
        <v>#DIV/0!</v>
      </c>
      <c r="E28" s="49"/>
      <c r="F28" s="49"/>
      <c r="G28" s="49"/>
      <c r="H28" s="49"/>
      <c r="I28" s="49"/>
      <c r="J28" s="49"/>
      <c r="K28" s="49"/>
      <c r="L28" s="49"/>
      <c r="M28" s="47"/>
      <c r="N28" s="47"/>
      <c r="O28" s="47"/>
      <c r="P28" s="48"/>
      <c r="Q28" s="49">
        <f t="shared" si="4"/>
        <v>0</v>
      </c>
    </row>
    <row r="29" spans="1:17" s="19" customFormat="1" ht="18.95" customHeight="1" thickBot="1" x14ac:dyDescent="0.25">
      <c r="A29" s="13">
        <v>9</v>
      </c>
      <c r="B29" s="99" t="s">
        <v>45</v>
      </c>
      <c r="C29" s="6">
        <f>SUM(C21:C28)*9.5%</f>
        <v>0</v>
      </c>
      <c r="D29" s="10" t="e">
        <f t="shared" si="0"/>
        <v>#DIV/0!</v>
      </c>
      <c r="E29" s="6">
        <f>SUM(E21:E28)*9.5%</f>
        <v>0</v>
      </c>
      <c r="F29" s="6">
        <f>SUM(F21:F28)*9.5%</f>
        <v>0</v>
      </c>
      <c r="G29" s="6">
        <f t="shared" ref="G29:P29" si="5">SUM(G21:G28)*9.5%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  <c r="Q29" s="6">
        <f>SUM(Q21:Q28)*9.5%</f>
        <v>0</v>
      </c>
    </row>
    <row r="30" spans="1:17" ht="18.95" customHeight="1" x14ac:dyDescent="0.2">
      <c r="B30" s="2" t="s">
        <v>25</v>
      </c>
      <c r="C30" s="6">
        <f>SUM(C19:C29)</f>
        <v>0</v>
      </c>
      <c r="D30" s="10" t="e">
        <f t="shared" si="0"/>
        <v>#DIV/0!</v>
      </c>
      <c r="E30" s="49">
        <f>SUM(E19:E29)</f>
        <v>0</v>
      </c>
      <c r="F30" s="49">
        <f>SUM(F19:F29)</f>
        <v>0</v>
      </c>
      <c r="G30" s="49">
        <f>SUM(G19:G29)</f>
        <v>0</v>
      </c>
      <c r="H30" s="49">
        <f t="shared" ref="H30:M30" si="6">SUM(H19:H29)</f>
        <v>0</v>
      </c>
      <c r="I30" s="49">
        <f t="shared" si="6"/>
        <v>0</v>
      </c>
      <c r="J30" s="49">
        <f t="shared" si="6"/>
        <v>0</v>
      </c>
      <c r="K30" s="49">
        <f t="shared" si="6"/>
        <v>0</v>
      </c>
      <c r="L30" s="49">
        <f t="shared" si="6"/>
        <v>0</v>
      </c>
      <c r="M30" s="47">
        <f t="shared" si="6"/>
        <v>0</v>
      </c>
      <c r="N30" s="47">
        <f>SUM(N19:N29)</f>
        <v>0</v>
      </c>
      <c r="O30" s="47">
        <f>SUM(O19:O29)</f>
        <v>0</v>
      </c>
      <c r="P30" s="47">
        <f>SUM(P19:P29)</f>
        <v>0</v>
      </c>
      <c r="Q30" s="49">
        <f>SUM(E30:P30)</f>
        <v>0</v>
      </c>
    </row>
    <row r="31" spans="1:17" ht="18.95" customHeight="1" x14ac:dyDescent="0.2">
      <c r="B31" s="2" t="s">
        <v>41</v>
      </c>
      <c r="C31" s="6">
        <f>SUM(C30)*5%/1.096</f>
        <v>0</v>
      </c>
      <c r="D31" s="10" t="e">
        <f t="shared" si="0"/>
        <v>#DIV/0!</v>
      </c>
      <c r="E31" s="49">
        <f>SUM(E30)*5%/1.096</f>
        <v>0</v>
      </c>
      <c r="F31" s="49">
        <f t="shared" ref="F31:P31" si="7">SUM(F30)*5%/1.096</f>
        <v>0</v>
      </c>
      <c r="G31" s="49">
        <f t="shared" si="7"/>
        <v>0</v>
      </c>
      <c r="H31" s="49">
        <f t="shared" si="7"/>
        <v>0</v>
      </c>
      <c r="I31" s="49">
        <f t="shared" si="7"/>
        <v>0</v>
      </c>
      <c r="J31" s="49">
        <f t="shared" si="7"/>
        <v>0</v>
      </c>
      <c r="K31" s="49">
        <f t="shared" si="7"/>
        <v>0</v>
      </c>
      <c r="L31" s="49">
        <f t="shared" si="7"/>
        <v>0</v>
      </c>
      <c r="M31" s="49">
        <f t="shared" si="7"/>
        <v>0</v>
      </c>
      <c r="N31" s="49">
        <f t="shared" si="7"/>
        <v>0</v>
      </c>
      <c r="O31" s="49">
        <f t="shared" si="7"/>
        <v>0</v>
      </c>
      <c r="P31" s="49">
        <f t="shared" si="7"/>
        <v>0</v>
      </c>
      <c r="Q31" s="49">
        <f>SUM(E31:P31)</f>
        <v>0</v>
      </c>
    </row>
    <row r="32" spans="1:17" ht="18.95" customHeight="1" x14ac:dyDescent="0.2">
      <c r="B32" s="2" t="s">
        <v>26</v>
      </c>
      <c r="C32" s="6">
        <f>SUM(C30-C31)</f>
        <v>0</v>
      </c>
      <c r="D32" s="10" t="e">
        <f t="shared" si="0"/>
        <v>#DIV/0!</v>
      </c>
      <c r="E32" s="49">
        <f t="shared" ref="E32:M32" si="8">SUM(E30-E31)</f>
        <v>0</v>
      </c>
      <c r="F32" s="49">
        <f t="shared" si="8"/>
        <v>0</v>
      </c>
      <c r="G32" s="49">
        <f t="shared" si="8"/>
        <v>0</v>
      </c>
      <c r="H32" s="49">
        <f t="shared" si="8"/>
        <v>0</v>
      </c>
      <c r="I32" s="49">
        <f t="shared" si="8"/>
        <v>0</v>
      </c>
      <c r="J32" s="49">
        <f t="shared" si="8"/>
        <v>0</v>
      </c>
      <c r="K32" s="49">
        <f t="shared" si="8"/>
        <v>0</v>
      </c>
      <c r="L32" s="49">
        <f t="shared" si="8"/>
        <v>0</v>
      </c>
      <c r="M32" s="47">
        <f t="shared" si="8"/>
        <v>0</v>
      </c>
      <c r="N32" s="47">
        <f>SUM(N30-N31)</f>
        <v>0</v>
      </c>
      <c r="O32" s="47">
        <f>SUM(O30-O31)</f>
        <v>0</v>
      </c>
      <c r="P32" s="47">
        <f>SUM(P30-P31)</f>
        <v>0</v>
      </c>
      <c r="Q32" s="49">
        <f>SUM(E32:P32)</f>
        <v>0</v>
      </c>
    </row>
    <row r="33" spans="1:17" s="23" customFormat="1" ht="18.95" customHeight="1" thickBot="1" x14ac:dyDescent="0.25">
      <c r="A33" s="46"/>
      <c r="B33" s="20" t="s">
        <v>37</v>
      </c>
      <c r="C33" s="21">
        <f>SUM(C32)</f>
        <v>0</v>
      </c>
      <c r="D33" s="91" t="e">
        <f>SUM(D32)</f>
        <v>#DIV/0!</v>
      </c>
      <c r="E33" s="21">
        <f t="shared" ref="E33:O33" si="9">SUM(E32)</f>
        <v>0</v>
      </c>
      <c r="F33" s="21">
        <f t="shared" si="9"/>
        <v>0</v>
      </c>
      <c r="G33" s="21">
        <f t="shared" si="9"/>
        <v>0</v>
      </c>
      <c r="H33" s="21">
        <f t="shared" si="9"/>
        <v>0</v>
      </c>
      <c r="I33" s="21">
        <f t="shared" si="9"/>
        <v>0</v>
      </c>
      <c r="J33" s="21">
        <f t="shared" si="9"/>
        <v>0</v>
      </c>
      <c r="K33" s="21">
        <f t="shared" si="9"/>
        <v>0</v>
      </c>
      <c r="L33" s="21">
        <f t="shared" si="9"/>
        <v>0</v>
      </c>
      <c r="M33" s="21">
        <f t="shared" si="9"/>
        <v>0</v>
      </c>
      <c r="N33" s="21">
        <f t="shared" si="9"/>
        <v>0</v>
      </c>
      <c r="O33" s="21">
        <f t="shared" si="9"/>
        <v>0</v>
      </c>
      <c r="P33" s="21">
        <f>SUM(P32)</f>
        <v>0</v>
      </c>
      <c r="Q33" s="21">
        <f>SUM(E33:P33)</f>
        <v>0</v>
      </c>
    </row>
    <row r="34" spans="1:17" ht="1.5" customHeight="1" thickTop="1" x14ac:dyDescent="0.2"/>
  </sheetData>
  <phoneticPr fontId="0" type="noConversion"/>
  <printOptions horizontalCentered="1" headings="1" gridLines="1"/>
  <pageMargins left="0" right="0" top="0.71" bottom="0" header="0" footer="0"/>
  <pageSetup scale="79" orientation="landscape" blackAndWhite="1" horizontalDpi="4294967293" verticalDpi="300" r:id="rId1"/>
  <headerFooter alignWithMargins="0">
    <oddHeader>&amp;LPAY APPLICATION&amp;CMerrill Gardens at Ballard, LLC
5601 24th Ave NW
Seattle WA 98107&amp;RSUBCONTRACTOR NAME</oddHeader>
    <oddFooter>&amp;L&amp;8PREPARED BY:&amp;C&amp;D&amp;R&amp;P</oddFooter>
  </headerFooter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view="pageBreakPreview" topLeftCell="A16" zoomScaleNormal="100" zoomScaleSheetLayoutView="100" workbookViewId="0">
      <selection activeCell="D31" sqref="D31"/>
    </sheetView>
  </sheetViews>
  <sheetFormatPr defaultRowHeight="12.75" x14ac:dyDescent="0.2"/>
  <cols>
    <col min="1" max="1" width="3.7109375" style="1" customWidth="1"/>
    <col min="2" max="2" width="38" bestFit="1" customWidth="1"/>
    <col min="3" max="3" width="12.140625" style="8" customWidth="1"/>
    <col min="4" max="4" width="6.42578125" style="11" customWidth="1"/>
    <col min="5" max="12" width="8.28515625" style="38" customWidth="1"/>
    <col min="13" max="15" width="8.28515625" style="39" customWidth="1"/>
    <col min="16" max="16" width="8.28515625" style="45" customWidth="1"/>
    <col min="17" max="17" width="10.7109375" customWidth="1"/>
  </cols>
  <sheetData>
    <row r="1" spans="1:17" s="4" customFormat="1" ht="25.5" customHeight="1" x14ac:dyDescent="0.2">
      <c r="B1" s="4" t="s">
        <v>29</v>
      </c>
      <c r="C1" s="7"/>
      <c r="D1" s="9"/>
      <c r="E1" s="36"/>
      <c r="F1" s="36"/>
      <c r="G1" s="36"/>
      <c r="H1" s="36"/>
      <c r="I1" s="36"/>
      <c r="J1" s="36"/>
      <c r="K1" s="36"/>
      <c r="L1" s="36"/>
      <c r="M1" s="37"/>
      <c r="N1" s="37"/>
      <c r="O1" s="37"/>
      <c r="P1" s="42"/>
      <c r="Q1" s="5" t="s">
        <v>40</v>
      </c>
    </row>
    <row r="2" spans="1:17" s="29" customFormat="1" ht="18" customHeight="1" thickBot="1" x14ac:dyDescent="0.25">
      <c r="B2" s="24"/>
      <c r="C2" s="25"/>
      <c r="D2" s="30"/>
      <c r="E2" s="40" t="s">
        <v>8</v>
      </c>
      <c r="F2" s="40" t="s">
        <v>30</v>
      </c>
      <c r="G2" s="40" t="s">
        <v>31</v>
      </c>
      <c r="H2" s="40" t="s">
        <v>32</v>
      </c>
      <c r="I2" s="40" t="s">
        <v>1</v>
      </c>
      <c r="J2" s="40" t="s">
        <v>2</v>
      </c>
      <c r="K2" s="40" t="s">
        <v>3</v>
      </c>
      <c r="L2" s="40" t="s">
        <v>4</v>
      </c>
      <c r="M2" s="40" t="s">
        <v>33</v>
      </c>
      <c r="N2" s="40" t="s">
        <v>5</v>
      </c>
      <c r="O2" s="40" t="s">
        <v>6</v>
      </c>
      <c r="P2" s="43" t="s">
        <v>7</v>
      </c>
      <c r="Q2" s="24" t="s">
        <v>34</v>
      </c>
    </row>
    <row r="3" spans="1:17" s="28" customFormat="1" ht="20.25" customHeight="1" x14ac:dyDescent="0.2">
      <c r="A3" s="26"/>
      <c r="B3" s="31" t="s">
        <v>28</v>
      </c>
      <c r="C3" s="32" t="s">
        <v>0</v>
      </c>
      <c r="D3" s="33" t="s">
        <v>27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12"/>
      <c r="Q3" s="27"/>
    </row>
    <row r="4" spans="1:17" ht="18.95" customHeight="1" x14ac:dyDescent="0.2">
      <c r="A4" s="1" t="s">
        <v>9</v>
      </c>
      <c r="B4" s="2"/>
      <c r="C4" s="6"/>
      <c r="D4" s="10"/>
      <c r="E4" s="3"/>
      <c r="F4" s="3"/>
      <c r="G4" s="3"/>
      <c r="H4" s="3"/>
      <c r="I4" s="3"/>
      <c r="J4" s="3"/>
      <c r="K4" s="3"/>
      <c r="L4" s="3"/>
      <c r="M4" s="34"/>
      <c r="N4" s="34"/>
      <c r="O4" s="34"/>
      <c r="P4" s="12"/>
      <c r="Q4" s="3"/>
    </row>
    <row r="5" spans="1:17" ht="18.95" customHeight="1" x14ac:dyDescent="0.2">
      <c r="A5" s="1" t="s">
        <v>10</v>
      </c>
      <c r="B5" s="2"/>
      <c r="C5" s="6"/>
      <c r="D5" s="10"/>
      <c r="E5" s="3"/>
      <c r="F5" s="3"/>
      <c r="G5" s="3"/>
      <c r="H5" s="3"/>
      <c r="I5" s="3"/>
      <c r="J5" s="3"/>
      <c r="K5" s="3"/>
      <c r="L5" s="3"/>
      <c r="M5" s="34"/>
      <c r="N5" s="34"/>
      <c r="O5" s="34"/>
      <c r="P5" s="12"/>
      <c r="Q5" s="3"/>
    </row>
    <row r="6" spans="1:17" ht="18.95" customHeight="1" x14ac:dyDescent="0.2">
      <c r="A6" s="1" t="s">
        <v>11</v>
      </c>
      <c r="B6" s="2"/>
      <c r="C6" s="6"/>
      <c r="D6" s="10"/>
      <c r="E6" s="3"/>
      <c r="F6" s="3"/>
      <c r="G6" s="3"/>
      <c r="H6" s="3"/>
      <c r="I6" s="3"/>
      <c r="J6" s="3"/>
      <c r="K6" s="3"/>
      <c r="L6" s="3"/>
      <c r="M6" s="34"/>
      <c r="N6" s="34"/>
      <c r="O6" s="34"/>
      <c r="P6" s="12"/>
      <c r="Q6" s="3"/>
    </row>
    <row r="7" spans="1:17" ht="18.95" customHeight="1" x14ac:dyDescent="0.2">
      <c r="A7" s="1" t="s">
        <v>12</v>
      </c>
      <c r="B7" s="2"/>
      <c r="C7" s="6"/>
      <c r="D7" s="10"/>
      <c r="E7" s="3"/>
      <c r="F7" s="3"/>
      <c r="G7" s="3"/>
      <c r="H7" s="3"/>
      <c r="I7" s="3"/>
      <c r="J7" s="3"/>
      <c r="K7" s="3"/>
      <c r="L7" s="3"/>
      <c r="M7" s="34"/>
      <c r="N7" s="34"/>
      <c r="O7" s="34"/>
      <c r="P7" s="12"/>
      <c r="Q7" s="3"/>
    </row>
    <row r="8" spans="1:17" ht="18.95" customHeight="1" x14ac:dyDescent="0.2">
      <c r="A8" s="1" t="s">
        <v>13</v>
      </c>
      <c r="B8" s="2"/>
      <c r="C8" s="6"/>
      <c r="D8" s="10"/>
      <c r="E8" s="3"/>
      <c r="F8" s="3"/>
      <c r="G8" s="3"/>
      <c r="H8" s="3"/>
      <c r="I8" s="3"/>
      <c r="J8" s="3"/>
      <c r="K8" s="3"/>
      <c r="L8" s="3"/>
      <c r="M8" s="34"/>
      <c r="N8" s="34"/>
      <c r="O8" s="34"/>
      <c r="P8" s="12"/>
      <c r="Q8" s="3"/>
    </row>
    <row r="9" spans="1:17" ht="18.95" customHeight="1" x14ac:dyDescent="0.2">
      <c r="A9" s="1" t="s">
        <v>14</v>
      </c>
      <c r="B9" s="2"/>
      <c r="C9" s="6"/>
      <c r="D9" s="10"/>
      <c r="E9" s="3"/>
      <c r="F9" s="3"/>
      <c r="G9" s="3"/>
      <c r="H9" s="3"/>
      <c r="I9" s="3"/>
      <c r="J9" s="3"/>
      <c r="K9" s="3"/>
      <c r="L9" s="3"/>
      <c r="M9" s="34"/>
      <c r="N9" s="34"/>
      <c r="O9" s="34"/>
      <c r="P9" s="12"/>
      <c r="Q9" s="3"/>
    </row>
    <row r="10" spans="1:17" ht="18.95" customHeight="1" x14ac:dyDescent="0.2">
      <c r="A10" s="1" t="s">
        <v>15</v>
      </c>
      <c r="B10" s="2"/>
      <c r="C10" s="6"/>
      <c r="D10" s="10"/>
      <c r="E10" s="3"/>
      <c r="F10" s="3"/>
      <c r="G10" s="3"/>
      <c r="H10" s="3"/>
      <c r="I10" s="3"/>
      <c r="J10" s="3"/>
      <c r="K10" s="3"/>
      <c r="L10" s="3"/>
      <c r="M10" s="34"/>
      <c r="N10" s="34"/>
      <c r="O10" s="34"/>
      <c r="P10" s="12"/>
      <c r="Q10" s="3"/>
    </row>
    <row r="11" spans="1:17" ht="18.95" customHeight="1" x14ac:dyDescent="0.2">
      <c r="A11" s="1" t="s">
        <v>16</v>
      </c>
      <c r="B11" s="2"/>
      <c r="C11" s="6"/>
      <c r="D11" s="10"/>
      <c r="E11" s="3"/>
      <c r="F11" s="3"/>
      <c r="G11" s="3"/>
      <c r="H11" s="3"/>
      <c r="I11" s="3"/>
      <c r="J11" s="3"/>
      <c r="K11" s="3"/>
      <c r="L11" s="3"/>
      <c r="M11" s="34"/>
      <c r="N11" s="34"/>
      <c r="O11" s="34"/>
      <c r="P11" s="12"/>
      <c r="Q11" s="3"/>
    </row>
    <row r="12" spans="1:17" ht="18.95" customHeight="1" x14ac:dyDescent="0.2">
      <c r="A12" s="1" t="s">
        <v>17</v>
      </c>
      <c r="B12" s="2"/>
      <c r="C12" s="6"/>
      <c r="D12" s="10"/>
      <c r="E12" s="3"/>
      <c r="F12" s="3"/>
      <c r="G12" s="3"/>
      <c r="H12" s="3"/>
      <c r="I12" s="3"/>
      <c r="J12" s="3"/>
      <c r="K12" s="3"/>
      <c r="L12" s="3"/>
      <c r="M12" s="34"/>
      <c r="N12" s="34"/>
      <c r="O12" s="34"/>
      <c r="P12" s="12"/>
      <c r="Q12" s="3"/>
    </row>
    <row r="13" spans="1:17" ht="18.95" customHeight="1" x14ac:dyDescent="0.2">
      <c r="A13" s="1" t="s">
        <v>18</v>
      </c>
      <c r="B13" s="2"/>
      <c r="C13" s="6"/>
      <c r="D13" s="10"/>
      <c r="E13" s="3"/>
      <c r="F13" s="3"/>
      <c r="G13" s="3"/>
      <c r="H13" s="3"/>
      <c r="I13" s="3"/>
      <c r="J13" s="3"/>
      <c r="K13" s="3"/>
      <c r="L13" s="3"/>
      <c r="M13" s="34"/>
      <c r="N13" s="34"/>
      <c r="O13" s="34"/>
      <c r="P13" s="12"/>
      <c r="Q13" s="3"/>
    </row>
    <row r="14" spans="1:17" ht="18.95" customHeight="1" x14ac:dyDescent="0.2">
      <c r="A14" s="1" t="s">
        <v>19</v>
      </c>
      <c r="B14" s="2"/>
      <c r="C14" s="6"/>
      <c r="D14" s="10"/>
      <c r="E14" s="3"/>
      <c r="F14" s="3"/>
      <c r="G14" s="3"/>
      <c r="H14" s="3"/>
      <c r="I14" s="3"/>
      <c r="J14" s="3"/>
      <c r="K14" s="3"/>
      <c r="L14" s="3"/>
      <c r="M14" s="34"/>
      <c r="N14" s="34"/>
      <c r="O14" s="34"/>
      <c r="P14" s="12"/>
      <c r="Q14" s="3"/>
    </row>
    <row r="15" spans="1:17" ht="18.95" customHeight="1" x14ac:dyDescent="0.2">
      <c r="A15" s="1" t="s">
        <v>20</v>
      </c>
      <c r="B15" s="2"/>
      <c r="C15" s="6"/>
      <c r="D15" s="10"/>
      <c r="E15" s="3"/>
      <c r="F15" s="3"/>
      <c r="G15" s="3"/>
      <c r="H15" s="3"/>
      <c r="I15" s="3"/>
      <c r="J15" s="3"/>
      <c r="K15" s="3"/>
      <c r="L15" s="3"/>
      <c r="M15" s="34"/>
      <c r="N15" s="34"/>
      <c r="O15" s="34"/>
      <c r="P15" s="12"/>
      <c r="Q15" s="3"/>
    </row>
    <row r="16" spans="1:17" ht="18.95" customHeight="1" x14ac:dyDescent="0.2">
      <c r="A16" s="1" t="s">
        <v>21</v>
      </c>
      <c r="B16" s="2"/>
      <c r="C16" s="6"/>
      <c r="D16" s="10"/>
      <c r="E16" s="3"/>
      <c r="F16" s="3"/>
      <c r="G16" s="3"/>
      <c r="H16" s="3"/>
      <c r="I16" s="3"/>
      <c r="J16" s="3"/>
      <c r="K16" s="3"/>
      <c r="L16" s="3"/>
      <c r="M16" s="34"/>
      <c r="N16" s="34"/>
      <c r="O16" s="34"/>
      <c r="P16" s="12"/>
      <c r="Q16" s="3"/>
    </row>
    <row r="17" spans="1:17" ht="18.95" customHeight="1" x14ac:dyDescent="0.2">
      <c r="A17" s="1" t="s">
        <v>35</v>
      </c>
      <c r="B17" s="2"/>
      <c r="C17" s="6"/>
      <c r="D17" s="10"/>
      <c r="E17" s="3"/>
      <c r="F17" s="3"/>
      <c r="G17" s="3"/>
      <c r="H17" s="3"/>
      <c r="I17" s="3"/>
      <c r="J17" s="3"/>
      <c r="K17" s="3"/>
      <c r="L17" s="3"/>
      <c r="M17" s="34"/>
      <c r="N17" s="34"/>
      <c r="O17" s="34"/>
      <c r="P17" s="12"/>
      <c r="Q17" s="3"/>
    </row>
    <row r="18" spans="1:17" ht="18.95" customHeight="1" x14ac:dyDescent="0.2">
      <c r="A18" s="1" t="s">
        <v>36</v>
      </c>
      <c r="B18" s="2"/>
      <c r="C18" s="6"/>
      <c r="D18" s="10"/>
      <c r="E18" s="3"/>
      <c r="F18" s="3"/>
      <c r="G18" s="3"/>
      <c r="H18" s="3"/>
      <c r="I18" s="3"/>
      <c r="J18" s="3"/>
      <c r="K18" s="3"/>
      <c r="L18" s="3"/>
      <c r="M18" s="34"/>
      <c r="N18" s="34"/>
      <c r="O18" s="34"/>
      <c r="P18" s="12"/>
      <c r="Q18" s="3"/>
    </row>
    <row r="19" spans="1:17" s="19" customFormat="1" ht="18.95" customHeight="1" thickBot="1" x14ac:dyDescent="0.25">
      <c r="A19" s="13"/>
      <c r="B19" s="14" t="s">
        <v>24</v>
      </c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  <c r="Q19" s="17"/>
    </row>
    <row r="20" spans="1:17" ht="18.95" customHeight="1" x14ac:dyDescent="0.2">
      <c r="A20" s="1" t="s">
        <v>22</v>
      </c>
      <c r="B20" s="35" t="s">
        <v>23</v>
      </c>
      <c r="C20" s="6"/>
      <c r="D20" s="10"/>
      <c r="E20" s="3"/>
      <c r="F20" s="3"/>
      <c r="G20" s="3"/>
      <c r="H20" s="3"/>
      <c r="I20" s="3"/>
      <c r="J20" s="3"/>
      <c r="K20" s="3"/>
      <c r="L20" s="3"/>
      <c r="M20" s="34"/>
      <c r="N20" s="34"/>
      <c r="O20" s="34"/>
      <c r="P20" s="12"/>
      <c r="Q20" s="3"/>
    </row>
    <row r="21" spans="1:17" ht="18.95" customHeight="1" x14ac:dyDescent="0.2">
      <c r="A21" s="1">
        <v>1</v>
      </c>
      <c r="B21" s="2"/>
      <c r="C21" s="6"/>
      <c r="D21" s="10"/>
      <c r="E21" s="3"/>
      <c r="F21" s="3"/>
      <c r="G21" s="3"/>
      <c r="H21" s="3"/>
      <c r="I21" s="3"/>
      <c r="J21" s="3"/>
      <c r="K21" s="3"/>
      <c r="L21" s="3"/>
      <c r="M21" s="34"/>
      <c r="N21" s="34"/>
      <c r="O21" s="34"/>
      <c r="P21" s="12"/>
      <c r="Q21" s="6"/>
    </row>
    <row r="22" spans="1:17" ht="18.95" customHeight="1" x14ac:dyDescent="0.2">
      <c r="A22" s="1">
        <v>2</v>
      </c>
      <c r="B22" s="2"/>
      <c r="C22" s="6"/>
      <c r="D22" s="10"/>
      <c r="E22" s="3"/>
      <c r="F22" s="3"/>
      <c r="G22" s="3"/>
      <c r="H22" s="3"/>
      <c r="I22" s="3"/>
      <c r="J22" s="3"/>
      <c r="K22" s="3"/>
      <c r="L22" s="3"/>
      <c r="M22" s="34"/>
      <c r="N22" s="34"/>
      <c r="O22" s="34"/>
      <c r="P22" s="12"/>
      <c r="Q22" s="6"/>
    </row>
    <row r="23" spans="1:17" ht="18.95" customHeight="1" x14ac:dyDescent="0.2">
      <c r="A23" s="1">
        <v>3</v>
      </c>
      <c r="B23" s="2"/>
      <c r="C23" s="6"/>
      <c r="D23" s="10"/>
      <c r="E23" s="3"/>
      <c r="F23" s="3"/>
      <c r="G23" s="3"/>
      <c r="H23" s="3"/>
      <c r="I23" s="3"/>
      <c r="J23" s="3"/>
      <c r="K23" s="3"/>
      <c r="L23" s="3"/>
      <c r="M23" s="34"/>
      <c r="N23" s="34"/>
      <c r="O23" s="34"/>
      <c r="P23" s="12"/>
      <c r="Q23" s="6"/>
    </row>
    <row r="24" spans="1:17" ht="18.95" customHeight="1" x14ac:dyDescent="0.2">
      <c r="A24" s="1">
        <v>4</v>
      </c>
      <c r="B24" s="2"/>
      <c r="C24" s="6"/>
      <c r="D24" s="10"/>
      <c r="E24" s="3"/>
      <c r="F24" s="3"/>
      <c r="G24" s="3"/>
      <c r="H24" s="3"/>
      <c r="I24" s="3"/>
      <c r="J24" s="3"/>
      <c r="K24" s="3"/>
      <c r="L24" s="3"/>
      <c r="M24" s="34"/>
      <c r="N24" s="34"/>
      <c r="O24" s="34"/>
      <c r="P24" s="12"/>
      <c r="Q24" s="6"/>
    </row>
    <row r="25" spans="1:17" ht="18.95" customHeight="1" x14ac:dyDescent="0.2">
      <c r="A25" s="1">
        <v>6</v>
      </c>
      <c r="B25" s="2"/>
      <c r="C25" s="6"/>
      <c r="D25" s="10"/>
      <c r="E25" s="3"/>
      <c r="F25" s="3"/>
      <c r="G25" s="3"/>
      <c r="H25" s="3"/>
      <c r="I25" s="3"/>
      <c r="J25" s="3"/>
      <c r="K25" s="3"/>
      <c r="L25" s="3"/>
      <c r="M25" s="34"/>
      <c r="N25" s="34"/>
      <c r="O25" s="34"/>
      <c r="P25" s="12"/>
      <c r="Q25" s="6"/>
    </row>
    <row r="26" spans="1:17" ht="18.95" customHeight="1" x14ac:dyDescent="0.2">
      <c r="A26" s="1">
        <v>7</v>
      </c>
      <c r="B26" s="2"/>
      <c r="C26" s="6"/>
      <c r="D26" s="10"/>
      <c r="E26" s="3"/>
      <c r="F26" s="3"/>
      <c r="G26" s="3"/>
      <c r="H26" s="3"/>
      <c r="I26" s="3"/>
      <c r="J26" s="3"/>
      <c r="K26" s="3"/>
      <c r="L26" s="3"/>
      <c r="M26" s="34"/>
      <c r="N26" s="34"/>
      <c r="O26" s="34"/>
      <c r="P26" s="12"/>
      <c r="Q26" s="6"/>
    </row>
    <row r="27" spans="1:17" ht="18.95" customHeight="1" x14ac:dyDescent="0.2">
      <c r="A27" s="1">
        <v>8</v>
      </c>
      <c r="B27" s="2"/>
      <c r="C27" s="6"/>
      <c r="D27" s="10"/>
      <c r="E27" s="3"/>
      <c r="F27" s="3"/>
      <c r="G27" s="3"/>
      <c r="H27" s="3"/>
      <c r="I27" s="3"/>
      <c r="J27" s="3"/>
      <c r="K27" s="3"/>
      <c r="L27" s="3"/>
      <c r="M27" s="34"/>
      <c r="N27" s="34"/>
      <c r="O27" s="34"/>
      <c r="P27" s="12"/>
      <c r="Q27" s="6"/>
    </row>
    <row r="28" spans="1:17" ht="18.95" customHeight="1" x14ac:dyDescent="0.2">
      <c r="A28" s="1">
        <v>9</v>
      </c>
      <c r="B28" s="2"/>
      <c r="C28" s="6"/>
      <c r="D28" s="10"/>
      <c r="E28" s="3"/>
      <c r="F28" s="3"/>
      <c r="G28" s="3"/>
      <c r="H28" s="3"/>
      <c r="I28" s="3"/>
      <c r="J28" s="3"/>
      <c r="K28" s="3"/>
      <c r="L28" s="3"/>
      <c r="M28" s="34"/>
      <c r="N28" s="34"/>
      <c r="O28" s="34"/>
      <c r="P28" s="12"/>
      <c r="Q28" s="6"/>
    </row>
    <row r="29" spans="1:17" s="19" customFormat="1" ht="18.95" customHeight="1" thickBot="1" x14ac:dyDescent="0.25">
      <c r="A29" s="13">
        <v>10</v>
      </c>
      <c r="B29" s="14"/>
      <c r="C29" s="15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  <c r="Q29" s="15"/>
    </row>
    <row r="30" spans="1:17" ht="18.95" customHeight="1" x14ac:dyDescent="0.2">
      <c r="B30" s="2" t="s">
        <v>25</v>
      </c>
      <c r="C30" s="6"/>
      <c r="D30" s="10"/>
      <c r="E30" s="3"/>
      <c r="F30" s="3"/>
      <c r="G30" s="3"/>
      <c r="H30" s="3"/>
      <c r="I30" s="3"/>
      <c r="J30" s="3"/>
      <c r="K30" s="3"/>
      <c r="L30" s="3"/>
      <c r="M30" s="34"/>
      <c r="N30" s="34"/>
      <c r="O30" s="34"/>
      <c r="P30" s="12"/>
      <c r="Q30" s="6"/>
    </row>
    <row r="31" spans="1:17" ht="18.95" customHeight="1" x14ac:dyDescent="0.2">
      <c r="B31" s="2" t="s">
        <v>42</v>
      </c>
      <c r="C31" s="6"/>
      <c r="D31" s="10"/>
      <c r="E31" s="3"/>
      <c r="F31" s="3"/>
      <c r="G31" s="3"/>
      <c r="H31" s="3"/>
      <c r="I31" s="3"/>
      <c r="J31" s="3"/>
      <c r="K31" s="3"/>
      <c r="L31" s="3"/>
      <c r="M31" s="34"/>
      <c r="N31" s="34"/>
      <c r="O31" s="34"/>
      <c r="P31" s="12"/>
      <c r="Q31" s="6"/>
    </row>
    <row r="32" spans="1:17" ht="18.95" customHeight="1" x14ac:dyDescent="0.2">
      <c r="B32" s="2" t="s">
        <v>26</v>
      </c>
      <c r="C32" s="6"/>
      <c r="D32" s="10"/>
      <c r="E32" s="3"/>
      <c r="F32" s="3"/>
      <c r="G32" s="3"/>
      <c r="H32" s="3"/>
      <c r="I32" s="3"/>
      <c r="J32" s="3"/>
      <c r="K32" s="3"/>
      <c r="L32" s="3"/>
      <c r="M32" s="34"/>
      <c r="N32" s="34"/>
      <c r="O32" s="34"/>
      <c r="P32" s="12"/>
      <c r="Q32" s="6"/>
    </row>
    <row r="33" spans="1:17" s="23" customFormat="1" ht="18.95" customHeight="1" thickBot="1" x14ac:dyDescent="0.25">
      <c r="A33" s="46"/>
      <c r="B33" s="20" t="s">
        <v>37</v>
      </c>
      <c r="C33" s="21"/>
      <c r="D33" s="22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4"/>
      <c r="Q33" s="21"/>
    </row>
    <row r="34" spans="1:17" ht="1.5" customHeight="1" thickTop="1" x14ac:dyDescent="0.2"/>
  </sheetData>
  <phoneticPr fontId="0" type="noConversion"/>
  <printOptions horizontalCentered="1" headings="1" gridLines="1"/>
  <pageMargins left="0" right="0" top="0" bottom="0" header="0" footer="0"/>
  <pageSetup scale="80" orientation="landscape" blackAndWhite="1" r:id="rId1"/>
  <headerFooter alignWithMargins="0">
    <oddFooter xml:space="preserve">&amp;LMerrill Gardens at Ballard, LLC
5601 24th Ave NW
Seattle, WA 98107&amp;CDate:    &amp;RSUB NAME:                                                     </oddFooter>
  </headerFooter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view="pageLayout" zoomScaleNormal="100" workbookViewId="0">
      <selection activeCell="J32" sqref="J32"/>
    </sheetView>
  </sheetViews>
  <sheetFormatPr defaultRowHeight="12.75" x14ac:dyDescent="0.2"/>
  <cols>
    <col min="1" max="1" width="2.5703125" bestFit="1" customWidth="1"/>
    <col min="2" max="2" width="29" customWidth="1"/>
    <col min="3" max="3" width="10.140625" customWidth="1"/>
    <col min="4" max="4" width="7" bestFit="1" customWidth="1"/>
    <col min="5" max="5" width="8" customWidth="1"/>
    <col min="6" max="6" width="7.85546875" customWidth="1"/>
    <col min="7" max="7" width="8.140625" customWidth="1"/>
    <col min="8" max="8" width="8.28515625" customWidth="1"/>
    <col min="9" max="9" width="4.85546875" bestFit="1" customWidth="1"/>
    <col min="10" max="10" width="9.140625" customWidth="1"/>
    <col min="11" max="11" width="4.7109375" customWidth="1"/>
    <col min="12" max="12" width="4.5703125" customWidth="1"/>
    <col min="13" max="13" width="4.7109375" customWidth="1"/>
    <col min="14" max="14" width="4.28515625" customWidth="1"/>
    <col min="15" max="16" width="4.42578125" customWidth="1"/>
    <col min="17" max="17" width="9.85546875" customWidth="1"/>
    <col min="18" max="18" width="5" bestFit="1" customWidth="1"/>
    <col min="19" max="19" width="4.7109375" bestFit="1" customWidth="1"/>
    <col min="20" max="20" width="9" bestFit="1" customWidth="1"/>
  </cols>
  <sheetData>
    <row r="1" spans="1:20" ht="33.75" x14ac:dyDescent="0.2">
      <c r="A1" s="57"/>
      <c r="B1" s="57" t="s">
        <v>29</v>
      </c>
      <c r="C1" s="58"/>
      <c r="D1" s="9"/>
      <c r="E1" s="59"/>
      <c r="F1" s="59"/>
      <c r="G1" s="59"/>
      <c r="H1" s="59"/>
      <c r="I1" s="59"/>
      <c r="J1" s="92" t="s">
        <v>44</v>
      </c>
      <c r="K1" s="59"/>
      <c r="L1" s="59"/>
      <c r="M1" s="60"/>
      <c r="N1" s="60"/>
      <c r="O1" s="60"/>
      <c r="P1" s="61"/>
      <c r="Q1" s="62" t="s">
        <v>40</v>
      </c>
      <c r="R1" s="37"/>
      <c r="S1" s="37"/>
      <c r="T1" s="51"/>
    </row>
    <row r="2" spans="1:20" ht="13.5" thickBot="1" x14ac:dyDescent="0.25">
      <c r="A2" s="63"/>
      <c r="B2" s="64"/>
      <c r="C2" s="65"/>
      <c r="D2" s="66"/>
      <c r="E2" s="67" t="s">
        <v>8</v>
      </c>
      <c r="F2" s="67" t="s">
        <v>30</v>
      </c>
      <c r="G2" s="67" t="s">
        <v>31</v>
      </c>
      <c r="H2" s="67" t="s">
        <v>32</v>
      </c>
      <c r="I2" s="67" t="s">
        <v>1</v>
      </c>
      <c r="J2" s="93" t="s">
        <v>2</v>
      </c>
      <c r="K2" s="67" t="s">
        <v>3</v>
      </c>
      <c r="L2" s="67" t="s">
        <v>4</v>
      </c>
      <c r="M2" s="67" t="s">
        <v>33</v>
      </c>
      <c r="N2" s="67" t="s">
        <v>5</v>
      </c>
      <c r="O2" s="67" t="s">
        <v>6</v>
      </c>
      <c r="P2" s="68" t="s">
        <v>7</v>
      </c>
      <c r="Q2" s="64" t="s">
        <v>34</v>
      </c>
      <c r="R2" s="52"/>
      <c r="S2" s="52"/>
      <c r="T2" s="53"/>
    </row>
    <row r="3" spans="1:20" x14ac:dyDescent="0.2">
      <c r="A3" s="69"/>
      <c r="B3" s="70" t="s">
        <v>28</v>
      </c>
      <c r="C3" s="71" t="s">
        <v>0</v>
      </c>
      <c r="D3" s="72" t="s">
        <v>27</v>
      </c>
      <c r="E3" s="73"/>
      <c r="F3" s="73"/>
      <c r="G3" s="73"/>
      <c r="H3" s="73"/>
      <c r="I3" s="73"/>
      <c r="J3" s="94"/>
      <c r="K3" s="73"/>
      <c r="L3" s="73"/>
      <c r="M3" s="73"/>
      <c r="N3" s="73"/>
      <c r="O3" s="73"/>
      <c r="P3" s="74"/>
      <c r="Q3" s="73"/>
      <c r="R3" s="34"/>
      <c r="S3" s="34"/>
      <c r="T3" s="27"/>
    </row>
    <row r="4" spans="1:20" x14ac:dyDescent="0.2">
      <c r="A4" s="75" t="s">
        <v>9</v>
      </c>
      <c r="B4" s="56" t="s">
        <v>24</v>
      </c>
      <c r="C4" s="76">
        <v>10000</v>
      </c>
      <c r="D4" s="77">
        <f>SUM(E4:P4)/C4*100%</f>
        <v>1</v>
      </c>
      <c r="E4" s="78">
        <v>1250</v>
      </c>
      <c r="F4" s="78">
        <v>1500</v>
      </c>
      <c r="G4" s="78">
        <v>3000</v>
      </c>
      <c r="H4" s="78">
        <v>4250</v>
      </c>
      <c r="I4" s="78"/>
      <c r="J4" s="95"/>
      <c r="K4" s="78"/>
      <c r="L4" s="78"/>
      <c r="M4" s="73"/>
      <c r="N4" s="73"/>
      <c r="O4" s="73"/>
      <c r="P4" s="74"/>
      <c r="Q4" s="78">
        <f>SUM(E4:P4)</f>
        <v>10000</v>
      </c>
      <c r="R4" s="34"/>
      <c r="S4" s="34"/>
      <c r="T4" s="34"/>
    </row>
    <row r="5" spans="1:20" x14ac:dyDescent="0.2">
      <c r="A5" s="75" t="s">
        <v>10</v>
      </c>
      <c r="B5" s="56"/>
      <c r="C5" s="76"/>
      <c r="D5" s="77" t="e">
        <f t="shared" ref="D5:D32" si="0">SUM(E5:P5)/C5*100%</f>
        <v>#DIV/0!</v>
      </c>
      <c r="E5" s="78"/>
      <c r="F5" s="78"/>
      <c r="G5" s="78"/>
      <c r="H5" s="78"/>
      <c r="I5" s="78"/>
      <c r="J5" s="95"/>
      <c r="K5" s="78"/>
      <c r="L5" s="78"/>
      <c r="M5" s="73"/>
      <c r="N5" s="73"/>
      <c r="O5" s="73"/>
      <c r="P5" s="74"/>
      <c r="Q5" s="78">
        <f t="shared" ref="Q5:Q16" si="1">SUM(E5:P5)</f>
        <v>0</v>
      </c>
      <c r="R5" s="34"/>
      <c r="S5" s="34"/>
      <c r="T5" s="34"/>
    </row>
    <row r="6" spans="1:20" x14ac:dyDescent="0.2">
      <c r="A6" s="75" t="s">
        <v>11</v>
      </c>
      <c r="B6" s="56"/>
      <c r="C6" s="76"/>
      <c r="D6" s="77" t="e">
        <f t="shared" si="0"/>
        <v>#DIV/0!</v>
      </c>
      <c r="E6" s="78"/>
      <c r="F6" s="78"/>
      <c r="G6" s="78"/>
      <c r="H6" s="78"/>
      <c r="I6" s="78"/>
      <c r="J6" s="95"/>
      <c r="K6" s="78"/>
      <c r="L6" s="78"/>
      <c r="M6" s="73"/>
      <c r="N6" s="73"/>
      <c r="O6" s="73"/>
      <c r="P6" s="74"/>
      <c r="Q6" s="78">
        <f t="shared" si="1"/>
        <v>0</v>
      </c>
      <c r="R6" s="34"/>
      <c r="S6" s="34"/>
      <c r="T6" s="34"/>
    </row>
    <row r="7" spans="1:20" x14ac:dyDescent="0.2">
      <c r="A7" s="75" t="s">
        <v>12</v>
      </c>
      <c r="B7" s="56"/>
      <c r="C7" s="76"/>
      <c r="D7" s="77" t="e">
        <f t="shared" si="0"/>
        <v>#DIV/0!</v>
      </c>
      <c r="E7" s="78"/>
      <c r="F7" s="78"/>
      <c r="G7" s="78"/>
      <c r="H7" s="78"/>
      <c r="I7" s="78"/>
      <c r="J7" s="95"/>
      <c r="K7" s="78"/>
      <c r="L7" s="78"/>
      <c r="M7" s="73"/>
      <c r="N7" s="73"/>
      <c r="O7" s="73"/>
      <c r="P7" s="74"/>
      <c r="Q7" s="78">
        <f t="shared" si="1"/>
        <v>0</v>
      </c>
      <c r="R7" s="34"/>
      <c r="S7" s="34"/>
      <c r="T7" s="34"/>
    </row>
    <row r="8" spans="1:20" x14ac:dyDescent="0.2">
      <c r="A8" s="75" t="s">
        <v>13</v>
      </c>
      <c r="B8" s="56"/>
      <c r="C8" s="76"/>
      <c r="D8" s="77" t="e">
        <f t="shared" si="0"/>
        <v>#DIV/0!</v>
      </c>
      <c r="E8" s="78"/>
      <c r="F8" s="78"/>
      <c r="G8" s="78"/>
      <c r="H8" s="78"/>
      <c r="I8" s="78"/>
      <c r="J8" s="95"/>
      <c r="K8" s="78"/>
      <c r="L8" s="78"/>
      <c r="M8" s="73"/>
      <c r="N8" s="73"/>
      <c r="O8" s="73"/>
      <c r="P8" s="74"/>
      <c r="Q8" s="78">
        <f t="shared" si="1"/>
        <v>0</v>
      </c>
      <c r="R8" s="34"/>
      <c r="S8" s="34"/>
      <c r="T8" s="34"/>
    </row>
    <row r="9" spans="1:20" x14ac:dyDescent="0.2">
      <c r="A9" s="75" t="s">
        <v>14</v>
      </c>
      <c r="B9" s="56"/>
      <c r="C9" s="76"/>
      <c r="D9" s="77" t="e">
        <f t="shared" si="0"/>
        <v>#DIV/0!</v>
      </c>
      <c r="E9" s="78"/>
      <c r="F9" s="78"/>
      <c r="G9" s="78"/>
      <c r="H9" s="78"/>
      <c r="I9" s="78"/>
      <c r="J9" s="95"/>
      <c r="K9" s="78"/>
      <c r="L9" s="78"/>
      <c r="M9" s="73"/>
      <c r="N9" s="73"/>
      <c r="O9" s="73"/>
      <c r="P9" s="74"/>
      <c r="Q9" s="78">
        <f t="shared" si="1"/>
        <v>0</v>
      </c>
      <c r="R9" s="34"/>
      <c r="S9" s="34"/>
      <c r="T9" s="34"/>
    </row>
    <row r="10" spans="1:20" x14ac:dyDescent="0.2">
      <c r="A10" s="75" t="s">
        <v>15</v>
      </c>
      <c r="B10" s="56"/>
      <c r="C10" s="76"/>
      <c r="D10" s="77" t="e">
        <f t="shared" si="0"/>
        <v>#DIV/0!</v>
      </c>
      <c r="E10" s="78"/>
      <c r="F10" s="78"/>
      <c r="G10" s="78"/>
      <c r="H10" s="78"/>
      <c r="I10" s="78"/>
      <c r="J10" s="95"/>
      <c r="K10" s="78"/>
      <c r="L10" s="78"/>
      <c r="M10" s="73"/>
      <c r="N10" s="73"/>
      <c r="O10" s="73"/>
      <c r="P10" s="74"/>
      <c r="Q10" s="78">
        <f t="shared" si="1"/>
        <v>0</v>
      </c>
      <c r="R10" s="34"/>
      <c r="S10" s="34"/>
      <c r="T10" s="34"/>
    </row>
    <row r="11" spans="1:20" x14ac:dyDescent="0.2">
      <c r="A11" s="75" t="s">
        <v>16</v>
      </c>
      <c r="B11" s="56"/>
      <c r="C11" s="76"/>
      <c r="D11" s="77" t="e">
        <f t="shared" si="0"/>
        <v>#DIV/0!</v>
      </c>
      <c r="E11" s="78"/>
      <c r="F11" s="78"/>
      <c r="G11" s="78"/>
      <c r="H11" s="78"/>
      <c r="I11" s="78"/>
      <c r="J11" s="95"/>
      <c r="K11" s="78"/>
      <c r="L11" s="78"/>
      <c r="M11" s="73"/>
      <c r="N11" s="73"/>
      <c r="O11" s="73"/>
      <c r="P11" s="74"/>
      <c r="Q11" s="78">
        <f t="shared" si="1"/>
        <v>0</v>
      </c>
      <c r="R11" s="34"/>
      <c r="S11" s="34"/>
      <c r="T11" s="34"/>
    </row>
    <row r="12" spans="1:20" x14ac:dyDescent="0.2">
      <c r="A12" s="75" t="s">
        <v>17</v>
      </c>
      <c r="B12" s="56"/>
      <c r="C12" s="76"/>
      <c r="D12" s="77" t="e">
        <f t="shared" si="0"/>
        <v>#DIV/0!</v>
      </c>
      <c r="E12" s="78"/>
      <c r="F12" s="78"/>
      <c r="G12" s="78"/>
      <c r="H12" s="78"/>
      <c r="I12" s="78"/>
      <c r="J12" s="95"/>
      <c r="K12" s="78"/>
      <c r="L12" s="78"/>
      <c r="M12" s="73"/>
      <c r="N12" s="73"/>
      <c r="O12" s="73"/>
      <c r="P12" s="74"/>
      <c r="Q12" s="78">
        <f t="shared" si="1"/>
        <v>0</v>
      </c>
      <c r="R12" s="34"/>
      <c r="S12" s="34"/>
      <c r="T12" s="34"/>
    </row>
    <row r="13" spans="1:20" x14ac:dyDescent="0.2">
      <c r="A13" s="75" t="s">
        <v>18</v>
      </c>
      <c r="B13" s="56"/>
      <c r="C13" s="76"/>
      <c r="D13" s="77" t="e">
        <f t="shared" si="0"/>
        <v>#DIV/0!</v>
      </c>
      <c r="E13" s="78"/>
      <c r="F13" s="78"/>
      <c r="G13" s="78"/>
      <c r="H13" s="78"/>
      <c r="I13" s="78"/>
      <c r="J13" s="95"/>
      <c r="K13" s="78"/>
      <c r="L13" s="78"/>
      <c r="M13" s="73"/>
      <c r="N13" s="73"/>
      <c r="O13" s="73"/>
      <c r="P13" s="74"/>
      <c r="Q13" s="78">
        <f t="shared" si="1"/>
        <v>0</v>
      </c>
      <c r="R13" s="34"/>
      <c r="S13" s="34"/>
      <c r="T13" s="34"/>
    </row>
    <row r="14" spans="1:20" x14ac:dyDescent="0.2">
      <c r="A14" s="75" t="s">
        <v>19</v>
      </c>
      <c r="B14" s="56"/>
      <c r="C14" s="76"/>
      <c r="D14" s="77" t="e">
        <f t="shared" si="0"/>
        <v>#DIV/0!</v>
      </c>
      <c r="E14" s="78"/>
      <c r="F14" s="78"/>
      <c r="G14" s="78"/>
      <c r="H14" s="78"/>
      <c r="I14" s="78"/>
      <c r="J14" s="95"/>
      <c r="K14" s="78"/>
      <c r="L14" s="78"/>
      <c r="M14" s="73"/>
      <c r="N14" s="73"/>
      <c r="O14" s="73"/>
      <c r="P14" s="74"/>
      <c r="Q14" s="78">
        <f t="shared" si="1"/>
        <v>0</v>
      </c>
      <c r="R14" s="34"/>
      <c r="S14" s="34"/>
      <c r="T14" s="34"/>
    </row>
    <row r="15" spans="1:20" x14ac:dyDescent="0.2">
      <c r="A15" s="75" t="s">
        <v>20</v>
      </c>
      <c r="B15" s="56"/>
      <c r="C15" s="76"/>
      <c r="D15" s="77" t="e">
        <f t="shared" si="0"/>
        <v>#DIV/0!</v>
      </c>
      <c r="E15" s="78"/>
      <c r="F15" s="78"/>
      <c r="G15" s="78"/>
      <c r="H15" s="78"/>
      <c r="I15" s="78"/>
      <c r="J15" s="95"/>
      <c r="K15" s="78"/>
      <c r="L15" s="78"/>
      <c r="M15" s="73"/>
      <c r="N15" s="73"/>
      <c r="O15" s="73"/>
      <c r="P15" s="74"/>
      <c r="Q15" s="78">
        <f t="shared" si="1"/>
        <v>0</v>
      </c>
      <c r="R15" s="34"/>
      <c r="S15" s="34"/>
      <c r="T15" s="34"/>
    </row>
    <row r="16" spans="1:20" x14ac:dyDescent="0.2">
      <c r="A16" s="75" t="s">
        <v>21</v>
      </c>
      <c r="B16" s="56"/>
      <c r="C16" s="76"/>
      <c r="D16" s="77" t="e">
        <f t="shared" si="0"/>
        <v>#DIV/0!</v>
      </c>
      <c r="E16" s="78"/>
      <c r="F16" s="78"/>
      <c r="G16" s="78"/>
      <c r="H16" s="78"/>
      <c r="I16" s="78"/>
      <c r="J16" s="95"/>
      <c r="K16" s="78"/>
      <c r="L16" s="78"/>
      <c r="M16" s="73"/>
      <c r="N16" s="73"/>
      <c r="O16" s="73"/>
      <c r="P16" s="74"/>
      <c r="Q16" s="78">
        <f t="shared" si="1"/>
        <v>0</v>
      </c>
      <c r="R16" s="34"/>
      <c r="S16" s="34"/>
      <c r="T16" s="34"/>
    </row>
    <row r="17" spans="1:20" x14ac:dyDescent="0.2">
      <c r="A17" s="75" t="s">
        <v>35</v>
      </c>
      <c r="B17" s="56"/>
      <c r="C17" s="76"/>
      <c r="D17" s="77"/>
      <c r="E17" s="78"/>
      <c r="F17" s="78"/>
      <c r="G17" s="78"/>
      <c r="H17" s="78"/>
      <c r="I17" s="78"/>
      <c r="J17" s="95"/>
      <c r="K17" s="78"/>
      <c r="L17" s="78"/>
      <c r="M17" s="73"/>
      <c r="N17" s="73"/>
      <c r="O17" s="73"/>
      <c r="P17" s="74"/>
      <c r="Q17" s="78"/>
      <c r="R17" s="34"/>
      <c r="S17" s="34"/>
      <c r="T17" s="34"/>
    </row>
    <row r="18" spans="1:20" x14ac:dyDescent="0.2">
      <c r="A18" s="75" t="s">
        <v>36</v>
      </c>
      <c r="B18" s="56"/>
      <c r="C18" s="76"/>
      <c r="D18" s="77"/>
      <c r="E18" s="78"/>
      <c r="F18" s="78"/>
      <c r="G18" s="78"/>
      <c r="H18" s="78"/>
      <c r="I18" s="78"/>
      <c r="J18" s="95"/>
      <c r="K18" s="78"/>
      <c r="L18" s="78"/>
      <c r="M18" s="73"/>
      <c r="N18" s="73"/>
      <c r="O18" s="73"/>
      <c r="P18" s="74"/>
      <c r="Q18" s="78"/>
      <c r="R18" s="34"/>
      <c r="S18" s="34"/>
      <c r="T18" s="34"/>
    </row>
    <row r="19" spans="1:20" ht="13.5" thickBot="1" x14ac:dyDescent="0.25">
      <c r="A19" s="79"/>
      <c r="B19" s="80" t="s">
        <v>24</v>
      </c>
      <c r="C19" s="81">
        <f>SUM(C4:C16)</f>
        <v>10000</v>
      </c>
      <c r="D19" s="82">
        <f t="shared" si="0"/>
        <v>1</v>
      </c>
      <c r="E19" s="83">
        <f t="shared" ref="E19:Q19" si="2">SUM(E4:E16)</f>
        <v>1250</v>
      </c>
      <c r="F19" s="83">
        <f t="shared" si="2"/>
        <v>1500</v>
      </c>
      <c r="G19" s="83">
        <f t="shared" si="2"/>
        <v>3000</v>
      </c>
      <c r="H19" s="83">
        <f t="shared" si="2"/>
        <v>4250</v>
      </c>
      <c r="I19" s="83">
        <f t="shared" si="2"/>
        <v>0</v>
      </c>
      <c r="J19" s="96">
        <f t="shared" si="2"/>
        <v>0</v>
      </c>
      <c r="K19" s="83">
        <f t="shared" si="2"/>
        <v>0</v>
      </c>
      <c r="L19" s="83">
        <f t="shared" si="2"/>
        <v>0</v>
      </c>
      <c r="M19" s="83">
        <f t="shared" si="2"/>
        <v>0</v>
      </c>
      <c r="N19" s="83">
        <f t="shared" si="2"/>
        <v>0</v>
      </c>
      <c r="O19" s="83">
        <f t="shared" si="2"/>
        <v>0</v>
      </c>
      <c r="P19" s="83">
        <f t="shared" si="2"/>
        <v>0</v>
      </c>
      <c r="Q19" s="83">
        <f t="shared" si="2"/>
        <v>10000</v>
      </c>
      <c r="R19" s="34"/>
      <c r="S19" s="34"/>
      <c r="T19" s="34"/>
    </row>
    <row r="20" spans="1:20" x14ac:dyDescent="0.2">
      <c r="A20" s="75" t="s">
        <v>22</v>
      </c>
      <c r="B20" s="84" t="s">
        <v>23</v>
      </c>
      <c r="C20" s="76"/>
      <c r="D20" s="77"/>
      <c r="E20" s="78"/>
      <c r="F20" s="78"/>
      <c r="G20" s="78"/>
      <c r="H20" s="78"/>
      <c r="I20" s="78"/>
      <c r="J20" s="95"/>
      <c r="K20" s="78"/>
      <c r="L20" s="78"/>
      <c r="M20" s="73"/>
      <c r="N20" s="73"/>
      <c r="O20" s="73"/>
      <c r="P20" s="74"/>
      <c r="Q20" s="78"/>
      <c r="R20" s="34"/>
      <c r="S20" s="34"/>
      <c r="T20" s="34"/>
    </row>
    <row r="21" spans="1:20" x14ac:dyDescent="0.2">
      <c r="A21" s="75">
        <v>1</v>
      </c>
      <c r="B21" s="56" t="s">
        <v>38</v>
      </c>
      <c r="C21" s="76">
        <v>750</v>
      </c>
      <c r="D21" s="77">
        <f t="shared" si="0"/>
        <v>1</v>
      </c>
      <c r="E21" s="78"/>
      <c r="F21" s="78">
        <v>750</v>
      </c>
      <c r="G21" s="78"/>
      <c r="H21" s="78"/>
      <c r="I21" s="78"/>
      <c r="J21" s="95"/>
      <c r="K21" s="78"/>
      <c r="L21" s="78"/>
      <c r="M21" s="73"/>
      <c r="N21" s="73"/>
      <c r="O21" s="73"/>
      <c r="P21" s="74"/>
      <c r="Q21" s="78">
        <f>SUM(E21:P21)</f>
        <v>750</v>
      </c>
      <c r="R21" s="34"/>
      <c r="S21" s="34"/>
      <c r="T21" s="54"/>
    </row>
    <row r="22" spans="1:20" x14ac:dyDescent="0.2">
      <c r="A22" s="75">
        <v>2</v>
      </c>
      <c r="B22" s="56" t="s">
        <v>39</v>
      </c>
      <c r="C22" s="76">
        <v>-450</v>
      </c>
      <c r="D22" s="77">
        <f t="shared" si="0"/>
        <v>1</v>
      </c>
      <c r="E22" s="78"/>
      <c r="F22" s="78"/>
      <c r="G22" s="78"/>
      <c r="H22" s="78">
        <v>-450</v>
      </c>
      <c r="I22" s="78"/>
      <c r="J22" s="95"/>
      <c r="K22" s="78"/>
      <c r="L22" s="78"/>
      <c r="M22" s="73"/>
      <c r="N22" s="73"/>
      <c r="O22" s="73"/>
      <c r="P22" s="74"/>
      <c r="Q22" s="78">
        <f t="shared" ref="Q22:Q29" si="3">SUM(E22:P22)</f>
        <v>-450</v>
      </c>
      <c r="R22" s="34"/>
      <c r="S22" s="34"/>
      <c r="T22" s="54"/>
    </row>
    <row r="23" spans="1:20" x14ac:dyDescent="0.2">
      <c r="A23" s="75">
        <v>3</v>
      </c>
      <c r="B23" s="56"/>
      <c r="C23" s="76"/>
      <c r="D23" s="77" t="e">
        <f t="shared" si="0"/>
        <v>#DIV/0!</v>
      </c>
      <c r="E23" s="78"/>
      <c r="F23" s="78"/>
      <c r="G23" s="78"/>
      <c r="H23" s="78"/>
      <c r="I23" s="78"/>
      <c r="J23" s="95"/>
      <c r="K23" s="78"/>
      <c r="L23" s="78"/>
      <c r="M23" s="73"/>
      <c r="N23" s="73"/>
      <c r="O23" s="73"/>
      <c r="P23" s="74"/>
      <c r="Q23" s="78">
        <f t="shared" si="3"/>
        <v>0</v>
      </c>
      <c r="R23" s="34"/>
      <c r="S23" s="34"/>
      <c r="T23" s="54"/>
    </row>
    <row r="24" spans="1:20" x14ac:dyDescent="0.2">
      <c r="A24" s="75">
        <v>4</v>
      </c>
      <c r="B24" s="56"/>
      <c r="C24" s="76"/>
      <c r="D24" s="77" t="e">
        <f t="shared" si="0"/>
        <v>#DIV/0!</v>
      </c>
      <c r="E24" s="78"/>
      <c r="F24" s="78"/>
      <c r="G24" s="78"/>
      <c r="H24" s="78"/>
      <c r="I24" s="78"/>
      <c r="J24" s="95"/>
      <c r="K24" s="78"/>
      <c r="L24" s="78"/>
      <c r="M24" s="73"/>
      <c r="N24" s="73"/>
      <c r="O24" s="73"/>
      <c r="P24" s="74"/>
      <c r="Q24" s="78">
        <f t="shared" si="3"/>
        <v>0</v>
      </c>
      <c r="R24" s="34"/>
      <c r="S24" s="34"/>
      <c r="T24" s="54"/>
    </row>
    <row r="25" spans="1:20" x14ac:dyDescent="0.2">
      <c r="A25" s="75">
        <v>5</v>
      </c>
      <c r="B25" s="56"/>
      <c r="C25" s="76"/>
      <c r="D25" s="77" t="e">
        <f t="shared" si="0"/>
        <v>#DIV/0!</v>
      </c>
      <c r="E25" s="78"/>
      <c r="F25" s="78"/>
      <c r="G25" s="78"/>
      <c r="H25" s="78"/>
      <c r="I25" s="78"/>
      <c r="J25" s="95"/>
      <c r="K25" s="78"/>
      <c r="L25" s="78"/>
      <c r="M25" s="73"/>
      <c r="N25" s="73"/>
      <c r="O25" s="73"/>
      <c r="P25" s="74"/>
      <c r="Q25" s="78">
        <f t="shared" si="3"/>
        <v>0</v>
      </c>
      <c r="R25" s="34"/>
      <c r="S25" s="34"/>
      <c r="T25" s="54"/>
    </row>
    <row r="26" spans="1:20" x14ac:dyDescent="0.2">
      <c r="A26" s="75">
        <v>6</v>
      </c>
      <c r="B26" s="56"/>
      <c r="C26" s="76"/>
      <c r="D26" s="77" t="e">
        <f t="shared" si="0"/>
        <v>#DIV/0!</v>
      </c>
      <c r="E26" s="78"/>
      <c r="F26" s="78"/>
      <c r="G26" s="78"/>
      <c r="H26" s="78"/>
      <c r="I26" s="78"/>
      <c r="J26" s="95"/>
      <c r="K26" s="78"/>
      <c r="L26" s="78"/>
      <c r="M26" s="73"/>
      <c r="N26" s="73"/>
      <c r="O26" s="73"/>
      <c r="P26" s="74"/>
      <c r="Q26" s="78">
        <f t="shared" si="3"/>
        <v>0</v>
      </c>
      <c r="R26" s="34"/>
      <c r="S26" s="34"/>
      <c r="T26" s="54"/>
    </row>
    <row r="27" spans="1:20" x14ac:dyDescent="0.2">
      <c r="A27" s="75">
        <v>7</v>
      </c>
      <c r="B27" s="56"/>
      <c r="C27" s="76"/>
      <c r="D27" s="77" t="e">
        <f t="shared" si="0"/>
        <v>#DIV/0!</v>
      </c>
      <c r="E27" s="78"/>
      <c r="F27" s="78"/>
      <c r="G27" s="78"/>
      <c r="H27" s="78"/>
      <c r="I27" s="78"/>
      <c r="J27" s="95"/>
      <c r="K27" s="78"/>
      <c r="L27" s="78"/>
      <c r="M27" s="73"/>
      <c r="N27" s="73"/>
      <c r="O27" s="73"/>
      <c r="P27" s="74"/>
      <c r="Q27" s="78">
        <f t="shared" si="3"/>
        <v>0</v>
      </c>
      <c r="R27" s="34"/>
      <c r="S27" s="34"/>
      <c r="T27" s="54"/>
    </row>
    <row r="28" spans="1:20" x14ac:dyDescent="0.2">
      <c r="A28" s="75">
        <v>8</v>
      </c>
      <c r="B28" s="56"/>
      <c r="C28" s="76"/>
      <c r="D28" s="77" t="e">
        <f t="shared" si="0"/>
        <v>#DIV/0!</v>
      </c>
      <c r="E28" s="78"/>
      <c r="F28" s="78"/>
      <c r="G28" s="78"/>
      <c r="H28" s="78"/>
      <c r="I28" s="78"/>
      <c r="J28" s="95"/>
      <c r="K28" s="78"/>
      <c r="L28" s="78"/>
      <c r="M28" s="73"/>
      <c r="N28" s="73"/>
      <c r="O28" s="73"/>
      <c r="P28" s="74"/>
      <c r="Q28" s="78">
        <f t="shared" si="3"/>
        <v>0</v>
      </c>
      <c r="R28" s="34"/>
      <c r="S28" s="34"/>
      <c r="T28" s="54"/>
    </row>
    <row r="29" spans="1:20" ht="13.5" thickBot="1" x14ac:dyDescent="0.25">
      <c r="A29" s="79">
        <v>9</v>
      </c>
      <c r="B29" s="80"/>
      <c r="C29" s="81"/>
      <c r="D29" s="82" t="e">
        <f t="shared" si="0"/>
        <v>#DIV/0!</v>
      </c>
      <c r="E29" s="83"/>
      <c r="F29" s="83"/>
      <c r="G29" s="83"/>
      <c r="H29" s="83"/>
      <c r="I29" s="83"/>
      <c r="J29" s="96"/>
      <c r="K29" s="83"/>
      <c r="L29" s="83"/>
      <c r="M29" s="83"/>
      <c r="N29" s="83"/>
      <c r="O29" s="83"/>
      <c r="P29" s="85"/>
      <c r="Q29" s="86">
        <f t="shared" si="3"/>
        <v>0</v>
      </c>
      <c r="R29" s="34"/>
      <c r="S29" s="34"/>
      <c r="T29" s="54"/>
    </row>
    <row r="30" spans="1:20" x14ac:dyDescent="0.2">
      <c r="A30" s="75"/>
      <c r="B30" s="56" t="s">
        <v>25</v>
      </c>
      <c r="C30" s="76">
        <f>SUM(C19:C29)</f>
        <v>10300</v>
      </c>
      <c r="D30" s="77">
        <f t="shared" si="0"/>
        <v>1</v>
      </c>
      <c r="E30" s="78">
        <f t="shared" ref="E30:M30" si="4">SUM(E19:E29)</f>
        <v>1250</v>
      </c>
      <c r="F30" s="78">
        <f t="shared" si="4"/>
        <v>2250</v>
      </c>
      <c r="G30" s="78">
        <f t="shared" si="4"/>
        <v>3000</v>
      </c>
      <c r="H30" s="78">
        <f t="shared" si="4"/>
        <v>3800</v>
      </c>
      <c r="I30" s="78">
        <f t="shared" si="4"/>
        <v>0</v>
      </c>
      <c r="J30" s="95">
        <f t="shared" si="4"/>
        <v>0</v>
      </c>
      <c r="K30" s="78">
        <f t="shared" si="4"/>
        <v>0</v>
      </c>
      <c r="L30" s="78">
        <f t="shared" si="4"/>
        <v>0</v>
      </c>
      <c r="M30" s="73">
        <f t="shared" si="4"/>
        <v>0</v>
      </c>
      <c r="N30" s="73">
        <f>SUM(N19:N29)</f>
        <v>0</v>
      </c>
      <c r="O30" s="73">
        <f>SUM(O19:O29)</f>
        <v>0</v>
      </c>
      <c r="P30" s="73">
        <f>SUM(P19:P29)</f>
        <v>0</v>
      </c>
      <c r="Q30" s="78">
        <f>SUM(E30:P30)</f>
        <v>10300</v>
      </c>
      <c r="R30" s="34"/>
      <c r="S30" s="34"/>
      <c r="T30" s="54"/>
    </row>
    <row r="31" spans="1:20" x14ac:dyDescent="0.2">
      <c r="A31" s="75"/>
      <c r="B31" s="56" t="s">
        <v>43</v>
      </c>
      <c r="C31" s="76">
        <f>SUM(C30)*5%/1.096</f>
        <v>469.89051094890505</v>
      </c>
      <c r="D31" s="77">
        <f t="shared" si="0"/>
        <v>1.0873786407916044E-6</v>
      </c>
      <c r="E31" s="78">
        <f>SUM(E30)*5%/1.096</f>
        <v>57.025547445255469</v>
      </c>
      <c r="F31" s="78">
        <f t="shared" ref="F31:P31" si="5">SUM(F30)*5%/1.096</f>
        <v>102.64598540145984</v>
      </c>
      <c r="G31" s="78">
        <f t="shared" si="5"/>
        <v>136.86131386861314</v>
      </c>
      <c r="H31" s="78">
        <f t="shared" si="5"/>
        <v>173.35766423357663</v>
      </c>
      <c r="I31" s="78">
        <f t="shared" si="5"/>
        <v>0</v>
      </c>
      <c r="J31" s="78">
        <v>-469.89</v>
      </c>
      <c r="K31" s="78">
        <f t="shared" si="5"/>
        <v>0</v>
      </c>
      <c r="L31" s="78">
        <f t="shared" si="5"/>
        <v>0</v>
      </c>
      <c r="M31" s="78">
        <f t="shared" si="5"/>
        <v>0</v>
      </c>
      <c r="N31" s="78">
        <f t="shared" si="5"/>
        <v>0</v>
      </c>
      <c r="O31" s="78">
        <f t="shared" si="5"/>
        <v>0</v>
      </c>
      <c r="P31" s="78">
        <f t="shared" si="5"/>
        <v>0</v>
      </c>
      <c r="Q31" s="78">
        <f>SUM(E31:P31)</f>
        <v>5.1094890511649282E-4</v>
      </c>
      <c r="R31" s="34"/>
      <c r="S31" s="34"/>
      <c r="T31" s="54"/>
    </row>
    <row r="32" spans="1:20" x14ac:dyDescent="0.2">
      <c r="A32" s="75"/>
      <c r="B32" s="56" t="s">
        <v>26</v>
      </c>
      <c r="C32" s="76">
        <f>SUM(C30-C31)</f>
        <v>9830.1094890510958</v>
      </c>
      <c r="D32" s="77">
        <f t="shared" si="0"/>
        <v>1.0478010952495866</v>
      </c>
      <c r="E32" s="78">
        <f t="shared" ref="E32:M32" si="6">SUM(E30-E31)</f>
        <v>1192.9744525547446</v>
      </c>
      <c r="F32" s="78">
        <f t="shared" si="6"/>
        <v>2147.3540145985403</v>
      </c>
      <c r="G32" s="78">
        <f t="shared" si="6"/>
        <v>2863.1386861313867</v>
      </c>
      <c r="H32" s="78">
        <f t="shared" si="6"/>
        <v>3626.6423357664235</v>
      </c>
      <c r="I32" s="78">
        <f t="shared" si="6"/>
        <v>0</v>
      </c>
      <c r="J32" s="95">
        <f t="shared" si="6"/>
        <v>469.89</v>
      </c>
      <c r="K32" s="78">
        <f t="shared" si="6"/>
        <v>0</v>
      </c>
      <c r="L32" s="78">
        <f t="shared" si="6"/>
        <v>0</v>
      </c>
      <c r="M32" s="73">
        <f t="shared" si="6"/>
        <v>0</v>
      </c>
      <c r="N32" s="73">
        <f>SUM(N30-N31)</f>
        <v>0</v>
      </c>
      <c r="O32" s="73">
        <f>SUM(O30-O31)</f>
        <v>0</v>
      </c>
      <c r="P32" s="73">
        <f>SUM(P30-P31)</f>
        <v>0</v>
      </c>
      <c r="Q32" s="78">
        <f>SUM(E32:P32)</f>
        <v>10299.999489051093</v>
      </c>
      <c r="R32" s="34"/>
      <c r="S32" s="34"/>
      <c r="T32" s="54"/>
    </row>
    <row r="33" spans="1:20" ht="13.5" thickBot="1" x14ac:dyDescent="0.25">
      <c r="A33" s="87"/>
      <c r="B33" s="88" t="s">
        <v>37</v>
      </c>
      <c r="C33" s="89">
        <f>SUM(C32)</f>
        <v>9830.1094890510958</v>
      </c>
      <c r="D33" s="90">
        <f>SUM(D32)</f>
        <v>1.0478010952495866</v>
      </c>
      <c r="E33" s="89">
        <f t="shared" ref="E33:O33" si="7">SUM(E32)</f>
        <v>1192.9744525547446</v>
      </c>
      <c r="F33" s="89">
        <f t="shared" si="7"/>
        <v>2147.3540145985403</v>
      </c>
      <c r="G33" s="89">
        <f t="shared" si="7"/>
        <v>2863.1386861313867</v>
      </c>
      <c r="H33" s="89">
        <f t="shared" si="7"/>
        <v>3626.6423357664235</v>
      </c>
      <c r="I33" s="89">
        <f t="shared" si="7"/>
        <v>0</v>
      </c>
      <c r="J33" s="97">
        <f t="shared" si="7"/>
        <v>469.89</v>
      </c>
      <c r="K33" s="89">
        <f t="shared" si="7"/>
        <v>0</v>
      </c>
      <c r="L33" s="89">
        <f t="shared" si="7"/>
        <v>0</v>
      </c>
      <c r="M33" s="89">
        <f t="shared" si="7"/>
        <v>0</v>
      </c>
      <c r="N33" s="89">
        <f t="shared" si="7"/>
        <v>0</v>
      </c>
      <c r="O33" s="89">
        <f t="shared" si="7"/>
        <v>0</v>
      </c>
      <c r="P33" s="89">
        <f>SUM(P32)</f>
        <v>0</v>
      </c>
      <c r="Q33" s="89">
        <f>SUM(E33:P33)</f>
        <v>10299.999489051093</v>
      </c>
      <c r="R33" s="55"/>
      <c r="S33" s="55"/>
      <c r="T33" s="54"/>
    </row>
    <row r="34" spans="1:20" ht="13.5" thickTop="1" x14ac:dyDescent="0.2"/>
  </sheetData>
  <phoneticPr fontId="0" type="noConversion"/>
  <pageMargins left="7.0000000000000007E-2" right="0.12" top="1" bottom="1" header="0.5" footer="0.5"/>
  <pageSetup orientation="landscape" horizontalDpi="4294967293" r:id="rId1"/>
  <headerFooter alignWithMargins="0">
    <oddHeader>&amp;LPAY APPLICATION
&amp;CMerrill Gardens at Ballard, LLC
5601 24th Ave NW
Seattle WA 98107&amp;RSUBCONTRACTOR NAME</oddHeader>
    <oddFooter>&amp;LPREPARED BY:&amp;C&amp;D&amp;R&amp;P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PAY APPLICATION</vt:lpstr>
      <vt:lpstr>use to fax</vt:lpstr>
      <vt:lpstr>EXAMPLE</vt:lpstr>
      <vt:lpstr>Sheet3</vt:lpstr>
      <vt:lpstr>EXAMPLE!Print_Area</vt:lpstr>
      <vt:lpstr>'PAY APPLICATION'!Print_Area</vt:lpstr>
      <vt:lpstr>'use to fax'!Print_Area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S. Barker</dc:creator>
  <cp:lastModifiedBy>Brett Mortimore</cp:lastModifiedBy>
  <cp:lastPrinted>2012-06-06T16:22:38Z</cp:lastPrinted>
  <dcterms:created xsi:type="dcterms:W3CDTF">2002-06-20T02:04:06Z</dcterms:created>
  <dcterms:modified xsi:type="dcterms:W3CDTF">2015-04-22T20:41:55Z</dcterms:modified>
</cp:coreProperties>
</file>