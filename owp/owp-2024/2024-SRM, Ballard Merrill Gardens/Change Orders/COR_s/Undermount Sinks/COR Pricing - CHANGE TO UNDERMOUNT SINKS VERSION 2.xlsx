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4-SRM, Ballard Merrill Gardens\Change Orders\COR's\Undermount Sinks\"/>
    </mc:Choice>
  </mc:AlternateContent>
  <bookViews>
    <workbookView xWindow="0" yWindow="0" windowWidth="28800" windowHeight="13020"/>
  </bookViews>
  <sheets>
    <sheet name="Sheet1" sheetId="1" r:id="rId1"/>
  </sheets>
  <definedNames>
    <definedName name="_xlnm.Print_Area" localSheetId="0">Sheet1!$A$1:$F$22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D12" i="1"/>
  <c r="F12" i="1" s="1"/>
  <c r="D11" i="1"/>
  <c r="D7" i="1"/>
  <c r="F7" i="1" s="1"/>
  <c r="G7" i="1" s="1"/>
  <c r="D6" i="1"/>
  <c r="D5" i="1"/>
  <c r="H7" i="1" l="1"/>
  <c r="G12" i="1"/>
  <c r="H12" i="1" s="1"/>
  <c r="F5" i="1" l="1"/>
  <c r="F6" i="1"/>
  <c r="G5" i="1" l="1"/>
  <c r="H5" i="1"/>
  <c r="G6" i="1"/>
  <c r="H6" i="1" s="1"/>
  <c r="F16" i="1"/>
  <c r="D20" i="1"/>
  <c r="G16" i="1" l="1"/>
  <c r="H16" i="1" s="1"/>
  <c r="F20" i="1" l="1"/>
  <c r="G20" i="1" l="1"/>
  <c r="H20" i="1" s="1"/>
  <c r="F11" i="1"/>
  <c r="G11" i="1" l="1"/>
  <c r="H11" i="1" s="1"/>
</calcChain>
</file>

<file path=xl/sharedStrings.xml><?xml version="1.0" encoding="utf-8"?>
<sst xmlns="http://schemas.openxmlformats.org/spreadsheetml/2006/main" count="32" uniqueCount="24">
  <si>
    <t>Base bid</t>
  </si>
  <si>
    <t>Unit Price</t>
  </si>
  <si>
    <t>Add each</t>
  </si>
  <si>
    <t>Subtotal</t>
  </si>
  <si>
    <t>Quan</t>
  </si>
  <si>
    <t>Total</t>
  </si>
  <si>
    <t>Alternate</t>
  </si>
  <si>
    <t>LAVATORY SINKS</t>
  </si>
  <si>
    <t>WESTERN POTTERY L172</t>
  </si>
  <si>
    <t>BASE BID</t>
  </si>
  <si>
    <t>KOHLER K-2210</t>
  </si>
  <si>
    <t>TOTO LT231</t>
  </si>
  <si>
    <t>TOTO LT579</t>
  </si>
  <si>
    <t>KITCHEN SINKS</t>
  </si>
  <si>
    <t>MOEN G221943</t>
  </si>
  <si>
    <t>MOEN G18191</t>
  </si>
  <si>
    <t>MOEN G18192</t>
  </si>
  <si>
    <t>ADA KITCHEN SINKS</t>
  </si>
  <si>
    <t>MOEN G221983</t>
  </si>
  <si>
    <t>MOEN G18195</t>
  </si>
  <si>
    <t>BAR SINKS</t>
  </si>
  <si>
    <t>ELKAY ELUHAD1414-5.5</t>
  </si>
  <si>
    <t>ELKAY PSR1720</t>
  </si>
  <si>
    <t>10% OH&amp;P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</si>
</sst>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1" fillId="2" borderId="1" xfId="0" applyNumberFormat="1" applyFont="1" applyFill="1" applyBorder="1"/>
    <xf numFmtId="165" fontId="1" fillId="0" borderId="1" xfId="0" applyNumberFormat="1" applyFont="1" applyBorder="1"/>
    <xf numFmtId="0" fontId="0" fillId="0" borderId="1" xfId="0" applyBorder="1" applyAlignment="1">
      <alignment wrapText="1"/>
    </xf>
    <xf numFmtId="165" fontId="1" fillId="0" borderId="1" xfId="0" applyNumberFormat="1" applyFont="1" applyFill="1" applyBorder="1"/>
    <xf numFmtId="165" fontId="0" fillId="0" borderId="1" xfId="0" applyNumberFormat="1" applyBorder="1"/>
    <xf numFmtId="0" fontId="2" fillId="0" borderId="1" xfId="0" applyFont="1" applyBorder="1" applyAlignment="1">
      <alignment wrapText="1"/>
    </xf>
    <xf numFmtId="164" fontId="0" fillId="0" borderId="1" xfId="0" applyNumberFormat="1" applyFill="1" applyBorder="1"/>
    <xf numFmtId="164" fontId="0" fillId="0" borderId="1" xfId="0" applyNumberFormat="1" applyBorder="1" applyAlignment="1">
      <alignment wrapText="1"/>
    </xf>
    <xf numFmtId="0" fontId="0" fillId="0" borderId="0" xfId="0" applyBorder="1"/>
    <xf numFmtId="165" fontId="0" fillId="0" borderId="1" xfId="0" applyNumberFormat="1" applyFont="1" applyFill="1" applyBorder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35"/>
  <sheetViews>
    <sheetView tabSelected="1" workbookViewId="0">
      <selection activeCell="K19" sqref="K19"/>
    </sheetView>
  </sheetViews>
  <sheetFormatPr defaultRowHeight="15" x14ac:dyDescent="0.25"/>
  <cols>
    <col min="1" max="1" width="12.42578125" customWidth="1"/>
    <col min="2" max="2" width="48.140625" customWidth="1"/>
    <col min="3" max="3" width="9" customWidth="1"/>
    <col min="4" max="4" width="8.28515625" customWidth="1"/>
    <col min="5" max="5" width="5.42578125" customWidth="1"/>
    <col min="6" max="6" width="8.7109375" customWidth="1"/>
    <col min="7" max="7" width="7.140625" customWidth="1"/>
    <col min="8" max="8" width="8.7109375" customWidth="1"/>
  </cols>
  <sheetData>
    <row r="2" spans="1:9" ht="35.25" customHeight="1" x14ac:dyDescent="0.25">
      <c r="A2" s="2"/>
      <c r="B2" s="10"/>
      <c r="C2" s="2" t="s">
        <v>1</v>
      </c>
      <c r="D2" s="7" t="s">
        <v>2</v>
      </c>
      <c r="E2" s="2" t="s">
        <v>4</v>
      </c>
      <c r="F2" s="3" t="s">
        <v>3</v>
      </c>
      <c r="G2" s="7" t="s">
        <v>23</v>
      </c>
      <c r="H2" s="3" t="s">
        <v>5</v>
      </c>
      <c r="I2" s="13"/>
    </row>
    <row r="3" spans="1:9" ht="15.75" x14ac:dyDescent="0.25">
      <c r="A3" s="7"/>
      <c r="B3" s="10" t="s">
        <v>7</v>
      </c>
      <c r="C3" s="2"/>
      <c r="D3" s="2"/>
      <c r="E3" s="2"/>
      <c r="F3" s="6"/>
      <c r="G3" s="9"/>
      <c r="H3" s="6"/>
    </row>
    <row r="4" spans="1:9" x14ac:dyDescent="0.25">
      <c r="A4" s="7" t="s">
        <v>9</v>
      </c>
      <c r="B4" s="7" t="s">
        <v>8</v>
      </c>
      <c r="C4" s="4">
        <v>17.239999999999998</v>
      </c>
      <c r="D4" s="2"/>
      <c r="E4" s="2"/>
      <c r="F4" s="3"/>
      <c r="G4" s="2"/>
      <c r="H4" s="3"/>
    </row>
    <row r="5" spans="1:9" x14ac:dyDescent="0.25">
      <c r="A5" s="7" t="s">
        <v>6</v>
      </c>
      <c r="B5" s="7" t="s">
        <v>10</v>
      </c>
      <c r="C5" s="4">
        <v>38.369999999999997</v>
      </c>
      <c r="D5" s="4">
        <f>C5-C4</f>
        <v>21.13</v>
      </c>
      <c r="E5" s="2">
        <v>116</v>
      </c>
      <c r="F5" s="14">
        <f t="shared" ref="F5" si="0">D5*E5</f>
        <v>2451.08</v>
      </c>
      <c r="G5" s="9">
        <f>F5*0.1</f>
        <v>245.108</v>
      </c>
      <c r="H5" s="5">
        <f>F5+G5</f>
        <v>2696.1880000000001</v>
      </c>
    </row>
    <row r="6" spans="1:9" x14ac:dyDescent="0.25">
      <c r="A6" s="7" t="s">
        <v>6</v>
      </c>
      <c r="B6" s="7" t="s">
        <v>11</v>
      </c>
      <c r="C6" s="4">
        <v>59</v>
      </c>
      <c r="D6" s="4">
        <f>C6-C4</f>
        <v>41.760000000000005</v>
      </c>
      <c r="E6" s="2">
        <v>116</v>
      </c>
      <c r="F6" s="14">
        <f t="shared" ref="F6:F7" si="1">D6*E6</f>
        <v>4844.1600000000008</v>
      </c>
      <c r="G6" s="9">
        <f t="shared" ref="G6:G7" si="2">F6*0.1</f>
        <v>484.41600000000011</v>
      </c>
      <c r="H6" s="5">
        <f t="shared" ref="H6:H20" si="3">F6+G6</f>
        <v>5328.5760000000009</v>
      </c>
    </row>
    <row r="7" spans="1:9" x14ac:dyDescent="0.25">
      <c r="A7" s="7" t="s">
        <v>6</v>
      </c>
      <c r="B7" s="7" t="s">
        <v>12</v>
      </c>
      <c r="C7" s="4">
        <v>74</v>
      </c>
      <c r="D7" s="4">
        <f>C7-C4</f>
        <v>56.760000000000005</v>
      </c>
      <c r="E7" s="2">
        <v>116</v>
      </c>
      <c r="F7" s="14">
        <f t="shared" si="1"/>
        <v>6584.1600000000008</v>
      </c>
      <c r="G7" s="9">
        <f t="shared" si="2"/>
        <v>658.41600000000017</v>
      </c>
      <c r="H7" s="5">
        <f t="shared" si="3"/>
        <v>7242.5760000000009</v>
      </c>
    </row>
    <row r="8" spans="1:9" x14ac:dyDescent="0.25">
      <c r="A8" s="7"/>
      <c r="B8" s="7"/>
      <c r="C8" s="4"/>
      <c r="D8" s="4"/>
      <c r="E8" s="2"/>
      <c r="F8" s="8"/>
      <c r="G8" s="9"/>
      <c r="H8" s="8"/>
    </row>
    <row r="9" spans="1:9" ht="15.75" x14ac:dyDescent="0.25">
      <c r="A9" s="7"/>
      <c r="B9" s="10" t="s">
        <v>13</v>
      </c>
      <c r="C9" s="2"/>
      <c r="D9" s="2"/>
      <c r="E9" s="2"/>
      <c r="F9" s="8"/>
      <c r="G9" s="9"/>
      <c r="H9" s="8"/>
    </row>
    <row r="10" spans="1:9" x14ac:dyDescent="0.25">
      <c r="A10" s="7" t="s">
        <v>0</v>
      </c>
      <c r="B10" s="7" t="s">
        <v>14</v>
      </c>
      <c r="C10" s="4">
        <v>49.67</v>
      </c>
      <c r="D10" s="2"/>
      <c r="E10" s="2"/>
      <c r="F10" s="8"/>
      <c r="G10" s="9"/>
      <c r="H10" s="8"/>
    </row>
    <row r="11" spans="1:9" x14ac:dyDescent="0.25">
      <c r="A11" s="7" t="s">
        <v>6</v>
      </c>
      <c r="B11" s="7" t="s">
        <v>15</v>
      </c>
      <c r="C11" s="12">
        <v>129.08000000000001</v>
      </c>
      <c r="D11" s="4">
        <f>C11-C10</f>
        <v>79.410000000000011</v>
      </c>
      <c r="E11" s="2">
        <v>62</v>
      </c>
      <c r="F11" s="14">
        <f>D11*E11</f>
        <v>4923.420000000001</v>
      </c>
      <c r="G11" s="9">
        <f>F11*0.1</f>
        <v>492.3420000000001</v>
      </c>
      <c r="H11" s="5">
        <f t="shared" si="3"/>
        <v>5415.7620000000006</v>
      </c>
    </row>
    <row r="12" spans="1:9" x14ac:dyDescent="0.25">
      <c r="A12" s="7" t="s">
        <v>6</v>
      </c>
      <c r="B12" s="7" t="s">
        <v>16</v>
      </c>
      <c r="C12" s="12">
        <v>121.85</v>
      </c>
      <c r="D12" s="4">
        <f>C12-C10</f>
        <v>72.179999999999993</v>
      </c>
      <c r="E12" s="2">
        <v>62</v>
      </c>
      <c r="F12" s="14">
        <f>D12*E12</f>
        <v>4475.16</v>
      </c>
      <c r="G12" s="9">
        <f>F12*0.1</f>
        <v>447.51600000000002</v>
      </c>
      <c r="H12" s="5">
        <f t="shared" si="3"/>
        <v>4922.6759999999995</v>
      </c>
    </row>
    <row r="13" spans="1:9" x14ac:dyDescent="0.25">
      <c r="A13" s="7"/>
      <c r="B13" s="7"/>
      <c r="C13" s="4"/>
      <c r="D13" s="4"/>
      <c r="E13" s="2"/>
      <c r="F13" s="14"/>
      <c r="G13" s="9"/>
      <c r="H13" s="8"/>
    </row>
    <row r="14" spans="1:9" ht="15.75" x14ac:dyDescent="0.25">
      <c r="A14" s="7"/>
      <c r="B14" s="10" t="s">
        <v>17</v>
      </c>
      <c r="C14" s="2"/>
      <c r="D14" s="2"/>
      <c r="E14" s="2"/>
      <c r="F14" s="14"/>
      <c r="G14" s="9"/>
      <c r="H14" s="8"/>
    </row>
    <row r="15" spans="1:9" x14ac:dyDescent="0.25">
      <c r="A15" s="7" t="s">
        <v>0</v>
      </c>
      <c r="B15" s="7" t="s">
        <v>18</v>
      </c>
      <c r="C15" s="4">
        <v>36.979999999999997</v>
      </c>
      <c r="D15" s="2"/>
      <c r="E15" s="2"/>
      <c r="F15" s="14"/>
      <c r="G15" s="9"/>
      <c r="H15" s="8"/>
    </row>
    <row r="16" spans="1:9" x14ac:dyDescent="0.25">
      <c r="A16" s="7" t="s">
        <v>6</v>
      </c>
      <c r="B16" s="7" t="s">
        <v>19</v>
      </c>
      <c r="C16" s="4">
        <v>113.57</v>
      </c>
      <c r="D16" s="4">
        <f>C16-C15</f>
        <v>76.59</v>
      </c>
      <c r="E16" s="2">
        <v>5</v>
      </c>
      <c r="F16" s="14">
        <f>D16*E16</f>
        <v>382.95000000000005</v>
      </c>
      <c r="G16" s="9">
        <f>F16*0.1</f>
        <v>38.295000000000009</v>
      </c>
      <c r="H16" s="5">
        <f t="shared" si="3"/>
        <v>421.24500000000006</v>
      </c>
    </row>
    <row r="17" spans="1:8" x14ac:dyDescent="0.25">
      <c r="A17" s="7"/>
      <c r="B17" s="7"/>
      <c r="C17" s="4"/>
      <c r="D17" s="4"/>
      <c r="E17" s="2"/>
      <c r="F17" s="14"/>
      <c r="G17" s="9"/>
      <c r="H17" s="8"/>
    </row>
    <row r="18" spans="1:8" ht="15.75" x14ac:dyDescent="0.25">
      <c r="A18" s="7"/>
      <c r="B18" s="10" t="s">
        <v>20</v>
      </c>
      <c r="C18" s="4"/>
      <c r="D18" s="4"/>
      <c r="E18" s="2"/>
      <c r="F18" s="14"/>
      <c r="G18" s="9"/>
      <c r="H18" s="8"/>
    </row>
    <row r="19" spans="1:8" x14ac:dyDescent="0.25">
      <c r="A19" s="7" t="s">
        <v>0</v>
      </c>
      <c r="B19" s="7" t="s">
        <v>22</v>
      </c>
      <c r="C19" s="4">
        <v>135.46</v>
      </c>
      <c r="D19" s="4"/>
      <c r="E19" s="2"/>
      <c r="F19" s="14"/>
      <c r="G19" s="9"/>
      <c r="H19" s="8"/>
    </row>
    <row r="20" spans="1:8" x14ac:dyDescent="0.25">
      <c r="A20" s="7" t="s">
        <v>6</v>
      </c>
      <c r="B20" s="7" t="s">
        <v>21</v>
      </c>
      <c r="C20" s="11">
        <v>165.92</v>
      </c>
      <c r="D20" s="4">
        <f>C20-C19</f>
        <v>30.45999999999998</v>
      </c>
      <c r="E20" s="2">
        <v>30</v>
      </c>
      <c r="F20" s="14">
        <f t="shared" ref="F20" si="4">D20*E20</f>
        <v>913.79999999999939</v>
      </c>
      <c r="G20" s="9">
        <f t="shared" ref="G20" si="5">F20*0.1</f>
        <v>91.379999999999939</v>
      </c>
      <c r="H20" s="5">
        <f t="shared" si="3"/>
        <v>1005.1799999999994</v>
      </c>
    </row>
    <row r="21" spans="1:8" x14ac:dyDescent="0.25">
      <c r="A21" s="7"/>
      <c r="B21" s="7"/>
      <c r="C21" s="11"/>
      <c r="D21" s="4"/>
      <c r="E21" s="2"/>
      <c r="F21" s="8"/>
      <c r="G21" s="9"/>
      <c r="H21" s="8"/>
    </row>
    <row r="22" spans="1:8" x14ac:dyDescent="0.25">
      <c r="A22" s="7"/>
      <c r="B22" s="7"/>
      <c r="C22" s="11"/>
      <c r="D22" s="4"/>
      <c r="E22" s="2"/>
      <c r="F22" s="8"/>
      <c r="G22" s="9"/>
      <c r="H22" s="8"/>
    </row>
    <row r="23" spans="1:8" x14ac:dyDescent="0.25">
      <c r="C23" s="1"/>
      <c r="D23" s="1"/>
      <c r="F23" s="15"/>
      <c r="G23" s="1"/>
      <c r="H23" s="1"/>
    </row>
    <row r="24" spans="1:8" x14ac:dyDescent="0.25">
      <c r="C24" s="1"/>
      <c r="D24" s="1"/>
      <c r="F24" s="15"/>
      <c r="G24" s="1"/>
      <c r="H24" s="1"/>
    </row>
    <row r="25" spans="1:8" x14ac:dyDescent="0.25">
      <c r="C25" s="1"/>
      <c r="D25" s="1"/>
      <c r="F25" s="1"/>
      <c r="G25" s="1"/>
      <c r="H25" s="1"/>
    </row>
    <row r="26" spans="1:8" x14ac:dyDescent="0.25">
      <c r="C26" s="1"/>
      <c r="D26" s="1"/>
      <c r="F26" s="1"/>
      <c r="G26" s="1"/>
      <c r="H26" s="1"/>
    </row>
    <row r="27" spans="1:8" x14ac:dyDescent="0.25">
      <c r="C27" s="1"/>
      <c r="D27" s="1"/>
      <c r="F27" s="1"/>
      <c r="G27" s="1"/>
      <c r="H27" s="1"/>
    </row>
    <row r="28" spans="1:8" x14ac:dyDescent="0.25">
      <c r="C28" s="1"/>
      <c r="D28" s="1"/>
      <c r="F28" s="1"/>
      <c r="G28" s="1"/>
      <c r="H28" s="1"/>
    </row>
    <row r="29" spans="1:8" x14ac:dyDescent="0.25">
      <c r="C29" s="1"/>
      <c r="D29" s="1"/>
      <c r="F29" s="1"/>
      <c r="G29" s="1"/>
      <c r="H29" s="1"/>
    </row>
    <row r="30" spans="1:8" x14ac:dyDescent="0.25">
      <c r="C30" s="1"/>
      <c r="D30" s="1"/>
      <c r="F30" s="1"/>
      <c r="G30" s="1"/>
      <c r="H30" s="1"/>
    </row>
    <row r="31" spans="1:8" x14ac:dyDescent="0.25">
      <c r="C31" s="1"/>
      <c r="D31" s="1"/>
      <c r="F31" s="1"/>
      <c r="G31" s="1"/>
      <c r="H31" s="1"/>
    </row>
    <row r="32" spans="1:8" x14ac:dyDescent="0.25">
      <c r="C32" s="1"/>
      <c r="D32" s="1"/>
      <c r="F32" s="1"/>
      <c r="G32" s="1"/>
      <c r="H32" s="1"/>
    </row>
    <row r="33" spans="3:8" x14ac:dyDescent="0.25">
      <c r="C33" s="1"/>
      <c r="D33" s="1"/>
      <c r="F33" s="1"/>
      <c r="G33" s="1"/>
      <c r="H33" s="1"/>
    </row>
    <row r="34" spans="3:8" x14ac:dyDescent="0.25">
      <c r="C34" s="1"/>
      <c r="D34" s="1"/>
      <c r="F34" s="1"/>
      <c r="G34" s="1"/>
      <c r="H34" s="1"/>
    </row>
    <row r="35" spans="3:8" x14ac:dyDescent="0.25">
      <c r="C35" s="1"/>
      <c r="D35" s="1"/>
      <c r="F35" s="1"/>
      <c r="G35" s="1"/>
      <c r="H35" s="1"/>
    </row>
  </sheetData>
  <pageMargins left="0.7" right="0.7" top="0.75" bottom="0.75" header="0.3" footer="0.3"/>
  <pageSetup scale="98" fitToHeight="3" orientation="portrait" r:id="rId1"/>
  <rowBreaks count="2" manualBreakCount="2">
    <brk id="12" max="16383" man="1"/>
    <brk id="1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2016-01-12T17:18:33Z</cp:lastPrinted>
  <dcterms:created xsi:type="dcterms:W3CDTF">2014-06-30T23:12:10Z</dcterms:created>
  <dcterms:modified xsi:type="dcterms:W3CDTF">2016-01-12T22:48:32Z</dcterms:modified>
</cp:coreProperties>
</file>