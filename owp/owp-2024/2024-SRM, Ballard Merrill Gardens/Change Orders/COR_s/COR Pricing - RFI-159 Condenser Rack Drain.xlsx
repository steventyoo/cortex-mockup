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F16" i="1"/>
  <c r="F17" i="1"/>
  <c r="F18" i="1"/>
  <c r="J18" i="1" l="1"/>
  <c r="L18" i="1" l="1"/>
  <c r="L19" i="1" l="1"/>
  <c r="L20" i="1" s="1"/>
  <c r="F19" i="1" l="1"/>
  <c r="F20" i="1" s="1"/>
  <c r="J19" i="1"/>
  <c r="J20" i="1" s="1"/>
  <c r="B23" i="1" l="1"/>
</calcChain>
</file>

<file path=xl/sharedStrings.xml><?xml version="1.0" encoding="utf-8"?>
<sst xmlns="http://schemas.openxmlformats.org/spreadsheetml/2006/main" count="30" uniqueCount="23">
  <si>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</si>
  <si>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</si>
  <si>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</si>
  <si>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</si>
  <si>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</si>
  <si>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</si>
  <si>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</si>
  <si>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</si>
  <si>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</si>
  <si>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</si>
  <si>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</si>
  <si>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</si>
  <si>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</si>
  <si>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</si>
  <si>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</si>
  <si>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</si>
  <si>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</si>
  <si>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</si>
  <si>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2024 BALLARD MERRILL GARDENS</t>
  </si>
  <si>
    <t>LOT</t>
  </si>
  <si>
    <t>SUPERVISION/AS-BUILTS</t>
  </si>
  <si>
    <t>RFI-159</t>
  </si>
  <si>
    <t>LAYOUT/DRILL/ANCHOR/INSTALL CONDENSATE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</si>
</sst>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8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MS Sans Serif"/>
    </font>
    <font>
      <b/>
      <sz val="10"/>
      <color rgb="FFFF0000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166" fontId="4" fillId="0" borderId="3" xfId="0" applyNumberFormat="1" applyFont="1" applyBorder="1" applyAlignment="1">
      <alignment horizontal="right" vertical="top" wrapText="1"/>
    </xf>
    <xf numFmtId="165" fontId="4" fillId="0" borderId="3" xfId="0" applyNumberFormat="1" applyFont="1" applyBorder="1" applyAlignment="1">
      <alignment horizontal="right"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5" fillId="0" borderId="0" xfId="0" applyFont="1"/>
    <xf numFmtId="0" fontId="4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7" fontId="3" fillId="4" borderId="7" xfId="0" applyNumberFormat="1" applyFont="1" applyFill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9" fontId="6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164" fontId="3" fillId="0" borderId="0" xfId="0" applyNumberFormat="1" applyFont="1" applyFill="1" applyBorder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130" zoomScaleNormal="130" workbookViewId="0">
      <selection activeCell="E26" sqref="E26"/>
    </sheetView>
  </sheetViews>
  <sheetFormatPr defaultRowHeight="12.75" x14ac:dyDescent="0.2"/>
  <cols>
    <col min="1" max="1" width="4.5703125" style="43" bestFit="1" customWidth="1"/>
    <col min="2" max="2" width="27.140625" style="43" customWidth="1"/>
    <col min="3" max="3" width="5" style="43" customWidth="1"/>
    <col min="4" max="4" width="5.140625" style="43" bestFit="1" customWidth="1"/>
    <col min="5" max="5" width="8.28515625" style="43" bestFit="1" customWidth="1"/>
    <col min="6" max="6" width="8.42578125" style="43" customWidth="1"/>
    <col min="7" max="7" width="4.85546875" style="43" customWidth="1"/>
    <col min="8" max="8" width="5.140625" style="43" bestFit="1" customWidth="1"/>
    <col min="9" max="9" width="8" style="43" customWidth="1"/>
    <col min="10" max="10" width="7.85546875" style="43" customWidth="1"/>
    <col min="11" max="11" width="8" style="43" bestFit="1" customWidth="1"/>
    <col min="12" max="12" width="10.85546875" style="43" customWidth="1"/>
    <col min="13" max="13" width="11" style="43" customWidth="1"/>
    <col min="15" max="15" width="13" customWidth="1"/>
  </cols>
  <sheetData>
    <row r="1" spans="1:15" x14ac:dyDescent="0.2">
      <c r="D1" s="44"/>
      <c r="H1" s="29" t="s">
        <v>13</v>
      </c>
      <c r="I1" s="61" t="s">
        <v>18</v>
      </c>
      <c r="J1" s="61"/>
      <c r="K1" s="61"/>
      <c r="L1" s="61"/>
    </row>
    <row r="2" spans="1:15" x14ac:dyDescent="0.2">
      <c r="D2" s="44"/>
      <c r="G2" s="19"/>
      <c r="H2" s="28" t="s">
        <v>12</v>
      </c>
      <c r="I2" s="62">
        <v>42352</v>
      </c>
      <c r="J2" s="61"/>
      <c r="K2" s="61"/>
      <c r="L2" s="61"/>
    </row>
    <row r="3" spans="1:15" x14ac:dyDescent="0.2">
      <c r="D3" s="44"/>
      <c r="G3" s="19"/>
      <c r="H3" s="28" t="s">
        <v>14</v>
      </c>
      <c r="I3" s="27" t="s">
        <v>21</v>
      </c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51"/>
      <c r="B8" s="52"/>
      <c r="C8" s="52"/>
      <c r="D8" s="53"/>
      <c r="E8" s="52"/>
      <c r="F8" s="52"/>
      <c r="G8" s="19"/>
      <c r="H8" s="26"/>
      <c r="I8" s="36"/>
      <c r="J8" s="35"/>
      <c r="K8" s="35"/>
      <c r="L8" s="25"/>
    </row>
    <row r="9" spans="1:15" x14ac:dyDescent="0.2">
      <c r="A9" s="51"/>
      <c r="B9" s="52"/>
      <c r="C9" s="52"/>
      <c r="D9" s="53"/>
      <c r="E9" s="52"/>
      <c r="F9" s="52"/>
      <c r="G9" s="19"/>
      <c r="H9" s="26"/>
      <c r="I9" s="36"/>
      <c r="J9" s="35"/>
      <c r="K9" s="35"/>
      <c r="L9" s="25"/>
    </row>
    <row r="10" spans="1:15" x14ac:dyDescent="0.2">
      <c r="A10" s="51"/>
      <c r="B10" s="52"/>
      <c r="C10" s="52"/>
      <c r="D10" s="53"/>
      <c r="E10" s="52"/>
      <c r="F10" s="52"/>
      <c r="G10" s="19"/>
      <c r="H10" s="26"/>
      <c r="I10" s="36"/>
      <c r="J10" s="35"/>
      <c r="K10" s="35"/>
      <c r="L10" s="25"/>
    </row>
    <row r="11" spans="1:15" ht="13.5" thickBot="1" x14ac:dyDescent="0.25">
      <c r="A11" s="54"/>
      <c r="B11" s="55"/>
      <c r="C11" s="55"/>
      <c r="D11" s="56"/>
      <c r="E11" s="55"/>
      <c r="F11" s="55"/>
      <c r="G11" s="24"/>
      <c r="H11" s="23"/>
      <c r="I11" s="22"/>
      <c r="J11" s="21"/>
      <c r="K11" s="21"/>
      <c r="L11" s="20"/>
    </row>
    <row r="12" spans="1:15" ht="6" customHeight="1" x14ac:dyDescent="0.2">
      <c r="D12" s="44"/>
      <c r="G12" s="19"/>
      <c r="H12" s="18"/>
      <c r="I12" s="36"/>
      <c r="J12" s="35"/>
      <c r="K12" s="35"/>
      <c r="L12" s="35"/>
    </row>
    <row r="13" spans="1:15" ht="6" customHeight="1" x14ac:dyDescent="0.2">
      <c r="D13" s="44"/>
      <c r="E13" s="19"/>
      <c r="F13" s="18"/>
      <c r="G13" s="17"/>
      <c r="H13" s="17"/>
      <c r="I13" s="17"/>
      <c r="J13" s="16"/>
    </row>
    <row r="14" spans="1:15" x14ac:dyDescent="0.2">
      <c r="A14" s="57"/>
      <c r="B14" s="37"/>
      <c r="C14" s="63" t="s">
        <v>10</v>
      </c>
      <c r="D14" s="64"/>
      <c r="E14" s="64"/>
      <c r="F14" s="65"/>
      <c r="G14" s="15" t="s">
        <v>9</v>
      </c>
      <c r="H14" s="38"/>
      <c r="I14" s="38"/>
      <c r="J14" s="39"/>
      <c r="K14" s="14" t="s">
        <v>8</v>
      </c>
      <c r="L14" s="58"/>
    </row>
    <row r="15" spans="1:15" x14ac:dyDescent="0.2">
      <c r="A15" s="59" t="s">
        <v>7</v>
      </c>
      <c r="B15" s="40" t="s">
        <v>6</v>
      </c>
      <c r="C15" s="41" t="s">
        <v>16</v>
      </c>
      <c r="D15" s="41" t="s">
        <v>4</v>
      </c>
      <c r="E15" s="41" t="s">
        <v>5</v>
      </c>
      <c r="F15" s="42" t="s">
        <v>3</v>
      </c>
      <c r="G15" s="41" t="s">
        <v>16</v>
      </c>
      <c r="H15" s="41" t="s">
        <v>4</v>
      </c>
      <c r="I15" s="41" t="s">
        <v>5</v>
      </c>
      <c r="J15" s="42" t="s">
        <v>3</v>
      </c>
      <c r="K15" s="41" t="s">
        <v>4</v>
      </c>
      <c r="L15" s="41" t="s">
        <v>3</v>
      </c>
    </row>
    <row r="16" spans="1:15" ht="22.5" x14ac:dyDescent="0.2">
      <c r="A16" s="11"/>
      <c r="B16" s="31" t="s">
        <v>22</v>
      </c>
      <c r="C16" s="13">
        <v>2</v>
      </c>
      <c r="D16" s="10" t="s">
        <v>15</v>
      </c>
      <c r="E16" s="12">
        <v>60.5</v>
      </c>
      <c r="F16" s="8">
        <f t="shared" ref="F16:F17" si="0">C16*E16</f>
        <v>121</v>
      </c>
      <c r="G16" s="7">
        <v>1</v>
      </c>
      <c r="H16" s="10" t="s">
        <v>19</v>
      </c>
      <c r="I16" s="9">
        <v>45</v>
      </c>
      <c r="J16" s="8">
        <f t="shared" ref="J16:J17" si="1">G16*I16</f>
        <v>45</v>
      </c>
      <c r="K16" s="7"/>
      <c r="L16" s="6"/>
      <c r="M16" s="47"/>
      <c r="N16" s="30"/>
      <c r="O16" s="30"/>
    </row>
    <row r="17" spans="1:15" x14ac:dyDescent="0.2">
      <c r="A17" s="11"/>
      <c r="B17" s="31" t="s">
        <v>20</v>
      </c>
      <c r="C17" s="13">
        <v>1</v>
      </c>
      <c r="D17" s="10" t="s">
        <v>15</v>
      </c>
      <c r="E17" s="12">
        <v>80</v>
      </c>
      <c r="F17" s="8">
        <f t="shared" si="0"/>
        <v>80</v>
      </c>
      <c r="G17" s="7"/>
      <c r="H17" s="10"/>
      <c r="I17" s="9"/>
      <c r="J17" s="8"/>
      <c r="K17" s="7"/>
      <c r="L17" s="6"/>
      <c r="M17" s="47"/>
      <c r="N17" s="30"/>
      <c r="O17" s="30"/>
    </row>
    <row r="18" spans="1:15" x14ac:dyDescent="0.2">
      <c r="B18" s="2" t="s">
        <v>2</v>
      </c>
      <c r="D18" s="44"/>
      <c r="F18" s="45">
        <f>SUM(F16:F17)</f>
        <v>201</v>
      </c>
      <c r="J18" s="45">
        <f>SUM(J16:J17)</f>
        <v>45</v>
      </c>
      <c r="L18" s="45">
        <f>SUM(L16:L17)</f>
        <v>0</v>
      </c>
    </row>
    <row r="19" spans="1:15" x14ac:dyDescent="0.2">
      <c r="B19" s="5" t="s">
        <v>1</v>
      </c>
      <c r="D19" s="44"/>
      <c r="E19" s="46">
        <v>0.1</v>
      </c>
      <c r="F19" s="33">
        <f>+E19*F18</f>
        <v>20.100000000000001</v>
      </c>
      <c r="I19" s="46">
        <v>0.1</v>
      </c>
      <c r="J19" s="33">
        <f>+I19*J18</f>
        <v>4.5</v>
      </c>
      <c r="K19" s="46">
        <v>0.1</v>
      </c>
      <c r="L19" s="4">
        <f>+K19*L18</f>
        <v>0</v>
      </c>
    </row>
    <row r="20" spans="1:15" x14ac:dyDescent="0.2">
      <c r="B20" s="2" t="s">
        <v>0</v>
      </c>
      <c r="D20" s="44"/>
      <c r="F20" s="34">
        <f>F18+F19</f>
        <v>221.1</v>
      </c>
      <c r="G20" s="47"/>
      <c r="H20" s="47"/>
      <c r="I20" s="47"/>
      <c r="J20" s="34">
        <f>J18+J19</f>
        <v>49.5</v>
      </c>
      <c r="K20" s="47"/>
      <c r="L20" s="3">
        <f>L18+L19</f>
        <v>0</v>
      </c>
    </row>
    <row r="21" spans="1:15" ht="13.5" thickBot="1" x14ac:dyDescent="0.25">
      <c r="B21" s="2"/>
      <c r="D21" s="44"/>
      <c r="F21" s="48"/>
      <c r="G21" s="49"/>
      <c r="H21" s="49"/>
      <c r="I21" s="50"/>
      <c r="J21" s="48"/>
      <c r="K21" s="60"/>
      <c r="L21" s="48"/>
    </row>
    <row r="22" spans="1:15" x14ac:dyDescent="0.2">
      <c r="B22" s="1" t="s">
        <v>17</v>
      </c>
      <c r="D22" s="44"/>
    </row>
    <row r="23" spans="1:15" ht="13.5" thickBot="1" x14ac:dyDescent="0.25">
      <c r="B23" s="32">
        <f>F20+J20+L20</f>
        <v>270.60000000000002</v>
      </c>
      <c r="D23" s="44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2015-12-14T16:54:06Z</dcterms:modified>
</cp:coreProperties>
</file>