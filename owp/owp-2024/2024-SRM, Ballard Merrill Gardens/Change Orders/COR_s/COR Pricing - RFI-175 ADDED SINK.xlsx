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4-SRM, Ballard Merrill Garden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F26" i="1"/>
  <c r="J17" i="1"/>
  <c r="J18" i="1"/>
  <c r="J19" i="1"/>
  <c r="F21" i="1" l="1"/>
  <c r="J20" i="1" l="1"/>
  <c r="F25" i="1"/>
  <c r="F23" i="1"/>
  <c r="J16" i="1"/>
  <c r="F22" i="1" l="1"/>
  <c r="L26" i="1" l="1"/>
  <c r="F24" i="1"/>
  <c r="L27" i="1" l="1"/>
  <c r="L28" i="1" s="1"/>
  <c r="F27" i="1" l="1"/>
  <c r="F28" i="1" s="1"/>
  <c r="J27" i="1"/>
  <c r="J28" i="1" s="1"/>
  <c r="B31" i="1" l="1"/>
</calcChain>
</file>

<file path=xl/sharedStrings.xml><?xml version="1.0" encoding="utf-8"?>
<sst xmlns="http://schemas.openxmlformats.org/spreadsheetml/2006/main" count="45" uniqueCount="33">
  <si>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</si>
  <si>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</si>
  <si>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</si>
  <si>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</si>
  <si>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</si>
  <si>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</si>
  <si>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</si>
  <si>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</si>
  <si>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</si>
  <si>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</si>
  <si>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</si>
  <si>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</si>
  <si>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</si>
  <si>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</si>
  <si>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</si>
  <si>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</si>
  <si>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</si>
  <si>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</si>
  <si>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LS</t>
  </si>
  <si>
    <t>EA</t>
  </si>
  <si>
    <t>2024 BALLARD MERRILL GARDENS</t>
  </si>
  <si>
    <t>SUPERVISION</t>
  </si>
  <si>
    <t>WATER ROUGH-IN LABOR</t>
  </si>
  <si>
    <t>AS-BUILTING</t>
  </si>
  <si>
    <t>FITTINGS/PIPE/HANGERS/SUPPORTS</t>
  </si>
  <si>
    <t>WASTE &amp; VENT ROUGH-IN LABOR</t>
  </si>
  <si>
    <t>MOEN G221944 SINK</t>
  </si>
  <si>
    <t>DELTA 300-DST FAUCET</t>
  </si>
  <si>
    <t>DEARBORN 14 STRAINER</t>
  </si>
  <si>
    <t>P-TRAP/INSULATION/ANGLE STOPS/ETC</t>
  </si>
  <si>
    <t>LOT</t>
  </si>
  <si>
    <t>TRIM LABOR</t>
  </si>
  <si>
    <t>RFI-175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</si>
</sst>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0.0_);[Red]\(0.0\)"/>
  </numFmts>
  <fonts count="8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MS Sans Serif"/>
    </font>
    <font>
      <b/>
      <sz val="18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7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166" fontId="4" fillId="0" borderId="3" xfId="0" applyNumberFormat="1" applyFont="1" applyBorder="1" applyAlignment="1">
      <alignment horizontal="right" vertical="top" wrapText="1"/>
    </xf>
    <xf numFmtId="165" fontId="4" fillId="0" borderId="3" xfId="0" applyNumberFormat="1" applyFont="1" applyBorder="1" applyAlignment="1">
      <alignment horizontal="right"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5" fillId="0" borderId="0" xfId="0" applyFont="1"/>
    <xf numFmtId="0" fontId="4" fillId="0" borderId="3" xfId="0" applyFont="1" applyBorder="1" applyAlignment="1">
      <alignment horizontal="left" vertical="top" wrapText="1"/>
    </xf>
    <xf numFmtId="6" fontId="1" fillId="2" borderId="1" xfId="1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168" fontId="4" fillId="0" borderId="3" xfId="0" applyNumberFormat="1" applyFont="1" applyBorder="1" applyAlignment="1">
      <alignment horizontal="right" vertical="top" wrapText="1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7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0" fontId="1" fillId="0" borderId="0" xfId="0" applyFont="1"/>
    <xf numFmtId="164" fontId="3" fillId="0" borderId="0" xfId="0" applyNumberFormat="1" applyFont="1"/>
    <xf numFmtId="9" fontId="7" fillId="0" borderId="0" xfId="0" applyNumberFormat="1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0" applyFont="1" applyFill="1" applyAlignment="1">
      <alignment horizontal="right"/>
    </xf>
    <xf numFmtId="164" fontId="3" fillId="0" borderId="0" xfId="0" applyNumberFormat="1" applyFont="1" applyFill="1" applyBorder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SINK PER RFI-175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6"/>
  <sheetViews>
    <sheetView tabSelected="1" zoomScale="130" zoomScaleNormal="130" workbookViewId="0">
      <selection activeCell="B14" sqref="B14:J31"/>
    </sheetView>
  </sheetViews>
  <sheetFormatPr defaultRowHeight="12.75" x14ac:dyDescent="0.2"/>
  <cols>
    <col min="1" max="1" width="4.5703125" bestFit="1" customWidth="1"/>
    <col min="2" max="2" width="30.28515625" customWidth="1"/>
    <col min="3" max="3" width="5" customWidth="1"/>
    <col min="4" max="4" width="5.140625" bestFit="1" customWidth="1"/>
    <col min="5" max="5" width="8.28515625" bestFit="1" customWidth="1"/>
    <col min="6" max="6" width="8.42578125" customWidth="1"/>
    <col min="7" max="7" width="4.85546875" customWidth="1"/>
    <col min="8" max="8" width="5.140625" bestFit="1" customWidth="1"/>
    <col min="9" max="9" width="8" customWidth="1"/>
    <col min="10" max="10" width="7.85546875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A1" s="38"/>
      <c r="B1" s="38"/>
      <c r="C1" s="38"/>
      <c r="D1" s="39"/>
      <c r="E1" s="38"/>
      <c r="F1" s="38"/>
      <c r="G1" s="38"/>
      <c r="H1" s="29" t="s">
        <v>13</v>
      </c>
      <c r="I1" s="62" t="s">
        <v>20</v>
      </c>
      <c r="J1" s="62"/>
      <c r="K1" s="62"/>
      <c r="L1" s="62"/>
      <c r="M1" s="38"/>
      <c r="N1" s="38"/>
    </row>
    <row r="2" spans="1:15" x14ac:dyDescent="0.2">
      <c r="A2" s="38"/>
      <c r="B2" s="38"/>
      <c r="C2" s="38"/>
      <c r="D2" s="39"/>
      <c r="E2" s="38"/>
      <c r="F2" s="38"/>
      <c r="G2" s="19"/>
      <c r="H2" s="28" t="s">
        <v>12</v>
      </c>
      <c r="I2" s="63">
        <v>42415</v>
      </c>
      <c r="J2" s="62"/>
      <c r="K2" s="62"/>
      <c r="L2" s="62"/>
      <c r="M2" s="38"/>
      <c r="N2" s="38"/>
    </row>
    <row r="3" spans="1:15" x14ac:dyDescent="0.2">
      <c r="A3" s="38"/>
      <c r="B3" s="38"/>
      <c r="C3" s="38"/>
      <c r="D3" s="39"/>
      <c r="E3" s="38"/>
      <c r="F3" s="38"/>
      <c r="G3" s="19"/>
      <c r="H3" s="28" t="s">
        <v>14</v>
      </c>
      <c r="I3" s="27" t="s">
        <v>32</v>
      </c>
      <c r="J3" s="36"/>
      <c r="K3" s="36"/>
      <c r="L3" s="36"/>
      <c r="M3" s="38"/>
      <c r="N3" s="38"/>
    </row>
    <row r="4" spans="1:15" ht="24" thickBot="1" x14ac:dyDescent="0.4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38"/>
      <c r="N4" s="38"/>
    </row>
    <row r="5" spans="1:15" ht="4.5" customHeight="1" x14ac:dyDescent="0.2">
      <c r="A5" s="68" t="s">
        <v>11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70"/>
      <c r="M5" s="38"/>
      <c r="N5" s="38"/>
    </row>
    <row r="6" spans="1:15" ht="12.75" customHeight="1" x14ac:dyDescent="0.2">
      <c r="A6" s="71"/>
      <c r="B6" s="72"/>
      <c r="C6" s="72"/>
      <c r="D6" s="72"/>
      <c r="E6" s="72"/>
      <c r="F6" s="72"/>
      <c r="G6" s="72"/>
      <c r="H6" s="72"/>
      <c r="I6" s="72"/>
      <c r="J6" s="72"/>
      <c r="K6" s="72"/>
      <c r="L6" s="73"/>
      <c r="M6" s="38"/>
      <c r="N6" s="38"/>
    </row>
    <row r="7" spans="1:15" ht="4.5" customHeight="1" thickBot="1" x14ac:dyDescent="0.25">
      <c r="A7" s="74"/>
      <c r="B7" s="75"/>
      <c r="C7" s="75"/>
      <c r="D7" s="75"/>
      <c r="E7" s="75"/>
      <c r="F7" s="75"/>
      <c r="G7" s="75"/>
      <c r="H7" s="75"/>
      <c r="I7" s="75"/>
      <c r="J7" s="75"/>
      <c r="K7" s="75"/>
      <c r="L7" s="76"/>
      <c r="M7" s="38"/>
      <c r="N7" s="38"/>
    </row>
    <row r="8" spans="1:15" x14ac:dyDescent="0.2">
      <c r="A8" s="40"/>
      <c r="B8" s="41"/>
      <c r="C8" s="41"/>
      <c r="D8" s="42"/>
      <c r="E8" s="41"/>
      <c r="F8" s="41"/>
      <c r="G8" s="19"/>
      <c r="H8" s="26"/>
      <c r="I8" s="37"/>
      <c r="J8" s="36"/>
      <c r="K8" s="36"/>
      <c r="L8" s="25"/>
      <c r="M8" s="38"/>
      <c r="N8" s="38"/>
    </row>
    <row r="9" spans="1:15" x14ac:dyDescent="0.2">
      <c r="A9" s="40"/>
      <c r="B9" s="41"/>
      <c r="C9" s="41"/>
      <c r="D9" s="42"/>
      <c r="E9" s="41"/>
      <c r="F9" s="41"/>
      <c r="G9" s="19"/>
      <c r="H9" s="26"/>
      <c r="I9" s="37"/>
      <c r="J9" s="36"/>
      <c r="K9" s="36"/>
      <c r="L9" s="25"/>
      <c r="M9" s="38"/>
      <c r="N9" s="38"/>
    </row>
    <row r="10" spans="1:15" x14ac:dyDescent="0.2">
      <c r="A10" s="40"/>
      <c r="B10" s="41"/>
      <c r="C10" s="41"/>
      <c r="D10" s="42"/>
      <c r="E10" s="41"/>
      <c r="F10" s="41"/>
      <c r="G10" s="19"/>
      <c r="H10" s="26"/>
      <c r="I10" s="37"/>
      <c r="J10" s="36"/>
      <c r="K10" s="36"/>
      <c r="L10" s="25"/>
      <c r="M10" s="38"/>
      <c r="N10" s="38"/>
    </row>
    <row r="11" spans="1:15" ht="13.5" thickBot="1" x14ac:dyDescent="0.25">
      <c r="A11" s="43"/>
      <c r="B11" s="44"/>
      <c r="C11" s="44"/>
      <c r="D11" s="45"/>
      <c r="E11" s="44"/>
      <c r="F11" s="44"/>
      <c r="G11" s="24"/>
      <c r="H11" s="23"/>
      <c r="I11" s="22"/>
      <c r="J11" s="21"/>
      <c r="K11" s="21"/>
      <c r="L11" s="20"/>
      <c r="M11" s="38"/>
      <c r="N11" s="38"/>
    </row>
    <row r="12" spans="1:15" ht="6" customHeight="1" x14ac:dyDescent="0.2">
      <c r="A12" s="38"/>
      <c r="B12" s="38"/>
      <c r="C12" s="38"/>
      <c r="D12" s="39"/>
      <c r="E12" s="38"/>
      <c r="F12" s="38"/>
      <c r="G12" s="19"/>
      <c r="H12" s="18"/>
      <c r="I12" s="37"/>
      <c r="J12" s="36"/>
      <c r="K12" s="36"/>
      <c r="L12" s="36"/>
      <c r="M12" s="38"/>
      <c r="N12" s="38"/>
    </row>
    <row r="13" spans="1:15" ht="6" customHeight="1" x14ac:dyDescent="0.2">
      <c r="A13" s="38"/>
      <c r="B13" s="38"/>
      <c r="C13" s="38"/>
      <c r="D13" s="39"/>
      <c r="E13" s="19"/>
      <c r="F13" s="18"/>
      <c r="G13" s="17"/>
      <c r="H13" s="17"/>
      <c r="I13" s="17"/>
      <c r="J13" s="16"/>
      <c r="K13" s="38"/>
      <c r="L13" s="38"/>
      <c r="M13" s="38"/>
      <c r="N13" s="38"/>
    </row>
    <row r="14" spans="1:15" x14ac:dyDescent="0.2">
      <c r="A14" s="46"/>
      <c r="B14" s="47"/>
      <c r="C14" s="64" t="s">
        <v>10</v>
      </c>
      <c r="D14" s="65"/>
      <c r="E14" s="65"/>
      <c r="F14" s="66"/>
      <c r="G14" s="15" t="s">
        <v>9</v>
      </c>
      <c r="H14" s="48"/>
      <c r="I14" s="48"/>
      <c r="J14" s="49"/>
      <c r="K14" s="14" t="s">
        <v>8</v>
      </c>
      <c r="L14" s="50"/>
      <c r="M14" s="38"/>
      <c r="N14" s="38"/>
    </row>
    <row r="15" spans="1:15" x14ac:dyDescent="0.2">
      <c r="A15" s="51" t="s">
        <v>7</v>
      </c>
      <c r="B15" s="52" t="s">
        <v>6</v>
      </c>
      <c r="C15" s="53" t="s">
        <v>16</v>
      </c>
      <c r="D15" s="53" t="s">
        <v>4</v>
      </c>
      <c r="E15" s="53" t="s">
        <v>5</v>
      </c>
      <c r="F15" s="54" t="s">
        <v>3</v>
      </c>
      <c r="G15" s="53" t="s">
        <v>16</v>
      </c>
      <c r="H15" s="53" t="s">
        <v>4</v>
      </c>
      <c r="I15" s="53" t="s">
        <v>5</v>
      </c>
      <c r="J15" s="54" t="s">
        <v>3</v>
      </c>
      <c r="K15" s="53" t="s">
        <v>4</v>
      </c>
      <c r="L15" s="53" t="s">
        <v>3</v>
      </c>
      <c r="M15" s="38"/>
      <c r="N15" s="38"/>
    </row>
    <row r="16" spans="1:15" x14ac:dyDescent="0.2">
      <c r="A16" s="11"/>
      <c r="B16" s="31" t="s">
        <v>26</v>
      </c>
      <c r="C16" s="13"/>
      <c r="D16" s="10"/>
      <c r="E16" s="12"/>
      <c r="F16" s="8"/>
      <c r="G16" s="7">
        <v>1</v>
      </c>
      <c r="H16" s="10" t="s">
        <v>19</v>
      </c>
      <c r="I16" s="9">
        <v>55</v>
      </c>
      <c r="J16" s="8">
        <f t="shared" ref="J16:J19" si="0">G16*I16</f>
        <v>55</v>
      </c>
      <c r="K16" s="7"/>
      <c r="L16" s="6"/>
      <c r="M16" s="55"/>
      <c r="N16" s="55"/>
      <c r="O16" s="30"/>
    </row>
    <row r="17" spans="1:15" x14ac:dyDescent="0.2">
      <c r="A17" s="11"/>
      <c r="B17" s="31" t="s">
        <v>27</v>
      </c>
      <c r="C17" s="13"/>
      <c r="D17" s="10"/>
      <c r="E17" s="12"/>
      <c r="F17" s="8"/>
      <c r="G17" s="7">
        <v>1</v>
      </c>
      <c r="H17" s="10" t="s">
        <v>19</v>
      </c>
      <c r="I17" s="9">
        <v>72</v>
      </c>
      <c r="J17" s="8">
        <f t="shared" si="0"/>
        <v>72</v>
      </c>
      <c r="K17" s="7"/>
      <c r="L17" s="6"/>
      <c r="M17" s="55"/>
      <c r="N17" s="55"/>
      <c r="O17" s="30"/>
    </row>
    <row r="18" spans="1:15" x14ac:dyDescent="0.2">
      <c r="A18" s="11"/>
      <c r="B18" s="31" t="s">
        <v>28</v>
      </c>
      <c r="C18" s="13"/>
      <c r="D18" s="10"/>
      <c r="E18" s="12"/>
      <c r="F18" s="8"/>
      <c r="G18" s="7">
        <v>1</v>
      </c>
      <c r="H18" s="10" t="s">
        <v>19</v>
      </c>
      <c r="I18" s="9">
        <v>5</v>
      </c>
      <c r="J18" s="8">
        <f t="shared" si="0"/>
        <v>5</v>
      </c>
      <c r="K18" s="7"/>
      <c r="L18" s="6"/>
      <c r="M18" s="55"/>
      <c r="N18" s="55"/>
      <c r="O18" s="30"/>
    </row>
    <row r="19" spans="1:15" x14ac:dyDescent="0.2">
      <c r="A19" s="11"/>
      <c r="B19" s="31" t="s">
        <v>29</v>
      </c>
      <c r="C19" s="13"/>
      <c r="D19" s="10"/>
      <c r="E19" s="12"/>
      <c r="F19" s="8"/>
      <c r="G19" s="7">
        <v>1</v>
      </c>
      <c r="H19" s="10" t="s">
        <v>30</v>
      </c>
      <c r="I19" s="9">
        <v>36</v>
      </c>
      <c r="J19" s="8">
        <f t="shared" si="0"/>
        <v>36</v>
      </c>
      <c r="K19" s="7"/>
      <c r="L19" s="6"/>
      <c r="M19" s="55"/>
      <c r="N19" s="55"/>
      <c r="O19" s="30"/>
    </row>
    <row r="20" spans="1:15" x14ac:dyDescent="0.2">
      <c r="A20" s="11"/>
      <c r="B20" s="31" t="s">
        <v>24</v>
      </c>
      <c r="C20" s="13"/>
      <c r="D20" s="10"/>
      <c r="E20" s="12"/>
      <c r="F20" s="8"/>
      <c r="G20" s="7">
        <v>1</v>
      </c>
      <c r="H20" s="10" t="s">
        <v>18</v>
      </c>
      <c r="I20" s="9">
        <v>35</v>
      </c>
      <c r="J20" s="8">
        <f t="shared" ref="J20" si="1">G20*I20</f>
        <v>35</v>
      </c>
      <c r="K20" s="7"/>
      <c r="L20" s="6"/>
      <c r="M20" s="55"/>
      <c r="N20" s="55"/>
      <c r="O20" s="30"/>
    </row>
    <row r="21" spans="1:15" x14ac:dyDescent="0.2">
      <c r="A21" s="11"/>
      <c r="B21" s="31" t="s">
        <v>25</v>
      </c>
      <c r="C21" s="35">
        <v>3</v>
      </c>
      <c r="D21" s="10" t="s">
        <v>15</v>
      </c>
      <c r="E21" s="12">
        <v>75</v>
      </c>
      <c r="F21" s="8">
        <f>C21*E21</f>
        <v>225</v>
      </c>
      <c r="G21" s="7"/>
      <c r="H21" s="10"/>
      <c r="I21" s="9"/>
      <c r="J21" s="8"/>
      <c r="K21" s="7"/>
      <c r="L21" s="6"/>
      <c r="M21" s="55"/>
      <c r="N21" s="55"/>
      <c r="O21" s="30"/>
    </row>
    <row r="22" spans="1:15" x14ac:dyDescent="0.2">
      <c r="A22" s="11"/>
      <c r="B22" s="31" t="s">
        <v>22</v>
      </c>
      <c r="C22" s="35">
        <v>2</v>
      </c>
      <c r="D22" s="10" t="s">
        <v>15</v>
      </c>
      <c r="E22" s="12">
        <v>75</v>
      </c>
      <c r="F22" s="8">
        <f>C22*E22</f>
        <v>150</v>
      </c>
      <c r="G22" s="7"/>
      <c r="H22" s="10"/>
      <c r="I22" s="9"/>
      <c r="J22" s="8"/>
      <c r="K22" s="7"/>
      <c r="L22" s="6"/>
      <c r="M22" s="55"/>
      <c r="N22" s="55"/>
      <c r="O22" s="30"/>
    </row>
    <row r="23" spans="1:15" x14ac:dyDescent="0.2">
      <c r="A23" s="11"/>
      <c r="B23" s="31" t="s">
        <v>31</v>
      </c>
      <c r="C23" s="35">
        <v>2</v>
      </c>
      <c r="D23" s="10" t="s">
        <v>15</v>
      </c>
      <c r="E23" s="12">
        <v>75</v>
      </c>
      <c r="F23" s="8">
        <f>C23*E23</f>
        <v>150</v>
      </c>
      <c r="G23" s="7"/>
      <c r="H23" s="10"/>
      <c r="I23" s="9"/>
      <c r="J23" s="8"/>
      <c r="K23" s="7"/>
      <c r="L23" s="6"/>
      <c r="M23" s="55"/>
      <c r="N23" s="55"/>
      <c r="O23" s="30"/>
    </row>
    <row r="24" spans="1:15" x14ac:dyDescent="0.2">
      <c r="A24" s="11"/>
      <c r="B24" s="31" t="s">
        <v>21</v>
      </c>
      <c r="C24" s="35">
        <v>1</v>
      </c>
      <c r="D24" s="10" t="s">
        <v>15</v>
      </c>
      <c r="E24" s="12">
        <v>80</v>
      </c>
      <c r="F24" s="8">
        <f>C24*E24</f>
        <v>80</v>
      </c>
      <c r="G24" s="7"/>
      <c r="H24" s="10"/>
      <c r="I24" s="9"/>
      <c r="J24" s="8"/>
      <c r="K24" s="7"/>
      <c r="L24" s="6"/>
      <c r="M24" s="55"/>
      <c r="N24" s="55"/>
      <c r="O24" s="30"/>
    </row>
    <row r="25" spans="1:15" x14ac:dyDescent="0.2">
      <c r="A25" s="11"/>
      <c r="B25" s="31" t="s">
        <v>23</v>
      </c>
      <c r="C25" s="35">
        <v>0.5</v>
      </c>
      <c r="D25" s="10" t="s">
        <v>15</v>
      </c>
      <c r="E25" s="12">
        <v>80</v>
      </c>
      <c r="F25" s="8">
        <f t="shared" ref="F25" si="2">C25*E25</f>
        <v>40</v>
      </c>
      <c r="G25" s="7"/>
      <c r="H25" s="10"/>
      <c r="I25" s="9"/>
      <c r="J25" s="8"/>
      <c r="K25" s="7"/>
      <c r="L25" s="6"/>
      <c r="M25" s="55"/>
      <c r="N25" s="55"/>
      <c r="O25" s="30"/>
    </row>
    <row r="26" spans="1:15" x14ac:dyDescent="0.2">
      <c r="A26" s="38"/>
      <c r="B26" s="2" t="s">
        <v>2</v>
      </c>
      <c r="C26" s="38"/>
      <c r="D26" s="39"/>
      <c r="E26" s="38"/>
      <c r="F26" s="56">
        <f>SUM(F16:F25)</f>
        <v>645</v>
      </c>
      <c r="G26" s="38"/>
      <c r="H26" s="38"/>
      <c r="I26" s="38"/>
      <c r="J26" s="56">
        <f>SUM(J16:J25)</f>
        <v>203</v>
      </c>
      <c r="K26" s="38"/>
      <c r="L26" s="56">
        <f>SUM(L16:L25)</f>
        <v>0</v>
      </c>
      <c r="M26" s="38"/>
      <c r="N26" s="38"/>
    </row>
    <row r="27" spans="1:15" x14ac:dyDescent="0.2">
      <c r="A27" s="38"/>
      <c r="B27" s="5" t="s">
        <v>1</v>
      </c>
      <c r="C27" s="38"/>
      <c r="D27" s="39"/>
      <c r="E27" s="57">
        <v>0.1</v>
      </c>
      <c r="F27" s="33">
        <f>+E27*F26</f>
        <v>64.5</v>
      </c>
      <c r="G27" s="38"/>
      <c r="H27" s="38"/>
      <c r="I27" s="57">
        <v>0.1</v>
      </c>
      <c r="J27" s="33">
        <f>+I27*J26</f>
        <v>20.3</v>
      </c>
      <c r="K27" s="57">
        <v>0.1</v>
      </c>
      <c r="L27" s="4">
        <f>+K27*L26</f>
        <v>0</v>
      </c>
      <c r="M27" s="38"/>
      <c r="N27" s="38"/>
    </row>
    <row r="28" spans="1:15" x14ac:dyDescent="0.2">
      <c r="A28" s="38"/>
      <c r="B28" s="2" t="s">
        <v>0</v>
      </c>
      <c r="C28" s="38"/>
      <c r="D28" s="39"/>
      <c r="E28" s="38"/>
      <c r="F28" s="34">
        <f>F26+F27</f>
        <v>709.5</v>
      </c>
      <c r="G28" s="55"/>
      <c r="H28" s="55"/>
      <c r="I28" s="55"/>
      <c r="J28" s="34">
        <f>J26+J27</f>
        <v>223.3</v>
      </c>
      <c r="K28" s="55"/>
      <c r="L28" s="3">
        <f>L26+L27</f>
        <v>0</v>
      </c>
      <c r="M28" s="38"/>
      <c r="N28" s="38"/>
    </row>
    <row r="29" spans="1:15" ht="13.5" thickBot="1" x14ac:dyDescent="0.25">
      <c r="A29" s="38"/>
      <c r="B29" s="2"/>
      <c r="C29" s="38"/>
      <c r="D29" s="39"/>
      <c r="E29" s="38"/>
      <c r="F29" s="58"/>
      <c r="G29" s="59"/>
      <c r="H29" s="59"/>
      <c r="I29" s="60"/>
      <c r="J29" s="58"/>
      <c r="K29" s="61"/>
      <c r="L29" s="58"/>
      <c r="M29" s="38"/>
      <c r="N29" s="38"/>
    </row>
    <row r="30" spans="1:15" x14ac:dyDescent="0.2">
      <c r="A30" s="38"/>
      <c r="B30" s="1" t="s">
        <v>17</v>
      </c>
      <c r="C30" s="38"/>
      <c r="D30" s="39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1:15" ht="13.5" thickBot="1" x14ac:dyDescent="0.25">
      <c r="A31" s="38"/>
      <c r="B31" s="32">
        <f>F28+J28+L28</f>
        <v>932.8</v>
      </c>
      <c r="C31" s="38"/>
      <c r="D31" s="39"/>
      <c r="E31" s="38"/>
      <c r="F31" s="38"/>
      <c r="G31" s="38"/>
      <c r="H31" s="38"/>
      <c r="I31" s="38"/>
      <c r="J31" s="38"/>
      <c r="K31" s="38"/>
      <c r="L31" s="38"/>
      <c r="M31" s="38"/>
      <c r="N31" s="38"/>
    </row>
    <row r="32" spans="1:15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</row>
    <row r="33" spans="1:14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</row>
    <row r="34" spans="1:14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</row>
    <row r="35" spans="1:14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spans="1:14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2016-02-15T23:19:16Z</dcterms:modified>
</cp:coreProperties>
</file>