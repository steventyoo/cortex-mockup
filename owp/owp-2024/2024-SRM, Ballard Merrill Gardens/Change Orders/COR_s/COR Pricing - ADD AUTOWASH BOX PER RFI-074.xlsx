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4-SRM, Ballard Merrill Gardens\Change Orders\COR's\"/>
    </mc:Choice>
  </mc:AlternateContent>
  <bookViews>
    <workbookView xWindow="0" yWindow="0" windowWidth="28800" windowHeight="13020"/>
  </bookViews>
  <sheets>
    <sheet name="CGC BP " sheetId="1" r:id="rId1"/>
  </sheets>
  <definedNames>
    <definedName name="_xlnm.Print_Area" localSheetId="0">'CGC BP '!$A$14:$L$28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" l="1"/>
  <c r="J17" i="1"/>
  <c r="J18" i="1"/>
  <c r="J19" i="1"/>
  <c r="F17" i="1"/>
  <c r="J21" i="1"/>
  <c r="J23" i="1" l="1"/>
  <c r="L23" i="1"/>
  <c r="F20" i="1"/>
  <c r="F23" i="1" s="1"/>
  <c r="L24" i="1" l="1"/>
  <c r="L25" i="1" s="1"/>
  <c r="F24" i="1" l="1"/>
  <c r="F25" i="1" s="1"/>
  <c r="J24" i="1"/>
  <c r="J25" i="1" s="1"/>
  <c r="B28" i="1" l="1"/>
</calcChain>
</file>

<file path=xl/sharedStrings.xml><?xml version="1.0" encoding="utf-8"?>
<sst xmlns="http://schemas.openxmlformats.org/spreadsheetml/2006/main" count="37" uniqueCount="27">
  <si>
    <t>Subtotal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</si>
  <si>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</si>
  <si>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</si>
  <si>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</si>
  <si>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</si>
  <si>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</si>
  <si>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</si>
  <si>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</si>
  <si>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</si>
  <si>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</si>
  <si>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</si>
  <si>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</si>
  <si>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</si>
  <si>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</si>
  <si>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</si>
  <si>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HRS</t>
  </si>
  <si>
    <t>Quan</t>
  </si>
  <si>
    <t>TOTAL</t>
  </si>
  <si>
    <t>LS</t>
  </si>
  <si>
    <t>EA</t>
  </si>
  <si>
    <t>2024 BALLARD MERRILL GARDENS</t>
  </si>
  <si>
    <t>AUTOWASH BOX</t>
  </si>
  <si>
    <t>RI MATERIAL</t>
  </si>
  <si>
    <t>RI LABOR</t>
  </si>
  <si>
    <t>PROSET SLEEVE</t>
  </si>
  <si>
    <t>PERMIT</t>
  </si>
  <si>
    <t>RFI-074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</si>
</sst>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  <numFmt numFmtId="168" formatCode="0.0_);[Red]\(0.0\)"/>
  </numFmts>
  <fonts count="9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  <font>
      <b/>
      <sz val="10"/>
      <name val="MS Sans Serif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77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right"/>
    </xf>
    <xf numFmtId="164" fontId="0" fillId="0" borderId="0" xfId="0" applyNumberFormat="1" applyFill="1" applyBorder="1"/>
    <xf numFmtId="0" fontId="2" fillId="0" borderId="0" xfId="0" applyFont="1" applyFill="1" applyAlignment="1">
      <alignment horizontal="right"/>
    </xf>
    <xf numFmtId="8" fontId="1" fillId="2" borderId="0" xfId="1" applyFont="1" applyFill="1"/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/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166" fontId="6" fillId="0" borderId="3" xfId="0" applyNumberFormat="1" applyFont="1" applyBorder="1" applyAlignment="1">
      <alignment horizontal="right" vertical="top" wrapText="1"/>
    </xf>
    <xf numFmtId="165" fontId="6" fillId="0" borderId="3" xfId="0" applyNumberFormat="1" applyFont="1" applyBorder="1" applyAlignment="1">
      <alignment horizontal="right" vertical="top" wrapText="1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167" fontId="0" fillId="4" borderId="7" xfId="0" applyNumberForma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9" xfId="0" applyBorder="1"/>
    <xf numFmtId="0" fontId="0" fillId="0" borderId="10" xfId="0" applyBorder="1"/>
    <xf numFmtId="0" fontId="4" fillId="0" borderId="0" xfId="2" applyFont="1" applyAlignment="1">
      <alignment vertical="center"/>
    </xf>
    <xf numFmtId="14" fontId="1" fillId="0" borderId="11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14" fontId="1" fillId="0" borderId="13" xfId="2" applyNumberFormat="1" applyFont="1" applyBorder="1" applyAlignment="1">
      <alignment horizontal="left"/>
    </xf>
    <xf numFmtId="0" fontId="4" fillId="0" borderId="13" xfId="2" applyFont="1" applyBorder="1" applyAlignment="1">
      <alignment horizontal="center"/>
    </xf>
    <xf numFmtId="0" fontId="1" fillId="0" borderId="13" xfId="2" applyFont="1" applyBorder="1" applyAlignment="1">
      <alignment horizontal="left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1" fillId="0" borderId="15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6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0" fontId="8" fillId="0" borderId="0" xfId="0" applyFont="1"/>
    <xf numFmtId="0" fontId="6" fillId="0" borderId="3" xfId="0" applyFont="1" applyBorder="1" applyAlignment="1">
      <alignment horizontal="left" vertical="top" wrapText="1"/>
    </xf>
    <xf numFmtId="6" fontId="1" fillId="2" borderId="1" xfId="1" applyNumberFormat="1" applyFont="1" applyFill="1" applyBorder="1"/>
    <xf numFmtId="6" fontId="4" fillId="0" borderId="0" xfId="1" applyNumberFormat="1" applyFont="1"/>
    <xf numFmtId="6" fontId="1" fillId="2" borderId="0" xfId="1" applyNumberFormat="1" applyFont="1" applyFill="1"/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2" fillId="6" borderId="19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168" fontId="6" fillId="0" borderId="3" xfId="0" applyNumberFormat="1" applyFont="1" applyBorder="1" applyAlignment="1">
      <alignment horizontal="right" vertical="top" wrapText="1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ADD AUTOWASH BOX PER RFI-074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8"/>
  <sheetViews>
    <sheetView tabSelected="1" zoomScale="130" zoomScaleNormal="130" workbookViewId="0">
      <selection activeCell="A4" sqref="A4:L4"/>
    </sheetView>
  </sheetViews>
  <sheetFormatPr defaultRowHeight="12.75" x14ac:dyDescent="0.2"/>
  <cols>
    <col min="1" max="1" width="4.5703125" bestFit="1" customWidth="1"/>
    <col min="2" max="2" width="25.5703125" customWidth="1"/>
    <col min="3" max="3" width="5" customWidth="1"/>
    <col min="4" max="4" width="5.140625" bestFit="1" customWidth="1"/>
    <col min="5" max="5" width="8.28515625" bestFit="1" customWidth="1"/>
    <col min="6" max="6" width="8.42578125" customWidth="1"/>
    <col min="7" max="7" width="4.85546875" customWidth="1"/>
    <col min="8" max="8" width="5.140625" bestFit="1" customWidth="1"/>
    <col min="9" max="9" width="8" customWidth="1"/>
    <col min="10" max="10" width="7.85546875" customWidth="1"/>
    <col min="11" max="11" width="8" bestFit="1" customWidth="1"/>
    <col min="12" max="12" width="10.85546875" customWidth="1"/>
    <col min="13" max="13" width="11" customWidth="1"/>
    <col min="15" max="15" width="13" customWidth="1"/>
  </cols>
  <sheetData>
    <row r="1" spans="1:15" x14ac:dyDescent="0.2">
      <c r="D1" s="1"/>
      <c r="H1" s="55" t="s">
        <v>13</v>
      </c>
      <c r="I1" s="61" t="s">
        <v>20</v>
      </c>
      <c r="J1" s="61"/>
      <c r="K1" s="61"/>
      <c r="L1" s="61"/>
    </row>
    <row r="2" spans="1:15" x14ac:dyDescent="0.2">
      <c r="D2" s="1"/>
      <c r="G2" s="37"/>
      <c r="H2" s="54" t="s">
        <v>12</v>
      </c>
      <c r="I2" s="62">
        <v>42173</v>
      </c>
      <c r="J2" s="61"/>
      <c r="K2" s="61"/>
      <c r="L2" s="61"/>
    </row>
    <row r="3" spans="1:15" x14ac:dyDescent="0.2">
      <c r="D3" s="1"/>
      <c r="G3" s="37"/>
      <c r="H3" s="54" t="s">
        <v>14</v>
      </c>
      <c r="I3" s="53" t="s">
        <v>26</v>
      </c>
      <c r="J3" s="38"/>
      <c r="K3" s="38"/>
      <c r="L3" s="38"/>
    </row>
    <row r="4" spans="1:15" ht="24" thickBot="1" x14ac:dyDescent="0.4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</row>
    <row r="5" spans="1:15" ht="4.5" customHeight="1" x14ac:dyDescent="0.2">
      <c r="A5" s="67" t="s">
        <v>11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9"/>
    </row>
    <row r="6" spans="1:15" ht="12.75" customHeight="1" x14ac:dyDescent="0.2">
      <c r="A6" s="70"/>
      <c r="B6" s="71"/>
      <c r="C6" s="71"/>
      <c r="D6" s="71"/>
      <c r="E6" s="71"/>
      <c r="F6" s="71"/>
      <c r="G6" s="71"/>
      <c r="H6" s="71"/>
      <c r="I6" s="71"/>
      <c r="J6" s="71"/>
      <c r="K6" s="71"/>
      <c r="L6" s="72"/>
    </row>
    <row r="7" spans="1:15" ht="4.5" customHeight="1" thickBot="1" x14ac:dyDescent="0.25">
      <c r="A7" s="73"/>
      <c r="B7" s="74"/>
      <c r="C7" s="74"/>
      <c r="D7" s="74"/>
      <c r="E7" s="74"/>
      <c r="F7" s="74"/>
      <c r="G7" s="74"/>
      <c r="H7" s="74"/>
      <c r="I7" s="74"/>
      <c r="J7" s="74"/>
      <c r="K7" s="74"/>
      <c r="L7" s="75"/>
    </row>
    <row r="8" spans="1:15" x14ac:dyDescent="0.2">
      <c r="A8" s="52"/>
      <c r="B8" s="50"/>
      <c r="C8" s="50"/>
      <c r="D8" s="51"/>
      <c r="E8" s="50"/>
      <c r="F8" s="50"/>
      <c r="G8" s="37"/>
      <c r="H8" s="49"/>
      <c r="I8" s="39"/>
      <c r="J8" s="38"/>
      <c r="K8" s="38"/>
      <c r="L8" s="48"/>
    </row>
    <row r="9" spans="1:15" x14ac:dyDescent="0.2">
      <c r="A9" s="52"/>
      <c r="B9" s="50"/>
      <c r="C9" s="50"/>
      <c r="D9" s="51"/>
      <c r="E9" s="50"/>
      <c r="F9" s="50"/>
      <c r="G9" s="37"/>
      <c r="H9" s="49"/>
      <c r="I9" s="39"/>
      <c r="J9" s="38"/>
      <c r="K9" s="38"/>
      <c r="L9" s="48"/>
    </row>
    <row r="10" spans="1:15" x14ac:dyDescent="0.2">
      <c r="A10" s="52"/>
      <c r="B10" s="50"/>
      <c r="C10" s="50"/>
      <c r="D10" s="51"/>
      <c r="E10" s="50"/>
      <c r="F10" s="50"/>
      <c r="G10" s="37"/>
      <c r="H10" s="49"/>
      <c r="I10" s="39"/>
      <c r="J10" s="38"/>
      <c r="K10" s="38"/>
      <c r="L10" s="48"/>
    </row>
    <row r="11" spans="1:15" ht="13.5" thickBot="1" x14ac:dyDescent="0.25">
      <c r="A11" s="47"/>
      <c r="B11" s="45"/>
      <c r="C11" s="45"/>
      <c r="D11" s="46"/>
      <c r="E11" s="45"/>
      <c r="F11" s="45"/>
      <c r="G11" s="44"/>
      <c r="H11" s="43"/>
      <c r="I11" s="42"/>
      <c r="J11" s="41"/>
      <c r="K11" s="41"/>
      <c r="L11" s="40"/>
    </row>
    <row r="12" spans="1:15" ht="6" customHeight="1" x14ac:dyDescent="0.2">
      <c r="D12" s="1"/>
      <c r="G12" s="37"/>
      <c r="H12" s="36"/>
      <c r="I12" s="39"/>
      <c r="J12" s="38"/>
      <c r="K12" s="38"/>
      <c r="L12" s="38"/>
    </row>
    <row r="13" spans="1:15" ht="6" customHeight="1" x14ac:dyDescent="0.2">
      <c r="D13" s="1"/>
      <c r="E13" s="37"/>
      <c r="F13" s="36"/>
      <c r="G13" s="35"/>
      <c r="H13" s="35"/>
      <c r="I13" s="35"/>
      <c r="J13" s="34"/>
    </row>
    <row r="14" spans="1:15" x14ac:dyDescent="0.2">
      <c r="A14" s="33"/>
      <c r="B14" s="32"/>
      <c r="C14" s="63" t="s">
        <v>10</v>
      </c>
      <c r="D14" s="64"/>
      <c r="E14" s="64"/>
      <c r="F14" s="65"/>
      <c r="G14" s="31" t="s">
        <v>9</v>
      </c>
      <c r="H14" s="30"/>
      <c r="I14" s="30"/>
      <c r="J14" s="29"/>
      <c r="K14" s="28" t="s">
        <v>8</v>
      </c>
      <c r="L14" s="27"/>
    </row>
    <row r="15" spans="1:15" x14ac:dyDescent="0.2">
      <c r="A15" s="26" t="s">
        <v>7</v>
      </c>
      <c r="B15" s="25" t="s">
        <v>6</v>
      </c>
      <c r="C15" s="23" t="s">
        <v>16</v>
      </c>
      <c r="D15" s="23" t="s">
        <v>4</v>
      </c>
      <c r="E15" s="23" t="s">
        <v>5</v>
      </c>
      <c r="F15" s="24" t="s">
        <v>3</v>
      </c>
      <c r="G15" s="23" t="s">
        <v>16</v>
      </c>
      <c r="H15" s="23" t="s">
        <v>4</v>
      </c>
      <c r="I15" s="23" t="s">
        <v>5</v>
      </c>
      <c r="J15" s="24" t="s">
        <v>3</v>
      </c>
      <c r="K15" s="23" t="s">
        <v>4</v>
      </c>
      <c r="L15" s="23" t="s">
        <v>3</v>
      </c>
    </row>
    <row r="16" spans="1:15" x14ac:dyDescent="0.2">
      <c r="A16" s="20"/>
      <c r="B16" s="57"/>
      <c r="C16" s="22"/>
      <c r="D16" s="19"/>
      <c r="E16" s="21"/>
      <c r="F16" s="17"/>
      <c r="G16" s="16"/>
      <c r="H16" s="19"/>
      <c r="I16" s="18"/>
      <c r="J16" s="17"/>
      <c r="K16" s="16"/>
      <c r="L16" s="15"/>
      <c r="M16" s="56"/>
      <c r="N16" s="56"/>
      <c r="O16" s="56"/>
    </row>
    <row r="17" spans="1:15" x14ac:dyDescent="0.2">
      <c r="A17" s="20"/>
      <c r="B17" s="57" t="s">
        <v>24</v>
      </c>
      <c r="C17" s="76">
        <v>0.5</v>
      </c>
      <c r="D17" s="19" t="s">
        <v>15</v>
      </c>
      <c r="E17" s="21">
        <v>75</v>
      </c>
      <c r="F17" s="17">
        <f>C17*E17</f>
        <v>37.5</v>
      </c>
      <c r="G17" s="16">
        <v>1</v>
      </c>
      <c r="H17" s="19" t="s">
        <v>19</v>
      </c>
      <c r="I17" s="18">
        <v>29</v>
      </c>
      <c r="J17" s="17">
        <f t="shared" ref="J17:J19" si="0">G17*I17</f>
        <v>29</v>
      </c>
      <c r="K17" s="16"/>
      <c r="L17" s="15"/>
      <c r="M17" s="56"/>
      <c r="N17" s="56"/>
      <c r="O17" s="56"/>
    </row>
    <row r="18" spans="1:15" x14ac:dyDescent="0.2">
      <c r="A18" s="20"/>
      <c r="B18" s="57" t="s">
        <v>21</v>
      </c>
      <c r="C18" s="76">
        <v>0.5</v>
      </c>
      <c r="D18" s="19" t="s">
        <v>15</v>
      </c>
      <c r="E18" s="21">
        <v>75</v>
      </c>
      <c r="F18" s="17">
        <f>C18*E18</f>
        <v>37.5</v>
      </c>
      <c r="G18" s="16">
        <v>1</v>
      </c>
      <c r="H18" s="19" t="s">
        <v>19</v>
      </c>
      <c r="I18" s="18">
        <v>65</v>
      </c>
      <c r="J18" s="17">
        <f t="shared" si="0"/>
        <v>65</v>
      </c>
      <c r="K18" s="16"/>
      <c r="L18" s="15"/>
      <c r="M18" s="56"/>
      <c r="N18" s="56"/>
      <c r="O18" s="56"/>
    </row>
    <row r="19" spans="1:15" x14ac:dyDescent="0.2">
      <c r="A19" s="20"/>
      <c r="B19" s="57" t="s">
        <v>22</v>
      </c>
      <c r="C19" s="22"/>
      <c r="D19" s="19"/>
      <c r="E19" s="21"/>
      <c r="F19" s="17"/>
      <c r="G19" s="16">
        <v>1</v>
      </c>
      <c r="H19" s="19" t="s">
        <v>18</v>
      </c>
      <c r="I19" s="18">
        <v>100</v>
      </c>
      <c r="J19" s="17">
        <f t="shared" si="0"/>
        <v>100</v>
      </c>
      <c r="K19" s="16"/>
      <c r="L19" s="15"/>
      <c r="M19" s="56"/>
      <c r="N19" s="56"/>
      <c r="O19" s="56"/>
    </row>
    <row r="20" spans="1:15" x14ac:dyDescent="0.2">
      <c r="A20" s="20"/>
      <c r="B20" s="57" t="s">
        <v>23</v>
      </c>
      <c r="C20" s="22">
        <v>4</v>
      </c>
      <c r="D20" s="19" t="s">
        <v>15</v>
      </c>
      <c r="E20" s="21">
        <v>75</v>
      </c>
      <c r="F20" s="17">
        <f>C20*E20</f>
        <v>300</v>
      </c>
      <c r="G20" s="16"/>
      <c r="H20" s="19"/>
      <c r="I20" s="18"/>
      <c r="J20" s="17"/>
      <c r="K20" s="16"/>
      <c r="L20" s="15"/>
      <c r="M20" s="56"/>
      <c r="N20" s="56"/>
      <c r="O20" s="56"/>
    </row>
    <row r="21" spans="1:15" x14ac:dyDescent="0.2">
      <c r="A21" s="20"/>
      <c r="B21" s="57" t="s">
        <v>25</v>
      </c>
      <c r="C21" s="22"/>
      <c r="D21" s="19"/>
      <c r="E21" s="21"/>
      <c r="F21" s="17"/>
      <c r="G21" s="16">
        <v>1</v>
      </c>
      <c r="H21" s="19" t="s">
        <v>18</v>
      </c>
      <c r="I21" s="18">
        <v>10</v>
      </c>
      <c r="J21" s="17">
        <f>G21*I21</f>
        <v>10</v>
      </c>
      <c r="K21" s="16"/>
      <c r="L21" s="15"/>
      <c r="M21" s="56"/>
      <c r="N21" s="56"/>
      <c r="O21" s="56"/>
    </row>
    <row r="22" spans="1:15" x14ac:dyDescent="0.2">
      <c r="A22" s="20"/>
      <c r="B22" s="57"/>
      <c r="C22" s="22"/>
      <c r="D22" s="19"/>
      <c r="E22" s="21"/>
      <c r="F22" s="17"/>
      <c r="G22" s="16"/>
      <c r="H22" s="19"/>
      <c r="I22" s="18"/>
      <c r="J22" s="17"/>
      <c r="K22" s="16"/>
      <c r="L22" s="15"/>
      <c r="M22" s="56"/>
      <c r="N22" s="56"/>
      <c r="O22" s="56"/>
    </row>
    <row r="23" spans="1:15" x14ac:dyDescent="0.2">
      <c r="B23" s="5" t="s">
        <v>2</v>
      </c>
      <c r="D23" s="1"/>
      <c r="F23" s="14">
        <f>SUM(F16:F22)</f>
        <v>375</v>
      </c>
      <c r="J23" s="14">
        <f>SUM(J16:J22)</f>
        <v>204</v>
      </c>
      <c r="L23" s="14">
        <f>SUM(L16:L22)</f>
        <v>0</v>
      </c>
    </row>
    <row r="24" spans="1:15" x14ac:dyDescent="0.2">
      <c r="B24" s="12" t="s">
        <v>1</v>
      </c>
      <c r="D24" s="1"/>
      <c r="E24" s="13">
        <v>0.1</v>
      </c>
      <c r="F24" s="59">
        <f>+E24*F23</f>
        <v>37.5</v>
      </c>
      <c r="I24" s="13">
        <v>0.1</v>
      </c>
      <c r="J24" s="59">
        <f>+I24*J23</f>
        <v>20.400000000000002</v>
      </c>
      <c r="K24" s="13">
        <v>0.1</v>
      </c>
      <c r="L24" s="11">
        <f>+K24*L23</f>
        <v>0</v>
      </c>
    </row>
    <row r="25" spans="1:15" x14ac:dyDescent="0.2">
      <c r="B25" s="10" t="s">
        <v>0</v>
      </c>
      <c r="D25" s="1"/>
      <c r="F25" s="60">
        <f>F23+F24</f>
        <v>412.5</v>
      </c>
      <c r="G25" s="9"/>
      <c r="H25" s="9"/>
      <c r="I25" s="9"/>
      <c r="J25" s="60">
        <f>J23+J24</f>
        <v>224.4</v>
      </c>
      <c r="K25" s="9"/>
      <c r="L25" s="8">
        <f>L23+L24</f>
        <v>0</v>
      </c>
    </row>
    <row r="26" spans="1:15" ht="13.5" thickBot="1" x14ac:dyDescent="0.25">
      <c r="B26" s="5"/>
      <c r="D26" s="1"/>
      <c r="F26" s="3"/>
      <c r="G26" s="4"/>
      <c r="H26" s="4"/>
      <c r="I26" s="7"/>
      <c r="J26" s="3"/>
      <c r="K26" s="6"/>
      <c r="L26" s="3"/>
    </row>
    <row r="27" spans="1:15" x14ac:dyDescent="0.2">
      <c r="B27" s="2" t="s">
        <v>17</v>
      </c>
      <c r="D27" s="1"/>
    </row>
    <row r="28" spans="1:15" ht="13.5" thickBot="1" x14ac:dyDescent="0.25">
      <c r="B28" s="58">
        <f>F25+J25+L25</f>
        <v>636.9</v>
      </c>
      <c r="D28" s="1"/>
    </row>
  </sheetData>
  <mergeCells count="5">
    <mergeCell ref="I1:L1"/>
    <mergeCell ref="I2:L2"/>
    <mergeCell ref="C14:F14"/>
    <mergeCell ref="A4:L4"/>
    <mergeCell ref="A5:L7"/>
  </mergeCells>
  <pageMargins left="0.75" right="0.75" top="1" bottom="1" header="0.5" footer="0.5"/>
  <pageSetup scale="9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2014-07-31T22:18:24Z</cp:lastPrinted>
  <dcterms:created xsi:type="dcterms:W3CDTF">2014-07-14T23:11:07Z</dcterms:created>
  <dcterms:modified xsi:type="dcterms:W3CDTF">2015-06-19T00:39:25Z</dcterms:modified>
</cp:coreProperties>
</file>