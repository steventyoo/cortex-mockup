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4-SRM, Ballard Merrill Garden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1" l="1"/>
  <c r="J28" i="1"/>
  <c r="F27" i="1"/>
  <c r="F28" i="1"/>
  <c r="F45" i="1"/>
  <c r="J40" i="1"/>
  <c r="J36" i="1"/>
  <c r="F33" i="1"/>
  <c r="J31" i="1"/>
  <c r="J24" i="1"/>
  <c r="J21" i="1"/>
  <c r="J19" i="1"/>
  <c r="F43" i="1" l="1"/>
  <c r="F42" i="1"/>
  <c r="J41" i="1"/>
  <c r="F40" i="1"/>
  <c r="J26" i="1"/>
  <c r="J29" i="1"/>
  <c r="J30" i="1"/>
  <c r="F30" i="1"/>
  <c r="F26" i="1"/>
  <c r="J32" i="1"/>
  <c r="J25" i="1"/>
  <c r="F25" i="1"/>
  <c r="F29" i="1"/>
  <c r="F36" i="1" l="1"/>
  <c r="F31" i="1"/>
  <c r="F24" i="1"/>
  <c r="J17" i="1"/>
  <c r="J46" i="1" s="1"/>
  <c r="F18" i="1"/>
  <c r="F21" i="1" l="1"/>
  <c r="L46" i="1"/>
  <c r="F19" i="1" l="1"/>
  <c r="F46" i="1" s="1"/>
  <c r="L47" i="1" l="1"/>
  <c r="L48" i="1" s="1"/>
  <c r="F47" i="1" l="1"/>
  <c r="F48" i="1" s="1"/>
  <c r="J47" i="1"/>
  <c r="J48" i="1" s="1"/>
  <c r="B51" i="1" l="1"/>
</calcChain>
</file>

<file path=xl/sharedStrings.xml><?xml version="1.0" encoding="utf-8"?>
<sst xmlns="http://schemas.openxmlformats.org/spreadsheetml/2006/main" count="86" uniqueCount="50">
  <si>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</si>
  <si>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</si>
  <si>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</si>
  <si>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</si>
  <si>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</si>
  <si>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</si>
  <si>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</si>
  <si>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</si>
  <si>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</si>
  <si>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</si>
  <si>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</si>
  <si>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</si>
  <si>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</si>
  <si>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</si>
  <si>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</si>
  <si>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HRS</t>
  </si>
  <si>
    <t>Quan</t>
  </si>
  <si>
    <t>TOTAL</t>
  </si>
  <si>
    <t>EA</t>
  </si>
  <si>
    <t>2024 BALLARD MERRILL GARDENS</t>
  </si>
  <si>
    <t>ASI-039</t>
  </si>
  <si>
    <t>FLOOR TROUGH SUPPLY</t>
  </si>
  <si>
    <t>FLOOR TROUGH INSTALLATION</t>
  </si>
  <si>
    <t>WASTE PIPING</t>
  </si>
  <si>
    <t>HOT &amp; COLD WATER CONNECTIONS</t>
  </si>
  <si>
    <t>GAS PIPING</t>
  </si>
  <si>
    <t>THREE COLD WATER CONNECTIONS (TWO FOR UNIT, ONE FOR TEMPERED DRAIN CONNECTION)</t>
  </si>
  <si>
    <t>GAS CONNECTOR KIT - ITEM 69</t>
  </si>
  <si>
    <t>WATER CONNECTION</t>
  </si>
  <si>
    <t>EXCLUDES DRAFT EXHAUST VENT CONNECTION</t>
  </si>
  <si>
    <t>EXCLUDES FLUE GAS EXHAUST VENT CONNECTION</t>
  </si>
  <si>
    <t>GAS IS A WASH - OLD 67 VERSUS NEW 66</t>
  </si>
  <si>
    <t>TEMPERED DRAIN VALVE</t>
  </si>
  <si>
    <t>WATTS LF007 BACKFLOW</t>
  </si>
  <si>
    <t>LOT</t>
  </si>
  <si>
    <t>INDIRECT DRAIN CONNECTION FOR STEAMER - COPPER</t>
  </si>
  <si>
    <t>ITEM 71 IS A WASH</t>
  </si>
  <si>
    <t>POT FILLER FAUCET - ITEM 72</t>
  </si>
  <si>
    <t>T&amp;S BRASS FAUCET SUPPLY</t>
  </si>
  <si>
    <t>T&amp;S BRASS FAUCET INSTALL</t>
  </si>
  <si>
    <t>INSTALL BACKING AND SUPPORT FOR FAUCET</t>
  </si>
  <si>
    <t>TRIM</t>
  </si>
  <si>
    <t>BACKFLOW PERMIT</t>
  </si>
  <si>
    <t>CHANGE MANAGEMENT</t>
  </si>
  <si>
    <t>BACKFLOW INSPECTION</t>
  </si>
  <si>
    <t>DELETE WATER FOR COMBINATION OVEN-STEAMER AND CONVECTION OVEN - NEW ITEM 70</t>
  </si>
  <si>
    <t>DELETE IMC/Teddy ASFT-2436-SG floor trough drain - OLD ITEM 66</t>
  </si>
  <si>
    <t>DELETE WATER PIPING FOR TILTING STEAM KETTLE - OLD ITEM 67</t>
  </si>
  <si>
    <t>ADD WATER, GAS &amp; INDIRECT DRAIN FOR CONVECTION STEAMER - NEW ITEM 68</t>
  </si>
  <si>
    <t>INDIRECT DRAIN FOR BACKFLOW -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</si>
</sst>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9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MS Sans Serif"/>
    </font>
    <font>
      <b/>
      <sz val="8"/>
      <name val="Arial"/>
      <family val="2"/>
    </font>
    <font>
      <b/>
      <sz val="10"/>
      <color rgb="FFFF0000"/>
      <name val="Arial"/>
      <family val="2"/>
    </font>
    <font>
      <b/>
      <sz val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9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166" fontId="4" fillId="0" borderId="3" xfId="0" applyNumberFormat="1" applyFont="1" applyBorder="1" applyAlignment="1">
      <alignment horizontal="right" vertical="top" wrapText="1"/>
    </xf>
    <xf numFmtId="165" fontId="4" fillId="0" borderId="3" xfId="0" applyNumberFormat="1" applyFont="1" applyBorder="1" applyAlignment="1">
      <alignment horizontal="right"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0" fontId="5" fillId="0" borderId="0" xfId="0" applyFont="1"/>
    <xf numFmtId="0" fontId="4" fillId="0" borderId="3" xfId="0" applyFont="1" applyBorder="1" applyAlignment="1">
      <alignment horizontal="left" vertical="top" wrapText="1"/>
    </xf>
    <xf numFmtId="6" fontId="1" fillId="2" borderId="1" xfId="1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6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 indent="2"/>
    </xf>
    <xf numFmtId="0" fontId="4" fillId="7" borderId="3" xfId="0" applyFont="1" applyFill="1" applyBorder="1" applyAlignment="1">
      <alignment horizontal="left" vertical="top" wrapText="1" indent="2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7" fontId="3" fillId="4" borderId="7" xfId="0" applyNumberFormat="1" applyFont="1" applyFill="1" applyBorder="1" applyAlignment="1">
      <alignment horizontal="centerContinuous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9" fontId="7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0" fontId="8" fillId="0" borderId="13" xfId="0" applyFont="1" applyBorder="1" applyAlignment="1">
      <alignment horizontal="center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164" fontId="3" fillId="0" borderId="0" xfId="0" applyNumberFormat="1" applyFont="1" applyFill="1" applyBorder="1"/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1"/>
  <sheetViews>
    <sheetView tabSelected="1" topLeftCell="A21" zoomScale="130" zoomScaleNormal="130" workbookViewId="0">
      <selection activeCell="B14" sqref="B14:J51"/>
    </sheetView>
  </sheetViews>
  <sheetFormatPr defaultRowHeight="12.75" x14ac:dyDescent="0.2"/>
  <cols>
    <col min="1" max="1" width="4.5703125" style="51" bestFit="1" customWidth="1"/>
    <col min="2" max="2" width="56.28515625" style="51" customWidth="1"/>
    <col min="3" max="3" width="5" style="51" customWidth="1"/>
    <col min="4" max="4" width="5.140625" style="51" bestFit="1" customWidth="1"/>
    <col min="5" max="5" width="8.28515625" style="51" bestFit="1" customWidth="1"/>
    <col min="6" max="6" width="8.42578125" style="51" customWidth="1"/>
    <col min="7" max="7" width="4.85546875" style="51" customWidth="1"/>
    <col min="8" max="8" width="5.140625" style="51" bestFit="1" customWidth="1"/>
    <col min="9" max="9" width="8" style="51" customWidth="1"/>
    <col min="10" max="10" width="7.85546875" style="51" customWidth="1"/>
    <col min="11" max="11" width="8" style="51" bestFit="1" customWidth="1"/>
    <col min="12" max="12" width="10.85546875" style="51" customWidth="1"/>
    <col min="13" max="13" width="11" style="51" customWidth="1"/>
    <col min="15" max="15" width="13" customWidth="1"/>
  </cols>
  <sheetData>
    <row r="1" spans="1:15" x14ac:dyDescent="0.2">
      <c r="D1" s="52"/>
      <c r="H1" s="29" t="s">
        <v>13</v>
      </c>
      <c r="I1" s="40" t="s">
        <v>19</v>
      </c>
      <c r="J1" s="40"/>
      <c r="K1" s="40"/>
      <c r="L1" s="40"/>
    </row>
    <row r="2" spans="1:15" x14ac:dyDescent="0.2">
      <c r="D2" s="52"/>
      <c r="G2" s="19"/>
      <c r="H2" s="28" t="s">
        <v>12</v>
      </c>
      <c r="I2" s="41">
        <v>42347</v>
      </c>
      <c r="J2" s="40"/>
      <c r="K2" s="40"/>
      <c r="L2" s="40"/>
    </row>
    <row r="3" spans="1:15" x14ac:dyDescent="0.2">
      <c r="D3" s="52"/>
      <c r="G3" s="19"/>
      <c r="H3" s="28" t="s">
        <v>14</v>
      </c>
      <c r="I3" s="27" t="s">
        <v>20</v>
      </c>
      <c r="J3" s="38"/>
      <c r="K3" s="38"/>
      <c r="L3" s="38"/>
    </row>
    <row r="4" spans="1:15" ht="24" thickBot="1" x14ac:dyDescent="0.4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15" ht="4.5" customHeight="1" x14ac:dyDescent="0.2">
      <c r="A5" s="60" t="s">
        <v>11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2"/>
    </row>
    <row r="6" spans="1:15" ht="12.75" customHeight="1" x14ac:dyDescent="0.2">
      <c r="A6" s="63"/>
      <c r="B6" s="64"/>
      <c r="C6" s="64"/>
      <c r="D6" s="64"/>
      <c r="E6" s="64"/>
      <c r="F6" s="64"/>
      <c r="G6" s="64"/>
      <c r="H6" s="64"/>
      <c r="I6" s="64"/>
      <c r="J6" s="64"/>
      <c r="K6" s="64"/>
      <c r="L6" s="65"/>
    </row>
    <row r="7" spans="1:15" ht="4.5" customHeight="1" thickBot="1" x14ac:dyDescent="0.25">
      <c r="A7" s="66"/>
      <c r="B7" s="67"/>
      <c r="C7" s="67"/>
      <c r="D7" s="67"/>
      <c r="E7" s="67"/>
      <c r="F7" s="67"/>
      <c r="G7" s="67"/>
      <c r="H7" s="67"/>
      <c r="I7" s="67"/>
      <c r="J7" s="67"/>
      <c r="K7" s="67"/>
      <c r="L7" s="68"/>
    </row>
    <row r="8" spans="1:15" x14ac:dyDescent="0.2">
      <c r="A8" s="69"/>
      <c r="B8" s="70"/>
      <c r="C8" s="70"/>
      <c r="D8" s="71"/>
      <c r="E8" s="70"/>
      <c r="F8" s="70"/>
      <c r="G8" s="19"/>
      <c r="H8" s="26"/>
      <c r="I8" s="39"/>
      <c r="J8" s="38"/>
      <c r="K8" s="38"/>
      <c r="L8" s="25"/>
    </row>
    <row r="9" spans="1:15" x14ac:dyDescent="0.2">
      <c r="A9" s="69"/>
      <c r="B9" s="70"/>
      <c r="C9" s="70"/>
      <c r="D9" s="71"/>
      <c r="E9" s="70"/>
      <c r="F9" s="70"/>
      <c r="G9" s="19"/>
      <c r="H9" s="26"/>
      <c r="I9" s="39"/>
      <c r="J9" s="38"/>
      <c r="K9" s="38"/>
      <c r="L9" s="25"/>
    </row>
    <row r="10" spans="1:15" x14ac:dyDescent="0.2">
      <c r="A10" s="69"/>
      <c r="B10" s="70"/>
      <c r="C10" s="70"/>
      <c r="D10" s="71"/>
      <c r="E10" s="70"/>
      <c r="F10" s="70"/>
      <c r="G10" s="19"/>
      <c r="H10" s="26"/>
      <c r="I10" s="39"/>
      <c r="J10" s="38"/>
      <c r="K10" s="38"/>
      <c r="L10" s="25"/>
    </row>
    <row r="11" spans="1:15" ht="13.5" thickBot="1" x14ac:dyDescent="0.25">
      <c r="A11" s="72"/>
      <c r="B11" s="73"/>
      <c r="C11" s="73"/>
      <c r="D11" s="74"/>
      <c r="E11" s="73"/>
      <c r="F11" s="73"/>
      <c r="G11" s="24"/>
      <c r="H11" s="23"/>
      <c r="I11" s="22"/>
      <c r="J11" s="21"/>
      <c r="K11" s="21"/>
      <c r="L11" s="20"/>
    </row>
    <row r="12" spans="1:15" ht="6" customHeight="1" x14ac:dyDescent="0.2">
      <c r="D12" s="52"/>
      <c r="G12" s="19"/>
      <c r="H12" s="18"/>
      <c r="I12" s="39"/>
      <c r="J12" s="38"/>
      <c r="K12" s="38"/>
      <c r="L12" s="38"/>
    </row>
    <row r="13" spans="1:15" ht="6" customHeight="1" x14ac:dyDescent="0.2">
      <c r="D13" s="52"/>
      <c r="E13" s="19"/>
      <c r="F13" s="18"/>
      <c r="G13" s="17"/>
      <c r="H13" s="17"/>
      <c r="I13" s="17"/>
      <c r="J13" s="16"/>
    </row>
    <row r="14" spans="1:15" x14ac:dyDescent="0.2">
      <c r="A14" s="75"/>
      <c r="B14" s="45"/>
      <c r="C14" s="42" t="s">
        <v>10</v>
      </c>
      <c r="D14" s="43"/>
      <c r="E14" s="43"/>
      <c r="F14" s="44"/>
      <c r="G14" s="15" t="s">
        <v>9</v>
      </c>
      <c r="H14" s="46"/>
      <c r="I14" s="46"/>
      <c r="J14" s="47"/>
      <c r="K14" s="14" t="s">
        <v>8</v>
      </c>
      <c r="L14" s="76"/>
    </row>
    <row r="15" spans="1:15" x14ac:dyDescent="0.2">
      <c r="A15" s="77" t="s">
        <v>7</v>
      </c>
      <c r="B15" s="48" t="s">
        <v>6</v>
      </c>
      <c r="C15" s="49" t="s">
        <v>16</v>
      </c>
      <c r="D15" s="49" t="s">
        <v>4</v>
      </c>
      <c r="E15" s="49" t="s">
        <v>5</v>
      </c>
      <c r="F15" s="50" t="s">
        <v>3</v>
      </c>
      <c r="G15" s="49" t="s">
        <v>16</v>
      </c>
      <c r="H15" s="49" t="s">
        <v>4</v>
      </c>
      <c r="I15" s="49" t="s">
        <v>5</v>
      </c>
      <c r="J15" s="50" t="s">
        <v>3</v>
      </c>
      <c r="K15" s="49" t="s">
        <v>4</v>
      </c>
      <c r="L15" s="49" t="s">
        <v>3</v>
      </c>
    </row>
    <row r="16" spans="1:15" x14ac:dyDescent="0.2">
      <c r="A16" s="11"/>
      <c r="B16" s="35" t="s">
        <v>46</v>
      </c>
      <c r="C16" s="13"/>
      <c r="D16" s="10"/>
      <c r="E16" s="12"/>
      <c r="F16" s="8"/>
      <c r="G16" s="7"/>
      <c r="H16" s="10"/>
      <c r="I16" s="9"/>
      <c r="J16" s="8"/>
      <c r="K16" s="7"/>
      <c r="L16" s="6"/>
      <c r="M16" s="55"/>
      <c r="N16" s="30"/>
      <c r="O16" s="30"/>
    </row>
    <row r="17" spans="1:15" x14ac:dyDescent="0.2">
      <c r="A17" s="11"/>
      <c r="B17" s="36" t="s">
        <v>21</v>
      </c>
      <c r="C17" s="13"/>
      <c r="D17" s="10"/>
      <c r="E17" s="12"/>
      <c r="F17" s="8"/>
      <c r="G17" s="7">
        <v>-1</v>
      </c>
      <c r="H17" s="10" t="s">
        <v>18</v>
      </c>
      <c r="I17" s="9">
        <v>1326</v>
      </c>
      <c r="J17" s="8">
        <f t="shared" ref="J17:J19" si="0">G17*I17</f>
        <v>-1326</v>
      </c>
      <c r="K17" s="7"/>
      <c r="L17" s="6"/>
      <c r="M17" s="55"/>
      <c r="N17" s="30"/>
      <c r="O17" s="30"/>
    </row>
    <row r="18" spans="1:15" x14ac:dyDescent="0.2">
      <c r="A18" s="11"/>
      <c r="B18" s="36" t="s">
        <v>22</v>
      </c>
      <c r="C18" s="13">
        <v>-2</v>
      </c>
      <c r="D18" s="10" t="s">
        <v>15</v>
      </c>
      <c r="E18" s="12">
        <v>60.5</v>
      </c>
      <c r="F18" s="8">
        <f>C18*E18</f>
        <v>-121</v>
      </c>
      <c r="G18" s="7"/>
      <c r="H18" s="10"/>
      <c r="I18" s="9"/>
      <c r="J18" s="8"/>
      <c r="K18" s="7"/>
      <c r="L18" s="6"/>
      <c r="M18" s="55"/>
      <c r="N18" s="30"/>
      <c r="O18" s="30"/>
    </row>
    <row r="19" spans="1:15" x14ac:dyDescent="0.2">
      <c r="A19" s="11"/>
      <c r="B19" s="36" t="s">
        <v>23</v>
      </c>
      <c r="C19" s="13">
        <v>-1</v>
      </c>
      <c r="D19" s="10" t="s">
        <v>15</v>
      </c>
      <c r="E19" s="12">
        <v>60.5</v>
      </c>
      <c r="F19" s="8">
        <f>C19*E19</f>
        <v>-60.5</v>
      </c>
      <c r="G19" s="7">
        <v>-1</v>
      </c>
      <c r="H19" s="10" t="s">
        <v>34</v>
      </c>
      <c r="I19" s="9">
        <v>45</v>
      </c>
      <c r="J19" s="8">
        <f t="shared" si="0"/>
        <v>-45</v>
      </c>
      <c r="K19" s="7"/>
      <c r="L19" s="6"/>
      <c r="M19" s="55"/>
      <c r="N19" s="30"/>
      <c r="O19" s="30"/>
    </row>
    <row r="20" spans="1:15" x14ac:dyDescent="0.2">
      <c r="A20" s="11"/>
      <c r="B20" s="35" t="s">
        <v>47</v>
      </c>
      <c r="C20" s="13"/>
      <c r="D20" s="10"/>
      <c r="E20" s="12"/>
      <c r="F20" s="8"/>
      <c r="G20" s="7"/>
      <c r="H20" s="10"/>
      <c r="I20" s="9"/>
      <c r="J20" s="8"/>
      <c r="K20" s="7"/>
      <c r="L20" s="6"/>
      <c r="M20" s="55"/>
      <c r="N20" s="30"/>
      <c r="O20" s="30"/>
    </row>
    <row r="21" spans="1:15" x14ac:dyDescent="0.2">
      <c r="A21" s="11"/>
      <c r="B21" s="36" t="s">
        <v>24</v>
      </c>
      <c r="C21" s="13">
        <v>-1</v>
      </c>
      <c r="D21" s="10" t="s">
        <v>15</v>
      </c>
      <c r="E21" s="12">
        <v>60.5</v>
      </c>
      <c r="F21" s="8">
        <f>C21*E21</f>
        <v>-60.5</v>
      </c>
      <c r="G21" s="7">
        <v>-2</v>
      </c>
      <c r="H21" s="10" t="s">
        <v>34</v>
      </c>
      <c r="I21" s="9">
        <v>18</v>
      </c>
      <c r="J21" s="8">
        <f t="shared" ref="J21" si="1">G21*I21</f>
        <v>-36</v>
      </c>
      <c r="K21" s="7"/>
      <c r="L21" s="6"/>
      <c r="M21" s="55"/>
      <c r="N21" s="30"/>
      <c r="O21" s="30"/>
    </row>
    <row r="22" spans="1:15" x14ac:dyDescent="0.2">
      <c r="A22" s="11"/>
      <c r="B22" s="36" t="s">
        <v>31</v>
      </c>
      <c r="C22" s="13"/>
      <c r="D22" s="10"/>
      <c r="E22" s="12"/>
      <c r="F22" s="8"/>
      <c r="G22" s="7"/>
      <c r="H22" s="10"/>
      <c r="I22" s="9"/>
      <c r="J22" s="8"/>
      <c r="K22" s="7"/>
      <c r="L22" s="6"/>
      <c r="M22" s="55"/>
      <c r="N22" s="30"/>
      <c r="O22" s="30"/>
    </row>
    <row r="23" spans="1:15" ht="22.5" x14ac:dyDescent="0.2">
      <c r="A23" s="11"/>
      <c r="B23" s="35" t="s">
        <v>48</v>
      </c>
      <c r="C23" s="13"/>
      <c r="D23" s="10"/>
      <c r="E23" s="12"/>
      <c r="F23" s="8"/>
      <c r="G23" s="7"/>
      <c r="H23" s="10"/>
      <c r="I23" s="9"/>
      <c r="J23" s="8"/>
      <c r="K23" s="7"/>
      <c r="L23" s="6"/>
      <c r="M23" s="55"/>
      <c r="N23" s="30"/>
      <c r="O23" s="30"/>
    </row>
    <row r="24" spans="1:15" ht="22.5" x14ac:dyDescent="0.2">
      <c r="A24" s="11"/>
      <c r="B24" s="36" t="s">
        <v>26</v>
      </c>
      <c r="C24" s="13">
        <v>2</v>
      </c>
      <c r="D24" s="10" t="s">
        <v>15</v>
      </c>
      <c r="E24" s="12">
        <v>60.5</v>
      </c>
      <c r="F24" s="8">
        <f>C24*E24</f>
        <v>121</v>
      </c>
      <c r="G24" s="7">
        <v>3</v>
      </c>
      <c r="H24" s="10" t="s">
        <v>34</v>
      </c>
      <c r="I24" s="9">
        <v>18</v>
      </c>
      <c r="J24" s="8">
        <f t="shared" ref="J24" si="2">G24*I24</f>
        <v>54</v>
      </c>
      <c r="K24" s="7"/>
      <c r="L24" s="6"/>
      <c r="M24" s="55"/>
      <c r="N24" s="30"/>
      <c r="O24" s="30"/>
    </row>
    <row r="25" spans="1:15" x14ac:dyDescent="0.2">
      <c r="A25" s="11"/>
      <c r="B25" s="36" t="s">
        <v>32</v>
      </c>
      <c r="C25" s="13">
        <v>2</v>
      </c>
      <c r="D25" s="10" t="s">
        <v>15</v>
      </c>
      <c r="E25" s="12">
        <v>60.5</v>
      </c>
      <c r="F25" s="8">
        <f>C25*E25</f>
        <v>121</v>
      </c>
      <c r="G25" s="7">
        <v>1</v>
      </c>
      <c r="H25" s="10" t="s">
        <v>18</v>
      </c>
      <c r="I25" s="9">
        <v>268</v>
      </c>
      <c r="J25" s="8">
        <f>G25*I25</f>
        <v>268</v>
      </c>
      <c r="K25" s="7"/>
      <c r="L25" s="6"/>
      <c r="M25" s="55"/>
      <c r="N25" s="30"/>
      <c r="O25" s="30"/>
    </row>
    <row r="26" spans="1:15" x14ac:dyDescent="0.2">
      <c r="A26" s="11"/>
      <c r="B26" s="36" t="s">
        <v>33</v>
      </c>
      <c r="C26" s="13">
        <v>3</v>
      </c>
      <c r="D26" s="10" t="s">
        <v>15</v>
      </c>
      <c r="E26" s="12">
        <v>60.5</v>
      </c>
      <c r="F26" s="8">
        <f>C26*E26</f>
        <v>181.5</v>
      </c>
      <c r="G26" s="7">
        <v>1</v>
      </c>
      <c r="H26" s="10" t="s">
        <v>18</v>
      </c>
      <c r="I26" s="9">
        <v>254</v>
      </c>
      <c r="J26" s="8">
        <f>G26*I26</f>
        <v>254</v>
      </c>
      <c r="K26" s="7"/>
      <c r="L26" s="6"/>
      <c r="M26" s="55"/>
      <c r="N26" s="30"/>
      <c r="O26" s="30"/>
    </row>
    <row r="27" spans="1:15" x14ac:dyDescent="0.2">
      <c r="A27" s="11"/>
      <c r="B27" s="36" t="s">
        <v>42</v>
      </c>
      <c r="C27" s="13">
        <v>1</v>
      </c>
      <c r="D27" s="10" t="s">
        <v>15</v>
      </c>
      <c r="E27" s="12">
        <v>60.5</v>
      </c>
      <c r="F27" s="8">
        <f t="shared" ref="F27:F28" si="3">C27*E27</f>
        <v>60.5</v>
      </c>
      <c r="G27" s="7">
        <v>1</v>
      </c>
      <c r="H27" s="10" t="s">
        <v>18</v>
      </c>
      <c r="I27" s="9">
        <v>75</v>
      </c>
      <c r="J27" s="8">
        <f t="shared" ref="J27:J28" si="4">G27*I27</f>
        <v>75</v>
      </c>
      <c r="K27" s="7"/>
      <c r="L27" s="6"/>
      <c r="M27" s="55"/>
      <c r="N27" s="30"/>
      <c r="O27" s="30"/>
    </row>
    <row r="28" spans="1:15" x14ac:dyDescent="0.2">
      <c r="A28" s="11"/>
      <c r="B28" s="36" t="s">
        <v>44</v>
      </c>
      <c r="C28" s="13">
        <v>1</v>
      </c>
      <c r="D28" s="10" t="s">
        <v>15</v>
      </c>
      <c r="E28" s="12">
        <v>60.5</v>
      </c>
      <c r="F28" s="8">
        <f t="shared" si="3"/>
        <v>60.5</v>
      </c>
      <c r="G28" s="7">
        <v>1</v>
      </c>
      <c r="H28" s="10" t="s">
        <v>18</v>
      </c>
      <c r="I28" s="9">
        <v>48</v>
      </c>
      <c r="J28" s="8">
        <f t="shared" si="4"/>
        <v>48</v>
      </c>
      <c r="K28" s="7"/>
      <c r="L28" s="6"/>
      <c r="M28" s="55"/>
      <c r="N28" s="30"/>
      <c r="O28" s="30"/>
    </row>
    <row r="29" spans="1:15" x14ac:dyDescent="0.2">
      <c r="A29" s="11"/>
      <c r="B29" s="36" t="s">
        <v>35</v>
      </c>
      <c r="C29" s="13">
        <v>2</v>
      </c>
      <c r="D29" s="10" t="s">
        <v>15</v>
      </c>
      <c r="E29" s="12">
        <v>60.5</v>
      </c>
      <c r="F29" s="8">
        <f t="shared" ref="F29:F33" si="5">C29*E29</f>
        <v>121</v>
      </c>
      <c r="G29" s="7">
        <v>1</v>
      </c>
      <c r="H29" s="10" t="s">
        <v>34</v>
      </c>
      <c r="I29" s="9">
        <v>60</v>
      </c>
      <c r="J29" s="8">
        <f t="shared" ref="J29:J30" si="6">G29*I29</f>
        <v>60</v>
      </c>
      <c r="K29" s="7"/>
      <c r="L29" s="6"/>
      <c r="M29" s="55"/>
      <c r="N29" s="30"/>
      <c r="O29" s="30"/>
    </row>
    <row r="30" spans="1:15" x14ac:dyDescent="0.2">
      <c r="A30" s="11"/>
      <c r="B30" s="36" t="s">
        <v>49</v>
      </c>
      <c r="C30" s="13">
        <v>2</v>
      </c>
      <c r="D30" s="10" t="s">
        <v>15</v>
      </c>
      <c r="E30" s="12">
        <v>60.5</v>
      </c>
      <c r="F30" s="8">
        <f t="shared" ref="F30" si="7">C30*E30</f>
        <v>121</v>
      </c>
      <c r="G30" s="7">
        <v>1</v>
      </c>
      <c r="H30" s="10" t="s">
        <v>34</v>
      </c>
      <c r="I30" s="9">
        <v>60</v>
      </c>
      <c r="J30" s="8">
        <f t="shared" si="6"/>
        <v>60</v>
      </c>
      <c r="K30" s="7"/>
      <c r="L30" s="6"/>
      <c r="M30" s="55"/>
      <c r="N30" s="30"/>
      <c r="O30" s="30"/>
    </row>
    <row r="31" spans="1:15" x14ac:dyDescent="0.2">
      <c r="A31" s="11"/>
      <c r="B31" s="36" t="s">
        <v>25</v>
      </c>
      <c r="C31" s="13">
        <v>2</v>
      </c>
      <c r="D31" s="10" t="s">
        <v>15</v>
      </c>
      <c r="E31" s="12">
        <v>60.5</v>
      </c>
      <c r="F31" s="8">
        <f t="shared" si="5"/>
        <v>121</v>
      </c>
      <c r="G31" s="7">
        <v>1</v>
      </c>
      <c r="H31" s="10" t="s">
        <v>34</v>
      </c>
      <c r="I31" s="9">
        <v>34</v>
      </c>
      <c r="J31" s="8">
        <f t="shared" ref="J31" si="8">G31*I31</f>
        <v>34</v>
      </c>
      <c r="K31" s="7"/>
      <c r="L31" s="6"/>
      <c r="M31" s="55"/>
      <c r="N31" s="30"/>
      <c r="O31" s="30"/>
    </row>
    <row r="32" spans="1:15" x14ac:dyDescent="0.2">
      <c r="A32" s="11"/>
      <c r="B32" s="36" t="s">
        <v>27</v>
      </c>
      <c r="C32" s="13"/>
      <c r="D32" s="10"/>
      <c r="E32" s="12"/>
      <c r="F32" s="8"/>
      <c r="G32" s="7">
        <v>1</v>
      </c>
      <c r="H32" s="10" t="s">
        <v>18</v>
      </c>
      <c r="I32" s="9">
        <v>264</v>
      </c>
      <c r="J32" s="8">
        <f t="shared" ref="J32" si="9">G32*I32</f>
        <v>264</v>
      </c>
      <c r="K32" s="7"/>
      <c r="L32" s="6"/>
      <c r="M32" s="55"/>
      <c r="N32" s="30"/>
      <c r="O32" s="30"/>
    </row>
    <row r="33" spans="1:15" x14ac:dyDescent="0.2">
      <c r="A33" s="11"/>
      <c r="B33" s="36" t="s">
        <v>41</v>
      </c>
      <c r="C33" s="13">
        <v>2</v>
      </c>
      <c r="D33" s="10" t="s">
        <v>15</v>
      </c>
      <c r="E33" s="12">
        <v>60.5</v>
      </c>
      <c r="F33" s="8">
        <f t="shared" si="5"/>
        <v>121</v>
      </c>
      <c r="G33" s="7"/>
      <c r="H33" s="10"/>
      <c r="I33" s="9"/>
      <c r="J33" s="8"/>
      <c r="K33" s="7"/>
      <c r="L33" s="6"/>
      <c r="M33" s="55"/>
      <c r="N33" s="30"/>
      <c r="O33" s="30"/>
    </row>
    <row r="34" spans="1:15" x14ac:dyDescent="0.2">
      <c r="A34" s="11"/>
      <c r="B34" s="37" t="s">
        <v>30</v>
      </c>
      <c r="C34" s="13"/>
      <c r="D34" s="10"/>
      <c r="E34" s="12"/>
      <c r="F34" s="8"/>
      <c r="G34" s="7"/>
      <c r="H34" s="10"/>
      <c r="I34" s="9"/>
      <c r="J34" s="8"/>
      <c r="K34" s="7"/>
      <c r="L34" s="6"/>
      <c r="M34" s="55"/>
      <c r="N34" s="30"/>
      <c r="O34" s="30"/>
    </row>
    <row r="35" spans="1:15" ht="22.5" x14ac:dyDescent="0.2">
      <c r="A35" s="11"/>
      <c r="B35" s="35" t="s">
        <v>45</v>
      </c>
      <c r="C35" s="13"/>
      <c r="D35" s="10"/>
      <c r="E35" s="12"/>
      <c r="F35" s="8"/>
      <c r="G35" s="7"/>
      <c r="H35" s="10"/>
      <c r="I35" s="9"/>
      <c r="J35" s="8"/>
      <c r="K35" s="7"/>
      <c r="L35" s="6"/>
      <c r="M35" s="55"/>
      <c r="N35" s="30"/>
      <c r="O35" s="30"/>
    </row>
    <row r="36" spans="1:15" x14ac:dyDescent="0.2">
      <c r="A36" s="11"/>
      <c r="B36" s="36" t="s">
        <v>28</v>
      </c>
      <c r="C36" s="13">
        <v>-1</v>
      </c>
      <c r="D36" s="10" t="s">
        <v>15</v>
      </c>
      <c r="E36" s="12">
        <v>60.5</v>
      </c>
      <c r="F36" s="8">
        <f t="shared" ref="F36:F42" si="10">C36*E36</f>
        <v>-60.5</v>
      </c>
      <c r="G36" s="7">
        <v>-1</v>
      </c>
      <c r="H36" s="10" t="s">
        <v>34</v>
      </c>
      <c r="I36" s="9">
        <v>18</v>
      </c>
      <c r="J36" s="8">
        <f t="shared" ref="J36" si="11">G36*I36</f>
        <v>-18</v>
      </c>
      <c r="K36" s="7"/>
      <c r="L36" s="6"/>
      <c r="M36" s="55"/>
      <c r="N36" s="30"/>
      <c r="O36" s="30"/>
    </row>
    <row r="37" spans="1:15" x14ac:dyDescent="0.2">
      <c r="A37" s="11"/>
      <c r="B37" s="37" t="s">
        <v>29</v>
      </c>
      <c r="C37" s="13"/>
      <c r="D37" s="10"/>
      <c r="E37" s="12"/>
      <c r="F37" s="8"/>
      <c r="G37" s="7"/>
      <c r="H37" s="10"/>
      <c r="I37" s="9"/>
      <c r="J37" s="8"/>
      <c r="K37" s="7"/>
      <c r="L37" s="6"/>
      <c r="M37" s="55"/>
      <c r="N37" s="30"/>
      <c r="O37" s="30"/>
    </row>
    <row r="38" spans="1:15" x14ac:dyDescent="0.2">
      <c r="A38" s="11"/>
      <c r="B38" s="35" t="s">
        <v>36</v>
      </c>
      <c r="C38" s="13"/>
      <c r="D38" s="10"/>
      <c r="E38" s="12"/>
      <c r="F38" s="8"/>
      <c r="G38" s="7"/>
      <c r="H38" s="10"/>
      <c r="I38" s="9"/>
      <c r="J38" s="8"/>
      <c r="K38" s="7"/>
      <c r="L38" s="6"/>
      <c r="M38" s="55"/>
      <c r="N38" s="30"/>
      <c r="O38" s="30"/>
    </row>
    <row r="39" spans="1:15" x14ac:dyDescent="0.2">
      <c r="A39" s="11"/>
      <c r="B39" s="35" t="s">
        <v>37</v>
      </c>
      <c r="C39" s="13"/>
      <c r="D39" s="10"/>
      <c r="E39" s="12"/>
      <c r="F39" s="8"/>
      <c r="G39" s="7"/>
      <c r="H39" s="10"/>
      <c r="I39" s="9"/>
      <c r="J39" s="8"/>
      <c r="K39" s="7"/>
      <c r="L39" s="6"/>
      <c r="M39" s="55"/>
      <c r="N39" s="30"/>
      <c r="O39" s="30"/>
    </row>
    <row r="40" spans="1:15" x14ac:dyDescent="0.2">
      <c r="A40" s="11"/>
      <c r="B40" s="36" t="s">
        <v>24</v>
      </c>
      <c r="C40" s="13">
        <v>1</v>
      </c>
      <c r="D40" s="10" t="s">
        <v>15</v>
      </c>
      <c r="E40" s="12">
        <v>60.5</v>
      </c>
      <c r="F40" s="8">
        <f t="shared" si="10"/>
        <v>60.5</v>
      </c>
      <c r="G40" s="7">
        <v>2</v>
      </c>
      <c r="H40" s="10" t="s">
        <v>34</v>
      </c>
      <c r="I40" s="9">
        <v>18</v>
      </c>
      <c r="J40" s="8">
        <f t="shared" ref="J40" si="12">G40*I40</f>
        <v>36</v>
      </c>
      <c r="K40" s="7"/>
      <c r="L40" s="6"/>
      <c r="M40" s="55"/>
      <c r="N40" s="30"/>
      <c r="O40" s="30"/>
    </row>
    <row r="41" spans="1:15" x14ac:dyDescent="0.2">
      <c r="A41" s="11"/>
      <c r="B41" s="36" t="s">
        <v>38</v>
      </c>
      <c r="C41" s="13"/>
      <c r="D41" s="10"/>
      <c r="E41" s="12"/>
      <c r="F41" s="8"/>
      <c r="G41" s="7">
        <v>1</v>
      </c>
      <c r="H41" s="10" t="s">
        <v>18</v>
      </c>
      <c r="I41" s="9">
        <v>349</v>
      </c>
      <c r="J41" s="8">
        <f>G41*I41</f>
        <v>349</v>
      </c>
      <c r="K41" s="7"/>
      <c r="L41" s="6"/>
      <c r="M41" s="55"/>
      <c r="N41" s="30"/>
      <c r="O41" s="30"/>
    </row>
    <row r="42" spans="1:15" x14ac:dyDescent="0.2">
      <c r="A42" s="11"/>
      <c r="B42" s="36" t="s">
        <v>40</v>
      </c>
      <c r="C42" s="13">
        <v>2</v>
      </c>
      <c r="D42" s="10" t="s">
        <v>15</v>
      </c>
      <c r="E42" s="12">
        <v>60.5</v>
      </c>
      <c r="F42" s="8">
        <f t="shared" si="10"/>
        <v>121</v>
      </c>
      <c r="G42" s="7"/>
      <c r="H42" s="10"/>
      <c r="I42" s="9"/>
      <c r="J42" s="8"/>
      <c r="K42" s="7"/>
      <c r="L42" s="6"/>
      <c r="M42" s="55"/>
      <c r="N42" s="30"/>
      <c r="O42" s="30"/>
    </row>
    <row r="43" spans="1:15" x14ac:dyDescent="0.2">
      <c r="A43" s="11"/>
      <c r="B43" s="36" t="s">
        <v>39</v>
      </c>
      <c r="C43" s="13">
        <v>2</v>
      </c>
      <c r="D43" s="10" t="s">
        <v>15</v>
      </c>
      <c r="E43" s="12">
        <v>60.5</v>
      </c>
      <c r="F43" s="8">
        <f t="shared" ref="F43:F45" si="13">C43*E43</f>
        <v>121</v>
      </c>
      <c r="G43" s="7"/>
      <c r="H43" s="10"/>
      <c r="I43" s="9"/>
      <c r="J43" s="8"/>
      <c r="K43" s="7"/>
      <c r="L43" s="6"/>
      <c r="M43" s="55"/>
      <c r="N43" s="30"/>
      <c r="O43" s="30"/>
    </row>
    <row r="44" spans="1:15" x14ac:dyDescent="0.2">
      <c r="A44" s="11"/>
      <c r="B44" s="36"/>
      <c r="C44" s="13"/>
      <c r="D44" s="10"/>
      <c r="E44" s="12"/>
      <c r="F44" s="8"/>
      <c r="G44" s="7"/>
      <c r="H44" s="10"/>
      <c r="I44" s="9"/>
      <c r="J44" s="8"/>
      <c r="K44" s="7"/>
      <c r="L44" s="6"/>
      <c r="M44" s="55"/>
      <c r="N44" s="30"/>
      <c r="O44" s="30"/>
    </row>
    <row r="45" spans="1:15" x14ac:dyDescent="0.2">
      <c r="A45" s="11"/>
      <c r="B45" s="31" t="s">
        <v>43</v>
      </c>
      <c r="C45" s="13">
        <v>3</v>
      </c>
      <c r="D45" s="10" t="s">
        <v>15</v>
      </c>
      <c r="E45" s="12">
        <v>80</v>
      </c>
      <c r="F45" s="8">
        <f t="shared" si="13"/>
        <v>240</v>
      </c>
      <c r="G45" s="7"/>
      <c r="H45" s="10"/>
      <c r="I45" s="9"/>
      <c r="J45" s="8"/>
      <c r="K45" s="7"/>
      <c r="L45" s="6"/>
      <c r="M45" s="55"/>
      <c r="N45" s="30"/>
      <c r="O45" s="30"/>
    </row>
    <row r="46" spans="1:15" x14ac:dyDescent="0.2">
      <c r="B46" s="2" t="s">
        <v>2</v>
      </c>
      <c r="D46" s="52"/>
      <c r="F46" s="53">
        <f>SUM(F16:F45)</f>
        <v>1268.5</v>
      </c>
      <c r="J46" s="53">
        <f>SUM(J16:J45)</f>
        <v>77</v>
      </c>
      <c r="L46" s="53">
        <f>SUM(L16:L45)</f>
        <v>0</v>
      </c>
    </row>
    <row r="47" spans="1:15" x14ac:dyDescent="0.2">
      <c r="B47" s="5" t="s">
        <v>1</v>
      </c>
      <c r="D47" s="52"/>
      <c r="E47" s="54">
        <v>0.1</v>
      </c>
      <c r="F47" s="33">
        <f>+E47*F46</f>
        <v>126.85000000000001</v>
      </c>
      <c r="I47" s="54">
        <v>0.1</v>
      </c>
      <c r="J47" s="33">
        <f>+I47*J46</f>
        <v>7.7</v>
      </c>
      <c r="K47" s="54">
        <v>0.1</v>
      </c>
      <c r="L47" s="4">
        <f>+K47*L46</f>
        <v>0</v>
      </c>
    </row>
    <row r="48" spans="1:15" x14ac:dyDescent="0.2">
      <c r="B48" s="2" t="s">
        <v>0</v>
      </c>
      <c r="D48" s="52"/>
      <c r="F48" s="34">
        <f>F46+F47</f>
        <v>1395.35</v>
      </c>
      <c r="G48" s="55"/>
      <c r="H48" s="55"/>
      <c r="I48" s="55"/>
      <c r="J48" s="34">
        <f>J46+J47</f>
        <v>84.7</v>
      </c>
      <c r="K48" s="55"/>
      <c r="L48" s="3">
        <f>L46+L47</f>
        <v>0</v>
      </c>
    </row>
    <row r="49" spans="2:12" ht="13.5" thickBot="1" x14ac:dyDescent="0.25">
      <c r="B49" s="2"/>
      <c r="D49" s="52"/>
      <c r="F49" s="56"/>
      <c r="G49" s="57"/>
      <c r="H49" s="57"/>
      <c r="I49" s="58"/>
      <c r="J49" s="56"/>
      <c r="K49" s="78"/>
      <c r="L49" s="56"/>
    </row>
    <row r="50" spans="2:12" x14ac:dyDescent="0.2">
      <c r="B50" s="1" t="s">
        <v>17</v>
      </c>
      <c r="D50" s="52"/>
    </row>
    <row r="51" spans="2:12" ht="13.5" thickBot="1" x14ac:dyDescent="0.25">
      <c r="B51" s="32">
        <f>F48+J48+L48</f>
        <v>1480.05</v>
      </c>
      <c r="D51" s="52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2015-12-11T19:29:31Z</dcterms:modified>
</cp:coreProperties>
</file>