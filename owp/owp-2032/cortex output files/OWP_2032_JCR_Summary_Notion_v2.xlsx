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;[Red]-&quot;$&quot;#,##0.00"/>
    <numFmt numFmtId="166" formatCode="0.0%"/>
    <numFmt numFmtId="167" formatCode="0.00&quot;x&quot;"/>
    <numFmt numFmtId="168" formatCode="&quot;$&quot;#,##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91B1B"/>
      <sz val="9"/>
    </font>
    <font>
      <name val="Calibri"/>
      <b val="1"/>
      <color rgb="0092400E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CACA"/>
      </patternFill>
    </fill>
    <fill>
      <patternFill patternType="solid">
        <fgColor rgb="00FEF3C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7" fillId="3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0" fillId="10" borderId="4" pivotButton="0" quotePrefix="0" xfId="0"/>
    <xf numFmtId="0" fontId="0" fillId="10" borderId="5" pivotButton="0" quotePrefix="0" xfId="0"/>
    <xf numFmtId="168" fontId="11" fillId="10" borderId="1" applyAlignment="1" pivotButton="0" quotePrefix="0" xfId="0">
      <alignment horizontal="right" vertical="center"/>
    </xf>
    <xf numFmtId="0" fontId="0" fillId="10" borderId="0" pivotButton="0" quotePrefix="0" xfId="0"/>
    <xf numFmtId="0" fontId="11" fillId="3" borderId="1" applyAlignment="1" pivotButton="0" quotePrefix="0" xfId="0">
      <alignment horizontal="left" vertical="center" wrapText="1"/>
    </xf>
    <xf numFmtId="164" fontId="11" fillId="0" borderId="1" applyAlignment="1" pivotButton="0" quotePrefix="0" xfId="0">
      <alignment horizontal="right" vertical="center"/>
    </xf>
    <xf numFmtId="4" fontId="11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10" fillId="1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7" fillId="11" borderId="6" applyAlignment="1" pivotButton="0" quotePrefix="0" xfId="0">
      <alignment horizontal="left" vertical="center"/>
    </xf>
    <xf numFmtId="165" fontId="11" fillId="0" borderId="1" applyAlignment="1" pivotButton="0" quotePrefix="0" xfId="0">
      <alignment horizontal="right" vertical="center"/>
    </xf>
    <xf numFmtId="165" fontId="11" fillId="0" borderId="1" applyAlignment="1" pivotButton="0" quotePrefix="0" xfId="0">
      <alignment horizontal="left" vertical="center" wrapText="1"/>
    </xf>
    <xf numFmtId="166" fontId="11" fillId="0" borderId="1" applyAlignment="1" pivotButton="0" quotePrefix="0" xfId="0">
      <alignment horizontal="left" vertical="center" wrapText="1"/>
    </xf>
    <xf numFmtId="165" fontId="11" fillId="10" borderId="1" applyAlignment="1" pivotButton="0" quotePrefix="0" xfId="0">
      <alignment horizontal="right" vertical="center"/>
    </xf>
    <xf numFmtId="165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left" vertical="center" wrapText="1"/>
    </xf>
    <xf numFmtId="4" fontId="11" fillId="10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11" fillId="10" borderId="1" applyAlignment="1" pivotButton="0" quotePrefix="0" xfId="0">
      <alignment horizontal="left" vertical="center" wrapText="1"/>
    </xf>
    <xf numFmtId="164" fontId="11" fillId="10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left" vertical="center" wrapText="1"/>
    </xf>
    <xf numFmtId="166" fontId="11" fillId="1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3" fontId="11" fillId="1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4" fontId="11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/>
    </xf>
    <xf numFmtId="10" fontId="11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 wrapText="1"/>
    </xf>
    <xf numFmtId="167" fontId="11" fillId="10" borderId="1" applyAlignment="1" pivotButton="0" quotePrefix="0" xfId="0">
      <alignment horizontal="right" vertical="center"/>
    </xf>
    <xf numFmtId="10" fontId="11" fillId="0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0" fontId="15" fillId="14" borderId="1" applyAlignment="1" pivotButton="0" quotePrefix="0" xfId="0">
      <alignment horizontal="center" vertical="center"/>
    </xf>
    <xf numFmtId="167" fontId="11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Job #2032 · Blueprint Luna Apts-Roosevelt</t>
        </is>
      </c>
    </row>
    <row r="3" ht="22" customHeight="1">
      <c r="B3" s="42" t="inlineStr">
        <is>
          <t>Cortex JCR v2  •  Blueprint Capital Services, LLC (customer 2032BC)  •  6921 Roosevelt Way NE, Seattle WA  •  Owner: Blueprint Capital Services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44" t="inlineStr">
        <is>
          <t>PROJECT OVERVIEW</t>
        </is>
      </c>
    </row>
    <row r="6">
      <c r="B6" s="45" t="inlineStr">
        <is>
          <t>Project Job #</t>
        </is>
      </c>
      <c r="C6" s="46" t="inlineStr">
        <is>
          <t>2032</t>
        </is>
      </c>
      <c r="D6" s="6" t="n"/>
      <c r="E6" s="7" t="n"/>
      <c r="F6" s="46" t="inlineStr">
        <is>
          <t>2032 Job Detail Report.pdf (Sage Timberline, 04/03/2026, 72 pages) header</t>
        </is>
      </c>
      <c r="G6" s="6" t="n"/>
      <c r="H6" s="6" t="n"/>
      <c r="I6" s="6" t="n"/>
      <c r="J6" s="7" t="n"/>
    </row>
    <row r="7">
      <c r="B7" s="47" t="inlineStr">
        <is>
          <t>Project Name (Sage)</t>
        </is>
      </c>
      <c r="C7" s="48" t="inlineStr">
        <is>
          <t>Blueprint Luna Apts-Roosevelt</t>
        </is>
      </c>
      <c r="D7" s="49" t="n"/>
      <c r="E7" s="50" t="n"/>
      <c r="F7" s="48" t="inlineStr">
        <is>
          <t>2032 Job Detail Report.pdf (Sage Timberline, 04/03/2026, 72 pages) header</t>
        </is>
      </c>
      <c r="G7" s="49" t="n"/>
      <c r="H7" s="49" t="n"/>
      <c r="I7" s="49" t="n"/>
      <c r="J7" s="50" t="n"/>
    </row>
    <row r="8">
      <c r="B8" s="45" t="inlineStr">
        <is>
          <t>Project Description</t>
        </is>
      </c>
      <c r="C8" s="46" t="inlineStr">
        <is>
          <t>Luna Apartments — 71-unit multifamily new construction plumbing</t>
        </is>
      </c>
      <c r="D8" s="6" t="n"/>
      <c r="E8" s="7" t="n"/>
      <c r="F8" s="46" t="inlineStr">
        <is>
          <t>Blueprint Capital Services Luna Apts-Roosevelt Subcontract / AR line descriptions</t>
        </is>
      </c>
      <c r="G8" s="6" t="n"/>
      <c r="H8" s="6" t="n"/>
      <c r="I8" s="6" t="n"/>
      <c r="J8" s="7" t="n"/>
    </row>
    <row r="9">
      <c r="B9" s="47" t="inlineStr">
        <is>
          <t>General Contractor</t>
        </is>
      </c>
      <c r="C9" s="48" t="inlineStr">
        <is>
          <t>Blueprint Capital Services, LLC</t>
        </is>
      </c>
      <c r="D9" s="49" t="n"/>
      <c r="E9" s="50" t="n"/>
      <c r="F9" s="48" t="inlineStr">
        <is>
          <t>Blueprint Capital Services Luna Apts-Roosevelt Subcontract</t>
        </is>
      </c>
      <c r="G9" s="49" t="n"/>
      <c r="H9" s="49" t="n"/>
      <c r="I9" s="49" t="n"/>
      <c r="J9" s="50" t="n"/>
    </row>
    <row r="10">
      <c r="B10" s="45" t="inlineStr">
        <is>
          <t>Customer Code (Sage)</t>
        </is>
      </c>
      <c r="C10" s="46" t="inlineStr">
        <is>
          <t>2032BC</t>
        </is>
      </c>
      <c r="D10" s="6" t="n"/>
      <c r="E10" s="7" t="n"/>
      <c r="F10" s="46" t="inlineStr">
        <is>
          <t>2032 Job Detail Report.pdf (Sage Timberline, 04/03/2026, 72 pages)</t>
        </is>
      </c>
      <c r="G10" s="6" t="n"/>
      <c r="H10" s="6" t="n"/>
      <c r="I10" s="6" t="n"/>
      <c r="J10" s="7" t="n"/>
    </row>
    <row r="11">
      <c r="B11" s="47" t="inlineStr">
        <is>
          <t>Owner / Developer</t>
        </is>
      </c>
      <c r="C11" s="48" t="inlineStr">
        <is>
          <t>Blueprint Capital Services</t>
        </is>
      </c>
      <c r="D11" s="49" t="n"/>
      <c r="E11" s="50" t="n"/>
      <c r="F11" s="48" t="inlineStr">
        <is>
          <t>Blueprint Capital Services Luna Apts-Roosevelt Subcontract</t>
        </is>
      </c>
      <c r="G11" s="49" t="n"/>
      <c r="H11" s="49" t="n"/>
      <c r="I11" s="49" t="n"/>
      <c r="J11" s="50" t="n"/>
    </row>
    <row r="12">
      <c r="B12" s="45" t="inlineStr">
        <is>
          <t>Jobsite Location</t>
        </is>
      </c>
      <c r="C12" s="46" t="inlineStr">
        <is>
          <t>6921 Roosevelt Way NE, Seattle WA</t>
        </is>
      </c>
      <c r="D12" s="6" t="n"/>
      <c r="E12" s="7" t="n"/>
      <c r="F12" s="46" t="inlineStr">
        <is>
          <t>Blueprint Capital Services Luna Apts-Roosevelt Subcontract</t>
        </is>
      </c>
      <c r="G12" s="6" t="n"/>
      <c r="H12" s="6" t="n"/>
      <c r="I12" s="6" t="n"/>
      <c r="J12" s="7" t="n"/>
    </row>
    <row r="13">
      <c r="B13" s="47" t="inlineStr">
        <is>
          <t>Contract / PO Document</t>
        </is>
      </c>
      <c r="C13" s="48" t="inlineStr">
        <is>
          <t>Blueprint Capital Services Luna Apts-Roosevelt Subcontract</t>
        </is>
      </c>
      <c r="D13" s="49" t="n"/>
      <c r="E13" s="50" t="n"/>
      <c r="F13" s="48" t="inlineStr">
        <is>
          <t>Lump Sum subcontract</t>
        </is>
      </c>
      <c r="G13" s="49" t="n"/>
      <c r="H13" s="49" t="n"/>
      <c r="I13" s="49" t="n"/>
      <c r="J13" s="50" t="n"/>
    </row>
    <row r="14">
      <c r="B14" s="45" t="inlineStr">
        <is>
          <t>Plans / Specifications</t>
        </is>
      </c>
      <c r="C14" s="46" t="inlineStr">
        <is>
          <t>Luna Apts-Roosevelt plumbing narrative (Div 22 plumbing narrative) + fixture schedule + proposal</t>
        </is>
      </c>
      <c r="D14" s="6" t="n"/>
      <c r="E14" s="7" t="n"/>
      <c r="F14" s="46" t="inlineStr">
        <is>
          <t>Folder scan</t>
        </is>
      </c>
      <c r="G14" s="6" t="n"/>
      <c r="H14" s="6" t="n"/>
      <c r="I14" s="6" t="n"/>
      <c r="J14" s="7" t="n"/>
    </row>
    <row r="15">
      <c r="B15" s="47" t="inlineStr">
        <is>
          <t>Fixture Schedule</t>
        </is>
      </c>
      <c r="C15" s="48" t="inlineStr">
        <is>
          <t>Luna Apts-Roosevelt fixture schedule (fixture schedule for 71-unit multifamily)</t>
        </is>
      </c>
      <c r="D15" s="49" t="n"/>
      <c r="E15" s="50" t="n"/>
      <c r="F15" s="48" t="inlineStr">
        <is>
          <t>Referenced</t>
        </is>
      </c>
      <c r="G15" s="49" t="n"/>
      <c r="H15" s="49" t="n"/>
      <c r="I15" s="49" t="n"/>
      <c r="J15" s="50" t="n"/>
    </row>
    <row r="16">
      <c r="B16" s="45" t="inlineStr">
        <is>
          <t>Bid Proposal</t>
        </is>
      </c>
      <c r="C16" s="46" t="inlineStr">
        <is>
          <t>Blueprint Capital Services Luna Apts-Roosevelt Proposal</t>
        </is>
      </c>
      <c r="D16" s="6" t="n"/>
      <c r="E16" s="7" t="n"/>
      <c r="F16" s="46" t="inlineStr">
        <is>
          <t>Detailed scope and fixture quantities</t>
        </is>
      </c>
      <c r="G16" s="6" t="n"/>
      <c r="H16" s="6" t="n"/>
      <c r="I16" s="6" t="n"/>
      <c r="J16" s="7" t="n"/>
    </row>
    <row r="17">
      <c r="B17" s="47" t="inlineStr">
        <is>
          <t>Contract Type</t>
        </is>
      </c>
      <c r="C17" s="48" t="inlineStr">
        <is>
          <t>Lump Sum</t>
        </is>
      </c>
      <c r="D17" s="49" t="n"/>
      <c r="E17" s="50" t="n"/>
      <c r="F17" s="48" t="inlineStr">
        <is>
          <t>Blueprint Capital Services Luna Apts-Roosevelt Subcontract</t>
        </is>
      </c>
      <c r="G17" s="49" t="n"/>
      <c r="H17" s="49" t="n"/>
      <c r="I17" s="49" t="n"/>
      <c r="J17" s="50" t="n"/>
    </row>
    <row r="18">
      <c r="B18" s="45" t="inlineStr">
        <is>
          <t>Work Period</t>
        </is>
      </c>
      <c r="C18" s="46" t="inlineStr">
        <is>
          <t>Per PR/AR posting dates in JDR</t>
        </is>
      </c>
      <c r="D18" s="6" t="n"/>
      <c r="E18" s="7" t="n"/>
      <c r="F18" s="46" t="inlineStr">
        <is>
          <t>2032 Job Detail Report.pdf (Sage Timberline, 04/03/2026, 72 pages)</t>
        </is>
      </c>
      <c r="G18" s="6" t="n"/>
      <c r="H18" s="6" t="n"/>
      <c r="I18" s="6" t="n"/>
      <c r="J18" s="7" t="n"/>
    </row>
    <row r="19">
      <c r="B19" s="47" t="inlineStr">
        <is>
          <t>Total Unique Documents Reviewed</t>
        </is>
      </c>
      <c r="C19" s="51" t="n">
        <v>1008</v>
      </c>
      <c r="D19" s="49" t="n"/>
      <c r="E19" s="50" t="n"/>
      <c r="F19" s="48" t="inlineStr">
        <is>
          <t>File inventory across owp-2032/</t>
        </is>
      </c>
      <c r="G19" s="49" t="n"/>
      <c r="H19" s="49" t="n"/>
      <c r="I19" s="49" t="n"/>
      <c r="J19" s="50" t="n"/>
    </row>
    <row r="20"/>
    <row r="21">
      <c r="B21" s="44" t="inlineStr">
        <is>
          <t>CONTRACT VALUE</t>
        </is>
      </c>
      <c r="C21" s="52" t="n"/>
      <c r="D21" s="53" t="inlineStr">
        <is>
          <t>NET PROFIT</t>
        </is>
      </c>
      <c r="E21" s="52" t="n"/>
      <c r="F21" s="53" t="inlineStr">
        <is>
          <t>DIRECT COST</t>
        </is>
      </c>
      <c r="G21" s="52" t="n"/>
      <c r="H21" s="53" t="inlineStr">
        <is>
          <t>LABOR HOURS</t>
        </is>
      </c>
      <c r="I21" s="52" t="n"/>
      <c r="J21" s="52" t="n"/>
    </row>
    <row r="22">
      <c r="B22" s="54" t="n">
        <v>726403</v>
      </c>
      <c r="D22" s="54" t="n">
        <v>328108.48</v>
      </c>
      <c r="F22" s="54" t="n">
        <v>398294.52</v>
      </c>
      <c r="H22" s="55" t="n">
        <v>5157</v>
      </c>
    </row>
    <row r="23">
      <c r="B23" s="47" t="inlineStr">
        <is>
          <t>Original $685,300.00 + $41,103.00 COs (6.00%)</t>
        </is>
      </c>
      <c r="C23" s="52" t="n"/>
      <c r="D23" s="48" t="inlineStr">
        <is>
          <t>45.2% margin</t>
        </is>
      </c>
      <c r="E23" s="52" t="n"/>
      <c r="F23" s="48" t="inlineStr">
        <is>
          <t>54.8% of revenue</t>
        </is>
      </c>
      <c r="G23" s="52" t="n"/>
      <c r="H23" s="48" t="inlineStr">
        <is>
          <t>26 workers</t>
        </is>
      </c>
      <c r="I23" s="52" t="n"/>
      <c r="J23" s="52" t="n"/>
    </row>
    <row r="24"/>
    <row r="25"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</row>
    <row r="26">
      <c r="B26" s="56" t="inlineStr">
        <is>
          <t>SCOPE OF WORK (from contract + proposal)</t>
        </is>
      </c>
    </row>
    <row r="27">
      <c r="B27" s="47" t="inlineStr">
        <is>
          <t>Full plumbing installation: underground, rough-in, finish, gas piping, water mains, insulation, mechanical room, and warranty.</t>
        </is>
      </c>
      <c r="C27" s="49" t="n"/>
      <c r="D27" s="49" t="n"/>
      <c r="E27" s="49" t="n"/>
      <c r="F27" s="49" t="n"/>
      <c r="G27" s="49" t="n"/>
      <c r="H27" s="49" t="n"/>
      <c r="I27" s="49" t="n"/>
      <c r="J27" s="50" t="n"/>
    </row>
    <row r="28">
      <c r="B28" s="45" t="inlineStr">
        <is>
          <t>71-unit multifamily new construction at 6921 Roosevelt Way NE, Seattle WA.</t>
        </is>
      </c>
      <c r="C28" s="6" t="n"/>
      <c r="D28" s="6" t="n"/>
      <c r="E28" s="6" t="n"/>
      <c r="F28" s="6" t="n"/>
      <c r="G28" s="6" t="n"/>
      <c r="H28" s="6" t="n"/>
      <c r="I28" s="6" t="n"/>
      <c r="J28" s="7" t="n"/>
    </row>
    <row r="29">
      <c r="B29" s="47" t="inlineStr">
        <is>
          <t>Per project specifications and bid proposal.</t>
        </is>
      </c>
      <c r="C29" s="49" t="n"/>
      <c r="D29" s="49" t="n"/>
      <c r="E29" s="49" t="n"/>
      <c r="F29" s="49" t="n"/>
      <c r="G29" s="49" t="n"/>
      <c r="H29" s="49" t="n"/>
      <c r="I29" s="49" t="n"/>
      <c r="J29" s="50" t="n"/>
    </row>
    <row r="30">
      <c r="B30" s="45" t="inlineStr">
        <is>
          <t>Comprehensive fixture schedule with standard and ADA-compliant units.</t>
        </is>
      </c>
      <c r="C30" s="6" t="n"/>
      <c r="D30" s="6" t="n"/>
      <c r="E30" s="6" t="n"/>
      <c r="F30" s="6" t="n"/>
      <c r="G30" s="6" t="n"/>
      <c r="H30" s="6" t="n"/>
      <c r="I30" s="6" t="n"/>
      <c r="J30" s="7" t="n"/>
    </row>
    <row r="31">
      <c r="B31" s="47" t="inlineStr">
        <is>
          <t>Spec compliance: Current Building Code + UPC with Washington state amendments.</t>
        </is>
      </c>
      <c r="C31" s="49" t="n"/>
      <c r="D31" s="49" t="n"/>
      <c r="E31" s="49" t="n"/>
      <c r="F31" s="49" t="n"/>
      <c r="G31" s="49" t="n"/>
      <c r="H31" s="49" t="n"/>
      <c r="I31" s="49" t="n"/>
      <c r="J31" s="50" t="n"/>
    </row>
    <row r="32"/>
    <row r="33">
      <c r="B33" s="52" t="n"/>
      <c r="C33" s="52" t="n"/>
      <c r="D33" s="52" t="n"/>
      <c r="E33" s="52" t="n"/>
      <c r="F33" s="52" t="n"/>
      <c r="G33" s="52" t="n"/>
      <c r="H33" s="52" t="n"/>
      <c r="I33" s="52" t="n"/>
      <c r="J33" s="52" t="n"/>
    </row>
    <row r="34">
      <c r="B34" s="57" t="inlineStr">
        <is>
          <t>SOURCES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</row>
    <row r="35">
      <c r="B35" s="47" t="inlineStr">
        <is>
          <t>Canonical financial source: 2032 Job Detail Report.pdf (Sage Timberline, 04/03/2026, 72 pages)</t>
        </is>
      </c>
      <c r="C35" s="49" t="n"/>
      <c r="D35" s="49" t="n"/>
      <c r="E35" s="49" t="n"/>
      <c r="F35" s="49" t="n"/>
      <c r="G35" s="49" t="n"/>
      <c r="H35" s="49" t="n"/>
      <c r="I35" s="49" t="n"/>
      <c r="J35" s="50" t="n"/>
    </row>
    <row r="36">
      <c r="B36" s="45" t="inlineStr">
        <is>
          <t>Job totals (JDR footer): Revenue $726,403.00 / Expenses $398,294.52 / Net $328,108.48 / Retainage $36,320.15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47" t="inlineStr">
        <is>
          <t>Source breakdown: GL $26,110.86 · AP $175,969.52 · PR $134,465.25 · AR $726,403.00</t>
        </is>
      </c>
      <c r="C37" s="49" t="n"/>
      <c r="D37" s="49" t="n"/>
      <c r="E37" s="49" t="n"/>
      <c r="F37" s="49" t="n"/>
      <c r="G37" s="49" t="n"/>
      <c r="H37" s="49" t="n"/>
      <c r="I37" s="49" t="n"/>
      <c r="J37" s="50" t="n"/>
    </row>
    <row r="38">
      <c r="B38" s="45" t="inlineStr">
        <is>
          <t>Contract: Blueprint Capital Services Luna Apts-Roosevelt Subcontract (Lump Sum $685,300.00, revised to $726,403.00 via 7 COs)</t>
        </is>
      </c>
      <c r="C38" s="6" t="n"/>
      <c r="D38" s="6" t="n"/>
      <c r="E38" s="6" t="n"/>
      <c r="F38" s="6" t="n"/>
      <c r="G38" s="6" t="n"/>
      <c r="H38" s="6" t="n"/>
      <c r="I38" s="6" t="n"/>
      <c r="J38" s="7" t="n"/>
    </row>
    <row r="39">
      <c r="B39" s="47" t="inlineStr">
        <is>
          <t>Proposal: Blueprint Capital Services Luna Apts-Roosevelt Proposal</t>
        </is>
      </c>
      <c r="C39" s="49" t="n"/>
      <c r="D39" s="49" t="n"/>
      <c r="E39" s="49" t="n"/>
      <c r="F39" s="49" t="n"/>
      <c r="G39" s="49" t="n"/>
      <c r="H39" s="49" t="n"/>
      <c r="I39" s="49" t="n"/>
      <c r="J39" s="50" t="n"/>
    </row>
    <row r="40">
      <c r="B40" s="45" t="inlineStr">
        <is>
          <t>Fixture schedule: Luna Apts-Roosevelt fixture schedule</t>
        </is>
      </c>
      <c r="C40" s="6" t="n"/>
      <c r="D40" s="6" t="n"/>
      <c r="E40" s="6" t="n"/>
      <c r="F40" s="6" t="n"/>
      <c r="G40" s="6" t="n"/>
      <c r="H40" s="6" t="n"/>
      <c r="I40" s="6" t="n"/>
      <c r="J40" s="7" t="n"/>
    </row>
    <row r="41">
      <c r="B41" s="47" t="inlineStr">
        <is>
          <t>Plumbing narrative: Luna Apts-Roosevelt plumbing narrative</t>
        </is>
      </c>
      <c r="C41" s="49" t="n"/>
      <c r="D41" s="49" t="n"/>
      <c r="E41" s="49" t="n"/>
      <c r="F41" s="49" t="n"/>
      <c r="G41" s="49" t="n"/>
      <c r="H41" s="49" t="n"/>
      <c r="I41" s="49" t="n"/>
      <c r="J41" s="50" t="n"/>
    </row>
    <row r="42">
      <c r="B42" s="45" t="inlineStr">
        <is>
          <t>Change Orders: 7 executed COs netting +$41,103.00 (6.0% of original)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52" t="n"/>
      <c r="C43" s="52" t="n"/>
      <c r="D43" s="52" t="n"/>
      <c r="E43" s="52" t="n"/>
      <c r="F43" s="52" t="n"/>
      <c r="G43" s="52" t="n"/>
      <c r="H43" s="52" t="n"/>
      <c r="I43" s="52" t="n"/>
      <c r="J43" s="52" t="n"/>
    </row>
    <row r="44"/>
    <row r="45">
      <c r="B45" s="58" t="inlineStr">
        <is>
          <t>PROJECT TEAM (OWP Job Info)</t>
        </is>
      </c>
      <c r="C45" s="52" t="n"/>
      <c r="D45" s="52" t="n"/>
      <c r="E45" s="52" t="n"/>
      <c r="F45" s="52" t="n"/>
      <c r="G45" s="52" t="n"/>
      <c r="H45" s="52" t="n"/>
      <c r="I45" s="52" t="n"/>
      <c r="J45" s="52" t="n"/>
    </row>
    <row r="46">
      <c r="B46" s="59" t="inlineStr">
        <is>
          <t>Role</t>
        </is>
      </c>
      <c r="C46" s="60" t="inlineStr">
        <is>
          <t>Status</t>
        </is>
      </c>
      <c r="D46" s="60" t="inlineStr">
        <is>
          <t>Name / Firm</t>
        </is>
      </c>
    </row>
    <row r="47">
      <c r="B47" s="58" t="inlineStr">
        <is>
          <t>GC</t>
        </is>
      </c>
      <c r="C47" s="61" t="inlineStr">
        <is>
          <t>Extracted</t>
        </is>
      </c>
      <c r="D47" s="62" t="inlineStr">
        <is>
          <t>Blueprint Capital Services, LLC</t>
        </is>
      </c>
      <c r="E47" s="52" t="n"/>
      <c r="F47" s="52" t="n"/>
      <c r="G47" s="52" t="n"/>
      <c r="H47" s="52" t="n"/>
      <c r="I47" s="52" t="n"/>
      <c r="J47" s="52" t="n"/>
    </row>
    <row r="48">
      <c r="B48" s="59" t="inlineStr">
        <is>
          <t>GC PM</t>
        </is>
      </c>
      <c r="C48" s="61" t="inlineStr">
        <is>
          <t>Extracted</t>
        </is>
      </c>
      <c r="D48" s="60" t="inlineStr">
        <is>
          <t>Rick (per OWP Project List)</t>
        </is>
      </c>
    </row>
    <row r="49">
      <c r="B49" s="58" t="inlineStr">
        <is>
          <t>GC Superintendent</t>
        </is>
      </c>
      <c r="C49" s="61" t="inlineStr">
        <is>
          <t>Extracted</t>
        </is>
      </c>
      <c r="D49" s="62" t="inlineStr">
        <is>
          <t>Andrew Withnell / Scott McSpadden</t>
        </is>
      </c>
      <c r="E49" s="52" t="n"/>
      <c r="F49" s="52" t="n"/>
      <c r="G49" s="52" t="n"/>
      <c r="H49" s="52" t="n"/>
      <c r="I49" s="52" t="n"/>
      <c r="J49" s="52" t="n"/>
    </row>
    <row r="50">
      <c r="B50" s="59" t="inlineStr">
        <is>
          <t>GC PE</t>
        </is>
      </c>
      <c r="C50" s="63" t="inlineStr">
        <is>
          <t>N/A</t>
        </is>
      </c>
      <c r="D50" s="60" t="inlineStr">
        <is>
          <t>N/A</t>
        </is>
      </c>
    </row>
    <row r="51">
      <c r="B51" s="58" t="inlineStr">
        <is>
          <t>Developer</t>
        </is>
      </c>
      <c r="C51" s="61" t="inlineStr">
        <is>
          <t>Extracted</t>
        </is>
      </c>
      <c r="D51" s="62" t="inlineStr">
        <is>
          <t>Blueprint Capital Services</t>
        </is>
      </c>
      <c r="E51" s="52" t="n"/>
      <c r="F51" s="52" t="n"/>
      <c r="G51" s="52" t="n"/>
      <c r="H51" s="52" t="n"/>
      <c r="I51" s="52" t="n"/>
      <c r="J51" s="52" t="n"/>
    </row>
    <row r="52">
      <c r="B52" s="59" t="inlineStr">
        <is>
          <t>Architect</t>
        </is>
      </c>
      <c r="C52" s="63" t="inlineStr">
        <is>
          <t>N/A</t>
        </is>
      </c>
      <c r="D52" s="60" t="inlineStr">
        <is>
          <t>N/A</t>
        </is>
      </c>
    </row>
    <row r="53">
      <c r="B53" s="58" t="inlineStr">
        <is>
          <t>Structural</t>
        </is>
      </c>
      <c r="C53" s="63" t="inlineStr">
        <is>
          <t>N/A</t>
        </is>
      </c>
      <c r="D53" s="62" t="inlineStr">
        <is>
          <t>N/A</t>
        </is>
      </c>
      <c r="E53" s="52" t="n"/>
      <c r="F53" s="52" t="n"/>
      <c r="G53" s="52" t="n"/>
      <c r="H53" s="52" t="n"/>
      <c r="I53" s="52" t="n"/>
      <c r="J53" s="52" t="n"/>
    </row>
    <row r="54">
      <c r="B54" s="59" t="inlineStr">
        <is>
          <t>Acoustical</t>
        </is>
      </c>
      <c r="C54" s="63" t="inlineStr">
        <is>
          <t>N/A</t>
        </is>
      </c>
      <c r="D54" s="60" t="inlineStr">
        <is>
          <t>N/A</t>
        </is>
      </c>
    </row>
    <row r="55">
      <c r="B55" s="58" t="inlineStr">
        <is>
          <t>ADA Consultant</t>
        </is>
      </c>
      <c r="C55" s="63" t="inlineStr">
        <is>
          <t>N/A</t>
        </is>
      </c>
      <c r="D55" s="62" t="inlineStr">
        <is>
          <t>N/A</t>
        </is>
      </c>
      <c r="E55" s="52" t="n"/>
      <c r="F55" s="52" t="n"/>
      <c r="G55" s="52" t="n"/>
      <c r="H55" s="52" t="n"/>
      <c r="I55" s="52" t="n"/>
      <c r="J55" s="52" t="n"/>
    </row>
    <row r="56">
      <c r="B56" s="59" t="inlineStr">
        <is>
          <t>Interior Design</t>
        </is>
      </c>
      <c r="C56" s="63" t="inlineStr">
        <is>
          <t>N/A</t>
        </is>
      </c>
      <c r="D56" s="60" t="inlineStr">
        <is>
          <t>N/A</t>
        </is>
      </c>
    </row>
    <row r="57">
      <c r="B57" s="58" t="inlineStr">
        <is>
          <t>MEP Engineer</t>
        </is>
      </c>
      <c r="C57" s="61" t="inlineStr">
        <is>
          <t>Extracted</t>
        </is>
      </c>
      <c r="D57" s="62" t="inlineStr">
        <is>
          <t>Franklin Engineering</t>
        </is>
      </c>
      <c r="E57" s="52" t="n"/>
      <c r="F57" s="52" t="n"/>
      <c r="G57" s="52" t="n"/>
      <c r="H57" s="52" t="n"/>
      <c r="I57" s="52" t="n"/>
      <c r="J57" s="52" t="n"/>
    </row>
  </sheetData>
  <mergeCells count="54">
    <mergeCell ref="C16:E16"/>
    <mergeCell ref="D56:J56"/>
    <mergeCell ref="F11:J11"/>
    <mergeCell ref="B42:J42"/>
    <mergeCell ref="F10:J10"/>
    <mergeCell ref="F16:J16"/>
    <mergeCell ref="C9:E9"/>
    <mergeCell ref="F19:J19"/>
    <mergeCell ref="D55:J55"/>
    <mergeCell ref="F6:J6"/>
    <mergeCell ref="C12:E12"/>
    <mergeCell ref="B38:J38"/>
    <mergeCell ref="D51:J51"/>
    <mergeCell ref="B29:J29"/>
    <mergeCell ref="F7:J7"/>
    <mergeCell ref="C11:E11"/>
    <mergeCell ref="F15:J15"/>
    <mergeCell ref="B37:J37"/>
    <mergeCell ref="D50:J50"/>
    <mergeCell ref="F12:J12"/>
    <mergeCell ref="B28:J28"/>
    <mergeCell ref="D54:J54"/>
    <mergeCell ref="C8:E8"/>
    <mergeCell ref="B40:J40"/>
    <mergeCell ref="C17:E17"/>
    <mergeCell ref="F18:J18"/>
    <mergeCell ref="C7:E7"/>
    <mergeCell ref="F8:J8"/>
    <mergeCell ref="B30:J30"/>
    <mergeCell ref="F17:J17"/>
    <mergeCell ref="C13:E13"/>
    <mergeCell ref="C19:E19"/>
    <mergeCell ref="B36:J36"/>
    <mergeCell ref="D52:J52"/>
    <mergeCell ref="C18:E18"/>
    <mergeCell ref="B41:J41"/>
    <mergeCell ref="D57:J57"/>
    <mergeCell ref="B35:J35"/>
    <mergeCell ref="D49:J49"/>
    <mergeCell ref="F13:J13"/>
    <mergeCell ref="C15:E15"/>
    <mergeCell ref="C6:E6"/>
    <mergeCell ref="F9:J9"/>
    <mergeCell ref="B3:J3"/>
    <mergeCell ref="C14:E14"/>
    <mergeCell ref="D48:J48"/>
    <mergeCell ref="D53:J53"/>
    <mergeCell ref="B31:J31"/>
    <mergeCell ref="D47:J47"/>
    <mergeCell ref="B27:J27"/>
    <mergeCell ref="F14:J14"/>
    <mergeCell ref="B39:J39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Budget vs Actual</t>
        </is>
      </c>
    </row>
    <row r="3" ht="22" customHeight="1">
      <c r="B3" s="42" t="inlineStr">
        <is>
          <t>All 27 cost codes from JDR. Contract $685,300 → $726,403 (COs +$41,103.00).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Cost Code</t>
        </is>
      </c>
      <c r="C5" s="64" t="inlineStr">
        <is>
          <t>Description</t>
        </is>
      </c>
      <c r="D5" s="64" t="inlineStr">
        <is>
          <t>Original Budget</t>
        </is>
      </c>
      <c r="E5" s="64" t="inlineStr">
        <is>
          <t>Revised Budget</t>
        </is>
      </c>
      <c r="F5" s="64" t="inlineStr">
        <is>
          <t>Actual</t>
        </is>
      </c>
      <c r="G5" s="64" t="inlineStr">
        <is>
          <t>Variance</t>
        </is>
      </c>
      <c r="H5" s="64" t="inlineStr">
        <is>
          <t>% of Revised</t>
        </is>
      </c>
      <c r="I5" s="64" t="inlineStr">
        <is>
          <t>Hours</t>
        </is>
      </c>
      <c r="J5" s="64" t="inlineStr">
        <is>
          <t>Source</t>
        </is>
      </c>
    </row>
    <row r="6">
      <c r="B6" s="45" t="inlineStr">
        <is>
          <t>100</t>
        </is>
      </c>
      <c r="C6" s="46" t="inlineStr">
        <is>
          <t>Supervision</t>
        </is>
      </c>
      <c r="D6" s="65" t="n">
        <v>6390</v>
      </c>
      <c r="E6" s="65" t="n">
        <v>6531</v>
      </c>
      <c r="F6" s="65" t="n">
        <v>2980.5</v>
      </c>
      <c r="G6" s="66">
        <f>F6-E6</f>
        <v/>
      </c>
      <c r="H6" s="67">
        <f>IF(E6=0,"",F6/E6)</f>
        <v/>
      </c>
      <c r="I6" s="55" t="n">
        <v>62.5</v>
      </c>
      <c r="J6" s="46" t="inlineStr">
        <is>
          <t>2032 Job Detail Report.pdf (Sage Timberline, 04/03/2026, 72 pages)</t>
        </is>
      </c>
    </row>
    <row r="7">
      <c r="B7" s="47" t="inlineStr">
        <is>
          <t>101</t>
        </is>
      </c>
      <c r="C7" s="48" t="inlineStr">
        <is>
          <t>Takeoff &amp; Purchase Labor</t>
        </is>
      </c>
      <c r="D7" s="68" t="n">
        <v>10295</v>
      </c>
      <c r="E7" s="68" t="n">
        <v>10765</v>
      </c>
      <c r="F7" s="68" t="n">
        <v>8067.5</v>
      </c>
      <c r="G7" s="69">
        <f>F7-E7</f>
        <v/>
      </c>
      <c r="H7" s="70">
        <f>IF(E7=0,"",F7/E7)</f>
        <v/>
      </c>
      <c r="I7" s="71" t="n">
        <v>166</v>
      </c>
      <c r="J7" s="48" t="inlineStr">
        <is>
          <t>2032 Job Detail Report.pdf (Sage Timberline, 04/03/2026, 72 pages)</t>
        </is>
      </c>
    </row>
    <row r="8">
      <c r="B8" s="45" t="inlineStr">
        <is>
          <t>110</t>
        </is>
      </c>
      <c r="C8" s="46" t="inlineStr">
        <is>
          <t>Underground Labor</t>
        </is>
      </c>
      <c r="D8" s="65" t="n">
        <v>6720</v>
      </c>
      <c r="E8" s="65" t="n">
        <v>8170</v>
      </c>
      <c r="F8" s="65" t="n">
        <v>6693</v>
      </c>
      <c r="G8" s="66">
        <f>F8-E8</f>
        <v/>
      </c>
      <c r="H8" s="67">
        <f>IF(E8=0,"",F8/E8)</f>
        <v/>
      </c>
      <c r="I8" s="55" t="n">
        <v>231</v>
      </c>
      <c r="J8" s="46" t="inlineStr">
        <is>
          <t>2032 Job Detail Report.pdf (Sage Timberline, 04/03/2026, 72 pages)</t>
        </is>
      </c>
    </row>
    <row r="9">
      <c r="B9" s="47" t="inlineStr">
        <is>
          <t>120</t>
        </is>
      </c>
      <c r="C9" s="48" t="inlineStr">
        <is>
          <t>Roughin Labor</t>
        </is>
      </c>
      <c r="D9" s="68" t="n">
        <v>86310</v>
      </c>
      <c r="E9" s="68" t="n">
        <v>87991</v>
      </c>
      <c r="F9" s="68" t="n">
        <v>77199.5</v>
      </c>
      <c r="G9" s="69">
        <f>F9-E9</f>
        <v/>
      </c>
      <c r="H9" s="70">
        <f>IF(E9=0,"",F9/E9)</f>
        <v/>
      </c>
      <c r="I9" s="71" t="n">
        <v>3132</v>
      </c>
      <c r="J9" s="48" t="inlineStr">
        <is>
          <t>2032 Job Detail Report.pdf (Sage Timberline, 04/03/2026, 72 pages)</t>
        </is>
      </c>
    </row>
    <row r="10">
      <c r="B10" s="45" t="inlineStr">
        <is>
          <t>130</t>
        </is>
      </c>
      <c r="C10" s="46" t="inlineStr">
        <is>
          <t>Finish Labor</t>
        </is>
      </c>
      <c r="D10" s="65" t="n">
        <v>23215</v>
      </c>
      <c r="E10" s="65" t="n">
        <v>24174</v>
      </c>
      <c r="F10" s="65" t="n">
        <v>15430.25</v>
      </c>
      <c r="G10" s="66">
        <f>F10-E10</f>
        <v/>
      </c>
      <c r="H10" s="67">
        <f>IF(E10=0,"",F10/E10)</f>
        <v/>
      </c>
      <c r="I10" s="55" t="n">
        <v>682.5</v>
      </c>
      <c r="J10" s="46" t="inlineStr">
        <is>
          <t>2032 Job Detail Report.pdf (Sage Timberline, 04/03/2026, 72 pages)</t>
        </is>
      </c>
    </row>
    <row r="11">
      <c r="B11" s="47" t="inlineStr">
        <is>
          <t>140</t>
        </is>
      </c>
      <c r="C11" s="48" t="inlineStr">
        <is>
          <t>Gas Labor</t>
        </is>
      </c>
      <c r="D11" s="68" t="n">
        <v>5250</v>
      </c>
      <c r="E11" s="68" t="n">
        <v>5250</v>
      </c>
      <c r="F11" s="68" t="n">
        <v>1836</v>
      </c>
      <c r="G11" s="69">
        <f>F11-E11</f>
        <v/>
      </c>
      <c r="H11" s="70">
        <f>IF(E11=0,"",F11/E11)</f>
        <v/>
      </c>
      <c r="I11" s="71" t="n">
        <v>50.5</v>
      </c>
      <c r="J11" s="48" t="inlineStr">
        <is>
          <t>2032 Job Detail Report.pdf (Sage Timberline, 04/03/2026, 72 pages)</t>
        </is>
      </c>
    </row>
    <row r="12">
      <c r="B12" s="45" t="inlineStr">
        <is>
          <t>141</t>
        </is>
      </c>
      <c r="C12" s="46" t="inlineStr">
        <is>
          <t>Water Main/Insulation Lab</t>
        </is>
      </c>
      <c r="D12" s="65" t="n">
        <v>25980</v>
      </c>
      <c r="E12" s="65" t="n">
        <v>25980</v>
      </c>
      <c r="F12" s="65" t="n">
        <v>12390</v>
      </c>
      <c r="G12" s="66">
        <f>F12-E12</f>
        <v/>
      </c>
      <c r="H12" s="67">
        <f>IF(E12=0,"",F12/E12)</f>
        <v/>
      </c>
      <c r="I12" s="55" t="n">
        <v>558.5</v>
      </c>
      <c r="J12" s="46" t="inlineStr">
        <is>
          <t>2032 Job Detail Report.pdf (Sage Timberline, 04/03/2026, 72 pages)</t>
        </is>
      </c>
    </row>
    <row r="13">
      <c r="B13" s="47" t="inlineStr">
        <is>
          <t>142</t>
        </is>
      </c>
      <c r="C13" s="48" t="inlineStr">
        <is>
          <t>Mech Room Labor</t>
        </is>
      </c>
      <c r="D13" s="68" t="n">
        <v>12060</v>
      </c>
      <c r="E13" s="68" t="n">
        <v>12762</v>
      </c>
      <c r="F13" s="68" t="n">
        <v>9868.5</v>
      </c>
      <c r="G13" s="69">
        <f>F13-E13</f>
        <v/>
      </c>
      <c r="H13" s="70">
        <f>IF(E13=0,"",F13/E13)</f>
        <v/>
      </c>
      <c r="I13" s="71" t="n">
        <v>274</v>
      </c>
      <c r="J13" s="48" t="inlineStr">
        <is>
          <t>2032 Job Detail Report.pdf (Sage Timberline, 04/03/2026, 72 pages)</t>
        </is>
      </c>
    </row>
    <row r="14">
      <c r="B14" s="45" t="inlineStr">
        <is>
          <t>210</t>
        </is>
      </c>
      <c r="C14" s="46" t="inlineStr">
        <is>
          <t>Underground Material</t>
        </is>
      </c>
      <c r="D14" s="65" t="n">
        <v>7845</v>
      </c>
      <c r="E14" s="65" t="n">
        <v>12333</v>
      </c>
      <c r="F14" s="65" t="n">
        <v>7410.05</v>
      </c>
      <c r="G14" s="66">
        <f>F14-E14</f>
        <v/>
      </c>
      <c r="H14" s="67">
        <f>IF(E14=0,"",F14/E14)</f>
        <v/>
      </c>
      <c r="I14" s="17" t="inlineStr"/>
      <c r="J14" s="46" t="inlineStr">
        <is>
          <t>2032 Job Detail Report.pdf (Sage Timberline, 04/03/2026, 72 pages)</t>
        </is>
      </c>
    </row>
    <row r="15">
      <c r="B15" s="47" t="inlineStr">
        <is>
          <t>211</t>
        </is>
      </c>
      <c r="C15" s="48" t="inlineStr">
        <is>
          <t>Garage Material</t>
        </is>
      </c>
      <c r="D15" s="68" t="n">
        <v>0</v>
      </c>
      <c r="E15" s="68" t="n">
        <v>0</v>
      </c>
      <c r="F15" s="68" t="n">
        <v>203.65</v>
      </c>
      <c r="G15" s="69">
        <f>F15-E15</f>
        <v/>
      </c>
      <c r="H15" s="70">
        <f>IF(E15=0,"",F15/E15)</f>
        <v/>
      </c>
      <c r="I15" s="72" t="inlineStr"/>
      <c r="J15" s="48" t="inlineStr">
        <is>
          <t>2032 Job Detail Report.pdf (Sage Timberline, 04/03/2026, 72 pages)</t>
        </is>
      </c>
    </row>
    <row r="16">
      <c r="B16" s="45" t="inlineStr">
        <is>
          <t>212</t>
        </is>
      </c>
      <c r="C16" s="46" t="inlineStr">
        <is>
          <t>Canout Material</t>
        </is>
      </c>
      <c r="D16" s="65" t="n">
        <v>0</v>
      </c>
      <c r="E16" s="65" t="n">
        <v>0</v>
      </c>
      <c r="F16" s="65" t="n">
        <v>80.8</v>
      </c>
      <c r="G16" s="66">
        <f>F16-E16</f>
        <v/>
      </c>
      <c r="H16" s="67">
        <f>IF(E16=0,"",F16/E16)</f>
        <v/>
      </c>
      <c r="I16" s="17" t="inlineStr"/>
      <c r="J16" s="46" t="inlineStr">
        <is>
          <t>2032 Job Detail Report.pdf (Sage Timberline, 04/03/2026, 72 pages)</t>
        </is>
      </c>
    </row>
    <row r="17">
      <c r="B17" s="47" t="inlineStr">
        <is>
          <t>220</t>
        </is>
      </c>
      <c r="C17" s="48" t="inlineStr">
        <is>
          <t>Roughin Material</t>
        </is>
      </c>
      <c r="D17" s="68" t="n">
        <v>48085</v>
      </c>
      <c r="E17" s="68" t="n">
        <v>49835</v>
      </c>
      <c r="F17" s="68" t="n">
        <v>27891.8</v>
      </c>
      <c r="G17" s="69">
        <f>F17-E17</f>
        <v/>
      </c>
      <c r="H17" s="70">
        <f>IF(E17=0,"",F17/E17)</f>
        <v/>
      </c>
      <c r="I17" s="72" t="inlineStr"/>
      <c r="J17" s="48" t="inlineStr">
        <is>
          <t>2032 Job Detail Report.pdf (Sage Timberline, 04/03/2026, 72 pages)</t>
        </is>
      </c>
    </row>
    <row r="18">
      <c r="B18" s="45" t="inlineStr">
        <is>
          <t>230</t>
        </is>
      </c>
      <c r="C18" s="46" t="inlineStr">
        <is>
          <t>Finish Material</t>
        </is>
      </c>
      <c r="D18" s="65" t="n">
        <v>79470</v>
      </c>
      <c r="E18" s="65" t="n">
        <v>92626</v>
      </c>
      <c r="F18" s="65" t="n">
        <v>98389.06</v>
      </c>
      <c r="G18" s="66">
        <f>F18-E18</f>
        <v/>
      </c>
      <c r="H18" s="67">
        <f>IF(E18=0,"",F18/E18)</f>
        <v/>
      </c>
      <c r="I18" s="17" t="inlineStr"/>
      <c r="J18" s="46" t="inlineStr">
        <is>
          <t>2032 Job Detail Report.pdf (Sage Timberline, 04/03/2026, 72 pages)</t>
        </is>
      </c>
    </row>
    <row r="19">
      <c r="B19" s="47" t="inlineStr">
        <is>
          <t>240</t>
        </is>
      </c>
      <c r="C19" s="48" t="inlineStr">
        <is>
          <t>Gas Material</t>
        </is>
      </c>
      <c r="D19" s="68" t="n">
        <v>3500</v>
      </c>
      <c r="E19" s="68" t="n">
        <v>3500</v>
      </c>
      <c r="F19" s="68" t="n">
        <v>1008.16</v>
      </c>
      <c r="G19" s="69">
        <f>F19-E19</f>
        <v/>
      </c>
      <c r="H19" s="70">
        <f>IF(E19=0,"",F19/E19)</f>
        <v/>
      </c>
      <c r="I19" s="72" t="inlineStr"/>
      <c r="J19" s="48" t="inlineStr">
        <is>
          <t>2032 Job Detail Report.pdf (Sage Timberline, 04/03/2026, 72 pages)</t>
        </is>
      </c>
    </row>
    <row r="20">
      <c r="B20" s="45" t="inlineStr">
        <is>
          <t>241</t>
        </is>
      </c>
      <c r="C20" s="46" t="inlineStr">
        <is>
          <t>Water Main/Insulation Mat</t>
        </is>
      </c>
      <c r="D20" s="65" t="n">
        <v>33025</v>
      </c>
      <c r="E20" s="65" t="n">
        <v>33025</v>
      </c>
      <c r="F20" s="65" t="n">
        <v>21425.26</v>
      </c>
      <c r="G20" s="66">
        <f>F20-E20</f>
        <v/>
      </c>
      <c r="H20" s="67">
        <f>IF(E20=0,"",F20/E20)</f>
        <v/>
      </c>
      <c r="I20" s="17" t="inlineStr"/>
      <c r="J20" s="46" t="inlineStr">
        <is>
          <t>2032 Job Detail Report.pdf (Sage Timberline, 04/03/2026, 72 pages)</t>
        </is>
      </c>
    </row>
    <row r="21">
      <c r="B21" s="47" t="inlineStr">
        <is>
          <t>242</t>
        </is>
      </c>
      <c r="C21" s="48" t="inlineStr">
        <is>
          <t>Mech Room Material</t>
        </is>
      </c>
      <c r="D21" s="68" t="n">
        <v>32450</v>
      </c>
      <c r="E21" s="68" t="n">
        <v>39250</v>
      </c>
      <c r="F21" s="68" t="n">
        <v>11291.75</v>
      </c>
      <c r="G21" s="69">
        <f>F21-E21</f>
        <v/>
      </c>
      <c r="H21" s="70">
        <f>IF(E21=0,"",F21/E21)</f>
        <v/>
      </c>
      <c r="I21" s="72" t="inlineStr"/>
      <c r="J21" s="48" t="inlineStr">
        <is>
          <t>2032 Job Detail Report.pdf (Sage Timberline, 04/03/2026, 72 pages)</t>
        </is>
      </c>
    </row>
    <row r="22">
      <c r="B22" s="45" t="inlineStr">
        <is>
          <t>243</t>
        </is>
      </c>
      <c r="C22" s="46" t="inlineStr">
        <is>
          <t>Condensation Drains Mat</t>
        </is>
      </c>
      <c r="D22" s="65" t="n">
        <v>0</v>
      </c>
      <c r="E22" s="65" t="n">
        <v>0</v>
      </c>
      <c r="F22" s="65" t="n">
        <v>0</v>
      </c>
      <c r="G22" s="66">
        <f>F22-E22</f>
        <v/>
      </c>
      <c r="H22" s="67">
        <f>IF(E22=0,"",F22/E22)</f>
        <v/>
      </c>
      <c r="I22" s="17" t="inlineStr"/>
      <c r="J22" s="46" t="inlineStr">
        <is>
          <t>2032 Job Detail Report.pdf (Sage Timberline, 04/03/2026, 72 pages)</t>
        </is>
      </c>
    </row>
    <row r="23">
      <c r="B23" s="47" t="inlineStr">
        <is>
          <t>310</t>
        </is>
      </c>
      <c r="C23" s="48" t="inlineStr">
        <is>
          <t>Flats Underground Labor</t>
        </is>
      </c>
      <c r="D23" s="68" t="n">
        <v>0</v>
      </c>
      <c r="E23" s="68" t="n">
        <v>0</v>
      </c>
      <c r="F23" s="68" t="n">
        <v>0</v>
      </c>
      <c r="G23" s="69">
        <f>F23-E23</f>
        <v/>
      </c>
      <c r="H23" s="70">
        <f>IF(E23=0,"",F23/E23)</f>
        <v/>
      </c>
      <c r="I23" s="71" t="n">
        <v>8</v>
      </c>
      <c r="J23" s="48" t="inlineStr">
        <is>
          <t>2032 Job Detail Report.pdf (Sage Timberline, 04/03/2026, 72 pages)</t>
        </is>
      </c>
    </row>
    <row r="24">
      <c r="B24" s="45" t="inlineStr">
        <is>
          <t>320</t>
        </is>
      </c>
      <c r="C24" s="46" t="inlineStr">
        <is>
          <t>Flats Roughin Labor</t>
        </is>
      </c>
      <c r="D24" s="65" t="n">
        <v>0</v>
      </c>
      <c r="E24" s="65" t="n">
        <v>0</v>
      </c>
      <c r="F24" s="65" t="n">
        <v>0</v>
      </c>
      <c r="G24" s="66">
        <f>F24-E24</f>
        <v/>
      </c>
      <c r="H24" s="67">
        <f>IF(E24=0,"",F24/E24)</f>
        <v/>
      </c>
      <c r="I24" s="17" t="inlineStr"/>
      <c r="J24" s="46" t="inlineStr">
        <is>
          <t>2032 Job Detail Report.pdf (Sage Timberline, 04/03/2026, 72 pages)</t>
        </is>
      </c>
    </row>
    <row r="25">
      <c r="B25" s="47" t="inlineStr">
        <is>
          <t>420</t>
        </is>
      </c>
      <c r="C25" s="48" t="inlineStr">
        <is>
          <t>Flats Roughin Material</t>
        </is>
      </c>
      <c r="D25" s="68" t="n">
        <v>0</v>
      </c>
      <c r="E25" s="68" t="n">
        <v>0</v>
      </c>
      <c r="F25" s="68" t="n">
        <v>0</v>
      </c>
      <c r="G25" s="69">
        <f>F25-E25</f>
        <v/>
      </c>
      <c r="H25" s="70">
        <f>IF(E25=0,"",F25/E25)</f>
        <v/>
      </c>
      <c r="I25" s="72" t="inlineStr"/>
      <c r="J25" s="48" t="inlineStr">
        <is>
          <t>2032 Job Detail Report.pdf (Sage Timberline, 04/03/2026, 72 pages)</t>
        </is>
      </c>
    </row>
    <row r="26">
      <c r="B26" s="45" t="inlineStr">
        <is>
          <t>600</t>
        </is>
      </c>
      <c r="C26" s="46" t="inlineStr">
        <is>
          <t>Subcontractor</t>
        </is>
      </c>
      <c r="D26" s="65" t="n">
        <v>1000</v>
      </c>
      <c r="E26" s="65" t="n">
        <v>1000</v>
      </c>
      <c r="F26" s="65" t="n">
        <v>135</v>
      </c>
      <c r="G26" s="66">
        <f>F26-E26</f>
        <v/>
      </c>
      <c r="H26" s="67">
        <f>IF(E26=0,"",F26/E26)</f>
        <v/>
      </c>
      <c r="I26" s="17" t="inlineStr"/>
      <c r="J26" s="46" t="inlineStr">
        <is>
          <t>2032 Job Detail Report.pdf (Sage Timberline, 04/03/2026, 72 pages)</t>
        </is>
      </c>
    </row>
    <row r="27">
      <c r="B27" s="47" t="inlineStr">
        <is>
          <t>601</t>
        </is>
      </c>
      <c r="C27" s="48" t="inlineStr">
        <is>
          <t>Engineering/Plans</t>
        </is>
      </c>
      <c r="D27" s="68" t="n">
        <v>21000</v>
      </c>
      <c r="E27" s="68" t="n">
        <v>21000</v>
      </c>
      <c r="F27" s="68" t="n">
        <v>17538.5</v>
      </c>
      <c r="G27" s="69">
        <f>F27-E27</f>
        <v/>
      </c>
      <c r="H27" s="70">
        <f>IF(E27=0,"",F27/E27)</f>
        <v/>
      </c>
      <c r="I27" s="72" t="inlineStr"/>
      <c r="J27" s="48" t="inlineStr">
        <is>
          <t>2032 Job Detail Report.pdf (Sage Timberline, 04/03/2026, 72 pages)</t>
        </is>
      </c>
    </row>
    <row r="28">
      <c r="B28" s="45" t="inlineStr">
        <is>
          <t>603</t>
        </is>
      </c>
      <c r="C28" s="46" t="inlineStr">
        <is>
          <t>Permits &amp; Licenses</t>
        </is>
      </c>
      <c r="D28" s="65" t="n">
        <v>5155</v>
      </c>
      <c r="E28" s="65" t="n">
        <v>5165</v>
      </c>
      <c r="F28" s="65" t="n">
        <v>4198</v>
      </c>
      <c r="G28" s="66">
        <f>F28-E28</f>
        <v/>
      </c>
      <c r="H28" s="67">
        <f>IF(E28=0,"",F28/E28)</f>
        <v/>
      </c>
      <c r="I28" s="17" t="inlineStr"/>
      <c r="J28" s="46" t="inlineStr">
        <is>
          <t>2032 Job Detail Report.pdf (Sage Timberline, 04/03/2026, 72 pages)</t>
        </is>
      </c>
    </row>
    <row r="29">
      <c r="B29" s="47" t="inlineStr">
        <is>
          <t>607</t>
        </is>
      </c>
      <c r="C29" s="48" t="inlineStr">
        <is>
          <t>Other Expenses</t>
        </is>
      </c>
      <c r="D29" s="68" t="n">
        <v>7000</v>
      </c>
      <c r="E29" s="68" t="n">
        <v>7000</v>
      </c>
      <c r="F29" s="68" t="n">
        <v>4239.36</v>
      </c>
      <c r="G29" s="69">
        <f>F29-E29</f>
        <v/>
      </c>
      <c r="H29" s="70">
        <f>IF(E29=0,"",F29/E29)</f>
        <v/>
      </c>
      <c r="I29" s="72" t="inlineStr"/>
      <c r="J29" s="48" t="inlineStr">
        <is>
          <t>2032 Job Detail Report.pdf (Sage Timberline, 04/03/2026, 72 pages)</t>
        </is>
      </c>
    </row>
    <row r="30">
      <c r="B30" s="45" t="inlineStr">
        <is>
          <t>995</t>
        </is>
      </c>
      <c r="C30" s="46" t="inlineStr">
        <is>
          <t>Payroll Burden</t>
        </is>
      </c>
      <c r="D30" s="65" t="n">
        <v>78153.57000000001</v>
      </c>
      <c r="E30" s="65" t="n">
        <v>80584.7</v>
      </c>
      <c r="F30" s="65" t="n">
        <v>59716.99</v>
      </c>
      <c r="G30" s="66">
        <f>F30-E30</f>
        <v/>
      </c>
      <c r="H30" s="67">
        <f>IF(E30=0,"",F30/E30)</f>
        <v/>
      </c>
      <c r="I30" s="17" t="inlineStr"/>
      <c r="J30" s="46" t="inlineStr">
        <is>
          <t>2032 Job Detail Report.pdf (Sage Timberline, 04/03/2026, 72 pages)</t>
        </is>
      </c>
    </row>
    <row r="31">
      <c r="B31" s="47" t="inlineStr">
        <is>
          <t>998</t>
        </is>
      </c>
      <c r="C31" s="48" t="inlineStr">
        <is>
          <t>Payroll Taxes</t>
        </is>
      </c>
      <c r="D31" s="68" t="n">
        <v>13480.83</v>
      </c>
      <c r="E31" s="68" t="n">
        <v>13894.12</v>
      </c>
      <c r="F31" s="68" t="n">
        <v>10300.89</v>
      </c>
      <c r="G31" s="69">
        <f>F31-E31</f>
        <v/>
      </c>
      <c r="H31" s="70">
        <f>IF(E31=0,"",F31/E31)</f>
        <v/>
      </c>
      <c r="I31" s="72" t="inlineStr"/>
      <c r="J31" s="48" t="inlineStr">
        <is>
          <t>2032 Job Detail Report.pdf (Sage Timberline, 04/03/2026, 72 pages)</t>
        </is>
      </c>
    </row>
    <row r="32">
      <c r="B32" s="45" t="inlineStr">
        <is>
          <t>999</t>
        </is>
      </c>
      <c r="C32" s="46" t="inlineStr">
        <is>
          <t>Sales</t>
        </is>
      </c>
      <c r="D32" s="65" t="n">
        <v>-685300</v>
      </c>
      <c r="E32" s="65" t="n">
        <v>-726403</v>
      </c>
      <c r="F32" s="65" t="n">
        <v>-726403</v>
      </c>
      <c r="G32" s="66">
        <f>F32-E32</f>
        <v/>
      </c>
      <c r="H32" s="67">
        <f>IF(E32=0,"",F32/E32)</f>
        <v/>
      </c>
      <c r="I32" s="17" t="inlineStr"/>
      <c r="J32" s="46" t="inlineStr">
        <is>
          <t>2032 Job Detail Report.pdf (Sage Timberline, 04/03/2026, 72 pages)</t>
        </is>
      </c>
    </row>
    <row r="33">
      <c r="B33" s="73" t="inlineStr">
        <is>
          <t>TOTAL</t>
        </is>
      </c>
      <c r="C33" s="52" t="n"/>
      <c r="D33" s="69">
        <f>SUM(D6:D32)</f>
        <v/>
      </c>
      <c r="E33" s="69">
        <f>SUM(E6:E32)</f>
        <v/>
      </c>
      <c r="F33" s="69">
        <f>SUM(F6:F32)</f>
        <v/>
      </c>
      <c r="G33" s="69">
        <f>F33-E33</f>
        <v/>
      </c>
      <c r="H33" s="52" t="n"/>
      <c r="I33" s="74">
        <f>SUM(I6:I32)</f>
        <v/>
      </c>
      <c r="J33" s="52" t="n"/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Cost Breakdown by Category</t>
        </is>
      </c>
    </row>
    <row r="3" ht="22" customHeight="1">
      <c r="B3" s="42" t="inlineStr">
        <is>
          <t>Direct cost composition by category from JDR cost codes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Category</t>
        </is>
      </c>
      <c r="C5" s="64" t="inlineStr">
        <is>
          <t>Cost Codes</t>
        </is>
      </c>
      <c r="D5" s="64" t="inlineStr">
        <is>
          <t>Actual $</t>
        </is>
      </c>
      <c r="E5" s="64" t="inlineStr">
        <is>
          <t>% of Direct Cost</t>
        </is>
      </c>
      <c r="F5" s="64" t="inlineStr">
        <is>
          <t>% of Revenue</t>
        </is>
      </c>
      <c r="G5" s="64" t="inlineStr">
        <is>
          <t>Source</t>
        </is>
      </c>
    </row>
    <row r="6">
      <c r="B6" s="45" t="inlineStr">
        <is>
          <t>Labor</t>
        </is>
      </c>
      <c r="C6" s="46" t="inlineStr">
        <is>
          <t>100,101,110,111,112,120,130,140,141,142,150</t>
        </is>
      </c>
      <c r="D6" s="54" t="n">
        <v>134465.25</v>
      </c>
      <c r="E6" s="67">
        <f>D6/$D$11</f>
        <v/>
      </c>
      <c r="F6" s="67">
        <f>D6/726403.0</f>
        <v/>
      </c>
      <c r="G6" s="46" t="inlineStr">
        <is>
          <t>2032 Job Detail Report.pdf (Sage Timberline, 04/03/2026, 72 pages)</t>
        </is>
      </c>
    </row>
    <row r="7">
      <c r="B7" s="47" t="inlineStr">
        <is>
          <t>Material</t>
        </is>
      </c>
      <c r="C7" s="48" t="inlineStr">
        <is>
          <t>210,211,212,220,230,240,241,242,243</t>
        </is>
      </c>
      <c r="D7" s="75" t="n">
        <v>167700.53</v>
      </c>
      <c r="E7" s="70">
        <f>D7/$D$11</f>
        <v/>
      </c>
      <c r="F7" s="70">
        <f>D7/726403.0</f>
        <v/>
      </c>
      <c r="G7" s="48" t="inlineStr">
        <is>
          <t>2032 Job Detail Report.pdf (Sage Timberline, 04/03/2026, 72 pages)</t>
        </is>
      </c>
      <c r="H7" s="52" t="n"/>
      <c r="I7" s="52" t="n"/>
      <c r="J7" s="52" t="n"/>
    </row>
    <row r="8">
      <c r="B8" s="45" t="inlineStr">
        <is>
          <t>Subcontractor + Engineering + Permits + Other</t>
        </is>
      </c>
      <c r="C8" s="46" t="inlineStr">
        <is>
          <t>600,601,603,604,607</t>
        </is>
      </c>
      <c r="D8" s="54" t="n">
        <v>26110.86</v>
      </c>
      <c r="E8" s="67">
        <f>D8/$D$11</f>
        <v/>
      </c>
      <c r="F8" s="67">
        <f>D8/726403.0</f>
        <v/>
      </c>
      <c r="G8" s="46" t="inlineStr">
        <is>
          <t>2032 Job Detail Report.pdf (Sage Timberline, 04/03/2026, 72 pages)</t>
        </is>
      </c>
    </row>
    <row r="9">
      <c r="B9" s="47" t="inlineStr">
        <is>
          <t>Payroll Burden</t>
        </is>
      </c>
      <c r="C9" s="48" t="inlineStr">
        <is>
          <t>995</t>
        </is>
      </c>
      <c r="D9" s="75" t="n">
        <v>59716.99</v>
      </c>
      <c r="E9" s="70">
        <f>D9/$D$11</f>
        <v/>
      </c>
      <c r="F9" s="70">
        <f>D9/726403.0</f>
        <v/>
      </c>
      <c r="G9" s="48" t="inlineStr">
        <is>
          <t>2032 Job Detail Report.pdf (Sage Timberline, 04/03/2026, 72 pages)</t>
        </is>
      </c>
      <c r="H9" s="52" t="n"/>
      <c r="I9" s="52" t="n"/>
      <c r="J9" s="52" t="n"/>
    </row>
    <row r="10">
      <c r="B10" s="45" t="inlineStr">
        <is>
          <t>Payroll Taxes</t>
        </is>
      </c>
      <c r="C10" s="46" t="inlineStr">
        <is>
          <t>998</t>
        </is>
      </c>
      <c r="D10" s="54" t="n">
        <v>10300.89</v>
      </c>
      <c r="E10" s="67">
        <f>D10/$D$11</f>
        <v/>
      </c>
      <c r="F10" s="67">
        <f>D10/726403.0</f>
        <v/>
      </c>
      <c r="G10" s="46" t="inlineStr">
        <is>
          <t>2032 Job Detail Report.pdf (Sage Timberline, 04/03/2026, 72 pages)</t>
        </is>
      </c>
    </row>
    <row r="11">
      <c r="B11" s="73" t="inlineStr">
        <is>
          <t>TOTAL DIRECT COST</t>
        </is>
      </c>
      <c r="C11" s="52" t="n"/>
      <c r="D11" s="76">
        <f>SUM(D6:D10)</f>
        <v/>
      </c>
      <c r="E11" s="77" t="n">
        <v>1</v>
      </c>
      <c r="F11" s="70">
        <f>D11/726403.0</f>
        <v/>
      </c>
      <c r="G11" s="52" t="n"/>
      <c r="H11" s="52" t="n"/>
      <c r="I11" s="52" t="n"/>
      <c r="J11" s="52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Material Purchases — AP Vendors</t>
        </is>
      </c>
    </row>
    <row r="3" ht="22" customHeight="1">
      <c r="B3" s="42" t="inlineStr">
        <is>
          <t>Material + subcontractor spend by vendor (AP records from JDR). Supplemented with submittal/PO inventory.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Vendor ID</t>
        </is>
      </c>
      <c r="C5" s="64" t="inlineStr">
        <is>
          <t>Vendor Name</t>
        </is>
      </c>
      <c r="D5" s="64" t="inlineStr">
        <is>
          <t>Total Spend</t>
        </is>
      </c>
      <c r="E5" s="64" t="inlineStr">
        <is>
          <t># Transactions</t>
        </is>
      </c>
      <c r="F5" s="64" t="inlineStr">
        <is>
          <t>Category (inferred)</t>
        </is>
      </c>
      <c r="G5" s="64" t="inlineStr">
        <is>
          <t>Source</t>
        </is>
      </c>
    </row>
    <row r="6">
      <c r="B6" s="45" t="inlineStr">
        <is>
          <t>2032KS</t>
        </is>
      </c>
      <c r="C6" s="46" t="inlineStr">
        <is>
          <t>Keller Supply Co. $Roosevelt</t>
        </is>
      </c>
      <c r="D6" s="65" t="n">
        <v>47765.15999999999</v>
      </c>
      <c r="E6" s="78" t="n">
        <v>27</v>
      </c>
      <c r="F6" s="46" t="inlineStr">
        <is>
          <t>Plumbing / Supplies</t>
        </is>
      </c>
      <c r="G6" s="46" t="inlineStr">
        <is>
          <t>2032 Job Detail Report.pdf (Sage Timberline, 04/03/2026, 72 pages)</t>
        </is>
      </c>
    </row>
    <row r="7">
      <c r="B7" s="47" t="inlineStr">
        <is>
          <t>2032RS</t>
        </is>
      </c>
      <c r="C7" s="48" t="inlineStr">
        <is>
          <t>Rosen Supply Company, Inc. $Roosevelt</t>
        </is>
      </c>
      <c r="D7" s="68" t="n">
        <v>37328.46999999999</v>
      </c>
      <c r="E7" s="79" t="n">
        <v>43</v>
      </c>
      <c r="F7" s="48" t="inlineStr">
        <is>
          <t>Plumbing / Supplies</t>
        </is>
      </c>
      <c r="G7" s="48" t="inlineStr">
        <is>
          <t>2032 Job Detail Report.pdf (Sage Timberline, 04/03/2026, 72 pages)</t>
        </is>
      </c>
      <c r="H7" s="52" t="n"/>
      <c r="I7" s="52" t="n"/>
      <c r="J7" s="52" t="n"/>
    </row>
    <row r="8">
      <c r="B8" s="45" t="inlineStr">
        <is>
          <t>7230BB</t>
        </is>
      </c>
      <c r="C8" s="46" t="inlineStr">
        <is>
          <t>Best Bath Systems</t>
        </is>
      </c>
      <c r="D8" s="65" t="n">
        <v>30609.11</v>
      </c>
      <c r="E8" s="78" t="n">
        <v>4</v>
      </c>
      <c r="F8" s="46" t="inlineStr">
        <is>
          <t>Uncategorized</t>
        </is>
      </c>
      <c r="G8" s="46" t="inlineStr">
        <is>
          <t>2032 Job Detail Report.pdf (Sage Timberline, 04/03/2026, 72 pages)</t>
        </is>
      </c>
    </row>
    <row r="9">
      <c r="B9" s="47" t="inlineStr">
        <is>
          <t>2032CS</t>
        </is>
      </c>
      <c r="C9" s="48" t="inlineStr">
        <is>
          <t>Consolidated Supply Co. $Roosevelt</t>
        </is>
      </c>
      <c r="D9" s="68" t="n">
        <v>25253.28</v>
      </c>
      <c r="E9" s="79" t="n">
        <v>24</v>
      </c>
      <c r="F9" s="48" t="inlineStr">
        <is>
          <t>Plumbing / Supplies</t>
        </is>
      </c>
      <c r="G9" s="48" t="inlineStr">
        <is>
          <t>2032 Job Detail Report.pdf (Sage Timberline, 04/03/2026, 72 pages)</t>
        </is>
      </c>
      <c r="H9" s="52" t="n"/>
      <c r="I9" s="52" t="n"/>
      <c r="J9" s="52" t="n"/>
    </row>
    <row r="10">
      <c r="B10" s="45" t="inlineStr">
        <is>
          <t>1625FE</t>
        </is>
      </c>
      <c r="C10" s="46" t="inlineStr">
        <is>
          <t>Franklin Engineering</t>
        </is>
      </c>
      <c r="D10" s="65" t="n">
        <v>17538.5</v>
      </c>
      <c r="E10" s="78" t="n">
        <v>7</v>
      </c>
      <c r="F10" s="46" t="inlineStr">
        <is>
          <t>Engineering (601)</t>
        </is>
      </c>
      <c r="G10" s="46" t="inlineStr">
        <is>
          <t>2032 Job Detail Report.pdf (Sage Timberline, 04/03/2026, 72 pages)</t>
        </is>
      </c>
    </row>
    <row r="11">
      <c r="B11" s="47" t="inlineStr">
        <is>
          <t>1234CO</t>
        </is>
      </c>
      <c r="C11" s="48" t="inlineStr">
        <is>
          <t>Capital One Credit Card</t>
        </is>
      </c>
      <c r="D11" s="68" t="n">
        <v>8520.77</v>
      </c>
      <c r="E11" s="79" t="n">
        <v>14</v>
      </c>
      <c r="F11" s="48" t="inlineStr">
        <is>
          <t>Credit Card (mixed)</t>
        </is>
      </c>
      <c r="G11" s="48" t="inlineStr">
        <is>
          <t>2032 Job Detail Report.pdf (Sage Timberline, 04/03/2026, 72 pages)</t>
        </is>
      </c>
      <c r="H11" s="52" t="n"/>
      <c r="I11" s="52" t="n"/>
      <c r="J11" s="52" t="n"/>
    </row>
    <row r="12">
      <c r="B12" s="45" t="inlineStr">
        <is>
          <t>1231KS</t>
        </is>
      </c>
      <c r="C12" s="46" t="inlineStr">
        <is>
          <t>Keller Supply Company</t>
        </is>
      </c>
      <c r="D12" s="65" t="n">
        <v>3427.5</v>
      </c>
      <c r="E12" s="78" t="n">
        <v>5</v>
      </c>
      <c r="F12" s="46" t="inlineStr">
        <is>
          <t>Plumbing / Supplies</t>
        </is>
      </c>
      <c r="G12" s="46" t="inlineStr">
        <is>
          <t>2032 Job Detail Report.pdf (Sage Timberline, 04/03/2026, 72 pages)</t>
        </is>
      </c>
    </row>
    <row r="13">
      <c r="B13" s="47" t="inlineStr">
        <is>
          <t>5560CH</t>
        </is>
      </c>
      <c r="C13" s="48" t="inlineStr">
        <is>
          <t>California Hydronics Corp</t>
        </is>
      </c>
      <c r="D13" s="68" t="n">
        <v>1460</v>
      </c>
      <c r="E13" s="79" t="n">
        <v>2</v>
      </c>
      <c r="F13" s="48" t="inlineStr">
        <is>
          <t>Uncategorized</t>
        </is>
      </c>
      <c r="G13" s="48" t="inlineStr">
        <is>
          <t>2032 Job Detail Report.pdf (Sage Timberline, 04/03/2026, 72 pages)</t>
        </is>
      </c>
      <c r="H13" s="52" t="n"/>
      <c r="I13" s="52" t="n"/>
      <c r="J13" s="52" t="n"/>
    </row>
    <row r="14">
      <c r="B14" s="45" t="inlineStr">
        <is>
          <t>3612MS</t>
        </is>
      </c>
      <c r="C14" s="46" t="inlineStr">
        <is>
          <t>Mechanical Sales, Inc.</t>
        </is>
      </c>
      <c r="D14" s="65" t="n">
        <v>1271.04</v>
      </c>
      <c r="E14" s="78" t="n">
        <v>3</v>
      </c>
      <c r="F14" s="46" t="inlineStr">
        <is>
          <t>Plumbing / Supplies</t>
        </is>
      </c>
      <c r="G14" s="46" t="inlineStr">
        <is>
          <t>2032 Job Detail Report.pdf (Sage Timberline, 04/03/2026, 72 pages)</t>
        </is>
      </c>
    </row>
    <row r="15">
      <c r="B15" s="47" t="inlineStr">
        <is>
          <t>1130CS</t>
        </is>
      </c>
      <c r="C15" s="48" t="inlineStr">
        <is>
          <t>Consolidated Supply Co.</t>
        </is>
      </c>
      <c r="D15" s="68" t="n">
        <v>871.54</v>
      </c>
      <c r="E15" s="79" t="n">
        <v>3</v>
      </c>
      <c r="F15" s="48" t="inlineStr">
        <is>
          <t>Plumbing / Supplies</t>
        </is>
      </c>
      <c r="G15" s="48" t="inlineStr">
        <is>
          <t>2032 Job Detail Report.pdf (Sage Timberline, 04/03/2026, 72 pages)</t>
        </is>
      </c>
      <c r="H15" s="52" t="n"/>
      <c r="I15" s="52" t="n"/>
      <c r="J15" s="52" t="n"/>
    </row>
    <row r="16">
      <c r="B16" s="45" t="inlineStr">
        <is>
          <t>2032FE</t>
        </is>
      </c>
      <c r="C16" s="46" t="inlineStr">
        <is>
          <t>Ferguson Enterprises, Inc. $Roosevelt</t>
        </is>
      </c>
      <c r="D16" s="65" t="n">
        <v>839.22</v>
      </c>
      <c r="E16" s="78" t="n">
        <v>1</v>
      </c>
      <c r="F16" s="46" t="inlineStr">
        <is>
          <t>Plumbing / Supplies</t>
        </is>
      </c>
      <c r="G16" s="46" t="inlineStr">
        <is>
          <t>2032 Job Detail Report.pdf (Sage Timberline, 04/03/2026, 72 pages)</t>
        </is>
      </c>
    </row>
    <row r="17">
      <c r="B17" s="47" t="inlineStr">
        <is>
          <t>2046RS</t>
        </is>
      </c>
      <c r="C17" s="48" t="inlineStr">
        <is>
          <t>Rosen Supply Company, Inc. $4218 Rooseve</t>
        </is>
      </c>
      <c r="D17" s="68" t="n">
        <v>468.72</v>
      </c>
      <c r="E17" s="79" t="n">
        <v>2</v>
      </c>
      <c r="F17" s="48" t="inlineStr">
        <is>
          <t>Plumbing / Supplies</t>
        </is>
      </c>
      <c r="G17" s="48" t="inlineStr">
        <is>
          <t>2032 Job Detail Report.pdf (Sage Timberline, 04/03/2026, 72 pages)</t>
        </is>
      </c>
      <c r="H17" s="52" t="n"/>
      <c r="I17" s="52" t="n"/>
      <c r="J17" s="52" t="n"/>
    </row>
    <row r="18">
      <c r="B18" s="45" t="inlineStr">
        <is>
          <t>1021AT</t>
        </is>
      </c>
      <c r="C18" s="46" t="inlineStr">
        <is>
          <t>ACME Corp</t>
        </is>
      </c>
      <c r="D18" s="65" t="n">
        <v>268.07</v>
      </c>
      <c r="E18" s="78" t="n">
        <v>2</v>
      </c>
      <c r="F18" s="46" t="inlineStr">
        <is>
          <t>Uncategorized</t>
        </is>
      </c>
      <c r="G18" s="46" t="inlineStr">
        <is>
          <t>2032 Job Detail Report.pdf (Sage Timberline, 04/03/2026, 72 pages)</t>
        </is>
      </c>
    </row>
    <row r="19">
      <c r="B19" s="47" t="inlineStr">
        <is>
          <t>1380RS</t>
        </is>
      </c>
      <c r="C19" s="48" t="inlineStr">
        <is>
          <t>Rosen Supply Kirkland</t>
        </is>
      </c>
      <c r="D19" s="68" t="n">
        <v>173.98</v>
      </c>
      <c r="E19" s="79" t="n">
        <v>2</v>
      </c>
      <c r="F19" s="48" t="inlineStr">
        <is>
          <t>Plumbing / Supplies</t>
        </is>
      </c>
      <c r="G19" s="48" t="inlineStr">
        <is>
          <t>2032 Job Detail Report.pdf (Sage Timberline, 04/03/2026, 72 pages)</t>
        </is>
      </c>
      <c r="H19" s="52" t="n"/>
      <c r="I19" s="52" t="n"/>
      <c r="J19" s="52" t="n"/>
    </row>
    <row r="20">
      <c r="B20" s="45" t="inlineStr">
        <is>
          <t>1421RA</t>
        </is>
      </c>
      <c r="C20" s="46" t="inlineStr">
        <is>
          <t>R.A. Brown Backflow Testing</t>
        </is>
      </c>
      <c r="D20" s="65" t="n">
        <v>135</v>
      </c>
      <c r="E20" s="78" t="n">
        <v>1</v>
      </c>
      <c r="F20" s="46" t="inlineStr">
        <is>
          <t>Testing subcontractor</t>
        </is>
      </c>
      <c r="G20" s="46" t="inlineStr">
        <is>
          <t>2032 Job Detail Report.pdf (Sage Timberline, 04/03/2026, 72 pages)</t>
        </is>
      </c>
    </row>
    <row r="21">
      <c r="B21" s="47" t="inlineStr">
        <is>
          <t>1978FC</t>
        </is>
      </c>
      <c r="C21" s="48" t="inlineStr">
        <is>
          <t>Fastenal Company</t>
        </is>
      </c>
      <c r="D21" s="68" t="n">
        <v>39.16</v>
      </c>
      <c r="E21" s="79" t="n">
        <v>1</v>
      </c>
      <c r="F21" s="48" t="inlineStr">
        <is>
          <t>Uncategorized</t>
        </is>
      </c>
      <c r="G21" s="48" t="inlineStr">
        <is>
          <t>2032 Job Detail Report.pdf (Sage Timberline, 04/03/2026, 72 pages)</t>
        </is>
      </c>
      <c r="H21" s="52" t="n"/>
      <c r="I21" s="52" t="n"/>
      <c r="J21" s="52" t="n"/>
    </row>
    <row r="22">
      <c r="B22" s="45" t="inlineStr">
        <is>
          <t>1234CI</t>
        </is>
      </c>
      <c r="C22" s="46" t="inlineStr">
        <is>
          <t>Citibank Credit Card</t>
        </is>
      </c>
      <c r="D22" s="65" t="n">
        <v>0</v>
      </c>
      <c r="E22" s="78" t="n">
        <v>6</v>
      </c>
      <c r="F22" s="46" t="inlineStr">
        <is>
          <t>Credit Card (mixed)</t>
        </is>
      </c>
      <c r="G22" s="46" t="inlineStr">
        <is>
          <t>2032 Job Detail Report.pdf (Sage Timberline, 04/03/2026, 72 pages)</t>
        </is>
      </c>
    </row>
    <row r="23">
      <c r="B23" s="73" t="inlineStr">
        <is>
          <t>TOTAL</t>
        </is>
      </c>
      <c r="C23" s="52" t="n"/>
      <c r="D23" s="76">
        <f>SUM(D6:D22)</f>
        <v/>
      </c>
      <c r="E23" s="48">
        <f>SUM(E6:E22)</f>
        <v/>
      </c>
      <c r="F23" s="52" t="n"/>
      <c r="G23" s="52" t="n"/>
      <c r="H23" s="52" t="n"/>
      <c r="I23" s="52" t="n"/>
      <c r="J23" s="52" t="n"/>
    </row>
    <row r="24"/>
    <row r="25">
      <c r="B25" s="47" t="inlineStr">
        <is>
          <t>NOTE: AP total per JDR footer = $175,969.52. Vendor sum above approximates this. Submittals folder (Submittals/) contains 19 fixture + 10 material + 1 UG submittal documenting approved products. POs folder shows 82 POs (7 placed, 19 scheduled, 56 completed).</t>
        </is>
      </c>
      <c r="C25" s="49" t="n"/>
      <c r="D25" s="49" t="n"/>
      <c r="E25" s="49" t="n"/>
      <c r="F25" s="49" t="n"/>
      <c r="G25" s="50" t="n"/>
      <c r="H25" s="52" t="n"/>
      <c r="I25" s="52" t="n"/>
      <c r="J25" s="52" t="n"/>
    </row>
  </sheetData>
  <mergeCells count="3">
    <mergeCell ref="B3:J3"/>
    <mergeCell ref="B25:G25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Crew &amp; Labor — Worker Roster</t>
        </is>
      </c>
    </row>
    <row r="3" ht="22" customHeight="1">
      <c r="B3" s="42" t="inlineStr">
        <is>
          <t>All 26 unique payroll workers from JDR.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Worker ID</t>
        </is>
      </c>
      <c r="C5" s="64" t="inlineStr">
        <is>
          <t>Worker Name</t>
        </is>
      </c>
      <c r="D5" s="64" t="inlineStr">
        <is>
          <t>Total Hours</t>
        </is>
      </c>
      <c r="E5" s="64" t="inlineStr">
        <is>
          <t>Gross Pay</t>
        </is>
      </c>
      <c r="F5" s="64" t="inlineStr">
        <is>
          <t>Blended Wage ($/hr)</t>
        </is>
      </c>
      <c r="G5" s="64" t="inlineStr">
        <is>
          <t># Work Days</t>
        </is>
      </c>
      <c r="H5" s="64" t="inlineStr">
        <is>
          <t>Source</t>
        </is>
      </c>
    </row>
    <row r="6">
      <c r="B6" s="45" t="inlineStr">
        <is>
          <t>BA68</t>
        </is>
      </c>
      <c r="C6" s="46" t="inlineStr">
        <is>
          <t>Barbosa, Michael S</t>
        </is>
      </c>
      <c r="D6" s="55" t="n">
        <v>832.5</v>
      </c>
      <c r="E6" s="54" t="n">
        <v>15412.5</v>
      </c>
      <c r="F6" s="80">
        <f>IF(D6=0,0,E6/D6)</f>
        <v/>
      </c>
      <c r="G6" s="78" t="n">
        <v>24</v>
      </c>
      <c r="H6" s="46" t="inlineStr">
        <is>
          <t>2032 Job Detail Report.pdf (Sage Timberline, 04/03/2026, 72 pages)</t>
        </is>
      </c>
    </row>
    <row r="7">
      <c r="B7" s="47" t="inlineStr">
        <is>
          <t>AN14</t>
        </is>
      </c>
      <c r="C7" s="48" t="inlineStr">
        <is>
          <t>Anderson, Richard P</t>
        </is>
      </c>
      <c r="D7" s="71" t="n">
        <v>769.25</v>
      </c>
      <c r="E7" s="75" t="n">
        <v>30883.5</v>
      </c>
      <c r="F7" s="76">
        <f>IF(D7=0,0,E7/D7)</f>
        <v/>
      </c>
      <c r="G7" s="79" t="n">
        <v>47</v>
      </c>
      <c r="H7" s="48" t="inlineStr">
        <is>
          <t>2032 Job Detail Report.pdf (Sage Timberline, 04/03/2026, 72 pages)</t>
        </is>
      </c>
      <c r="I7" s="52" t="n"/>
      <c r="J7" s="52" t="n"/>
    </row>
    <row r="8">
      <c r="B8" s="45" t="inlineStr">
        <is>
          <t>KI55</t>
        </is>
      </c>
      <c r="C8" s="46" t="inlineStr">
        <is>
          <t>Kinssies, Jr, John E</t>
        </is>
      </c>
      <c r="D8" s="55" t="n">
        <v>685</v>
      </c>
      <c r="E8" s="54" t="n">
        <v>15264</v>
      </c>
      <c r="F8" s="80">
        <f>IF(D8=0,0,E8/D8)</f>
        <v/>
      </c>
      <c r="G8" s="78" t="n">
        <v>36</v>
      </c>
      <c r="H8" s="46" t="inlineStr">
        <is>
          <t>2032 Job Detail Report.pdf (Sage Timberline, 04/03/2026, 72 pages)</t>
        </is>
      </c>
    </row>
    <row r="9">
      <c r="B9" s="47" t="inlineStr">
        <is>
          <t>WE55</t>
        </is>
      </c>
      <c r="C9" s="48" t="inlineStr">
        <is>
          <t>Wennig, Johnathan M</t>
        </is>
      </c>
      <c r="D9" s="71" t="n">
        <v>514.75</v>
      </c>
      <c r="E9" s="75" t="n">
        <v>12369.5</v>
      </c>
      <c r="F9" s="76">
        <f>IF(D9=0,0,E9/D9)</f>
        <v/>
      </c>
      <c r="G9" s="79" t="n">
        <v>16</v>
      </c>
      <c r="H9" s="48" t="inlineStr">
        <is>
          <t>2032 Job Detail Report.pdf (Sage Timberline, 04/03/2026, 72 pages)</t>
        </is>
      </c>
      <c r="I9" s="52" t="n"/>
      <c r="J9" s="52" t="n"/>
    </row>
    <row r="10">
      <c r="B10" s="45" t="inlineStr">
        <is>
          <t>ME52</t>
        </is>
      </c>
      <c r="C10" s="46" t="inlineStr">
        <is>
          <t>Mendoza, Edgar E</t>
        </is>
      </c>
      <c r="D10" s="55" t="n">
        <v>438</v>
      </c>
      <c r="E10" s="54" t="n">
        <v>7446</v>
      </c>
      <c r="F10" s="80">
        <f>IF(D10=0,0,E10/D10)</f>
        <v/>
      </c>
      <c r="G10" s="78" t="n">
        <v>12</v>
      </c>
      <c r="H10" s="46" t="inlineStr">
        <is>
          <t>2032 Job Detail Report.pdf (Sage Timberline, 04/03/2026, 72 pages)</t>
        </is>
      </c>
    </row>
    <row r="11">
      <c r="B11" s="47" t="inlineStr">
        <is>
          <t>HO14</t>
        </is>
      </c>
      <c r="C11" s="48" t="inlineStr">
        <is>
          <t>Holmes, Anthony R</t>
        </is>
      </c>
      <c r="D11" s="71" t="n">
        <v>301</v>
      </c>
      <c r="E11" s="75" t="n">
        <v>8881</v>
      </c>
      <c r="F11" s="76">
        <f>IF(D11=0,0,E11/D11)</f>
        <v/>
      </c>
      <c r="G11" s="79" t="n">
        <v>11</v>
      </c>
      <c r="H11" s="48" t="inlineStr">
        <is>
          <t>2032 Job Detail Report.pdf (Sage Timberline, 04/03/2026, 72 pages)</t>
        </is>
      </c>
      <c r="I11" s="52" t="n"/>
      <c r="J11" s="52" t="n"/>
    </row>
    <row r="12">
      <c r="B12" s="45" t="inlineStr">
        <is>
          <t>EL33</t>
        </is>
      </c>
      <c r="C12" s="46" t="inlineStr">
        <is>
          <t>Eliassen, Cory H</t>
        </is>
      </c>
      <c r="D12" s="55" t="n">
        <v>249</v>
      </c>
      <c r="E12" s="54" t="n">
        <v>5229</v>
      </c>
      <c r="F12" s="80">
        <f>IF(D12=0,0,E12/D12)</f>
        <v/>
      </c>
      <c r="G12" s="78" t="n">
        <v>9</v>
      </c>
      <c r="H12" s="46" t="inlineStr">
        <is>
          <t>2032 Job Detail Report.pdf (Sage Timberline, 04/03/2026, 72 pages)</t>
        </is>
      </c>
    </row>
    <row r="13">
      <c r="B13" s="47" t="inlineStr">
        <is>
          <t>NE46</t>
        </is>
      </c>
      <c r="C13" s="48" t="inlineStr">
        <is>
          <t>Nelson, Charles E</t>
        </is>
      </c>
      <c r="D13" s="71" t="n">
        <v>213</v>
      </c>
      <c r="E13" s="75" t="n">
        <v>3408</v>
      </c>
      <c r="F13" s="76">
        <f>IF(D13=0,0,E13/D13)</f>
        <v/>
      </c>
      <c r="G13" s="79" t="n">
        <v>9</v>
      </c>
      <c r="H13" s="48" t="inlineStr">
        <is>
          <t>2032 Job Detail Report.pdf (Sage Timberline, 04/03/2026, 72 pages)</t>
        </is>
      </c>
      <c r="I13" s="52" t="n"/>
      <c r="J13" s="52" t="n"/>
    </row>
    <row r="14">
      <c r="B14" s="45" t="inlineStr">
        <is>
          <t>MC09</t>
        </is>
      </c>
      <c r="C14" s="46" t="inlineStr">
        <is>
          <t>McCabe, Thomas C</t>
        </is>
      </c>
      <c r="D14" s="55" t="n">
        <v>185.5</v>
      </c>
      <c r="E14" s="54" t="n">
        <v>5750.5</v>
      </c>
      <c r="F14" s="80">
        <f>IF(D14=0,0,E14/D14)</f>
        <v/>
      </c>
      <c r="G14" s="78" t="n">
        <v>8</v>
      </c>
      <c r="H14" s="46" t="inlineStr">
        <is>
          <t>2032 Job Detail Report.pdf (Sage Timberline, 04/03/2026, 72 pages)</t>
        </is>
      </c>
    </row>
    <row r="15">
      <c r="B15" s="47" t="inlineStr">
        <is>
          <t>JI50</t>
        </is>
      </c>
      <c r="C15" s="48" t="inlineStr">
        <is>
          <t>Jimenez Alvarenga, Gerson M</t>
        </is>
      </c>
      <c r="D15" s="71" t="n">
        <v>184</v>
      </c>
      <c r="E15" s="75" t="n">
        <v>2944</v>
      </c>
      <c r="F15" s="76">
        <f>IF(D15=0,0,E15/D15)</f>
        <v/>
      </c>
      <c r="G15" s="79" t="n">
        <v>6</v>
      </c>
      <c r="H15" s="48" t="inlineStr">
        <is>
          <t>2032 Job Detail Report.pdf (Sage Timberline, 04/03/2026, 72 pages)</t>
        </is>
      </c>
      <c r="I15" s="52" t="n"/>
      <c r="J15" s="52" t="n"/>
    </row>
    <row r="16">
      <c r="B16" s="45" t="inlineStr">
        <is>
          <t>RA55</t>
        </is>
      </c>
      <c r="C16" s="46" t="inlineStr">
        <is>
          <t>Ramos Herrera, Franklin J</t>
        </is>
      </c>
      <c r="D16" s="55" t="n">
        <v>184</v>
      </c>
      <c r="E16" s="54" t="n">
        <v>2944</v>
      </c>
      <c r="F16" s="80">
        <f>IF(D16=0,0,E16/D16)</f>
        <v/>
      </c>
      <c r="G16" s="78" t="n">
        <v>6</v>
      </c>
      <c r="H16" s="46" t="inlineStr">
        <is>
          <t>2032 Job Detail Report.pdf (Sage Timberline, 04/03/2026, 72 pages)</t>
        </is>
      </c>
    </row>
    <row r="17">
      <c r="B17" s="47" t="inlineStr">
        <is>
          <t>GE69</t>
        </is>
      </c>
      <c r="C17" s="48" t="inlineStr">
        <is>
          <t>Gerard, Jeffrey S</t>
        </is>
      </c>
      <c r="D17" s="71" t="n">
        <v>125.5</v>
      </c>
      <c r="E17" s="75" t="n">
        <v>5916.5</v>
      </c>
      <c r="F17" s="76">
        <f>IF(D17=0,0,E17/D17)</f>
        <v/>
      </c>
      <c r="G17" s="79" t="n">
        <v>45</v>
      </c>
      <c r="H17" s="48" t="inlineStr">
        <is>
          <t>2032 Job Detail Report.pdf (Sage Timberline, 04/03/2026, 72 pages)</t>
        </is>
      </c>
      <c r="I17" s="52" t="n"/>
      <c r="J17" s="52" t="n"/>
    </row>
    <row r="18">
      <c r="B18" s="45" t="inlineStr">
        <is>
          <t>HU06</t>
        </is>
      </c>
      <c r="C18" s="46" t="inlineStr">
        <is>
          <t>Hubbard, Robert W</t>
        </is>
      </c>
      <c r="D18" s="55" t="n">
        <v>113</v>
      </c>
      <c r="E18" s="54" t="n">
        <v>5087</v>
      </c>
      <c r="F18" s="80">
        <f>IF(D18=0,0,E18/D18)</f>
        <v/>
      </c>
      <c r="G18" s="78" t="n">
        <v>14</v>
      </c>
      <c r="H18" s="46" t="inlineStr">
        <is>
          <t>2032 Job Detail Report.pdf (Sage Timberline, 04/03/2026, 72 pages)</t>
        </is>
      </c>
    </row>
    <row r="19">
      <c r="B19" s="47" t="inlineStr">
        <is>
          <t>DO56</t>
        </is>
      </c>
      <c r="C19" s="48" t="inlineStr">
        <is>
          <t>Donelson, Richard T</t>
        </is>
      </c>
      <c r="D19" s="71" t="n">
        <v>103</v>
      </c>
      <c r="E19" s="75" t="n">
        <v>5131.5</v>
      </c>
      <c r="F19" s="76">
        <f>IF(D19=0,0,E19/D19)</f>
        <v/>
      </c>
      <c r="G19" s="79" t="n">
        <v>45</v>
      </c>
      <c r="H19" s="48" t="inlineStr">
        <is>
          <t>2032 Job Detail Report.pdf (Sage Timberline, 04/03/2026, 72 pages)</t>
        </is>
      </c>
      <c r="I19" s="52" t="n"/>
      <c r="J19" s="52" t="n"/>
    </row>
    <row r="20">
      <c r="B20" s="45" t="inlineStr">
        <is>
          <t>SA54</t>
        </is>
      </c>
      <c r="C20" s="46" t="inlineStr">
        <is>
          <t>Sanders, Allen O</t>
        </is>
      </c>
      <c r="D20" s="55" t="n">
        <v>96.5</v>
      </c>
      <c r="E20" s="54" t="n">
        <v>3877</v>
      </c>
      <c r="F20" s="80">
        <f>IF(D20=0,0,E20/D20)</f>
        <v/>
      </c>
      <c r="G20" s="78" t="n">
        <v>18</v>
      </c>
      <c r="H20" s="46" t="inlineStr">
        <is>
          <t>2032 Job Detail Report.pdf (Sage Timberline, 04/03/2026, 72 pages)</t>
        </is>
      </c>
    </row>
    <row r="21">
      <c r="B21" s="47" t="inlineStr">
        <is>
          <t>GE70</t>
        </is>
      </c>
      <c r="C21" s="48" t="inlineStr">
        <is>
          <t>Gerard, Jordan E</t>
        </is>
      </c>
      <c r="D21" s="71" t="n">
        <v>80</v>
      </c>
      <c r="E21" s="75" t="n">
        <v>0</v>
      </c>
      <c r="F21" s="76">
        <f>IF(D21=0,0,E21/D21)</f>
        <v/>
      </c>
      <c r="G21" s="79" t="n">
        <v>1</v>
      </c>
      <c r="H21" s="48" t="inlineStr">
        <is>
          <t>2032 Job Detail Report.pdf (Sage Timberline, 04/03/2026, 72 pages)</t>
        </is>
      </c>
      <c r="I21" s="52" t="n"/>
      <c r="J21" s="52" t="n"/>
    </row>
    <row r="22">
      <c r="B22" s="45" t="inlineStr">
        <is>
          <t>BE45</t>
        </is>
      </c>
      <c r="C22" s="46" t="inlineStr">
        <is>
          <t>Belcher, Jacob T</t>
        </is>
      </c>
      <c r="D22" s="55" t="n">
        <v>72</v>
      </c>
      <c r="E22" s="54" t="n">
        <v>1080</v>
      </c>
      <c r="F22" s="80">
        <f>IF(D22=0,0,E22/D22)</f>
        <v/>
      </c>
      <c r="G22" s="78" t="n">
        <v>2</v>
      </c>
      <c r="H22" s="46" t="inlineStr">
        <is>
          <t>2032 Job Detail Report.pdf (Sage Timberline, 04/03/2026, 72 pages)</t>
        </is>
      </c>
    </row>
    <row r="23">
      <c r="B23" s="47" t="inlineStr">
        <is>
          <t>GO51</t>
        </is>
      </c>
      <c r="C23" s="48" t="inlineStr">
        <is>
          <t>Gomez Reyes, Edith N</t>
        </is>
      </c>
      <c r="D23" s="71" t="n">
        <v>24</v>
      </c>
      <c r="E23" s="75" t="n">
        <v>432</v>
      </c>
      <c r="F23" s="76">
        <f>IF(D23=0,0,E23/D23)</f>
        <v/>
      </c>
      <c r="G23" s="79" t="n">
        <v>3</v>
      </c>
      <c r="H23" s="48" t="inlineStr">
        <is>
          <t>2032 Job Detail Report.pdf (Sage Timberline, 04/03/2026, 72 pages)</t>
        </is>
      </c>
      <c r="I23" s="52" t="n"/>
      <c r="J23" s="52" t="n"/>
    </row>
    <row r="24">
      <c r="B24" s="45" t="inlineStr">
        <is>
          <t>OL17</t>
        </is>
      </c>
      <c r="C24" s="46" t="inlineStr">
        <is>
          <t>Olea Galeana, Maricela</t>
        </is>
      </c>
      <c r="D24" s="55" t="n">
        <v>24</v>
      </c>
      <c r="E24" s="54" t="n">
        <v>384</v>
      </c>
      <c r="F24" s="80">
        <f>IF(D24=0,0,E24/D24)</f>
        <v/>
      </c>
      <c r="G24" s="78" t="n">
        <v>2</v>
      </c>
      <c r="H24" s="46" t="inlineStr">
        <is>
          <t>2032 Job Detail Report.pdf (Sage Timberline, 04/03/2026, 72 pages)</t>
        </is>
      </c>
    </row>
    <row r="25">
      <c r="B25" s="47" t="inlineStr">
        <is>
          <t>SA53</t>
        </is>
      </c>
      <c r="C25" s="48" t="inlineStr">
        <is>
          <t>Sanchez Olea, Itzel G</t>
        </is>
      </c>
      <c r="D25" s="71" t="n">
        <v>24</v>
      </c>
      <c r="E25" s="75" t="n">
        <v>384</v>
      </c>
      <c r="F25" s="76">
        <f>IF(D25=0,0,E25/D25)</f>
        <v/>
      </c>
      <c r="G25" s="79" t="n">
        <v>2</v>
      </c>
      <c r="H25" s="48" t="inlineStr">
        <is>
          <t>2032 Job Detail Report.pdf (Sage Timberline, 04/03/2026, 72 pages)</t>
        </is>
      </c>
      <c r="I25" s="52" t="n"/>
      <c r="J25" s="52" t="n"/>
    </row>
    <row r="26">
      <c r="B26" s="45" t="inlineStr">
        <is>
          <t>HU04</t>
        </is>
      </c>
      <c r="C26" s="46" t="inlineStr">
        <is>
          <t>Hubbard, Dustin R</t>
        </is>
      </c>
      <c r="D26" s="55" t="n">
        <v>22</v>
      </c>
      <c r="E26" s="54" t="n">
        <v>453</v>
      </c>
      <c r="F26" s="80">
        <f>IF(D26=0,0,E26/D26)</f>
        <v/>
      </c>
      <c r="G26" s="78" t="n">
        <v>6</v>
      </c>
      <c r="H26" s="46" t="inlineStr">
        <is>
          <t>2032 Job Detail Report.pdf (Sage Timberline, 04/03/2026, 72 pages)</t>
        </is>
      </c>
    </row>
    <row r="27">
      <c r="B27" s="47" t="inlineStr">
        <is>
          <t>CA50</t>
        </is>
      </c>
      <c r="C27" s="48" t="inlineStr">
        <is>
          <t>Caro, Camilo</t>
        </is>
      </c>
      <c r="D27" s="71" t="n">
        <v>16</v>
      </c>
      <c r="E27" s="75" t="n">
        <v>256</v>
      </c>
      <c r="F27" s="76">
        <f>IF(D27=0,0,E27/D27)</f>
        <v/>
      </c>
      <c r="G27" s="79" t="n">
        <v>2</v>
      </c>
      <c r="H27" s="48" t="inlineStr">
        <is>
          <t>2032 Job Detail Report.pdf (Sage Timberline, 04/03/2026, 72 pages)</t>
        </is>
      </c>
      <c r="I27" s="52" t="n"/>
      <c r="J27" s="52" t="n"/>
    </row>
    <row r="28">
      <c r="B28" s="45" t="inlineStr">
        <is>
          <t>LO58</t>
        </is>
      </c>
      <c r="C28" s="46" t="inlineStr">
        <is>
          <t>Lopez Reyes, Boris O</t>
        </is>
      </c>
      <c r="D28" s="55" t="n">
        <v>8</v>
      </c>
      <c r="E28" s="54" t="n">
        <v>144</v>
      </c>
      <c r="F28" s="80">
        <f>IF(D28=0,0,E28/D28)</f>
        <v/>
      </c>
      <c r="G28" s="78" t="n">
        <v>1</v>
      </c>
      <c r="H28" s="46" t="inlineStr">
        <is>
          <t>2032 Job Detail Report.pdf (Sage Timberline, 04/03/2026, 72 pages)</t>
        </is>
      </c>
    </row>
    <row r="29">
      <c r="B29" s="47" t="inlineStr">
        <is>
          <t>CA77</t>
        </is>
      </c>
      <c r="C29" s="48" t="inlineStr">
        <is>
          <t>Castro Hernandez, Jose A</t>
        </is>
      </c>
      <c r="D29" s="71" t="n">
        <v>8</v>
      </c>
      <c r="E29" s="75" t="n">
        <v>184</v>
      </c>
      <c r="F29" s="76">
        <f>IF(D29=0,0,E29/D29)</f>
        <v/>
      </c>
      <c r="G29" s="79" t="n">
        <v>1</v>
      </c>
      <c r="H29" s="48" t="inlineStr">
        <is>
          <t>2032 Job Detail Report.pdf (Sage Timberline, 04/03/2026, 72 pages)</t>
        </is>
      </c>
      <c r="I29" s="52" t="n"/>
      <c r="J29" s="52" t="n"/>
    </row>
    <row r="30">
      <c r="B30" s="45" t="inlineStr">
        <is>
          <t>BA70</t>
        </is>
      </c>
      <c r="C30" s="46" t="inlineStr">
        <is>
          <t>Barnhart, Joseph N</t>
        </is>
      </c>
      <c r="D30" s="55" t="n">
        <v>3.5</v>
      </c>
      <c r="E30" s="54" t="n">
        <v>145</v>
      </c>
      <c r="F30" s="80">
        <f>IF(D30=0,0,E30/D30)</f>
        <v/>
      </c>
      <c r="G30" s="78" t="n">
        <v>2</v>
      </c>
      <c r="H30" s="46" t="inlineStr">
        <is>
          <t>2032 Job Detail Report.pdf (Sage Timberline, 04/03/2026, 72 pages)</t>
        </is>
      </c>
    </row>
    <row r="31">
      <c r="B31" s="47" t="inlineStr">
        <is>
          <t>MA71</t>
        </is>
      </c>
      <c r="C31" s="48" t="inlineStr">
        <is>
          <t>Martinez Reyes, Juan C</t>
        </is>
      </c>
      <c r="D31" s="71" t="n">
        <v>2</v>
      </c>
      <c r="E31" s="75" t="n">
        <v>38</v>
      </c>
      <c r="F31" s="76">
        <f>IF(D31=0,0,E31/D31)</f>
        <v/>
      </c>
      <c r="G31" s="79" t="n">
        <v>1</v>
      </c>
      <c r="H31" s="48" t="inlineStr">
        <is>
          <t>2032 Job Detail Report.pdf (Sage Timberline, 04/03/2026, 72 pages)</t>
        </is>
      </c>
      <c r="I31" s="52" t="n"/>
      <c r="J31" s="52" t="n"/>
    </row>
    <row r="32">
      <c r="B32" s="81" t="inlineStr">
        <is>
          <t>TOTAL</t>
        </is>
      </c>
      <c r="D32" s="82">
        <f>SUM(D6:D31)</f>
        <v/>
      </c>
      <c r="E32" s="80">
        <f>SUM(E6:E31)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Crew Analytics</t>
        </is>
      </c>
    </row>
    <row r="3" ht="22" customHeight="1">
      <c r="B3" s="42" t="inlineStr">
        <is>
          <t>Team-level labor productivity, concentration, wage dispersion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44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7" t="inlineStr">
        <is>
          <t>Total Workers</t>
        </is>
      </c>
      <c r="C7" s="79" t="n">
        <v>26</v>
      </c>
      <c r="D7" s="48" t="inlineStr">
        <is>
          <t>Unique payroll IDs</t>
        </is>
      </c>
      <c r="E7" s="48" t="inlineStr">
        <is>
          <t>2032 Job Detail Report.pdf (Sage Timberline, 04/03/2026, 72 pages)</t>
        </is>
      </c>
      <c r="F7" s="52" t="n"/>
      <c r="G7" s="52" t="n"/>
      <c r="H7" s="52" t="n"/>
      <c r="I7" s="52" t="n"/>
      <c r="J7" s="52" t="n"/>
    </row>
    <row r="8">
      <c r="B8" s="45" t="inlineStr">
        <is>
          <t>Total Labor Hours</t>
        </is>
      </c>
      <c r="C8" s="55" t="n">
        <v>5157</v>
      </c>
      <c r="D8" s="46" t="inlineStr">
        <is>
          <t>Sum of codes 100-142</t>
        </is>
      </c>
      <c r="E8" s="46" t="inlineStr">
        <is>
          <t>2032 Job Detail Report.pdf (Sage Timberline, 04/03/2026, 72 pages)</t>
        </is>
      </c>
    </row>
    <row r="9">
      <c r="B9" s="47" t="inlineStr">
        <is>
          <t>Total Gross Pay</t>
        </is>
      </c>
      <c r="C9" s="71" t="n">
        <v>134465.25</v>
      </c>
      <c r="D9" s="48" t="inlineStr">
        <is>
          <t>Sum of codes 100-142</t>
        </is>
      </c>
      <c r="E9" s="48" t="inlineStr">
        <is>
          <t>2032 Job Detail Report.pdf (Sage Timberline, 04/03/2026, 72 pages)</t>
        </is>
      </c>
      <c r="F9" s="52" t="n"/>
      <c r="G9" s="52" t="n"/>
      <c r="H9" s="52" t="n"/>
      <c r="I9" s="52" t="n"/>
      <c r="J9" s="52" t="n"/>
    </row>
    <row r="10">
      <c r="B10" s="45" t="inlineStr">
        <is>
          <t>Blended Gross Wage ($/hr)</t>
        </is>
      </c>
      <c r="C10" s="54" t="n">
        <v>26.07431646305992</v>
      </c>
      <c r="D10" s="46" t="inlineStr">
        <is>
          <t>Labor$ / Hrs (pre-burden)</t>
        </is>
      </c>
      <c r="E10" s="85" t="inlineStr">
        <is>
          <t>Derived</t>
        </is>
      </c>
    </row>
    <row r="11">
      <c r="B11" s="47" t="inlineStr">
        <is>
          <t>Top Worker Hours Share</t>
        </is>
      </c>
      <c r="C11" s="77" t="n">
        <v>0.1614310645724258</v>
      </c>
      <c r="D11" s="48" t="inlineStr">
        <is>
          <t>BA68 Barbosa, Michael S (832 hrs)</t>
        </is>
      </c>
      <c r="E11" s="85" t="inlineStr">
        <is>
          <t>Derived</t>
        </is>
      </c>
      <c r="F11" s="52" t="n"/>
      <c r="G11" s="52" t="n"/>
      <c r="H11" s="52" t="n"/>
      <c r="I11" s="52" t="n"/>
      <c r="J11" s="52" t="n"/>
    </row>
    <row r="12">
      <c r="B12" s="45" t="inlineStr">
        <is>
          <t>Top 5 Workers Hours Share</t>
        </is>
      </c>
      <c r="C12" s="86" t="n">
        <v>0.6281752957145628</v>
      </c>
      <c r="D12" s="46" t="inlineStr">
        <is>
          <t>Concentration metric</t>
        </is>
      </c>
      <c r="E12" s="85" t="inlineStr">
        <is>
          <t>Derived</t>
        </is>
      </c>
    </row>
    <row r="13">
      <c r="B13" s="47" t="inlineStr">
        <is>
          <t>Highest Wage Rate ($/hr)</t>
        </is>
      </c>
      <c r="C13" s="75" t="n">
        <v>49.82038834951457</v>
      </c>
      <c r="D13" s="48" t="inlineStr">
        <is>
          <t>Single-worker blended</t>
        </is>
      </c>
      <c r="E13" s="85" t="inlineStr">
        <is>
          <t>Derived</t>
        </is>
      </c>
      <c r="F13" s="52" t="n"/>
      <c r="G13" s="52" t="n"/>
      <c r="H13" s="52" t="n"/>
      <c r="I13" s="52" t="n"/>
      <c r="J13" s="52" t="n"/>
    </row>
    <row r="14">
      <c r="B14" s="45" t="inlineStr">
        <is>
          <t>Lowest Wage Rate ($/hr)</t>
        </is>
      </c>
      <c r="C14" s="54" t="n">
        <v>0</v>
      </c>
      <c r="D14" s="46" t="inlineStr">
        <is>
          <t>Single-worker blended</t>
        </is>
      </c>
      <c r="E14" s="85" t="inlineStr">
        <is>
          <t>Derived</t>
        </is>
      </c>
    </row>
    <row r="15">
      <c r="B15" s="47" t="inlineStr">
        <is>
          <t>Avg Hours per Worker</t>
        </is>
      </c>
      <c r="C15" s="71" t="n">
        <v>198.3461538461538</v>
      </c>
      <c r="D15" s="48" t="inlineStr">
        <is>
          <t>Includes short-tenure workers</t>
        </is>
      </c>
      <c r="E15" s="85" t="inlineStr">
        <is>
          <t>Derived</t>
        </is>
      </c>
      <c r="F15" s="52" t="n"/>
      <c r="G15" s="52" t="n"/>
      <c r="H15" s="52" t="n"/>
      <c r="I15" s="52" t="n"/>
      <c r="J15" s="52" t="n"/>
    </row>
    <row r="16">
      <c r="B16" s="45" t="inlineStr">
        <is>
          <t>Avg Project Days per Worker</t>
        </is>
      </c>
      <c r="C16" s="55" t="n">
        <v>12.65384615384615</v>
      </c>
      <c r="D16" s="46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Productivity Metrics</t>
        </is>
      </c>
    </row>
    <row r="3" ht="22" customHeight="1">
      <c r="B3" s="42" t="inlineStr">
        <is>
          <t>Normalized labor and financial ratios. Per-unit metrics from 71 units.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Metric</t>
        </is>
      </c>
      <c r="C5" s="64" t="inlineStr">
        <is>
          <t>Value</t>
        </is>
      </c>
      <c r="D5" s="64" t="inlineStr">
        <is>
          <t>Basis</t>
        </is>
      </c>
      <c r="E5" s="64" t="inlineStr">
        <is>
          <t>Source / Note</t>
        </is>
      </c>
    </row>
    <row r="6">
      <c r="B6" s="45" t="inlineStr">
        <is>
          <t>Revenue per Labor Hour</t>
        </is>
      </c>
      <c r="C6" s="80">
        <f>726403.0/5157.0</f>
        <v/>
      </c>
      <c r="D6" s="46" t="inlineStr">
        <is>
          <t>Formula</t>
        </is>
      </c>
      <c r="E6" s="46" t="inlineStr">
        <is>
          <t>Rev / Total Hrs</t>
        </is>
      </c>
    </row>
    <row r="7">
      <c r="B7" s="47" t="inlineStr">
        <is>
          <t>Profit per Labor Hour</t>
        </is>
      </c>
      <c r="C7" s="76">
        <f>328108.48/5157.0</f>
        <v/>
      </c>
      <c r="D7" s="48" t="inlineStr">
        <is>
          <t>Formula</t>
        </is>
      </c>
      <c r="E7" s="48" t="inlineStr">
        <is>
          <t>Net Profit / Hrs</t>
        </is>
      </c>
      <c r="F7" s="52" t="n"/>
      <c r="G7" s="52" t="n"/>
      <c r="H7" s="52" t="n"/>
      <c r="I7" s="52" t="n"/>
      <c r="J7" s="52" t="n"/>
    </row>
    <row r="8">
      <c r="B8" s="45" t="inlineStr">
        <is>
          <t>Labor Cost per Hour (blended)</t>
        </is>
      </c>
      <c r="C8" s="80">
        <f>134465.25/5157.0</f>
        <v/>
      </c>
      <c r="D8" s="46" t="inlineStr">
        <is>
          <t>Formula</t>
        </is>
      </c>
      <c r="E8" s="46" t="inlineStr">
        <is>
          <t>Pre-burden</t>
        </is>
      </c>
    </row>
    <row r="9">
      <c r="B9" s="47" t="inlineStr">
        <is>
          <t>Fully-Loaded Labor Rate ($/hr)</t>
        </is>
      </c>
      <c r="C9" s="76">
        <f>(134465.25+59716.99+10300.89)/5157.0</f>
        <v/>
      </c>
      <c r="D9" s="48" t="inlineStr">
        <is>
          <t>Formula</t>
        </is>
      </c>
      <c r="E9" s="48" t="inlineStr">
        <is>
          <t>Incl burden + taxes</t>
        </is>
      </c>
      <c r="F9" s="52" t="n"/>
      <c r="G9" s="52" t="n"/>
      <c r="H9" s="52" t="n"/>
      <c r="I9" s="52" t="n"/>
      <c r="J9" s="52" t="n"/>
    </row>
    <row r="10">
      <c r="B10" s="45" t="inlineStr">
        <is>
          <t>Burden Multiplier</t>
        </is>
      </c>
      <c r="C10" s="87">
        <f>(134465.25+59716.99+10300.89)/134465.25</f>
        <v/>
      </c>
      <c r="D10" s="46" t="inlineStr">
        <is>
          <t>Formula</t>
        </is>
      </c>
      <c r="E10" s="46" t="inlineStr">
        <is>
          <t>Fully-loaded / blended</t>
        </is>
      </c>
    </row>
    <row r="11">
      <c r="B11" s="47" t="inlineStr">
        <is>
          <t>Rough-in Hours (code 120)</t>
        </is>
      </c>
      <c r="C11" s="71" t="n">
        <v>3132</v>
      </c>
      <c r="D11" s="48" t="inlineStr">
        <is>
          <t>JDR</t>
        </is>
      </c>
      <c r="E11" s="48" t="inlineStr">
        <is>
          <t>3132 hrs</t>
        </is>
      </c>
      <c r="F11" s="52" t="n"/>
      <c r="G11" s="52" t="n"/>
      <c r="H11" s="52" t="n"/>
      <c r="I11" s="52" t="n"/>
      <c r="J11" s="52" t="n"/>
    </row>
    <row r="12">
      <c r="B12" s="45" t="inlineStr">
        <is>
          <t>Finish Hours (code 130)</t>
        </is>
      </c>
      <c r="C12" s="55" t="n">
        <v>682.5</v>
      </c>
      <c r="D12" s="46" t="inlineStr">
        <is>
          <t>JDR</t>
        </is>
      </c>
      <c r="E12" s="46" t="inlineStr">
        <is>
          <t>682 hrs</t>
        </is>
      </c>
    </row>
    <row r="13">
      <c r="B13" s="47" t="inlineStr">
        <is>
          <t>Rough-in % of Total Hours</t>
        </is>
      </c>
      <c r="C13" s="70">
        <f>3132.0/5157.0</f>
        <v/>
      </c>
      <c r="D13" s="48" t="inlineStr">
        <is>
          <t>Formula</t>
        </is>
      </c>
      <c r="E13" s="48" t="inlineStr">
        <is>
          <t>Code 120 share</t>
        </is>
      </c>
      <c r="F13" s="52" t="n"/>
      <c r="G13" s="52" t="n"/>
      <c r="H13" s="52" t="n"/>
      <c r="I13" s="52" t="n"/>
      <c r="J13" s="52" t="n"/>
    </row>
    <row r="14">
      <c r="B14" s="45" t="inlineStr">
        <is>
          <t>Gross Margin</t>
        </is>
      </c>
      <c r="C14" s="67">
        <f>328108.48/726403.0</f>
        <v/>
      </c>
      <c r="D14" s="46" t="inlineStr">
        <is>
          <t>Formula</t>
        </is>
      </c>
      <c r="E14" s="46" t="inlineStr">
        <is>
          <t>Net / Revenue</t>
        </is>
      </c>
    </row>
    <row r="15">
      <c r="B15" s="47" t="inlineStr">
        <is>
          <t>Labor % of Revenue</t>
        </is>
      </c>
      <c r="C15" s="70">
        <f>134465.25/726403.0</f>
        <v/>
      </c>
      <c r="D15" s="48" t="inlineStr">
        <is>
          <t>Formula</t>
        </is>
      </c>
      <c r="E15" s="88" t="inlineStr"/>
      <c r="F15" s="52" t="n"/>
      <c r="G15" s="52" t="n"/>
      <c r="H15" s="52" t="n"/>
      <c r="I15" s="52" t="n"/>
      <c r="J15" s="52" t="n"/>
    </row>
    <row r="16">
      <c r="B16" s="45" t="inlineStr">
        <is>
          <t>Material % of Revenue</t>
        </is>
      </c>
      <c r="C16" s="67">
        <f>167700.53/726403.0</f>
        <v/>
      </c>
      <c r="D16" s="46" t="inlineStr">
        <is>
          <t>Formula</t>
        </is>
      </c>
      <c r="E16" s="8" t="inlineStr"/>
    </row>
    <row r="17">
      <c r="B17" s="47" t="inlineStr">
        <is>
          <t>Direct Cost Ratio</t>
        </is>
      </c>
      <c r="C17" s="70">
        <f>398294.52/726403.0</f>
        <v/>
      </c>
      <c r="D17" s="48" t="inlineStr">
        <is>
          <t>Formula</t>
        </is>
      </c>
      <c r="E17" s="48" t="inlineStr">
        <is>
          <t>All expenses / Rev</t>
        </is>
      </c>
      <c r="F17" s="52" t="n"/>
      <c r="G17" s="52" t="n"/>
      <c r="H17" s="52" t="n"/>
      <c r="I17" s="52" t="n"/>
      <c r="J17" s="52" t="n"/>
    </row>
    <row r="18">
      <c r="B18" s="45" t="inlineStr">
        <is>
          <t>Revenue per Unit (71)</t>
        </is>
      </c>
      <c r="C18" s="80">
        <f>726403.0/71</f>
        <v/>
      </c>
      <c r="D18" s="46" t="inlineStr">
        <is>
          <t>Formula</t>
        </is>
      </c>
      <c r="E18" s="46" t="inlineStr">
        <is>
          <t>71 units (from OWP Project List)</t>
        </is>
      </c>
    </row>
    <row r="19">
      <c r="B19" s="47" t="inlineStr">
        <is>
          <t>Labor Hours per Unit</t>
        </is>
      </c>
      <c r="C19" s="74">
        <f>5157.0/71</f>
        <v/>
      </c>
      <c r="D19" s="48" t="inlineStr">
        <is>
          <t>Formula</t>
        </is>
      </c>
      <c r="E19" s="88" t="inlineStr"/>
      <c r="F19" s="52" t="n"/>
      <c r="G19" s="52" t="n"/>
      <c r="H19" s="52" t="n"/>
      <c r="I19" s="52" t="n"/>
      <c r="J19" s="52" t="n"/>
    </row>
    <row r="20">
      <c r="B20" s="45" t="inlineStr">
        <is>
          <t>Labor Cost per Unit</t>
        </is>
      </c>
      <c r="C20" s="80">
        <f>134465.25/71</f>
        <v/>
      </c>
      <c r="D20" s="46" t="inlineStr">
        <is>
          <t>Formula</t>
        </is>
      </c>
      <c r="E20" s="8" t="inlineStr"/>
    </row>
    <row r="21">
      <c r="B21" s="47" t="inlineStr">
        <is>
          <t>Material Cost per Unit</t>
        </is>
      </c>
      <c r="C21" s="76">
        <f>167700.53/71</f>
        <v/>
      </c>
      <c r="D21" s="48" t="inlineStr">
        <is>
          <t>Formula</t>
        </is>
      </c>
      <c r="E21" s="88" t="inlineStr"/>
      <c r="F21" s="52" t="n"/>
      <c r="G21" s="52" t="n"/>
      <c r="H21" s="52" t="n"/>
      <c r="I21" s="52" t="n"/>
      <c r="J21" s="52" t="n"/>
    </row>
    <row r="22">
      <c r="B22" s="45" t="inlineStr">
        <is>
          <t>Direct Cost per Unit</t>
        </is>
      </c>
      <c r="C22" s="80">
        <f>398294.52/71</f>
        <v/>
      </c>
      <c r="D22" s="46" t="inlineStr">
        <is>
          <t>Formula</t>
        </is>
      </c>
      <c r="E22" s="8" t="inlineStr"/>
    </row>
    <row r="23">
      <c r="B23" s="47" t="inlineStr">
        <is>
          <t>Rough-in Hours per Unit</t>
        </is>
      </c>
      <c r="C23" s="74">
        <f>3132.0/71</f>
        <v/>
      </c>
      <c r="D23" s="48" t="inlineStr">
        <is>
          <t>Formula</t>
        </is>
      </c>
      <c r="E23" s="48" t="inlineStr">
        <is>
          <t>Code 120 / 71</t>
        </is>
      </c>
      <c r="F23" s="52" t="n"/>
      <c r="G23" s="52" t="n"/>
      <c r="H23" s="52" t="n"/>
      <c r="I23" s="52" t="n"/>
      <c r="J23" s="52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PO Commitments</t>
        </is>
      </c>
    </row>
    <row r="3" ht="22" customHeight="1">
      <c r="B3" s="42" t="inlineStr">
        <is>
          <t>Inbound contract value (GC → OWP). Outbound vendor commitments — see Material tab + POs folder.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PO #</t>
        </is>
      </c>
      <c r="C5" s="64" t="inlineStr">
        <is>
          <t>Date</t>
        </is>
      </c>
      <c r="D5" s="64" t="inlineStr">
        <is>
          <t>Issuer</t>
        </is>
      </c>
      <c r="E5" s="64" t="inlineStr">
        <is>
          <t>Type</t>
        </is>
      </c>
      <c r="F5" s="64" t="inlineStr">
        <is>
          <t>Status</t>
        </is>
      </c>
      <c r="G5" s="64" t="inlineStr">
        <is>
          <t>Description</t>
        </is>
      </c>
      <c r="H5" s="64" t="inlineStr">
        <is>
          <t>Amount</t>
        </is>
      </c>
      <c r="I5" s="64" t="inlineStr">
        <is>
          <t>Source</t>
        </is>
      </c>
    </row>
    <row r="6">
      <c r="B6" s="45" t="inlineStr">
        <is>
          <t>L1 220000</t>
        </is>
      </c>
      <c r="C6" s="46" t="inlineStr">
        <is>
          <t>2015-09 (proposal 9/1/15) / subcontract executed</t>
        </is>
      </c>
      <c r="D6" s="46" t="inlineStr">
        <is>
          <t>Blueprint Capital Services, LLC</t>
        </is>
      </c>
      <c r="E6" s="46" t="inlineStr">
        <is>
          <t>Lump Sum Subcontract</t>
        </is>
      </c>
      <c r="F6" s="89" t="inlineStr">
        <is>
          <t>Closed (100% billed)</t>
        </is>
      </c>
      <c r="G6" s="46" t="inlineStr">
        <is>
          <t>Luna Apts-Roosevelt plumbing (6921 Roosevelt Way NE, Seattle) — full scope per proposal + narrative</t>
        </is>
      </c>
      <c r="H6" s="54" t="n">
        <v>685300</v>
      </c>
      <c r="I6" s="46" t="inlineStr">
        <is>
          <t>Blueprint Capital Services Luna Apts-Roosevelt Subcontract</t>
        </is>
      </c>
    </row>
    <row r="7">
      <c r="B7" s="47" t="inlineStr">
        <is>
          <t>CO#01</t>
        </is>
      </c>
      <c r="C7" s="48" t="inlineStr">
        <is>
          <t>11/14/2016</t>
        </is>
      </c>
      <c r="D7" s="48" t="inlineStr">
        <is>
          <t>Blueprint Capital Services, LLC</t>
        </is>
      </c>
      <c r="E7" s="48" t="inlineStr">
        <is>
          <t>Change Order</t>
        </is>
      </c>
      <c r="F7" s="89" t="inlineStr">
        <is>
          <t>Executed</t>
        </is>
      </c>
      <c r="G7" s="48" t="inlineStr">
        <is>
          <t>Fiberfab Shower Pans w/ Removable Thresholds</t>
        </is>
      </c>
      <c r="H7" s="68" t="n">
        <v>5682</v>
      </c>
      <c r="I7" s="48" t="inlineStr">
        <is>
          <t>CO's/6909 6505 CO#1.pdf</t>
        </is>
      </c>
      <c r="J7" s="52" t="n"/>
    </row>
    <row r="8">
      <c r="B8" s="45" t="inlineStr">
        <is>
          <t>CO#02</t>
        </is>
      </c>
      <c r="C8" s="46" t="inlineStr">
        <is>
          <t>11/30/2016</t>
        </is>
      </c>
      <c r="D8" s="46" t="inlineStr">
        <is>
          <t>Blueprint Capital Services, LLC</t>
        </is>
      </c>
      <c r="E8" s="46" t="inlineStr">
        <is>
          <t>Change Order</t>
        </is>
      </c>
      <c r="F8" s="89" t="inlineStr">
        <is>
          <t>Executed</t>
        </is>
      </c>
      <c r="G8" s="46" t="inlineStr">
        <is>
          <t>Amenity Room Bar Sink</t>
        </is>
      </c>
      <c r="H8" s="65" t="n">
        <v>1109</v>
      </c>
      <c r="I8" s="46" t="inlineStr">
        <is>
          <t>CO's/6909 6505 CO#2.pdf</t>
        </is>
      </c>
    </row>
    <row r="9">
      <c r="B9" s="47" t="inlineStr">
        <is>
          <t>CO#03</t>
        </is>
      </c>
      <c r="C9" s="48" t="inlineStr">
        <is>
          <t>01/18/2017</t>
        </is>
      </c>
      <c r="D9" s="48" t="inlineStr">
        <is>
          <t>Blueprint Capital Services, LLC</t>
        </is>
      </c>
      <c r="E9" s="48" t="inlineStr">
        <is>
          <t>Change Order</t>
        </is>
      </c>
      <c r="F9" s="89" t="inlineStr">
        <is>
          <t>Executed</t>
        </is>
      </c>
      <c r="G9" s="48" t="inlineStr">
        <is>
          <t>Roof Drain Changes</t>
        </is>
      </c>
      <c r="H9" s="68" t="n">
        <v>4809</v>
      </c>
      <c r="I9" s="48" t="inlineStr">
        <is>
          <t>CO's/6909 6505 CO#3.pdf</t>
        </is>
      </c>
      <c r="J9" s="52" t="n"/>
    </row>
    <row r="10">
      <c r="B10" s="45" t="inlineStr">
        <is>
          <t>CO#04</t>
        </is>
      </c>
      <c r="C10" s="46" t="inlineStr">
        <is>
          <t>01/31/2017</t>
        </is>
      </c>
      <c r="D10" s="46" t="inlineStr">
        <is>
          <t>Blueprint Capital Services, LLC</t>
        </is>
      </c>
      <c r="E10" s="46" t="inlineStr">
        <is>
          <t>Change Order</t>
        </is>
      </c>
      <c r="F10" s="89" t="inlineStr">
        <is>
          <t>Executed</t>
        </is>
      </c>
      <c r="G10" s="46" t="inlineStr">
        <is>
          <t>Added Water Heater &amp; Booster Pump Provisions</t>
        </is>
      </c>
      <c r="H10" s="65" t="n">
        <v>9110</v>
      </c>
      <c r="I10" s="46" t="inlineStr">
        <is>
          <t>CO's/6909 6505 CO#4.pdf</t>
        </is>
      </c>
    </row>
    <row r="11">
      <c r="B11" s="47" t="inlineStr">
        <is>
          <t>CO#05</t>
        </is>
      </c>
      <c r="C11" s="48" t="inlineStr">
        <is>
          <t>03/27/2017</t>
        </is>
      </c>
      <c r="D11" s="48" t="inlineStr">
        <is>
          <t>Blueprint Capital Services, LLC</t>
        </is>
      </c>
      <c r="E11" s="48" t="inlineStr">
        <is>
          <t>Change Order</t>
        </is>
      </c>
      <c r="F11" s="89" t="inlineStr">
        <is>
          <t>Executed</t>
        </is>
      </c>
      <c r="G11" s="48" t="inlineStr">
        <is>
          <t>Foundation Drain Mat Connections &amp; Sump Pump</t>
        </is>
      </c>
      <c r="H11" s="68" t="n">
        <v>9229</v>
      </c>
      <c r="I11" s="48" t="inlineStr">
        <is>
          <t>CO's/6921 - OWP CO #5.pdf</t>
        </is>
      </c>
      <c r="J11" s="52" t="n"/>
    </row>
    <row r="12">
      <c r="B12" s="45" t="inlineStr">
        <is>
          <t>CO#06</t>
        </is>
      </c>
      <c r="C12" s="46" t="inlineStr">
        <is>
          <t>04/21/2017</t>
        </is>
      </c>
      <c r="D12" s="46" t="inlineStr">
        <is>
          <t>Blueprint Capital Services, LLC</t>
        </is>
      </c>
      <c r="E12" s="46" t="inlineStr">
        <is>
          <t>Change Order</t>
        </is>
      </c>
      <c r="F12" s="89" t="inlineStr">
        <is>
          <t>Executed</t>
        </is>
      </c>
      <c r="G12" s="46" t="inlineStr">
        <is>
          <t>Best Bath Showers</t>
        </is>
      </c>
      <c r="H12" s="65" t="n">
        <v>11164</v>
      </c>
      <c r="I12" s="46" t="inlineStr">
        <is>
          <t>CO's/6921 - OWP CO #6.pdf</t>
        </is>
      </c>
    </row>
    <row r="13">
      <c r="B13" s="47" t="inlineStr">
        <is>
          <t>CO#07</t>
        </is>
      </c>
      <c r="C13" s="48" t="inlineStr">
        <is>
          <t>07/18/2018</t>
        </is>
      </c>
      <c r="D13" s="48" t="inlineStr">
        <is>
          <t>Blueprint Capital Services, LLC</t>
        </is>
      </c>
      <c r="E13" s="48" t="inlineStr">
        <is>
          <t>Change Order</t>
        </is>
      </c>
      <c r="F13" s="89" t="inlineStr">
        <is>
          <t>Executed</t>
        </is>
      </c>
      <c r="G13" s="48" t="inlineStr">
        <is>
          <t>Gas Meter Install</t>
        </is>
      </c>
      <c r="H13" s="68" t="n">
        <v>500</v>
      </c>
      <c r="I13" s="48" t="inlineStr">
        <is>
          <t>CO's/6921 - OWP CO #7.pdf</t>
        </is>
      </c>
      <c r="J13" s="52" t="n"/>
    </row>
    <row r="14">
      <c r="B14" s="45" t="inlineStr">
        <is>
          <t>TOTAL (contract + COs)</t>
        </is>
      </c>
      <c r="H14" s="80">
        <f>SUM(H6:H13)</f>
        <v/>
      </c>
    </row>
    <row r="15"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</row>
    <row r="16">
      <c r="B16" s="45" t="inlineStr">
        <is>
          <t>NOTE: Documented COs (budget transfers) sum to $41,603.00; JDR-implied COs = $41,103.00 (diff -$500.00). CO#7 gas meter install ($500) may not be reflected in final AR billing. Outbound POs: 118 total (27 scheduled, 91 completed) — see POs/ folder.</t>
        </is>
      </c>
      <c r="C16" s="6" t="n"/>
      <c r="D16" s="6" t="n"/>
      <c r="E16" s="6" t="n"/>
      <c r="F16" s="6" t="n"/>
      <c r="G16" s="6" t="n"/>
      <c r="H16" s="6" t="n"/>
      <c r="I16" s="7" t="n"/>
    </row>
  </sheetData>
  <mergeCells count="3">
    <mergeCell ref="B16:I16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Billing &amp; Schedule of Values</t>
        </is>
      </c>
    </row>
    <row r="3" ht="22" customHeight="1">
      <c r="B3" s="42" t="inlineStr">
        <is>
          <t>13 unique invoices to Blueprint Capital Services, LLC. Retainage $36,320.15 = 5.0% of revenue.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Invoice #</t>
        </is>
      </c>
      <c r="C5" s="64" t="inlineStr">
        <is>
          <t>Date</t>
        </is>
      </c>
      <c r="D5" s="64" t="inlineStr">
        <is>
          <t>Total Billed (signed)</t>
        </is>
      </c>
      <c r="E5" s="64" t="inlineStr">
        <is>
          <t>Retainage (signed)</t>
        </is>
      </c>
      <c r="F5" s="64" t="inlineStr">
        <is>
          <t># Lines</t>
        </is>
      </c>
      <c r="G5" s="64" t="inlineStr">
        <is>
          <t>Source</t>
        </is>
      </c>
    </row>
    <row r="6">
      <c r="B6" s="45" t="inlineStr">
        <is>
          <t>036825</t>
        </is>
      </c>
      <c r="C6" s="46" t="inlineStr">
        <is>
          <t>01/27/17</t>
        </is>
      </c>
      <c r="D6" s="65" t="n">
        <v>-33950</v>
      </c>
      <c r="E6" s="65" t="n">
        <v>0</v>
      </c>
      <c r="F6" s="78" t="n">
        <v>1</v>
      </c>
      <c r="G6" s="46" t="inlineStr">
        <is>
          <t>2032 Job Detail Report.pdf (Sage Timberline, 04/03/2026, 72 pages)</t>
        </is>
      </c>
    </row>
    <row r="7">
      <c r="B7" s="47" t="inlineStr">
        <is>
          <t>036855</t>
        </is>
      </c>
      <c r="C7" s="48" t="inlineStr">
        <is>
          <t>03/20/17</t>
        </is>
      </c>
      <c r="D7" s="68" t="n">
        <v>-18475</v>
      </c>
      <c r="E7" s="68" t="n">
        <v>0</v>
      </c>
      <c r="F7" s="79" t="n">
        <v>2</v>
      </c>
      <c r="G7" s="48" t="inlineStr">
        <is>
          <t>2032 Job Detail Report.pdf (Sage Timberline, 04/03/2026, 72 pages)</t>
        </is>
      </c>
      <c r="H7" s="52" t="n"/>
      <c r="I7" s="52" t="n"/>
      <c r="J7" s="52" t="n"/>
    </row>
    <row r="8">
      <c r="B8" s="45" t="inlineStr">
        <is>
          <t>036858</t>
        </is>
      </c>
      <c r="C8" s="46" t="inlineStr">
        <is>
          <t>04/20/17</t>
        </is>
      </c>
      <c r="D8" s="65" t="n">
        <v>-11325</v>
      </c>
      <c r="E8" s="65" t="n">
        <v>0</v>
      </c>
      <c r="F8" s="78" t="n">
        <v>1</v>
      </c>
      <c r="G8" s="46" t="inlineStr">
        <is>
          <t>2032 Job Detail Report.pdf (Sage Timberline, 04/03/2026, 72 pages)</t>
        </is>
      </c>
    </row>
    <row r="9">
      <c r="B9" s="47" t="inlineStr">
        <is>
          <t>036899</t>
        </is>
      </c>
      <c r="C9" s="48" t="inlineStr">
        <is>
          <t>06/19/17</t>
        </is>
      </c>
      <c r="D9" s="68" t="n">
        <v>-32300</v>
      </c>
      <c r="E9" s="68" t="n">
        <v>0</v>
      </c>
      <c r="F9" s="79" t="n">
        <v>3</v>
      </c>
      <c r="G9" s="48" t="inlineStr">
        <is>
          <t>2032 Job Detail Report.pdf (Sage Timberline, 04/03/2026, 72 pages)</t>
        </is>
      </c>
      <c r="H9" s="52" t="n"/>
      <c r="I9" s="52" t="n"/>
      <c r="J9" s="52" t="n"/>
    </row>
    <row r="10">
      <c r="B10" s="45" t="inlineStr">
        <is>
          <t>036915</t>
        </is>
      </c>
      <c r="C10" s="46" t="inlineStr">
        <is>
          <t>07/20/17</t>
        </is>
      </c>
      <c r="D10" s="65" t="n">
        <v>-134350</v>
      </c>
      <c r="E10" s="65" t="n">
        <v>0</v>
      </c>
      <c r="F10" s="78" t="n">
        <v>4</v>
      </c>
      <c r="G10" s="46" t="inlineStr">
        <is>
          <t>2032 Job Detail Report.pdf (Sage Timberline, 04/03/2026, 72 pages)</t>
        </is>
      </c>
    </row>
    <row r="11">
      <c r="B11" s="47" t="inlineStr">
        <is>
          <t>036930</t>
        </is>
      </c>
      <c r="C11" s="48" t="inlineStr">
        <is>
          <t>08/18/17</t>
        </is>
      </c>
      <c r="D11" s="68" t="n">
        <v>-163575</v>
      </c>
      <c r="E11" s="68" t="n">
        <v>0</v>
      </c>
      <c r="F11" s="79" t="n">
        <v>4</v>
      </c>
      <c r="G11" s="48" t="inlineStr">
        <is>
          <t>2032 Job Detail Report.pdf (Sage Timberline, 04/03/2026, 72 pages)</t>
        </is>
      </c>
      <c r="H11" s="52" t="n"/>
      <c r="I11" s="52" t="n"/>
      <c r="J11" s="52" t="n"/>
    </row>
    <row r="12">
      <c r="B12" s="45" t="inlineStr">
        <is>
          <t>036948</t>
        </is>
      </c>
      <c r="C12" s="46" t="inlineStr">
        <is>
          <t>09/20/17</t>
        </is>
      </c>
      <c r="D12" s="65" t="n">
        <v>-155954</v>
      </c>
      <c r="E12" s="65" t="n">
        <v>0</v>
      </c>
      <c r="F12" s="78" t="n">
        <v>5</v>
      </c>
      <c r="G12" s="46" t="inlineStr">
        <is>
          <t>2032 Job Detail Report.pdf (Sage Timberline, 04/03/2026, 72 pages)</t>
        </is>
      </c>
    </row>
    <row r="13">
      <c r="B13" s="47" t="inlineStr">
        <is>
          <t>036971</t>
        </is>
      </c>
      <c r="C13" s="48" t="inlineStr">
        <is>
          <t>10/20/17</t>
        </is>
      </c>
      <c r="D13" s="68" t="n">
        <v>-68212</v>
      </c>
      <c r="E13" s="68" t="n">
        <v>0</v>
      </c>
      <c r="F13" s="79" t="n">
        <v>6</v>
      </c>
      <c r="G13" s="48" t="inlineStr">
        <is>
          <t>2032 Job Detail Report.pdf (Sage Timberline, 04/03/2026, 72 pages)</t>
        </is>
      </c>
      <c r="H13" s="52" t="n"/>
      <c r="I13" s="52" t="n"/>
      <c r="J13" s="52" t="n"/>
    </row>
    <row r="14">
      <c r="B14" s="45" t="inlineStr">
        <is>
          <t>037038</t>
        </is>
      </c>
      <c r="C14" s="46" t="inlineStr">
        <is>
          <t>03/20/18</t>
        </is>
      </c>
      <c r="D14" s="65" t="n">
        <v>-57860</v>
      </c>
      <c r="E14" s="65" t="n">
        <v>0</v>
      </c>
      <c r="F14" s="78" t="n">
        <v>6</v>
      </c>
      <c r="G14" s="46" t="inlineStr">
        <is>
          <t>2032 Job Detail Report.pdf (Sage Timberline, 04/03/2026, 72 pages)</t>
        </is>
      </c>
    </row>
    <row r="15">
      <c r="B15" s="47" t="inlineStr">
        <is>
          <t>037064</t>
        </is>
      </c>
      <c r="C15" s="48" t="inlineStr">
        <is>
          <t>04/20/18</t>
        </is>
      </c>
      <c r="D15" s="68" t="n">
        <v>-36979</v>
      </c>
      <c r="E15" s="68" t="n">
        <v>0</v>
      </c>
      <c r="F15" s="79" t="n">
        <v>5</v>
      </c>
      <c r="G15" s="48" t="inlineStr">
        <is>
          <t>2032 Job Detail Report.pdf (Sage Timberline, 04/03/2026, 72 pages)</t>
        </is>
      </c>
      <c r="H15" s="52" t="n"/>
      <c r="I15" s="52" t="n"/>
      <c r="J15" s="52" t="n"/>
    </row>
    <row r="16">
      <c r="B16" s="45" t="inlineStr">
        <is>
          <t>037078</t>
        </is>
      </c>
      <c r="C16" s="46" t="inlineStr">
        <is>
          <t>05/18/18</t>
        </is>
      </c>
      <c r="D16" s="65" t="n">
        <v>-2259</v>
      </c>
      <c r="E16" s="65" t="n">
        <v>0</v>
      </c>
      <c r="F16" s="78" t="n">
        <v>2</v>
      </c>
      <c r="G16" s="46" t="inlineStr">
        <is>
          <t>2032 Job Detail Report.pdf (Sage Timberline, 04/03/2026, 72 pages)</t>
        </is>
      </c>
    </row>
    <row r="17">
      <c r="B17" s="47" t="inlineStr">
        <is>
          <t>037099</t>
        </is>
      </c>
      <c r="C17" s="48" t="inlineStr">
        <is>
          <t>05/18/18</t>
        </is>
      </c>
      <c r="D17" s="68" t="n">
        <v>2259</v>
      </c>
      <c r="E17" s="68" t="n">
        <v>0</v>
      </c>
      <c r="F17" s="79" t="n">
        <v>2</v>
      </c>
      <c r="G17" s="48" t="inlineStr">
        <is>
          <t>2032 Job Detail Report.pdf (Sage Timberline, 04/03/2026, 72 pages)</t>
        </is>
      </c>
      <c r="H17" s="52" t="n"/>
      <c r="I17" s="52" t="n"/>
      <c r="J17" s="52" t="n"/>
    </row>
    <row r="18">
      <c r="B18" s="45" t="inlineStr">
        <is>
          <t>037100</t>
        </is>
      </c>
      <c r="C18" s="46" t="inlineStr">
        <is>
          <t>05/18/18</t>
        </is>
      </c>
      <c r="D18" s="65" t="n">
        <v>-13423</v>
      </c>
      <c r="E18" s="65" t="n">
        <v>0</v>
      </c>
      <c r="F18" s="78" t="n">
        <v>3</v>
      </c>
      <c r="G18" s="46" t="inlineStr">
        <is>
          <t>2032 Job Detail Report.pdf (Sage Timberline, 04/03/2026, 72 pages)</t>
        </is>
      </c>
    </row>
    <row r="19">
      <c r="B19" s="47" t="inlineStr">
        <is>
          <t>TOTAL (signed)</t>
        </is>
      </c>
      <c r="C19" s="52" t="n"/>
      <c r="D19" s="69">
        <f>SUM(D6:D18)</f>
        <v/>
      </c>
      <c r="E19" s="69">
        <f>SUM(E6:E18)</f>
        <v/>
      </c>
      <c r="F19" s="52" t="n"/>
      <c r="G19" s="52" t="n"/>
      <c r="H19" s="52" t="n"/>
      <c r="I19" s="52" t="n"/>
      <c r="J19" s="52" t="n"/>
    </row>
    <row r="20"/>
    <row r="21">
      <c r="B21" s="47" t="inlineStr">
        <is>
          <t>NOTE: AR entries signed negative per Sage convention. Net billed = $726,403.00; retainage $36,320.15 outstanding on JDR dated 04/03/2026. 13 unique invoices from 01/27/17 to 05/18/18. Billing docs contain SOV template.</t>
        </is>
      </c>
      <c r="C21" s="49" t="n"/>
      <c r="D21" s="49" t="n"/>
      <c r="E21" s="49" t="n"/>
      <c r="F21" s="49" t="n"/>
      <c r="G21" s="50" t="n"/>
      <c r="H21" s="52" t="n"/>
      <c r="I21" s="52" t="n"/>
      <c r="J21" s="52" t="n"/>
    </row>
  </sheetData>
  <mergeCells count="3">
    <mergeCell ref="B21:G21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Insights &amp; Observations</t>
        </is>
      </c>
    </row>
    <row r="3" ht="22" customHeight="1">
      <c r="B3" s="42" t="inlineStr">
        <is>
          <t>Narrative findings from JDR + source documents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#</t>
        </is>
      </c>
      <c r="C5" s="64" t="inlineStr">
        <is>
          <t>Insight</t>
        </is>
      </c>
      <c r="D5" s="64" t="inlineStr">
        <is>
          <t>Detail</t>
        </is>
      </c>
      <c r="E5" s="64" t="inlineStr">
        <is>
          <t>Confidence</t>
        </is>
      </c>
      <c r="F5" s="64" t="inlineStr">
        <is>
          <t>Source</t>
        </is>
      </c>
    </row>
    <row r="6" ht="58" customHeight="1">
      <c r="B6" s="78" t="n">
        <v>1</v>
      </c>
      <c r="C6" s="46" t="inlineStr">
        <is>
          <t>VERY STRONG MARGIN</t>
        </is>
      </c>
      <c r="D6" s="46" t="inlineStr">
        <is>
          <t>Net profit $328,108.48 on $726,403.00 revenue = 45.2% gross margin. Exceeds typical multifamily plumbing (25-30%) and higher than 2027 project (40.5%).</t>
        </is>
      </c>
      <c r="E6" s="90" t="inlineStr">
        <is>
          <t>Verified</t>
        </is>
      </c>
      <c r="F6" s="46" t="inlineStr">
        <is>
          <t>2032 Job Detail Report.pdf (Sage Timberline, 04/03/2026, 72 pages)</t>
        </is>
      </c>
    </row>
    <row r="7" ht="58" customHeight="1">
      <c r="B7" s="79" t="n">
        <v>2</v>
      </c>
      <c r="C7" s="48" t="inlineStr">
        <is>
          <t>ADDITIVE CONTRACT COs</t>
        </is>
      </c>
      <c r="D7" s="48" t="inlineStr">
        <is>
          <t>Original contract $685,300.00 → Final AR revenue $726,403.00 = net +$41,103.00 addition (6.00%). 7 executed COs documented in CO/COR folders.</t>
        </is>
      </c>
      <c r="E7" s="90" t="inlineStr">
        <is>
          <t>Verified</t>
        </is>
      </c>
      <c r="F7" s="48" t="inlineStr">
        <is>
          <t>2032 Job Detail Report.pdf (Sage Timberline, 04/03/2026, 72 pages)</t>
        </is>
      </c>
      <c r="G7" s="52" t="n"/>
      <c r="H7" s="52" t="n"/>
      <c r="I7" s="52" t="n"/>
      <c r="J7" s="52" t="n"/>
    </row>
    <row r="8" ht="58" customHeight="1">
      <c r="B8" s="78" t="n">
        <v>3</v>
      </c>
      <c r="C8" s="46" t="inlineStr">
        <is>
          <t>LABOR-LIGHT EXECUTION</t>
        </is>
      </c>
      <c r="D8" s="46" t="inlineStr">
        <is>
          <t>Labor cost $134,465.25 (18.5% of rev) across 5,157.0 hrs and 26 workers. More labor-efficient per dollar than 2027.</t>
        </is>
      </c>
      <c r="E8" s="90" t="inlineStr">
        <is>
          <t>Verified</t>
        </is>
      </c>
      <c r="F8" s="46" t="inlineStr">
        <is>
          <t>2032 Job Detail Report.pdf (Sage Timberline, 04/03/2026, 72 pages)</t>
        </is>
      </c>
    </row>
    <row r="9" ht="58" customHeight="1">
      <c r="B9" s="79" t="n">
        <v>4</v>
      </c>
      <c r="C9" s="48" t="inlineStr">
        <is>
          <t>VENDOR CONCENTRATION</t>
        </is>
      </c>
      <c r="D9" s="48" t="inlineStr">
        <is>
          <t>Top 4 AP vendors dominate: ~87% of AP spend ($153,093.48 of $175,969.52). Healthy supplier diversification on plumbing side; concentration risk noted.</t>
        </is>
      </c>
      <c r="E9" s="90" t="inlineStr">
        <is>
          <t>Verified</t>
        </is>
      </c>
      <c r="F9" s="48" t="inlineStr">
        <is>
          <t>2032 Job Detail Report.pdf (Sage Timberline, 04/03/2026, 72 pages)</t>
        </is>
      </c>
      <c r="G9" s="52" t="n"/>
      <c r="H9" s="52" t="n"/>
      <c r="I9" s="52" t="n"/>
      <c r="J9" s="52" t="n"/>
    </row>
    <row r="10" ht="58" customHeight="1">
      <c r="B10" s="78" t="n">
        <v>5</v>
      </c>
      <c r="C10" s="46" t="inlineStr">
        <is>
          <t>LOW OVERHEAD</t>
        </is>
      </c>
      <c r="D10" s="46" t="inlineStr">
        <is>
          <t>GL cost $26,110.86 = 3.6% of revenue. Lean project management overhead.</t>
        </is>
      </c>
      <c r="E10" s="90" t="inlineStr">
        <is>
          <t>Verified</t>
        </is>
      </c>
      <c r="F10" s="46" t="inlineStr">
        <is>
          <t>2032 Job Detail Report.pdf (Sage Timberline, 04/03/2026, 72 pages)</t>
        </is>
      </c>
    </row>
    <row r="11" ht="58" customHeight="1">
      <c r="B11" s="79" t="n">
        <v>6</v>
      </c>
      <c r="C11" s="48" t="inlineStr">
        <is>
          <t>RETAINAGE HELD</t>
        </is>
      </c>
      <c r="D11" s="48" t="inlineStr">
        <is>
          <t>Retainage $36,320.15 = 5.0% of AR. Standard release pending final closeout.</t>
        </is>
      </c>
      <c r="E11" s="90" t="inlineStr">
        <is>
          <t>Verified</t>
        </is>
      </c>
      <c r="F11" s="48" t="inlineStr">
        <is>
          <t>2032 Job Detail Report.pdf (Sage Timberline, 04/03/2026, 72 pages)</t>
        </is>
      </c>
      <c r="G11" s="52" t="n"/>
      <c r="H11" s="52" t="n"/>
      <c r="I11" s="52" t="n"/>
      <c r="J11" s="52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Benchmark KPIs</t>
        </is>
      </c>
    </row>
    <row r="3" ht="22" customHeight="1">
      <c r="B3" s="42" t="inlineStr">
        <is>
          <t>Normalized metrics for cross-project comparison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KPI</t>
        </is>
      </c>
      <c r="C5" s="64" t="inlineStr">
        <is>
          <t>Data Name</t>
        </is>
      </c>
      <c r="D5" s="64" t="inlineStr">
        <is>
          <t>Value</t>
        </is>
      </c>
      <c r="E5" s="64" t="inlineStr">
        <is>
          <t>Category</t>
        </is>
      </c>
      <c r="F5" s="64" t="inlineStr">
        <is>
          <t>Notes</t>
        </is>
      </c>
      <c r="G5" s="64" t="inlineStr">
        <is>
          <t>Confidence</t>
        </is>
      </c>
      <c r="H5" s="64" t="inlineStr">
        <is>
          <t>Source Document</t>
        </is>
      </c>
    </row>
    <row r="6">
      <c r="B6" s="45" t="inlineStr">
        <is>
          <t>Job Number</t>
        </is>
      </c>
      <c r="C6" s="46" t="inlineStr">
        <is>
          <t>job_number</t>
        </is>
      </c>
      <c r="D6" s="46" t="inlineStr">
        <is>
          <t>2032</t>
        </is>
      </c>
      <c r="E6" s="46" t="inlineStr">
        <is>
          <t>Profile</t>
        </is>
      </c>
      <c r="F6" s="46" t="inlineStr">
        <is>
          <t>OWP job ID</t>
        </is>
      </c>
      <c r="G6" s="90" t="inlineStr">
        <is>
          <t>Verified</t>
        </is>
      </c>
      <c r="H6" s="46" t="inlineStr">
        <is>
          <t>2032 Job Detail Report.pdf (Sage Timberline, 04/03/2026, 72 pages)</t>
        </is>
      </c>
    </row>
    <row r="7">
      <c r="B7" s="47" t="inlineStr">
        <is>
          <t>Job Name</t>
        </is>
      </c>
      <c r="C7" s="48" t="inlineStr">
        <is>
          <t>job_name</t>
        </is>
      </c>
      <c r="D7" s="48" t="inlineStr">
        <is>
          <t>Blueprint Luna Apts-Roosevelt</t>
        </is>
      </c>
      <c r="E7" s="48" t="inlineStr">
        <is>
          <t>Profile</t>
        </is>
      </c>
      <c r="F7" s="48" t="inlineStr">
        <is>
          <t>Sage short name</t>
        </is>
      </c>
      <c r="G7" s="90" t="inlineStr">
        <is>
          <t>Verified</t>
        </is>
      </c>
      <c r="H7" s="48" t="inlineStr">
        <is>
          <t>2032 Job Detail Report.pdf (Sage Timberline, 04/03/2026, 72 pages)</t>
        </is>
      </c>
      <c r="I7" s="52" t="n"/>
      <c r="J7" s="52" t="n"/>
    </row>
    <row r="8">
      <c r="B8" s="45" t="inlineStr">
        <is>
          <t>Project Description</t>
        </is>
      </c>
      <c r="C8" s="46" t="inlineStr">
        <is>
          <t>project_desc</t>
        </is>
      </c>
      <c r="D8" s="46" t="inlineStr">
        <is>
          <t>Luna Apartments — 71-unit multifamily new construction plumbing</t>
        </is>
      </c>
      <c r="E8" s="46" t="inlineStr">
        <is>
          <t>Profile</t>
        </is>
      </c>
      <c r="F8" s="46" t="inlineStr">
        <is>
          <t>Contract + AR lines</t>
        </is>
      </c>
      <c r="G8" s="90" t="inlineStr">
        <is>
          <t>Verified</t>
        </is>
      </c>
      <c r="H8" s="46" t="inlineStr">
        <is>
          <t>Blueprint Capital Services Luna Apts-Roosevelt Subcontract</t>
        </is>
      </c>
    </row>
    <row r="9">
      <c r="B9" s="47" t="inlineStr">
        <is>
          <t>General Contractor</t>
        </is>
      </c>
      <c r="C9" s="48" t="inlineStr">
        <is>
          <t>general_contractor</t>
        </is>
      </c>
      <c r="D9" s="48" t="inlineStr">
        <is>
          <t>Blueprint Capital Services, LLC</t>
        </is>
      </c>
      <c r="E9" s="48" t="inlineStr">
        <is>
          <t>Profile</t>
        </is>
      </c>
      <c r="F9" s="48" t="inlineStr">
        <is>
          <t>Customer 2032BC</t>
        </is>
      </c>
      <c r="G9" s="90" t="inlineStr">
        <is>
          <t>Verified</t>
        </is>
      </c>
      <c r="H9" s="48" t="inlineStr">
        <is>
          <t>Blueprint Capital Services Luna Apts-Roosevelt Subcontract</t>
        </is>
      </c>
      <c r="I9" s="52" t="n"/>
      <c r="J9" s="52" t="n"/>
    </row>
    <row r="10">
      <c r="B10" s="45" t="inlineStr">
        <is>
          <t>Owner / Developer</t>
        </is>
      </c>
      <c r="C10" s="46" t="inlineStr">
        <is>
          <t>owner</t>
        </is>
      </c>
      <c r="D10" s="46" t="inlineStr">
        <is>
          <t>Blueprint Capital Services</t>
        </is>
      </c>
      <c r="E10" s="46" t="inlineStr">
        <is>
          <t>Profile</t>
        </is>
      </c>
      <c r="F10" s="46" t="inlineStr">
        <is>
          <t>Per subcontract</t>
        </is>
      </c>
      <c r="G10" s="90" t="inlineStr">
        <is>
          <t>Verified</t>
        </is>
      </c>
      <c r="H10" s="46" t="inlineStr">
        <is>
          <t>Blueprint Capital Services Luna Apts-Roosevelt Subcontract</t>
        </is>
      </c>
    </row>
    <row r="11">
      <c r="B11" s="47" t="inlineStr">
        <is>
          <t>Location</t>
        </is>
      </c>
      <c r="C11" s="48" t="inlineStr">
        <is>
          <t>location</t>
        </is>
      </c>
      <c r="D11" s="48" t="inlineStr">
        <is>
          <t>6921 Roosevelt Way NE, Seattle WA</t>
        </is>
      </c>
      <c r="E11" s="48" t="inlineStr">
        <is>
          <t>Profile</t>
        </is>
      </c>
      <c r="F11" s="48" t="inlineStr">
        <is>
          <t>Contract address</t>
        </is>
      </c>
      <c r="G11" s="90" t="inlineStr">
        <is>
          <t>Verified</t>
        </is>
      </c>
      <c r="H11" s="48" t="inlineStr">
        <is>
          <t>Blueprint Capital Services Luna Apts-Roosevelt Subcontract</t>
        </is>
      </c>
      <c r="I11" s="52" t="n"/>
      <c r="J11" s="52" t="n"/>
    </row>
    <row r="12">
      <c r="B12" s="45" t="inlineStr">
        <is>
          <t>Project Type</t>
        </is>
      </c>
      <c r="C12" s="46" t="inlineStr">
        <is>
          <t>project_type</t>
        </is>
      </c>
      <c r="D12" s="46" t="inlineStr">
        <is>
          <t>Multifamily New Construction — Plumbing (71 units)</t>
        </is>
      </c>
      <c r="E12" s="46" t="inlineStr">
        <is>
          <t>Profile</t>
        </is>
      </c>
      <c r="F12" s="46" t="inlineStr">
        <is>
          <t>OWP Project List</t>
        </is>
      </c>
      <c r="G12" s="90" t="inlineStr">
        <is>
          <t>Verified</t>
        </is>
      </c>
      <c r="H12" s="46" t="inlineStr">
        <is>
          <t>Blueprint Capital Services Luna Apts-Roosevelt Proposal</t>
        </is>
      </c>
    </row>
    <row r="13">
      <c r="B13" s="47" t="inlineStr">
        <is>
          <t>Work Start Date</t>
        </is>
      </c>
      <c r="C13" s="48" t="inlineStr">
        <is>
          <t>start_date</t>
        </is>
      </c>
      <c r="D13" s="48" t="inlineStr">
        <is>
          <t>Per PR/AR posting dates</t>
        </is>
      </c>
      <c r="E13" s="48" t="inlineStr">
        <is>
          <t>Profile</t>
        </is>
      </c>
      <c r="F13" s="48" t="inlineStr">
        <is>
          <t>First payroll date</t>
        </is>
      </c>
      <c r="G13" s="90" t="inlineStr">
        <is>
          <t>Verified</t>
        </is>
      </c>
      <c r="H13" s="48" t="inlineStr">
        <is>
          <t>2032 Job Detail Report.pdf (Sage Timberline, 04/03/2026, 72 pages)</t>
        </is>
      </c>
      <c r="I13" s="52" t="n"/>
      <c r="J13" s="52" t="n"/>
    </row>
    <row r="14">
      <c r="B14" s="45" t="inlineStr">
        <is>
          <t>Work End Date</t>
        </is>
      </c>
      <c r="C14" s="46" t="inlineStr">
        <is>
          <t>end_date</t>
        </is>
      </c>
      <c r="D14" s="46" t="inlineStr">
        <is>
          <t>Per PR/AR posting dates</t>
        </is>
      </c>
      <c r="E14" s="46" t="inlineStr">
        <is>
          <t>Profile</t>
        </is>
      </c>
      <c r="F14" s="46" t="inlineStr">
        <is>
          <t>Last AR posting</t>
        </is>
      </c>
      <c r="G14" s="90" t="inlineStr">
        <is>
          <t>Verified</t>
        </is>
      </c>
      <c r="H14" s="46" t="inlineStr">
        <is>
          <t>2032 Job Detail Report.pdf (Sage Timberline, 04/03/2026, 72 pages)</t>
        </is>
      </c>
    </row>
    <row r="15">
      <c r="B15" s="47" t="inlineStr">
        <is>
          <t>Duration (months)</t>
        </is>
      </c>
      <c r="C15" s="48" t="inlineStr">
        <is>
          <t>duration_months</t>
        </is>
      </c>
      <c r="D15" s="48" t="inlineStr">
        <is>
          <t>Per JDR dates</t>
        </is>
      </c>
      <c r="E15" s="48" t="inlineStr">
        <is>
          <t>Profile</t>
        </is>
      </c>
      <c r="F15" s="48" t="inlineStr">
        <is>
          <t>Payroll + AR span</t>
        </is>
      </c>
      <c r="G15" s="90" t="inlineStr">
        <is>
          <t>Verified</t>
        </is>
      </c>
      <c r="H15" s="85" t="inlineStr">
        <is>
          <t>Derived</t>
        </is>
      </c>
      <c r="I15" s="52" t="n"/>
      <c r="J15" s="52" t="n"/>
    </row>
    <row r="16">
      <c r="B16" s="45" t="inlineStr">
        <is>
          <t>Unit Count</t>
        </is>
      </c>
      <c r="C16" s="46" t="inlineStr">
        <is>
          <t>unit_count</t>
        </is>
      </c>
      <c r="D16" s="78" t="n">
        <v>71</v>
      </c>
      <c r="E16" s="46" t="inlineStr">
        <is>
          <t>Profile</t>
        </is>
      </c>
      <c r="F16" s="46" t="inlineStr">
        <is>
          <t>Per OWP Project List</t>
        </is>
      </c>
      <c r="G16" s="90" t="inlineStr">
        <is>
          <t>Verified</t>
        </is>
      </c>
      <c r="H16" s="46" t="inlineStr">
        <is>
          <t>OWP Project List</t>
        </is>
      </c>
    </row>
    <row r="17">
      <c r="B17" s="47" t="inlineStr">
        <is>
          <t>ADA Type A Units</t>
        </is>
      </c>
      <c r="C17" s="48" t="inlineStr">
        <is>
          <t>ada_units</t>
        </is>
      </c>
      <c r="D17" s="48" t="inlineStr">
        <is>
          <t>Per design</t>
        </is>
      </c>
      <c r="E17" s="48" t="inlineStr">
        <is>
          <t>Profile</t>
        </is>
      </c>
      <c r="F17" s="48" t="inlineStr">
        <is>
          <t>Per bid proposal</t>
        </is>
      </c>
      <c r="G17" s="90" t="inlineStr">
        <is>
          <t>Verified</t>
        </is>
      </c>
      <c r="H17" s="48" t="inlineStr">
        <is>
          <t>Blueprint Capital Services Luna Apts-Roosevelt Proposal</t>
        </is>
      </c>
      <c r="I17" s="52" t="n"/>
      <c r="J17" s="52" t="n"/>
    </row>
    <row r="18">
      <c r="B18" s="45" t="inlineStr">
        <is>
          <t>Contract Original</t>
        </is>
      </c>
      <c r="C18" s="46" t="inlineStr">
        <is>
          <t>contract_original</t>
        </is>
      </c>
      <c r="D18" s="54" t="n">
        <v>685300</v>
      </c>
      <c r="E18" s="46" t="inlineStr">
        <is>
          <t>Financial</t>
        </is>
      </c>
      <c r="F18" s="46" t="inlineStr">
        <is>
          <t>Subcontract Lump Sum</t>
        </is>
      </c>
      <c r="G18" s="90" t="inlineStr">
        <is>
          <t>Verified</t>
        </is>
      </c>
      <c r="H18" s="46" t="inlineStr">
        <is>
          <t>Blueprint Capital Services Luna Apts-Roosevelt Subcontract</t>
        </is>
      </c>
    </row>
    <row r="19">
      <c r="B19" s="47" t="inlineStr">
        <is>
          <t>Contract Final</t>
        </is>
      </c>
      <c r="C19" s="48" t="inlineStr">
        <is>
          <t>contract_final</t>
        </is>
      </c>
      <c r="D19" s="75" t="n">
        <v>726403</v>
      </c>
      <c r="E19" s="48" t="inlineStr">
        <is>
          <t>Financial</t>
        </is>
      </c>
      <c r="F19" s="48" t="inlineStr">
        <is>
          <t>Code 999 Rev Budget = AR total</t>
        </is>
      </c>
      <c r="G19" s="90" t="inlineStr">
        <is>
          <t>Verified</t>
        </is>
      </c>
      <c r="H19" s="48" t="inlineStr">
        <is>
          <t>2032 Job Detail Report.pdf (Sage Timberline, 04/03/2026, 72 pages)</t>
        </is>
      </c>
      <c r="I19" s="52" t="n"/>
      <c r="J19" s="52" t="n"/>
    </row>
    <row r="20">
      <c r="B20" s="45" t="inlineStr">
        <is>
          <t>Change Orders ($, implied)</t>
        </is>
      </c>
      <c r="C20" s="46" t="inlineStr">
        <is>
          <t>change_orders_implied</t>
        </is>
      </c>
      <c r="D20" s="54" t="n">
        <v>41103</v>
      </c>
      <c r="E20" s="46" t="inlineStr">
        <is>
          <t>Financial</t>
        </is>
      </c>
      <c r="F20" s="46" t="inlineStr">
        <is>
          <t>Final - Original</t>
        </is>
      </c>
      <c r="G20" s="90" t="inlineStr">
        <is>
          <t>Verified</t>
        </is>
      </c>
      <c r="H20" s="46" t="inlineStr">
        <is>
          <t>2032 Job Detail Report.pdf (Sage Timberline, 04/03/2026, 72 pages)</t>
        </is>
      </c>
    </row>
    <row r="21">
      <c r="B21" s="47" t="inlineStr">
        <is>
          <t>Change Orders ($, documented)</t>
        </is>
      </c>
      <c r="C21" s="48" t="inlineStr">
        <is>
          <t>change_orders_documented</t>
        </is>
      </c>
      <c r="D21" s="75" t="n">
        <v>41603</v>
      </c>
      <c r="E21" s="48" t="inlineStr">
        <is>
          <t>Financial</t>
        </is>
      </c>
      <c r="F21" s="48" t="inlineStr">
        <is>
          <t>7 executed COs per CO/COR folders</t>
        </is>
      </c>
      <c r="G21" s="90" t="inlineStr">
        <is>
          <t>Verified</t>
        </is>
      </c>
      <c r="H21" s="48" t="inlineStr">
        <is>
          <t>CO folder</t>
        </is>
      </c>
      <c r="I21" s="52" t="n"/>
      <c r="J21" s="52" t="n"/>
    </row>
    <row r="22">
      <c r="B22" s="45" t="inlineStr">
        <is>
          <t>CO Count Documented</t>
        </is>
      </c>
      <c r="C22" s="46" t="inlineStr">
        <is>
          <t>co_count</t>
        </is>
      </c>
      <c r="D22" s="78" t="n">
        <v>7</v>
      </c>
      <c r="E22" s="46" t="inlineStr">
        <is>
          <t>Financial</t>
        </is>
      </c>
      <c r="F22" s="46" t="inlineStr">
        <is>
          <t>7 executed COs per CO/COR folders</t>
        </is>
      </c>
      <c r="G22" s="90" t="inlineStr">
        <is>
          <t>Verified</t>
        </is>
      </c>
      <c r="H22" s="46" t="inlineStr">
        <is>
          <t>CO folder</t>
        </is>
      </c>
    </row>
    <row r="23">
      <c r="B23" s="47" t="inlineStr">
        <is>
          <t>Change Order % of Contract</t>
        </is>
      </c>
      <c r="C23" s="48" t="inlineStr">
        <is>
          <t>co_pct</t>
        </is>
      </c>
      <c r="D23" s="91" t="n">
        <v>0.05997811177586458</v>
      </c>
      <c r="E23" s="48" t="inlineStr">
        <is>
          <t>Financial</t>
        </is>
      </c>
      <c r="F23" s="92" t="inlineStr"/>
      <c r="G23" s="90" t="inlineStr">
        <is>
          <t>Verified</t>
        </is>
      </c>
      <c r="H23" s="85" t="inlineStr">
        <is>
          <t>Derived</t>
        </is>
      </c>
      <c r="I23" s="52" t="n"/>
      <c r="J23" s="52" t="n"/>
    </row>
    <row r="24">
      <c r="B24" s="45" t="inlineStr">
        <is>
          <t>Revenue</t>
        </is>
      </c>
      <c r="C24" s="46" t="inlineStr">
        <is>
          <t>revenue</t>
        </is>
      </c>
      <c r="D24" s="54" t="n">
        <v>726403</v>
      </c>
      <c r="E24" s="46" t="inlineStr">
        <is>
          <t>Financial</t>
        </is>
      </c>
      <c r="F24" s="46" t="inlineStr">
        <is>
          <t>AR total</t>
        </is>
      </c>
      <c r="G24" s="90" t="inlineStr">
        <is>
          <t>Verified</t>
        </is>
      </c>
      <c r="H24" s="46" t="inlineStr">
        <is>
          <t>2032 Job Detail Report.pdf (Sage Timberline, 04/03/2026, 72 pages)</t>
        </is>
      </c>
    </row>
    <row r="25">
      <c r="B25" s="47" t="inlineStr">
        <is>
          <t>Direct Cost</t>
        </is>
      </c>
      <c r="C25" s="48" t="inlineStr">
        <is>
          <t>direct_cost</t>
        </is>
      </c>
      <c r="D25" s="75" t="n">
        <v>398294.52</v>
      </c>
      <c r="E25" s="48" t="inlineStr">
        <is>
          <t>Financial</t>
        </is>
      </c>
      <c r="F25" s="48" t="inlineStr">
        <is>
          <t>JDR Job Totals Expenses</t>
        </is>
      </c>
      <c r="G25" s="90" t="inlineStr">
        <is>
          <t>Verified</t>
        </is>
      </c>
      <c r="H25" s="48" t="inlineStr">
        <is>
          <t>2032 Job Detail Report.pdf (Sage Timberline, 04/03/2026, 72 pages)</t>
        </is>
      </c>
      <c r="I25" s="52" t="n"/>
      <c r="J25" s="52" t="n"/>
    </row>
    <row r="26">
      <c r="B26" s="45" t="inlineStr">
        <is>
          <t>Net Profit</t>
        </is>
      </c>
      <c r="C26" s="46" t="inlineStr">
        <is>
          <t>net_profit</t>
        </is>
      </c>
      <c r="D26" s="54" t="n">
        <v>328108.48</v>
      </c>
      <c r="E26" s="46" t="inlineStr">
        <is>
          <t>Financial</t>
        </is>
      </c>
      <c r="F26" s="46" t="inlineStr">
        <is>
          <t>Rev - Expenses</t>
        </is>
      </c>
      <c r="G26" s="90" t="inlineStr">
        <is>
          <t>Verified</t>
        </is>
      </c>
      <c r="H26" s="46" t="inlineStr">
        <is>
          <t>2032 Job Detail Report.pdf (Sage Timberline, 04/03/2026, 72 pages)</t>
        </is>
      </c>
    </row>
    <row r="27">
      <c r="B27" s="47" t="inlineStr">
        <is>
          <t>Gross Margin</t>
        </is>
      </c>
      <c r="C27" s="48" t="inlineStr">
        <is>
          <t>gross_margin</t>
        </is>
      </c>
      <c r="D27" s="91" t="n">
        <v>0.451689323970303</v>
      </c>
      <c r="E27" s="48" t="inlineStr">
        <is>
          <t>Financial</t>
        </is>
      </c>
      <c r="F27" s="92" t="inlineStr"/>
      <c r="G27" s="90" t="inlineStr">
        <is>
          <t>Verified</t>
        </is>
      </c>
      <c r="H27" s="85" t="inlineStr">
        <is>
          <t>Derived</t>
        </is>
      </c>
      <c r="I27" s="52" t="n"/>
      <c r="J27" s="52" t="n"/>
    </row>
    <row r="28">
      <c r="B28" s="45" t="inlineStr">
        <is>
          <t>Retainage Outstanding</t>
        </is>
      </c>
      <c r="C28" s="46" t="inlineStr">
        <is>
          <t>retainage</t>
        </is>
      </c>
      <c r="D28" s="54" t="n">
        <v>36320.15</v>
      </c>
      <c r="E28" s="46" t="inlineStr">
        <is>
          <t>Financial</t>
        </is>
      </c>
      <c r="F28" s="46" t="inlineStr">
        <is>
          <t>Open per JDR</t>
        </is>
      </c>
      <c r="G28" s="90" t="inlineStr">
        <is>
          <t>Verified</t>
        </is>
      </c>
      <c r="H28" s="46" t="inlineStr">
        <is>
          <t>2032 Job Detail Report.pdf (Sage Timberline, 04/03/2026, 72 pages)</t>
        </is>
      </c>
    </row>
    <row r="29">
      <c r="B29" s="47" t="inlineStr">
        <is>
          <t>Retainage % of Revenue</t>
        </is>
      </c>
      <c r="C29" s="48" t="inlineStr">
        <is>
          <t>retainage_pct</t>
        </is>
      </c>
      <c r="D29" s="91" t="n">
        <v>0.05</v>
      </c>
      <c r="E29" s="48" t="inlineStr">
        <is>
          <t>Financial</t>
        </is>
      </c>
      <c r="F29" s="92" t="inlineStr"/>
      <c r="G29" s="90" t="inlineStr">
        <is>
          <t>Verified</t>
        </is>
      </c>
      <c r="H29" s="85" t="inlineStr">
        <is>
          <t>Derived</t>
        </is>
      </c>
      <c r="I29" s="52" t="n"/>
      <c r="J29" s="52" t="n"/>
    </row>
    <row r="30">
      <c r="B30" s="45" t="inlineStr">
        <is>
          <t>Labor Cost</t>
        </is>
      </c>
      <c r="C30" s="46" t="inlineStr">
        <is>
          <t>labor_cost</t>
        </is>
      </c>
      <c r="D30" s="54" t="n">
        <v>134465.25</v>
      </c>
      <c r="E30" s="46" t="inlineStr">
        <is>
          <t>Labor</t>
        </is>
      </c>
      <c r="F30" s="46" t="inlineStr">
        <is>
          <t>Codes 100-142</t>
        </is>
      </c>
      <c r="G30" s="90" t="inlineStr">
        <is>
          <t>Verified</t>
        </is>
      </c>
      <c r="H30" s="46" t="inlineStr">
        <is>
          <t>2032 Job Detail Report.pdf (Sage Timberline, 04/03/2026, 72 pages)</t>
        </is>
      </c>
    </row>
    <row r="31">
      <c r="B31" s="47" t="inlineStr">
        <is>
          <t>Material Cost</t>
        </is>
      </c>
      <c r="C31" s="48" t="inlineStr">
        <is>
          <t>material_cost</t>
        </is>
      </c>
      <c r="D31" s="75" t="n">
        <v>167700.53</v>
      </c>
      <c r="E31" s="48" t="inlineStr">
        <is>
          <t>Material</t>
        </is>
      </c>
      <c r="F31" s="48" t="inlineStr">
        <is>
          <t>Codes 210-242</t>
        </is>
      </c>
      <c r="G31" s="90" t="inlineStr">
        <is>
          <t>Verified</t>
        </is>
      </c>
      <c r="H31" s="48" t="inlineStr">
        <is>
          <t>2032 Job Detail Report.pdf (Sage Timberline, 04/03/2026, 72 pages)</t>
        </is>
      </c>
      <c r="I31" s="52" t="n"/>
      <c r="J31" s="52" t="n"/>
    </row>
    <row r="32">
      <c r="B32" s="45" t="inlineStr">
        <is>
          <t>Subcontractor+OH Cost</t>
        </is>
      </c>
      <c r="C32" s="46" t="inlineStr">
        <is>
          <t>overhead_cost</t>
        </is>
      </c>
      <c r="D32" s="54" t="n">
        <v>26110.86</v>
      </c>
      <c r="E32" s="46" t="inlineStr">
        <is>
          <t>Financial</t>
        </is>
      </c>
      <c r="F32" s="46" t="inlineStr">
        <is>
          <t>Codes 600-607</t>
        </is>
      </c>
      <c r="G32" s="90" t="inlineStr">
        <is>
          <t>Verified</t>
        </is>
      </c>
      <c r="H32" s="46" t="inlineStr">
        <is>
          <t>2032 Job Detail Report.pdf (Sage Timberline, 04/03/2026, 72 pages)</t>
        </is>
      </c>
    </row>
    <row r="33">
      <c r="B33" s="47" t="inlineStr">
        <is>
          <t>Burden Cost</t>
        </is>
      </c>
      <c r="C33" s="48" t="inlineStr">
        <is>
          <t>burden_cost</t>
        </is>
      </c>
      <c r="D33" s="75" t="n">
        <v>59716.99</v>
      </c>
      <c r="E33" s="48" t="inlineStr">
        <is>
          <t>Labor</t>
        </is>
      </c>
      <c r="F33" s="48" t="inlineStr">
        <is>
          <t>Code 995</t>
        </is>
      </c>
      <c r="G33" s="90" t="inlineStr">
        <is>
          <t>Verified</t>
        </is>
      </c>
      <c r="H33" s="48" t="inlineStr">
        <is>
          <t>2032 Job Detail Report.pdf (Sage Timberline, 04/03/2026, 72 pages)</t>
        </is>
      </c>
      <c r="I33" s="52" t="n"/>
      <c r="J33" s="52" t="n"/>
    </row>
    <row r="34">
      <c r="B34" s="45" t="inlineStr">
        <is>
          <t>Tax Cost</t>
        </is>
      </c>
      <c r="C34" s="46" t="inlineStr">
        <is>
          <t>tax_cost</t>
        </is>
      </c>
      <c r="D34" s="54" t="n">
        <v>10300.89</v>
      </c>
      <c r="E34" s="46" t="inlineStr">
        <is>
          <t>Labor</t>
        </is>
      </c>
      <c r="F34" s="46" t="inlineStr">
        <is>
          <t>Code 998</t>
        </is>
      </c>
      <c r="G34" s="90" t="inlineStr">
        <is>
          <t>Verified</t>
        </is>
      </c>
      <c r="H34" s="46" t="inlineStr">
        <is>
          <t>2032 Job Detail Report.pdf (Sage Timberline, 04/03/2026, 72 pages)</t>
        </is>
      </c>
    </row>
    <row r="35">
      <c r="B35" s="47" t="inlineStr">
        <is>
          <t>Total Labor Hours</t>
        </is>
      </c>
      <c r="C35" s="48" t="inlineStr">
        <is>
          <t>total_hours</t>
        </is>
      </c>
      <c r="D35" s="71" t="n">
        <v>5157</v>
      </c>
      <c r="E35" s="48" t="inlineStr">
        <is>
          <t>Labor</t>
        </is>
      </c>
      <c r="F35" s="48" t="inlineStr">
        <is>
          <t>Sum labor codes</t>
        </is>
      </c>
      <c r="G35" s="90" t="inlineStr">
        <is>
          <t>Verified</t>
        </is>
      </c>
      <c r="H35" s="48" t="inlineStr">
        <is>
          <t>2032 Job Detail Report.pdf (Sage Timberline, 04/03/2026, 72 pages)</t>
        </is>
      </c>
      <c r="I35" s="52" t="n"/>
      <c r="J35" s="52" t="n"/>
    </row>
    <row r="36">
      <c r="B36" s="45" t="inlineStr">
        <is>
          <t>Total Workers</t>
        </is>
      </c>
      <c r="C36" s="46" t="inlineStr">
        <is>
          <t>total_workers</t>
        </is>
      </c>
      <c r="D36" s="78" t="n">
        <v>26</v>
      </c>
      <c r="E36" s="46" t="inlineStr">
        <is>
          <t>Labor</t>
        </is>
      </c>
      <c r="F36" s="46" t="inlineStr">
        <is>
          <t>Unique payroll IDs</t>
        </is>
      </c>
      <c r="G36" s="90" t="inlineStr">
        <is>
          <t>Verified</t>
        </is>
      </c>
      <c r="H36" s="46" t="inlineStr">
        <is>
          <t>2032 Job Detail Report.pdf (Sage Timberline, 04/03/2026, 72 pages)</t>
        </is>
      </c>
    </row>
    <row r="37">
      <c r="B37" s="47" t="inlineStr">
        <is>
          <t>Blended Gross Wage ($/hr)</t>
        </is>
      </c>
      <c r="C37" s="48" t="inlineStr">
        <is>
          <t>blended_gross_wage</t>
        </is>
      </c>
      <c r="D37" s="75" t="n">
        <v>26.07431646305992</v>
      </c>
      <c r="E37" s="48" t="inlineStr">
        <is>
          <t>Labor</t>
        </is>
      </c>
      <c r="F37" s="48" t="inlineStr">
        <is>
          <t>Pre-burden</t>
        </is>
      </c>
      <c r="G37" s="90" t="inlineStr">
        <is>
          <t>Verified</t>
        </is>
      </c>
      <c r="H37" s="85" t="inlineStr">
        <is>
          <t>Derived</t>
        </is>
      </c>
      <c r="I37" s="52" t="n"/>
      <c r="J37" s="52" t="n"/>
    </row>
    <row r="38">
      <c r="B38" s="45" t="inlineStr">
        <is>
          <t>Fully-Loaded Wage ($/hr)</t>
        </is>
      </c>
      <c r="C38" s="46" t="inlineStr">
        <is>
          <t>fully_loaded_wage</t>
        </is>
      </c>
      <c r="D38" s="54" t="n">
        <v>39.6515668024045</v>
      </c>
      <c r="E38" s="46" t="inlineStr">
        <is>
          <t>Labor</t>
        </is>
      </c>
      <c r="F38" s="46" t="inlineStr">
        <is>
          <t>Incl burden + tax</t>
        </is>
      </c>
      <c r="G38" s="90" t="inlineStr">
        <is>
          <t>Verified</t>
        </is>
      </c>
      <c r="H38" s="85" t="inlineStr">
        <is>
          <t>Derived</t>
        </is>
      </c>
    </row>
    <row r="39">
      <c r="B39" s="47" t="inlineStr">
        <is>
          <t>Burden Multiplier</t>
        </is>
      </c>
      <c r="C39" s="48" t="inlineStr">
        <is>
          <t>burden_multiplier</t>
        </is>
      </c>
      <c r="D39" s="93" t="n">
        <v>1.520713567259943</v>
      </c>
      <c r="E39" s="48" t="inlineStr">
        <is>
          <t>Labor</t>
        </is>
      </c>
      <c r="F39" s="48" t="inlineStr">
        <is>
          <t>Fully-loaded/blended</t>
        </is>
      </c>
      <c r="G39" s="90" t="inlineStr">
        <is>
          <t>Verified</t>
        </is>
      </c>
      <c r="H39" s="85" t="inlineStr">
        <is>
          <t>Derived</t>
        </is>
      </c>
      <c r="I39" s="52" t="n"/>
      <c r="J39" s="52" t="n"/>
    </row>
    <row r="40">
      <c r="B40" s="45" t="inlineStr">
        <is>
          <t>Rough-in Hours</t>
        </is>
      </c>
      <c r="C40" s="46" t="inlineStr">
        <is>
          <t>roughin_hours</t>
        </is>
      </c>
      <c r="D40" s="55" t="n">
        <v>3132</v>
      </c>
      <c r="E40" s="46" t="inlineStr">
        <is>
          <t>Labor</t>
        </is>
      </c>
      <c r="F40" s="46" t="inlineStr">
        <is>
          <t>Code 120</t>
        </is>
      </c>
      <c r="G40" s="90" t="inlineStr">
        <is>
          <t>Verified</t>
        </is>
      </c>
      <c r="H40" s="46" t="inlineStr">
        <is>
          <t>2032 Job Detail Report.pdf (Sage Timberline, 04/03/2026, 72 pages)</t>
        </is>
      </c>
    </row>
    <row r="41">
      <c r="B41" s="47" t="inlineStr">
        <is>
          <t>Finish Hours</t>
        </is>
      </c>
      <c r="C41" s="48" t="inlineStr">
        <is>
          <t>finish_hours</t>
        </is>
      </c>
      <c r="D41" s="71" t="n">
        <v>682.5</v>
      </c>
      <c r="E41" s="48" t="inlineStr">
        <is>
          <t>Labor</t>
        </is>
      </c>
      <c r="F41" s="48" t="inlineStr">
        <is>
          <t>Code 130</t>
        </is>
      </c>
      <c r="G41" s="90" t="inlineStr">
        <is>
          <t>Verified</t>
        </is>
      </c>
      <c r="H41" s="48" t="inlineStr">
        <is>
          <t>2032 Job Detail Report.pdf (Sage Timberline, 04/03/2026, 72 pages)</t>
        </is>
      </c>
      <c r="I41" s="52" t="n"/>
      <c r="J41" s="52" t="n"/>
    </row>
    <row r="42">
      <c r="B42" s="45" t="inlineStr">
        <is>
          <t>Revenue per Hour</t>
        </is>
      </c>
      <c r="C42" s="46" t="inlineStr">
        <is>
          <t>revenue_per_hour</t>
        </is>
      </c>
      <c r="D42" s="55" t="n">
        <v>140.8576691875121</v>
      </c>
      <c r="E42" s="46" t="inlineStr">
        <is>
          <t>Productivity</t>
        </is>
      </c>
      <c r="F42" s="5" t="inlineStr"/>
      <c r="G42" s="90" t="inlineStr">
        <is>
          <t>Verified</t>
        </is>
      </c>
      <c r="H42" s="85" t="inlineStr">
        <is>
          <t>Derived</t>
        </is>
      </c>
    </row>
    <row r="43">
      <c r="B43" s="47" t="inlineStr">
        <is>
          <t>Profit per Hour</t>
        </is>
      </c>
      <c r="C43" s="48" t="inlineStr">
        <is>
          <t>profit_per_hour</t>
        </is>
      </c>
      <c r="D43" s="71" t="n">
        <v>63.62390537133992</v>
      </c>
      <c r="E43" s="48" t="inlineStr">
        <is>
          <t>Productivity</t>
        </is>
      </c>
      <c r="F43" s="92" t="inlineStr"/>
      <c r="G43" s="90" t="inlineStr">
        <is>
          <t>Verified</t>
        </is>
      </c>
      <c r="H43" s="85" t="inlineStr">
        <is>
          <t>Derived</t>
        </is>
      </c>
      <c r="I43" s="52" t="n"/>
      <c r="J43" s="52" t="n"/>
    </row>
    <row r="44">
      <c r="B44" s="45" t="inlineStr">
        <is>
          <t>Revenue per Unit</t>
        </is>
      </c>
      <c r="C44" s="46" t="inlineStr">
        <is>
          <t>revenue_per_unit</t>
        </is>
      </c>
      <c r="D44" s="54" t="n">
        <v>10231.02816901408</v>
      </c>
      <c r="E44" s="46" t="inlineStr">
        <is>
          <t>Productivity</t>
        </is>
      </c>
      <c r="F44" s="46" t="inlineStr">
        <is>
          <t>71 units</t>
        </is>
      </c>
      <c r="G44" s="90" t="inlineStr">
        <is>
          <t>Verified</t>
        </is>
      </c>
      <c r="H44" s="85" t="inlineStr">
        <is>
          <t>Derived</t>
        </is>
      </c>
    </row>
    <row r="45">
      <c r="B45" s="47" t="inlineStr">
        <is>
          <t>Direct Cost per Unit</t>
        </is>
      </c>
      <c r="C45" s="48" t="inlineStr">
        <is>
          <t>cost_per_unit</t>
        </is>
      </c>
      <c r="D45" s="75" t="n">
        <v>5609.781971830987</v>
      </c>
      <c r="E45" s="48" t="inlineStr">
        <is>
          <t>Productivity</t>
        </is>
      </c>
      <c r="F45" s="48" t="inlineStr">
        <is>
          <t>71 units</t>
        </is>
      </c>
      <c r="G45" s="90" t="inlineStr">
        <is>
          <t>Verified</t>
        </is>
      </c>
      <c r="H45" s="85" t="inlineStr">
        <is>
          <t>Derived</t>
        </is>
      </c>
      <c r="I45" s="52" t="n"/>
      <c r="J45" s="52" t="n"/>
    </row>
    <row r="46">
      <c r="B46" s="45" t="inlineStr">
        <is>
          <t>Labor Hours per Unit</t>
        </is>
      </c>
      <c r="C46" s="46" t="inlineStr">
        <is>
          <t>hours_per_unit</t>
        </is>
      </c>
      <c r="D46" s="55" t="n">
        <v>72.63380281690141</v>
      </c>
      <c r="E46" s="46" t="inlineStr">
        <is>
          <t>Productivity</t>
        </is>
      </c>
      <c r="F46" s="46" t="inlineStr">
        <is>
          <t>71 units</t>
        </is>
      </c>
      <c r="G46" s="90" t="inlineStr">
        <is>
          <t>Verified</t>
        </is>
      </c>
      <c r="H46" s="85" t="inlineStr">
        <is>
          <t>Derived</t>
        </is>
      </c>
    </row>
    <row r="47">
      <c r="B47" s="47" t="inlineStr">
        <is>
          <t>Labor % of Revenue</t>
        </is>
      </c>
      <c r="C47" s="48" t="inlineStr">
        <is>
          <t>labor_pct_revenue</t>
        </is>
      </c>
      <c r="D47" s="91" t="n">
        <v>0.1851110884729276</v>
      </c>
      <c r="E47" s="48" t="inlineStr">
        <is>
          <t>Cost Mix</t>
        </is>
      </c>
      <c r="F47" s="92" t="inlineStr"/>
      <c r="G47" s="90" t="inlineStr">
        <is>
          <t>Verified</t>
        </is>
      </c>
      <c r="H47" s="85" t="inlineStr">
        <is>
          <t>Derived</t>
        </is>
      </c>
      <c r="I47" s="52" t="n"/>
      <c r="J47" s="52" t="n"/>
    </row>
    <row r="48">
      <c r="B48" s="45" t="inlineStr">
        <is>
          <t>Material % of Revenue</t>
        </is>
      </c>
      <c r="C48" s="46" t="inlineStr">
        <is>
          <t>material_pct_revenue</t>
        </is>
      </c>
      <c r="D48" s="94" t="n">
        <v>0.2308643136110396</v>
      </c>
      <c r="E48" s="46" t="inlineStr">
        <is>
          <t>Cost Mix</t>
        </is>
      </c>
      <c r="F48" s="5" t="inlineStr"/>
      <c r="G48" s="90" t="inlineStr">
        <is>
          <t>Verified</t>
        </is>
      </c>
      <c r="H48" s="85" t="inlineStr">
        <is>
          <t>Derived</t>
        </is>
      </c>
    </row>
    <row r="49">
      <c r="B49" s="47" t="inlineStr">
        <is>
          <t>Total Vendors (AP)</t>
        </is>
      </c>
      <c r="C49" s="48" t="inlineStr">
        <is>
          <t>total_vendors</t>
        </is>
      </c>
      <c r="D49" s="79" t="n">
        <v>17</v>
      </c>
      <c r="E49" s="48" t="inlineStr">
        <is>
          <t>Material</t>
        </is>
      </c>
      <c r="F49" s="48" t="inlineStr">
        <is>
          <t>Unique vendor IDs</t>
        </is>
      </c>
      <c r="G49" s="90" t="inlineStr">
        <is>
          <t>Verified</t>
        </is>
      </c>
      <c r="H49" s="48" t="inlineStr">
        <is>
          <t>2032 Job Detail Report.pdf (Sage Timberline, 04/03/2026, 72 pages)</t>
        </is>
      </c>
      <c r="I49" s="52" t="n"/>
      <c r="J49" s="52" t="n"/>
    </row>
    <row r="50">
      <c r="B50" s="45" t="inlineStr">
        <is>
          <t>Total Invoices (AR)</t>
        </is>
      </c>
      <c r="C50" s="46" t="inlineStr">
        <is>
          <t>total_invoices</t>
        </is>
      </c>
      <c r="D50" s="78" t="n">
        <v>13</v>
      </c>
      <c r="E50" s="46" t="inlineStr">
        <is>
          <t>Billing</t>
        </is>
      </c>
      <c r="F50" s="46" t="inlineStr">
        <is>
          <t>Unique invoice numbers</t>
        </is>
      </c>
      <c r="G50" s="90" t="inlineStr">
        <is>
          <t>Verified</t>
        </is>
      </c>
      <c r="H50" s="46" t="inlineStr">
        <is>
          <t>2032 Job Detail Report.pdf (Sage Timberline, 04/03/2026, 72 pages)</t>
        </is>
      </c>
    </row>
    <row r="51">
      <c r="B51" s="47" t="inlineStr">
        <is>
          <t>RFI Count (documented)</t>
        </is>
      </c>
      <c r="C51" s="48" t="inlineStr">
        <is>
          <t>rfi_count</t>
        </is>
      </c>
      <c r="D51" s="79" t="n">
        <v>0</v>
      </c>
      <c r="E51" s="48" t="inlineStr">
        <is>
          <t>Docs</t>
        </is>
      </c>
      <c r="F51" s="48" t="inlineStr">
        <is>
          <t>ASI-RFI folder empty — no RFIs on file</t>
        </is>
      </c>
      <c r="G51" s="90" t="inlineStr">
        <is>
          <t>Verified</t>
        </is>
      </c>
      <c r="H51" s="48" t="inlineStr">
        <is>
          <t>ASI-RFI/</t>
        </is>
      </c>
      <c r="I51" s="52" t="n"/>
      <c r="J51" s="52" t="n"/>
    </row>
    <row r="52">
      <c r="B52" s="45" t="inlineStr">
        <is>
          <t>Submittal Count</t>
        </is>
      </c>
      <c r="C52" s="46" t="inlineStr">
        <is>
          <t>submittal_count</t>
        </is>
      </c>
      <c r="D52" s="78" t="n">
        <v>60</v>
      </c>
      <c r="E52" s="46" t="inlineStr">
        <is>
          <t>Docs</t>
        </is>
      </c>
      <c r="F52" s="46" t="inlineStr">
        <is>
          <t>20 fixture + 19 UG/roughin + 7 shower + 2 equip + misc</t>
        </is>
      </c>
      <c r="G52" s="90" t="inlineStr">
        <is>
          <t>Verified</t>
        </is>
      </c>
      <c r="H52" s="46" t="inlineStr">
        <is>
          <t>Submittals/</t>
        </is>
      </c>
    </row>
    <row r="53">
      <c r="B53" s="47" t="inlineStr">
        <is>
          <t>Permit Count</t>
        </is>
      </c>
      <c r="C53" s="48" t="inlineStr">
        <is>
          <t>permit_count</t>
        </is>
      </c>
      <c r="D53" s="79" t="n">
        <v>3</v>
      </c>
      <c r="E53" s="48" t="inlineStr">
        <is>
          <t>Docs</t>
        </is>
      </c>
      <c r="F53" s="48" t="inlineStr">
        <is>
          <t>Plumbing, backflow, gas (all 03/08/2017)</t>
        </is>
      </c>
      <c r="G53" s="90" t="inlineStr">
        <is>
          <t>Verified</t>
        </is>
      </c>
      <c r="H53" s="48" t="inlineStr">
        <is>
          <t>Permits/</t>
        </is>
      </c>
      <c r="I53" s="52" t="n"/>
      <c r="J53" s="52" t="n"/>
    </row>
    <row r="54">
      <c r="B54" s="45" t="inlineStr">
        <is>
          <t>PO Count</t>
        </is>
      </c>
      <c r="C54" s="46" t="inlineStr">
        <is>
          <t>po_count</t>
        </is>
      </c>
      <c r="D54" s="78" t="n">
        <v>118</v>
      </c>
      <c r="E54" s="46" t="inlineStr">
        <is>
          <t>Docs</t>
        </is>
      </c>
      <c r="F54" s="46" t="inlineStr">
        <is>
          <t>91 completed + 27 scheduled</t>
        </is>
      </c>
      <c r="G54" s="90" t="inlineStr">
        <is>
          <t>Verified</t>
        </is>
      </c>
      <c r="H54" s="46" t="inlineStr">
        <is>
          <t>PO's/</t>
        </is>
      </c>
    </row>
    <row r="55">
      <c r="B55" s="47" t="inlineStr">
        <is>
          <t>Total Fixtures</t>
        </is>
      </c>
      <c r="C55" s="48" t="inlineStr">
        <is>
          <t>fixture_total</t>
        </is>
      </c>
      <c r="D55" s="79" t="n">
        <v>388</v>
      </c>
      <c r="E55" s="48" t="inlineStr">
        <is>
          <t>Scope</t>
        </is>
      </c>
      <c r="F55" s="48" t="inlineStr">
        <is>
          <t>From fixture submittal (71-unit)</t>
        </is>
      </c>
      <c r="G55" s="90" t="inlineStr">
        <is>
          <t>Verified</t>
        </is>
      </c>
      <c r="H55" s="48" t="inlineStr">
        <is>
          <t>Submittals/FIXTURES/Fixture Submittal.pdf</t>
        </is>
      </c>
      <c r="I55" s="52" t="n"/>
      <c r="J55" s="52" t="n"/>
    </row>
    <row r="56">
      <c r="B56" s="45" t="inlineStr">
        <is>
          <t>Fixture Count (WCs)</t>
        </is>
      </c>
      <c r="C56" s="46" t="inlineStr">
        <is>
          <t>wc_count</t>
        </is>
      </c>
      <c r="D56" s="78" t="n">
        <v>72</v>
      </c>
      <c r="E56" s="46" t="inlineStr">
        <is>
          <t>Scope</t>
        </is>
      </c>
      <c r="F56" s="46" t="inlineStr">
        <is>
          <t>5 Type B + 67 Type A/Lobby</t>
        </is>
      </c>
      <c r="G56" s="90" t="inlineStr">
        <is>
          <t>Verified</t>
        </is>
      </c>
      <c r="H56" s="46" t="inlineStr">
        <is>
          <t>Submittals/FIXTURES/Fixture Submittal.pdf</t>
        </is>
      </c>
    </row>
    <row r="57">
      <c r="B57" s="47" t="inlineStr">
        <is>
          <t>Fixture Count (Lavs)</t>
        </is>
      </c>
      <c r="C57" s="48" t="inlineStr">
        <is>
          <t>lav_count</t>
        </is>
      </c>
      <c r="D57" s="79" t="n">
        <v>68</v>
      </c>
      <c r="E57" s="48" t="inlineStr">
        <is>
          <t>Scope</t>
        </is>
      </c>
      <c r="F57" s="48" t="inlineStr">
        <is>
          <t>5 Type B + 63 Type A/Lobby</t>
        </is>
      </c>
      <c r="G57" s="90" t="inlineStr">
        <is>
          <t>Verified</t>
        </is>
      </c>
      <c r="H57" s="48" t="inlineStr">
        <is>
          <t>Submittals/FIXTURES/Fixture Submittal.pdf</t>
        </is>
      </c>
      <c r="I57" s="52" t="n"/>
      <c r="J57" s="52" t="n"/>
    </row>
    <row r="58">
      <c r="B58" s="45" t="inlineStr">
        <is>
          <t>Bathing Fixtures (tub+shower)</t>
        </is>
      </c>
      <c r="C58" s="46" t="inlineStr">
        <is>
          <t>bath_count</t>
        </is>
      </c>
      <c r="D58" s="78" t="n">
        <v>79</v>
      </c>
      <c r="E58" s="46" t="inlineStr">
        <is>
          <t>Scope</t>
        </is>
      </c>
      <c r="F58" s="46" t="inlineStr">
        <is>
          <t>71 tub-shower combos + 8 shower pans (4 ADA)</t>
        </is>
      </c>
      <c r="G58" s="90" t="inlineStr">
        <is>
          <t>Verified</t>
        </is>
      </c>
      <c r="H58" s="46" t="inlineStr">
        <is>
          <t>Submittals/FIXTURES/Fixture Submittal.pdf</t>
        </is>
      </c>
    </row>
    <row r="59">
      <c r="B59" s="47" t="inlineStr">
        <is>
          <t>Kitchen Sinks</t>
        </is>
      </c>
      <c r="C59" s="48" t="inlineStr">
        <is>
          <t>ks_count</t>
        </is>
      </c>
      <c r="D59" s="79" t="n">
        <v>71</v>
      </c>
      <c r="E59" s="48" t="inlineStr">
        <is>
          <t>Scope</t>
        </is>
      </c>
      <c r="F59" s="48" t="inlineStr">
        <is>
          <t>S-2 amenity lounge sinks</t>
        </is>
      </c>
      <c r="G59" s="90" t="inlineStr">
        <is>
          <t>Verified</t>
        </is>
      </c>
      <c r="H59" s="48" t="inlineStr">
        <is>
          <t>Submittals/FIXTURES/Fixture Submittal.pdf</t>
        </is>
      </c>
      <c r="I59" s="52" t="n"/>
      <c r="J59" s="52" t="n"/>
    </row>
    <row r="60">
      <c r="B60" s="45" t="inlineStr">
        <is>
          <t>Dishwasher Connections</t>
        </is>
      </c>
      <c r="C60" s="46" t="inlineStr">
        <is>
          <t>dw_count</t>
        </is>
      </c>
      <c r="D60" s="78" t="n">
        <v>71</v>
      </c>
      <c r="E60" s="46" t="inlineStr">
        <is>
          <t>Scope</t>
        </is>
      </c>
      <c r="F60" s="46" t="inlineStr">
        <is>
          <t>Per fixture submittal</t>
        </is>
      </c>
      <c r="G60" s="90" t="inlineStr">
        <is>
          <t>Verified</t>
        </is>
      </c>
      <c r="H60" s="46" t="inlineStr">
        <is>
          <t>Submittals/FIXTURES/Fixture Submittal.pdf</t>
        </is>
      </c>
    </row>
    <row r="61">
      <c r="B61" s="47" t="inlineStr">
        <is>
          <t>Hose Bibbs</t>
        </is>
      </c>
      <c r="C61" s="48" t="inlineStr">
        <is>
          <t>hb_count</t>
        </is>
      </c>
      <c r="D61" s="79" t="n">
        <v>22</v>
      </c>
      <c r="E61" s="48" t="inlineStr">
        <is>
          <t>Scope</t>
        </is>
      </c>
      <c r="F61" s="48" t="inlineStr">
        <is>
          <t>12 exterior + 10 trash room</t>
        </is>
      </c>
      <c r="G61" s="90" t="inlineStr">
        <is>
          <t>Verified</t>
        </is>
      </c>
      <c r="H61" s="48" t="inlineStr">
        <is>
          <t>Submittals/FIXTURES/Fixture Submittal.pdf</t>
        </is>
      </c>
      <c r="I61" s="52" t="n"/>
      <c r="J61" s="52" t="n"/>
    </row>
    <row r="62">
      <c r="B62" s="45" t="inlineStr">
        <is>
          <t>AP Spend (JDR footer)</t>
        </is>
      </c>
      <c r="C62" s="46" t="inlineStr">
        <is>
          <t>ap_total</t>
        </is>
      </c>
      <c r="D62" s="54" t="n">
        <v>175969.52</v>
      </c>
      <c r="E62" s="46" t="inlineStr">
        <is>
          <t>Material</t>
        </is>
      </c>
      <c r="F62" s="46" t="inlineStr">
        <is>
          <t>JDR footer</t>
        </is>
      </c>
      <c r="G62" s="90" t="inlineStr">
        <is>
          <t>Verified</t>
        </is>
      </c>
      <c r="H62" s="46" t="inlineStr">
        <is>
          <t>2032 Job Detail Report.pdf (Sage Timberline, 04/03/2026, 72 pages)</t>
        </is>
      </c>
    </row>
    <row r="63">
      <c r="B63" s="47" t="inlineStr">
        <is>
          <t>PR Spend (JDR footer)</t>
        </is>
      </c>
      <c r="C63" s="48" t="inlineStr">
        <is>
          <t>pr_total</t>
        </is>
      </c>
      <c r="D63" s="75" t="n">
        <v>134465.25</v>
      </c>
      <c r="E63" s="48" t="inlineStr">
        <is>
          <t>Labor</t>
        </is>
      </c>
      <c r="F63" s="48" t="inlineStr">
        <is>
          <t>JDR footer (labor+burden+tax)</t>
        </is>
      </c>
      <c r="G63" s="90" t="inlineStr">
        <is>
          <t>Verified</t>
        </is>
      </c>
      <c r="H63" s="48" t="inlineStr">
        <is>
          <t>2032 Job Detail Report.pdf (Sage Timberline, 04/03/2026, 72 pages)</t>
        </is>
      </c>
      <c r="I63" s="52" t="n"/>
      <c r="J63" s="52" t="n"/>
    </row>
    <row r="64">
      <c r="B64" s="45" t="inlineStr">
        <is>
          <t>GL Spend (JDR footer)</t>
        </is>
      </c>
      <c r="C64" s="46" t="inlineStr">
        <is>
          <t>gl_total</t>
        </is>
      </c>
      <c r="D64" s="54" t="n">
        <v>26110.86</v>
      </c>
      <c r="E64" s="46" t="inlineStr">
        <is>
          <t>Financial</t>
        </is>
      </c>
      <c r="F64" s="46" t="inlineStr">
        <is>
          <t>JDR footer</t>
        </is>
      </c>
      <c r="G64" s="90" t="inlineStr">
        <is>
          <t>Verified</t>
        </is>
      </c>
      <c r="H64" s="46" t="inlineStr">
        <is>
          <t>2032 Job Detail Report.pdf (Sage Timberline, 04/03/2026, 72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Vendors — AP Summary</t>
        </is>
      </c>
    </row>
    <row r="3" ht="22" customHeight="1">
      <c r="B3" s="42" t="inlineStr">
        <is>
          <t>Vendor-level spend ranking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Rank</t>
        </is>
      </c>
      <c r="C5" s="64" t="inlineStr">
        <is>
          <t>Vendor ID</t>
        </is>
      </c>
      <c r="D5" s="64" t="inlineStr">
        <is>
          <t>Vendor Name</t>
        </is>
      </c>
      <c r="E5" s="64" t="inlineStr">
        <is>
          <t>Total Spend</t>
        </is>
      </c>
      <c r="F5" s="64" t="inlineStr">
        <is>
          <t># Transactions</t>
        </is>
      </c>
      <c r="G5" s="64" t="inlineStr">
        <is>
          <t>% of AP</t>
        </is>
      </c>
      <c r="H5" s="64" t="inlineStr">
        <is>
          <t>Source</t>
        </is>
      </c>
    </row>
    <row r="6">
      <c r="B6" s="78" t="n">
        <v>1</v>
      </c>
      <c r="C6" s="46" t="inlineStr">
        <is>
          <t>2032KS</t>
        </is>
      </c>
      <c r="D6" s="46" t="inlineStr">
        <is>
          <t>Keller Supply Co. $Roosevelt</t>
        </is>
      </c>
      <c r="E6" s="65" t="n">
        <v>47765.15999999999</v>
      </c>
      <c r="F6" s="78" t="n">
        <v>27</v>
      </c>
      <c r="G6" s="67">
        <f>E6/175969.52</f>
        <v/>
      </c>
      <c r="H6" s="46" t="inlineStr">
        <is>
          <t>2032 Job Detail Report.pdf (Sage Timberline, 04/03/2026, 72 pages)</t>
        </is>
      </c>
    </row>
    <row r="7">
      <c r="B7" s="79" t="n">
        <v>2</v>
      </c>
      <c r="C7" s="48" t="inlineStr">
        <is>
          <t>2032RS</t>
        </is>
      </c>
      <c r="D7" s="48" t="inlineStr">
        <is>
          <t>Rosen Supply Company, Inc. $Roosevelt</t>
        </is>
      </c>
      <c r="E7" s="68" t="n">
        <v>37328.46999999999</v>
      </c>
      <c r="F7" s="79" t="n">
        <v>43</v>
      </c>
      <c r="G7" s="70">
        <f>E7/175969.52</f>
        <v/>
      </c>
      <c r="H7" s="48" t="inlineStr">
        <is>
          <t>2032 Job Detail Report.pdf (Sage Timberline, 04/03/2026, 72 pages)</t>
        </is>
      </c>
      <c r="I7" s="52" t="n"/>
      <c r="J7" s="52" t="n"/>
    </row>
    <row r="8">
      <c r="B8" s="78" t="n">
        <v>3</v>
      </c>
      <c r="C8" s="46" t="inlineStr">
        <is>
          <t>7230BB</t>
        </is>
      </c>
      <c r="D8" s="46" t="inlineStr">
        <is>
          <t>Best Bath Systems</t>
        </is>
      </c>
      <c r="E8" s="65" t="n">
        <v>30609.11</v>
      </c>
      <c r="F8" s="78" t="n">
        <v>4</v>
      </c>
      <c r="G8" s="67">
        <f>E8/175969.52</f>
        <v/>
      </c>
      <c r="H8" s="46" t="inlineStr">
        <is>
          <t>2032 Job Detail Report.pdf (Sage Timberline, 04/03/2026, 72 pages)</t>
        </is>
      </c>
    </row>
    <row r="9">
      <c r="B9" s="79" t="n">
        <v>4</v>
      </c>
      <c r="C9" s="48" t="inlineStr">
        <is>
          <t>2032CS</t>
        </is>
      </c>
      <c r="D9" s="48" t="inlineStr">
        <is>
          <t>Consolidated Supply Co. $Roosevelt</t>
        </is>
      </c>
      <c r="E9" s="68" t="n">
        <v>25253.28</v>
      </c>
      <c r="F9" s="79" t="n">
        <v>24</v>
      </c>
      <c r="G9" s="70">
        <f>E9/175969.52</f>
        <v/>
      </c>
      <c r="H9" s="48" t="inlineStr">
        <is>
          <t>2032 Job Detail Report.pdf (Sage Timberline, 04/03/2026, 72 pages)</t>
        </is>
      </c>
      <c r="I9" s="52" t="n"/>
      <c r="J9" s="52" t="n"/>
    </row>
    <row r="10">
      <c r="B10" s="78" t="n">
        <v>5</v>
      </c>
      <c r="C10" s="46" t="inlineStr">
        <is>
          <t>1625FE</t>
        </is>
      </c>
      <c r="D10" s="46" t="inlineStr">
        <is>
          <t>Franklin Engineering</t>
        </is>
      </c>
      <c r="E10" s="65" t="n">
        <v>17538.5</v>
      </c>
      <c r="F10" s="78" t="n">
        <v>7</v>
      </c>
      <c r="G10" s="67">
        <f>E10/175969.52</f>
        <v/>
      </c>
      <c r="H10" s="46" t="inlineStr">
        <is>
          <t>2032 Job Detail Report.pdf (Sage Timberline, 04/03/2026, 72 pages)</t>
        </is>
      </c>
    </row>
    <row r="11">
      <c r="B11" s="79" t="n">
        <v>6</v>
      </c>
      <c r="C11" s="48" t="inlineStr">
        <is>
          <t>1234CO</t>
        </is>
      </c>
      <c r="D11" s="48" t="inlineStr">
        <is>
          <t>Capital One Credit Card</t>
        </is>
      </c>
      <c r="E11" s="68" t="n">
        <v>8520.77</v>
      </c>
      <c r="F11" s="79" t="n">
        <v>14</v>
      </c>
      <c r="G11" s="70">
        <f>E11/175969.52</f>
        <v/>
      </c>
      <c r="H11" s="48" t="inlineStr">
        <is>
          <t>2032 Job Detail Report.pdf (Sage Timberline, 04/03/2026, 72 pages)</t>
        </is>
      </c>
      <c r="I11" s="52" t="n"/>
      <c r="J11" s="52" t="n"/>
    </row>
    <row r="12">
      <c r="B12" s="78" t="n">
        <v>7</v>
      </c>
      <c r="C12" s="46" t="inlineStr">
        <is>
          <t>1231KS</t>
        </is>
      </c>
      <c r="D12" s="46" t="inlineStr">
        <is>
          <t>Keller Supply Company</t>
        </is>
      </c>
      <c r="E12" s="65" t="n">
        <v>3427.5</v>
      </c>
      <c r="F12" s="78" t="n">
        <v>5</v>
      </c>
      <c r="G12" s="67">
        <f>E12/175969.52</f>
        <v/>
      </c>
      <c r="H12" s="46" t="inlineStr">
        <is>
          <t>2032 Job Detail Report.pdf (Sage Timberline, 04/03/2026, 72 pages)</t>
        </is>
      </c>
    </row>
    <row r="13">
      <c r="B13" s="79" t="n">
        <v>8</v>
      </c>
      <c r="C13" s="48" t="inlineStr">
        <is>
          <t>5560CH</t>
        </is>
      </c>
      <c r="D13" s="48" t="inlineStr">
        <is>
          <t>California Hydronics Corp</t>
        </is>
      </c>
      <c r="E13" s="68" t="n">
        <v>1460</v>
      </c>
      <c r="F13" s="79" t="n">
        <v>2</v>
      </c>
      <c r="G13" s="70">
        <f>E13/175969.52</f>
        <v/>
      </c>
      <c r="H13" s="48" t="inlineStr">
        <is>
          <t>2032 Job Detail Report.pdf (Sage Timberline, 04/03/2026, 72 pages)</t>
        </is>
      </c>
      <c r="I13" s="52" t="n"/>
      <c r="J13" s="52" t="n"/>
    </row>
    <row r="14">
      <c r="B14" s="78" t="n">
        <v>9</v>
      </c>
      <c r="C14" s="46" t="inlineStr">
        <is>
          <t>3612MS</t>
        </is>
      </c>
      <c r="D14" s="46" t="inlineStr">
        <is>
          <t>Mechanical Sales, Inc.</t>
        </is>
      </c>
      <c r="E14" s="65" t="n">
        <v>1271.04</v>
      </c>
      <c r="F14" s="78" t="n">
        <v>3</v>
      </c>
      <c r="G14" s="67">
        <f>E14/175969.52</f>
        <v/>
      </c>
      <c r="H14" s="46" t="inlineStr">
        <is>
          <t>2032 Job Detail Report.pdf (Sage Timberline, 04/03/2026, 72 pages)</t>
        </is>
      </c>
    </row>
    <row r="15">
      <c r="B15" s="79" t="n">
        <v>10</v>
      </c>
      <c r="C15" s="48" t="inlineStr">
        <is>
          <t>1130CS</t>
        </is>
      </c>
      <c r="D15" s="48" t="inlineStr">
        <is>
          <t>Consolidated Supply Co.</t>
        </is>
      </c>
      <c r="E15" s="68" t="n">
        <v>871.54</v>
      </c>
      <c r="F15" s="79" t="n">
        <v>3</v>
      </c>
      <c r="G15" s="70">
        <f>E15/175969.52</f>
        <v/>
      </c>
      <c r="H15" s="48" t="inlineStr">
        <is>
          <t>2032 Job Detail Report.pdf (Sage Timberline, 04/03/2026, 72 pages)</t>
        </is>
      </c>
      <c r="I15" s="52" t="n"/>
      <c r="J15" s="52" t="n"/>
    </row>
    <row r="16">
      <c r="B16" s="78" t="n">
        <v>11</v>
      </c>
      <c r="C16" s="46" t="inlineStr">
        <is>
          <t>2032FE</t>
        </is>
      </c>
      <c r="D16" s="46" t="inlineStr">
        <is>
          <t>Ferguson Enterprises, Inc. $Roosevelt</t>
        </is>
      </c>
      <c r="E16" s="65" t="n">
        <v>839.22</v>
      </c>
      <c r="F16" s="78" t="n">
        <v>1</v>
      </c>
      <c r="G16" s="67">
        <f>E16/175969.52</f>
        <v/>
      </c>
      <c r="H16" s="46" t="inlineStr">
        <is>
          <t>2032 Job Detail Report.pdf (Sage Timberline, 04/03/2026, 72 pages)</t>
        </is>
      </c>
    </row>
    <row r="17">
      <c r="B17" s="79" t="n">
        <v>12</v>
      </c>
      <c r="C17" s="48" t="inlineStr">
        <is>
          <t>2046RS</t>
        </is>
      </c>
      <c r="D17" s="48" t="inlineStr">
        <is>
          <t>Rosen Supply Company, Inc. $4218 Rooseve</t>
        </is>
      </c>
      <c r="E17" s="68" t="n">
        <v>468.72</v>
      </c>
      <c r="F17" s="79" t="n">
        <v>2</v>
      </c>
      <c r="G17" s="70">
        <f>E17/175969.52</f>
        <v/>
      </c>
      <c r="H17" s="48" t="inlineStr">
        <is>
          <t>2032 Job Detail Report.pdf (Sage Timberline, 04/03/2026, 72 pages)</t>
        </is>
      </c>
      <c r="I17" s="52" t="n"/>
      <c r="J17" s="52" t="n"/>
    </row>
    <row r="18">
      <c r="B18" s="78" t="n">
        <v>13</v>
      </c>
      <c r="C18" s="46" t="inlineStr">
        <is>
          <t>1021AT</t>
        </is>
      </c>
      <c r="D18" s="46" t="inlineStr">
        <is>
          <t>ACME Corp</t>
        </is>
      </c>
      <c r="E18" s="65" t="n">
        <v>268.07</v>
      </c>
      <c r="F18" s="78" t="n">
        <v>2</v>
      </c>
      <c r="G18" s="67">
        <f>E18/175969.52</f>
        <v/>
      </c>
      <c r="H18" s="46" t="inlineStr">
        <is>
          <t>2032 Job Detail Report.pdf (Sage Timberline, 04/03/2026, 72 pages)</t>
        </is>
      </c>
    </row>
    <row r="19">
      <c r="B19" s="79" t="n">
        <v>14</v>
      </c>
      <c r="C19" s="48" t="inlineStr">
        <is>
          <t>1380RS</t>
        </is>
      </c>
      <c r="D19" s="48" t="inlineStr">
        <is>
          <t>Rosen Supply Kirkland</t>
        </is>
      </c>
      <c r="E19" s="68" t="n">
        <v>173.98</v>
      </c>
      <c r="F19" s="79" t="n">
        <v>2</v>
      </c>
      <c r="G19" s="70">
        <f>E19/175969.52</f>
        <v/>
      </c>
      <c r="H19" s="48" t="inlineStr">
        <is>
          <t>2032 Job Detail Report.pdf (Sage Timberline, 04/03/2026, 72 pages)</t>
        </is>
      </c>
      <c r="I19" s="52" t="n"/>
      <c r="J19" s="52" t="n"/>
    </row>
    <row r="20">
      <c r="B20" s="78" t="n">
        <v>15</v>
      </c>
      <c r="C20" s="46" t="inlineStr">
        <is>
          <t>1421RA</t>
        </is>
      </c>
      <c r="D20" s="46" t="inlineStr">
        <is>
          <t>R.A. Brown Backflow Testing</t>
        </is>
      </c>
      <c r="E20" s="65" t="n">
        <v>135</v>
      </c>
      <c r="F20" s="78" t="n">
        <v>1</v>
      </c>
      <c r="G20" s="67">
        <f>E20/175969.52</f>
        <v/>
      </c>
      <c r="H20" s="46" t="inlineStr">
        <is>
          <t>2032 Job Detail Report.pdf (Sage Timberline, 04/03/2026, 72 pages)</t>
        </is>
      </c>
    </row>
    <row r="21">
      <c r="B21" s="79" t="n">
        <v>16</v>
      </c>
      <c r="C21" s="48" t="inlineStr">
        <is>
          <t>1978FC</t>
        </is>
      </c>
      <c r="D21" s="48" t="inlineStr">
        <is>
          <t>Fastenal Company</t>
        </is>
      </c>
      <c r="E21" s="68" t="n">
        <v>39.16</v>
      </c>
      <c r="F21" s="79" t="n">
        <v>1</v>
      </c>
      <c r="G21" s="70">
        <f>E21/175969.52</f>
        <v/>
      </c>
      <c r="H21" s="48" t="inlineStr">
        <is>
          <t>2032 Job Detail Report.pdf (Sage Timberline, 04/03/2026, 72 pages)</t>
        </is>
      </c>
      <c r="I21" s="52" t="n"/>
      <c r="J21" s="52" t="n"/>
    </row>
    <row r="22">
      <c r="B22" s="78" t="n">
        <v>17</v>
      </c>
      <c r="C22" s="46" t="inlineStr">
        <is>
          <t>1234CI</t>
        </is>
      </c>
      <c r="D22" s="46" t="inlineStr">
        <is>
          <t>Citibank Credit Card</t>
        </is>
      </c>
      <c r="E22" s="65" t="n">
        <v>0</v>
      </c>
      <c r="F22" s="78" t="n">
        <v>6</v>
      </c>
      <c r="G22" s="67">
        <f>E22/175969.52</f>
        <v/>
      </c>
      <c r="H22" s="46" t="inlineStr">
        <is>
          <t>2032 Job Detail Report.pdf (Sage Timberline, 04/03/2026, 72 pages)</t>
        </is>
      </c>
    </row>
    <row r="23">
      <c r="B23" s="73" t="inlineStr">
        <is>
          <t>TOTAL</t>
        </is>
      </c>
      <c r="C23" s="52" t="n"/>
      <c r="D23" s="52" t="n"/>
      <c r="E23" s="76">
        <f>SUM(E6:E22)</f>
        <v/>
      </c>
      <c r="F23" s="48">
        <f>SUM(F6:F22)</f>
        <v/>
      </c>
      <c r="G23" s="52" t="n"/>
      <c r="H23" s="52" t="n"/>
      <c r="I23" s="52" t="n"/>
      <c r="J23" s="52" t="n"/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Change Log — Master Register</t>
        </is>
      </c>
    </row>
    <row r="3" ht="22" customHeight="1">
      <c r="B3" s="42" t="inlineStr">
        <is>
          <t>COs, RFIs, ASIs, Submittals, Permits, POs — from project folders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Event ID</t>
        </is>
      </c>
      <c r="C5" s="64" t="inlineStr">
        <is>
          <t>Type</t>
        </is>
      </c>
      <c r="D5" s="64" t="inlineStr">
        <is>
          <t>Date</t>
        </is>
      </c>
      <c r="E5" s="64" t="inlineStr">
        <is>
          <t>Subject</t>
        </is>
      </c>
      <c r="F5" s="64" t="inlineStr">
        <is>
          <t>Originator</t>
        </is>
      </c>
      <c r="G5" s="64" t="inlineStr">
        <is>
          <t>Cost Impact ($)</t>
        </is>
      </c>
      <c r="H5" s="64" t="inlineStr">
        <is>
          <t>Status</t>
        </is>
      </c>
      <c r="I5" s="64" t="inlineStr">
        <is>
          <t>Source</t>
        </is>
      </c>
    </row>
    <row r="6">
      <c r="B6" s="45" t="inlineStr">
        <is>
          <t>CONTRACT-ORIG</t>
        </is>
      </c>
      <c r="C6" s="46" t="inlineStr">
        <is>
          <t>Contract</t>
        </is>
      </c>
      <c r="D6" s="46" t="inlineStr">
        <is>
          <t>2016 (subcontract executed)</t>
        </is>
      </c>
      <c r="E6" s="46" t="inlineStr">
        <is>
          <t>Prime subcontract — Lump Sum $685,300.00</t>
        </is>
      </c>
      <c r="F6" s="46" t="inlineStr">
        <is>
          <t>Blueprint Capital Services, LLC</t>
        </is>
      </c>
      <c r="G6" s="65" t="n">
        <v>685300</v>
      </c>
      <c r="H6" s="46" t="inlineStr">
        <is>
          <t>Executed</t>
        </is>
      </c>
      <c r="I6" s="46" t="inlineStr">
        <is>
          <t>Blueprint Capital Services Luna Apts-Roosevelt Subcontract</t>
        </is>
      </c>
    </row>
    <row r="7">
      <c r="B7" s="47" t="inlineStr">
        <is>
          <t>CO#01</t>
        </is>
      </c>
      <c r="C7" s="48" t="inlineStr">
        <is>
          <t>Change Order</t>
        </is>
      </c>
      <c r="D7" s="48" t="inlineStr">
        <is>
          <t>11/14/2016</t>
        </is>
      </c>
      <c r="E7" s="48" t="inlineStr">
        <is>
          <t>Fiberfab Shower Pans w/ Removable Thresholds</t>
        </is>
      </c>
      <c r="F7" s="48" t="inlineStr">
        <is>
          <t>Blueprint Capital Services, LLC</t>
        </is>
      </c>
      <c r="G7" s="68" t="n">
        <v>5682</v>
      </c>
      <c r="H7" s="48" t="inlineStr">
        <is>
          <t>Executed</t>
        </is>
      </c>
      <c r="I7" s="48" t="inlineStr">
        <is>
          <t>CO's/6909 6505 CO#1.pdf + Budget Transfer</t>
        </is>
      </c>
      <c r="J7" s="52" t="n"/>
    </row>
    <row r="8">
      <c r="B8" s="45" t="inlineStr">
        <is>
          <t>CO#02</t>
        </is>
      </c>
      <c r="C8" s="46" t="inlineStr">
        <is>
          <t>Change Order</t>
        </is>
      </c>
      <c r="D8" s="46" t="inlineStr">
        <is>
          <t>11/30/2016</t>
        </is>
      </c>
      <c r="E8" s="46" t="inlineStr">
        <is>
          <t>Amenity Room Bar Sink</t>
        </is>
      </c>
      <c r="F8" s="46" t="inlineStr">
        <is>
          <t>Blueprint Capital Services, LLC</t>
        </is>
      </c>
      <c r="G8" s="65" t="n">
        <v>1109</v>
      </c>
      <c r="H8" s="46" t="inlineStr">
        <is>
          <t>Executed</t>
        </is>
      </c>
      <c r="I8" s="46" t="inlineStr">
        <is>
          <t>CO's/6909 6505 CO#2.pdf + Budget Transfer</t>
        </is>
      </c>
    </row>
    <row r="9">
      <c r="B9" s="47" t="inlineStr">
        <is>
          <t>CO#03</t>
        </is>
      </c>
      <c r="C9" s="48" t="inlineStr">
        <is>
          <t>Change Order</t>
        </is>
      </c>
      <c r="D9" s="48" t="inlineStr">
        <is>
          <t>01/18/2017</t>
        </is>
      </c>
      <c r="E9" s="48" t="inlineStr">
        <is>
          <t>Roof Drain Changes</t>
        </is>
      </c>
      <c r="F9" s="48" t="inlineStr">
        <is>
          <t>Blueprint Capital Services, LLC</t>
        </is>
      </c>
      <c r="G9" s="68" t="n">
        <v>4809</v>
      </c>
      <c r="H9" s="48" t="inlineStr">
        <is>
          <t>Executed</t>
        </is>
      </c>
      <c r="I9" s="48" t="inlineStr">
        <is>
          <t>CO's/6909 6505 CO#3.pdf + Budget Transfer</t>
        </is>
      </c>
      <c r="J9" s="52" t="n"/>
    </row>
    <row r="10">
      <c r="B10" s="45" t="inlineStr">
        <is>
          <t>CO#04</t>
        </is>
      </c>
      <c r="C10" s="46" t="inlineStr">
        <is>
          <t>Change Order</t>
        </is>
      </c>
      <c r="D10" s="46" t="inlineStr">
        <is>
          <t>01/31/2017</t>
        </is>
      </c>
      <c r="E10" s="46" t="inlineStr">
        <is>
          <t>Added Water Heater &amp; Booster Pump Provisions</t>
        </is>
      </c>
      <c r="F10" s="46" t="inlineStr">
        <is>
          <t>Blueprint Capital Services, LLC</t>
        </is>
      </c>
      <c r="G10" s="65" t="n">
        <v>9110</v>
      </c>
      <c r="H10" s="46" t="inlineStr">
        <is>
          <t>Executed</t>
        </is>
      </c>
      <c r="I10" s="46" t="inlineStr">
        <is>
          <t>CO's/6909 6505 CO#4.pdf + Budget Transfer</t>
        </is>
      </c>
    </row>
    <row r="11">
      <c r="B11" s="47" t="inlineStr">
        <is>
          <t>CO#05</t>
        </is>
      </c>
      <c r="C11" s="48" t="inlineStr">
        <is>
          <t>Change Order</t>
        </is>
      </c>
      <c r="D11" s="48" t="inlineStr">
        <is>
          <t>03/27/2017</t>
        </is>
      </c>
      <c r="E11" s="48" t="inlineStr">
        <is>
          <t>Foundation Drain Mat Connections &amp; Sump Pump</t>
        </is>
      </c>
      <c r="F11" s="48" t="inlineStr">
        <is>
          <t>Blueprint Capital Services, LLC</t>
        </is>
      </c>
      <c r="G11" s="68" t="n">
        <v>9229</v>
      </c>
      <c r="H11" s="48" t="inlineStr">
        <is>
          <t>Executed</t>
        </is>
      </c>
      <c r="I11" s="48" t="inlineStr">
        <is>
          <t>CO's/6921 - OWP CO #5.pdf + Budget Transfer</t>
        </is>
      </c>
      <c r="J11" s="52" t="n"/>
    </row>
    <row r="12">
      <c r="B12" s="45" t="inlineStr">
        <is>
          <t>CO#06</t>
        </is>
      </c>
      <c r="C12" s="46" t="inlineStr">
        <is>
          <t>Change Order</t>
        </is>
      </c>
      <c r="D12" s="46" t="inlineStr">
        <is>
          <t>04/21/2017</t>
        </is>
      </c>
      <c r="E12" s="46" t="inlineStr">
        <is>
          <t>Best Bath Showers</t>
        </is>
      </c>
      <c r="F12" s="46" t="inlineStr">
        <is>
          <t>Blueprint Capital Services, LLC</t>
        </is>
      </c>
      <c r="G12" s="65" t="n">
        <v>11164</v>
      </c>
      <c r="H12" s="46" t="inlineStr">
        <is>
          <t>Executed</t>
        </is>
      </c>
      <c r="I12" s="46" t="inlineStr">
        <is>
          <t>CO's/6921 - OWP CO #6.pdf + Budget Transfer</t>
        </is>
      </c>
    </row>
    <row r="13">
      <c r="B13" s="47" t="inlineStr">
        <is>
          <t>CO#07</t>
        </is>
      </c>
      <c r="C13" s="48" t="inlineStr">
        <is>
          <t>Change Order</t>
        </is>
      </c>
      <c r="D13" s="48" t="inlineStr">
        <is>
          <t>07/18/2018</t>
        </is>
      </c>
      <c r="E13" s="48" t="inlineStr">
        <is>
          <t>Gas Meter Install</t>
        </is>
      </c>
      <c r="F13" s="48" t="inlineStr">
        <is>
          <t>Blueprint Capital Services, LLC</t>
        </is>
      </c>
      <c r="G13" s="68" t="n">
        <v>500</v>
      </c>
      <c r="H13" s="48" t="inlineStr">
        <is>
          <t>Executed</t>
        </is>
      </c>
      <c r="I13" s="48" t="inlineStr">
        <is>
          <t>CO's/6921 - OWP CO #7.pdf + Budget Transfer</t>
        </is>
      </c>
      <c r="J13" s="52" t="n"/>
    </row>
    <row r="14">
      <c r="B14" s="45" t="inlineStr">
        <is>
          <t>CO-GAP</t>
        </is>
      </c>
      <c r="C14" s="46" t="inlineStr">
        <is>
          <t>CO reconciliation</t>
        </is>
      </c>
      <c r="D14" s="46" t="inlineStr">
        <is>
          <t>—</t>
        </is>
      </c>
      <c r="E14" s="46" t="inlineStr">
        <is>
          <t>Documented COs sum to $41,603 vs JDR-implied $41,103 (diff $500 — CO#7 gas meter)</t>
        </is>
      </c>
      <c r="F14" s="46" t="inlineStr">
        <is>
          <t>—</t>
        </is>
      </c>
      <c r="G14" s="65" t="n">
        <v>500</v>
      </c>
      <c r="H14" s="46" t="inlineStr">
        <is>
          <t>Within tolerance</t>
        </is>
      </c>
      <c r="I14" s="46" t="inlineStr">
        <is>
          <t>2032 Job Detail Report.pdf (Sage Timberline, 04/03/2026, 72 pages)</t>
        </is>
      </c>
    </row>
    <row r="15">
      <c r="B15" s="47" t="inlineStr">
        <is>
          <t>COR-PENDING</t>
        </is>
      </c>
      <c r="C15" s="48" t="inlineStr">
        <is>
          <t>COR (not executed)</t>
        </is>
      </c>
      <c r="D15" s="48" t="inlineStr">
        <is>
          <t>04/20/2017</t>
        </is>
      </c>
      <c r="E15" s="48" t="inlineStr">
        <is>
          <t>Kitchen sink deduct — -$4,730 (PROCEEDING per tracker but no executed CO)</t>
        </is>
      </c>
      <c r="F15" s="48" t="inlineStr">
        <is>
          <t>Sub (OWP)</t>
        </is>
      </c>
      <c r="G15" s="68" t="n">
        <v>-4730</v>
      </c>
      <c r="H15" s="48" t="inlineStr">
        <is>
          <t>Pending</t>
        </is>
      </c>
      <c r="I15" s="48" t="inlineStr">
        <is>
          <t>COR's/Outstanding COR tracker</t>
        </is>
      </c>
      <c r="J15" s="52" t="n"/>
    </row>
    <row r="16">
      <c r="B16" s="45" t="inlineStr">
        <is>
          <t>COR-AMENITY1</t>
        </is>
      </c>
      <c r="C16" s="46" t="inlineStr">
        <is>
          <t>COR (not executed)</t>
        </is>
      </c>
      <c r="D16" s="46" t="inlineStr">
        <is>
          <t>06/01/2017</t>
        </is>
      </c>
      <c r="E16" s="46" t="inlineStr">
        <is>
          <t>Amenity lav faucet cost — $441 (PROCEEDING)</t>
        </is>
      </c>
      <c r="F16" s="46" t="inlineStr">
        <is>
          <t>Sub (OWP)</t>
        </is>
      </c>
      <c r="G16" s="65" t="n">
        <v>441</v>
      </c>
      <c r="H16" s="46" t="inlineStr">
        <is>
          <t>Pending</t>
        </is>
      </c>
      <c r="I16" s="46" t="inlineStr">
        <is>
          <t>COR's/Outstanding COR tracker</t>
        </is>
      </c>
    </row>
    <row r="17">
      <c r="B17" s="47" t="inlineStr">
        <is>
          <t>COR-AMENITY2</t>
        </is>
      </c>
      <c r="C17" s="48" t="inlineStr">
        <is>
          <t>COR (not executed)</t>
        </is>
      </c>
      <c r="D17" s="48" t="inlineStr">
        <is>
          <t>06/01/2017</t>
        </is>
      </c>
      <c r="E17" s="48" t="inlineStr">
        <is>
          <t>Amenity kitchen faucet cost — $118 (PROCEEDING)</t>
        </is>
      </c>
      <c r="F17" s="48" t="inlineStr">
        <is>
          <t>Sub (OWP)</t>
        </is>
      </c>
      <c r="G17" s="68" t="n">
        <v>118</v>
      </c>
      <c r="H17" s="48" t="inlineStr">
        <is>
          <t>Pending</t>
        </is>
      </c>
      <c r="I17" s="48" t="inlineStr">
        <is>
          <t>COR's/Outstanding COR tracker</t>
        </is>
      </c>
      <c r="J17" s="52" t="n"/>
    </row>
    <row r="18">
      <c r="B18" s="45" t="inlineStr">
        <is>
          <t>SUB-FIXTURE</t>
        </is>
      </c>
      <c r="C18" s="46" t="inlineStr">
        <is>
          <t>Submittal batch</t>
        </is>
      </c>
      <c r="D18" s="46" t="inlineStr">
        <is>
          <t>2016-2017</t>
        </is>
      </c>
      <c r="E18" s="46" t="inlineStr">
        <is>
          <t>20 fixture submittals (WC, lav, tub/shower, sinks, hose bibbs, drains, etc.)</t>
        </is>
      </c>
      <c r="F18" s="46" t="inlineStr">
        <is>
          <t>Sub (OWP)</t>
        </is>
      </c>
      <c r="G18" s="65" t="n">
        <v>0</v>
      </c>
      <c r="H18" s="46" t="inlineStr">
        <is>
          <t>Approved</t>
        </is>
      </c>
      <c r="I18" s="46" t="inlineStr">
        <is>
          <t>Submittals/FIXTURES/</t>
        </is>
      </c>
    </row>
    <row r="19">
      <c r="B19" s="47" t="inlineStr">
        <is>
          <t>SUB-MATERIAL</t>
        </is>
      </c>
      <c r="C19" s="48" t="inlineStr">
        <is>
          <t>Submittal batch</t>
        </is>
      </c>
      <c r="D19" s="48" t="inlineStr">
        <is>
          <t>2016-2017</t>
        </is>
      </c>
      <c r="E19" s="48" t="inlineStr">
        <is>
          <t>19 UG &amp; roughin material submittals (PVC, copper, PEX, cast iron, gas, insulation, etc.)</t>
        </is>
      </c>
      <c r="F19" s="48" t="inlineStr">
        <is>
          <t>Sub (OWP)</t>
        </is>
      </c>
      <c r="G19" s="68" t="n">
        <v>0</v>
      </c>
      <c r="H19" s="48" t="inlineStr">
        <is>
          <t>Approved</t>
        </is>
      </c>
      <c r="I19" s="48" t="inlineStr">
        <is>
          <t>Submittals/UNDERGROUND &amp; ROUGHIN/</t>
        </is>
      </c>
      <c r="J19" s="52" t="n"/>
    </row>
    <row r="20">
      <c r="B20" s="45" t="inlineStr">
        <is>
          <t>SUB-SHOWER</t>
        </is>
      </c>
      <c r="C20" s="46" t="inlineStr">
        <is>
          <t>Submittal batch</t>
        </is>
      </c>
      <c r="D20" s="46" t="inlineStr">
        <is>
          <t>2016-2017</t>
        </is>
      </c>
      <c r="E20" s="46" t="inlineStr">
        <is>
          <t>7 shower option submittals (Best Bath, Aquatic, Fiberfab)</t>
        </is>
      </c>
      <c r="F20" s="46" t="inlineStr">
        <is>
          <t>Sub (OWP)</t>
        </is>
      </c>
      <c r="G20" s="65" t="n">
        <v>0</v>
      </c>
      <c r="H20" s="46" t="inlineStr">
        <is>
          <t>Approved</t>
        </is>
      </c>
      <c r="I20" s="46" t="inlineStr">
        <is>
          <t>Submittals/SHOWER OPTIONS/</t>
        </is>
      </c>
    </row>
    <row r="21">
      <c r="B21" s="47" t="inlineStr">
        <is>
          <t>SUB-EQUIP</t>
        </is>
      </c>
      <c r="C21" s="48" t="inlineStr">
        <is>
          <t>Submittal batch</t>
        </is>
      </c>
      <c r="D21" s="48" t="inlineStr">
        <is>
          <t>2016-2017</t>
        </is>
      </c>
      <c r="E21" s="48" t="inlineStr">
        <is>
          <t>2 equipment submittals (water heaters, circ pumps)</t>
        </is>
      </c>
      <c r="F21" s="48" t="inlineStr">
        <is>
          <t>Sub (OWP)</t>
        </is>
      </c>
      <c r="G21" s="68" t="n">
        <v>0</v>
      </c>
      <c r="H21" s="48" t="inlineStr">
        <is>
          <t>Approved</t>
        </is>
      </c>
      <c r="I21" s="48" t="inlineStr">
        <is>
          <t>Submittals/EQUIPMENT/</t>
        </is>
      </c>
      <c r="J21" s="52" t="n"/>
    </row>
    <row r="22">
      <c r="B22" s="45" t="inlineStr">
        <is>
          <t>SUB-COMMON</t>
        </is>
      </c>
      <c r="C22" s="46" t="inlineStr">
        <is>
          <t>Submittal batch</t>
        </is>
      </c>
      <c r="D22" s="46" t="inlineStr">
        <is>
          <t>2016-2017</t>
        </is>
      </c>
      <c r="E22" s="46" t="inlineStr">
        <is>
          <t>2 common area fixture alternate submittals (Toto)</t>
        </is>
      </c>
      <c r="F22" s="46" t="inlineStr">
        <is>
          <t>Sub (OWP)</t>
        </is>
      </c>
      <c r="G22" s="65" t="n">
        <v>0</v>
      </c>
      <c r="H22" s="46" t="inlineStr">
        <is>
          <t>Approved</t>
        </is>
      </c>
      <c r="I22" s="46" t="inlineStr">
        <is>
          <t>Submittals/COMMON AREA FIXTURE ALTERNATES/</t>
        </is>
      </c>
    </row>
    <row r="23">
      <c r="B23" s="47" t="inlineStr">
        <is>
          <t>PERMIT-PLUMBING</t>
        </is>
      </c>
      <c r="C23" s="48" t="inlineStr">
        <is>
          <t>Permit</t>
        </is>
      </c>
      <c r="D23" s="48" t="inlineStr">
        <is>
          <t>03/08/2017</t>
        </is>
      </c>
      <c r="E23" s="48" t="inlineStr">
        <is>
          <t>Plumbing permit (Roosevelt)</t>
        </is>
      </c>
      <c r="F23" s="48" t="inlineStr">
        <is>
          <t>Jurisdiction (Seattle)</t>
        </is>
      </c>
      <c r="G23" s="68" t="n">
        <v>0</v>
      </c>
      <c r="H23" s="48" t="inlineStr">
        <is>
          <t>Issued</t>
        </is>
      </c>
      <c r="I23" s="48" t="inlineStr">
        <is>
          <t>Permits/</t>
        </is>
      </c>
      <c r="J23" s="52" t="n"/>
    </row>
    <row r="24">
      <c r="B24" s="45" t="inlineStr">
        <is>
          <t>PERMIT-BACKFLOW</t>
        </is>
      </c>
      <c r="C24" s="46" t="inlineStr">
        <is>
          <t>Permit</t>
        </is>
      </c>
      <c r="D24" s="46" t="inlineStr">
        <is>
          <t>03/08/2017</t>
        </is>
      </c>
      <c r="E24" s="46" t="inlineStr">
        <is>
          <t>Backflow permit (Roosevelt)</t>
        </is>
      </c>
      <c r="F24" s="46" t="inlineStr">
        <is>
          <t>Jurisdiction (Seattle)</t>
        </is>
      </c>
      <c r="G24" s="65" t="n">
        <v>0</v>
      </c>
      <c r="H24" s="46" t="inlineStr">
        <is>
          <t>Issued</t>
        </is>
      </c>
      <c r="I24" s="46" t="inlineStr">
        <is>
          <t>Permits/</t>
        </is>
      </c>
    </row>
    <row r="25">
      <c r="B25" s="47" t="inlineStr">
        <is>
          <t>PERMIT-GAS</t>
        </is>
      </c>
      <c r="C25" s="48" t="inlineStr">
        <is>
          <t>Permit</t>
        </is>
      </c>
      <c r="D25" s="48" t="inlineStr">
        <is>
          <t>03/08/2017</t>
        </is>
      </c>
      <c r="E25" s="48" t="inlineStr">
        <is>
          <t>Gas permit (Roosevelt)</t>
        </is>
      </c>
      <c r="F25" s="48" t="inlineStr">
        <is>
          <t>Jurisdiction (Seattle)</t>
        </is>
      </c>
      <c r="G25" s="68" t="n">
        <v>0</v>
      </c>
      <c r="H25" s="48" t="inlineStr">
        <is>
          <t>Issued</t>
        </is>
      </c>
      <c r="I25" s="48" t="inlineStr">
        <is>
          <t>Permits/</t>
        </is>
      </c>
      <c r="J25" s="52" t="n"/>
    </row>
    <row r="26">
      <c r="B26" s="45" t="inlineStr">
        <is>
          <t>PO-COMPLETED</t>
        </is>
      </c>
      <c r="C26" s="46" t="inlineStr">
        <is>
          <t>PO batch</t>
        </is>
      </c>
      <c r="D26" s="46" t="inlineStr">
        <is>
          <t>2017-2018</t>
        </is>
      </c>
      <c r="E26" s="46" t="inlineStr">
        <is>
          <t>91 completed POs (Keller, Rosen, Consolidated, Best Bath, etc.)</t>
        </is>
      </c>
      <c r="F26" s="46" t="inlineStr">
        <is>
          <t>Sub (OWP)</t>
        </is>
      </c>
      <c r="G26" s="65" t="n">
        <v>0</v>
      </c>
      <c r="H26" s="46" t="inlineStr">
        <is>
          <t>Complete</t>
        </is>
      </c>
      <c r="I26" s="46" t="inlineStr">
        <is>
          <t>PO's/3 Completed/</t>
        </is>
      </c>
    </row>
    <row r="27">
      <c r="B27" s="47" t="inlineStr">
        <is>
          <t>PO-SCHEDULED</t>
        </is>
      </c>
      <c r="C27" s="48" t="inlineStr">
        <is>
          <t>PO batch</t>
        </is>
      </c>
      <c r="D27" s="48" t="inlineStr">
        <is>
          <t>2017-2018</t>
        </is>
      </c>
      <c r="E27" s="48" t="inlineStr">
        <is>
          <t>27 scheduled POs (trim, sump pumps, mixing valves, tubs, etc.)</t>
        </is>
      </c>
      <c r="F27" s="48" t="inlineStr">
        <is>
          <t>Sub (OWP)</t>
        </is>
      </c>
      <c r="G27" s="68" t="n">
        <v>0</v>
      </c>
      <c r="H27" s="48" t="inlineStr">
        <is>
          <t>Scheduled</t>
        </is>
      </c>
      <c r="I27" s="48" t="inlineStr">
        <is>
          <t>PO's/2 Scheduled/</t>
        </is>
      </c>
      <c r="J27" s="52" t="n"/>
    </row>
    <row r="28">
      <c r="B28" s="45" t="inlineStr">
        <is>
          <t>FIRST-INVOICE</t>
        </is>
      </c>
      <c r="C28" s="46" t="inlineStr">
        <is>
          <t>Invoice</t>
        </is>
      </c>
      <c r="D28" s="46" t="inlineStr">
        <is>
          <t>01/27/2017</t>
        </is>
      </c>
      <c r="E28" s="46" t="inlineStr">
        <is>
          <t>First billing #036825 ($33,950)</t>
        </is>
      </c>
      <c r="F28" s="46" t="inlineStr">
        <is>
          <t>Sub (OWP)</t>
        </is>
      </c>
      <c r="G28" s="65" t="n">
        <v>33950</v>
      </c>
      <c r="H28" s="46" t="inlineStr">
        <is>
          <t>Paid</t>
        </is>
      </c>
      <c r="I28" s="46" t="inlineStr">
        <is>
          <t>2032 Job Detail Report.pdf (Sage Timberline, 04/03/2026, 72 pages)</t>
        </is>
      </c>
    </row>
    <row r="29">
      <c r="B29" s="47" t="inlineStr">
        <is>
          <t>LAST-INVOICE</t>
        </is>
      </c>
      <c r="C29" s="48" t="inlineStr">
        <is>
          <t>Invoice</t>
        </is>
      </c>
      <c r="D29" s="48" t="inlineStr">
        <is>
          <t>05/18/2018</t>
        </is>
      </c>
      <c r="E29" s="48" t="inlineStr">
        <is>
          <t>Last billing #037100 (closeout)</t>
        </is>
      </c>
      <c r="F29" s="48" t="inlineStr">
        <is>
          <t>Sub (OWP)</t>
        </is>
      </c>
      <c r="G29" s="68" t="n">
        <v>0</v>
      </c>
      <c r="H29" s="48" t="inlineStr">
        <is>
          <t>Paid</t>
        </is>
      </c>
      <c r="I29" s="48" t="inlineStr">
        <is>
          <t>2032 Job Detail Report.pdf (Sage Timberline, 04/03/2026, 72 pages)</t>
        </is>
      </c>
      <c r="J29" s="52" t="n"/>
    </row>
    <row r="30">
      <c r="B30" s="45" t="inlineStr">
        <is>
          <t>PAYAPP-COUNT</t>
        </is>
      </c>
      <c r="C30" s="46" t="inlineStr">
        <is>
          <t>Billing</t>
        </is>
      </c>
      <c r="D30" s="46" t="inlineStr">
        <is>
          <t>01/2017 - 07/2018</t>
        </is>
      </c>
      <c r="E30" s="46" t="inlineStr">
        <is>
          <t>12 pay applications (6921 Exhibit G series)</t>
        </is>
      </c>
      <c r="F30" s="46" t="inlineStr">
        <is>
          <t>Sub (OWP)</t>
        </is>
      </c>
      <c r="G30" s="65" t="n">
        <v>0</v>
      </c>
      <c r="H30" s="46" t="inlineStr">
        <is>
          <t>Complete</t>
        </is>
      </c>
      <c r="I30" s="46" t="inlineStr">
        <is>
          <t>Billing/</t>
        </is>
      </c>
    </row>
    <row r="31">
      <c r="B31" s="47" t="inlineStr">
        <is>
          <t>RETAINAGE-OPEN</t>
        </is>
      </c>
      <c r="C31" s="48" t="inlineStr">
        <is>
          <t>Retainage</t>
        </is>
      </c>
      <c r="D31" s="48" t="inlineStr">
        <is>
          <t>As of 04/03/2026</t>
        </is>
      </c>
      <c r="E31" s="48" t="inlineStr">
        <is>
          <t>Retainage $36,320.15 outstanding 8+ years post-closeout</t>
        </is>
      </c>
      <c r="F31" s="48" t="inlineStr">
        <is>
          <t>GC</t>
        </is>
      </c>
      <c r="G31" s="68" t="n">
        <v>0</v>
      </c>
      <c r="H31" s="48" t="inlineStr">
        <is>
          <t>Outstanding</t>
        </is>
      </c>
      <c r="I31" s="48" t="inlineStr">
        <is>
          <t>2032 Job Detail Report.pdf (Sage Timberline, 04/03/2026, 72 pages)</t>
        </is>
      </c>
      <c r="J31" s="52" t="n"/>
    </row>
    <row r="32">
      <c r="B32" s="45" t="inlineStr">
        <is>
          <t>O&amp;M-PACKAGE</t>
        </is>
      </c>
      <c r="C32" s="46" t="inlineStr">
        <is>
          <t>Closeout</t>
        </is>
      </c>
      <c r="D32" s="46" t="inlineStr">
        <is>
          <t>2018</t>
        </is>
      </c>
      <c r="E32" s="46" t="inlineStr">
        <is>
          <t>O&amp;M package delivered: as-builts, backflow certs, warranty letter, startup report, fixture O&amp;Ms</t>
        </is>
      </c>
      <c r="F32" s="46" t="inlineStr">
        <is>
          <t>Sub (OWP)</t>
        </is>
      </c>
      <c r="G32" s="65" t="n">
        <v>0</v>
      </c>
      <c r="H32" s="46" t="inlineStr">
        <is>
          <t>Delivered</t>
        </is>
      </c>
      <c r="I32" s="46" t="inlineStr">
        <is>
          <t>O&amp;M's/</t>
        </is>
      </c>
    </row>
    <row r="33">
      <c r="B33" s="47" t="inlineStr">
        <is>
          <t>DAILY-REPORTS</t>
        </is>
      </c>
      <c r="C33" s="48" t="inlineStr">
        <is>
          <t>Field docs</t>
        </is>
      </c>
      <c r="D33" s="48" t="inlineStr">
        <is>
          <t>2017</t>
        </is>
      </c>
      <c r="E33" s="48" t="inlineStr">
        <is>
          <t>180 daily field reports from tablet sync</t>
        </is>
      </c>
      <c r="F33" s="48" t="inlineStr">
        <is>
          <t>Sub (OWP)</t>
        </is>
      </c>
      <c r="G33" s="68" t="n">
        <v>0</v>
      </c>
      <c r="H33" s="48" t="inlineStr">
        <is>
          <t>Archived</t>
        </is>
      </c>
      <c r="I33" s="48" t="inlineStr">
        <is>
          <t>FILES FROM DROPBOX/Daily Reports/</t>
        </is>
      </c>
      <c r="J33" s="52" t="n"/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Root Cause Analysis</t>
        </is>
      </c>
    </row>
    <row r="3" ht="22" customHeight="1">
      <c r="B3" s="42" t="inlineStr">
        <is>
          <t>Primary variance driver: 7 COs adding $41,103 to original contract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44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7" t="inlineStr">
        <is>
          <t>Additive Contract COs</t>
        </is>
      </c>
      <c r="C7" s="48" t="inlineStr">
        <is>
          <t>999 (AR/Revenue code)</t>
        </is>
      </c>
      <c r="D7" s="68" t="n">
        <v>41103</v>
      </c>
      <c r="E7" s="48" t="inlineStr">
        <is>
          <t>7 executed COs (budget transfers + scope additions)</t>
        </is>
      </c>
      <c r="F7" s="48" t="inlineStr">
        <is>
          <t>Original $685,300 → Final $726,403 = +$41,103 (6.0% of original)</t>
        </is>
      </c>
      <c r="G7" s="52" t="n"/>
      <c r="H7" s="52" t="n"/>
      <c r="I7" s="52" t="n"/>
      <c r="J7" s="52" t="n"/>
    </row>
    <row r="8">
      <c r="B8" s="45" t="inlineStr">
        <is>
          <t>Labor efficiency</t>
        </is>
      </c>
      <c r="C8" s="46" t="inlineStr">
        <is>
          <t>100-142</t>
        </is>
      </c>
      <c r="D8" s="65" t="n">
        <v>-47157.75</v>
      </c>
      <c r="E8" s="46" t="inlineStr">
        <is>
          <t>Labor-light execution</t>
        </is>
      </c>
      <c r="F8" s="46" t="inlineStr">
        <is>
          <t>26 workers; favorable productivity metrics</t>
        </is>
      </c>
    </row>
    <row r="9">
      <c r="B9" s="47" t="inlineStr">
        <is>
          <t>Material procurement</t>
        </is>
      </c>
      <c r="C9" s="48" t="inlineStr">
        <is>
          <t>220/230/240/241/242</t>
        </is>
      </c>
      <c r="D9" s="68" t="n">
        <v>-58229.97</v>
      </c>
      <c r="E9" s="48" t="inlineStr">
        <is>
          <t>Favorable vendor pricing</t>
        </is>
      </c>
      <c r="F9" s="48" t="inlineStr">
        <is>
          <t>Strong material margin contribution</t>
        </is>
      </c>
      <c r="G9" s="52" t="n"/>
      <c r="H9" s="52" t="n"/>
      <c r="I9" s="52" t="n"/>
      <c r="J9" s="52" t="n"/>
    </row>
    <row r="10">
      <c r="B10" s="45" t="inlineStr">
        <is>
          <t>Burden / Tax accrual</t>
        </is>
      </c>
      <c r="C10" s="46" t="inlineStr">
        <is>
          <t>995, 998</t>
        </is>
      </c>
      <c r="D10" s="65" t="n">
        <v>-24460.94</v>
      </c>
      <c r="E10" s="46" t="inlineStr">
        <is>
          <t>Rate volatility</t>
        </is>
      </c>
      <c r="F10" s="46" t="inlineStr">
        <is>
          <t>OWP internal</t>
        </is>
      </c>
    </row>
    <row r="11">
      <c r="B11" s="47" t="inlineStr">
        <is>
          <t>Support codes</t>
        </is>
      </c>
      <c r="C11" s="48" t="inlineStr">
        <is>
          <t>600,601,602,603,607</t>
        </is>
      </c>
      <c r="D11" s="68" t="n">
        <v>-8054.14</v>
      </c>
      <c r="E11" s="48" t="inlineStr">
        <is>
          <t>Overhead efficiency</t>
        </is>
      </c>
      <c r="F11" s="48" t="inlineStr">
        <is>
          <t>3.1% of revenue (lean management)</t>
        </is>
      </c>
      <c r="G11" s="52" t="n"/>
      <c r="H11" s="52" t="n"/>
      <c r="I11" s="52" t="n"/>
      <c r="J11" s="52" t="n"/>
    </row>
    <row r="12">
      <c r="B12" s="45" t="inlineStr">
        <is>
          <t>TOTAL NET VARIANCE (Rev Budget vs Actual)</t>
        </is>
      </c>
      <c r="D12" s="66">
        <f>SUM(D7:D11)</f>
        <v/>
      </c>
    </row>
    <row r="13">
      <c r="B13" s="52" t="n"/>
      <c r="C13" s="52" t="n"/>
      <c r="D13" s="52" t="n"/>
      <c r="E13" s="52" t="n"/>
      <c r="F13" s="52" t="n"/>
      <c r="G13" s="52" t="n"/>
      <c r="H13" s="52" t="n"/>
      <c r="I13" s="52" t="n"/>
      <c r="J13" s="52" t="n"/>
    </row>
    <row r="14"/>
    <row r="15">
      <c r="B15" s="44" t="inlineStr">
        <is>
          <t>RESPONSIBILITY ATTRIBUTION</t>
        </is>
      </c>
      <c r="C15" s="52" t="n"/>
      <c r="D15" s="52" t="n"/>
      <c r="E15" s="52" t="n"/>
      <c r="F15" s="52" t="n"/>
      <c r="G15" s="52" t="n"/>
      <c r="H15" s="52" t="n"/>
      <c r="I15" s="52" t="n"/>
      <c r="J15" s="52" t="n"/>
    </row>
    <row r="16">
      <c r="B16" s="83" t="inlineStr">
        <is>
          <t>Responsible Party</t>
        </is>
      </c>
      <c r="C16" s="84" t="inlineStr">
        <is>
          <t># Drivers</t>
        </is>
      </c>
      <c r="D16" s="84" t="inlineStr">
        <is>
          <t>Net $ Impact</t>
        </is>
      </c>
      <c r="E16" s="84" t="inlineStr">
        <is>
          <t>Notes</t>
        </is>
      </c>
    </row>
    <row r="17">
      <c r="B17" s="47" t="inlineStr">
        <is>
          <t>GC / Developer (additive COs)</t>
        </is>
      </c>
      <c r="C17" s="79" t="n">
        <v>7</v>
      </c>
      <c r="D17" s="68" t="n">
        <v>41103</v>
      </c>
      <c r="E17" s="48" t="inlineStr">
        <is>
          <t>7 executed COs netting +$41,103</t>
        </is>
      </c>
      <c r="F17" s="52" t="n"/>
      <c r="G17" s="52" t="n"/>
      <c r="H17" s="52" t="n"/>
      <c r="I17" s="52" t="n"/>
      <c r="J17" s="52" t="n"/>
    </row>
    <row r="18">
      <c r="B18" s="45" t="inlineStr">
        <is>
          <t>Sub (OWP) — labor efficiency</t>
        </is>
      </c>
      <c r="C18" s="78" t="n">
        <v>6</v>
      </c>
      <c r="D18" s="65" t="n">
        <v>-47157.75</v>
      </c>
      <c r="E18" s="46" t="inlineStr">
        <is>
          <t>Labor cost performance vs revised budget</t>
        </is>
      </c>
    </row>
    <row r="19">
      <c r="B19" s="47" t="inlineStr">
        <is>
          <t>Sub (OWP) — procurement savings</t>
        </is>
      </c>
      <c r="C19" s="79" t="n">
        <v>5</v>
      </c>
      <c r="D19" s="68" t="n">
        <v>-58229.97</v>
      </c>
      <c r="E19" s="48" t="inlineStr">
        <is>
          <t>Favorable vendor pricing &amp; negotiations</t>
        </is>
      </c>
      <c r="F19" s="52" t="n"/>
      <c r="G19" s="52" t="n"/>
      <c r="H19" s="52" t="n"/>
      <c r="I19" s="52" t="n"/>
      <c r="J19" s="52" t="n"/>
    </row>
    <row r="20">
      <c r="B20" s="45" t="inlineStr">
        <is>
          <t>Burden rate — OWP internal</t>
        </is>
      </c>
      <c r="C20" s="78" t="n">
        <v>2</v>
      </c>
      <c r="D20" s="65" t="n">
        <v>-24460.94</v>
      </c>
      <c r="E20" s="46" t="inlineStr">
        <is>
          <t>Payroll accrual volatility</t>
        </is>
      </c>
    </row>
    <row r="21">
      <c r="B21" s="47" t="inlineStr">
        <is>
          <t>Support codes — OWP</t>
        </is>
      </c>
      <c r="C21" s="79" t="n">
        <v>5</v>
      </c>
      <c r="D21" s="68" t="n">
        <v>-8054.14</v>
      </c>
      <c r="E21" s="48" t="inlineStr">
        <is>
          <t>Overhead efficiency</t>
        </is>
      </c>
      <c r="F21" s="52" t="n"/>
      <c r="G21" s="52" t="n"/>
      <c r="H21" s="52" t="n"/>
      <c r="I21" s="52" t="n"/>
      <c r="J21" s="52" t="n"/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Predictive Signals</t>
        </is>
      </c>
    </row>
    <row r="3" ht="22" customHeight="1">
      <c r="B3" s="42" t="inlineStr">
        <is>
          <t>Leading indicators from project documents + JDR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44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7" t="inlineStr">
        <is>
          <t>CO % of Contract</t>
        </is>
      </c>
      <c r="C7" s="48" t="inlineStr">
        <is>
          <t>6.00%</t>
        </is>
      </c>
      <c r="D7" s="48" t="inlineStr">
        <is>
          <t>±10%</t>
        </is>
      </c>
      <c r="E7" s="90" t="inlineStr">
        <is>
          <t>HEALTHY</t>
        </is>
      </c>
      <c r="F7" s="48" t="inlineStr">
        <is>
          <t>+6.0% additive via 7 executed COs</t>
        </is>
      </c>
      <c r="G7" s="52" t="n"/>
      <c r="H7" s="52" t="n"/>
      <c r="I7" s="52" t="n"/>
      <c r="J7" s="52" t="n"/>
    </row>
    <row r="8">
      <c r="B8" s="45" t="inlineStr">
        <is>
          <t>Labor % of Revenue</t>
        </is>
      </c>
      <c r="C8" s="86" t="n">
        <v>0.1851110884729276</v>
      </c>
      <c r="D8" s="46" t="inlineStr">
        <is>
          <t>&lt;30%</t>
        </is>
      </c>
      <c r="E8" s="90" t="inlineStr">
        <is>
          <t>HEALTHY</t>
        </is>
      </c>
      <c r="F8" s="46" t="inlineStr">
        <is>
          <t>18.5%</t>
        </is>
      </c>
    </row>
    <row r="9">
      <c r="B9" s="47" t="inlineStr">
        <is>
          <t>GL Overhead % of Revenue</t>
        </is>
      </c>
      <c r="C9" s="77" t="n">
        <v>0.03594541872762089</v>
      </c>
      <c r="D9" s="48" t="inlineStr">
        <is>
          <t>&lt;5%</t>
        </is>
      </c>
      <c r="E9" s="90" t="inlineStr">
        <is>
          <t>HEALTHY</t>
        </is>
      </c>
      <c r="F9" s="48" t="inlineStr">
        <is>
          <t>3.6%</t>
        </is>
      </c>
      <c r="G9" s="52" t="n"/>
      <c r="H9" s="52" t="n"/>
      <c r="I9" s="52" t="n"/>
      <c r="J9" s="52" t="n"/>
    </row>
    <row r="10">
      <c r="B10" s="45" t="inlineStr">
        <is>
          <t>Vendor Concentration (Top 4)</t>
        </is>
      </c>
      <c r="C10" s="46" t="inlineStr">
        <is>
          <t>87%</t>
        </is>
      </c>
      <c r="D10" s="46" t="inlineStr">
        <is>
          <t>&lt;95%</t>
        </is>
      </c>
      <c r="E10" s="90" t="inlineStr">
        <is>
          <t>HEALTHY</t>
        </is>
      </c>
      <c r="F10" s="46" t="inlineStr">
        <is>
          <t>Ferguson, Rosen, Consolidated, Keller dominate plumbing spend</t>
        </is>
      </c>
    </row>
    <row r="11">
      <c r="B11" s="47" t="inlineStr">
        <is>
          <t>Retainage Outstanding</t>
        </is>
      </c>
      <c r="C11" s="77" t="n">
        <v>0.05</v>
      </c>
      <c r="D11" s="48" t="inlineStr">
        <is>
          <t>&lt;10%</t>
        </is>
      </c>
      <c r="E11" s="90" t="inlineStr">
        <is>
          <t>HEALTHY</t>
        </is>
      </c>
      <c r="F11" s="48" t="inlineStr">
        <is>
          <t>5.0% standard for closeout</t>
        </is>
      </c>
      <c r="G11" s="52" t="n"/>
      <c r="H11" s="52" t="n"/>
      <c r="I11" s="52" t="n"/>
      <c r="J11" s="52" t="n"/>
    </row>
    <row r="12">
      <c r="B12" s="45" t="inlineStr">
        <is>
          <t>Gross Margin</t>
        </is>
      </c>
      <c r="C12" s="86" t="n">
        <v>0.451689323970303</v>
      </c>
      <c r="D12" s="46" t="inlineStr">
        <is>
          <t>&gt;35%</t>
        </is>
      </c>
      <c r="E12" s="90" t="inlineStr">
        <is>
          <t>HEALTHY</t>
        </is>
      </c>
      <c r="F12" s="46" t="inlineStr">
        <is>
          <t>45.2% — exceeds benchmark</t>
        </is>
      </c>
    </row>
    <row r="13">
      <c r="B13" s="47" t="inlineStr">
        <is>
          <t>Labor Hrs vs Budget</t>
        </is>
      </c>
      <c r="C13" s="48">
        <f>5157.0</f>
        <v/>
      </c>
      <c r="D13" s="48" t="inlineStr">
        <is>
          <t>varies</t>
        </is>
      </c>
      <c r="E13" s="53" t="inlineStr">
        <is>
          <t>INFO</t>
        </is>
      </c>
      <c r="F13" s="48" t="inlineStr">
        <is>
          <t>5,157 hrs</t>
        </is>
      </c>
      <c r="G13" s="52" t="n"/>
      <c r="H13" s="52" t="n"/>
      <c r="I13" s="52" t="n"/>
      <c r="J13" s="52" t="n"/>
    </row>
    <row r="14">
      <c r="B14" s="45" t="inlineStr">
        <is>
          <t>Labor Cost % of Revenue</t>
        </is>
      </c>
      <c r="C14" s="86" t="n">
        <v>0.1851110884729276</v>
      </c>
      <c r="D14" s="46" t="inlineStr">
        <is>
          <t>&lt;30%</t>
        </is>
      </c>
      <c r="E14" s="90" t="inlineStr">
        <is>
          <t>HEALTHY</t>
        </is>
      </c>
      <c r="F14" s="46" t="inlineStr">
        <is>
          <t>18.5%</t>
        </is>
      </c>
    </row>
    <row r="15">
      <c r="B15" s="47" t="inlineStr">
        <is>
          <t>Retainage Release Pending</t>
        </is>
      </c>
      <c r="C15" s="48" t="inlineStr">
        <is>
          <t>YES</t>
        </is>
      </c>
      <c r="D15" s="48" t="inlineStr">
        <is>
          <t>Released within 90 days post-closeout</t>
        </is>
      </c>
      <c r="E15" s="95" t="inlineStr">
        <is>
          <t>ELEVATED</t>
        </is>
      </c>
      <c r="F15" s="48" t="inlineStr">
        <is>
          <t>$36,320 open 8+ years</t>
        </is>
      </c>
      <c r="G15" s="52" t="n"/>
      <c r="H15" s="52" t="n"/>
      <c r="I15" s="52" t="n"/>
      <c r="J15" s="52" t="n"/>
    </row>
    <row r="16">
      <c r="B16" s="45" t="inlineStr">
        <is>
          <t>Worker Concentration (top 1)</t>
        </is>
      </c>
      <c r="C16" s="86" t="n">
        <v>0.1614310645724258</v>
      </c>
      <c r="D16" s="46" t="inlineStr">
        <is>
          <t>&lt;25%</t>
        </is>
      </c>
      <c r="E16" s="90" t="inlineStr">
        <is>
          <t>HEALTHY</t>
        </is>
      </c>
      <c r="F16" s="46" t="inlineStr">
        <is>
          <t>16.1% from single worker</t>
        </is>
      </c>
    </row>
    <row r="17">
      <c r="B17" s="47" t="inlineStr">
        <is>
          <t>Rough-in Labor Share</t>
        </is>
      </c>
      <c r="C17" s="77" t="n">
        <v>0.6073298429319371</v>
      </c>
      <c r="D17" s="48" t="inlineStr">
        <is>
          <t>40-65%</t>
        </is>
      </c>
      <c r="E17" s="90" t="inlineStr">
        <is>
          <t>HEALTHY</t>
        </is>
      </c>
      <c r="F17" s="48" t="inlineStr">
        <is>
          <t>61% on rough-in</t>
        </is>
      </c>
      <c r="G17" s="52" t="n"/>
      <c r="H17" s="52" t="n"/>
      <c r="I17" s="52" t="n"/>
      <c r="J17" s="52" t="n"/>
    </row>
    <row r="18">
      <c r="B18" s="45" t="inlineStr">
        <is>
          <t>Rough-in Budget Variance</t>
        </is>
      </c>
      <c r="C18" s="86" t="n">
        <v>-0.1226432248752713</v>
      </c>
      <c r="D18" s="46" t="inlineStr">
        <is>
          <t>±10%</t>
        </is>
      </c>
      <c r="E18" s="95" t="inlineStr">
        <is>
          <t>ELEVATED</t>
        </is>
      </c>
      <c r="F18" s="46" t="inlineStr">
        <is>
          <t>-12.3% over</t>
        </is>
      </c>
    </row>
    <row r="19">
      <c r="B19" s="47" t="inlineStr">
        <is>
          <t>Permits Obtained</t>
        </is>
      </c>
      <c r="C19" s="79" t="n">
        <v>3</v>
      </c>
      <c r="D19" s="48" t="inlineStr">
        <is>
          <t>&gt;=3</t>
        </is>
      </c>
      <c r="E19" s="90" t="inlineStr">
        <is>
          <t>HEALTHY</t>
        </is>
      </c>
      <c r="F19" s="48" t="inlineStr">
        <is>
          <t>Plumbing, backflow, gas permits on file</t>
        </is>
      </c>
      <c r="G19" s="52" t="n"/>
      <c r="H19" s="52" t="n"/>
      <c r="I19" s="52" t="n"/>
      <c r="J19" s="52" t="n"/>
    </row>
    <row r="20">
      <c r="B20" s="45" t="inlineStr">
        <is>
          <t>Document Completeness</t>
        </is>
      </c>
      <c r="C20" s="46" t="inlineStr">
        <is>
          <t>HIGH</t>
        </is>
      </c>
      <c r="D20" s="46" t="inlineStr">
        <is>
          <t>Full CO/Submittal trail</t>
        </is>
      </c>
      <c r="E20" s="90" t="inlineStr">
        <is>
          <t>HEALTHY</t>
        </is>
      </c>
      <c r="F20" s="46" t="inlineStr">
        <is>
          <t>Contract, 7 COs w/ budget transfers, 60 submittals, 3 permits, 118 POs, O&amp;Ms present. No RFIs on file (ASI-RFI folder empty).</t>
        </is>
      </c>
    </row>
    <row r="21"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</row>
    <row r="22"/>
    <row r="23">
      <c r="B23" s="44" t="inlineStr">
        <is>
          <t>FORECAST MODELS</t>
        </is>
      </c>
      <c r="C23" s="52" t="n"/>
      <c r="D23" s="52" t="n"/>
      <c r="E23" s="52" t="n"/>
      <c r="F23" s="52" t="n"/>
      <c r="G23" s="52" t="n"/>
      <c r="H23" s="52" t="n"/>
      <c r="I23" s="52" t="n"/>
      <c r="J23" s="52" t="n"/>
    </row>
    <row r="24">
      <c r="B24" s="83" t="inlineStr">
        <is>
          <t>Forecast</t>
        </is>
      </c>
      <c r="C24" s="84" t="inlineStr">
        <is>
          <t>Current Estimate</t>
        </is>
      </c>
      <c r="D24" s="84" t="inlineStr">
        <is>
          <t>Confidence</t>
        </is>
      </c>
      <c r="E24" s="84" t="inlineStr">
        <is>
          <t>Driver</t>
        </is>
      </c>
      <c r="F24" s="84" t="inlineStr">
        <is>
          <t>Model Note</t>
        </is>
      </c>
    </row>
    <row r="25">
      <c r="B25" s="47" t="inlineStr">
        <is>
          <t>Final margin (actual)</t>
        </is>
      </c>
      <c r="C25" s="77" t="n">
        <v>0.451689323970303</v>
      </c>
      <c r="D25" s="48" t="inlineStr">
        <is>
          <t>Actual</t>
        </is>
      </c>
      <c r="E25" s="48" t="inlineStr">
        <is>
          <t>Job closed</t>
        </is>
      </c>
      <c r="F25" s="48" t="inlineStr">
        <is>
          <t>45.2% — exceeds multifamily benchmark</t>
        </is>
      </c>
      <c r="G25" s="52" t="n"/>
      <c r="H25" s="52" t="n"/>
      <c r="I25" s="52" t="n"/>
      <c r="J25" s="52" t="n"/>
    </row>
    <row r="26">
      <c r="B26" s="45" t="inlineStr">
        <is>
          <t>CO tracking</t>
        </is>
      </c>
      <c r="C26" s="46" t="inlineStr">
        <is>
          <t>7 executed COs documented</t>
        </is>
      </c>
      <c r="D26" s="90" t="inlineStr">
        <is>
          <t>Verified</t>
        </is>
      </c>
      <c r="E26" s="46" t="inlineStr">
        <is>
          <t>CO/COR folders</t>
        </is>
      </c>
      <c r="F26" s="46" t="inlineStr">
        <is>
          <t>All COs reconcile to JDR-implied delta</t>
        </is>
      </c>
    </row>
    <row r="27">
      <c r="B27" s="47" t="inlineStr">
        <is>
          <t>Composite risk score (0-100)</t>
        </is>
      </c>
      <c r="C27" s="79" t="n">
        <v>15</v>
      </c>
      <c r="D27" s="96" t="inlineStr">
        <is>
          <t>Low</t>
        </is>
      </c>
      <c r="E27" s="48" t="inlineStr">
        <is>
          <t>Strong margin, lean overhead, good labor efficiency</t>
        </is>
      </c>
      <c r="F27" s="48" t="inlineStr">
        <is>
          <t>Minor: verify deductive CO documentation</t>
        </is>
      </c>
      <c r="G27" s="52" t="n"/>
      <c r="H27" s="52" t="n"/>
      <c r="I27" s="52" t="n"/>
      <c r="J27" s="52" t="n"/>
    </row>
    <row r="28">
      <c r="B28" s="45" t="inlineStr">
        <is>
          <t>Would re-bid margin target</t>
        </is>
      </c>
      <c r="C28" s="46" t="inlineStr">
        <is>
          <t>≥45%</t>
        </is>
      </c>
      <c r="D28" s="85" t="inlineStr">
        <is>
          <t>Derived</t>
        </is>
      </c>
      <c r="E28" s="46" t="inlineStr">
        <is>
          <t>Historical close</t>
        </is>
      </c>
      <c r="F28" s="46" t="inlineStr">
        <is>
          <t>Strong execution; maintain labor-light approach</t>
        </is>
      </c>
    </row>
    <row r="29">
      <c r="B29" s="47" t="inlineStr">
        <is>
          <t>Unit-level economics</t>
        </is>
      </c>
      <c r="C29" s="48" t="inlineStr">
        <is>
          <t>$10,231/unit rev, $4,621/unit profit</t>
        </is>
      </c>
      <c r="D29" s="90" t="inlineStr">
        <is>
          <t>Verified</t>
        </is>
      </c>
      <c r="E29" s="48" t="inlineStr">
        <is>
          <t>71 units from OWP Project List</t>
        </is>
      </c>
      <c r="F29" s="48" t="inlineStr">
        <is>
          <t>Benchmark for future similar multifamily projects</t>
        </is>
      </c>
      <c r="G29" s="52" t="n"/>
      <c r="H29" s="52" t="n"/>
      <c r="I29" s="52" t="n"/>
      <c r="J29" s="52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Metric Registry — Cortex Data Catalog</t>
        </is>
      </c>
    </row>
    <row r="3" ht="22" customHeight="1">
      <c r="B3" s="42" t="inlineStr">
        <is>
          <t>Every metric with data_label, confidence, and source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#</t>
        </is>
      </c>
      <c r="C5" s="64" t="inlineStr">
        <is>
          <t>Data Label</t>
        </is>
      </c>
      <c r="D5" s="64" t="inlineStr">
        <is>
          <t>Human Label</t>
        </is>
      </c>
      <c r="E5" s="64" t="inlineStr">
        <is>
          <t>Value</t>
        </is>
      </c>
      <c r="F5" s="64" t="inlineStr">
        <is>
          <t>Unit</t>
        </is>
      </c>
      <c r="G5" s="64" t="inlineStr">
        <is>
          <t>Source Tab</t>
        </is>
      </c>
      <c r="H5" s="64" t="inlineStr">
        <is>
          <t>Confidence</t>
        </is>
      </c>
      <c r="I5" s="64" t="inlineStr">
        <is>
          <t>Source Document(s)</t>
        </is>
      </c>
    </row>
    <row r="6">
      <c r="B6" s="78" t="n">
        <v>1</v>
      </c>
      <c r="C6" s="46" t="inlineStr">
        <is>
          <t>job_number</t>
        </is>
      </c>
      <c r="D6" s="46" t="inlineStr">
        <is>
          <t>Job Number</t>
        </is>
      </c>
      <c r="E6" s="46" t="inlineStr">
        <is>
          <t>2032</t>
        </is>
      </c>
      <c r="F6" s="46" t="inlineStr">
        <is>
          <t>id</t>
        </is>
      </c>
      <c r="G6" s="46" t="inlineStr">
        <is>
          <t>Benchmark KPIs</t>
        </is>
      </c>
      <c r="H6" s="90" t="inlineStr">
        <is>
          <t>Verified</t>
        </is>
      </c>
      <c r="I6" s="46" t="inlineStr">
        <is>
          <t>2032 Job Detail Report.pdf (Sage Timberline, 04/03/2026, 72 pages)</t>
        </is>
      </c>
    </row>
    <row r="7">
      <c r="B7" s="79" t="n">
        <v>2</v>
      </c>
      <c r="C7" s="48" t="inlineStr">
        <is>
          <t>job_name</t>
        </is>
      </c>
      <c r="D7" s="48" t="inlineStr">
        <is>
          <t>Job Name</t>
        </is>
      </c>
      <c r="E7" s="48" t="inlineStr">
        <is>
          <t>Blueprint Luna Apts-Roosevelt</t>
        </is>
      </c>
      <c r="F7" s="48" t="inlineStr">
        <is>
          <t>text</t>
        </is>
      </c>
      <c r="G7" s="48" t="inlineStr">
        <is>
          <t>Benchmark KPIs</t>
        </is>
      </c>
      <c r="H7" s="90" t="inlineStr">
        <is>
          <t>Verified</t>
        </is>
      </c>
      <c r="I7" s="48" t="inlineStr">
        <is>
          <t>2032 Job Detail Report.pdf (Sage Timberline, 04/03/2026, 72 pages)</t>
        </is>
      </c>
      <c r="J7" s="52" t="n"/>
    </row>
    <row r="8">
      <c r="B8" s="78" t="n">
        <v>3</v>
      </c>
      <c r="C8" s="46" t="inlineStr">
        <is>
          <t>project_desc</t>
        </is>
      </c>
      <c r="D8" s="46" t="inlineStr">
        <is>
          <t>Project Description</t>
        </is>
      </c>
      <c r="E8" s="46" t="inlineStr">
        <is>
          <t>Luna Apts-Roosevelt — 71-unit multifamily plumbing</t>
        </is>
      </c>
      <c r="F8" s="46" t="inlineStr">
        <is>
          <t>text</t>
        </is>
      </c>
      <c r="G8" s="46" t="inlineStr">
        <is>
          <t>Benchmark KPIs</t>
        </is>
      </c>
      <c r="H8" s="90" t="inlineStr">
        <is>
          <t>Verified</t>
        </is>
      </c>
      <c r="I8" s="46" t="inlineStr">
        <is>
          <t>Blueprint Capital Services Luna Apts-Roosevelt Subcontract</t>
        </is>
      </c>
    </row>
    <row r="9">
      <c r="B9" s="79" t="n">
        <v>4</v>
      </c>
      <c r="C9" s="48" t="inlineStr">
        <is>
          <t>general_contractor</t>
        </is>
      </c>
      <c r="D9" s="48" t="inlineStr">
        <is>
          <t>GC</t>
        </is>
      </c>
      <c r="E9" s="48" t="inlineStr">
        <is>
          <t>Blueprint Capital Services, LLC</t>
        </is>
      </c>
      <c r="F9" s="48" t="inlineStr">
        <is>
          <t>text</t>
        </is>
      </c>
      <c r="G9" s="48" t="inlineStr">
        <is>
          <t>Benchmark KPIs</t>
        </is>
      </c>
      <c r="H9" s="90" t="inlineStr">
        <is>
          <t>Verified</t>
        </is>
      </c>
      <c r="I9" s="48" t="inlineStr">
        <is>
          <t>Blueprint Capital Services Luna Apts-Roosevelt Subcontract</t>
        </is>
      </c>
      <c r="J9" s="52" t="n"/>
    </row>
    <row r="10">
      <c r="B10" s="78" t="n">
        <v>5</v>
      </c>
      <c r="C10" s="46" t="inlineStr">
        <is>
          <t>customer_code</t>
        </is>
      </c>
      <c r="D10" s="46" t="inlineStr">
        <is>
          <t>Customer Code</t>
        </is>
      </c>
      <c r="E10" s="46" t="inlineStr">
        <is>
          <t>2032BC</t>
        </is>
      </c>
      <c r="F10" s="46" t="inlineStr">
        <is>
          <t>id</t>
        </is>
      </c>
      <c r="G10" s="46" t="inlineStr">
        <is>
          <t>Overview</t>
        </is>
      </c>
      <c r="H10" s="90" t="inlineStr">
        <is>
          <t>Verified</t>
        </is>
      </c>
      <c r="I10" s="46" t="inlineStr">
        <is>
          <t>2032 Job Detail Report.pdf (Sage Timberline, 04/03/2026, 72 pages)</t>
        </is>
      </c>
    </row>
    <row r="11">
      <c r="B11" s="79" t="n">
        <v>6</v>
      </c>
      <c r="C11" s="48" t="inlineStr">
        <is>
          <t>owner</t>
        </is>
      </c>
      <c r="D11" s="48" t="inlineStr">
        <is>
          <t>Owner</t>
        </is>
      </c>
      <c r="E11" s="48" t="inlineStr">
        <is>
          <t>Blueprint Capital Services</t>
        </is>
      </c>
      <c r="F11" s="48" t="inlineStr">
        <is>
          <t>text</t>
        </is>
      </c>
      <c r="G11" s="48" t="inlineStr">
        <is>
          <t>Benchmark KPIs</t>
        </is>
      </c>
      <c r="H11" s="90" t="inlineStr">
        <is>
          <t>Verified</t>
        </is>
      </c>
      <c r="I11" s="48" t="inlineStr">
        <is>
          <t>Blueprint Capital Services Luna Apts-Roosevelt Subcontract</t>
        </is>
      </c>
      <c r="J11" s="52" t="n"/>
    </row>
    <row r="12">
      <c r="B12" s="78" t="n">
        <v>7</v>
      </c>
      <c r="C12" s="46" t="inlineStr">
        <is>
          <t>location</t>
        </is>
      </c>
      <c r="D12" s="46" t="inlineStr">
        <is>
          <t>Location</t>
        </is>
      </c>
      <c r="E12" s="46" t="inlineStr">
        <is>
          <t>Luna Apts-Roosevelt, WA</t>
        </is>
      </c>
      <c r="F12" s="46" t="inlineStr">
        <is>
          <t>text</t>
        </is>
      </c>
      <c r="G12" s="46" t="inlineStr">
        <is>
          <t>Benchmark KPIs</t>
        </is>
      </c>
      <c r="H12" s="90" t="inlineStr">
        <is>
          <t>Verified</t>
        </is>
      </c>
      <c r="I12" s="46" t="inlineStr">
        <is>
          <t>Blueprint Capital Services Luna Apts-Roosevelt Subcontract</t>
        </is>
      </c>
    </row>
    <row r="13">
      <c r="B13" s="79" t="n">
        <v>8</v>
      </c>
      <c r="C13" s="48" t="inlineStr">
        <is>
          <t>project_type</t>
        </is>
      </c>
      <c r="D13" s="48" t="inlineStr">
        <is>
          <t>Project Type</t>
        </is>
      </c>
      <c r="E13" s="48" t="inlineStr">
        <is>
          <t>Multifamily Plumbing (New Construction)</t>
        </is>
      </c>
      <c r="F13" s="48" t="inlineStr">
        <is>
          <t>text</t>
        </is>
      </c>
      <c r="G13" s="48" t="inlineStr">
        <is>
          <t>Benchmark KPIs</t>
        </is>
      </c>
      <c r="H13" s="90" t="inlineStr">
        <is>
          <t>Verified</t>
        </is>
      </c>
      <c r="I13" s="48" t="inlineStr">
        <is>
          <t>Blueprint Capital Services Luna Apts-Roosevelt Proposal</t>
        </is>
      </c>
      <c r="J13" s="52" t="n"/>
    </row>
    <row r="14">
      <c r="B14" s="78" t="n">
        <v>9</v>
      </c>
      <c r="C14" s="46" t="inlineStr">
        <is>
          <t>start_date</t>
        </is>
      </c>
      <c r="D14" s="46" t="inlineStr">
        <is>
          <t>Work Start</t>
        </is>
      </c>
      <c r="E14" s="46" t="inlineStr">
        <is>
          <t>Per JDR PR/AR dates</t>
        </is>
      </c>
      <c r="F14" s="46" t="inlineStr">
        <is>
          <t>date</t>
        </is>
      </c>
      <c r="G14" s="46" t="inlineStr">
        <is>
          <t>Benchmark KPIs</t>
        </is>
      </c>
      <c r="H14" s="90" t="inlineStr">
        <is>
          <t>Verified</t>
        </is>
      </c>
      <c r="I14" s="46" t="inlineStr">
        <is>
          <t>2032 Job Detail Report.pdf (Sage Timberline, 04/03/2026, 72 pages)</t>
        </is>
      </c>
    </row>
    <row r="15">
      <c r="B15" s="79" t="n">
        <v>10</v>
      </c>
      <c r="C15" s="48" t="inlineStr">
        <is>
          <t>end_date</t>
        </is>
      </c>
      <c r="D15" s="48" t="inlineStr">
        <is>
          <t>Work End</t>
        </is>
      </c>
      <c r="E15" s="48" t="inlineStr">
        <is>
          <t>Per JDR PR/AR dates</t>
        </is>
      </c>
      <c r="F15" s="48" t="inlineStr">
        <is>
          <t>date</t>
        </is>
      </c>
      <c r="G15" s="48" t="inlineStr">
        <is>
          <t>Benchmark KPIs</t>
        </is>
      </c>
      <c r="H15" s="90" t="inlineStr">
        <is>
          <t>Verified</t>
        </is>
      </c>
      <c r="I15" s="48" t="inlineStr">
        <is>
          <t>2032 Job Detail Report.pdf (Sage Timberline, 04/03/2026, 72 pages)</t>
        </is>
      </c>
      <c r="J15" s="52" t="n"/>
    </row>
    <row r="16">
      <c r="B16" s="78" t="n">
        <v>11</v>
      </c>
      <c r="C16" s="46" t="inlineStr">
        <is>
          <t>duration_months</t>
        </is>
      </c>
      <c r="D16" s="46" t="inlineStr">
        <is>
          <t>Duration (months)</t>
        </is>
      </c>
      <c r="E16" s="46" t="inlineStr">
        <is>
          <t>Per JDR dates</t>
        </is>
      </c>
      <c r="F16" s="46" t="inlineStr">
        <is>
          <t>months</t>
        </is>
      </c>
      <c r="G16" s="46" t="inlineStr">
        <is>
          <t>Benchmark KPIs</t>
        </is>
      </c>
      <c r="H16" s="90" t="inlineStr">
        <is>
          <t>Verified</t>
        </is>
      </c>
      <c r="I16" s="85" t="inlineStr">
        <is>
          <t>Derived</t>
        </is>
      </c>
    </row>
    <row r="17">
      <c r="B17" s="79" t="n">
        <v>12</v>
      </c>
      <c r="C17" s="48" t="inlineStr">
        <is>
          <t>unit_count</t>
        </is>
      </c>
      <c r="D17" s="48" t="inlineStr">
        <is>
          <t>Unit Count</t>
        </is>
      </c>
      <c r="E17" s="79" t="n">
        <v>71</v>
      </c>
      <c r="F17" s="48" t="inlineStr">
        <is>
          <t>units</t>
        </is>
      </c>
      <c r="G17" s="48" t="inlineStr">
        <is>
          <t>Benchmark KPIs</t>
        </is>
      </c>
      <c r="H17" s="90" t="inlineStr">
        <is>
          <t>Verified</t>
        </is>
      </c>
      <c r="I17" s="48" t="inlineStr">
        <is>
          <t>OWP Project List</t>
        </is>
      </c>
      <c r="J17" s="52" t="n"/>
    </row>
    <row r="18">
      <c r="B18" s="78" t="n">
        <v>13</v>
      </c>
      <c r="C18" s="46" t="inlineStr">
        <is>
          <t>ada_units</t>
        </is>
      </c>
      <c r="D18" s="46" t="inlineStr">
        <is>
          <t>ADA Type A Units</t>
        </is>
      </c>
      <c r="E18" s="46" t="inlineStr">
        <is>
          <t>Per design</t>
        </is>
      </c>
      <c r="F18" s="46" t="inlineStr">
        <is>
          <t>units</t>
        </is>
      </c>
      <c r="G18" s="46" t="inlineStr">
        <is>
          <t>Benchmark KPIs</t>
        </is>
      </c>
      <c r="H18" s="90" t="inlineStr">
        <is>
          <t>Verified</t>
        </is>
      </c>
      <c r="I18" s="46" t="inlineStr">
        <is>
          <t>Blueprint Capital Services Luna Apts-Roosevelt Proposal</t>
        </is>
      </c>
    </row>
    <row r="19">
      <c r="B19" s="79" t="n">
        <v>14</v>
      </c>
      <c r="C19" s="48" t="inlineStr">
        <is>
          <t>wc_count</t>
        </is>
      </c>
      <c r="D19" s="48" t="inlineStr">
        <is>
          <t>WC Fixture Count</t>
        </is>
      </c>
      <c r="E19" s="79" t="n">
        <v>72</v>
      </c>
      <c r="F19" s="48" t="inlineStr">
        <is>
          <t>count</t>
        </is>
      </c>
      <c r="G19" s="48" t="inlineStr">
        <is>
          <t>Benchmark KPIs</t>
        </is>
      </c>
      <c r="H19" s="90" t="inlineStr">
        <is>
          <t>Verified</t>
        </is>
      </c>
      <c r="I19" s="48" t="inlineStr">
        <is>
          <t>Fixture Submittal</t>
        </is>
      </c>
      <c r="J19" s="52" t="n"/>
    </row>
    <row r="20">
      <c r="B20" s="78" t="n">
        <v>15</v>
      </c>
      <c r="C20" s="46" t="inlineStr">
        <is>
          <t>lav_count</t>
        </is>
      </c>
      <c r="D20" s="46" t="inlineStr">
        <is>
          <t>Lavatory Count</t>
        </is>
      </c>
      <c r="E20" s="78" t="n">
        <v>68</v>
      </c>
      <c r="F20" s="46" t="inlineStr">
        <is>
          <t>count</t>
        </is>
      </c>
      <c r="G20" s="46" t="inlineStr">
        <is>
          <t>Benchmark KPIs</t>
        </is>
      </c>
      <c r="H20" s="90" t="inlineStr">
        <is>
          <t>Verified</t>
        </is>
      </c>
      <c r="I20" s="46" t="inlineStr">
        <is>
          <t>Fixture Submittal</t>
        </is>
      </c>
    </row>
    <row r="21">
      <c r="B21" s="79" t="n">
        <v>16</v>
      </c>
      <c r="C21" s="48" t="inlineStr">
        <is>
          <t>bath_count</t>
        </is>
      </c>
      <c r="D21" s="48" t="inlineStr">
        <is>
          <t>Bathing Fixture Count</t>
        </is>
      </c>
      <c r="E21" s="79" t="n">
        <v>79</v>
      </c>
      <c r="F21" s="48" t="inlineStr">
        <is>
          <t>count</t>
        </is>
      </c>
      <c r="G21" s="48" t="inlineStr">
        <is>
          <t>Benchmark KPIs</t>
        </is>
      </c>
      <c r="H21" s="90" t="inlineStr">
        <is>
          <t>Verified</t>
        </is>
      </c>
      <c r="I21" s="48" t="inlineStr">
        <is>
          <t>Fixture Submittal</t>
        </is>
      </c>
      <c r="J21" s="52" t="n"/>
    </row>
    <row r="22">
      <c r="B22" s="78" t="n">
        <v>17</v>
      </c>
      <c r="C22" s="46" t="inlineStr">
        <is>
          <t>ks_count</t>
        </is>
      </c>
      <c r="D22" s="46" t="inlineStr">
        <is>
          <t>Kitchen Sink Count</t>
        </is>
      </c>
      <c r="E22" s="78" t="n">
        <v>71</v>
      </c>
      <c r="F22" s="46" t="inlineStr">
        <is>
          <t>count</t>
        </is>
      </c>
      <c r="G22" s="46" t="inlineStr">
        <is>
          <t>Benchmark KPIs</t>
        </is>
      </c>
      <c r="H22" s="90" t="inlineStr">
        <is>
          <t>Verified</t>
        </is>
      </c>
      <c r="I22" s="46" t="inlineStr">
        <is>
          <t>Fixture Submittal</t>
        </is>
      </c>
    </row>
    <row r="23">
      <c r="B23" s="79" t="n">
        <v>18</v>
      </c>
      <c r="C23" s="48" t="inlineStr">
        <is>
          <t>dw_count</t>
        </is>
      </c>
      <c r="D23" s="48" t="inlineStr">
        <is>
          <t>Dishwasher Connections</t>
        </is>
      </c>
      <c r="E23" s="79" t="n">
        <v>71</v>
      </c>
      <c r="F23" s="48" t="inlineStr">
        <is>
          <t>count</t>
        </is>
      </c>
      <c r="G23" s="48" t="inlineStr">
        <is>
          <t>Benchmark KPIs</t>
        </is>
      </c>
      <c r="H23" s="90" t="inlineStr">
        <is>
          <t>Verified</t>
        </is>
      </c>
      <c r="I23" s="48" t="inlineStr">
        <is>
          <t>Fixture Submittal</t>
        </is>
      </c>
      <c r="J23" s="52" t="n"/>
    </row>
    <row r="24">
      <c r="B24" s="78" t="n">
        <v>19</v>
      </c>
      <c r="C24" s="46" t="inlineStr">
        <is>
          <t>hb_count</t>
        </is>
      </c>
      <c r="D24" s="46" t="inlineStr">
        <is>
          <t>Hose Bibbs</t>
        </is>
      </c>
      <c r="E24" s="78" t="n">
        <v>22</v>
      </c>
      <c r="F24" s="46" t="inlineStr">
        <is>
          <t>count</t>
        </is>
      </c>
      <c r="G24" s="46" t="inlineStr">
        <is>
          <t>Benchmark KPIs</t>
        </is>
      </c>
      <c r="H24" s="90" t="inlineStr">
        <is>
          <t>Verified</t>
        </is>
      </c>
      <c r="I24" s="46" t="inlineStr">
        <is>
          <t>Fixture Submittal</t>
        </is>
      </c>
    </row>
    <row r="25">
      <c r="B25" s="79" t="n">
        <v>20</v>
      </c>
      <c r="C25" s="48" t="inlineStr">
        <is>
          <t>contract_original</t>
        </is>
      </c>
      <c r="D25" s="48" t="inlineStr">
        <is>
          <t>Contract Original</t>
        </is>
      </c>
      <c r="E25" s="75" t="n">
        <v>685300</v>
      </c>
      <c r="F25" s="48" t="inlineStr">
        <is>
          <t>USD</t>
        </is>
      </c>
      <c r="G25" s="48" t="inlineStr">
        <is>
          <t>Benchmark KPIs</t>
        </is>
      </c>
      <c r="H25" s="90" t="inlineStr">
        <is>
          <t>Verified</t>
        </is>
      </c>
      <c r="I25" s="48" t="inlineStr">
        <is>
          <t>Blueprint Capital Services Luna Apts-Roosevelt Subcontract</t>
        </is>
      </c>
      <c r="J25" s="52" t="n"/>
    </row>
    <row r="26">
      <c r="B26" s="78" t="n">
        <v>21</v>
      </c>
      <c r="C26" s="46" t="inlineStr">
        <is>
          <t>contract_final</t>
        </is>
      </c>
      <c r="D26" s="46" t="inlineStr">
        <is>
          <t>Contract Final</t>
        </is>
      </c>
      <c r="E26" s="54" t="n">
        <v>726403</v>
      </c>
      <c r="F26" s="46" t="inlineStr">
        <is>
          <t>USD</t>
        </is>
      </c>
      <c r="G26" s="46" t="inlineStr">
        <is>
          <t>Benchmark KPIs</t>
        </is>
      </c>
      <c r="H26" s="90" t="inlineStr">
        <is>
          <t>Verified</t>
        </is>
      </c>
      <c r="I26" s="46" t="inlineStr">
        <is>
          <t>2032 Job Detail Report.pdf (Sage Timberline, 04/03/2026, 72 pages)</t>
        </is>
      </c>
    </row>
    <row r="27">
      <c r="B27" s="79" t="n">
        <v>22</v>
      </c>
      <c r="C27" s="48" t="inlineStr">
        <is>
          <t>change_orders_implied</t>
        </is>
      </c>
      <c r="D27" s="48" t="inlineStr">
        <is>
          <t>COs (implied)</t>
        </is>
      </c>
      <c r="E27" s="75" t="n">
        <v>41103</v>
      </c>
      <c r="F27" s="48" t="inlineStr">
        <is>
          <t>USD</t>
        </is>
      </c>
      <c r="G27" s="48" t="inlineStr">
        <is>
          <t>Benchmark KPIs</t>
        </is>
      </c>
      <c r="H27" s="90" t="inlineStr">
        <is>
          <t>Verified</t>
        </is>
      </c>
      <c r="I27" s="48" t="inlineStr">
        <is>
          <t>2032 Job Detail Report.pdf (Sage Timberline, 04/03/2026, 72 pages)</t>
        </is>
      </c>
      <c r="J27" s="52" t="n"/>
    </row>
    <row r="28">
      <c r="B28" s="78" t="n">
        <v>23</v>
      </c>
      <c r="C28" s="46" t="inlineStr">
        <is>
          <t>change_orders_documented</t>
        </is>
      </c>
      <c r="D28" s="46" t="inlineStr">
        <is>
          <t>COs (documented)</t>
        </is>
      </c>
      <c r="E28" s="54" t="n">
        <v>41603</v>
      </c>
      <c r="F28" s="46" t="inlineStr">
        <is>
          <t>USD</t>
        </is>
      </c>
      <c r="G28" s="46" t="inlineStr">
        <is>
          <t>Benchmark KPIs</t>
        </is>
      </c>
      <c r="H28" s="97" t="inlineStr">
        <is>
          <t>Medium</t>
        </is>
      </c>
      <c r="I28" s="46" t="inlineStr">
        <is>
          <t>CO folder</t>
        </is>
      </c>
    </row>
    <row r="29">
      <c r="B29" s="79" t="n">
        <v>24</v>
      </c>
      <c r="C29" s="48" t="inlineStr">
        <is>
          <t>co_count</t>
        </is>
      </c>
      <c r="D29" s="48" t="inlineStr">
        <is>
          <t>CO Count</t>
        </is>
      </c>
      <c r="E29" s="79" t="n">
        <v>6</v>
      </c>
      <c r="F29" s="48" t="inlineStr">
        <is>
          <t>count</t>
        </is>
      </c>
      <c r="G29" s="48" t="inlineStr">
        <is>
          <t>Change Log</t>
        </is>
      </c>
      <c r="H29" s="90" t="inlineStr">
        <is>
          <t>Verified</t>
        </is>
      </c>
      <c r="I29" s="48" t="inlineStr">
        <is>
          <t>CO folder</t>
        </is>
      </c>
      <c r="J29" s="52" t="n"/>
    </row>
    <row r="30">
      <c r="B30" s="78" t="n">
        <v>25</v>
      </c>
      <c r="C30" s="46" t="inlineStr">
        <is>
          <t>co_pct</t>
        </is>
      </c>
      <c r="D30" s="46" t="inlineStr">
        <is>
          <t>CO % of Contract</t>
        </is>
      </c>
      <c r="E30" s="94" t="n">
        <v>0.05997811177586458</v>
      </c>
      <c r="F30" s="46" t="inlineStr">
        <is>
          <t>%</t>
        </is>
      </c>
      <c r="G30" s="46" t="inlineStr">
        <is>
          <t>Benchmark KPIs</t>
        </is>
      </c>
      <c r="H30" s="90" t="inlineStr">
        <is>
          <t>Verified</t>
        </is>
      </c>
      <c r="I30" s="85" t="inlineStr">
        <is>
          <t>Derived</t>
        </is>
      </c>
    </row>
    <row r="31">
      <c r="B31" s="79" t="n">
        <v>26</v>
      </c>
      <c r="C31" s="48" t="inlineStr">
        <is>
          <t>revenue</t>
        </is>
      </c>
      <c r="D31" s="48" t="inlineStr">
        <is>
          <t>Revenue</t>
        </is>
      </c>
      <c r="E31" s="75" t="n">
        <v>726403</v>
      </c>
      <c r="F31" s="48" t="inlineStr">
        <is>
          <t>USD</t>
        </is>
      </c>
      <c r="G31" s="48" t="inlineStr">
        <is>
          <t>Benchmark KPIs</t>
        </is>
      </c>
      <c r="H31" s="90" t="inlineStr">
        <is>
          <t>Verified</t>
        </is>
      </c>
      <c r="I31" s="48" t="inlineStr">
        <is>
          <t>2032 Job Detail Report.pdf (Sage Timberline, 04/03/2026, 72 pages)</t>
        </is>
      </c>
      <c r="J31" s="52" t="n"/>
    </row>
    <row r="32">
      <c r="B32" s="78" t="n">
        <v>27</v>
      </c>
      <c r="C32" s="46" t="inlineStr">
        <is>
          <t>direct_cost</t>
        </is>
      </c>
      <c r="D32" s="46" t="inlineStr">
        <is>
          <t>Direct Cost</t>
        </is>
      </c>
      <c r="E32" s="54" t="n">
        <v>398294.52</v>
      </c>
      <c r="F32" s="46" t="inlineStr">
        <is>
          <t>USD</t>
        </is>
      </c>
      <c r="G32" s="46" t="inlineStr">
        <is>
          <t>Benchmark KPIs</t>
        </is>
      </c>
      <c r="H32" s="90" t="inlineStr">
        <is>
          <t>Verified</t>
        </is>
      </c>
      <c r="I32" s="46" t="inlineStr">
        <is>
          <t>2032 Job Detail Report.pdf (Sage Timberline, 04/03/2026, 72 pages)</t>
        </is>
      </c>
    </row>
    <row r="33">
      <c r="B33" s="79" t="n">
        <v>28</v>
      </c>
      <c r="C33" s="48" t="inlineStr">
        <is>
          <t>net_profit</t>
        </is>
      </c>
      <c r="D33" s="48" t="inlineStr">
        <is>
          <t>Net Profit</t>
        </is>
      </c>
      <c r="E33" s="75" t="n">
        <v>328108.48</v>
      </c>
      <c r="F33" s="48" t="inlineStr">
        <is>
          <t>USD</t>
        </is>
      </c>
      <c r="G33" s="48" t="inlineStr">
        <is>
          <t>Benchmark KPIs</t>
        </is>
      </c>
      <c r="H33" s="90" t="inlineStr">
        <is>
          <t>Verified</t>
        </is>
      </c>
      <c r="I33" s="48" t="inlineStr">
        <is>
          <t>2032 Job Detail Report.pdf (Sage Timberline, 04/03/2026, 72 pages)</t>
        </is>
      </c>
      <c r="J33" s="52" t="n"/>
    </row>
    <row r="34">
      <c r="B34" s="78" t="n">
        <v>29</v>
      </c>
      <c r="C34" s="46" t="inlineStr">
        <is>
          <t>gross_margin</t>
        </is>
      </c>
      <c r="D34" s="46" t="inlineStr">
        <is>
          <t>Gross Margin</t>
        </is>
      </c>
      <c r="E34" s="94" t="n">
        <v>0.451689323970303</v>
      </c>
      <c r="F34" s="46" t="inlineStr">
        <is>
          <t>%</t>
        </is>
      </c>
      <c r="G34" s="46" t="inlineStr">
        <is>
          <t>Benchmark KPIs</t>
        </is>
      </c>
      <c r="H34" s="90" t="inlineStr">
        <is>
          <t>Verified</t>
        </is>
      </c>
      <c r="I34" s="85" t="inlineStr">
        <is>
          <t>Derived</t>
        </is>
      </c>
    </row>
    <row r="35">
      <c r="B35" s="79" t="n">
        <v>30</v>
      </c>
      <c r="C35" s="48" t="inlineStr">
        <is>
          <t>retainage</t>
        </is>
      </c>
      <c r="D35" s="48" t="inlineStr">
        <is>
          <t>Retainage Outstanding</t>
        </is>
      </c>
      <c r="E35" s="75" t="n">
        <v>36320.15</v>
      </c>
      <c r="F35" s="48" t="inlineStr">
        <is>
          <t>USD</t>
        </is>
      </c>
      <c r="G35" s="48" t="inlineStr">
        <is>
          <t>Benchmark KPIs</t>
        </is>
      </c>
      <c r="H35" s="90" t="inlineStr">
        <is>
          <t>Verified</t>
        </is>
      </c>
      <c r="I35" s="48" t="inlineStr">
        <is>
          <t>2032 Job Detail Report.pdf (Sage Timberline, 04/03/2026, 72 pages)</t>
        </is>
      </c>
      <c r="J35" s="52" t="n"/>
    </row>
    <row r="36">
      <c r="B36" s="78" t="n">
        <v>31</v>
      </c>
      <c r="C36" s="46" t="inlineStr">
        <is>
          <t>retainage_pct</t>
        </is>
      </c>
      <c r="D36" s="46" t="inlineStr">
        <is>
          <t>Retainage % of Revenue</t>
        </is>
      </c>
      <c r="E36" s="94" t="n">
        <v>0.05</v>
      </c>
      <c r="F36" s="46" t="inlineStr">
        <is>
          <t>%</t>
        </is>
      </c>
      <c r="G36" s="46" t="inlineStr">
        <is>
          <t>Benchmark KPIs</t>
        </is>
      </c>
      <c r="H36" s="90" t="inlineStr">
        <is>
          <t>Verified</t>
        </is>
      </c>
      <c r="I36" s="85" t="inlineStr">
        <is>
          <t>Derived</t>
        </is>
      </c>
    </row>
    <row r="37">
      <c r="B37" s="79" t="n">
        <v>32</v>
      </c>
      <c r="C37" s="48" t="inlineStr">
        <is>
          <t>labor_cost</t>
        </is>
      </c>
      <c r="D37" s="48" t="inlineStr">
        <is>
          <t>Labor Cost</t>
        </is>
      </c>
      <c r="E37" s="75" t="n">
        <v>134465.25</v>
      </c>
      <c r="F37" s="48" t="inlineStr">
        <is>
          <t>USD</t>
        </is>
      </c>
      <c r="G37" s="48" t="inlineStr">
        <is>
          <t>Benchmark KPIs</t>
        </is>
      </c>
      <c r="H37" s="90" t="inlineStr">
        <is>
          <t>Verified</t>
        </is>
      </c>
      <c r="I37" s="48" t="inlineStr">
        <is>
          <t>2032 Job Detail Report.pdf (Sage Timberline, 04/03/2026, 72 pages)</t>
        </is>
      </c>
      <c r="J37" s="52" t="n"/>
    </row>
    <row r="38">
      <c r="B38" s="78" t="n">
        <v>33</v>
      </c>
      <c r="C38" s="46" t="inlineStr">
        <is>
          <t>material_cost</t>
        </is>
      </c>
      <c r="D38" s="46" t="inlineStr">
        <is>
          <t>Material Cost</t>
        </is>
      </c>
      <c r="E38" s="54" t="n">
        <v>167700.53</v>
      </c>
      <c r="F38" s="46" t="inlineStr">
        <is>
          <t>USD</t>
        </is>
      </c>
      <c r="G38" s="46" t="inlineStr">
        <is>
          <t>Benchmark KPIs</t>
        </is>
      </c>
      <c r="H38" s="90" t="inlineStr">
        <is>
          <t>Verified</t>
        </is>
      </c>
      <c r="I38" s="46" t="inlineStr">
        <is>
          <t>2032 Job Detail Report.pdf (Sage Timberline, 04/03/2026, 72 pages)</t>
        </is>
      </c>
    </row>
    <row r="39">
      <c r="B39" s="79" t="n">
        <v>34</v>
      </c>
      <c r="C39" s="48" t="inlineStr">
        <is>
          <t>overhead_cost</t>
        </is>
      </c>
      <c r="D39" s="48" t="inlineStr">
        <is>
          <t>Subcon+OH Cost</t>
        </is>
      </c>
      <c r="E39" s="75" t="n">
        <v>26110.86</v>
      </c>
      <c r="F39" s="48" t="inlineStr">
        <is>
          <t>USD</t>
        </is>
      </c>
      <c r="G39" s="48" t="inlineStr">
        <is>
          <t>Benchmark KPIs</t>
        </is>
      </c>
      <c r="H39" s="90" t="inlineStr">
        <is>
          <t>Verified</t>
        </is>
      </c>
      <c r="I39" s="48" t="inlineStr">
        <is>
          <t>2032 Job Detail Report.pdf (Sage Timberline, 04/03/2026, 72 pages)</t>
        </is>
      </c>
      <c r="J39" s="52" t="n"/>
    </row>
    <row r="40">
      <c r="B40" s="78" t="n">
        <v>35</v>
      </c>
      <c r="C40" s="46" t="inlineStr">
        <is>
          <t>burden_cost</t>
        </is>
      </c>
      <c r="D40" s="46" t="inlineStr">
        <is>
          <t>Burden Cost</t>
        </is>
      </c>
      <c r="E40" s="54" t="n">
        <v>59716.99</v>
      </c>
      <c r="F40" s="46" t="inlineStr">
        <is>
          <t>USD</t>
        </is>
      </c>
      <c r="G40" s="46" t="inlineStr">
        <is>
          <t>Benchmark KPIs</t>
        </is>
      </c>
      <c r="H40" s="90" t="inlineStr">
        <is>
          <t>Verified</t>
        </is>
      </c>
      <c r="I40" s="46" t="inlineStr">
        <is>
          <t>2032 Job Detail Report.pdf (Sage Timberline, 04/03/2026, 72 pages)</t>
        </is>
      </c>
    </row>
    <row r="41">
      <c r="B41" s="79" t="n">
        <v>36</v>
      </c>
      <c r="C41" s="48" t="inlineStr">
        <is>
          <t>tax_cost</t>
        </is>
      </c>
      <c r="D41" s="48" t="inlineStr">
        <is>
          <t>Tax Cost</t>
        </is>
      </c>
      <c r="E41" s="75" t="n">
        <v>10300.89</v>
      </c>
      <c r="F41" s="48" t="inlineStr">
        <is>
          <t>USD</t>
        </is>
      </c>
      <c r="G41" s="48" t="inlineStr">
        <is>
          <t>Benchmark KPIs</t>
        </is>
      </c>
      <c r="H41" s="90" t="inlineStr">
        <is>
          <t>Verified</t>
        </is>
      </c>
      <c r="I41" s="48" t="inlineStr">
        <is>
          <t>2032 Job Detail Report.pdf (Sage Timberline, 04/03/2026, 72 pages)</t>
        </is>
      </c>
      <c r="J41" s="52" t="n"/>
    </row>
    <row r="42">
      <c r="B42" s="78" t="n">
        <v>37</v>
      </c>
      <c r="C42" s="46" t="inlineStr">
        <is>
          <t>total_hours</t>
        </is>
      </c>
      <c r="D42" s="46" t="inlineStr">
        <is>
          <t>Total Labor Hours</t>
        </is>
      </c>
      <c r="E42" s="55" t="n">
        <v>5157</v>
      </c>
      <c r="F42" s="46" t="inlineStr">
        <is>
          <t>hours</t>
        </is>
      </c>
      <c r="G42" s="46" t="inlineStr">
        <is>
          <t>Benchmark KPIs</t>
        </is>
      </c>
      <c r="H42" s="90" t="inlineStr">
        <is>
          <t>Verified</t>
        </is>
      </c>
      <c r="I42" s="46" t="inlineStr">
        <is>
          <t>2032 Job Detail Report.pdf (Sage Timberline, 04/03/2026, 72 pages)</t>
        </is>
      </c>
    </row>
    <row r="43">
      <c r="B43" s="79" t="n">
        <v>38</v>
      </c>
      <c r="C43" s="48" t="inlineStr">
        <is>
          <t>total_workers</t>
        </is>
      </c>
      <c r="D43" s="48" t="inlineStr">
        <is>
          <t>Total Workers</t>
        </is>
      </c>
      <c r="E43" s="79" t="n">
        <v>26</v>
      </c>
      <c r="F43" s="48" t="inlineStr">
        <is>
          <t>count</t>
        </is>
      </c>
      <c r="G43" s="48" t="inlineStr">
        <is>
          <t>Benchmark KPIs</t>
        </is>
      </c>
      <c r="H43" s="90" t="inlineStr">
        <is>
          <t>Verified</t>
        </is>
      </c>
      <c r="I43" s="48" t="inlineStr">
        <is>
          <t>2032 Job Detail Report.pdf (Sage Timberline, 04/03/2026, 72 pages)</t>
        </is>
      </c>
      <c r="J43" s="52" t="n"/>
    </row>
    <row r="44">
      <c r="B44" s="78" t="n">
        <v>39</v>
      </c>
      <c r="C44" s="46" t="inlineStr">
        <is>
          <t>blended_gross_wage</t>
        </is>
      </c>
      <c r="D44" s="46" t="inlineStr">
        <is>
          <t>Blended Gross Wage</t>
        </is>
      </c>
      <c r="E44" s="54" t="n">
        <v>26.07431646305992</v>
      </c>
      <c r="F44" s="46" t="inlineStr">
        <is>
          <t>USD/hr</t>
        </is>
      </c>
      <c r="G44" s="46" t="inlineStr">
        <is>
          <t>Benchmark KPIs</t>
        </is>
      </c>
      <c r="H44" s="90" t="inlineStr">
        <is>
          <t>Verified</t>
        </is>
      </c>
      <c r="I44" s="85" t="inlineStr">
        <is>
          <t>Derived</t>
        </is>
      </c>
    </row>
    <row r="45">
      <c r="B45" s="79" t="n">
        <v>40</v>
      </c>
      <c r="C45" s="48" t="inlineStr">
        <is>
          <t>fully_loaded_wage</t>
        </is>
      </c>
      <c r="D45" s="48" t="inlineStr">
        <is>
          <t>Fully-Loaded Wage</t>
        </is>
      </c>
      <c r="E45" s="75" t="n">
        <v>39.6515668024045</v>
      </c>
      <c r="F45" s="48" t="inlineStr">
        <is>
          <t>USD/hr</t>
        </is>
      </c>
      <c r="G45" s="48" t="inlineStr">
        <is>
          <t>Benchmark KPIs</t>
        </is>
      </c>
      <c r="H45" s="90" t="inlineStr">
        <is>
          <t>Verified</t>
        </is>
      </c>
      <c r="I45" s="85" t="inlineStr">
        <is>
          <t>Derived</t>
        </is>
      </c>
      <c r="J45" s="52" t="n"/>
    </row>
    <row r="46">
      <c r="B46" s="78" t="n">
        <v>41</v>
      </c>
      <c r="C46" s="46" t="inlineStr">
        <is>
          <t>burden_multiplier</t>
        </is>
      </c>
      <c r="D46" s="46" t="inlineStr">
        <is>
          <t>Burden Multiplier</t>
        </is>
      </c>
      <c r="E46" s="98" t="n">
        <v>1.520713567259943</v>
      </c>
      <c r="F46" s="46" t="inlineStr">
        <is>
          <t>x</t>
        </is>
      </c>
      <c r="G46" s="46" t="inlineStr">
        <is>
          <t>Benchmark KPIs</t>
        </is>
      </c>
      <c r="H46" s="90" t="inlineStr">
        <is>
          <t>Verified</t>
        </is>
      </c>
      <c r="I46" s="85" t="inlineStr">
        <is>
          <t>Derived</t>
        </is>
      </c>
    </row>
    <row r="47">
      <c r="B47" s="79" t="n">
        <v>42</v>
      </c>
      <c r="C47" s="48" t="inlineStr">
        <is>
          <t>revenue_per_hour</t>
        </is>
      </c>
      <c r="D47" s="48" t="inlineStr">
        <is>
          <t>Revenue per Hour</t>
        </is>
      </c>
      <c r="E47" s="75" t="n">
        <v>140.8576691875121</v>
      </c>
      <c r="F47" s="48" t="inlineStr">
        <is>
          <t>USD/hr</t>
        </is>
      </c>
      <c r="G47" s="48" t="inlineStr">
        <is>
          <t>Benchmark KPIs</t>
        </is>
      </c>
      <c r="H47" s="90" t="inlineStr">
        <is>
          <t>Verified</t>
        </is>
      </c>
      <c r="I47" s="85" t="inlineStr">
        <is>
          <t>Derived</t>
        </is>
      </c>
      <c r="J47" s="52" t="n"/>
    </row>
    <row r="48">
      <c r="B48" s="78" t="n">
        <v>43</v>
      </c>
      <c r="C48" s="46" t="inlineStr">
        <is>
          <t>profit_per_hour</t>
        </is>
      </c>
      <c r="D48" s="46" t="inlineStr">
        <is>
          <t>Profit per Hour</t>
        </is>
      </c>
      <c r="E48" s="54" t="n">
        <v>63.62390537133992</v>
      </c>
      <c r="F48" s="46" t="inlineStr">
        <is>
          <t>USD/hr</t>
        </is>
      </c>
      <c r="G48" s="46" t="inlineStr">
        <is>
          <t>Benchmark KPIs</t>
        </is>
      </c>
      <c r="H48" s="90" t="inlineStr">
        <is>
          <t>Verified</t>
        </is>
      </c>
      <c r="I48" s="85" t="inlineStr">
        <is>
          <t>Derived</t>
        </is>
      </c>
    </row>
    <row r="49">
      <c r="B49" s="79" t="n">
        <v>44</v>
      </c>
      <c r="C49" s="48" t="inlineStr">
        <is>
          <t>revenue_per_unit</t>
        </is>
      </c>
      <c r="D49" s="48" t="inlineStr">
        <is>
          <t>Revenue per Unit</t>
        </is>
      </c>
      <c r="E49" s="75" t="n">
        <v>10231.02816901408</v>
      </c>
      <c r="F49" s="48" t="inlineStr">
        <is>
          <t>USD</t>
        </is>
      </c>
      <c r="G49" s="48" t="inlineStr">
        <is>
          <t>Benchmark KPIs</t>
        </is>
      </c>
      <c r="H49" s="90" t="inlineStr">
        <is>
          <t>Verified</t>
        </is>
      </c>
      <c r="I49" s="85" t="inlineStr">
        <is>
          <t>Derived</t>
        </is>
      </c>
      <c r="J49" s="52" t="n"/>
    </row>
    <row r="50">
      <c r="B50" s="78" t="n">
        <v>45</v>
      </c>
      <c r="C50" s="46" t="inlineStr">
        <is>
          <t>cost_per_unit</t>
        </is>
      </c>
      <c r="D50" s="46" t="inlineStr">
        <is>
          <t>Direct Cost per Unit</t>
        </is>
      </c>
      <c r="E50" s="54" t="n">
        <v>5609.781971830987</v>
      </c>
      <c r="F50" s="46" t="inlineStr">
        <is>
          <t>USD</t>
        </is>
      </c>
      <c r="G50" s="46" t="inlineStr">
        <is>
          <t>Benchmark KPIs</t>
        </is>
      </c>
      <c r="H50" s="90" t="inlineStr">
        <is>
          <t>Verified</t>
        </is>
      </c>
      <c r="I50" s="85" t="inlineStr">
        <is>
          <t>Derived</t>
        </is>
      </c>
    </row>
    <row r="51">
      <c r="B51" s="79" t="n">
        <v>46</v>
      </c>
      <c r="C51" s="48" t="inlineStr">
        <is>
          <t>hours_per_unit</t>
        </is>
      </c>
      <c r="D51" s="48" t="inlineStr">
        <is>
          <t>Labor Hours per Unit</t>
        </is>
      </c>
      <c r="E51" s="71" t="n">
        <v>72.63380281690141</v>
      </c>
      <c r="F51" s="48" t="inlineStr">
        <is>
          <t>hours</t>
        </is>
      </c>
      <c r="G51" s="48" t="inlineStr">
        <is>
          <t>Benchmark KPIs</t>
        </is>
      </c>
      <c r="H51" s="90" t="inlineStr">
        <is>
          <t>Verified</t>
        </is>
      </c>
      <c r="I51" s="85" t="inlineStr">
        <is>
          <t>Derived</t>
        </is>
      </c>
      <c r="J51" s="52" t="n"/>
    </row>
    <row r="52">
      <c r="B52" s="78" t="n">
        <v>47</v>
      </c>
      <c r="C52" s="46" t="inlineStr">
        <is>
          <t>labor_pct_revenue</t>
        </is>
      </c>
      <c r="D52" s="46" t="inlineStr">
        <is>
          <t>Labor % of Revenue</t>
        </is>
      </c>
      <c r="E52" s="94" t="n">
        <v>0.1851110884729276</v>
      </c>
      <c r="F52" s="46" t="inlineStr">
        <is>
          <t>%</t>
        </is>
      </c>
      <c r="G52" s="46" t="inlineStr">
        <is>
          <t>Benchmark KPIs</t>
        </is>
      </c>
      <c r="H52" s="90" t="inlineStr">
        <is>
          <t>Verified</t>
        </is>
      </c>
      <c r="I52" s="85" t="inlineStr">
        <is>
          <t>Derived</t>
        </is>
      </c>
    </row>
    <row r="53">
      <c r="B53" s="79" t="n">
        <v>48</v>
      </c>
      <c r="C53" s="48" t="inlineStr">
        <is>
          <t>material_pct_revenue</t>
        </is>
      </c>
      <c r="D53" s="48" t="inlineStr">
        <is>
          <t>Material % of Revenue</t>
        </is>
      </c>
      <c r="E53" s="91" t="n">
        <v>0.2308643136110396</v>
      </c>
      <c r="F53" s="48" t="inlineStr">
        <is>
          <t>%</t>
        </is>
      </c>
      <c r="G53" s="48" t="inlineStr">
        <is>
          <t>Benchmark KPIs</t>
        </is>
      </c>
      <c r="H53" s="90" t="inlineStr">
        <is>
          <t>Verified</t>
        </is>
      </c>
      <c r="I53" s="85" t="inlineStr">
        <is>
          <t>Derived</t>
        </is>
      </c>
      <c r="J53" s="52" t="n"/>
    </row>
    <row r="54">
      <c r="B54" s="78" t="n">
        <v>49</v>
      </c>
      <c r="C54" s="46" t="inlineStr">
        <is>
          <t>total_vendors</t>
        </is>
      </c>
      <c r="D54" s="46" t="inlineStr">
        <is>
          <t>Total Vendors (AP)</t>
        </is>
      </c>
      <c r="E54" s="78" t="n">
        <v>17</v>
      </c>
      <c r="F54" s="46" t="inlineStr">
        <is>
          <t>count</t>
        </is>
      </c>
      <c r="G54" s="46" t="inlineStr">
        <is>
          <t>Vendors</t>
        </is>
      </c>
      <c r="H54" s="90" t="inlineStr">
        <is>
          <t>Verified</t>
        </is>
      </c>
      <c r="I54" s="46" t="inlineStr">
        <is>
          <t>2032 Job Detail Report.pdf (Sage Timberline, 04/03/2026, 72 pages)</t>
        </is>
      </c>
    </row>
    <row r="55">
      <c r="B55" s="79" t="n">
        <v>50</v>
      </c>
      <c r="C55" s="48" t="inlineStr">
        <is>
          <t>total_invoices</t>
        </is>
      </c>
      <c r="D55" s="48" t="inlineStr">
        <is>
          <t>Total Invoices (AR)</t>
        </is>
      </c>
      <c r="E55" s="79" t="n">
        <v>13</v>
      </c>
      <c r="F55" s="48" t="inlineStr">
        <is>
          <t>count</t>
        </is>
      </c>
      <c r="G55" s="48" t="inlineStr">
        <is>
          <t>Billing &amp; SOV</t>
        </is>
      </c>
      <c r="H55" s="90" t="inlineStr">
        <is>
          <t>Verified</t>
        </is>
      </c>
      <c r="I55" s="48" t="inlineStr">
        <is>
          <t>2032 Job Detail Report.pdf (Sage Timberline, 04/03/2026, 72 pages)</t>
        </is>
      </c>
      <c r="J55" s="52" t="n"/>
    </row>
    <row r="56">
      <c r="B56" s="78" t="n">
        <v>51</v>
      </c>
      <c r="C56" s="46" t="inlineStr">
        <is>
          <t>rfi_count</t>
        </is>
      </c>
      <c r="D56" s="46" t="inlineStr">
        <is>
          <t>RFI Count</t>
        </is>
      </c>
      <c r="E56" s="78" t="n">
        <v>0</v>
      </c>
      <c r="F56" s="46" t="inlineStr">
        <is>
          <t>count</t>
        </is>
      </c>
      <c r="G56" s="46" t="inlineStr">
        <is>
          <t>Change Log</t>
        </is>
      </c>
      <c r="H56" s="90" t="inlineStr">
        <is>
          <t>Verified</t>
        </is>
      </c>
      <c r="I56" s="46" t="inlineStr">
        <is>
          <t>ASI-RFI/ (empty)</t>
        </is>
      </c>
    </row>
    <row r="57">
      <c r="B57" s="79" t="n">
        <v>52</v>
      </c>
      <c r="C57" s="48" t="inlineStr">
        <is>
          <t>asi_count</t>
        </is>
      </c>
      <c r="D57" s="48" t="inlineStr">
        <is>
          <t>ASI Count</t>
        </is>
      </c>
      <c r="E57" s="79" t="n">
        <v>1</v>
      </c>
      <c r="F57" s="48" t="inlineStr">
        <is>
          <t>count</t>
        </is>
      </c>
      <c r="G57" s="48" t="inlineStr">
        <is>
          <t>Change Log</t>
        </is>
      </c>
      <c r="H57" s="90" t="inlineStr">
        <is>
          <t>Verified</t>
        </is>
      </c>
      <c r="I57" s="48" t="inlineStr">
        <is>
          <t>ASI-RFI</t>
        </is>
      </c>
      <c r="J57" s="52" t="n"/>
    </row>
    <row r="58">
      <c r="B58" s="78" t="n">
        <v>53</v>
      </c>
      <c r="C58" s="46" t="inlineStr">
        <is>
          <t>submittal_count</t>
        </is>
      </c>
      <c r="D58" s="46" t="inlineStr">
        <is>
          <t>Submittal Count</t>
        </is>
      </c>
      <c r="E58" s="78" t="n">
        <v>60</v>
      </c>
      <c r="F58" s="46" t="inlineStr">
        <is>
          <t>count</t>
        </is>
      </c>
      <c r="G58" s="46" t="inlineStr">
        <is>
          <t>Change Log</t>
        </is>
      </c>
      <c r="H58" s="90" t="inlineStr">
        <is>
          <t>Verified</t>
        </is>
      </c>
      <c r="I58" s="46" t="inlineStr">
        <is>
          <t>Submittals/</t>
        </is>
      </c>
    </row>
    <row r="59">
      <c r="B59" s="79" t="n">
        <v>54</v>
      </c>
      <c r="C59" s="48" t="inlineStr">
        <is>
          <t>permit_count</t>
        </is>
      </c>
      <c r="D59" s="48" t="inlineStr">
        <is>
          <t>Permit Count</t>
        </is>
      </c>
      <c r="E59" s="79" t="n">
        <v>3</v>
      </c>
      <c r="F59" s="48" t="inlineStr">
        <is>
          <t>count</t>
        </is>
      </c>
      <c r="G59" s="48" t="inlineStr">
        <is>
          <t>Change Log</t>
        </is>
      </c>
      <c r="H59" s="90" t="inlineStr">
        <is>
          <t>Verified</t>
        </is>
      </c>
      <c r="I59" s="48" t="inlineStr">
        <is>
          <t>Permits/</t>
        </is>
      </c>
      <c r="J59" s="52" t="n"/>
    </row>
    <row r="60">
      <c r="B60" s="78" t="n">
        <v>55</v>
      </c>
      <c r="C60" s="46" t="inlineStr">
        <is>
          <t>po_count</t>
        </is>
      </c>
      <c r="D60" s="46" t="inlineStr">
        <is>
          <t>PO Count</t>
        </is>
      </c>
      <c r="E60" s="78" t="n">
        <v>118</v>
      </c>
      <c r="F60" s="46" t="inlineStr">
        <is>
          <t>count</t>
        </is>
      </c>
      <c r="G60" s="46" t="inlineStr">
        <is>
          <t>Change Log</t>
        </is>
      </c>
      <c r="H60" s="90" t="inlineStr">
        <is>
          <t>Verified</t>
        </is>
      </c>
      <c r="I60" s="46" t="inlineStr">
        <is>
          <t>PO's/</t>
        </is>
      </c>
    </row>
    <row r="61">
      <c r="B61" s="79" t="n">
        <v>56</v>
      </c>
      <c r="C61" s="48" t="inlineStr">
        <is>
          <t>fixture_total</t>
        </is>
      </c>
      <c r="D61" s="48" t="inlineStr">
        <is>
          <t>Total Fixtures</t>
        </is>
      </c>
      <c r="E61" s="79" t="n">
        <v>388</v>
      </c>
      <c r="F61" s="48" t="inlineStr">
        <is>
          <t>count</t>
        </is>
      </c>
      <c r="G61" s="48" t="inlineStr">
        <is>
          <t>Benchmark KPIs</t>
        </is>
      </c>
      <c r="H61" s="90" t="inlineStr">
        <is>
          <t>Verified</t>
        </is>
      </c>
      <c r="I61" s="48" t="inlineStr">
        <is>
          <t>Fixture Submittal</t>
        </is>
      </c>
      <c r="J61" s="52" t="n"/>
    </row>
    <row r="62">
      <c r="B62" s="78" t="n">
        <v>57</v>
      </c>
      <c r="C62" s="46" t="inlineStr">
        <is>
          <t>top_worker_hours_share</t>
        </is>
      </c>
      <c r="D62" s="46" t="inlineStr">
        <is>
          <t>Top Worker Hours Share</t>
        </is>
      </c>
      <c r="E62" s="94" t="n">
        <v>0.1614310645724258</v>
      </c>
      <c r="F62" s="46" t="inlineStr">
        <is>
          <t>%</t>
        </is>
      </c>
      <c r="G62" s="46" t="inlineStr">
        <is>
          <t>Crew Analytics</t>
        </is>
      </c>
      <c r="H62" s="90" t="inlineStr">
        <is>
          <t>Verified</t>
        </is>
      </c>
      <c r="I62" s="85" t="inlineStr">
        <is>
          <t>Derived</t>
        </is>
      </c>
    </row>
    <row r="63">
      <c r="B63" s="79" t="n">
        <v>58</v>
      </c>
      <c r="C63" s="48" t="inlineStr">
        <is>
          <t>top5_worker_hours_share</t>
        </is>
      </c>
      <c r="D63" s="48" t="inlineStr">
        <is>
          <t>Top 5 Worker Hours Share</t>
        </is>
      </c>
      <c r="E63" s="91" t="n">
        <v>0.6281752957145628</v>
      </c>
      <c r="F63" s="48" t="inlineStr">
        <is>
          <t>%</t>
        </is>
      </c>
      <c r="G63" s="48" t="inlineStr">
        <is>
          <t>Crew Analytics</t>
        </is>
      </c>
      <c r="H63" s="90" t="inlineStr">
        <is>
          <t>Verified</t>
        </is>
      </c>
      <c r="I63" s="85" t="inlineStr">
        <is>
          <t>Derived</t>
        </is>
      </c>
      <c r="J63" s="52" t="n"/>
    </row>
    <row r="64">
      <c r="B64" s="78" t="n">
        <v>59</v>
      </c>
      <c r="C64" s="46" t="inlineStr">
        <is>
          <t>cost_code_count</t>
        </is>
      </c>
      <c r="D64" s="46" t="inlineStr">
        <is>
          <t>Cost Codes Active</t>
        </is>
      </c>
      <c r="E64" s="78" t="n">
        <v>27</v>
      </c>
      <c r="F64" s="46" t="inlineStr">
        <is>
          <t>count</t>
        </is>
      </c>
      <c r="G64" s="46" t="inlineStr">
        <is>
          <t>Budget vs Actual</t>
        </is>
      </c>
      <c r="H64" s="90" t="inlineStr">
        <is>
          <t>Verified</t>
        </is>
      </c>
      <c r="I64" s="46" t="inlineStr">
        <is>
          <t>2032 Job Detail Report.pdf (Sage Timberline, 04/03/2026, 72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1" t="inlineStr">
        <is>
          <t>Reconciliation</t>
        </is>
      </c>
    </row>
    <row r="3" ht="22" customHeight="1">
      <c r="B3" s="42" t="inlineStr">
        <is>
          <t>Cross-sheet formula checks</t>
        </is>
      </c>
    </row>
    <row r="4" ht="2" customHeight="1">
      <c r="B4" s="43" t="n"/>
      <c r="C4" s="43" t="n"/>
      <c r="D4" s="43" t="n"/>
      <c r="E4" s="43" t="n"/>
      <c r="F4" s="43" t="n"/>
      <c r="G4" s="43" t="n"/>
      <c r="H4" s="43" t="n"/>
      <c r="I4" s="43" t="n"/>
      <c r="J4" s="43" t="n"/>
    </row>
    <row r="5">
      <c r="B5" s="64" t="inlineStr">
        <is>
          <t>#</t>
        </is>
      </c>
      <c r="C5" s="64" t="inlineStr">
        <is>
          <t>Check</t>
        </is>
      </c>
      <c r="D5" s="64" t="inlineStr">
        <is>
          <t>Value A</t>
        </is>
      </c>
      <c r="E5" s="64" t="inlineStr">
        <is>
          <t>Value B</t>
        </is>
      </c>
      <c r="F5" s="64" t="inlineStr">
        <is>
          <t>Delta</t>
        </is>
      </c>
      <c r="G5" s="64" t="inlineStr">
        <is>
          <t>Status</t>
        </is>
      </c>
      <c r="H5" s="64" t="inlineStr">
        <is>
          <t>Tabs</t>
        </is>
      </c>
    </row>
    <row r="6">
      <c r="B6" s="78" t="n">
        <v>1</v>
      </c>
      <c r="C6" s="46" t="inlineStr">
        <is>
          <t>Revenue (JDR) = Contract Final</t>
        </is>
      </c>
      <c r="D6" s="54" t="n">
        <v>726403</v>
      </c>
      <c r="E6" s="54" t="n">
        <v>726403</v>
      </c>
      <c r="F6" s="66">
        <f>D6-E6</f>
        <v/>
      </c>
      <c r="G6" s="46">
        <f>IF(ABS(F6)&lt;=1,"TIES",IF(ABS(F6)&lt;=ABS(E6)*0.05,"WITHIN","OFF"))</f>
        <v/>
      </c>
      <c r="H6" s="46" t="inlineStr">
        <is>
          <t>1↔8</t>
        </is>
      </c>
    </row>
    <row r="7">
      <c r="B7" s="79" t="n">
        <v>2</v>
      </c>
      <c r="C7" s="48" t="inlineStr">
        <is>
          <t>Expenses = Labor+Material+OH+Burden+Tax</t>
        </is>
      </c>
      <c r="D7" s="75" t="n">
        <v>398294.52</v>
      </c>
      <c r="E7" s="75" t="n">
        <v>398294.52</v>
      </c>
      <c r="F7" s="69">
        <f>D7-E7</f>
        <v/>
      </c>
      <c r="G7" s="48">
        <f>IF(ABS(F7)&lt;=1,"TIES",IF(ABS(F7)&lt;=ABS(E7)*0.05,"WITHIN","OFF"))</f>
        <v/>
      </c>
      <c r="H7" s="48" t="inlineStr">
        <is>
          <t>1↔3</t>
        </is>
      </c>
      <c r="I7" s="52" t="n"/>
      <c r="J7" s="52" t="n"/>
    </row>
    <row r="8">
      <c r="B8" s="78" t="n">
        <v>3</v>
      </c>
      <c r="C8" s="46" t="inlineStr">
        <is>
          <t>Net Profit = Revenue - Expenses</t>
        </is>
      </c>
      <c r="D8" s="54" t="n">
        <v>328108.48</v>
      </c>
      <c r="E8" s="54" t="n">
        <v>328108.48</v>
      </c>
      <c r="F8" s="66">
        <f>D8-E8</f>
        <v/>
      </c>
      <c r="G8" s="46">
        <f>IF(ABS(F8)&lt;=1,"TIES",IF(ABS(F8)&lt;=ABS(E8)*0.05,"WITHIN","OFF"))</f>
        <v/>
      </c>
      <c r="H8" s="46" t="inlineStr">
        <is>
          <t>1↔Derived</t>
        </is>
      </c>
    </row>
    <row r="9">
      <c r="B9" s="79" t="n">
        <v>4</v>
      </c>
      <c r="C9" s="48" t="inlineStr">
        <is>
          <t>JDR Source: AP+PR+GL = Expenses</t>
        </is>
      </c>
      <c r="D9" s="75" t="n">
        <v>336545.63</v>
      </c>
      <c r="E9" s="75" t="n">
        <v>398294.52</v>
      </c>
      <c r="F9" s="69">
        <f>D9-E9</f>
        <v/>
      </c>
      <c r="G9" s="48">
        <f>IF(ABS(F9)&lt;=1,"TIES",IF(ABS(F9)&lt;=ABS(E9)*0.05,"WITHIN","OFF"))</f>
        <v/>
      </c>
      <c r="H9" s="48" t="inlineStr">
        <is>
          <t>1↔Derived (footer)</t>
        </is>
      </c>
      <c r="I9" s="52" t="n"/>
      <c r="J9" s="52" t="n"/>
    </row>
    <row r="10">
      <c r="B10" s="78" t="n">
        <v>5</v>
      </c>
      <c r="C10" s="46" t="inlineStr">
        <is>
          <t>Budget vs Actual (code 999) = -Revenue</t>
        </is>
      </c>
      <c r="D10" s="54" t="n">
        <v>726403</v>
      </c>
      <c r="E10" s="54" t="n">
        <v>726403</v>
      </c>
      <c r="F10" s="66">
        <f>D10-E10</f>
        <v/>
      </c>
      <c r="G10" s="46">
        <f>IF(ABS(F10)&lt;=1,"TIES",IF(ABS(F10)&lt;=ABS(E10)*0.05,"WITHIN","OFF"))</f>
        <v/>
      </c>
      <c r="H10" s="46" t="inlineStr">
        <is>
          <t>2↔1</t>
        </is>
      </c>
    </row>
    <row r="11">
      <c r="B11" s="79" t="n">
        <v>6</v>
      </c>
      <c r="C11" s="48" t="inlineStr">
        <is>
          <t>Total Labor Hours = Worker hours sum</t>
        </is>
      </c>
      <c r="D11" s="75" t="n">
        <v>5157</v>
      </c>
      <c r="E11" s="75" t="n">
        <v>5277.5</v>
      </c>
      <c r="F11" s="69">
        <f>D11-E11</f>
        <v/>
      </c>
      <c r="G11" s="48">
        <f>IF(ABS(F11)&lt;=1,"TIES",IF(ABS(F11)&lt;=ABS(E11)*0.05,"WITHIN","OFF"))</f>
        <v/>
      </c>
      <c r="H11" s="48" t="inlineStr">
        <is>
          <t>5↔2</t>
        </is>
      </c>
      <c r="I11" s="52" t="n"/>
      <c r="J11" s="52" t="n"/>
    </row>
    <row r="12">
      <c r="B12" s="78" t="n">
        <v>7</v>
      </c>
      <c r="C12" s="46" t="inlineStr">
        <is>
          <t>Labor Cost = Worker gross sum</t>
        </is>
      </c>
      <c r="D12" s="54" t="n">
        <v>134465.25</v>
      </c>
      <c r="E12" s="54" t="n">
        <v>134044</v>
      </c>
      <c r="F12" s="66">
        <f>D12-E12</f>
        <v/>
      </c>
      <c r="G12" s="46">
        <f>IF(ABS(F12)&lt;=1,"TIES",IF(ABS(F12)&lt;=ABS(E12)*0.05,"WITHIN","OFF"))</f>
        <v/>
      </c>
      <c r="H12" s="46" t="inlineStr">
        <is>
          <t>5↔3</t>
        </is>
      </c>
    </row>
    <row r="13">
      <c r="B13" s="79" t="n">
        <v>8</v>
      </c>
      <c r="C13" s="48" t="inlineStr">
        <is>
          <t>Vendor total ≈ AP footer</t>
        </is>
      </c>
      <c r="D13" s="75" t="n">
        <v>175969.52</v>
      </c>
      <c r="E13" s="75" t="n">
        <v>175969.52</v>
      </c>
      <c r="F13" s="69">
        <f>D13-E13</f>
        <v/>
      </c>
      <c r="G13" s="48">
        <f>IF(ABS(F13)&lt;=1,"TIES",IF(ABS(F13)&lt;=ABS(E13)*0.05,"WITHIN","OFF"))</f>
        <v/>
      </c>
      <c r="H13" s="48" t="inlineStr">
        <is>
          <t>12↔1 (approximate)</t>
        </is>
      </c>
      <c r="I13" s="52" t="n"/>
      <c r="J13" s="52" t="n"/>
    </row>
    <row r="14">
      <c r="B14" s="78" t="n">
        <v>9</v>
      </c>
      <c r="C14" s="46" t="inlineStr">
        <is>
          <t>Invoice count</t>
        </is>
      </c>
      <c r="D14" s="78" t="n">
        <v>13</v>
      </c>
      <c r="E14" s="78" t="n">
        <v>13</v>
      </c>
      <c r="F14" s="66">
        <f>D14-E14</f>
        <v/>
      </c>
      <c r="G14" s="46">
        <f>IF(ABS(F14)&lt;=1,"TIES",IF(ABS(F14)&lt;=ABS(E14)*0.05,"WITHIN","OFF"))</f>
        <v/>
      </c>
      <c r="H14" s="46" t="inlineStr">
        <is>
          <t>9↔1</t>
        </is>
      </c>
    </row>
    <row r="15">
      <c r="B15" s="79" t="n">
        <v>10</v>
      </c>
      <c r="C15" s="48" t="inlineStr">
        <is>
          <t>Contract Final - Orig = CO implied</t>
        </is>
      </c>
      <c r="D15" s="75" t="n">
        <v>41103</v>
      </c>
      <c r="E15" s="75" t="n">
        <v>41103</v>
      </c>
      <c r="F15" s="69">
        <f>D15-E15</f>
        <v/>
      </c>
      <c r="G15" s="48">
        <f>IF(ABS(F15)&lt;=1,"TIES",IF(ABS(F15)&lt;=ABS(E15)*0.05,"WITHIN","OFF"))</f>
        <v/>
      </c>
      <c r="H15" s="48" t="inlineStr">
        <is>
          <t>11↔Derived</t>
        </is>
      </c>
      <c r="I15" s="52" t="n"/>
      <c r="J15" s="52" t="n"/>
    </row>
    <row r="16">
      <c r="B16" s="78" t="n">
        <v>11</v>
      </c>
      <c r="C16" s="46" t="inlineStr">
        <is>
          <t>CO implied vs documented (gap)</t>
        </is>
      </c>
      <c r="D16" s="54" t="n">
        <v>41103</v>
      </c>
      <c r="E16" s="54" t="n">
        <v>41603</v>
      </c>
      <c r="F16" s="66">
        <f>D16-E16</f>
        <v/>
      </c>
      <c r="G16" s="46">
        <f>IF(ABS(F16)&lt;=1,"TIES",IF(ABS(F16)&lt;=ABS(E16)*0.05,"WITHIN","OFF"))</f>
        <v/>
      </c>
      <c r="H16" s="46" t="inlineStr">
        <is>
          <t>Deductive scope revision</t>
        </is>
      </c>
    </row>
    <row r="17">
      <c r="B17" s="79" t="n">
        <v>12</v>
      </c>
      <c r="C17" s="48" t="inlineStr">
        <is>
          <t>Retainage outstanding</t>
        </is>
      </c>
      <c r="D17" s="75" t="n">
        <v>36320.15</v>
      </c>
      <c r="E17" s="75" t="n">
        <v>36320.15</v>
      </c>
      <c r="F17" s="69">
        <f>D17-E17</f>
        <v/>
      </c>
      <c r="G17" s="48">
        <f>IF(ABS(F17)&lt;=1,"TIES",IF(ABS(F17)&lt;=ABS(E17)*0.05,"WITHIN","OFF"))</f>
        <v/>
      </c>
      <c r="H17" s="48" t="inlineStr">
        <is>
          <t>9↔JDR footer</t>
        </is>
      </c>
      <c r="I17" s="52" t="n"/>
      <c r="J17" s="52" t="n"/>
    </row>
    <row r="18">
      <c r="B18" s="78" t="n">
        <v>13</v>
      </c>
      <c r="C18" s="46" t="inlineStr">
        <is>
          <t>Worker count</t>
        </is>
      </c>
      <c r="D18" s="78" t="n">
        <v>26</v>
      </c>
      <c r="E18" s="78" t="n">
        <v>26</v>
      </c>
      <c r="F18" s="66">
        <f>D18-E18</f>
        <v/>
      </c>
      <c r="G18" s="46">
        <f>IF(ABS(F18)&lt;=1,"TIES",IF(ABS(F18)&lt;=ABS(E18)*0.05,"WITHIN","OFF"))</f>
        <v/>
      </c>
      <c r="H18" s="46" t="inlineStr">
        <is>
          <t>5↔1</t>
        </is>
      </c>
    </row>
    <row r="19">
      <c r="B19" s="79" t="n">
        <v>14</v>
      </c>
      <c r="C19" s="48" t="inlineStr">
        <is>
          <t>Cost code count</t>
        </is>
      </c>
      <c r="D19" s="79" t="n">
        <v>27</v>
      </c>
      <c r="E19" s="79" t="n">
        <v>27</v>
      </c>
      <c r="F19" s="69">
        <f>D19-E19</f>
        <v/>
      </c>
      <c r="G19" s="48">
        <f>IF(ABS(F19)&lt;=1,"TIES",IF(ABS(F19)&lt;=ABS(E19)*0.05,"WITHIN","OFF"))</f>
        <v/>
      </c>
      <c r="H19" s="48" t="inlineStr">
        <is>
          <t>2↔16</t>
        </is>
      </c>
      <c r="I19" s="52" t="n"/>
      <c r="J19" s="52" t="n"/>
    </row>
    <row r="20"/>
    <row r="21">
      <c r="B21" s="52" t="n"/>
      <c r="C21" s="52" t="n"/>
      <c r="D21" s="52" t="n"/>
      <c r="E21" s="52" t="n"/>
      <c r="F21" s="52" t="n"/>
      <c r="G21" s="52" t="n"/>
      <c r="H21" s="52" t="n"/>
      <c r="I21" s="52" t="n"/>
      <c r="J21" s="52" t="n"/>
    </row>
    <row r="22">
      <c r="B22" s="57" t="inlineStr">
        <is>
          <t>SOURCES</t>
        </is>
      </c>
      <c r="C22" s="40" t="n"/>
      <c r="D22" s="40" t="n"/>
      <c r="E22" s="40" t="n"/>
      <c r="F22" s="40" t="n"/>
      <c r="G22" s="40" t="n"/>
      <c r="H22" s="40" t="n"/>
    </row>
    <row r="23">
      <c r="B23" s="47" t="inlineStr">
        <is>
          <t>Job #2032 — Cortex v2 17-tab (built from-scratch)</t>
        </is>
      </c>
      <c r="C23" s="49" t="n"/>
      <c r="D23" s="49" t="n"/>
      <c r="E23" s="49" t="n"/>
      <c r="F23" s="49" t="n"/>
      <c r="G23" s="49" t="n"/>
      <c r="H23" s="50" t="n"/>
      <c r="I23" s="52" t="n"/>
      <c r="J23" s="52" t="n"/>
    </row>
    <row r="24">
      <c r="B24" s="45" t="inlineStr">
        <is>
          <t>Canonical financial source: 2032 Job Detail Report.pdf (Sage Timberline, 04/03/2026, 72 pages)</t>
        </is>
      </c>
      <c r="C24" s="6" t="n"/>
      <c r="D24" s="6" t="n"/>
      <c r="E24" s="6" t="n"/>
      <c r="F24" s="6" t="n"/>
      <c r="G24" s="6" t="n"/>
      <c r="H24" s="7" t="n"/>
    </row>
    <row r="25">
      <c r="B25" s="47" t="inlineStr">
        <is>
          <t>JDR Job Totals: Revenue $726,403.00 / Expenses $398,294.52 / Net $328,108.48 / Retainage $36,320.15</t>
        </is>
      </c>
      <c r="C25" s="49" t="n"/>
      <c r="D25" s="49" t="n"/>
      <c r="E25" s="49" t="n"/>
      <c r="F25" s="49" t="n"/>
      <c r="G25" s="49" t="n"/>
      <c r="H25" s="50" t="n"/>
      <c r="I25" s="52" t="n"/>
      <c r="J25" s="52" t="n"/>
    </row>
    <row r="26">
      <c r="B26" s="45" t="inlineStr">
        <is>
          <t>JDR Source breakdown: GL $26,110.86 · AP $175,969.52 · PR $134,465.25 · AR $726,403.00</t>
        </is>
      </c>
      <c r="C26" s="6" t="n"/>
      <c r="D26" s="6" t="n"/>
      <c r="E26" s="6" t="n"/>
      <c r="F26" s="6" t="n"/>
      <c r="G26" s="6" t="n"/>
      <c r="H26" s="7" t="n"/>
    </row>
    <row r="27">
      <c r="B27" s="47" t="inlineStr">
        <is>
          <t>Contract: Blueprint Capital Services Luna Apts-Roosevelt Subcontract (Lump Sum $685,300.00 revised to $726,403.00 via 7 COs, Blueprint Capital Services)</t>
        </is>
      </c>
      <c r="C27" s="49" t="n"/>
      <c r="D27" s="49" t="n"/>
      <c r="E27" s="49" t="n"/>
      <c r="F27" s="49" t="n"/>
      <c r="G27" s="49" t="n"/>
      <c r="H27" s="50" t="n"/>
      <c r="I27" s="52" t="n"/>
      <c r="J27" s="52" t="n"/>
    </row>
    <row r="28">
      <c r="B28" s="45" t="inlineStr">
        <is>
          <t>Bid Proposal: Blueprint Capital Services Luna Apts-Roosevelt Proposal (71-unit fixture and scope details)</t>
        </is>
      </c>
      <c r="C28" s="6" t="n"/>
      <c r="D28" s="6" t="n"/>
      <c r="E28" s="6" t="n"/>
      <c r="F28" s="6" t="n"/>
      <c r="G28" s="6" t="n"/>
      <c r="H28" s="7" t="n"/>
    </row>
    <row r="29">
      <c r="B29" s="47" t="inlineStr">
        <is>
          <t>Fixture schedule: Luna Apts-Roosevelt fixture schedule (71-unit multifamily specification)</t>
        </is>
      </c>
      <c r="C29" s="49" t="n"/>
      <c r="D29" s="49" t="n"/>
      <c r="E29" s="49" t="n"/>
      <c r="F29" s="49" t="n"/>
      <c r="G29" s="49" t="n"/>
      <c r="H29" s="50" t="n"/>
      <c r="I29" s="52" t="n"/>
      <c r="J29" s="52" t="n"/>
    </row>
    <row r="30">
      <c r="B30" s="45" t="inlineStr">
        <is>
          <t>Plumbing narrative: Luna Apts-Roosevelt plumbing narrative (Division 22 specification, current Building Code + UPC with WA amendments)</t>
        </is>
      </c>
      <c r="C30" s="6" t="n"/>
      <c r="D30" s="6" t="n"/>
      <c r="E30" s="6" t="n"/>
      <c r="F30" s="6" t="n"/>
      <c r="G30" s="6" t="n"/>
      <c r="H30" s="7" t="n"/>
    </row>
    <row r="31">
      <c r="B31" s="47" t="inlineStr">
        <is>
          <t>Change Orders: 7 executed COs (net +$41,103.00)</t>
        </is>
      </c>
      <c r="C31" s="49" t="n"/>
      <c r="D31" s="49" t="n"/>
      <c r="E31" s="49" t="n"/>
      <c r="F31" s="49" t="n"/>
      <c r="G31" s="49" t="n"/>
      <c r="H31" s="50" t="n"/>
      <c r="I31" s="52" t="n"/>
      <c r="J31" s="52" t="n"/>
    </row>
    <row r="32">
      <c r="B32" s="45" t="inlineStr">
        <is>
          <t>Project documentation: Complete parsed data from Sage Timberline JDR</t>
        </is>
      </c>
      <c r="C32" s="6" t="n"/>
      <c r="D32" s="6" t="n"/>
      <c r="E32" s="6" t="n"/>
      <c r="F32" s="6" t="n"/>
      <c r="G32" s="6" t="n"/>
      <c r="H32" s="7" t="n"/>
    </row>
    <row r="33">
      <c r="B33" s="47" t="inlineStr">
        <is>
          <t>Financial reconciliation: GL + AP + PR = Expenses; AR = Revenue</t>
        </is>
      </c>
      <c r="C33" s="49" t="n"/>
      <c r="D33" s="49" t="n"/>
      <c r="E33" s="49" t="n"/>
      <c r="F33" s="49" t="n"/>
      <c r="G33" s="49" t="n"/>
      <c r="H33" s="50" t="n"/>
      <c r="I33" s="52" t="n"/>
      <c r="J33" s="52" t="n"/>
    </row>
    <row r="34">
      <c r="B34" s="45" t="inlineStr">
        <is>
          <t>Change Orders: 7 executed COs netting +$41,103.00 = JDR-implied delta (reconciled)</t>
        </is>
      </c>
      <c r="C34" s="6" t="n"/>
      <c r="D34" s="6" t="n"/>
      <c r="E34" s="6" t="n"/>
      <c r="F34" s="6" t="n"/>
      <c r="G34" s="6" t="n"/>
      <c r="H34" s="7" t="n"/>
    </row>
    <row r="35">
      <c r="B35" s="47" t="inlineStr">
        <is>
          <t>TIES = within $1  ·  WITHIN = within 5%  ·  OFF = investigate</t>
        </is>
      </c>
      <c r="C35" s="49" t="n"/>
      <c r="D35" s="49" t="n"/>
      <c r="E35" s="49" t="n"/>
      <c r="F35" s="49" t="n"/>
      <c r="G35" s="49" t="n"/>
      <c r="H35" s="50" t="n"/>
      <c r="I35" s="52" t="n"/>
      <c r="J35" s="52" t="n"/>
    </row>
  </sheetData>
  <mergeCells count="15">
    <mergeCell ref="B32:H32"/>
    <mergeCell ref="B3:J3"/>
    <mergeCell ref="B28:H28"/>
    <mergeCell ref="B26:H26"/>
    <mergeCell ref="B27:H27"/>
    <mergeCell ref="B35:H35"/>
    <mergeCell ref="B24:H24"/>
    <mergeCell ref="B30:H30"/>
    <mergeCell ref="B29:H29"/>
    <mergeCell ref="B33:H33"/>
    <mergeCell ref="B25:H25"/>
    <mergeCell ref="B2:J2"/>
    <mergeCell ref="B34:H34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2026-04-16T23:34:17Z</dcterms:created>
  <dcterms:modified xmlns:dcterms="http://purl.org/dc/terms/" xmlns:xsi="http://www.w3.org/2001/XMLSchema-instance" xsi:type="dcterms:W3CDTF">2026-04-16T23:34:20Z</dcterms:modified>
</cp:coreProperties>
</file>