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<sst xmlns="http://schemas.openxmlformats.org/spreadsheetml/2006/main" count="846" uniqueCount="495">
  <si>
    <t xml:space="preserve">Job #2008 · Exxel Pacific Vivo Apartments</t>
  </si>
  <si>
    <t xml:space="preserve">Cortex JCR Summary  •  Exxel Pacific, Inc.  •  Seattle, WA  •  163-unit multifamily apartments  •  Jun 2013 – Aug 2014 (~15 months)</t>
  </si>
  <si>
    <t xml:space="preserve">PROJECT OVERVIEW</t>
  </si>
  <si>
    <t xml:space="preserve">Project Job #</t>
  </si>
  <si>
    <t xml:space="preserve">2008</t>
  </si>
  <si>
    <t xml:space="preserve">Project Name:</t>
  </si>
  <si>
    <t xml:space="preserve">Exxel Pacific Vivo Apartments</t>
  </si>
  <si>
    <t xml:space="preserve">General Contractor</t>
  </si>
  <si>
    <t xml:space="preserve">Exxel Pacific, Inc.</t>
  </si>
  <si>
    <t xml:space="preserve">Location</t>
  </si>
  <si>
    <t xml:space="preserve">Seattle, WA</t>
  </si>
  <si>
    <t xml:space="preserve">Project Duration</t>
  </si>
  <si>
    <t xml:space="preserve">Jun 2013 – Aug 2014 (~15 months)</t>
  </si>
  <si>
    <t xml:space="preserve">Total Unique Documents</t>
  </si>
  <si>
    <t xml:space="preserve">2008 folder: JDR source document, 163 plumbing units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</si>
  <si>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</si>
  <si>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</si>
  <si>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</si>
  <si>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</si>
  <si>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$2,327,698</t>
  </si>
  <si>
    <t xml:space="preserve">$518,795</t>
  </si>
  <si>
    <t xml:space="preserve">$1,808,903</t>
  </si>
  <si>
    <t xml:space="preserve">29,344</t>
  </si>
  <si>
    <t xml:space="preserve">Original $2,256,200 + $71,498 COs</t>
  </si>
  <si>
    <t xml:space="preserve">22.3% margin</t>
  </si>
  <si>
    <t xml:space="preserve">77.7% of revenue</t>
  </si>
  <si>
    <t xml:space="preserve">49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</si>
  <si>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</si>
  <si>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</si>
  <si>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</si>
  <si>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</si>
  <si>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</si>
  <si>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</si>
  <si>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</si>
  <si>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</si>
  <si>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</si>
  <si>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</si>
  <si>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</si>
  <si>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</si>
  <si>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</si>
  <si>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</si>
  <si>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</si>
  <si>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</si>
  <si>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163</t>
  </si>
  <si>
    <t xml:space="preserve">Total Fixtures</t>
  </si>
  <si>
    <t xml:space="preserve">1786</t>
  </si>
  <si>
    <t xml:space="preserve">Fixtures / Unit</t>
  </si>
  <si>
    <t xml:space="preserve">10.96</t>
  </si>
  <si>
    <t xml:space="preserve">Duration</t>
  </si>
  <si>
    <t xml:space="preserve">15 mo</t>
  </si>
  <si>
    <t xml:space="preserve">SOURCES</t>
  </si>
  <si>
    <t xml:space="preserve">Job #2008 — Exxel Pacific Vivo Apartments  •  GC: Exxel Pacific, Inc.  •  Seattle, WA</t>
  </si>
  <si>
    <t xml:space="preserve">Canonical source: 2008 Job Detail Report.pdf (282 pages, OWP Sage Timberline export)</t>
  </si>
  <si>
    <t xml:space="preserve">Cost codes parsed: 30</t>
  </si>
  <si>
    <t xml:space="preserve">Unit count: 163 (from project specifications)</t>
  </si>
  <si>
    <t xml:space="preserve">Fixture count: 1,786 (estimated at ~11 fixtures per unit for mid-rise apartments)</t>
  </si>
  <si>
    <t xml:space="preserve">Final contract $2,327,698 (original $2,256,200 + $71,498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</si>
  <si>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</si>
  <si>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</si>
  <si>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</si>
  <si>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</si>
  <si>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</si>
  <si>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</si>
  <si>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</si>
  <si>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</si>
  <si>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</si>
  <si>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</si>
  <si>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</si>
  <si>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</si>
  <si>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</si>
  <si>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</si>
  <si>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</si>
  <si>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</si>
  <si>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</si>
  <si>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</si>
  <si>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</si>
  <si>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</si>
  <si>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</si>
  <si>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</si>
  <si>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</si>
  <si>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</si>
  <si>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</si>
  <si>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</si>
  <si>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</si>
  <si>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</si>
  <si>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</si>
  <si>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</si>
  <si>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</si>
  <si>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</si>
  <si>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</si>
  <si>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</si>
  <si>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</si>
  <si>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</si>
  <si>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</si>
  <si>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</si>
  <si>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</si>
  <si>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</si>
  <si>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</si>
  <si>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</si>
  <si>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</si>
  <si>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</si>
  <si>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</si>
  <si>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</si>
  <si>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</si>
  <si>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</si>
  <si>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</si>
  <si>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</si>
  <si>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</si>
  <si>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</si>
  <si>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</si>
  <si>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</si>
  <si>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</si>
  <si>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</si>
  <si>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</si>
  <si>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</si>
  <si>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</si>
  <si>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</si>
  <si>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</si>
  <si>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</si>
  <si>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</si>
  <si>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</si>
  <si>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</si>
  <si>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</si>
  <si>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</si>
  <si>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</si>
  <si>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</si>
  <si>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</si>
  <si>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</si>
  <si>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</si>
  <si>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</si>
  <si>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</si>
  <si>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</si>
  <si>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</si>
  <si>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</si>
  <si>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</si>
  <si>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</si>
  <si>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</si>
  <si>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$816,046 JDR material  •  20 AP vendors  •  $974,278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</si>
  <si>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</si>
  <si>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</si>
  <si>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</si>
  <si>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</si>
  <si>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</si>
  <si>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</si>
  <si>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</si>
  <si>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</si>
  <si>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</si>
  <si>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</si>
  <si>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</si>
  <si>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Mechanical Sales, Inc.</t>
  </si>
  <si>
    <t xml:space="preserve">Keller Supply Company</t>
  </si>
  <si>
    <t xml:space="preserve">Franklin Engineering</t>
  </si>
  <si>
    <t xml:space="preserve">Bank of America CC</t>
  </si>
  <si>
    <t xml:space="preserve">Quality Concrete Products, Inc.</t>
  </si>
  <si>
    <t xml:space="preserve">Duraseal, Inc.</t>
  </si>
  <si>
    <t xml:space="preserve">Fastenal Company</t>
  </si>
  <si>
    <t xml:space="preserve">Kele, Inc</t>
  </si>
  <si>
    <t xml:space="preserve">C.M. Hoskins Company</t>
  </si>
  <si>
    <t xml:space="preserve">Ferguson Enterprises, Inc. #3007</t>
  </si>
  <si>
    <t xml:space="preserve">Capital One Credit Card</t>
  </si>
  <si>
    <t xml:space="preserve">Consolidated Supply Co.</t>
  </si>
  <si>
    <t xml:space="preserve">DRSi</t>
  </si>
  <si>
    <t xml:space="preserve">Structural Imaging, LLC</t>
  </si>
  <si>
    <t xml:space="preserve">Evergreen Concrete Cutting, Inc.</t>
  </si>
  <si>
    <t xml:space="preserve">American Express 3-41000</t>
  </si>
  <si>
    <t xml:space="preserve">R.A. Brown Backflow Testing</t>
  </si>
  <si>
    <t xml:space="preserve">Platt</t>
  </si>
  <si>
    <t xml:space="preserve">Vendor AP ties to JDR 'by Source: AP' line (974,278.44)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</si>
  <si>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</si>
  <si>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</si>
  <si>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</si>
  <si>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</si>
  <si>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</si>
  <si>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</si>
  <si>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Salazar, Hajdar L</t>
  </si>
  <si>
    <t xml:space="preserve">Apprentice</t>
  </si>
  <si>
    <t xml:space="preserve">Reed, Reuben H</t>
  </si>
  <si>
    <t xml:space="preserve">Mid</t>
  </si>
  <si>
    <t xml:space="preserve">Hubbard, Robert W</t>
  </si>
  <si>
    <t xml:space="preserve">Senior</t>
  </si>
  <si>
    <t xml:space="preserve">Sepulveda Gonzalez, Alfredo</t>
  </si>
  <si>
    <t xml:space="preserve">Arreola, Israel A</t>
  </si>
  <si>
    <t xml:space="preserve">Velasquez Cruz, Denis M</t>
  </si>
  <si>
    <t xml:space="preserve">Spears, Gregory M</t>
  </si>
  <si>
    <t xml:space="preserve">Ross, Kelli M</t>
  </si>
  <si>
    <t xml:space="preserve">Cortes Mendiola, Victor H</t>
  </si>
  <si>
    <t xml:space="preserve">Ramirez, Lorenzo A</t>
  </si>
  <si>
    <t xml:space="preserve">Castro Hernandez, Carlos E</t>
  </si>
  <si>
    <t xml:space="preserve">McCabe, Thomas C</t>
  </si>
  <si>
    <t xml:space="preserve">Castaneda Juarez, Gustavo</t>
  </si>
  <si>
    <t xml:space="preserve">Gerard, Jeffrey S</t>
  </si>
  <si>
    <t xml:space="preserve">Balderas Ortiz, Ricardo I</t>
  </si>
  <si>
    <t xml:space="preserve">Lopez Martinez, Abimael</t>
  </si>
  <si>
    <t xml:space="preserve">Castaneda Martinez, Gustavo</t>
  </si>
  <si>
    <t xml:space="preserve">Vega Arriaga, Jorge</t>
  </si>
  <si>
    <t xml:space="preserve">Monico Brambila, Jesus S</t>
  </si>
  <si>
    <t xml:space="preserve">Sanders, Allen O</t>
  </si>
  <si>
    <t xml:space="preserve">Veley, Nathaniel S</t>
  </si>
  <si>
    <t xml:space="preserve">Paco Leyva, Orlando</t>
  </si>
  <si>
    <t xml:space="preserve">Soto Cruz, Jovani</t>
  </si>
  <si>
    <t xml:space="preserve">Alba Martinez, Santiago</t>
  </si>
  <si>
    <t xml:space="preserve">Rivera, Jorge A</t>
  </si>
  <si>
    <t xml:space="preserve">Palma Vides, Hugo</t>
  </si>
  <si>
    <t xml:space="preserve">Waites, Thaddeus Z</t>
  </si>
  <si>
    <t xml:space="preserve">Sanchez Garcia, Adelaido</t>
  </si>
  <si>
    <t xml:space="preserve">Kinssies, Jr, John E</t>
  </si>
  <si>
    <t xml:space="preserve">Soto Serna, Cesar E</t>
  </si>
  <si>
    <t xml:space="preserve">Bateman, Rohan O</t>
  </si>
  <si>
    <t xml:space="preserve">Anderson, Richard P</t>
  </si>
  <si>
    <t xml:space="preserve">Castro Hernandez, Jose A</t>
  </si>
  <si>
    <t xml:space="preserve">Agustin Rodriguez, Ezequiel</t>
  </si>
  <si>
    <t xml:space="preserve">Ramos Banegas, Noel O</t>
  </si>
  <si>
    <t xml:space="preserve">Rivera, Eli P</t>
  </si>
  <si>
    <t xml:space="preserve">Meza Fuentes, Erick A</t>
  </si>
  <si>
    <t xml:space="preserve">Vaughan, Tyler J</t>
  </si>
  <si>
    <t xml:space="preserve">Castaneda Juarez, Edgar D</t>
  </si>
  <si>
    <t xml:space="preserve">Perez, David B</t>
  </si>
  <si>
    <t xml:space="preserve">Ramos Garcia, Jose M</t>
  </si>
  <si>
    <t xml:space="preserve">Hubbard, Dustin R</t>
  </si>
  <si>
    <t xml:space="preserve">Hayton, Evan R</t>
  </si>
  <si>
    <t xml:space="preserve">Lima Romero, Melvin A</t>
  </si>
  <si>
    <t xml:space="preserve">Garcia, Jordan X</t>
  </si>
  <si>
    <t xml:space="preserve">Wilson, Garret A</t>
  </si>
  <si>
    <t xml:space="preserve">Donelson, Richard T</t>
  </si>
  <si>
    <t xml:space="preserve">Reyes, Robert J</t>
  </si>
  <si>
    <t xml:space="preserve">Barnhart, Joseph N</t>
  </si>
  <si>
    <t xml:space="preserve">TOTAL (49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</si>
  <si>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</si>
  <si>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</si>
  <si>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</si>
  <si>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</si>
  <si>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</si>
  <si>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</si>
  <si>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</si>
  <si>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</si>
  <si>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</si>
  <si>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</si>
  <si>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</si>
  <si>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</si>
  <si>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</si>
  <si>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</si>
  <si>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</si>
  <si>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</si>
  <si>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</si>
  <si>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</si>
  <si>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</si>
  <si>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</si>
  <si>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</si>
  <si>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</si>
  <si>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</si>
  <si>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</si>
  <si>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</si>
  <si>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</si>
  <si>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</si>
  <si>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</si>
  <si>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</si>
  <si>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</si>
  <si>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</si>
  <si>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</si>
  <si>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</si>
  <si>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</si>
  <si>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</si>
  <si>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</si>
  <si>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</si>
  <si>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</si>
  <si>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</si>
  <si>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</si>
  <si>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</si>
  <si>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</si>
  <si>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</si>
  <si>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</si>
  <si>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</si>
  <si>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</si>
  <si>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</si>
  <si>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</si>
  <si>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</si>
  <si>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</si>
  <si>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</si>
  <si>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</si>
  <si>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</si>
  <si>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</si>
  <si>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</si>
  <si>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</si>
  <si>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</si>
  <si>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</si>
  <si>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</si>
  <si>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$816,046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</si>
  <si>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</si>
  <si>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</si>
  <si>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</si>
  <si>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</si>
  <si>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</si>
  <si>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</si>
  <si>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</si>
  <si>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</si>
  <si>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</si>
  <si>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</si>
  <si>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</si>
  <si>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</si>
  <si>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</si>
  <si>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</si>
  <si>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Jun 2013 – Aug 2014  •  $2,327,698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</si>
  <si>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</si>
  <si>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</si>
  <si>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</si>
  <si>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</si>
  <si>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</si>
  <si>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</si>
  <si>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</si>
  <si>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</si>
  <si>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</si>
  <si>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</si>
  <si>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</si>
  <si>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</si>
  <si>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</si>
  <si>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</si>
  <si>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</si>
  <si>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</si>
  <si>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</si>
  <si>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</si>
  <si>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</si>
  <si>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</si>
  <si>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#2008 Exxel Pacific Vivo Apartments</t>
  </si>
  <si>
    <t xml:space="preserve">Narrative observations distilled from the full JDR analysis</t>
  </si>
  <si>
    <t xml:space="preserve">MARGIN PROFILE</t>
  </si>
  <si>
    <t xml:space="preserve">Net profit of $518,795 on $2,327,698 revenue = 22.3% gross margin. Direct cost $1,808,903 absorbs 77.7% of revenue.</t>
  </si>
  <si>
    <t xml:space="preserve">VENDOR CONCENTRATION</t>
  </si>
  <si>
    <t xml:space="preserve">Ferguson Enterprises, Inc. alone = $597,586 (61% of all AP) across 204 invoices. Total 20 AP vendors, $974,278 total AP spend.</t>
  </si>
  <si>
    <t xml:space="preserve">CREW PROFILE</t>
  </si>
  <si>
    <t xml:space="preserve">49 workers for 29,344 hours = 599 avg hrs/worker. Top 3 workers logged 5,560 hrs combined (19% of all labor).</t>
  </si>
  <si>
    <t xml:space="preserve">ROUGHIN DOMINANCE</t>
  </si>
  <si>
    <t xml:space="preserve">Code 120 Roughin Labor = 15,344 hrs (52% of all labor) and $303,122 actual. Code 230 Finish Material = $428,881 — 24% of total direct cost.</t>
  </si>
  <si>
    <t xml:space="preserve">BUDGET DELIVERY</t>
  </si>
  <si>
    <t xml:space="preserve">Revised budget was $1,941,405; actual direct cost $1,808,903 → $132,503 variance (6.8% under revised budget).</t>
  </si>
  <si>
    <t xml:space="preserve">CONTRACT GROWTH</t>
  </si>
  <si>
    <t xml:space="preserve">Contract grew from $2,256,200 to $2,327,698 — net +$71,498 (3.2%). Retainage of $116,385 (5%) withheld until closeout.</t>
  </si>
  <si>
    <t xml:space="preserve">BURDEN RATIO</t>
  </si>
  <si>
    <t xml:space="preserve">Burden codes 995 + 998 = $318,859 on $593,780 labor base = 53.7%. In line with OWP's typical 48–50% labor burden.</t>
  </si>
  <si>
    <t xml:space="preserve">PROJECT SCALE</t>
  </si>
  <si>
    <t xml:space="preserve">163 units · 1786 fixtures · 15 months. Revenue/unit $14,280, hours/unit 180.0, profit/unit $3,183.</t>
  </si>
  <si>
    <t xml:space="preserve">PRODUCTIVITY</t>
  </si>
  <si>
    <t xml:space="preserve">Blended labor rate $20.24/hr. Revenue/hour $79. Profit/hour $18. 1,956 hrs/month burn rate.</t>
  </si>
  <si>
    <t xml:space="preserve">FIXTURE DENSITY</t>
  </si>
  <si>
    <t xml:space="preserve">1786 fixtures ÷ 163 units = 10.96 fixtures/unit. Material/fixture $457, labor/fixture $332.</t>
  </si>
  <si>
    <t xml:space="preserve">BIGGEST QUESTION</t>
  </si>
  <si>
    <t xml:space="preserve">How does this job's 22.3%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</si>
  <si>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</si>
  <si>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</si>
  <si>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</si>
  <si>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</si>
  <si>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</si>
  <si>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</si>
  <si>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</si>
  <si>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</si>
  <si>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</si>
  <si>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</si>
  <si>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</si>
  <si>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</si>
  <si>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</si>
  <si>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</si>
  <si>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163-unit multifamily apartments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</si>
  <si>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</si>
  <si>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</si>
  <si>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</si>
  <si>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</si>
  <si>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</si>
  <si>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</si>
  <si>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</si>
  <si>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</si>
  <si>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</si>
  <si>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</si>
  <si>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</si>
  <si>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</si>
  <si>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</si>
  <si>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</si>
  <si>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</si>
  <si>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</si>
  <si>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</si>
  <si>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</si>
  <si>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</si>
  <si>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</si>
  <si>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</si>
  <si>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</si>
  <si>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</si>
  <si>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</si>
  <si>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</si>
  <si>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</si>
  <si>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</si>
  <si>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</si>
  <si>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</si>
  <si>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</si>
  <si>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</si>
  <si>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</si>
  <si>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</si>
  <si>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</si>
  <si>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</si>
  <si>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</si>
  <si>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</si>
  <si>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</si>
  <si>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</si>
  <si>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</si>
  <si>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</si>
  <si>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</si>
  <si>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</si>
  <si>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</si>
  <si>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</si>
  <si>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</si>
  <si>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</si>
  <si>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</si>
  <si>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</si>
  <si>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</si>
  <si>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</si>
  <si>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</si>
  <si>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</si>
  <si>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</si>
  <si>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</si>
  <si>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</si>
  <si>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</si>
  <si>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</si>
  <si>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</si>
  <si>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</si>
  <si>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</si>
  <si>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</si>
  <si>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</si>
  <si>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</si>
  <si>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</si>
  <si>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</si>
  <si>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</si>
  <si>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</si>
  <si>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</si>
  <si>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</si>
  <si>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</si>
  <si>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</si>
  <si>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</si>
  <si>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</si>
  <si>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</si>
  <si>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</si>
  <si>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</si>
  <si>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</si>
  <si>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</si>
  <si>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</si>
  <si>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</si>
  <si>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</si>
  <si>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</si>
  <si>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</si>
  <si>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</si>
  <si>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</si>
  <si>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</si>
  <si>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</si>
  <si>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</si>
  <si>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</si>
  <si>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</si>
  <si>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</si>
  <si>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</si>
  <si>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</si>
  <si>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</si>
  <si>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</si>
  <si>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</si>
  <si>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</si>
  <si>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</si>
  <si>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</si>
  <si>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</si>
  <si>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</si>
  <si>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</si>
  <si>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</si>
  <si>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</si>
  <si>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</si>
  <si>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</si>
  <si>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</si>
  <si>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</si>
  <si>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(11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</si>
  <si>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</si>
  <si>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</si>
  <si>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</si>
  <si>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</si>
  <si>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</si>
  <si>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</si>
  <si>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</si>
  <si>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</si>
  <si>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</si>
  <si>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</si>
  <si>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</si>
  <si>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</si>
  <si>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#2008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</si>
  <si>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</si>
  <si>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</si>
  <si>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</si>
  <si>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</si>
  <si>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</si>
  <si>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</si>
  <si>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2008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</si>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</sst>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0%"/>
    <numFmt numFmtId="173" formatCode="#,##0"/>
    <numFmt numFmtId="174" formatCode="0.0%"/>
    <numFmt numFmtId="175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551450</v>
      </c>
      <c r="D20" s="11" t="n">
        <v>593780.08</v>
      </c>
      <c r="E20" s="11" t="n">
        <f aca="false">C20-D20</f>
        <v>-42330.08</v>
      </c>
      <c r="F20" s="12" t="n">
        <f aca="false">IF(C20=0,0,D20/C20)</f>
        <v>1.076761410826</v>
      </c>
      <c r="G20" s="12" t="n">
        <f aca="false">IF($D$24=0,0,D20/$D$24)</f>
        <v>0.328254272940986</v>
      </c>
    </row>
    <row r="21" customFormat="false" ht="15" hidden="false" customHeight="true" outlineLevel="0" collapsed="false">
      <c r="B21" s="5" t="s">
        <v>35</v>
      </c>
      <c r="C21" s="11" t="n">
        <v>1043740</v>
      </c>
      <c r="D21" s="11" t="n">
        <v>816046.33</v>
      </c>
      <c r="E21" s="11" t="n">
        <f aca="false">C21-D21</f>
        <v>227693.67</v>
      </c>
      <c r="F21" s="12" t="n">
        <f aca="false">IF(C21=0,0,D21/C21)</f>
        <v>0.781848285971602</v>
      </c>
      <c r="G21" s="12" t="n">
        <f aca="false">IF($D$24=0,0,D21/$D$24)</f>
        <v>0.451127789164484</v>
      </c>
    </row>
    <row r="22" customFormat="false" ht="15" hidden="false" customHeight="true" outlineLevel="0" collapsed="false">
      <c r="B22" s="5" t="s">
        <v>36</v>
      </c>
      <c r="C22" s="11" t="n">
        <v>46570</v>
      </c>
      <c r="D22" s="11" t="n">
        <v>80217.45</v>
      </c>
      <c r="E22" s="11" t="n">
        <f aca="false">C22-D22</f>
        <v>-33647.45</v>
      </c>
      <c r="F22" s="12" t="n">
        <f aca="false">IF(C22=0,0,D22/C22)</f>
        <v>1.72251342065708</v>
      </c>
      <c r="G22" s="12" t="n">
        <f aca="false">IF($D$24=0,0,D22/$D$24)</f>
        <v>0.0443459146135888</v>
      </c>
    </row>
    <row r="23" customFormat="false" ht="15" hidden="false" customHeight="true" outlineLevel="0" collapsed="false">
      <c r="B23" s="5" t="s">
        <v>37</v>
      </c>
      <c r="C23" s="11" t="n">
        <v>299645.41</v>
      </c>
      <c r="D23" s="11" t="n">
        <v>318858.96</v>
      </c>
      <c r="E23" s="11" t="n">
        <f aca="false">C23-D23</f>
        <v>-19213.55</v>
      </c>
      <c r="F23" s="12" t="n">
        <f aca="false">IF(C23=0,0,D23/C23)</f>
        <v>1.0641209554987</v>
      </c>
      <c r="G23" s="12" t="n">
        <f aca="false">IF($D$24=0,0,D23/$D$24)</f>
        <v>0.176272023280941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1941405.41</v>
      </c>
      <c r="D24" s="13" t="n">
        <f aca="false">SUM(D20:D23)</f>
        <v>1808902.82</v>
      </c>
      <c r="E24" s="13" t="n">
        <f aca="false">C24-D24</f>
        <v>132502.59</v>
      </c>
      <c r="F24" s="14" t="n">
        <f aca="false">IF(C24=0,0,D24/C24)</f>
        <v>0.931749139403088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49</v>
      </c>
    </row>
    <row r="36" customFormat="false" ht="15" hidden="false" customHeight="true" outlineLevel="0" collapsed="false">
      <c r="B36" s="4" t="s">
        <v>50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51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52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53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54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55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56</v>
      </c>
      <c r="C42" s="3"/>
      <c r="D42" s="3"/>
      <c r="E42" s="3"/>
      <c r="F42" s="3"/>
      <c r="G42" s="3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57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58</v>
      </c>
      <c r="C4" s="10" t="s">
        <v>59</v>
      </c>
      <c r="D4" s="10" t="s">
        <v>60</v>
      </c>
      <c r="E4" s="10" t="s">
        <v>61</v>
      </c>
      <c r="F4" s="10" t="s">
        <v>30</v>
      </c>
      <c r="G4" s="10" t="s">
        <v>31</v>
      </c>
      <c r="H4" s="10" t="s">
        <v>62</v>
      </c>
    </row>
    <row r="5" customFormat="false" ht="15" hidden="false" customHeight="true" outlineLevel="0" collapsed="false">
      <c r="B5" s="4" t="s">
        <v>63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64</v>
      </c>
      <c r="C6" s="5" t="s">
        <v>65</v>
      </c>
      <c r="D6" s="11" t="n">
        <v>46715</v>
      </c>
      <c r="E6" s="11" t="n">
        <v>46715</v>
      </c>
      <c r="F6" s="11" t="n">
        <v>11671.12</v>
      </c>
      <c r="G6" s="11" t="n">
        <f aca="false">E6-F6</f>
        <v>35043.88</v>
      </c>
      <c r="H6" s="12" t="n">
        <f aca="false">IF(E6=0,0,F6/E6)</f>
        <v>0.24983666916408</v>
      </c>
    </row>
    <row r="7" customFormat="false" ht="15" hidden="false" customHeight="true" outlineLevel="0" collapsed="false">
      <c r="B7" s="5" t="s">
        <v>66</v>
      </c>
      <c r="C7" s="5" t="s">
        <v>67</v>
      </c>
      <c r="D7" s="11" t="n">
        <v>11600</v>
      </c>
      <c r="E7" s="11" t="n">
        <v>11915</v>
      </c>
      <c r="F7" s="11" t="n">
        <v>8811.5</v>
      </c>
      <c r="G7" s="11" t="n">
        <f aca="false">E7-F7</f>
        <v>3103.5</v>
      </c>
      <c r="H7" s="12" t="n">
        <f aca="false">IF(E7=0,0,F7/E7)</f>
        <v>0.739530004196391</v>
      </c>
    </row>
    <row r="8" customFormat="false" ht="15" hidden="false" customHeight="true" outlineLevel="0" collapsed="false">
      <c r="B8" s="5" t="s">
        <v>68</v>
      </c>
      <c r="C8" s="5" t="s">
        <v>69</v>
      </c>
      <c r="D8" s="11" t="n">
        <v>10300</v>
      </c>
      <c r="E8" s="11" t="n">
        <v>11560</v>
      </c>
      <c r="F8" s="11" t="n">
        <v>15093.5</v>
      </c>
      <c r="G8" s="11" t="n">
        <f aca="false">E8-F8</f>
        <v>-3533.5</v>
      </c>
      <c r="H8" s="12" t="n">
        <f aca="false">IF(E8=0,0,F8/E8)</f>
        <v>1.3056660899654</v>
      </c>
    </row>
    <row r="9" customFormat="false" ht="15" hidden="false" customHeight="true" outlineLevel="0" collapsed="false">
      <c r="B9" s="5" t="s">
        <v>70</v>
      </c>
      <c r="C9" s="5" t="s">
        <v>71</v>
      </c>
      <c r="D9" s="11" t="n">
        <v>5440</v>
      </c>
      <c r="E9" s="11" t="n">
        <v>5440</v>
      </c>
      <c r="F9" s="11" t="n">
        <v>7757.5</v>
      </c>
      <c r="G9" s="11" t="n">
        <f aca="false">E9-F9</f>
        <v>-2317.5</v>
      </c>
      <c r="H9" s="12" t="n">
        <f aca="false">IF(E9=0,0,F9/E9)</f>
        <v>1.42601102941176</v>
      </c>
    </row>
    <row r="10" customFormat="false" ht="15" hidden="false" customHeight="true" outlineLevel="0" collapsed="false">
      <c r="B10" s="5" t="s">
        <v>72</v>
      </c>
      <c r="C10" s="5" t="s">
        <v>73</v>
      </c>
      <c r="D10" s="11" t="n">
        <v>44625</v>
      </c>
      <c r="E10" s="11" t="n">
        <v>44625</v>
      </c>
      <c r="F10" s="11" t="n">
        <v>38324.13</v>
      </c>
      <c r="G10" s="11" t="n">
        <f aca="false">E10-F10</f>
        <v>6300.87</v>
      </c>
      <c r="H10" s="12" t="n">
        <f aca="false">IF(E10=0,0,F10/E10)</f>
        <v>0.858804033613445</v>
      </c>
    </row>
    <row r="11" customFormat="false" ht="15" hidden="false" customHeight="true" outlineLevel="0" collapsed="false">
      <c r="B11" s="5" t="s">
        <v>74</v>
      </c>
      <c r="C11" s="5" t="s">
        <v>75</v>
      </c>
      <c r="D11" s="11" t="n">
        <v>42255</v>
      </c>
      <c r="E11" s="11" t="n">
        <v>42255</v>
      </c>
      <c r="F11" s="11" t="n">
        <v>29831.5</v>
      </c>
      <c r="G11" s="11" t="n">
        <f aca="false">E11-F11</f>
        <v>12423.5</v>
      </c>
      <c r="H11" s="12" t="n">
        <f aca="false">IF(E11=0,0,F11/E11)</f>
        <v>0.705987457105668</v>
      </c>
    </row>
    <row r="12" customFormat="false" ht="15" hidden="false" customHeight="true" outlineLevel="0" collapsed="false">
      <c r="B12" s="5" t="s">
        <v>76</v>
      </c>
      <c r="C12" s="5" t="s">
        <v>77</v>
      </c>
      <c r="D12" s="11" t="n">
        <v>3400</v>
      </c>
      <c r="E12" s="11" t="n">
        <v>3400</v>
      </c>
      <c r="F12" s="11" t="n">
        <v>2454</v>
      </c>
      <c r="G12" s="11" t="n">
        <f aca="false">E12-F12</f>
        <v>946</v>
      </c>
      <c r="H12" s="12" t="n">
        <f aca="false">IF(E12=0,0,F12/E12)</f>
        <v>0.721764705882353</v>
      </c>
    </row>
    <row r="13" customFormat="false" ht="15" hidden="false" customHeight="true" outlineLevel="0" collapsed="false">
      <c r="B13" s="5" t="s">
        <v>78</v>
      </c>
      <c r="C13" s="5" t="s">
        <v>79</v>
      </c>
      <c r="D13" s="11" t="n">
        <v>261585</v>
      </c>
      <c r="E13" s="11" t="n">
        <v>269760</v>
      </c>
      <c r="F13" s="11" t="n">
        <v>303122.05</v>
      </c>
      <c r="G13" s="11" t="n">
        <f aca="false">E13-F13</f>
        <v>-33362.05</v>
      </c>
      <c r="H13" s="12" t="n">
        <f aca="false">IF(E13=0,0,F13/E13)</f>
        <v>1.12367307977461</v>
      </c>
    </row>
    <row r="14" customFormat="false" ht="15" hidden="false" customHeight="true" outlineLevel="0" collapsed="false">
      <c r="B14" s="5" t="s">
        <v>80</v>
      </c>
      <c r="C14" s="5" t="s">
        <v>81</v>
      </c>
      <c r="D14" s="11" t="n">
        <v>43650</v>
      </c>
      <c r="E14" s="11" t="n">
        <v>49430</v>
      </c>
      <c r="F14" s="11" t="n">
        <v>76368.5</v>
      </c>
      <c r="G14" s="11" t="n">
        <f aca="false">E14-F14</f>
        <v>-26938.5</v>
      </c>
      <c r="H14" s="12" t="n">
        <f aca="false">IF(E14=0,0,F14/E14)</f>
        <v>1.5449828039652</v>
      </c>
    </row>
    <row r="15" customFormat="false" ht="15" hidden="false" customHeight="true" outlineLevel="0" collapsed="false">
      <c r="B15" s="5" t="s">
        <v>82</v>
      </c>
      <c r="C15" s="5" t="s">
        <v>83</v>
      </c>
      <c r="D15" s="11" t="n">
        <v>18000</v>
      </c>
      <c r="E15" s="11" t="n">
        <v>18200</v>
      </c>
      <c r="F15" s="11" t="n">
        <v>21795.5</v>
      </c>
      <c r="G15" s="11" t="n">
        <f aca="false">E15-F15</f>
        <v>-3595.5</v>
      </c>
      <c r="H15" s="12" t="n">
        <f aca="false">IF(E15=0,0,F15/E15)</f>
        <v>1.19755494505495</v>
      </c>
    </row>
    <row r="16" customFormat="false" ht="15" hidden="false" customHeight="true" outlineLevel="0" collapsed="false">
      <c r="B16" s="5" t="s">
        <v>84</v>
      </c>
      <c r="C16" s="5" t="s">
        <v>85</v>
      </c>
      <c r="D16" s="11" t="n">
        <v>40050</v>
      </c>
      <c r="E16" s="11" t="n">
        <v>40050</v>
      </c>
      <c r="F16" s="11" t="n">
        <v>64816.03</v>
      </c>
      <c r="G16" s="11" t="n">
        <f aca="false">E16-F16</f>
        <v>-24766.03</v>
      </c>
      <c r="H16" s="12" t="n">
        <f aca="false">IF(E16=0,0,F16/E16)</f>
        <v>1.61837777777778</v>
      </c>
    </row>
    <row r="17" customFormat="false" ht="15" hidden="false" customHeight="true" outlineLevel="0" collapsed="false">
      <c r="B17" s="5" t="s">
        <v>86</v>
      </c>
      <c r="C17" s="5" t="s">
        <v>87</v>
      </c>
      <c r="D17" s="11" t="n">
        <v>8100</v>
      </c>
      <c r="E17" s="11" t="n">
        <v>8100</v>
      </c>
      <c r="F17" s="11" t="n">
        <v>13633.25</v>
      </c>
      <c r="G17" s="11" t="n">
        <f aca="false">E17-F17</f>
        <v>-5533.25</v>
      </c>
      <c r="H17" s="12" t="n">
        <f aca="false">IF(E17=0,0,F17/E17)</f>
        <v>1.68311728395062</v>
      </c>
    </row>
    <row r="18" customFormat="false" ht="15" hidden="false" customHeight="true" outlineLevel="0" collapsed="false">
      <c r="B18" s="5" t="s">
        <v>88</v>
      </c>
      <c r="C18" s="5" t="s">
        <v>89</v>
      </c>
      <c r="D18" s="11" t="n">
        <v>0</v>
      </c>
      <c r="E18" s="11" t="n">
        <v>0</v>
      </c>
      <c r="F18" s="11" t="n">
        <v>101.5</v>
      </c>
      <c r="G18" s="11" t="n">
        <f aca="false">E18-F18</f>
        <v>-101.5</v>
      </c>
      <c r="H18" s="12" t="n">
        <f aca="false">IF(E18=0,0,F18/E18)</f>
        <v>0</v>
      </c>
    </row>
    <row r="19" customFormat="false" ht="15" hidden="false" customHeight="true" outlineLevel="0" collapsed="false">
      <c r="B19" s="4" t="s">
        <v>90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91</v>
      </c>
      <c r="C20" s="5" t="s">
        <v>92</v>
      </c>
      <c r="D20" s="11" t="n">
        <v>60420</v>
      </c>
      <c r="E20" s="11" t="n">
        <v>60420</v>
      </c>
      <c r="F20" s="11" t="n">
        <v>26220.27</v>
      </c>
      <c r="G20" s="11" t="n">
        <f aca="false">E20-F20</f>
        <v>34199.73</v>
      </c>
      <c r="H20" s="12" t="n">
        <f aca="false">IF(E20=0,0,F20/E20)</f>
        <v>0.433966732869911</v>
      </c>
    </row>
    <row r="21" customFormat="false" ht="15" hidden="false" customHeight="true" outlineLevel="0" collapsed="false">
      <c r="B21" s="5" t="s">
        <v>93</v>
      </c>
      <c r="C21" s="5" t="s">
        <v>94</v>
      </c>
      <c r="D21" s="11" t="n">
        <v>3000</v>
      </c>
      <c r="E21" s="11" t="n">
        <v>3000</v>
      </c>
      <c r="F21" s="11" t="n">
        <v>10852.76</v>
      </c>
      <c r="G21" s="11" t="n">
        <f aca="false">E21-F21</f>
        <v>-7852.76</v>
      </c>
      <c r="H21" s="12" t="n">
        <f aca="false">IF(E21=0,0,F21/E21)</f>
        <v>3.61758666666667</v>
      </c>
    </row>
    <row r="22" customFormat="false" ht="15" hidden="false" customHeight="true" outlineLevel="0" collapsed="false">
      <c r="B22" s="5" t="s">
        <v>95</v>
      </c>
      <c r="C22" s="5" t="s">
        <v>96</v>
      </c>
      <c r="D22" s="11" t="n">
        <v>33750</v>
      </c>
      <c r="E22" s="11" t="n">
        <v>33750</v>
      </c>
      <c r="F22" s="11" t="n">
        <v>15831.2</v>
      </c>
      <c r="G22" s="11" t="n">
        <f aca="false">E22-F22</f>
        <v>17918.8</v>
      </c>
      <c r="H22" s="12" t="n">
        <f aca="false">IF(E22=0,0,F22/E22)</f>
        <v>0.469072592592593</v>
      </c>
    </row>
    <row r="23" customFormat="false" ht="15" hidden="false" customHeight="true" outlineLevel="0" collapsed="false">
      <c r="B23" s="5" t="s">
        <v>97</v>
      </c>
      <c r="C23" s="5" t="s">
        <v>98</v>
      </c>
      <c r="D23" s="11" t="n">
        <v>70425</v>
      </c>
      <c r="E23" s="11" t="n">
        <v>70425</v>
      </c>
      <c r="F23" s="11" t="n">
        <v>58265.64</v>
      </c>
      <c r="G23" s="11" t="n">
        <f aca="false">E23-F23</f>
        <v>12159.36</v>
      </c>
      <c r="H23" s="12" t="n">
        <f aca="false">IF(E23=0,0,F23/E23)</f>
        <v>0.827343130990415</v>
      </c>
    </row>
    <row r="24" customFormat="false" ht="15" hidden="false" customHeight="true" outlineLevel="0" collapsed="false">
      <c r="B24" s="5" t="s">
        <v>99</v>
      </c>
      <c r="C24" s="5" t="s">
        <v>100</v>
      </c>
      <c r="D24" s="11" t="n">
        <v>10550</v>
      </c>
      <c r="E24" s="11" t="n">
        <v>10550</v>
      </c>
      <c r="F24" s="11" t="n">
        <v>2839.07</v>
      </c>
      <c r="G24" s="11" t="n">
        <f aca="false">E24-F24</f>
        <v>7710.93</v>
      </c>
      <c r="H24" s="12" t="n">
        <f aca="false">IF(E24=0,0,F24/E24)</f>
        <v>0.269106161137441</v>
      </c>
    </row>
    <row r="25" customFormat="false" ht="15" hidden="false" customHeight="true" outlineLevel="0" collapsed="false">
      <c r="B25" s="5" t="s">
        <v>101</v>
      </c>
      <c r="C25" s="5" t="s">
        <v>102</v>
      </c>
      <c r="D25" s="11" t="n">
        <v>247610</v>
      </c>
      <c r="E25" s="11" t="n">
        <v>250830</v>
      </c>
      <c r="F25" s="11" t="n">
        <v>178543.02</v>
      </c>
      <c r="G25" s="11" t="n">
        <f aca="false">E25-F25</f>
        <v>72286.98</v>
      </c>
      <c r="H25" s="12" t="n">
        <f aca="false">IF(E25=0,0,F25/E25)</f>
        <v>0.711808874536539</v>
      </c>
    </row>
    <row r="26" customFormat="false" ht="15" hidden="false" customHeight="true" outlineLevel="0" collapsed="false">
      <c r="B26" s="5" t="s">
        <v>103</v>
      </c>
      <c r="C26" s="5" t="s">
        <v>104</v>
      </c>
      <c r="D26" s="11" t="n">
        <v>498050</v>
      </c>
      <c r="E26" s="11" t="n">
        <v>521715</v>
      </c>
      <c r="F26" s="11" t="n">
        <v>428881.3</v>
      </c>
      <c r="G26" s="11" t="n">
        <f aca="false">E26-F26</f>
        <v>92833.7</v>
      </c>
      <c r="H26" s="12" t="n">
        <f aca="false">IF(E26=0,0,F26/E26)</f>
        <v>0.822060511965345</v>
      </c>
    </row>
    <row r="27" customFormat="false" ht="15" hidden="false" customHeight="true" outlineLevel="0" collapsed="false">
      <c r="B27" s="5" t="s">
        <v>105</v>
      </c>
      <c r="C27" s="5" t="s">
        <v>106</v>
      </c>
      <c r="D27" s="11" t="n">
        <v>18000</v>
      </c>
      <c r="E27" s="11" t="n">
        <v>18300</v>
      </c>
      <c r="F27" s="11" t="n">
        <v>11391.29</v>
      </c>
      <c r="G27" s="11" t="n">
        <f aca="false">E27-F27</f>
        <v>6908.71</v>
      </c>
      <c r="H27" s="12" t="n">
        <f aca="false">IF(E27=0,0,F27/E27)</f>
        <v>0.622474863387978</v>
      </c>
    </row>
    <row r="28" customFormat="false" ht="15" hidden="false" customHeight="true" outlineLevel="0" collapsed="false">
      <c r="B28" s="5" t="s">
        <v>107</v>
      </c>
      <c r="C28" s="5" t="s">
        <v>108</v>
      </c>
      <c r="D28" s="11" t="n">
        <v>66750</v>
      </c>
      <c r="E28" s="11" t="n">
        <v>66750</v>
      </c>
      <c r="F28" s="11" t="n">
        <v>80448.24</v>
      </c>
      <c r="G28" s="11" t="n">
        <f aca="false">E28-F28</f>
        <v>-13698.24</v>
      </c>
      <c r="H28" s="12" t="n">
        <f aca="false">IF(E28=0,0,F28/E28)</f>
        <v>1.20521707865169</v>
      </c>
    </row>
    <row r="29" customFormat="false" ht="15" hidden="false" customHeight="true" outlineLevel="0" collapsed="false">
      <c r="B29" s="5" t="s">
        <v>109</v>
      </c>
      <c r="C29" s="5" t="s">
        <v>110</v>
      </c>
      <c r="D29" s="11" t="n">
        <v>5400</v>
      </c>
      <c r="E29" s="11" t="n">
        <v>5400</v>
      </c>
      <c r="F29" s="11" t="n">
        <v>2236.93</v>
      </c>
      <c r="G29" s="11" t="n">
        <f aca="false">E29-F29</f>
        <v>3163.07</v>
      </c>
      <c r="H29" s="12" t="n">
        <f aca="false">IF(E29=0,0,F29/E29)</f>
        <v>0.414246296296296</v>
      </c>
    </row>
    <row r="30" customFormat="false" ht="15" hidden="false" customHeight="true" outlineLevel="0" collapsed="false">
      <c r="B30" s="5" t="s">
        <v>111</v>
      </c>
      <c r="C30" s="5" t="s">
        <v>112</v>
      </c>
      <c r="D30" s="11" t="n">
        <v>2600</v>
      </c>
      <c r="E30" s="11" t="n">
        <v>2600</v>
      </c>
      <c r="F30" s="11" t="n">
        <v>536.61</v>
      </c>
      <c r="G30" s="11" t="n">
        <f aca="false">E30-F30</f>
        <v>2063.39</v>
      </c>
      <c r="H30" s="12" t="n">
        <f aca="false">IF(E30=0,0,F30/E30)</f>
        <v>0.206388461538462</v>
      </c>
    </row>
    <row r="31" customFormat="false" ht="15" hidden="false" customHeight="true" outlineLevel="0" collapsed="false">
      <c r="B31" s="4" t="s">
        <v>113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5" t="s">
        <v>114</v>
      </c>
      <c r="C32" s="5" t="s">
        <v>115</v>
      </c>
      <c r="D32" s="11" t="n">
        <v>7870</v>
      </c>
      <c r="E32" s="11" t="n">
        <v>9070</v>
      </c>
      <c r="F32" s="11" t="n">
        <v>16900.64</v>
      </c>
      <c r="G32" s="11" t="n">
        <f aca="false">E32-F32</f>
        <v>-7830.64</v>
      </c>
      <c r="H32" s="12" t="n">
        <f aca="false">IF(E32=0,0,F32/E32)</f>
        <v>1.86335611907387</v>
      </c>
    </row>
    <row r="33" customFormat="false" ht="15" hidden="false" customHeight="true" outlineLevel="0" collapsed="false">
      <c r="B33" s="5" t="s">
        <v>116</v>
      </c>
      <c r="C33" s="5" t="s">
        <v>117</v>
      </c>
      <c r="D33" s="11" t="n">
        <v>35000</v>
      </c>
      <c r="E33" s="11" t="n">
        <v>35500</v>
      </c>
      <c r="F33" s="11" t="n">
        <v>57119.45</v>
      </c>
      <c r="G33" s="11" t="n">
        <f aca="false">E33-F33</f>
        <v>-21619.45</v>
      </c>
      <c r="H33" s="12" t="n">
        <f aca="false">IF(E33=0,0,F33/E33)</f>
        <v>1.6089985915493</v>
      </c>
    </row>
    <row r="34" customFormat="false" ht="15" hidden="false" customHeight="true" outlineLevel="0" collapsed="false">
      <c r="B34" s="5" t="s">
        <v>118</v>
      </c>
      <c r="C34" s="5" t="s">
        <v>119</v>
      </c>
      <c r="D34" s="11" t="n">
        <v>2000</v>
      </c>
      <c r="E34" s="11" t="n">
        <v>2000</v>
      </c>
      <c r="F34" s="11" t="n">
        <v>6197.36</v>
      </c>
      <c r="G34" s="11" t="n">
        <f aca="false">E34-F34</f>
        <v>-4197.36</v>
      </c>
      <c r="H34" s="12" t="n">
        <f aca="false">IF(E34=0,0,F34/E34)</f>
        <v>3.09868</v>
      </c>
    </row>
    <row r="35" customFormat="false" ht="15" hidden="false" customHeight="true" outlineLevel="0" collapsed="false">
      <c r="B35" s="4" t="s">
        <v>120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5" t="s">
        <v>121</v>
      </c>
      <c r="C36" s="5" t="s">
        <v>122</v>
      </c>
      <c r="D36" s="11" t="n">
        <v>228724</v>
      </c>
      <c r="E36" s="11" t="n">
        <v>254698.59</v>
      </c>
      <c r="F36" s="11" t="n">
        <v>270898.22</v>
      </c>
      <c r="G36" s="11" t="n">
        <f aca="false">E36-F36</f>
        <v>-16199.63</v>
      </c>
      <c r="H36" s="12" t="n">
        <f aca="false">IF(E36=0,0,F36/E36)</f>
        <v>1.06360313969543</v>
      </c>
    </row>
    <row r="37" customFormat="false" ht="15" hidden="false" customHeight="true" outlineLevel="0" collapsed="false">
      <c r="B37" s="5" t="s">
        <v>123</v>
      </c>
      <c r="C37" s="5" t="s">
        <v>124</v>
      </c>
      <c r="D37" s="11" t="n">
        <v>43743.47</v>
      </c>
      <c r="E37" s="11" t="n">
        <v>44946.82</v>
      </c>
      <c r="F37" s="11" t="n">
        <v>47960.74</v>
      </c>
      <c r="G37" s="11" t="n">
        <f aca="false">E37-F37</f>
        <v>-3013.92</v>
      </c>
      <c r="H37" s="12" t="n">
        <f aca="false">IF(E37=0,0,F37/E37)</f>
        <v>1.06705524439771</v>
      </c>
    </row>
    <row r="38" customFormat="false" ht="15" hidden="false" customHeight="true" outlineLevel="0" collapsed="false">
      <c r="B38" s="6" t="s">
        <v>38</v>
      </c>
      <c r="C38" s="6" t="s">
        <v>125</v>
      </c>
      <c r="D38" s="13" t="n">
        <v>1869612.47</v>
      </c>
      <c r="E38" s="13" t="n">
        <v>1941405.41</v>
      </c>
      <c r="F38" s="13" t="n">
        <v>1808902.82</v>
      </c>
      <c r="G38" s="13" t="n">
        <f aca="false">E38-F38</f>
        <v>132502.59</v>
      </c>
      <c r="H38" s="14" t="n">
        <f aca="false">IF(E38=0,0,F38/E38)</f>
        <v>0.931749139403089</v>
      </c>
    </row>
    <row r="41" customFormat="false" ht="15" hidden="false" customHeight="true" outlineLevel="0" collapsed="false">
      <c r="B41" s="4" t="s">
        <v>50</v>
      </c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B42" s="3" t="s">
        <v>51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52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53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54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55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56</v>
      </c>
      <c r="C47" s="3"/>
      <c r="D47" s="3"/>
      <c r="E47" s="3"/>
      <c r="F47" s="3"/>
      <c r="G47" s="3"/>
      <c r="H47" s="3"/>
    </row>
  </sheetData>
  <mergeCells count="12">
    <mergeCell ref="B2:H2"/>
    <mergeCell ref="B5:H5"/>
    <mergeCell ref="B19:H19"/>
    <mergeCell ref="B31:H31"/>
    <mergeCell ref="B35:H35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126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127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128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129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551450</v>
      </c>
      <c r="E6" s="11" t="n">
        <v>593780.08</v>
      </c>
      <c r="F6" s="11" t="n">
        <f aca="false">D6-E6</f>
        <v>-42330.08</v>
      </c>
      <c r="G6" s="12" t="n">
        <f aca="false">IF(D6=0,0,E6/D6)</f>
        <v>1.076761410826</v>
      </c>
      <c r="H6" s="12" t="n">
        <f aca="false">IF(1808902.82=0,0,E6/1808902.82)</f>
        <v>0.328254272940986</v>
      </c>
      <c r="I6" s="11" t="n">
        <f aca="false">IF(163=0,0,E6/163)</f>
        <v>3642.82257668712</v>
      </c>
    </row>
    <row r="7" customFormat="false" ht="15" hidden="false" customHeight="true" outlineLevel="0" collapsed="false">
      <c r="B7" s="5" t="s">
        <v>35</v>
      </c>
      <c r="C7" s="15" t="n">
        <v>11</v>
      </c>
      <c r="D7" s="11" t="n">
        <v>1043740</v>
      </c>
      <c r="E7" s="11" t="n">
        <v>816046.33</v>
      </c>
      <c r="F7" s="11" t="n">
        <f aca="false">D7-E7</f>
        <v>227693.67</v>
      </c>
      <c r="G7" s="12" t="n">
        <f aca="false">IF(D7=0,0,E7/D7)</f>
        <v>0.781848285971602</v>
      </c>
      <c r="H7" s="12" t="n">
        <f aca="false">IF(1808902.82=0,0,E7/1808902.82)</f>
        <v>0.451127789164484</v>
      </c>
      <c r="I7" s="11" t="n">
        <f aca="false">IF(163=0,0,E7/163)</f>
        <v>5006.41920245399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46570</v>
      </c>
      <c r="E8" s="11" t="n">
        <v>80217.45</v>
      </c>
      <c r="F8" s="11" t="n">
        <f aca="false">D8-E8</f>
        <v>-33647.45</v>
      </c>
      <c r="G8" s="12" t="n">
        <f aca="false">IF(D8=0,0,E8/D8)</f>
        <v>1.72251342065708</v>
      </c>
      <c r="H8" s="12" t="n">
        <f aca="false">IF(1808902.82=0,0,E8/1808902.82)</f>
        <v>0.0443459146135888</v>
      </c>
      <c r="I8" s="11" t="n">
        <f aca="false">IF(163=0,0,E8/163)</f>
        <v>492.131595092025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299645.41</v>
      </c>
      <c r="E9" s="11" t="n">
        <v>318858.96</v>
      </c>
      <c r="F9" s="11" t="n">
        <f aca="false">D9-E9</f>
        <v>-19213.55</v>
      </c>
      <c r="G9" s="12" t="n">
        <f aca="false">IF(D9=0,0,E9/D9)</f>
        <v>1.0641209554987</v>
      </c>
      <c r="H9" s="12" t="n">
        <f aca="false">IF(1808902.82=0,0,E9/1808902.82)</f>
        <v>0.176272023280941</v>
      </c>
      <c r="I9" s="11" t="n">
        <f aca="false">IF(163=0,0,E9/163)</f>
        <v>1956.18993865031</v>
      </c>
    </row>
    <row r="12" customFormat="false" ht="15" hidden="false" customHeight="true" outlineLevel="0" collapsed="false">
      <c r="B12" s="4" t="s">
        <v>130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58</v>
      </c>
      <c r="C13" s="10" t="s">
        <v>59</v>
      </c>
      <c r="D13" s="10" t="s">
        <v>61</v>
      </c>
      <c r="E13" s="10" t="s">
        <v>30</v>
      </c>
      <c r="F13" s="10" t="s">
        <v>131</v>
      </c>
      <c r="G13" s="10" t="s">
        <v>132</v>
      </c>
    </row>
    <row r="14" customFormat="false" ht="15" hidden="false" customHeight="true" outlineLevel="0" collapsed="false">
      <c r="B14" s="5" t="s">
        <v>78</v>
      </c>
      <c r="C14" s="5" t="s">
        <v>79</v>
      </c>
      <c r="D14" s="11" t="n">
        <v>269760</v>
      </c>
      <c r="E14" s="11" t="n">
        <v>303122.05</v>
      </c>
      <c r="F14" s="11" t="n">
        <f aca="false">E14-D14</f>
        <v>33362.05</v>
      </c>
      <c r="G14" s="12" t="n">
        <f aca="false">IF(D14=0,0,F14/D14)</f>
        <v>0.123673079774614</v>
      </c>
    </row>
    <row r="15" customFormat="false" ht="15" hidden="false" customHeight="true" outlineLevel="0" collapsed="false">
      <c r="B15" s="5" t="s">
        <v>80</v>
      </c>
      <c r="C15" s="5" t="s">
        <v>81</v>
      </c>
      <c r="D15" s="11" t="n">
        <v>49430</v>
      </c>
      <c r="E15" s="11" t="n">
        <v>76368.5</v>
      </c>
      <c r="F15" s="11" t="n">
        <f aca="false">E15-D15</f>
        <v>26938.5</v>
      </c>
      <c r="G15" s="12" t="n">
        <f aca="false">IF(D15=0,0,F15/D15)</f>
        <v>0.544982803965203</v>
      </c>
    </row>
    <row r="16" customFormat="false" ht="15" hidden="false" customHeight="true" outlineLevel="0" collapsed="false">
      <c r="B16" s="5" t="s">
        <v>84</v>
      </c>
      <c r="C16" s="5" t="s">
        <v>85</v>
      </c>
      <c r="D16" s="11" t="n">
        <v>40050</v>
      </c>
      <c r="E16" s="11" t="n">
        <v>64816.03</v>
      </c>
      <c r="F16" s="11" t="n">
        <f aca="false">E16-D16</f>
        <v>24766.03</v>
      </c>
      <c r="G16" s="12" t="n">
        <f aca="false">IF(D16=0,0,F16/D16)</f>
        <v>0.618377777777778</v>
      </c>
    </row>
    <row r="17" customFormat="false" ht="15" hidden="false" customHeight="true" outlineLevel="0" collapsed="false">
      <c r="B17" s="5" t="s">
        <v>116</v>
      </c>
      <c r="C17" s="5" t="s">
        <v>117</v>
      </c>
      <c r="D17" s="11" t="n">
        <v>35500</v>
      </c>
      <c r="E17" s="11" t="n">
        <v>57119.45</v>
      </c>
      <c r="F17" s="11" t="n">
        <f aca="false">E17-D17</f>
        <v>21619.45</v>
      </c>
      <c r="G17" s="12" t="n">
        <f aca="false">IF(D17=0,0,F17/D17)</f>
        <v>0.608998591549296</v>
      </c>
    </row>
    <row r="18" customFormat="false" ht="15" hidden="false" customHeight="true" outlineLevel="0" collapsed="false">
      <c r="B18" s="5" t="s">
        <v>121</v>
      </c>
      <c r="C18" s="5" t="s">
        <v>122</v>
      </c>
      <c r="D18" s="11" t="n">
        <v>254698.59</v>
      </c>
      <c r="E18" s="11" t="n">
        <v>270898.22</v>
      </c>
      <c r="F18" s="11" t="n">
        <f aca="false">E18-D18</f>
        <v>16199.63</v>
      </c>
      <c r="G18" s="12" t="n">
        <f aca="false">IF(D18=0,0,F18/D18)</f>
        <v>0.0636031396954336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66750</v>
      </c>
      <c r="E19" s="11" t="n">
        <v>80448.24</v>
      </c>
      <c r="F19" s="11" t="n">
        <f aca="false">E19-D19</f>
        <v>13698.24</v>
      </c>
      <c r="G19" s="12" t="n">
        <f aca="false">IF(D19=0,0,F19/D19)</f>
        <v>0.205217078651685</v>
      </c>
    </row>
    <row r="20" customFormat="false" ht="15" hidden="false" customHeight="true" outlineLevel="0" collapsed="false">
      <c r="B20" s="5" t="s">
        <v>93</v>
      </c>
      <c r="C20" s="5" t="s">
        <v>94</v>
      </c>
      <c r="D20" s="11" t="n">
        <v>3000</v>
      </c>
      <c r="E20" s="11" t="n">
        <v>10852.76</v>
      </c>
      <c r="F20" s="11" t="n">
        <f aca="false">E20-D20</f>
        <v>7852.76</v>
      </c>
      <c r="G20" s="12" t="n">
        <f aca="false">IF(D20=0,0,F20/D20)</f>
        <v>2.61758666666667</v>
      </c>
    </row>
    <row r="21" customFormat="false" ht="15" hidden="false" customHeight="true" outlineLevel="0" collapsed="false">
      <c r="B21" s="5" t="s">
        <v>114</v>
      </c>
      <c r="C21" s="5" t="s">
        <v>115</v>
      </c>
      <c r="D21" s="11" t="n">
        <v>9070</v>
      </c>
      <c r="E21" s="11" t="n">
        <v>16900.64</v>
      </c>
      <c r="F21" s="11" t="n">
        <f aca="false">E21-D21</f>
        <v>7830.64</v>
      </c>
      <c r="G21" s="12" t="n">
        <f aca="false">IF(D21=0,0,F21/D21)</f>
        <v>0.86335611907387</v>
      </c>
    </row>
    <row r="22" customFormat="false" ht="15" hidden="false" customHeight="true" outlineLevel="0" collapsed="false">
      <c r="B22" s="5" t="s">
        <v>86</v>
      </c>
      <c r="C22" s="5" t="s">
        <v>87</v>
      </c>
      <c r="D22" s="11" t="n">
        <v>8100</v>
      </c>
      <c r="E22" s="11" t="n">
        <v>13633.25</v>
      </c>
      <c r="F22" s="11" t="n">
        <f aca="false">E22-D22</f>
        <v>5533.25</v>
      </c>
      <c r="G22" s="12" t="n">
        <f aca="false">IF(D22=0,0,F22/D22)</f>
        <v>0.683117283950617</v>
      </c>
    </row>
    <row r="23" customFormat="false" ht="15" hidden="false" customHeight="true" outlineLevel="0" collapsed="false">
      <c r="B23" s="5" t="s">
        <v>118</v>
      </c>
      <c r="C23" s="5" t="s">
        <v>119</v>
      </c>
      <c r="D23" s="11" t="n">
        <v>2000</v>
      </c>
      <c r="E23" s="11" t="n">
        <v>6197.36</v>
      </c>
      <c r="F23" s="11" t="n">
        <f aca="false">E23-D23</f>
        <v>4197.36</v>
      </c>
      <c r="G23" s="12" t="n">
        <f aca="false">IF(D23=0,0,F23/D23)</f>
        <v>2.09868</v>
      </c>
    </row>
    <row r="26" customFormat="false" ht="15" hidden="false" customHeight="true" outlineLevel="0" collapsed="false">
      <c r="B26" s="4" t="s">
        <v>133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58</v>
      </c>
      <c r="C27" s="10" t="s">
        <v>59</v>
      </c>
      <c r="D27" s="10" t="s">
        <v>61</v>
      </c>
      <c r="E27" s="10" t="s">
        <v>30</v>
      </c>
      <c r="F27" s="10" t="s">
        <v>134</v>
      </c>
      <c r="G27" s="10" t="s">
        <v>135</v>
      </c>
    </row>
    <row r="28" customFormat="false" ht="15" hidden="false" customHeight="true" outlineLevel="0" collapsed="false">
      <c r="B28" s="5" t="s">
        <v>103</v>
      </c>
      <c r="C28" s="5" t="s">
        <v>104</v>
      </c>
      <c r="D28" s="11" t="n">
        <v>521715</v>
      </c>
      <c r="E28" s="11" t="n">
        <v>428881.3</v>
      </c>
      <c r="F28" s="11" t="n">
        <f aca="false">D28-E28</f>
        <v>92833.7</v>
      </c>
      <c r="G28" s="12" t="n">
        <f aca="false">IF(D28=0,0,F28/D28)</f>
        <v>0.177939488034655</v>
      </c>
    </row>
    <row r="29" customFormat="false" ht="15" hidden="false" customHeight="true" outlineLevel="0" collapsed="false">
      <c r="B29" s="5" t="s">
        <v>101</v>
      </c>
      <c r="C29" s="5" t="s">
        <v>102</v>
      </c>
      <c r="D29" s="11" t="n">
        <v>250830</v>
      </c>
      <c r="E29" s="11" t="n">
        <v>178543.02</v>
      </c>
      <c r="F29" s="11" t="n">
        <f aca="false">D29-E29</f>
        <v>72286.98</v>
      </c>
      <c r="G29" s="12" t="n">
        <f aca="false">IF(D29=0,0,F29/D29)</f>
        <v>0.288191125463461</v>
      </c>
    </row>
    <row r="30" customFormat="false" ht="15" hidden="false" customHeight="true" outlineLevel="0" collapsed="false">
      <c r="B30" s="5" t="s">
        <v>64</v>
      </c>
      <c r="C30" s="5" t="s">
        <v>65</v>
      </c>
      <c r="D30" s="11" t="n">
        <v>46715</v>
      </c>
      <c r="E30" s="11" t="n">
        <v>11671.12</v>
      </c>
      <c r="F30" s="11" t="n">
        <f aca="false">D30-E30</f>
        <v>35043.88</v>
      </c>
      <c r="G30" s="12" t="n">
        <f aca="false">IF(D30=0,0,F30/D30)</f>
        <v>0.75016333083592</v>
      </c>
    </row>
    <row r="31" customFormat="false" ht="15" hidden="false" customHeight="true" outlineLevel="0" collapsed="false">
      <c r="B31" s="5" t="s">
        <v>91</v>
      </c>
      <c r="C31" s="5" t="s">
        <v>92</v>
      </c>
      <c r="D31" s="11" t="n">
        <v>60420</v>
      </c>
      <c r="E31" s="11" t="n">
        <v>26220.27</v>
      </c>
      <c r="F31" s="11" t="n">
        <f aca="false">D31-E31</f>
        <v>34199.73</v>
      </c>
      <c r="G31" s="12" t="n">
        <f aca="false">IF(D31=0,0,F31/D31)</f>
        <v>0.566033267130089</v>
      </c>
    </row>
    <row r="32" customFormat="false" ht="15" hidden="false" customHeight="true" outlineLevel="0" collapsed="false">
      <c r="B32" s="5" t="s">
        <v>95</v>
      </c>
      <c r="C32" s="5" t="s">
        <v>96</v>
      </c>
      <c r="D32" s="11" t="n">
        <v>33750</v>
      </c>
      <c r="E32" s="11" t="n">
        <v>15831.2</v>
      </c>
      <c r="F32" s="11" t="n">
        <f aca="false">D32-E32</f>
        <v>17918.8</v>
      </c>
      <c r="G32" s="12" t="n">
        <f aca="false">IF(D32=0,0,F32/D32)</f>
        <v>0.530927407407407</v>
      </c>
    </row>
    <row r="33" customFormat="false" ht="15" hidden="false" customHeight="true" outlineLevel="0" collapsed="false">
      <c r="B33" s="5" t="s">
        <v>74</v>
      </c>
      <c r="C33" s="5" t="s">
        <v>75</v>
      </c>
      <c r="D33" s="11" t="n">
        <v>42255</v>
      </c>
      <c r="E33" s="11" t="n">
        <v>29831.5</v>
      </c>
      <c r="F33" s="11" t="n">
        <f aca="false">D33-E33</f>
        <v>12423.5</v>
      </c>
      <c r="G33" s="12" t="n">
        <f aca="false">IF(D33=0,0,F33/D33)</f>
        <v>0.294012542894332</v>
      </c>
    </row>
    <row r="34" customFormat="false" ht="15" hidden="false" customHeight="true" outlineLevel="0" collapsed="false">
      <c r="B34" s="5" t="s">
        <v>97</v>
      </c>
      <c r="C34" s="5" t="s">
        <v>98</v>
      </c>
      <c r="D34" s="11" t="n">
        <v>70425</v>
      </c>
      <c r="E34" s="11" t="n">
        <v>58265.64</v>
      </c>
      <c r="F34" s="11" t="n">
        <f aca="false">D34-E34</f>
        <v>12159.36</v>
      </c>
      <c r="G34" s="12" t="n">
        <f aca="false">IF(D34=0,0,F34/D34)</f>
        <v>0.172656869009585</v>
      </c>
    </row>
    <row r="35" customFormat="false" ht="15" hidden="false" customHeight="true" outlineLevel="0" collapsed="false">
      <c r="B35" s="5" t="s">
        <v>99</v>
      </c>
      <c r="C35" s="5" t="s">
        <v>100</v>
      </c>
      <c r="D35" s="11" t="n">
        <v>10550</v>
      </c>
      <c r="E35" s="11" t="n">
        <v>2839.07</v>
      </c>
      <c r="F35" s="11" t="n">
        <f aca="false">D35-E35</f>
        <v>7710.93</v>
      </c>
      <c r="G35" s="12" t="n">
        <f aca="false">IF(D35=0,0,F35/D35)</f>
        <v>0.730893838862559</v>
      </c>
    </row>
    <row r="36" customFormat="false" ht="15" hidden="false" customHeight="true" outlineLevel="0" collapsed="false">
      <c r="B36" s="5" t="s">
        <v>105</v>
      </c>
      <c r="C36" s="5" t="s">
        <v>106</v>
      </c>
      <c r="D36" s="11" t="n">
        <v>18300</v>
      </c>
      <c r="E36" s="11" t="n">
        <v>11391.29</v>
      </c>
      <c r="F36" s="11" t="n">
        <f aca="false">D36-E36</f>
        <v>6908.71</v>
      </c>
      <c r="G36" s="12" t="n">
        <f aca="false">IF(D36=0,0,F36/D36)</f>
        <v>0.377525136612022</v>
      </c>
    </row>
    <row r="37" customFormat="false" ht="15" hidden="false" customHeight="true" outlineLevel="0" collapsed="false">
      <c r="B37" s="5" t="s">
        <v>72</v>
      </c>
      <c r="C37" s="5" t="s">
        <v>73</v>
      </c>
      <c r="D37" s="11" t="n">
        <v>44625</v>
      </c>
      <c r="E37" s="11" t="n">
        <v>38324.13</v>
      </c>
      <c r="F37" s="11" t="n">
        <f aca="false">D37-E37</f>
        <v>6300.87</v>
      </c>
      <c r="G37" s="12" t="n">
        <f aca="false">IF(D37=0,0,F37/D37)</f>
        <v>0.141195966386555</v>
      </c>
    </row>
    <row r="40" customFormat="false" ht="15" hidden="false" customHeight="true" outlineLevel="0" collapsed="false">
      <c r="B40" s="4" t="s">
        <v>50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3" t="s">
        <v>51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52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53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54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55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56</v>
      </c>
      <c r="C46" s="3"/>
      <c r="D46" s="3"/>
      <c r="E46" s="3"/>
      <c r="F46" s="3"/>
      <c r="G46" s="3"/>
      <c r="H46" s="3"/>
      <c r="I46" s="3"/>
    </row>
  </sheetData>
  <mergeCells count="11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  <mergeCell ref="B45:I45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137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138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58</v>
      </c>
      <c r="C6" s="10" t="s">
        <v>59</v>
      </c>
      <c r="D6" s="10" t="s">
        <v>61</v>
      </c>
      <c r="E6" s="10" t="s">
        <v>30</v>
      </c>
      <c r="F6" s="10" t="s">
        <v>31</v>
      </c>
      <c r="G6" s="10" t="s">
        <v>62</v>
      </c>
      <c r="H6" s="10" t="s">
        <v>139</v>
      </c>
      <c r="I6" s="10" t="s">
        <v>129</v>
      </c>
    </row>
    <row r="7" customFormat="false" ht="15" hidden="false" customHeight="true" outlineLevel="0" collapsed="false">
      <c r="B7" s="5" t="s">
        <v>91</v>
      </c>
      <c r="C7" s="5" t="s">
        <v>92</v>
      </c>
      <c r="D7" s="11" t="n">
        <v>60420</v>
      </c>
      <c r="E7" s="11" t="n">
        <v>26220.27</v>
      </c>
      <c r="F7" s="11" t="n">
        <f aca="false">D7-E7</f>
        <v>34199.73</v>
      </c>
      <c r="G7" s="12" t="n">
        <f aca="false">IF(D7=0,0,E7/D7)</f>
        <v>0.433966732869911</v>
      </c>
      <c r="H7" s="12" t="n">
        <f aca="false">IF(816046.33=0,0,E7/816046.33)</f>
        <v>0.0321308595309779</v>
      </c>
      <c r="I7" s="11" t="n">
        <f aca="false">IF(163=0,0,E7/163)</f>
        <v>160.860552147239</v>
      </c>
    </row>
    <row r="8" customFormat="false" ht="15" hidden="false" customHeight="true" outlineLevel="0" collapsed="false">
      <c r="B8" s="5" t="s">
        <v>93</v>
      </c>
      <c r="C8" s="5" t="s">
        <v>94</v>
      </c>
      <c r="D8" s="11" t="n">
        <v>3000</v>
      </c>
      <c r="E8" s="11" t="n">
        <v>10852.76</v>
      </c>
      <c r="F8" s="11" t="n">
        <f aca="false">D8-E8</f>
        <v>-7852.76</v>
      </c>
      <c r="G8" s="12" t="n">
        <f aca="false">IF(D8=0,0,E8/D8)</f>
        <v>3.61758666666667</v>
      </c>
      <c r="H8" s="12" t="n">
        <f aca="false">IF(816046.33=0,0,E8/816046.33)</f>
        <v>0.0132991958924685</v>
      </c>
      <c r="I8" s="11" t="n">
        <f aca="false">IF(163=0,0,E8/163)</f>
        <v>66.5813496932515</v>
      </c>
    </row>
    <row r="9" customFormat="false" ht="15" hidden="false" customHeight="true" outlineLevel="0" collapsed="false">
      <c r="B9" s="5" t="s">
        <v>95</v>
      </c>
      <c r="C9" s="5" t="s">
        <v>96</v>
      </c>
      <c r="D9" s="11" t="n">
        <v>33750</v>
      </c>
      <c r="E9" s="11" t="n">
        <v>15831.2</v>
      </c>
      <c r="F9" s="11" t="n">
        <f aca="false">D9-E9</f>
        <v>17918.8</v>
      </c>
      <c r="G9" s="12" t="n">
        <f aca="false">IF(D9=0,0,E9/D9)</f>
        <v>0.469072592592593</v>
      </c>
      <c r="H9" s="12" t="n">
        <f aca="false">IF(816046.33=0,0,E9/816046.33)</f>
        <v>0.0193998789259919</v>
      </c>
      <c r="I9" s="11" t="n">
        <f aca="false">IF(163=0,0,E9/163)</f>
        <v>97.1239263803681</v>
      </c>
    </row>
    <row r="10" customFormat="false" ht="15" hidden="false" customHeight="true" outlineLevel="0" collapsed="false">
      <c r="B10" s="5" t="s">
        <v>97</v>
      </c>
      <c r="C10" s="5" t="s">
        <v>98</v>
      </c>
      <c r="D10" s="11" t="n">
        <v>70425</v>
      </c>
      <c r="E10" s="11" t="n">
        <v>58265.64</v>
      </c>
      <c r="F10" s="11" t="n">
        <f aca="false">D10-E10</f>
        <v>12159.36</v>
      </c>
      <c r="G10" s="12" t="n">
        <f aca="false">IF(D10=0,0,E10/D10)</f>
        <v>0.827343130990415</v>
      </c>
      <c r="H10" s="12" t="n">
        <f aca="false">IF(816046.33=0,0,E10/816046.33)</f>
        <v>0.0713999167179638</v>
      </c>
      <c r="I10" s="11" t="n">
        <f aca="false">IF(163=0,0,E10/163)</f>
        <v>357.457914110429</v>
      </c>
    </row>
    <row r="11" customFormat="false" ht="15" hidden="false" customHeight="true" outlineLevel="0" collapsed="false">
      <c r="B11" s="5" t="s">
        <v>99</v>
      </c>
      <c r="C11" s="5" t="s">
        <v>100</v>
      </c>
      <c r="D11" s="11" t="n">
        <v>10550</v>
      </c>
      <c r="E11" s="11" t="n">
        <v>2839.07</v>
      </c>
      <c r="F11" s="11" t="n">
        <f aca="false">D11-E11</f>
        <v>7710.93</v>
      </c>
      <c r="G11" s="12" t="n">
        <f aca="false">IF(D11=0,0,E11/D11)</f>
        <v>0.269106161137441</v>
      </c>
      <c r="H11" s="12" t="n">
        <f aca="false">IF(816046.33=0,0,E11/816046.33)</f>
        <v>0.00347905492081559</v>
      </c>
      <c r="I11" s="11" t="n">
        <f aca="false">IF(163=0,0,E11/163)</f>
        <v>17.4176073619632</v>
      </c>
    </row>
    <row r="12" customFormat="false" ht="15" hidden="false" customHeight="true" outlineLevel="0" collapsed="false">
      <c r="B12" s="5" t="s">
        <v>101</v>
      </c>
      <c r="C12" s="5" t="s">
        <v>102</v>
      </c>
      <c r="D12" s="11" t="n">
        <v>250830</v>
      </c>
      <c r="E12" s="11" t="n">
        <v>178543.02</v>
      </c>
      <c r="F12" s="11" t="n">
        <f aca="false">D12-E12</f>
        <v>72286.98</v>
      </c>
      <c r="G12" s="12" t="n">
        <f aca="false">IF(D12=0,0,E12/D12)</f>
        <v>0.711808874536539</v>
      </c>
      <c r="H12" s="12" t="n">
        <f aca="false">IF(816046.33=0,0,E12/816046.33)</f>
        <v>0.218790298340046</v>
      </c>
      <c r="I12" s="11" t="n">
        <f aca="false">IF(163=0,0,E12/163)</f>
        <v>1095.35595092025</v>
      </c>
    </row>
    <row r="13" customFormat="false" ht="15" hidden="false" customHeight="true" outlineLevel="0" collapsed="false">
      <c r="B13" s="5" t="s">
        <v>103</v>
      </c>
      <c r="C13" s="5" t="s">
        <v>104</v>
      </c>
      <c r="D13" s="11" t="n">
        <v>521715</v>
      </c>
      <c r="E13" s="11" t="n">
        <v>428881.3</v>
      </c>
      <c r="F13" s="11" t="n">
        <f aca="false">D13-E13</f>
        <v>92833.7</v>
      </c>
      <c r="G13" s="12" t="n">
        <f aca="false">IF(D13=0,0,E13/D13)</f>
        <v>0.822060511965345</v>
      </c>
      <c r="H13" s="12" t="n">
        <f aca="false">IF(816046.33=0,0,E13/816046.33)</f>
        <v>0.525559988732503</v>
      </c>
      <c r="I13" s="11" t="n">
        <f aca="false">IF(163=0,0,E13/163)</f>
        <v>2631.1736196319</v>
      </c>
    </row>
    <row r="14" customFormat="false" ht="15" hidden="false" customHeight="true" outlineLevel="0" collapsed="false">
      <c r="B14" s="5" t="s">
        <v>105</v>
      </c>
      <c r="C14" s="5" t="s">
        <v>106</v>
      </c>
      <c r="D14" s="11" t="n">
        <v>18300</v>
      </c>
      <c r="E14" s="11" t="n">
        <v>11391.29</v>
      </c>
      <c r="F14" s="11" t="n">
        <f aca="false">D14-E14</f>
        <v>6908.71</v>
      </c>
      <c r="G14" s="12" t="n">
        <f aca="false">IF(D14=0,0,E14/D14)</f>
        <v>0.622474863387978</v>
      </c>
      <c r="H14" s="12" t="n">
        <f aca="false">IF(816046.33=0,0,E14/816046.33)</f>
        <v>0.0139591216591833</v>
      </c>
      <c r="I14" s="11" t="n">
        <f aca="false">IF(163=0,0,E14/163)</f>
        <v>69.8852147239264</v>
      </c>
    </row>
    <row r="15" customFormat="false" ht="15" hidden="false" customHeight="true" outlineLevel="0" collapsed="false">
      <c r="B15" s="5" t="s">
        <v>107</v>
      </c>
      <c r="C15" s="5" t="s">
        <v>108</v>
      </c>
      <c r="D15" s="11" t="n">
        <v>66750</v>
      </c>
      <c r="E15" s="11" t="n">
        <v>80448.24</v>
      </c>
      <c r="F15" s="11" t="n">
        <f aca="false">D15-E15</f>
        <v>-13698.24</v>
      </c>
      <c r="G15" s="12" t="n">
        <f aca="false">IF(D15=0,0,E15/D15)</f>
        <v>1.20521707865169</v>
      </c>
      <c r="H15" s="12" t="n">
        <f aca="false">IF(816046.33=0,0,E15/816046.33)</f>
        <v>0.0985829321724908</v>
      </c>
      <c r="I15" s="11" t="n">
        <f aca="false">IF(163=0,0,E15/163)</f>
        <v>493.547484662577</v>
      </c>
    </row>
    <row r="16" customFormat="false" ht="15" hidden="false" customHeight="true" outlineLevel="0" collapsed="false">
      <c r="B16" s="5" t="s">
        <v>109</v>
      </c>
      <c r="C16" s="5" t="s">
        <v>110</v>
      </c>
      <c r="D16" s="11" t="n">
        <v>5400</v>
      </c>
      <c r="E16" s="11" t="n">
        <v>2236.93</v>
      </c>
      <c r="F16" s="11" t="n">
        <f aca="false">D16-E16</f>
        <v>3163.07</v>
      </c>
      <c r="G16" s="12" t="n">
        <f aca="false">IF(D16=0,0,E16/D16)</f>
        <v>0.414246296296296</v>
      </c>
      <c r="H16" s="12" t="n">
        <f aca="false">IF(816046.33=0,0,E16/816046.33)</f>
        <v>0.00274118014843593</v>
      </c>
      <c r="I16" s="11" t="n">
        <f aca="false">IF(163=0,0,E16/163)</f>
        <v>13.7234969325153</v>
      </c>
    </row>
    <row r="17" customFormat="false" ht="15" hidden="false" customHeight="true" outlineLevel="0" collapsed="false">
      <c r="B17" s="5" t="s">
        <v>111</v>
      </c>
      <c r="C17" s="5" t="s">
        <v>112</v>
      </c>
      <c r="D17" s="11" t="n">
        <v>2600</v>
      </c>
      <c r="E17" s="11" t="n">
        <v>536.61</v>
      </c>
      <c r="F17" s="11" t="n">
        <f aca="false">D17-E17</f>
        <v>2063.39</v>
      </c>
      <c r="G17" s="12" t="n">
        <f aca="false">IF(D17=0,0,E17/D17)</f>
        <v>0.206388461538462</v>
      </c>
      <c r="H17" s="12" t="n">
        <f aca="false">IF(816046.33=0,0,E17/816046.33)</f>
        <v>0.000657572959123534</v>
      </c>
      <c r="I17" s="11" t="n">
        <f aca="false">IF(163=0,0,E17/163)</f>
        <v>3.29208588957055</v>
      </c>
    </row>
    <row r="18" customFormat="false" ht="15" hidden="false" customHeight="true" outlineLevel="0" collapsed="false">
      <c r="B18" s="6" t="s">
        <v>38</v>
      </c>
      <c r="C18" s="6" t="s">
        <v>140</v>
      </c>
      <c r="D18" s="13" t="n">
        <f aca="false">SUM(D7:D17)</f>
        <v>1043740</v>
      </c>
      <c r="E18" s="13" t="n">
        <f aca="false">SUM(E7:E17)</f>
        <v>816046.33</v>
      </c>
      <c r="F18" s="13" t="n">
        <f aca="false">D18-E18</f>
        <v>227693.67</v>
      </c>
      <c r="G18" s="14" t="n">
        <f aca="false">IF(D18=0,0,E18/D18)</f>
        <v>0.781848285971602</v>
      </c>
      <c r="H18" s="14" t="n">
        <v>1</v>
      </c>
      <c r="I18" s="13" t="n">
        <f aca="false">IF(163=0,0,E18/163)</f>
        <v>5006.41920245399</v>
      </c>
    </row>
    <row r="21" customFormat="false" ht="15" hidden="false" customHeight="true" outlineLevel="0" collapsed="false">
      <c r="B21" s="4" t="s">
        <v>141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142</v>
      </c>
      <c r="C22" s="10" t="s">
        <v>143</v>
      </c>
      <c r="D22" s="10" t="s">
        <v>144</v>
      </c>
      <c r="E22" s="10" t="s">
        <v>145</v>
      </c>
      <c r="F22" s="10"/>
      <c r="G22" s="10"/>
      <c r="H22" s="10"/>
      <c r="I22" s="10" t="s">
        <v>146</v>
      </c>
    </row>
    <row r="23" customFormat="false" ht="15" hidden="false" customHeight="true" outlineLevel="0" collapsed="false">
      <c r="B23" s="5" t="s">
        <v>147</v>
      </c>
      <c r="C23" s="15" t="n">
        <v>204</v>
      </c>
      <c r="D23" s="11" t="n">
        <v>597586.16</v>
      </c>
      <c r="E23" s="12" t="n">
        <f aca="false">IF(974278.44=0,0,D23/974278.44)</f>
        <v>0.613362808274809</v>
      </c>
      <c r="I23" s="11" t="n">
        <f aca="false">IF(C23=0,0,D23/C23)</f>
        <v>2929.34392156863</v>
      </c>
    </row>
    <row r="24" customFormat="false" ht="15" hidden="false" customHeight="true" outlineLevel="0" collapsed="false">
      <c r="B24" s="5" t="s">
        <v>148</v>
      </c>
      <c r="C24" s="15" t="n">
        <v>118</v>
      </c>
      <c r="D24" s="11" t="n">
        <v>91819.63</v>
      </c>
      <c r="E24" s="12" t="n">
        <f aca="false">IF(974278.44=0,0,D24/974278.44)</f>
        <v>0.0942437256437698</v>
      </c>
      <c r="I24" s="11" t="n">
        <f aca="false">IF(C24=0,0,D24/C24)</f>
        <v>778.132457627119</v>
      </c>
    </row>
    <row r="25" customFormat="false" ht="15" hidden="false" customHeight="true" outlineLevel="0" collapsed="false">
      <c r="B25" s="5" t="s">
        <v>149</v>
      </c>
      <c r="C25" s="15" t="n">
        <v>5</v>
      </c>
      <c r="D25" s="11" t="n">
        <v>78442.97</v>
      </c>
      <c r="E25" s="12" t="n">
        <f aca="false">IF(974278.44=0,0,D25/974278.44)</f>
        <v>0.0805139134557879</v>
      </c>
      <c r="I25" s="11" t="n">
        <f aca="false">IF(C25=0,0,D25/C25)</f>
        <v>15688.594</v>
      </c>
    </row>
    <row r="26" customFormat="false" ht="15" hidden="false" customHeight="true" outlineLevel="0" collapsed="false">
      <c r="B26" s="5" t="s">
        <v>150</v>
      </c>
      <c r="C26" s="15" t="n">
        <v>83</v>
      </c>
      <c r="D26" s="11" t="n">
        <v>71760.48</v>
      </c>
      <c r="E26" s="12" t="n">
        <f aca="false">IF(974278.44=0,0,D26/974278.44)</f>
        <v>0.0736550015414485</v>
      </c>
      <c r="I26" s="11" t="n">
        <f aca="false">IF(C26=0,0,D26/C26)</f>
        <v>864.584096385542</v>
      </c>
    </row>
    <row r="27" customFormat="false" ht="15" hidden="false" customHeight="true" outlineLevel="0" collapsed="false">
      <c r="B27" s="5" t="s">
        <v>151</v>
      </c>
      <c r="C27" s="15" t="n">
        <v>9</v>
      </c>
      <c r="D27" s="11" t="n">
        <v>56505.5</v>
      </c>
      <c r="E27" s="12" t="n">
        <f aca="false">IF(974278.44=0,0,D27/974278.44)</f>
        <v>0.0579972805310154</v>
      </c>
      <c r="I27" s="11" t="n">
        <f aca="false">IF(C27=0,0,D27/C27)</f>
        <v>6278.38888888889</v>
      </c>
    </row>
    <row r="28" customFormat="false" ht="15" hidden="false" customHeight="true" outlineLevel="0" collapsed="false">
      <c r="B28" s="5" t="s">
        <v>152</v>
      </c>
      <c r="C28" s="15" t="n">
        <v>19</v>
      </c>
      <c r="D28" s="11" t="n">
        <v>20102</v>
      </c>
      <c r="E28" s="12" t="n">
        <f aca="false">IF(974278.44=0,0,D28/974278.44)</f>
        <v>0.020632705369114</v>
      </c>
      <c r="I28" s="11" t="n">
        <f aca="false">IF(C28=0,0,D28/C28)</f>
        <v>1058</v>
      </c>
    </row>
    <row r="29" customFormat="false" ht="15" hidden="false" customHeight="true" outlineLevel="0" collapsed="false">
      <c r="B29" s="5" t="s">
        <v>153</v>
      </c>
      <c r="C29" s="15" t="n">
        <v>7</v>
      </c>
      <c r="D29" s="11" t="n">
        <v>19615</v>
      </c>
      <c r="E29" s="12" t="n">
        <f aca="false">IF(974278.44=0,0,D29/974278.44)</f>
        <v>0.020132848264609</v>
      </c>
      <c r="I29" s="11" t="n">
        <f aca="false">IF(C29=0,0,D29/C29)</f>
        <v>2802.14285714286</v>
      </c>
    </row>
    <row r="30" customFormat="false" ht="15" hidden="false" customHeight="true" outlineLevel="0" collapsed="false">
      <c r="B30" s="5" t="s">
        <v>154</v>
      </c>
      <c r="C30" s="15" t="n">
        <v>3</v>
      </c>
      <c r="D30" s="11" t="n">
        <v>15300</v>
      </c>
      <c r="E30" s="12" t="n">
        <f aca="false">IF(974278.44=0,0,D30/974278.44)</f>
        <v>0.0157039295665826</v>
      </c>
      <c r="I30" s="11" t="n">
        <f aca="false">IF(C30=0,0,D30/C30)</f>
        <v>5100</v>
      </c>
    </row>
    <row r="31" customFormat="false" ht="15" hidden="false" customHeight="true" outlineLevel="0" collapsed="false">
      <c r="B31" s="5" t="s">
        <v>155</v>
      </c>
      <c r="C31" s="15" t="n">
        <v>11</v>
      </c>
      <c r="D31" s="11" t="n">
        <v>14267.27</v>
      </c>
      <c r="E31" s="12" t="n">
        <f aca="false">IF(974278.44=0,0,D31/974278.44)</f>
        <v>0.0146439348488508</v>
      </c>
      <c r="I31" s="11" t="n">
        <f aca="false">IF(C31=0,0,D31/C31)</f>
        <v>1297.02454545455</v>
      </c>
    </row>
    <row r="32" customFormat="false" ht="15" hidden="false" customHeight="true" outlineLevel="0" collapsed="false">
      <c r="B32" s="5" t="s">
        <v>156</v>
      </c>
      <c r="C32" s="15" t="n">
        <v>7</v>
      </c>
      <c r="D32" s="11" t="n">
        <v>2272.16</v>
      </c>
      <c r="E32" s="12" t="n">
        <f aca="false">IF(974278.44=0,0,D32/974278.44)</f>
        <v>0.0023321464447063</v>
      </c>
      <c r="I32" s="11" t="n">
        <f aca="false">IF(C32=0,0,D32/C32)</f>
        <v>324.594285714286</v>
      </c>
    </row>
    <row r="33" customFormat="false" ht="15" hidden="false" customHeight="true" outlineLevel="0" collapsed="false">
      <c r="B33" s="5" t="s">
        <v>157</v>
      </c>
      <c r="C33" s="15" t="n">
        <v>5</v>
      </c>
      <c r="D33" s="11" t="n">
        <v>1597.08</v>
      </c>
      <c r="E33" s="12" t="n">
        <f aca="false">IF(974278.44=0,0,D33/974278.44)</f>
        <v>0.00163924391060116</v>
      </c>
      <c r="I33" s="11" t="n">
        <f aca="false">IF(C33=0,0,D33/C33)</f>
        <v>319.416</v>
      </c>
    </row>
    <row r="34" customFormat="false" ht="15" hidden="false" customHeight="true" outlineLevel="0" collapsed="false">
      <c r="B34" s="5" t="s">
        <v>158</v>
      </c>
      <c r="C34" s="15" t="n">
        <v>5</v>
      </c>
      <c r="D34" s="11" t="n">
        <v>1061.65</v>
      </c>
      <c r="E34" s="12" t="n">
        <f aca="false">IF(974278.44=0,0,D34/974278.44)</f>
        <v>0.00108967822381454</v>
      </c>
      <c r="I34" s="11" t="n">
        <f aca="false">IF(C34=0,0,D34/C34)</f>
        <v>212.33</v>
      </c>
    </row>
    <row r="35" customFormat="false" ht="15" hidden="false" customHeight="true" outlineLevel="0" collapsed="false">
      <c r="B35" s="5" t="s">
        <v>159</v>
      </c>
      <c r="C35" s="15" t="n">
        <v>92</v>
      </c>
      <c r="D35" s="11" t="n">
        <v>936.66</v>
      </c>
      <c r="E35" s="12" t="n">
        <f aca="false">IF(974278.44=0,0,D35/974278.44)</f>
        <v>0.000961388409662437</v>
      </c>
      <c r="I35" s="11" t="n">
        <f aca="false">IF(C35=0,0,D35/C35)</f>
        <v>10.1810869565217</v>
      </c>
    </row>
    <row r="36" customFormat="false" ht="15" hidden="false" customHeight="true" outlineLevel="0" collapsed="false">
      <c r="B36" s="5" t="s">
        <v>160</v>
      </c>
      <c r="C36" s="15" t="n">
        <v>5</v>
      </c>
      <c r="D36" s="11" t="n">
        <v>782.55</v>
      </c>
      <c r="E36" s="12" t="n">
        <f aca="false">IF(974278.44=0,0,D36/974278.44)</f>
        <v>0.000803209809302565</v>
      </c>
      <c r="I36" s="11" t="n">
        <f aca="false">IF(C36=0,0,D36/C36)</f>
        <v>156.51</v>
      </c>
    </row>
    <row r="37" customFormat="false" ht="15" hidden="false" customHeight="true" outlineLevel="0" collapsed="false">
      <c r="B37" s="5" t="s">
        <v>161</v>
      </c>
      <c r="C37" s="15" t="n">
        <v>5</v>
      </c>
      <c r="D37" s="11" t="n">
        <v>613.95</v>
      </c>
      <c r="E37" s="12" t="n">
        <f aca="false">IF(974278.44=0,0,D37/974278.44)</f>
        <v>0.000630158663882576</v>
      </c>
      <c r="I37" s="11" t="n">
        <f aca="false">IF(C37=0,0,D37/C37)</f>
        <v>122.79</v>
      </c>
    </row>
    <row r="38" customFormat="false" ht="15" hidden="false" customHeight="true" outlineLevel="0" collapsed="false">
      <c r="B38" s="5" t="s">
        <v>162</v>
      </c>
      <c r="C38" s="15" t="n">
        <v>1</v>
      </c>
      <c r="D38" s="11" t="n">
        <v>500</v>
      </c>
      <c r="E38" s="12" t="n">
        <f aca="false">IF(974278.44=0,0,D38/974278.44)</f>
        <v>0.000513200312633419</v>
      </c>
      <c r="I38" s="11" t="n">
        <f aca="false">IF(C38=0,0,D38/C38)</f>
        <v>500</v>
      </c>
    </row>
    <row r="39" customFormat="false" ht="15" hidden="false" customHeight="true" outlineLevel="0" collapsed="false">
      <c r="B39" s="5" t="s">
        <v>163</v>
      </c>
      <c r="C39" s="15" t="n">
        <v>1</v>
      </c>
      <c r="D39" s="11" t="n">
        <v>375</v>
      </c>
      <c r="E39" s="12" t="n">
        <f aca="false">IF(974278.44=0,0,D39/974278.44)</f>
        <v>0.000384900234475064</v>
      </c>
      <c r="I39" s="11" t="n">
        <f aca="false">IF(C39=0,0,D39/C39)</f>
        <v>375</v>
      </c>
    </row>
    <row r="40" customFormat="false" ht="15" hidden="false" customHeight="true" outlineLevel="0" collapsed="false">
      <c r="B40" s="5" t="s">
        <v>164</v>
      </c>
      <c r="C40" s="15" t="n">
        <v>2</v>
      </c>
      <c r="D40" s="11" t="n">
        <v>335</v>
      </c>
      <c r="E40" s="12" t="n">
        <f aca="false">IF(974278.44=0,0,D40/974278.44)</f>
        <v>0.000343844209464391</v>
      </c>
      <c r="I40" s="11" t="n">
        <f aca="false">IF(C40=0,0,D40/C40)</f>
        <v>167.5</v>
      </c>
    </row>
    <row r="41" customFormat="false" ht="15" hidden="false" customHeight="true" outlineLevel="0" collapsed="false">
      <c r="B41" s="5" t="s">
        <v>165</v>
      </c>
      <c r="C41" s="15" t="n">
        <v>1</v>
      </c>
      <c r="D41" s="11" t="n">
        <v>257.64</v>
      </c>
      <c r="E41" s="12" t="n">
        <f aca="false">IF(974278.44=0,0,D41/974278.44)</f>
        <v>0.000264441857093748</v>
      </c>
      <c r="I41" s="11" t="n">
        <f aca="false">IF(C41=0,0,D41/C41)</f>
        <v>257.64</v>
      </c>
    </row>
    <row r="42" customFormat="false" ht="15" hidden="false" customHeight="true" outlineLevel="0" collapsed="false">
      <c r="B42" s="5" t="s">
        <v>166</v>
      </c>
      <c r="C42" s="15" t="n">
        <v>2</v>
      </c>
      <c r="D42" s="11" t="n">
        <v>147.74</v>
      </c>
      <c r="E42" s="12" t="n">
        <f aca="false">IF(974278.44=0,0,D42/974278.44)</f>
        <v>0.000151640428376923</v>
      </c>
      <c r="I42" s="11" t="n">
        <f aca="false">IF(C42=0,0,D42/C42)</f>
        <v>73.87</v>
      </c>
    </row>
    <row r="43" customFormat="false" ht="15" hidden="false" customHeight="true" outlineLevel="0" collapsed="false">
      <c r="B43" s="6" t="s">
        <v>38</v>
      </c>
      <c r="C43" s="16" t="n">
        <f aca="false">SUM(C23:C42)</f>
        <v>585</v>
      </c>
      <c r="D43" s="13" t="n">
        <f aca="false">SUM(D23:D42)</f>
        <v>974278.44</v>
      </c>
      <c r="E43" s="14" t="n">
        <v>1</v>
      </c>
    </row>
    <row r="46" customFormat="false" ht="15" hidden="false" customHeight="true" outlineLevel="0" collapsed="false">
      <c r="B46" s="4" t="s">
        <v>50</v>
      </c>
      <c r="C46" s="4"/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B47" s="3" t="s">
        <v>51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52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53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54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55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56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167</v>
      </c>
      <c r="C53" s="3"/>
      <c r="D53" s="3"/>
      <c r="E53" s="3"/>
      <c r="F53" s="3"/>
      <c r="G53" s="3"/>
      <c r="H53" s="3"/>
      <c r="I53" s="3"/>
    </row>
  </sheetData>
  <mergeCells count="12">
    <mergeCell ref="B2:I2"/>
    <mergeCell ref="B3:I3"/>
    <mergeCell ref="B5:I5"/>
    <mergeCell ref="B21:I21"/>
    <mergeCell ref="B46:I46"/>
    <mergeCell ref="B47:I47"/>
    <mergeCell ref="B48:I48"/>
    <mergeCell ref="B49:I49"/>
    <mergeCell ref="B50:I50"/>
    <mergeCell ref="B51:I51"/>
    <mergeCell ref="B52:I52"/>
    <mergeCell ref="B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168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169</v>
      </c>
      <c r="C4" s="10" t="s">
        <v>170</v>
      </c>
      <c r="D4" s="10" t="s">
        <v>171</v>
      </c>
      <c r="E4" s="10" t="s">
        <v>172</v>
      </c>
      <c r="F4" s="10" t="s">
        <v>173</v>
      </c>
    </row>
    <row r="5" customFormat="false" ht="15" hidden="false" customHeight="true" outlineLevel="0" collapsed="false">
      <c r="B5" s="5" t="s">
        <v>174</v>
      </c>
      <c r="C5" s="17" t="n">
        <v>1950</v>
      </c>
      <c r="D5" s="11" t="n">
        <v>25346</v>
      </c>
      <c r="E5" s="18" t="n">
        <f aca="false">IF(C5=0,0,D5/C5)</f>
        <v>12.9979487179487</v>
      </c>
      <c r="F5" s="5" t="s">
        <v>175</v>
      </c>
    </row>
    <row r="6" customFormat="false" ht="15" hidden="false" customHeight="true" outlineLevel="0" collapsed="false">
      <c r="B6" s="5" t="s">
        <v>176</v>
      </c>
      <c r="C6" s="17" t="n">
        <v>1839</v>
      </c>
      <c r="D6" s="11" t="n">
        <v>50190</v>
      </c>
      <c r="E6" s="18" t="n">
        <f aca="false">IF(C6=0,0,D6/C6)</f>
        <v>27.2920065252855</v>
      </c>
      <c r="F6" s="5" t="s">
        <v>177</v>
      </c>
    </row>
    <row r="7" customFormat="false" ht="15" hidden="false" customHeight="true" outlineLevel="0" collapsed="false">
      <c r="B7" s="5" t="s">
        <v>178</v>
      </c>
      <c r="C7" s="17" t="n">
        <v>1771</v>
      </c>
      <c r="D7" s="11" t="n">
        <v>59000.5</v>
      </c>
      <c r="E7" s="18" t="n">
        <f aca="false">IF(C7=0,0,D7/C7)</f>
        <v>33.3147939017504</v>
      </c>
      <c r="F7" s="5" t="s">
        <v>179</v>
      </c>
    </row>
    <row r="8" customFormat="false" ht="15" hidden="false" customHeight="true" outlineLevel="0" collapsed="false">
      <c r="B8" s="5" t="s">
        <v>180</v>
      </c>
      <c r="C8" s="17" t="n">
        <v>1755.5</v>
      </c>
      <c r="D8" s="11" t="n">
        <v>42871.5</v>
      </c>
      <c r="E8" s="18" t="n">
        <f aca="false">IF(C8=0,0,D8/C8)</f>
        <v>24.4212475078325</v>
      </c>
      <c r="F8" s="5" t="s">
        <v>177</v>
      </c>
    </row>
    <row r="9" customFormat="false" ht="15" hidden="false" customHeight="true" outlineLevel="0" collapsed="false">
      <c r="B9" s="5" t="s">
        <v>181</v>
      </c>
      <c r="C9" s="17" t="n">
        <v>1278</v>
      </c>
      <c r="D9" s="11" t="n">
        <v>19601</v>
      </c>
      <c r="E9" s="18" t="n">
        <f aca="false">IF(C9=0,0,D9/C9)</f>
        <v>15.3372456964006</v>
      </c>
      <c r="F9" s="5" t="s">
        <v>175</v>
      </c>
    </row>
    <row r="10" customFormat="false" ht="15" hidden="false" customHeight="true" outlineLevel="0" collapsed="false">
      <c r="B10" s="5" t="s">
        <v>182</v>
      </c>
      <c r="C10" s="17" t="n">
        <v>1236</v>
      </c>
      <c r="D10" s="11" t="n">
        <v>16740</v>
      </c>
      <c r="E10" s="18" t="n">
        <f aca="false">IF(C10=0,0,D10/C10)</f>
        <v>13.5436893203884</v>
      </c>
      <c r="F10" s="5" t="s">
        <v>175</v>
      </c>
    </row>
    <row r="11" customFormat="false" ht="15" hidden="false" customHeight="true" outlineLevel="0" collapsed="false">
      <c r="B11" s="5" t="s">
        <v>183</v>
      </c>
      <c r="C11" s="17" t="n">
        <v>1186</v>
      </c>
      <c r="D11" s="11" t="n">
        <v>16134</v>
      </c>
      <c r="E11" s="18" t="n">
        <f aca="false">IF(C11=0,0,D11/C11)</f>
        <v>13.6037099494098</v>
      </c>
      <c r="F11" s="5" t="s">
        <v>175</v>
      </c>
    </row>
    <row r="12" customFormat="false" ht="15" hidden="false" customHeight="true" outlineLevel="0" collapsed="false">
      <c r="B12" s="5" t="s">
        <v>184</v>
      </c>
      <c r="C12" s="17" t="n">
        <v>1185</v>
      </c>
      <c r="D12" s="11" t="n">
        <v>33066</v>
      </c>
      <c r="E12" s="18" t="n">
        <f aca="false">IF(C12=0,0,D12/C12)</f>
        <v>27.9037974683544</v>
      </c>
      <c r="F12" s="5" t="s">
        <v>177</v>
      </c>
    </row>
    <row r="13" customFormat="false" ht="15" hidden="false" customHeight="true" outlineLevel="0" collapsed="false">
      <c r="B13" s="5" t="s">
        <v>185</v>
      </c>
      <c r="C13" s="17" t="n">
        <v>1180</v>
      </c>
      <c r="D13" s="11" t="n">
        <v>28772</v>
      </c>
      <c r="E13" s="18" t="n">
        <f aca="false">IF(C13=0,0,D13/C13)</f>
        <v>24.3830508474576</v>
      </c>
      <c r="F13" s="5" t="s">
        <v>177</v>
      </c>
    </row>
    <row r="14" customFormat="false" ht="15" hidden="false" customHeight="true" outlineLevel="0" collapsed="false">
      <c r="B14" s="5" t="s">
        <v>186</v>
      </c>
      <c r="C14" s="17" t="n">
        <v>1101.75</v>
      </c>
      <c r="D14" s="11" t="n">
        <v>17628</v>
      </c>
      <c r="E14" s="18" t="n">
        <f aca="false">IF(C14=0,0,D14/C14)</f>
        <v>16</v>
      </c>
      <c r="F14" s="5" t="s">
        <v>175</v>
      </c>
    </row>
    <row r="15" customFormat="false" ht="15" hidden="false" customHeight="true" outlineLevel="0" collapsed="false">
      <c r="B15" s="5" t="s">
        <v>187</v>
      </c>
      <c r="C15" s="17" t="n">
        <v>1057</v>
      </c>
      <c r="D15" s="11" t="n">
        <v>26832</v>
      </c>
      <c r="E15" s="18" t="n">
        <f aca="false">IF(C15=0,0,D15/C15)</f>
        <v>25.3850520340587</v>
      </c>
      <c r="F15" s="5" t="s">
        <v>177</v>
      </c>
    </row>
    <row r="16" customFormat="false" ht="15" hidden="false" customHeight="true" outlineLevel="0" collapsed="false">
      <c r="B16" s="5" t="s">
        <v>188</v>
      </c>
      <c r="C16" s="17" t="n">
        <v>985.5</v>
      </c>
      <c r="D16" s="11" t="n">
        <v>17406.3</v>
      </c>
      <c r="E16" s="18" t="n">
        <f aca="false">IF(C16=0,0,D16/C16)</f>
        <v>17.662404870624</v>
      </c>
      <c r="F16" s="5" t="s">
        <v>175</v>
      </c>
    </row>
    <row r="17" customFormat="false" ht="15" hidden="false" customHeight="true" outlineLevel="0" collapsed="false">
      <c r="B17" s="5" t="s">
        <v>189</v>
      </c>
      <c r="C17" s="17" t="n">
        <v>892</v>
      </c>
      <c r="D17" s="11" t="n">
        <v>12019</v>
      </c>
      <c r="E17" s="18" t="n">
        <f aca="false">IF(C17=0,0,D17/C17)</f>
        <v>13.4742152466368</v>
      </c>
      <c r="F17" s="5" t="s">
        <v>175</v>
      </c>
    </row>
    <row r="18" customFormat="false" ht="15" hidden="false" customHeight="true" outlineLevel="0" collapsed="false">
      <c r="B18" s="5" t="s">
        <v>190</v>
      </c>
      <c r="C18" s="17" t="n">
        <v>806.5</v>
      </c>
      <c r="D18" s="11" t="n">
        <v>27755.8</v>
      </c>
      <c r="E18" s="18" t="n">
        <f aca="false">IF(C18=0,0,D18/C18)</f>
        <v>34.4151270923745</v>
      </c>
      <c r="F18" s="5" t="s">
        <v>179</v>
      </c>
    </row>
    <row r="19" customFormat="false" ht="15" hidden="false" customHeight="true" outlineLevel="0" collapsed="false">
      <c r="B19" s="5" t="s">
        <v>191</v>
      </c>
      <c r="C19" s="17" t="n">
        <v>784</v>
      </c>
      <c r="D19" s="11" t="n">
        <v>10192</v>
      </c>
      <c r="E19" s="18" t="n">
        <f aca="false">IF(C19=0,0,D19/C19)</f>
        <v>13</v>
      </c>
      <c r="F19" s="5" t="s">
        <v>175</v>
      </c>
    </row>
    <row r="20" customFormat="false" ht="15" hidden="false" customHeight="true" outlineLevel="0" collapsed="false">
      <c r="B20" s="5" t="s">
        <v>192</v>
      </c>
      <c r="C20" s="17" t="n">
        <v>762</v>
      </c>
      <c r="D20" s="11" t="n">
        <v>9144</v>
      </c>
      <c r="E20" s="18" t="n">
        <f aca="false">IF(C20=0,0,D20/C20)</f>
        <v>12</v>
      </c>
      <c r="F20" s="5" t="s">
        <v>175</v>
      </c>
    </row>
    <row r="21" customFormat="false" ht="15" hidden="false" customHeight="true" outlineLevel="0" collapsed="false">
      <c r="B21" s="5" t="s">
        <v>193</v>
      </c>
      <c r="C21" s="17" t="n">
        <v>738</v>
      </c>
      <c r="D21" s="11" t="n">
        <v>20470</v>
      </c>
      <c r="E21" s="18" t="n">
        <f aca="false">IF(C21=0,0,D21/C21)</f>
        <v>27.7371273712737</v>
      </c>
      <c r="F21" s="5" t="s">
        <v>177</v>
      </c>
    </row>
    <row r="22" customFormat="false" ht="15" hidden="false" customHeight="true" outlineLevel="0" collapsed="false">
      <c r="B22" s="5" t="s">
        <v>194</v>
      </c>
      <c r="C22" s="17" t="n">
        <v>734.5</v>
      </c>
      <c r="D22" s="11" t="n">
        <v>9233.5</v>
      </c>
      <c r="E22" s="18" t="n">
        <f aca="false">IF(C22=0,0,D22/C22)</f>
        <v>12.571136827774</v>
      </c>
      <c r="F22" s="5" t="s">
        <v>175</v>
      </c>
    </row>
    <row r="23" customFormat="false" ht="15" hidden="false" customHeight="true" outlineLevel="0" collapsed="false">
      <c r="B23" s="5" t="s">
        <v>195</v>
      </c>
      <c r="C23" s="17" t="n">
        <v>659</v>
      </c>
      <c r="D23" s="11" t="n">
        <v>9185.5</v>
      </c>
      <c r="E23" s="18" t="n">
        <f aca="false">IF(C23=0,0,D23/C23)</f>
        <v>13.9385432473445</v>
      </c>
      <c r="F23" s="5" t="s">
        <v>175</v>
      </c>
    </row>
    <row r="24" customFormat="false" ht="15" hidden="false" customHeight="true" outlineLevel="0" collapsed="false">
      <c r="B24" s="5" t="s">
        <v>196</v>
      </c>
      <c r="C24" s="17" t="n">
        <v>635</v>
      </c>
      <c r="D24" s="11" t="n">
        <v>18427.5</v>
      </c>
      <c r="E24" s="18" t="n">
        <f aca="false">IF(C24=0,0,D24/C24)</f>
        <v>29.0196850393701</v>
      </c>
      <c r="F24" s="5" t="s">
        <v>177</v>
      </c>
    </row>
    <row r="25" customFormat="false" ht="15" hidden="false" customHeight="true" outlineLevel="0" collapsed="false">
      <c r="B25" s="5" t="s">
        <v>197</v>
      </c>
      <c r="C25" s="17" t="n">
        <v>541</v>
      </c>
      <c r="D25" s="11" t="n">
        <v>13895</v>
      </c>
      <c r="E25" s="18" t="n">
        <f aca="false">IF(C25=0,0,D25/C25)</f>
        <v>25.6839186691312</v>
      </c>
      <c r="F25" s="5" t="s">
        <v>177</v>
      </c>
    </row>
    <row r="26" customFormat="false" ht="15" hidden="false" customHeight="true" outlineLevel="0" collapsed="false">
      <c r="B26" s="5" t="s">
        <v>198</v>
      </c>
      <c r="C26" s="17" t="n">
        <v>518.5</v>
      </c>
      <c r="D26" s="11" t="n">
        <v>6543</v>
      </c>
      <c r="E26" s="18" t="n">
        <f aca="false">IF(C26=0,0,D26/C26)</f>
        <v>12.619093539055</v>
      </c>
      <c r="F26" s="5" t="s">
        <v>175</v>
      </c>
    </row>
    <row r="27" customFormat="false" ht="15" hidden="false" customHeight="true" outlineLevel="0" collapsed="false">
      <c r="B27" s="5" t="s">
        <v>199</v>
      </c>
      <c r="C27" s="17" t="n">
        <v>498.75</v>
      </c>
      <c r="D27" s="11" t="n">
        <v>7964</v>
      </c>
      <c r="E27" s="18" t="n">
        <f aca="false">IF(C27=0,0,D27/C27)</f>
        <v>15.9679197994987</v>
      </c>
      <c r="F27" s="5" t="s">
        <v>175</v>
      </c>
    </row>
    <row r="28" customFormat="false" ht="15" hidden="false" customHeight="true" outlineLevel="0" collapsed="false">
      <c r="B28" s="5" t="s">
        <v>200</v>
      </c>
      <c r="C28" s="17" t="n">
        <v>480</v>
      </c>
      <c r="D28" s="11" t="n">
        <v>7200</v>
      </c>
      <c r="E28" s="18" t="n">
        <f aca="false">IF(C28=0,0,D28/C28)</f>
        <v>15</v>
      </c>
      <c r="F28" s="5" t="s">
        <v>175</v>
      </c>
    </row>
    <row r="29" customFormat="false" ht="15" hidden="false" customHeight="true" outlineLevel="0" collapsed="false">
      <c r="B29" s="5" t="s">
        <v>201</v>
      </c>
      <c r="C29" s="17" t="n">
        <v>461</v>
      </c>
      <c r="D29" s="11" t="n">
        <v>8298</v>
      </c>
      <c r="E29" s="18" t="n">
        <f aca="false">IF(C29=0,0,D29/C29)</f>
        <v>18</v>
      </c>
      <c r="F29" s="5" t="s">
        <v>177</v>
      </c>
    </row>
    <row r="30" customFormat="false" ht="15" hidden="false" customHeight="true" outlineLevel="0" collapsed="false">
      <c r="B30" s="5" t="s">
        <v>202</v>
      </c>
      <c r="C30" s="17" t="n">
        <v>400</v>
      </c>
      <c r="D30" s="11" t="n">
        <v>11200</v>
      </c>
      <c r="E30" s="18" t="n">
        <f aca="false">IF(C30=0,0,D30/C30)</f>
        <v>28</v>
      </c>
      <c r="F30" s="5" t="s">
        <v>177</v>
      </c>
    </row>
    <row r="31" customFormat="false" ht="15" hidden="false" customHeight="true" outlineLevel="0" collapsed="false">
      <c r="B31" s="5" t="s">
        <v>203</v>
      </c>
      <c r="C31" s="17" t="n">
        <v>396</v>
      </c>
      <c r="D31" s="11" t="n">
        <v>10770</v>
      </c>
      <c r="E31" s="18" t="n">
        <f aca="false">IF(C31=0,0,D31/C31)</f>
        <v>27.1969696969697</v>
      </c>
      <c r="F31" s="5" t="s">
        <v>177</v>
      </c>
    </row>
    <row r="32" customFormat="false" ht="15" hidden="false" customHeight="true" outlineLevel="0" collapsed="false">
      <c r="B32" s="5" t="s">
        <v>204</v>
      </c>
      <c r="C32" s="17" t="n">
        <v>368</v>
      </c>
      <c r="D32" s="11" t="n">
        <v>4784</v>
      </c>
      <c r="E32" s="18" t="n">
        <f aca="false">IF(C32=0,0,D32/C32)</f>
        <v>13</v>
      </c>
      <c r="F32" s="5" t="s">
        <v>175</v>
      </c>
    </row>
    <row r="33" customFormat="false" ht="15" hidden="false" customHeight="true" outlineLevel="0" collapsed="false">
      <c r="B33" s="5" t="s">
        <v>205</v>
      </c>
      <c r="C33" s="17" t="n">
        <v>331</v>
      </c>
      <c r="D33" s="11" t="n">
        <v>4801</v>
      </c>
      <c r="E33" s="18" t="n">
        <f aca="false">IF(C33=0,0,D33/C33)</f>
        <v>14.5045317220544</v>
      </c>
      <c r="F33" s="5" t="s">
        <v>175</v>
      </c>
    </row>
    <row r="34" customFormat="false" ht="15" hidden="false" customHeight="true" outlineLevel="0" collapsed="false">
      <c r="B34" s="5" t="s">
        <v>206</v>
      </c>
      <c r="C34" s="17" t="n">
        <v>321.25</v>
      </c>
      <c r="D34" s="11" t="n">
        <v>4176.25</v>
      </c>
      <c r="E34" s="18" t="n">
        <f aca="false">IF(C34=0,0,D34/C34)</f>
        <v>13</v>
      </c>
      <c r="F34" s="5" t="s">
        <v>175</v>
      </c>
    </row>
    <row r="35" customFormat="false" ht="15" hidden="false" customHeight="true" outlineLevel="0" collapsed="false">
      <c r="B35" s="5" t="s">
        <v>207</v>
      </c>
      <c r="C35" s="17" t="n">
        <v>318</v>
      </c>
      <c r="D35" s="11" t="n">
        <v>3816</v>
      </c>
      <c r="E35" s="18" t="n">
        <f aca="false">IF(C35=0,0,D35/C35)</f>
        <v>12</v>
      </c>
      <c r="F35" s="5" t="s">
        <v>175</v>
      </c>
    </row>
    <row r="36" customFormat="false" ht="15" hidden="false" customHeight="true" outlineLevel="0" collapsed="false">
      <c r="B36" s="5" t="s">
        <v>208</v>
      </c>
      <c r="C36" s="17" t="n">
        <v>312</v>
      </c>
      <c r="D36" s="11" t="n">
        <v>8320</v>
      </c>
      <c r="E36" s="18" t="n">
        <f aca="false">IF(C36=0,0,D36/C36)</f>
        <v>26.6666666666667</v>
      </c>
      <c r="F36" s="5" t="s">
        <v>177</v>
      </c>
    </row>
    <row r="37" customFormat="false" ht="15" hidden="false" customHeight="true" outlineLevel="0" collapsed="false">
      <c r="B37" s="5" t="s">
        <v>209</v>
      </c>
      <c r="C37" s="17" t="n">
        <v>288</v>
      </c>
      <c r="D37" s="11" t="n">
        <v>4896</v>
      </c>
      <c r="E37" s="18" t="n">
        <f aca="false">IF(C37=0,0,D37/C37)</f>
        <v>17</v>
      </c>
      <c r="F37" s="5" t="s">
        <v>175</v>
      </c>
    </row>
    <row r="38" customFormat="false" ht="15" hidden="false" customHeight="true" outlineLevel="0" collapsed="false">
      <c r="B38" s="5" t="s">
        <v>210</v>
      </c>
      <c r="C38" s="17" t="n">
        <v>287</v>
      </c>
      <c r="D38" s="11" t="n">
        <v>3444</v>
      </c>
      <c r="E38" s="18" t="n">
        <f aca="false">IF(C38=0,0,D38/C38)</f>
        <v>12</v>
      </c>
      <c r="F38" s="5" t="s">
        <v>175</v>
      </c>
    </row>
    <row r="39" customFormat="false" ht="15" hidden="false" customHeight="true" outlineLevel="0" collapsed="false">
      <c r="B39" s="5" t="s">
        <v>211</v>
      </c>
      <c r="C39" s="17" t="n">
        <v>231</v>
      </c>
      <c r="D39" s="11" t="n">
        <v>3003</v>
      </c>
      <c r="E39" s="18" t="n">
        <f aca="false">IF(C39=0,0,D39/C39)</f>
        <v>13</v>
      </c>
      <c r="F39" s="5" t="s">
        <v>175</v>
      </c>
    </row>
    <row r="40" customFormat="false" ht="15" hidden="false" customHeight="true" outlineLevel="0" collapsed="false">
      <c r="B40" s="5" t="s">
        <v>212</v>
      </c>
      <c r="C40" s="17" t="n">
        <v>224</v>
      </c>
      <c r="D40" s="11" t="n">
        <v>2912</v>
      </c>
      <c r="E40" s="18" t="n">
        <f aca="false">IF(C40=0,0,D40/C40)</f>
        <v>13</v>
      </c>
      <c r="F40" s="5" t="s">
        <v>175</v>
      </c>
    </row>
    <row r="41" customFormat="false" ht="15" hidden="false" customHeight="true" outlineLevel="0" collapsed="false">
      <c r="B41" s="5" t="s">
        <v>213</v>
      </c>
      <c r="C41" s="17" t="n">
        <v>188</v>
      </c>
      <c r="D41" s="11" t="n">
        <v>3597</v>
      </c>
      <c r="E41" s="18" t="n">
        <f aca="false">IF(C41=0,0,D41/C41)</f>
        <v>19.1329787234043</v>
      </c>
      <c r="F41" s="5" t="s">
        <v>177</v>
      </c>
    </row>
    <row r="42" customFormat="false" ht="15" hidden="false" customHeight="true" outlineLevel="0" collapsed="false">
      <c r="B42" s="5" t="s">
        <v>214</v>
      </c>
      <c r="C42" s="17" t="n">
        <v>157</v>
      </c>
      <c r="D42" s="11" t="n">
        <v>2512</v>
      </c>
      <c r="E42" s="18" t="n">
        <f aca="false">IF(C42=0,0,D42/C42)</f>
        <v>16</v>
      </c>
      <c r="F42" s="5" t="s">
        <v>175</v>
      </c>
    </row>
    <row r="43" customFormat="false" ht="15" hidden="false" customHeight="true" outlineLevel="0" collapsed="false">
      <c r="B43" s="5" t="s">
        <v>215</v>
      </c>
      <c r="C43" s="17" t="n">
        <v>136</v>
      </c>
      <c r="D43" s="11" t="n">
        <v>1972</v>
      </c>
      <c r="E43" s="18" t="n">
        <f aca="false">IF(C43=0,0,D43/C43)</f>
        <v>14.5</v>
      </c>
      <c r="F43" s="5" t="s">
        <v>175</v>
      </c>
    </row>
    <row r="44" customFormat="false" ht="15" hidden="false" customHeight="true" outlineLevel="0" collapsed="false">
      <c r="B44" s="5" t="s">
        <v>216</v>
      </c>
      <c r="C44" s="17" t="n">
        <v>121</v>
      </c>
      <c r="D44" s="11" t="n">
        <v>1694</v>
      </c>
      <c r="E44" s="18" t="n">
        <f aca="false">IF(C44=0,0,D44/C44)</f>
        <v>14</v>
      </c>
      <c r="F44" s="5" t="s">
        <v>175</v>
      </c>
    </row>
    <row r="45" customFormat="false" ht="15" hidden="false" customHeight="true" outlineLevel="0" collapsed="false">
      <c r="B45" s="5" t="s">
        <v>217</v>
      </c>
      <c r="C45" s="17" t="n">
        <v>120</v>
      </c>
      <c r="D45" s="11" t="n">
        <v>1560</v>
      </c>
      <c r="E45" s="18" t="n">
        <f aca="false">IF(C45=0,0,D45/C45)</f>
        <v>13</v>
      </c>
      <c r="F45" s="5" t="s">
        <v>175</v>
      </c>
    </row>
    <row r="46" customFormat="false" ht="15" hidden="false" customHeight="true" outlineLevel="0" collapsed="false">
      <c r="B46" s="5" t="s">
        <v>218</v>
      </c>
      <c r="C46" s="17" t="n">
        <v>116</v>
      </c>
      <c r="D46" s="11" t="n">
        <v>1388</v>
      </c>
      <c r="E46" s="18" t="n">
        <f aca="false">IF(C46=0,0,D46/C46)</f>
        <v>11.9655172413793</v>
      </c>
      <c r="F46" s="5" t="s">
        <v>175</v>
      </c>
    </row>
    <row r="47" customFormat="false" ht="15" hidden="false" customHeight="true" outlineLevel="0" collapsed="false">
      <c r="B47" s="5" t="s">
        <v>219</v>
      </c>
      <c r="C47" s="17" t="n">
        <v>112</v>
      </c>
      <c r="D47" s="11" t="n">
        <v>1536</v>
      </c>
      <c r="E47" s="18" t="n">
        <f aca="false">IF(C47=0,0,D47/C47)</f>
        <v>13.7142857142857</v>
      </c>
      <c r="F47" s="5" t="s">
        <v>175</v>
      </c>
    </row>
    <row r="48" customFormat="false" ht="15" hidden="false" customHeight="true" outlineLevel="0" collapsed="false">
      <c r="B48" s="5" t="s">
        <v>220</v>
      </c>
      <c r="C48" s="17" t="n">
        <v>60.5</v>
      </c>
      <c r="D48" s="11" t="n">
        <v>1140.5</v>
      </c>
      <c r="E48" s="18" t="n">
        <f aca="false">IF(C48=0,0,D48/C48)</f>
        <v>18.8512396694215</v>
      </c>
      <c r="F48" s="5" t="s">
        <v>177</v>
      </c>
    </row>
    <row r="49" customFormat="false" ht="15" hidden="false" customHeight="true" outlineLevel="0" collapsed="false">
      <c r="B49" s="5" t="s">
        <v>221</v>
      </c>
      <c r="C49" s="17" t="n">
        <v>48</v>
      </c>
      <c r="D49" s="11" t="n">
        <v>672</v>
      </c>
      <c r="E49" s="18" t="n">
        <f aca="false">IF(C49=0,0,D49/C49)</f>
        <v>14</v>
      </c>
      <c r="F49" s="5" t="s">
        <v>175</v>
      </c>
    </row>
    <row r="50" customFormat="false" ht="15" hidden="false" customHeight="true" outlineLevel="0" collapsed="false">
      <c r="B50" s="5" t="s">
        <v>222</v>
      </c>
      <c r="C50" s="17" t="n">
        <v>32</v>
      </c>
      <c r="D50" s="11" t="n">
        <v>456</v>
      </c>
      <c r="E50" s="18" t="n">
        <f aca="false">IF(C50=0,0,D50/C50)</f>
        <v>14.25</v>
      </c>
      <c r="F50" s="5" t="s">
        <v>175</v>
      </c>
    </row>
    <row r="51" customFormat="false" ht="15" hidden="false" customHeight="true" outlineLevel="0" collapsed="false">
      <c r="B51" s="5" t="s">
        <v>223</v>
      </c>
      <c r="C51" s="17" t="n">
        <v>11</v>
      </c>
      <c r="D51" s="11" t="n">
        <v>495</v>
      </c>
      <c r="E51" s="18" t="n">
        <f aca="false">IF(C51=0,0,D51/C51)</f>
        <v>45</v>
      </c>
      <c r="F51" s="5" t="s">
        <v>179</v>
      </c>
    </row>
    <row r="52" customFormat="false" ht="15" hidden="false" customHeight="true" outlineLevel="0" collapsed="false">
      <c r="B52" s="5" t="s">
        <v>224</v>
      </c>
      <c r="C52" s="17" t="n">
        <v>6</v>
      </c>
      <c r="D52" s="11" t="n">
        <v>78</v>
      </c>
      <c r="E52" s="18" t="n">
        <f aca="false">IF(C52=0,0,D52/C52)</f>
        <v>13</v>
      </c>
      <c r="F52" s="5" t="s">
        <v>175</v>
      </c>
    </row>
    <row r="53" customFormat="false" ht="15" hidden="false" customHeight="true" outlineLevel="0" collapsed="false">
      <c r="B53" s="5" t="s">
        <v>225</v>
      </c>
      <c r="C53" s="17" t="n">
        <v>5.5</v>
      </c>
      <c r="D53" s="11" t="n">
        <v>164.5</v>
      </c>
      <c r="E53" s="18" t="n">
        <f aca="false">IF(C53=0,0,D53/C53)</f>
        <v>29.9090909090909</v>
      </c>
      <c r="F53" s="5" t="s">
        <v>177</v>
      </c>
    </row>
    <row r="54" customFormat="false" ht="15" hidden="false" customHeight="true" outlineLevel="0" collapsed="false">
      <c r="B54" s="6" t="s">
        <v>226</v>
      </c>
      <c r="C54" s="19" t="n">
        <f aca="false">SUM(C5:C53)</f>
        <v>29624.25</v>
      </c>
      <c r="D54" s="13" t="n">
        <f aca="false">SUM(D5:D53)</f>
        <v>593301.85</v>
      </c>
      <c r="E54" s="20" t="n">
        <f aca="false">IF(C54=0,0,D54/C54)</f>
        <v>20.0275736938488</v>
      </c>
    </row>
    <row r="57" customFormat="false" ht="15" hidden="false" customHeight="true" outlineLevel="0" collapsed="false">
      <c r="B57" s="4" t="s">
        <v>50</v>
      </c>
      <c r="C57" s="4"/>
      <c r="D57" s="4"/>
      <c r="E57" s="4"/>
      <c r="F57" s="4"/>
    </row>
    <row r="58" customFormat="false" ht="15" hidden="false" customHeight="true" outlineLevel="0" collapsed="false">
      <c r="B58" s="3" t="s">
        <v>51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52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53</v>
      </c>
      <c r="C60" s="3"/>
      <c r="D60" s="3"/>
      <c r="E60" s="3"/>
      <c r="F60" s="3"/>
    </row>
    <row r="61" customFormat="false" ht="15" hidden="false" customHeight="true" outlineLevel="0" collapsed="false">
      <c r="B61" s="3" t="s">
        <v>54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55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56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227</v>
      </c>
      <c r="C64" s="3"/>
      <c r="D64" s="3"/>
      <c r="E64" s="3"/>
      <c r="F64" s="3"/>
    </row>
  </sheetData>
  <mergeCells count="9">
    <mergeCell ref="B2:F2"/>
    <mergeCell ref="B57:F57"/>
    <mergeCell ref="B58:F58"/>
    <mergeCell ref="B59:F59"/>
    <mergeCell ref="B60:F60"/>
    <mergeCell ref="B61:F61"/>
    <mergeCell ref="B62:F62"/>
    <mergeCell ref="B63:F63"/>
    <mergeCell ref="B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228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229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173</v>
      </c>
      <c r="C5" s="10" t="s">
        <v>230</v>
      </c>
      <c r="D5" s="10" t="s">
        <v>170</v>
      </c>
      <c r="E5" s="10" t="s">
        <v>171</v>
      </c>
      <c r="F5" s="10" t="s">
        <v>231</v>
      </c>
    </row>
    <row r="6" customFormat="false" ht="15" hidden="false" customHeight="true" outlineLevel="0" collapsed="false">
      <c r="B6" s="5" t="s">
        <v>179</v>
      </c>
      <c r="C6" s="15" t="n">
        <v>3</v>
      </c>
      <c r="D6" s="17" t="n">
        <v>2588.5</v>
      </c>
      <c r="E6" s="11" t="n">
        <v>87251.3</v>
      </c>
      <c r="F6" s="12" t="n">
        <f aca="false">IF(29624.25=0,0,D6/29624.25)</f>
        <v>0.0873777395208318</v>
      </c>
    </row>
    <row r="7" customFormat="false" ht="15" hidden="false" customHeight="true" outlineLevel="0" collapsed="false">
      <c r="B7" s="5" t="s">
        <v>177</v>
      </c>
      <c r="C7" s="15" t="n">
        <v>15</v>
      </c>
      <c r="D7" s="17" t="n">
        <v>10753.5</v>
      </c>
      <c r="E7" s="11" t="n">
        <v>278014</v>
      </c>
      <c r="F7" s="12" t="n">
        <f aca="false">IF(29624.25=0,0,D7/29624.25)</f>
        <v>0.362996531557761</v>
      </c>
    </row>
    <row r="8" customFormat="false" ht="15" hidden="false" customHeight="true" outlineLevel="0" collapsed="false">
      <c r="B8" s="5" t="s">
        <v>175</v>
      </c>
      <c r="C8" s="15" t="n">
        <v>31</v>
      </c>
      <c r="D8" s="17" t="n">
        <v>16282.25</v>
      </c>
      <c r="E8" s="11" t="n">
        <v>228036.55</v>
      </c>
      <c r="F8" s="12" t="n">
        <f aca="false">IF(29624.25=0,0,D8/29624.25)</f>
        <v>0.549625728921407</v>
      </c>
    </row>
    <row r="11" customFormat="false" ht="15" hidden="false" customHeight="true" outlineLevel="0" collapsed="false">
      <c r="B11" s="4" t="s">
        <v>232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233</v>
      </c>
      <c r="C12" s="21" t="n">
        <v>20.0275736938488</v>
      </c>
      <c r="F12" s="22" t="s">
        <v>234</v>
      </c>
    </row>
    <row r="13" customFormat="false" ht="15" hidden="false" customHeight="true" outlineLevel="0" collapsed="false">
      <c r="B13" s="5" t="s">
        <v>235</v>
      </c>
      <c r="C13" s="21" t="n">
        <v>30.8071610251736</v>
      </c>
      <c r="F13" s="22" t="s">
        <v>236</v>
      </c>
    </row>
    <row r="14" customFormat="false" ht="15" hidden="false" customHeight="true" outlineLevel="0" collapsed="false">
      <c r="B14" s="5" t="s">
        <v>237</v>
      </c>
      <c r="C14" s="21" t="n">
        <v>1.53823730703014</v>
      </c>
      <c r="F14" s="22" t="s">
        <v>238</v>
      </c>
    </row>
    <row r="15" customFormat="false" ht="15" hidden="false" customHeight="true" outlineLevel="0" collapsed="false">
      <c r="B15" s="5" t="s">
        <v>239</v>
      </c>
      <c r="C15" s="21" t="n">
        <v>11.9655172413793</v>
      </c>
      <c r="F15" s="22" t="s">
        <v>240</v>
      </c>
    </row>
    <row r="16" customFormat="false" ht="15" hidden="false" customHeight="true" outlineLevel="0" collapsed="false">
      <c r="B16" s="5" t="s">
        <v>241</v>
      </c>
      <c r="C16" s="21" t="n">
        <v>45</v>
      </c>
      <c r="F16" s="22" t="s">
        <v>242</v>
      </c>
    </row>
    <row r="17" customFormat="false" ht="15" hidden="false" customHeight="true" outlineLevel="0" collapsed="false">
      <c r="B17" s="5" t="s">
        <v>243</v>
      </c>
      <c r="C17" s="21" t="n">
        <v>604.576530612245</v>
      </c>
      <c r="F17" s="22" t="s">
        <v>244</v>
      </c>
    </row>
    <row r="20" customFormat="false" ht="15" hidden="false" customHeight="true" outlineLevel="0" collapsed="false">
      <c r="B20" s="4" t="s">
        <v>50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51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52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53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54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55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56</v>
      </c>
      <c r="C26" s="3"/>
      <c r="D26" s="3"/>
      <c r="E26" s="3"/>
      <c r="F26" s="3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246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247</v>
      </c>
      <c r="C5" s="10" t="s">
        <v>248</v>
      </c>
      <c r="D5" s="10" t="s">
        <v>170</v>
      </c>
      <c r="E5" s="10" t="s">
        <v>249</v>
      </c>
      <c r="F5" s="10" t="s">
        <v>250</v>
      </c>
    </row>
    <row r="6" customFormat="false" ht="15" hidden="false" customHeight="true" outlineLevel="0" collapsed="false">
      <c r="B6" s="5" t="s">
        <v>251</v>
      </c>
      <c r="C6" s="5" t="s">
        <v>64</v>
      </c>
      <c r="D6" s="17" t="n">
        <v>532.75</v>
      </c>
      <c r="E6" s="12" t="n">
        <f aca="false">IF(29343.5=0,0,D6/29343.5)</f>
        <v>0.018155639238673</v>
      </c>
      <c r="F6" s="23" t="n">
        <f aca="false">IF(163=0,0,D6/163)</f>
        <v>3.26840490797546</v>
      </c>
    </row>
    <row r="7" customFormat="false" ht="15" hidden="false" customHeight="true" outlineLevel="0" collapsed="false">
      <c r="B7" s="5" t="s">
        <v>67</v>
      </c>
      <c r="C7" s="5" t="s">
        <v>66</v>
      </c>
      <c r="D7" s="17" t="n">
        <v>246.5</v>
      </c>
      <c r="E7" s="12" t="n">
        <f aca="false">IF(29343.5=0,0,D7/29343.5)</f>
        <v>0.00840049755482475</v>
      </c>
      <c r="F7" s="23" t="n">
        <f aca="false">IF(163=0,0,D7/163)</f>
        <v>1.51226993865031</v>
      </c>
    </row>
    <row r="8" customFormat="false" ht="15" hidden="false" customHeight="true" outlineLevel="0" collapsed="false">
      <c r="B8" s="5" t="s">
        <v>252</v>
      </c>
      <c r="C8" s="5" t="s">
        <v>68</v>
      </c>
      <c r="D8" s="17" t="n">
        <v>443</v>
      </c>
      <c r="E8" s="12" t="n">
        <f aca="false">IF(29343.5=0,0,D8/29343.5)</f>
        <v>0.0150970402303747</v>
      </c>
      <c r="F8" s="23" t="n">
        <f aca="false">IF(163=0,0,D8/163)</f>
        <v>2.71779141104294</v>
      </c>
    </row>
    <row r="9" customFormat="false" ht="15" hidden="false" customHeight="true" outlineLevel="0" collapsed="false">
      <c r="B9" s="5" t="s">
        <v>253</v>
      </c>
      <c r="C9" s="5" t="s">
        <v>70</v>
      </c>
      <c r="D9" s="17" t="n">
        <v>392.5</v>
      </c>
      <c r="E9" s="12" t="n">
        <f aca="false">IF(29343.5=0,0,D9/29343.5)</f>
        <v>0.0133760458023072</v>
      </c>
      <c r="F9" s="23" t="n">
        <f aca="false">IF(163=0,0,D9/163)</f>
        <v>2.4079754601227</v>
      </c>
    </row>
    <row r="10" customFormat="false" ht="15" hidden="false" customHeight="true" outlineLevel="0" collapsed="false">
      <c r="B10" s="5" t="s">
        <v>254</v>
      </c>
      <c r="C10" s="5" t="s">
        <v>72</v>
      </c>
      <c r="D10" s="17" t="n">
        <v>1728</v>
      </c>
      <c r="E10" s="12" t="n">
        <f aca="false">IF(29343.5=0,0,D10/29343.5)</f>
        <v>0.058888680627737</v>
      </c>
      <c r="F10" s="23" t="n">
        <f aca="false">IF(163=0,0,D10/163)</f>
        <v>10.601226993865</v>
      </c>
    </row>
    <row r="11" customFormat="false" ht="15" hidden="false" customHeight="true" outlineLevel="0" collapsed="false">
      <c r="B11" s="5" t="s">
        <v>255</v>
      </c>
      <c r="C11" s="5" t="s">
        <v>74</v>
      </c>
      <c r="D11" s="17" t="n">
        <v>1126.5</v>
      </c>
      <c r="E11" s="12" t="n">
        <f aca="false">IF(29343.5=0,0,D11/29343.5)</f>
        <v>0.0383901034300612</v>
      </c>
      <c r="F11" s="23" t="n">
        <f aca="false">IF(163=0,0,D11/163)</f>
        <v>6.91104294478528</v>
      </c>
    </row>
    <row r="12" customFormat="false" ht="15" hidden="false" customHeight="true" outlineLevel="0" collapsed="false">
      <c r="B12" s="5" t="s">
        <v>256</v>
      </c>
      <c r="C12" s="5" t="s">
        <v>76</v>
      </c>
      <c r="D12" s="17" t="n">
        <v>120</v>
      </c>
      <c r="E12" s="12" t="n">
        <f aca="false">IF(29343.5=0,0,D12/29343.5)</f>
        <v>0.00408949171025951</v>
      </c>
      <c r="F12" s="23" t="n">
        <f aca="false">IF(163=0,0,D12/163)</f>
        <v>0.736196319018405</v>
      </c>
    </row>
    <row r="13" customFormat="false" ht="15" hidden="false" customHeight="true" outlineLevel="0" collapsed="false">
      <c r="B13" s="5" t="s">
        <v>257</v>
      </c>
      <c r="C13" s="5" t="s">
        <v>78</v>
      </c>
      <c r="D13" s="17" t="n">
        <v>15344.5</v>
      </c>
      <c r="E13" s="12" t="n">
        <f aca="false">IF(29343.5=0,0,D13/29343.5)</f>
        <v>0.522926712900642</v>
      </c>
      <c r="F13" s="23" t="n">
        <f aca="false">IF(163=0,0,D13/163)</f>
        <v>94.138036809816</v>
      </c>
    </row>
    <row r="14" customFormat="false" ht="15" hidden="false" customHeight="true" outlineLevel="0" collapsed="false">
      <c r="B14" s="5" t="s">
        <v>258</v>
      </c>
      <c r="C14" s="5" t="s">
        <v>80</v>
      </c>
      <c r="D14" s="17" t="n">
        <v>4236.75</v>
      </c>
      <c r="E14" s="12" t="n">
        <f aca="false">IF(29343.5=0,0,D14/29343.5)</f>
        <v>0.14438461669535</v>
      </c>
      <c r="F14" s="23" t="n">
        <f aca="false">IF(163=0,0,D14/163)</f>
        <v>25.9923312883436</v>
      </c>
    </row>
    <row r="15" customFormat="false" ht="15" hidden="false" customHeight="true" outlineLevel="0" collapsed="false">
      <c r="B15" s="5" t="s">
        <v>259</v>
      </c>
      <c r="C15" s="5" t="s">
        <v>82</v>
      </c>
      <c r="D15" s="17" t="n">
        <v>910</v>
      </c>
      <c r="E15" s="12" t="n">
        <f aca="false">IF(29343.5=0,0,D15/29343.5)</f>
        <v>0.0310119788028013</v>
      </c>
      <c r="F15" s="23" t="n">
        <f aca="false">IF(163=0,0,D15/163)</f>
        <v>5.58282208588957</v>
      </c>
    </row>
    <row r="16" customFormat="false" ht="15" hidden="false" customHeight="true" outlineLevel="0" collapsed="false">
      <c r="B16" s="5" t="s">
        <v>260</v>
      </c>
      <c r="C16" s="5" t="s">
        <v>84</v>
      </c>
      <c r="D16" s="17" t="n">
        <v>3421.5</v>
      </c>
      <c r="E16" s="12" t="n">
        <f aca="false">IF(29343.5=0,0,D16/29343.5)</f>
        <v>0.116601632388774</v>
      </c>
      <c r="F16" s="23" t="n">
        <f aca="false">IF(163=0,0,D16/163)</f>
        <v>20.9907975460123</v>
      </c>
    </row>
    <row r="17" customFormat="false" ht="15" hidden="false" customHeight="true" outlineLevel="0" collapsed="false">
      <c r="B17" s="5" t="s">
        <v>261</v>
      </c>
      <c r="C17" s="5" t="s">
        <v>86</v>
      </c>
      <c r="D17" s="17" t="n">
        <v>838</v>
      </c>
      <c r="E17" s="12" t="n">
        <f aca="false">IF(29343.5=0,0,D17/29343.5)</f>
        <v>0.0285582837766456</v>
      </c>
      <c r="F17" s="23" t="n">
        <f aca="false">IF(163=0,0,D17/163)</f>
        <v>5.14110429447853</v>
      </c>
    </row>
    <row r="18" customFormat="false" ht="15" hidden="false" customHeight="true" outlineLevel="0" collapsed="false">
      <c r="B18" s="5" t="s">
        <v>262</v>
      </c>
      <c r="C18" s="5" t="s">
        <v>88</v>
      </c>
      <c r="D18" s="17" t="n">
        <v>3.5</v>
      </c>
      <c r="E18" s="12" t="n">
        <f aca="false">IF(29343.5=0,0,D18/29343.5)</f>
        <v>0.000119276841549236</v>
      </c>
      <c r="F18" s="23" t="n">
        <f aca="false">IF(163=0,0,D18/163)</f>
        <v>0.0214723926380368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29343.5</v>
      </c>
      <c r="E19" s="14" t="n">
        <v>1</v>
      </c>
      <c r="F19" s="21" t="n">
        <f aca="false">IF(163=0,0,D19/163)</f>
        <v>180.021472392638</v>
      </c>
    </row>
    <row r="22" customFormat="false" ht="15" hidden="false" customHeight="true" outlineLevel="0" collapsed="false">
      <c r="B22" s="4" t="s">
        <v>263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264</v>
      </c>
      <c r="E23" s="10"/>
      <c r="F23" s="10" t="s">
        <v>265</v>
      </c>
    </row>
    <row r="24" customFormat="false" ht="15" hidden="false" customHeight="true" outlineLevel="0" collapsed="false">
      <c r="B24" s="5" t="s">
        <v>250</v>
      </c>
      <c r="C24" s="24" t="n">
        <v>180.021472392638</v>
      </c>
      <c r="D24" s="5" t="s">
        <v>266</v>
      </c>
      <c r="F24" s="22" t="s">
        <v>267</v>
      </c>
    </row>
    <row r="25" customFormat="false" ht="15" hidden="false" customHeight="true" outlineLevel="0" collapsed="false">
      <c r="B25" s="5" t="s">
        <v>268</v>
      </c>
      <c r="C25" s="24" t="n">
        <v>16.4297312430011</v>
      </c>
      <c r="D25" s="5" t="s">
        <v>266</v>
      </c>
      <c r="F25" s="22" t="s">
        <v>269</v>
      </c>
    </row>
    <row r="26" customFormat="false" ht="15" hidden="false" customHeight="true" outlineLevel="0" collapsed="false">
      <c r="B26" s="5" t="s">
        <v>270</v>
      </c>
      <c r="C26" s="24" t="n">
        <v>79.3258472915637</v>
      </c>
      <c r="D26" s="5" t="s">
        <v>271</v>
      </c>
      <c r="F26" s="22" t="s">
        <v>272</v>
      </c>
    </row>
    <row r="27" customFormat="false" ht="15" hidden="false" customHeight="true" outlineLevel="0" collapsed="false">
      <c r="B27" s="5" t="s">
        <v>273</v>
      </c>
      <c r="C27" s="24" t="n">
        <v>17.6800715661049</v>
      </c>
      <c r="D27" s="5" t="s">
        <v>271</v>
      </c>
      <c r="F27" s="22" t="s">
        <v>274</v>
      </c>
    </row>
    <row r="28" customFormat="false" ht="15" hidden="false" customHeight="true" outlineLevel="0" collapsed="false">
      <c r="B28" s="5" t="s">
        <v>275</v>
      </c>
      <c r="C28" s="24" t="n">
        <v>10.8666666666667</v>
      </c>
      <c r="D28" s="5" t="s">
        <v>276</v>
      </c>
      <c r="F28" s="22" t="s">
        <v>277</v>
      </c>
    </row>
    <row r="29" customFormat="false" ht="15" hidden="false" customHeight="true" outlineLevel="0" collapsed="false">
      <c r="B29" s="5" t="s">
        <v>278</v>
      </c>
      <c r="C29" s="24" t="n">
        <v>119.066666666667</v>
      </c>
      <c r="D29" s="5" t="s">
        <v>279</v>
      </c>
      <c r="F29" s="22" t="s">
        <v>280</v>
      </c>
    </row>
    <row r="30" customFormat="false" ht="15" hidden="false" customHeight="true" outlineLevel="0" collapsed="false">
      <c r="B30" s="5" t="s">
        <v>281</v>
      </c>
      <c r="C30" s="24" t="n">
        <v>1956.23333333333</v>
      </c>
      <c r="D30" s="5" t="s">
        <v>266</v>
      </c>
      <c r="F30" s="22" t="s">
        <v>282</v>
      </c>
    </row>
    <row r="31" customFormat="false" ht="15" hidden="false" customHeight="true" outlineLevel="0" collapsed="false">
      <c r="B31" s="5" t="s">
        <v>283</v>
      </c>
      <c r="C31" s="24" t="n">
        <v>155179.866666667</v>
      </c>
      <c r="D31" s="5" t="s">
        <v>271</v>
      </c>
      <c r="F31" s="22" t="s">
        <v>284</v>
      </c>
    </row>
    <row r="34" customFormat="false" ht="15" hidden="false" customHeight="true" outlineLevel="0" collapsed="false">
      <c r="B34" s="4" t="s">
        <v>50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51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52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53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54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55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56</v>
      </c>
      <c r="C40" s="3"/>
      <c r="D40" s="3"/>
      <c r="E40" s="3"/>
      <c r="F40" s="3"/>
      <c r="G40" s="3"/>
    </row>
  </sheetData>
  <mergeCells count="10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285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286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287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288</v>
      </c>
      <c r="C6" s="10" t="s">
        <v>289</v>
      </c>
      <c r="D6" s="10" t="s">
        <v>290</v>
      </c>
      <c r="E6" s="10" t="s">
        <v>291</v>
      </c>
      <c r="F6" s="10" t="s">
        <v>292</v>
      </c>
    </row>
    <row r="7" customFormat="false" ht="15" hidden="false" customHeight="true" outlineLevel="0" collapsed="false">
      <c r="B7" s="6" t="s">
        <v>38</v>
      </c>
      <c r="D7" s="16" t="n">
        <v>0</v>
      </c>
      <c r="E7" s="25" t="n">
        <v>0</v>
      </c>
      <c r="F7" s="13" t="n">
        <v>816046.33</v>
      </c>
    </row>
    <row r="10" customFormat="false" ht="15" hidden="false" customHeight="true" outlineLevel="0" collapsed="false">
      <c r="B10" s="4" t="s">
        <v>293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10" t="s">
        <v>142</v>
      </c>
      <c r="C11" s="10" t="s">
        <v>290</v>
      </c>
      <c r="D11" s="10" t="s">
        <v>291</v>
      </c>
    </row>
    <row r="14" customFormat="false" ht="15" hidden="false" customHeight="true" outlineLevel="0" collapsed="false">
      <c r="B14" s="4" t="s">
        <v>294</v>
      </c>
      <c r="C14" s="4"/>
      <c r="D14" s="4"/>
      <c r="E14" s="4"/>
      <c r="F14" s="4"/>
      <c r="G14" s="4"/>
    </row>
    <row r="15" customFormat="false" ht="15" hidden="false" customHeight="true" outlineLevel="0" collapsed="false">
      <c r="B15" s="5" t="s">
        <v>295</v>
      </c>
      <c r="E15" s="11" t="n">
        <v>816046.33</v>
      </c>
    </row>
    <row r="16" customFormat="false" ht="15" hidden="false" customHeight="true" outlineLevel="0" collapsed="false">
      <c r="B16" s="5" t="s">
        <v>296</v>
      </c>
      <c r="E16" s="15" t="n">
        <v>0</v>
      </c>
    </row>
    <row r="17" customFormat="false" ht="15" hidden="false" customHeight="true" outlineLevel="0" collapsed="false">
      <c r="B17" s="22" t="s">
        <v>297</v>
      </c>
    </row>
    <row r="20" customFormat="false" ht="15" hidden="false" customHeight="true" outlineLevel="0" collapsed="false">
      <c r="B20" s="4" t="s">
        <v>50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3" t="s">
        <v>51</v>
      </c>
      <c r="C21" s="3"/>
      <c r="D21" s="3"/>
      <c r="E21" s="3"/>
      <c r="F21" s="3"/>
      <c r="G21" s="3"/>
    </row>
    <row r="22" customFormat="false" ht="15" hidden="false" customHeight="true" outlineLevel="0" collapsed="false">
      <c r="B22" s="3" t="s">
        <v>52</v>
      </c>
      <c r="C22" s="3"/>
      <c r="D22" s="3"/>
      <c r="E22" s="3"/>
      <c r="F22" s="3"/>
      <c r="G22" s="3"/>
    </row>
    <row r="23" customFormat="false" ht="15" hidden="false" customHeight="true" outlineLevel="0" collapsed="false">
      <c r="B23" s="3" t="s">
        <v>53</v>
      </c>
      <c r="C23" s="3"/>
      <c r="D23" s="3"/>
      <c r="E23" s="3"/>
      <c r="F23" s="3"/>
      <c r="G23" s="3"/>
    </row>
    <row r="24" customFormat="false" ht="15" hidden="false" customHeight="true" outlineLevel="0" collapsed="false">
      <c r="B24" s="3" t="s">
        <v>54</v>
      </c>
      <c r="C24" s="3"/>
      <c r="D24" s="3"/>
      <c r="E24" s="3"/>
      <c r="F24" s="3"/>
      <c r="G24" s="3"/>
    </row>
    <row r="25" customFormat="false" ht="15" hidden="false" customHeight="true" outlineLevel="0" collapsed="false">
      <c r="B25" s="3" t="s">
        <v>55</v>
      </c>
      <c r="C25" s="3"/>
      <c r="D25" s="3"/>
      <c r="E25" s="3"/>
      <c r="F25" s="3"/>
      <c r="G25" s="3"/>
    </row>
    <row r="26" customFormat="false" ht="15" hidden="false" customHeight="true" outlineLevel="0" collapsed="false">
      <c r="B26" s="3" t="s">
        <v>56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3" t="s">
        <v>298</v>
      </c>
      <c r="C27" s="3"/>
      <c r="D27" s="3"/>
      <c r="E27" s="3"/>
      <c r="F27" s="3"/>
      <c r="G27" s="3"/>
    </row>
    <row r="28" customFormat="false" ht="15" hidden="false" customHeight="true" outlineLevel="0" collapsed="false">
      <c r="B28" s="3" t="s">
        <v>299</v>
      </c>
      <c r="C28" s="3"/>
      <c r="D28" s="3"/>
      <c r="E28" s="3"/>
      <c r="F28" s="3"/>
      <c r="G28" s="3"/>
    </row>
  </sheetData>
  <mergeCells count="14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300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301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302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303</v>
      </c>
      <c r="G6" s="11" t="n">
        <v>2256200</v>
      </c>
    </row>
    <row r="7" customFormat="false" ht="15" hidden="false" customHeight="true" outlineLevel="0" collapsed="false">
      <c r="B7" s="5" t="s">
        <v>304</v>
      </c>
      <c r="G7" s="11" t="n">
        <v>71498</v>
      </c>
    </row>
    <row r="8" customFormat="false" ht="15" hidden="false" customHeight="true" outlineLevel="0" collapsed="false">
      <c r="B8" s="5" t="s">
        <v>305</v>
      </c>
      <c r="G8" s="11" t="n">
        <v>2327698</v>
      </c>
    </row>
    <row r="9" customFormat="false" ht="15" hidden="false" customHeight="true" outlineLevel="0" collapsed="false">
      <c r="B9" s="5" t="s">
        <v>306</v>
      </c>
      <c r="G9" s="11" t="n">
        <v>116385</v>
      </c>
    </row>
    <row r="10" customFormat="false" ht="15" hidden="false" customHeight="true" outlineLevel="0" collapsed="false">
      <c r="B10" s="5" t="s">
        <v>307</v>
      </c>
      <c r="G10" s="11" t="n">
        <v>2211313</v>
      </c>
    </row>
    <row r="12" customFormat="false" ht="15" hidden="false" customHeight="true" outlineLevel="0" collapsed="false">
      <c r="B12" s="4" t="s">
        <v>308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309</v>
      </c>
      <c r="C13" s="10" t="s">
        <v>310</v>
      </c>
      <c r="D13" s="10" t="s">
        <v>311</v>
      </c>
      <c r="E13" s="10" t="s">
        <v>312</v>
      </c>
      <c r="F13" s="10" t="s">
        <v>313</v>
      </c>
      <c r="G13" s="10" t="s">
        <v>314</v>
      </c>
      <c r="H13" s="10" t="s">
        <v>315</v>
      </c>
    </row>
    <row r="15" customFormat="false" ht="15" hidden="false" customHeight="true" outlineLevel="0" collapsed="false">
      <c r="B15" s="4" t="s">
        <v>316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B16" s="10" t="s">
        <v>40</v>
      </c>
      <c r="C16" s="10" t="s">
        <v>317</v>
      </c>
      <c r="D16" s="10" t="s">
        <v>318</v>
      </c>
      <c r="E16" s="10" t="s">
        <v>319</v>
      </c>
      <c r="F16" s="10" t="s">
        <v>320</v>
      </c>
    </row>
    <row r="17" customFormat="false" ht="15" hidden="false" customHeight="true" outlineLevel="0" collapsed="false">
      <c r="B17" s="5" t="s">
        <v>305</v>
      </c>
      <c r="C17" s="11" t="n">
        <v>2327698</v>
      </c>
      <c r="D17" s="11" t="n">
        <v>2327698</v>
      </c>
      <c r="E17" s="11" t="n">
        <f aca="false">C17-D17</f>
        <v>0</v>
      </c>
      <c r="F17" s="6" t="str">
        <f aca="false">IF(ABS(E17)&lt;=1,"TIES",IF(ABS(E17)&lt;=ABS(D17)*0.05,"WITHIN","OFF"))</f>
        <v>TIES</v>
      </c>
    </row>
    <row r="18" customFormat="false" ht="15" hidden="false" customHeight="true" outlineLevel="0" collapsed="false">
      <c r="B18" s="5" t="s">
        <v>321</v>
      </c>
      <c r="C18" s="11" t="n">
        <v>116385</v>
      </c>
      <c r="D18" s="11" t="n">
        <v>116385</v>
      </c>
      <c r="E18" s="11" t="n">
        <f aca="false">C18-D18</f>
        <v>0</v>
      </c>
      <c r="F18" s="6" t="str">
        <f aca="false">IF(ABS(E18)&lt;=1,"TIES",IF(ABS(E18)&lt;=ABS(D18)*0.05,"WITHIN","OFF"))</f>
        <v>TIES</v>
      </c>
    </row>
    <row r="19" customFormat="false" ht="15" hidden="false" customHeight="true" outlineLevel="0" collapsed="false">
      <c r="B19" s="5" t="s">
        <v>125</v>
      </c>
      <c r="C19" s="11" t="n">
        <v>1808903</v>
      </c>
      <c r="D19" s="11" t="n">
        <v>1808903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3" customFormat="false" ht="15" hidden="false" customHeight="true" outlineLevel="0" collapsed="false">
      <c r="B23" s="4" t="s">
        <v>50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B24" s="3" t="s">
        <v>51</v>
      </c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B25" s="3" t="s">
        <v>52</v>
      </c>
      <c r="C25" s="3"/>
      <c r="D25" s="3"/>
      <c r="E25" s="3"/>
      <c r="F25" s="3"/>
      <c r="G25" s="3"/>
      <c r="H25" s="3"/>
    </row>
    <row r="26" customFormat="false" ht="15" hidden="false" customHeight="true" outlineLevel="0" collapsed="false">
      <c r="B26" s="3" t="s">
        <v>53</v>
      </c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B27" s="3" t="s">
        <v>54</v>
      </c>
      <c r="C27" s="3"/>
      <c r="D27" s="3"/>
      <c r="E27" s="3"/>
      <c r="F27" s="3"/>
      <c r="G27" s="3"/>
      <c r="H27" s="3"/>
    </row>
    <row r="28" customFormat="false" ht="15" hidden="false" customHeight="true" outlineLevel="0" collapsed="false">
      <c r="B28" s="3" t="s">
        <v>55</v>
      </c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B29" s="3" t="s">
        <v>56</v>
      </c>
      <c r="C29" s="3"/>
      <c r="D29" s="3"/>
      <c r="E29" s="3"/>
      <c r="F29" s="3"/>
      <c r="G29" s="3"/>
      <c r="H29" s="3"/>
    </row>
  </sheetData>
  <mergeCells count="12">
    <mergeCell ref="B2:H2"/>
    <mergeCell ref="B3:H3"/>
    <mergeCell ref="B5:H5"/>
    <mergeCell ref="B12:H12"/>
    <mergeCell ref="B15:H15"/>
    <mergeCell ref="B23:H23"/>
    <mergeCell ref="B24:H24"/>
    <mergeCell ref="B25:H25"/>
    <mergeCell ref="B26:H26"/>
    <mergeCell ref="B27:H27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322</v>
      </c>
      <c r="C2" s="2"/>
    </row>
    <row r="3" customFormat="false" ht="15" hidden="false" customHeight="true" outlineLevel="0" collapsed="false">
      <c r="B3" s="3" t="s">
        <v>323</v>
      </c>
      <c r="C3" s="3"/>
    </row>
    <row r="5" customFormat="false" ht="31.5" hidden="false" customHeight="true" outlineLevel="0" collapsed="false">
      <c r="B5" s="6" t="s">
        <v>324</v>
      </c>
      <c r="C5" s="26" t="s">
        <v>325</v>
      </c>
    </row>
    <row r="6" customFormat="false" ht="31.5" hidden="false" customHeight="true" outlineLevel="0" collapsed="false">
      <c r="B6" s="6" t="s">
        <v>326</v>
      </c>
      <c r="C6" s="26" t="s">
        <v>327</v>
      </c>
    </row>
    <row r="7" customFormat="false" ht="31.5" hidden="false" customHeight="true" outlineLevel="0" collapsed="false">
      <c r="B7" s="6" t="s">
        <v>328</v>
      </c>
      <c r="C7" s="26" t="s">
        <v>329</v>
      </c>
    </row>
    <row r="8" customFormat="false" ht="31.5" hidden="false" customHeight="true" outlineLevel="0" collapsed="false">
      <c r="B8" s="6" t="s">
        <v>330</v>
      </c>
      <c r="C8" s="26" t="s">
        <v>331</v>
      </c>
    </row>
    <row r="9" customFormat="false" ht="31.5" hidden="false" customHeight="true" outlineLevel="0" collapsed="false">
      <c r="B9" s="6" t="s">
        <v>332</v>
      </c>
      <c r="C9" s="26" t="s">
        <v>333</v>
      </c>
    </row>
    <row r="10" customFormat="false" ht="31.5" hidden="false" customHeight="true" outlineLevel="0" collapsed="false">
      <c r="B10" s="6" t="s">
        <v>334</v>
      </c>
      <c r="C10" s="26" t="s">
        <v>335</v>
      </c>
    </row>
    <row r="11" customFormat="false" ht="31.5" hidden="false" customHeight="true" outlineLevel="0" collapsed="false">
      <c r="B11" s="6" t="s">
        <v>336</v>
      </c>
      <c r="C11" s="26" t="s">
        <v>337</v>
      </c>
    </row>
    <row r="12" customFormat="false" ht="31.5" hidden="false" customHeight="true" outlineLevel="0" collapsed="false">
      <c r="B12" s="6" t="s">
        <v>338</v>
      </c>
      <c r="C12" s="26" t="s">
        <v>339</v>
      </c>
    </row>
    <row r="13" customFormat="false" ht="31.5" hidden="false" customHeight="true" outlineLevel="0" collapsed="false">
      <c r="B13" s="6" t="s">
        <v>340</v>
      </c>
      <c r="C13" s="26" t="s">
        <v>341</v>
      </c>
    </row>
    <row r="14" customFormat="false" ht="31.5" hidden="false" customHeight="true" outlineLevel="0" collapsed="false">
      <c r="B14" s="6" t="s">
        <v>342</v>
      </c>
      <c r="C14" s="26" t="s">
        <v>343</v>
      </c>
    </row>
    <row r="16" customFormat="false" ht="15" hidden="false" customHeight="true" outlineLevel="0" collapsed="false">
      <c r="B16" s="4" t="s">
        <v>344</v>
      </c>
      <c r="C16" s="4"/>
    </row>
    <row r="17" customFormat="false" ht="49.5" hidden="false" customHeight="true" outlineLevel="0" collapsed="false">
      <c r="B17" s="27" t="s">
        <v>345</v>
      </c>
      <c r="C17" s="27"/>
    </row>
    <row r="20" customFormat="false" ht="15" hidden="false" customHeight="true" outlineLevel="0" collapsed="false">
      <c r="B20" s="4" t="s">
        <v>50</v>
      </c>
      <c r="C20" s="4"/>
    </row>
    <row r="21" customFormat="false" ht="15" hidden="false" customHeight="true" outlineLevel="0" collapsed="false">
      <c r="B21" s="3" t="s">
        <v>51</v>
      </c>
      <c r="C21" s="3"/>
    </row>
    <row r="22" customFormat="false" ht="15" hidden="false" customHeight="true" outlineLevel="0" collapsed="false">
      <c r="B22" s="3" t="s">
        <v>52</v>
      </c>
      <c r="C22" s="3"/>
    </row>
    <row r="23" customFormat="false" ht="15" hidden="false" customHeight="true" outlineLevel="0" collapsed="false">
      <c r="B23" s="3" t="s">
        <v>53</v>
      </c>
      <c r="C23" s="3"/>
    </row>
    <row r="24" customFormat="false" ht="15" hidden="false" customHeight="true" outlineLevel="0" collapsed="false">
      <c r="B24" s="3" t="s">
        <v>54</v>
      </c>
      <c r="C24" s="3"/>
    </row>
    <row r="25" customFormat="false" ht="15" hidden="false" customHeight="true" outlineLevel="0" collapsed="false">
      <c r="B25" s="3" t="s">
        <v>55</v>
      </c>
      <c r="C25" s="3"/>
    </row>
    <row r="26" customFormat="false" ht="15" hidden="false" customHeight="true" outlineLevel="0" collapsed="false">
      <c r="B26" s="3" t="s">
        <v>56</v>
      </c>
      <c r="C26" s="3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</cols>
  <sheetData>
    <row r="2" customFormat="false" ht="19.5" hidden="false" customHeight="true" outlineLevel="0" collapsed="false">
      <c r="B2" s="2" t="s">
        <v>346</v>
      </c>
      <c r="C2" s="2"/>
      <c r="D2" s="2"/>
      <c r="E2" s="2"/>
      <c r="F2" s="2"/>
    </row>
    <row r="3" customFormat="false" ht="15" hidden="false" customHeight="true" outlineLevel="0" collapsed="false">
      <c r="B3" s="3" t="s">
        <v>347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348</v>
      </c>
      <c r="C5" s="10" t="s">
        <v>349</v>
      </c>
      <c r="D5" s="10" t="s">
        <v>41</v>
      </c>
      <c r="E5" s="10" t="s">
        <v>28</v>
      </c>
      <c r="F5" s="10" t="s">
        <v>265</v>
      </c>
    </row>
    <row r="6" customFormat="false" ht="15" hidden="false" customHeight="true" outlineLevel="0" collapsed="false">
      <c r="B6" s="5" t="s">
        <v>350</v>
      </c>
      <c r="C6" s="28" t="s">
        <v>351</v>
      </c>
      <c r="D6" s="6" t="s">
        <v>4</v>
      </c>
      <c r="E6" s="5" t="s">
        <v>352</v>
      </c>
      <c r="F6" s="22" t="s">
        <v>353</v>
      </c>
    </row>
    <row r="7" customFormat="false" ht="15" hidden="false" customHeight="true" outlineLevel="0" collapsed="false">
      <c r="B7" s="5" t="s">
        <v>354</v>
      </c>
      <c r="C7" s="28" t="s">
        <v>355</v>
      </c>
      <c r="D7" s="6" t="s">
        <v>6</v>
      </c>
      <c r="E7" s="5" t="s">
        <v>352</v>
      </c>
    </row>
    <row r="8" customFormat="false" ht="15" hidden="false" customHeight="true" outlineLevel="0" collapsed="false">
      <c r="B8" s="5" t="s">
        <v>7</v>
      </c>
      <c r="C8" s="28" t="s">
        <v>356</v>
      </c>
      <c r="D8" s="6" t="s">
        <v>8</v>
      </c>
      <c r="E8" s="5" t="s">
        <v>352</v>
      </c>
    </row>
    <row r="9" customFormat="false" ht="15" hidden="false" customHeight="true" outlineLevel="0" collapsed="false">
      <c r="B9" s="5" t="s">
        <v>9</v>
      </c>
      <c r="C9" s="28" t="s">
        <v>357</v>
      </c>
      <c r="D9" s="6" t="s">
        <v>10</v>
      </c>
      <c r="E9" s="5" t="s">
        <v>352</v>
      </c>
    </row>
    <row r="10" customFormat="false" ht="15" hidden="false" customHeight="true" outlineLevel="0" collapsed="false">
      <c r="B10" s="5" t="s">
        <v>358</v>
      </c>
      <c r="C10" s="28" t="s">
        <v>359</v>
      </c>
      <c r="D10" s="6" t="s">
        <v>360</v>
      </c>
      <c r="E10" s="5" t="s">
        <v>352</v>
      </c>
    </row>
    <row r="11" customFormat="false" ht="15" hidden="false" customHeight="true" outlineLevel="0" collapsed="false">
      <c r="B11" s="5" t="s">
        <v>361</v>
      </c>
      <c r="C11" s="28" t="s">
        <v>362</v>
      </c>
      <c r="D11" s="6" t="n">
        <v>15</v>
      </c>
      <c r="E11" s="5" t="s">
        <v>352</v>
      </c>
      <c r="F11" s="22" t="s">
        <v>12</v>
      </c>
    </row>
    <row r="12" customFormat="false" ht="15" hidden="false" customHeight="true" outlineLevel="0" collapsed="false">
      <c r="B12" s="5" t="s">
        <v>363</v>
      </c>
      <c r="C12" s="28" t="s">
        <v>364</v>
      </c>
      <c r="D12" s="13" t="n">
        <v>163</v>
      </c>
      <c r="E12" s="5" t="s">
        <v>352</v>
      </c>
    </row>
    <row r="13" customFormat="false" ht="15" hidden="false" customHeight="true" outlineLevel="0" collapsed="false">
      <c r="B13" s="5" t="s">
        <v>44</v>
      </c>
      <c r="C13" s="28" t="s">
        <v>365</v>
      </c>
      <c r="D13" s="13" t="n">
        <v>1786</v>
      </c>
      <c r="E13" s="5" t="s">
        <v>352</v>
      </c>
    </row>
    <row r="14" customFormat="false" ht="15" hidden="false" customHeight="true" outlineLevel="0" collapsed="false">
      <c r="B14" s="5" t="s">
        <v>366</v>
      </c>
      <c r="C14" s="28" t="s">
        <v>367</v>
      </c>
      <c r="D14" s="14" t="n">
        <v>10.9570552147239</v>
      </c>
      <c r="E14" s="5" t="s">
        <v>352</v>
      </c>
    </row>
    <row r="15" customFormat="false" ht="15" hidden="false" customHeight="true" outlineLevel="0" collapsed="false">
      <c r="B15" s="5" t="s">
        <v>368</v>
      </c>
      <c r="C15" s="28" t="s">
        <v>369</v>
      </c>
      <c r="D15" s="13" t="n">
        <v>2256200</v>
      </c>
      <c r="E15" s="5" t="s">
        <v>370</v>
      </c>
    </row>
    <row r="16" customFormat="false" ht="15" hidden="false" customHeight="true" outlineLevel="0" collapsed="false">
      <c r="B16" s="5" t="s">
        <v>371</v>
      </c>
      <c r="C16" s="28" t="s">
        <v>372</v>
      </c>
      <c r="D16" s="13" t="n">
        <v>2327698</v>
      </c>
      <c r="E16" s="5" t="s">
        <v>370</v>
      </c>
      <c r="F16" s="22" t="s">
        <v>373</v>
      </c>
    </row>
    <row r="17" customFormat="false" ht="15" hidden="false" customHeight="true" outlineLevel="0" collapsed="false">
      <c r="B17" s="5" t="s">
        <v>374</v>
      </c>
      <c r="C17" s="28" t="s">
        <v>375</v>
      </c>
      <c r="D17" s="13" t="n">
        <v>71498</v>
      </c>
      <c r="E17" s="5" t="s">
        <v>370</v>
      </c>
    </row>
    <row r="18" customFormat="false" ht="15" hidden="false" customHeight="true" outlineLevel="0" collapsed="false">
      <c r="B18" s="5" t="s">
        <v>376</v>
      </c>
      <c r="C18" s="28" t="s">
        <v>377</v>
      </c>
      <c r="D18" s="13" t="n">
        <v>2327698</v>
      </c>
      <c r="E18" s="5" t="s">
        <v>370</v>
      </c>
    </row>
    <row r="19" customFormat="false" ht="15" hidden="false" customHeight="true" outlineLevel="0" collapsed="false">
      <c r="B19" s="5" t="s">
        <v>378</v>
      </c>
      <c r="C19" s="28" t="s">
        <v>379</v>
      </c>
      <c r="D19" s="13" t="n">
        <v>518795.18</v>
      </c>
      <c r="E19" s="5" t="s">
        <v>370</v>
      </c>
    </row>
    <row r="20" customFormat="false" ht="15" hidden="false" customHeight="true" outlineLevel="0" collapsed="false">
      <c r="B20" s="5" t="s">
        <v>380</v>
      </c>
      <c r="C20" s="28" t="s">
        <v>381</v>
      </c>
      <c r="D20" s="21" t="n">
        <v>0.222879076237553</v>
      </c>
      <c r="E20" s="5" t="s">
        <v>370</v>
      </c>
    </row>
    <row r="21" customFormat="false" ht="15" hidden="false" customHeight="true" outlineLevel="0" collapsed="false">
      <c r="B21" s="5" t="s">
        <v>125</v>
      </c>
      <c r="C21" s="28" t="s">
        <v>382</v>
      </c>
      <c r="D21" s="13" t="n">
        <v>1808902.82</v>
      </c>
      <c r="E21" s="5" t="s">
        <v>370</v>
      </c>
    </row>
    <row r="22" customFormat="false" ht="15" hidden="false" customHeight="true" outlineLevel="0" collapsed="false">
      <c r="B22" s="5" t="s">
        <v>383</v>
      </c>
      <c r="C22" s="28" t="s">
        <v>384</v>
      </c>
      <c r="D22" s="13" t="n">
        <v>593780.08</v>
      </c>
      <c r="E22" s="5" t="s">
        <v>34</v>
      </c>
      <c r="F22" s="22" t="s">
        <v>385</v>
      </c>
    </row>
    <row r="23" customFormat="false" ht="15" hidden="false" customHeight="true" outlineLevel="0" collapsed="false">
      <c r="B23" s="5" t="s">
        <v>386</v>
      </c>
      <c r="C23" s="28" t="s">
        <v>387</v>
      </c>
      <c r="D23" s="13" t="n">
        <v>816046.33</v>
      </c>
      <c r="E23" s="5" t="s">
        <v>35</v>
      </c>
      <c r="F23" s="22" t="s">
        <v>388</v>
      </c>
    </row>
    <row r="24" customFormat="false" ht="15" hidden="false" customHeight="true" outlineLevel="0" collapsed="false">
      <c r="B24" s="5" t="s">
        <v>389</v>
      </c>
      <c r="C24" s="28" t="s">
        <v>390</v>
      </c>
      <c r="D24" s="13" t="n">
        <v>80217.45</v>
      </c>
      <c r="E24" s="5" t="s">
        <v>370</v>
      </c>
      <c r="F24" s="22" t="s">
        <v>391</v>
      </c>
    </row>
    <row r="25" customFormat="false" ht="15" hidden="false" customHeight="true" outlineLevel="0" collapsed="false">
      <c r="B25" s="5" t="s">
        <v>392</v>
      </c>
      <c r="C25" s="28" t="s">
        <v>393</v>
      </c>
      <c r="D25" s="13" t="n">
        <v>318858.96</v>
      </c>
      <c r="E25" s="5" t="s">
        <v>370</v>
      </c>
      <c r="F25" s="22" t="s">
        <v>394</v>
      </c>
    </row>
    <row r="26" customFormat="false" ht="15" hidden="false" customHeight="true" outlineLevel="0" collapsed="false">
      <c r="B26" s="5" t="s">
        <v>321</v>
      </c>
      <c r="C26" s="28" t="s">
        <v>395</v>
      </c>
      <c r="D26" s="13" t="n">
        <v>116385</v>
      </c>
      <c r="E26" s="5" t="s">
        <v>370</v>
      </c>
      <c r="F26" s="22" t="s">
        <v>396</v>
      </c>
    </row>
    <row r="27" customFormat="false" ht="15" hidden="false" customHeight="true" outlineLevel="0" collapsed="false">
      <c r="B27" s="5" t="s">
        <v>397</v>
      </c>
      <c r="C27" s="28" t="s">
        <v>398</v>
      </c>
      <c r="D27" s="13" t="n">
        <v>14280.3558282209</v>
      </c>
      <c r="E27" s="5" t="s">
        <v>370</v>
      </c>
    </row>
    <row r="28" customFormat="false" ht="15" hidden="false" customHeight="true" outlineLevel="0" collapsed="false">
      <c r="B28" s="5" t="s">
        <v>399</v>
      </c>
      <c r="C28" s="28" t="s">
        <v>400</v>
      </c>
      <c r="D28" s="13" t="n">
        <v>3182.79251533742</v>
      </c>
      <c r="E28" s="5" t="s">
        <v>370</v>
      </c>
    </row>
    <row r="29" customFormat="false" ht="15" hidden="false" customHeight="true" outlineLevel="0" collapsed="false">
      <c r="B29" s="5" t="s">
        <v>401</v>
      </c>
      <c r="C29" s="28" t="s">
        <v>402</v>
      </c>
      <c r="D29" s="13" t="n">
        <v>11097.5633128834</v>
      </c>
      <c r="E29" s="5" t="s">
        <v>370</v>
      </c>
    </row>
    <row r="30" customFormat="false" ht="15" hidden="false" customHeight="true" outlineLevel="0" collapsed="false">
      <c r="B30" s="5" t="s">
        <v>403</v>
      </c>
      <c r="C30" s="28" t="s">
        <v>404</v>
      </c>
      <c r="D30" s="13" t="n">
        <v>3642.82257668712</v>
      </c>
      <c r="E30" s="5" t="s">
        <v>34</v>
      </c>
    </row>
    <row r="31" customFormat="false" ht="15" hidden="false" customHeight="true" outlineLevel="0" collapsed="false">
      <c r="B31" s="5" t="s">
        <v>405</v>
      </c>
      <c r="C31" s="28" t="s">
        <v>406</v>
      </c>
      <c r="D31" s="13" t="n">
        <v>5006.41920245399</v>
      </c>
      <c r="E31" s="5" t="s">
        <v>35</v>
      </c>
    </row>
    <row r="32" customFormat="false" ht="15" hidden="false" customHeight="true" outlineLevel="0" collapsed="false">
      <c r="B32" s="5" t="s">
        <v>407</v>
      </c>
      <c r="C32" s="28" t="s">
        <v>408</v>
      </c>
      <c r="D32" s="13" t="n">
        <v>1303.30235162374</v>
      </c>
      <c r="E32" s="5" t="s">
        <v>370</v>
      </c>
    </row>
    <row r="33" customFormat="false" ht="15" hidden="false" customHeight="true" outlineLevel="0" collapsed="false">
      <c r="B33" s="5" t="s">
        <v>409</v>
      </c>
      <c r="C33" s="28" t="s">
        <v>410</v>
      </c>
      <c r="D33" s="13" t="n">
        <v>290.47882418813</v>
      </c>
      <c r="E33" s="5" t="s">
        <v>370</v>
      </c>
    </row>
    <row r="34" customFormat="false" ht="15" hidden="false" customHeight="true" outlineLevel="0" collapsed="false">
      <c r="B34" s="5" t="s">
        <v>411</v>
      </c>
      <c r="C34" s="28" t="s">
        <v>412</v>
      </c>
      <c r="D34" s="13" t="n">
        <v>1012.82352743561</v>
      </c>
      <c r="E34" s="5" t="s">
        <v>370</v>
      </c>
    </row>
    <row r="35" customFormat="false" ht="15" hidden="false" customHeight="true" outlineLevel="0" collapsed="false">
      <c r="B35" s="5" t="s">
        <v>413</v>
      </c>
      <c r="C35" s="28" t="s">
        <v>414</v>
      </c>
      <c r="D35" s="13" t="n">
        <v>332.463650615901</v>
      </c>
      <c r="E35" s="5" t="s">
        <v>34</v>
      </c>
    </row>
    <row r="36" customFormat="false" ht="15" hidden="false" customHeight="true" outlineLevel="0" collapsed="false">
      <c r="B36" s="5" t="s">
        <v>415</v>
      </c>
      <c r="C36" s="28" t="s">
        <v>416</v>
      </c>
      <c r="D36" s="13" t="n">
        <v>456.912838745801</v>
      </c>
      <c r="E36" s="5" t="s">
        <v>35</v>
      </c>
    </row>
    <row r="37" customFormat="false" ht="15" hidden="false" customHeight="true" outlineLevel="0" collapsed="false">
      <c r="B37" s="5" t="s">
        <v>417</v>
      </c>
      <c r="C37" s="28" t="s">
        <v>418</v>
      </c>
      <c r="D37" s="13" t="n">
        <v>29343.5</v>
      </c>
      <c r="E37" s="5" t="s">
        <v>34</v>
      </c>
      <c r="F37" s="22" t="s">
        <v>419</v>
      </c>
    </row>
    <row r="38" customFormat="false" ht="15" hidden="false" customHeight="true" outlineLevel="0" collapsed="false">
      <c r="B38" s="5" t="s">
        <v>420</v>
      </c>
      <c r="C38" s="28" t="s">
        <v>421</v>
      </c>
      <c r="D38" s="6" t="n">
        <v>49</v>
      </c>
      <c r="E38" s="5" t="s">
        <v>34</v>
      </c>
      <c r="F38" s="22" t="s">
        <v>422</v>
      </c>
    </row>
    <row r="39" customFormat="false" ht="15" hidden="false" customHeight="true" outlineLevel="0" collapsed="false">
      <c r="B39" s="5" t="s">
        <v>233</v>
      </c>
      <c r="C39" s="28" t="s">
        <v>423</v>
      </c>
      <c r="D39" s="14" t="n">
        <v>20.2191916438053</v>
      </c>
      <c r="E39" s="5" t="s">
        <v>34</v>
      </c>
      <c r="F39" s="22" t="s">
        <v>424</v>
      </c>
    </row>
    <row r="40" customFormat="false" ht="15" hidden="false" customHeight="true" outlineLevel="0" collapsed="false">
      <c r="B40" s="5" t="s">
        <v>235</v>
      </c>
      <c r="C40" s="28" t="s">
        <v>425</v>
      </c>
      <c r="D40" s="14" t="n">
        <v>31.1019149044933</v>
      </c>
      <c r="E40" s="5" t="s">
        <v>34</v>
      </c>
      <c r="F40" s="22" t="s">
        <v>426</v>
      </c>
    </row>
    <row r="41" customFormat="false" ht="15" hidden="false" customHeight="true" outlineLevel="0" collapsed="false">
      <c r="B41" s="5" t="s">
        <v>237</v>
      </c>
      <c r="C41" s="28" t="s">
        <v>427</v>
      </c>
      <c r="D41" s="21" t="n">
        <v>1.53823730703014</v>
      </c>
      <c r="E41" s="5" t="s">
        <v>34</v>
      </c>
    </row>
    <row r="42" customFormat="false" ht="15" hidden="false" customHeight="true" outlineLevel="0" collapsed="false">
      <c r="B42" s="5" t="s">
        <v>428</v>
      </c>
      <c r="C42" s="28" t="s">
        <v>429</v>
      </c>
      <c r="D42" s="13" t="n">
        <v>180.021472392638</v>
      </c>
      <c r="E42" s="5" t="s">
        <v>34</v>
      </c>
      <c r="F42" s="22" t="s">
        <v>430</v>
      </c>
    </row>
    <row r="43" customFormat="false" ht="15" hidden="false" customHeight="true" outlineLevel="0" collapsed="false">
      <c r="B43" s="5" t="s">
        <v>431</v>
      </c>
      <c r="C43" s="28" t="s">
        <v>432</v>
      </c>
      <c r="D43" s="14" t="n">
        <v>16.4297312430011</v>
      </c>
      <c r="E43" s="5" t="s">
        <v>34</v>
      </c>
      <c r="F43" s="22" t="s">
        <v>430</v>
      </c>
    </row>
    <row r="44" customFormat="false" ht="15" hidden="false" customHeight="true" outlineLevel="0" collapsed="false">
      <c r="B44" s="5" t="s">
        <v>433</v>
      </c>
      <c r="C44" s="28" t="s">
        <v>434</v>
      </c>
      <c r="D44" s="14" t="n">
        <v>79.3258472915637</v>
      </c>
      <c r="E44" s="5" t="s">
        <v>435</v>
      </c>
    </row>
    <row r="45" customFormat="false" ht="15" hidden="false" customHeight="true" outlineLevel="0" collapsed="false">
      <c r="B45" s="5" t="s">
        <v>436</v>
      </c>
      <c r="C45" s="28" t="s">
        <v>437</v>
      </c>
      <c r="D45" s="14" t="n">
        <v>17.6800715661049</v>
      </c>
      <c r="E45" s="5" t="s">
        <v>435</v>
      </c>
    </row>
    <row r="46" customFormat="false" ht="15" hidden="false" customHeight="true" outlineLevel="0" collapsed="false">
      <c r="B46" s="5" t="s">
        <v>438</v>
      </c>
      <c r="C46" s="28" t="s">
        <v>439</v>
      </c>
      <c r="D46" s="21" t="n">
        <v>0.25509326381687</v>
      </c>
      <c r="E46" s="5" t="s">
        <v>440</v>
      </c>
    </row>
    <row r="47" customFormat="false" ht="15" hidden="false" customHeight="true" outlineLevel="0" collapsed="false">
      <c r="B47" s="5" t="s">
        <v>441</v>
      </c>
      <c r="C47" s="28" t="s">
        <v>442</v>
      </c>
      <c r="D47" s="21" t="n">
        <v>0.350580844250414</v>
      </c>
      <c r="E47" s="5" t="s">
        <v>440</v>
      </c>
    </row>
    <row r="48" customFormat="false" ht="15" hidden="false" customHeight="true" outlineLevel="0" collapsed="false">
      <c r="B48" s="5" t="s">
        <v>443</v>
      </c>
      <c r="C48" s="28" t="s">
        <v>444</v>
      </c>
      <c r="D48" s="13" t="n">
        <v>155179.866666667</v>
      </c>
      <c r="E48" s="5" t="s">
        <v>435</v>
      </c>
    </row>
    <row r="49" customFormat="false" ht="15" hidden="false" customHeight="true" outlineLevel="0" collapsed="false">
      <c r="B49" s="5" t="s">
        <v>445</v>
      </c>
      <c r="C49" s="28" t="s">
        <v>446</v>
      </c>
      <c r="D49" s="13" t="n">
        <v>1956.23333333333</v>
      </c>
      <c r="E49" s="5" t="s">
        <v>435</v>
      </c>
    </row>
    <row r="50" customFormat="false" ht="15" hidden="false" customHeight="true" outlineLevel="0" collapsed="false">
      <c r="B50" s="5" t="s">
        <v>447</v>
      </c>
      <c r="C50" s="28" t="s">
        <v>448</v>
      </c>
      <c r="D50" s="14" t="n">
        <v>10.8666666666667</v>
      </c>
      <c r="E50" s="5" t="s">
        <v>435</v>
      </c>
    </row>
    <row r="51" customFormat="false" ht="15" hidden="false" customHeight="true" outlineLevel="0" collapsed="false">
      <c r="B51" s="5" t="s">
        <v>449</v>
      </c>
      <c r="C51" s="28" t="s">
        <v>450</v>
      </c>
      <c r="D51" s="6" t="n">
        <v>20</v>
      </c>
      <c r="E51" s="5" t="s">
        <v>35</v>
      </c>
      <c r="F51" s="22" t="s">
        <v>451</v>
      </c>
    </row>
    <row r="52" customFormat="false" ht="15" hidden="false" customHeight="true" outlineLevel="0" collapsed="false">
      <c r="B52" s="5" t="s">
        <v>452</v>
      </c>
      <c r="C52" s="28" t="s">
        <v>453</v>
      </c>
      <c r="D52" s="13" t="n">
        <v>597586.16</v>
      </c>
      <c r="E52" s="5" t="s">
        <v>35</v>
      </c>
      <c r="F52" s="22" t="s">
        <v>147</v>
      </c>
    </row>
    <row r="53" customFormat="false" ht="15" hidden="false" customHeight="true" outlineLevel="0" collapsed="false">
      <c r="B53" s="5" t="s">
        <v>454</v>
      </c>
      <c r="C53" s="28" t="s">
        <v>455</v>
      </c>
      <c r="D53" s="21" t="n">
        <v>0.613362808274809</v>
      </c>
      <c r="E53" s="5" t="s">
        <v>35</v>
      </c>
    </row>
    <row r="54" customFormat="false" ht="15" hidden="false" customHeight="true" outlineLevel="0" collapsed="false">
      <c r="B54" s="5" t="s">
        <v>456</v>
      </c>
      <c r="C54" s="28" t="s">
        <v>457</v>
      </c>
      <c r="D54" s="6" t="n">
        <v>0</v>
      </c>
      <c r="E54" s="5" t="s">
        <v>35</v>
      </c>
      <c r="F54" s="22" t="s">
        <v>458</v>
      </c>
    </row>
    <row r="55" customFormat="false" ht="15" hidden="false" customHeight="true" outlineLevel="0" collapsed="false">
      <c r="B55" s="5" t="s">
        <v>459</v>
      </c>
      <c r="C55" s="28" t="s">
        <v>460</v>
      </c>
      <c r="D55" s="21" t="n">
        <v>0.0316895665277901</v>
      </c>
      <c r="E55" s="5" t="s">
        <v>370</v>
      </c>
    </row>
    <row r="56" customFormat="false" ht="15" hidden="false" customHeight="true" outlineLevel="0" collapsed="false">
      <c r="B56" s="5" t="s">
        <v>461</v>
      </c>
      <c r="C56" s="28" t="s">
        <v>462</v>
      </c>
      <c r="D56" s="14" t="n">
        <v>79.3258472915637</v>
      </c>
      <c r="E56" s="5" t="s">
        <v>435</v>
      </c>
    </row>
    <row r="60" customFormat="false" ht="15" hidden="false" customHeight="true" outlineLevel="0" collapsed="false">
      <c r="B60" s="4" t="s">
        <v>50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51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52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53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54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55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56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463</v>
      </c>
      <c r="C67" s="3"/>
      <c r="D67" s="3"/>
      <c r="E67" s="3"/>
      <c r="F67" s="3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464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465</v>
      </c>
      <c r="C4" s="10" t="s">
        <v>466</v>
      </c>
      <c r="D4" s="10" t="s">
        <v>467</v>
      </c>
      <c r="E4" s="10" t="s">
        <v>319</v>
      </c>
      <c r="F4" s="10" t="s">
        <v>320</v>
      </c>
    </row>
    <row r="5" customFormat="false" ht="15" hidden="false" customHeight="true" outlineLevel="0" collapsed="false">
      <c r="B5" s="4" t="s">
        <v>468</v>
      </c>
      <c r="C5" s="4"/>
      <c r="D5" s="4"/>
      <c r="E5" s="4"/>
      <c r="F5" s="4"/>
    </row>
    <row r="6" customFormat="false" ht="15" hidden="false" customHeight="true" outlineLevel="0" collapsed="false">
      <c r="B6" s="5" t="s">
        <v>469</v>
      </c>
      <c r="C6" s="11" t="n">
        <v>593780.08</v>
      </c>
      <c r="D6" s="11" t="n">
        <v>593780.08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470</v>
      </c>
      <c r="C7" s="11" t="n">
        <v>816046.33</v>
      </c>
      <c r="D7" s="11" t="n">
        <v>816046.33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471</v>
      </c>
      <c r="C8" s="11" t="n">
        <v>80217.45</v>
      </c>
      <c r="D8" s="11" t="n">
        <v>80217.45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472</v>
      </c>
      <c r="C9" s="11" t="n">
        <v>318858.96</v>
      </c>
      <c r="D9" s="11" t="n">
        <v>318858.96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473</v>
      </c>
      <c r="C10" s="11" t="n">
        <v>1808902.82</v>
      </c>
      <c r="D10" s="11" t="n">
        <v>1808902.82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474</v>
      </c>
      <c r="C11" s="11" t="n">
        <v>2327698</v>
      </c>
      <c r="D11" s="11" t="n">
        <v>2327698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475</v>
      </c>
      <c r="C12" s="11" t="n">
        <v>518795.18</v>
      </c>
      <c r="D12" s="11" t="n">
        <v>518795.18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476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477</v>
      </c>
      <c r="C15" s="29" t="n">
        <v>29343.5</v>
      </c>
      <c r="D15" s="29" t="n">
        <v>29343.5</v>
      </c>
      <c r="E15" s="29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478</v>
      </c>
      <c r="C16" s="29" t="n">
        <v>29624.25</v>
      </c>
      <c r="D16" s="29" t="n">
        <v>29343.5</v>
      </c>
      <c r="E16" s="29" t="n">
        <f aca="false">C16-D16</f>
        <v>280.75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479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305</v>
      </c>
      <c r="C19" s="11" t="n">
        <v>2327698</v>
      </c>
      <c r="D19" s="11" t="n">
        <v>2327698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321</v>
      </c>
      <c r="C20" s="11" t="n">
        <v>116385</v>
      </c>
      <c r="D20" s="11" t="n">
        <v>116385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125</v>
      </c>
      <c r="C21" s="11" t="n">
        <v>1808903</v>
      </c>
      <c r="D21" s="11" t="n">
        <v>1808903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480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481</v>
      </c>
      <c r="C24" s="11" t="n">
        <v>974278.44</v>
      </c>
      <c r="D24" s="11" t="n">
        <v>974278</v>
      </c>
      <c r="E24" s="11" t="n">
        <f aca="false">C24-D24</f>
        <v>0.439999999944121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50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51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52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53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54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55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56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482</v>
      </c>
      <c r="C35" s="3"/>
      <c r="D35" s="3"/>
      <c r="E35" s="3"/>
      <c r="F35" s="3"/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30" t="s">
        <v>483</v>
      </c>
      <c r="B1" s="30"/>
      <c r="C1" s="30"/>
      <c r="D1" s="30"/>
      <c r="E1" s="30"/>
      <c r="F1" s="30"/>
      <c r="G1" s="30"/>
    </row>
    <row r="3" customFormat="false" ht="15" hidden="false" customHeight="false" outlineLevel="0" collapsed="false">
      <c r="A3" s="31" t="s">
        <v>484</v>
      </c>
      <c r="B3" s="32" t="n">
        <v>20</v>
      </c>
      <c r="D3" s="31" t="s">
        <v>485</v>
      </c>
      <c r="E3" s="32" t="s">
        <v>147</v>
      </c>
    </row>
    <row r="4" customFormat="false" ht="15" hidden="false" customHeight="false" outlineLevel="0" collapsed="false">
      <c r="A4" s="31" t="s">
        <v>486</v>
      </c>
      <c r="B4" s="32" t="n">
        <v>585</v>
      </c>
      <c r="D4" s="31" t="s">
        <v>487</v>
      </c>
      <c r="E4" s="33" t="n">
        <f aca="false">767848.76/974278.44</f>
        <v>0.788120447374367</v>
      </c>
    </row>
    <row r="5" customFormat="false" ht="15" hidden="false" customHeight="false" outlineLevel="0" collapsed="false">
      <c r="A5" s="31" t="s">
        <v>488</v>
      </c>
      <c r="B5" s="34" t="n">
        <v>974278.44</v>
      </c>
      <c r="D5" s="31" t="s">
        <v>489</v>
      </c>
      <c r="E5" s="35" t="s">
        <v>490</v>
      </c>
    </row>
    <row r="6" customFormat="false" ht="15" hidden="false" customHeight="false" outlineLevel="0" collapsed="false">
      <c r="A6" s="31" t="s">
        <v>491</v>
      </c>
      <c r="B6" s="36" t="n">
        <f aca="false">B5/B4</f>
        <v>1665.43323076923</v>
      </c>
    </row>
    <row r="8" customFormat="false" ht="19.5" hidden="false" customHeight="true" outlineLevel="0" collapsed="false">
      <c r="A8" s="37" t="s">
        <v>492</v>
      </c>
      <c r="B8" s="37" t="s">
        <v>142</v>
      </c>
      <c r="C8" s="37" t="s">
        <v>493</v>
      </c>
      <c r="D8" s="37" t="s">
        <v>486</v>
      </c>
      <c r="E8" s="37" t="s">
        <v>144</v>
      </c>
      <c r="F8" s="37" t="s">
        <v>145</v>
      </c>
      <c r="G8" s="37" t="s">
        <v>494</v>
      </c>
    </row>
    <row r="9" customFormat="false" ht="15" hidden="false" customHeight="false" outlineLevel="0" collapsed="false">
      <c r="A9" s="38" t="n">
        <v>1</v>
      </c>
      <c r="B9" s="39" t="s">
        <v>147</v>
      </c>
      <c r="C9" s="38"/>
      <c r="D9" s="38" t="n">
        <v>204</v>
      </c>
      <c r="E9" s="40" t="n">
        <v>597586.16</v>
      </c>
      <c r="F9" s="41" t="n">
        <f aca="false">E9/E$29</f>
        <v>0.613362808274809</v>
      </c>
      <c r="G9" s="42" t="n">
        <f aca="false">E9/D9</f>
        <v>2929.34392156863</v>
      </c>
    </row>
    <row r="10" customFormat="false" ht="15" hidden="false" customHeight="false" outlineLevel="0" collapsed="false">
      <c r="A10" s="38" t="n">
        <v>2</v>
      </c>
      <c r="B10" s="39" t="s">
        <v>148</v>
      </c>
      <c r="C10" s="38"/>
      <c r="D10" s="38" t="n">
        <v>118</v>
      </c>
      <c r="E10" s="40" t="n">
        <v>91819.63</v>
      </c>
      <c r="F10" s="41" t="n">
        <f aca="false">E10/E$29</f>
        <v>0.0942437256437698</v>
      </c>
      <c r="G10" s="42" t="n">
        <f aca="false">E10/D10</f>
        <v>778.132457627119</v>
      </c>
    </row>
    <row r="11" customFormat="false" ht="15" hidden="false" customHeight="false" outlineLevel="0" collapsed="false">
      <c r="A11" s="38" t="n">
        <v>3</v>
      </c>
      <c r="B11" s="39" t="s">
        <v>149</v>
      </c>
      <c r="C11" s="38"/>
      <c r="D11" s="38" t="n">
        <v>5</v>
      </c>
      <c r="E11" s="40" t="n">
        <v>78442.97</v>
      </c>
      <c r="F11" s="41" t="n">
        <f aca="false">E11/E$29</f>
        <v>0.0805139134557878</v>
      </c>
      <c r="G11" s="42" t="n">
        <f aca="false">E11/D11</f>
        <v>15688.594</v>
      </c>
    </row>
    <row r="12" customFormat="false" ht="15" hidden="false" customHeight="false" outlineLevel="0" collapsed="false">
      <c r="A12" s="43" t="n">
        <v>4</v>
      </c>
      <c r="B12" s="44" t="s">
        <v>150</v>
      </c>
      <c r="C12" s="43"/>
      <c r="D12" s="43" t="n">
        <v>83</v>
      </c>
      <c r="E12" s="45" t="n">
        <v>71760.48</v>
      </c>
      <c r="F12" s="46" t="n">
        <f aca="false">E12/E$29</f>
        <v>0.0736550015414484</v>
      </c>
      <c r="G12" s="47" t="n">
        <f aca="false">E12/D12</f>
        <v>864.584096385542</v>
      </c>
    </row>
    <row r="13" customFormat="false" ht="15" hidden="false" customHeight="false" outlineLevel="0" collapsed="false">
      <c r="A13" s="48" t="n">
        <v>5</v>
      </c>
      <c r="B13" s="49" t="s">
        <v>151</v>
      </c>
      <c r="C13" s="48"/>
      <c r="D13" s="48" t="n">
        <v>9</v>
      </c>
      <c r="E13" s="50" t="n">
        <v>56505.5</v>
      </c>
      <c r="F13" s="51" t="n">
        <f aca="false">E13/E$29</f>
        <v>0.0579972805310153</v>
      </c>
      <c r="G13" s="52" t="n">
        <f aca="false">E13/D13</f>
        <v>6278.38888888889</v>
      </c>
    </row>
    <row r="14" customFormat="false" ht="15" hidden="false" customHeight="false" outlineLevel="0" collapsed="false">
      <c r="A14" s="43" t="n">
        <v>6</v>
      </c>
      <c r="B14" s="44" t="s">
        <v>152</v>
      </c>
      <c r="C14" s="43"/>
      <c r="D14" s="43" t="n">
        <v>19</v>
      </c>
      <c r="E14" s="45" t="n">
        <v>20102</v>
      </c>
      <c r="F14" s="46" t="n">
        <f aca="false">E14/E$29</f>
        <v>0.020632705369114</v>
      </c>
      <c r="G14" s="47" t="n">
        <f aca="false">E14/D14</f>
        <v>1058</v>
      </c>
    </row>
    <row r="15" customFormat="false" ht="15" hidden="false" customHeight="false" outlineLevel="0" collapsed="false">
      <c r="A15" s="48" t="n">
        <v>7</v>
      </c>
      <c r="B15" s="49" t="s">
        <v>153</v>
      </c>
      <c r="C15" s="48"/>
      <c r="D15" s="48" t="n">
        <v>7</v>
      </c>
      <c r="E15" s="50" t="n">
        <v>19615</v>
      </c>
      <c r="F15" s="51" t="n">
        <f aca="false">E15/E$29</f>
        <v>0.020132848264609</v>
      </c>
      <c r="G15" s="52" t="n">
        <f aca="false">E15/D15</f>
        <v>2802.14285714286</v>
      </c>
    </row>
    <row r="16" customFormat="false" ht="15" hidden="false" customHeight="false" outlineLevel="0" collapsed="false">
      <c r="A16" s="43" t="n">
        <v>8</v>
      </c>
      <c r="B16" s="44" t="s">
        <v>154</v>
      </c>
      <c r="C16" s="43"/>
      <c r="D16" s="43" t="n">
        <v>3</v>
      </c>
      <c r="E16" s="45" t="n">
        <v>15300</v>
      </c>
      <c r="F16" s="46" t="n">
        <f aca="false">E16/E$29</f>
        <v>0.0157039295665826</v>
      </c>
      <c r="G16" s="47" t="n">
        <f aca="false">E16/D16</f>
        <v>5100</v>
      </c>
    </row>
    <row r="17" customFormat="false" ht="15" hidden="false" customHeight="false" outlineLevel="0" collapsed="false">
      <c r="A17" s="48" t="n">
        <v>9</v>
      </c>
      <c r="B17" s="49" t="s">
        <v>155</v>
      </c>
      <c r="C17" s="48"/>
      <c r="D17" s="48" t="n">
        <v>11</v>
      </c>
      <c r="E17" s="50" t="n">
        <v>14267.27</v>
      </c>
      <c r="F17" s="51" t="n">
        <f aca="false">E17/E$29</f>
        <v>0.0146439348488508</v>
      </c>
      <c r="G17" s="52" t="n">
        <f aca="false">E17/D17</f>
        <v>1297.02454545455</v>
      </c>
    </row>
    <row r="18" customFormat="false" ht="15" hidden="false" customHeight="false" outlineLevel="0" collapsed="false">
      <c r="A18" s="43" t="n">
        <v>10</v>
      </c>
      <c r="B18" s="44" t="s">
        <v>156</v>
      </c>
      <c r="C18" s="43"/>
      <c r="D18" s="43" t="n">
        <v>7</v>
      </c>
      <c r="E18" s="45" t="n">
        <v>2272.16</v>
      </c>
      <c r="F18" s="46" t="n">
        <f aca="false">E18/E$29</f>
        <v>0.0023321464447063</v>
      </c>
      <c r="G18" s="47" t="n">
        <f aca="false">E18/D18</f>
        <v>324.594285714286</v>
      </c>
    </row>
    <row r="19" customFormat="false" ht="15" hidden="false" customHeight="false" outlineLevel="0" collapsed="false">
      <c r="A19" s="48" t="n">
        <v>11</v>
      </c>
      <c r="B19" s="49" t="s">
        <v>157</v>
      </c>
      <c r="C19" s="48"/>
      <c r="D19" s="48" t="n">
        <v>5</v>
      </c>
      <c r="E19" s="50" t="n">
        <v>1597.08</v>
      </c>
      <c r="F19" s="51" t="n">
        <f aca="false">E19/E$29</f>
        <v>0.00163924391060116</v>
      </c>
      <c r="G19" s="52" t="n">
        <f aca="false">E19/D19</f>
        <v>319.416</v>
      </c>
    </row>
    <row r="20" customFormat="false" ht="15" hidden="false" customHeight="false" outlineLevel="0" collapsed="false">
      <c r="A20" s="43" t="n">
        <v>12</v>
      </c>
      <c r="B20" s="44" t="s">
        <v>158</v>
      </c>
      <c r="C20" s="43"/>
      <c r="D20" s="43" t="n">
        <v>5</v>
      </c>
      <c r="E20" s="45" t="n">
        <v>1061.65</v>
      </c>
      <c r="F20" s="46" t="n">
        <f aca="false">E20/E$29</f>
        <v>0.00108967822381454</v>
      </c>
      <c r="G20" s="47" t="n">
        <f aca="false">E20/D20</f>
        <v>212.33</v>
      </c>
    </row>
    <row r="21" customFormat="false" ht="15" hidden="false" customHeight="false" outlineLevel="0" collapsed="false">
      <c r="A21" s="48" t="n">
        <v>13</v>
      </c>
      <c r="B21" s="49" t="s">
        <v>159</v>
      </c>
      <c r="C21" s="48"/>
      <c r="D21" s="48" t="n">
        <v>92</v>
      </c>
      <c r="E21" s="50" t="n">
        <v>936.66</v>
      </c>
      <c r="F21" s="51" t="n">
        <f aca="false">E21/E$29</f>
        <v>0.000961388409662437</v>
      </c>
      <c r="G21" s="52" t="n">
        <f aca="false">E21/D21</f>
        <v>10.1810869565217</v>
      </c>
    </row>
    <row r="22" customFormat="false" ht="15" hidden="false" customHeight="false" outlineLevel="0" collapsed="false">
      <c r="A22" s="43" t="n">
        <v>14</v>
      </c>
      <c r="B22" s="44" t="s">
        <v>160</v>
      </c>
      <c r="C22" s="43"/>
      <c r="D22" s="43" t="n">
        <v>5</v>
      </c>
      <c r="E22" s="45" t="n">
        <v>782.55</v>
      </c>
      <c r="F22" s="46" t="n">
        <f aca="false">E22/E$29</f>
        <v>0.000803209809302564</v>
      </c>
      <c r="G22" s="47" t="n">
        <f aca="false">E22/D22</f>
        <v>156.51</v>
      </c>
    </row>
    <row r="23" customFormat="false" ht="15" hidden="false" customHeight="false" outlineLevel="0" collapsed="false">
      <c r="A23" s="48" t="n">
        <v>15</v>
      </c>
      <c r="B23" s="49" t="s">
        <v>161</v>
      </c>
      <c r="C23" s="48"/>
      <c r="D23" s="48" t="n">
        <v>5</v>
      </c>
      <c r="E23" s="50" t="n">
        <v>613.95</v>
      </c>
      <c r="F23" s="51" t="n">
        <f aca="false">E23/E$29</f>
        <v>0.000630158663882575</v>
      </c>
      <c r="G23" s="52" t="n">
        <f aca="false">E23/D23</f>
        <v>122.79</v>
      </c>
    </row>
    <row r="24" customFormat="false" ht="15" hidden="false" customHeight="false" outlineLevel="0" collapsed="false">
      <c r="A24" s="43" t="n">
        <v>16</v>
      </c>
      <c r="B24" s="44" t="s">
        <v>162</v>
      </c>
      <c r="C24" s="43"/>
      <c r="D24" s="43" t="n">
        <v>1</v>
      </c>
      <c r="E24" s="45" t="n">
        <v>500</v>
      </c>
      <c r="F24" s="46" t="n">
        <f aca="false">E24/E$29</f>
        <v>0.000513200312633419</v>
      </c>
      <c r="G24" s="47" t="n">
        <f aca="false">E24/D24</f>
        <v>500</v>
      </c>
    </row>
    <row r="25" customFormat="false" ht="15" hidden="false" customHeight="false" outlineLevel="0" collapsed="false">
      <c r="A25" s="48" t="n">
        <v>17</v>
      </c>
      <c r="B25" s="49" t="s">
        <v>163</v>
      </c>
      <c r="C25" s="48"/>
      <c r="D25" s="48" t="n">
        <v>1</v>
      </c>
      <c r="E25" s="50" t="n">
        <v>375</v>
      </c>
      <c r="F25" s="51" t="n">
        <f aca="false">E25/E$29</f>
        <v>0.000384900234475064</v>
      </c>
      <c r="G25" s="52" t="n">
        <f aca="false">E25/D25</f>
        <v>375</v>
      </c>
    </row>
    <row r="26" customFormat="false" ht="15" hidden="false" customHeight="false" outlineLevel="0" collapsed="false">
      <c r="A26" s="43" t="n">
        <v>18</v>
      </c>
      <c r="B26" s="44" t="s">
        <v>164</v>
      </c>
      <c r="C26" s="43"/>
      <c r="D26" s="43" t="n">
        <v>2</v>
      </c>
      <c r="E26" s="45" t="n">
        <v>335</v>
      </c>
      <c r="F26" s="46" t="n">
        <f aca="false">E26/E$29</f>
        <v>0.000343844209464391</v>
      </c>
      <c r="G26" s="47" t="n">
        <f aca="false">E26/D26</f>
        <v>167.5</v>
      </c>
    </row>
    <row r="27" customFormat="false" ht="15" hidden="false" customHeight="false" outlineLevel="0" collapsed="false">
      <c r="A27" s="48" t="n">
        <v>19</v>
      </c>
      <c r="B27" s="49" t="s">
        <v>165</v>
      </c>
      <c r="C27" s="48"/>
      <c r="D27" s="48" t="n">
        <v>1</v>
      </c>
      <c r="E27" s="50" t="n">
        <v>257.64</v>
      </c>
      <c r="F27" s="51" t="n">
        <f aca="false">E27/E$29</f>
        <v>0.000264441857093748</v>
      </c>
      <c r="G27" s="52" t="n">
        <f aca="false">E27/D27</f>
        <v>257.64</v>
      </c>
    </row>
    <row r="28" customFormat="false" ht="15" hidden="false" customHeight="false" outlineLevel="0" collapsed="false">
      <c r="A28" s="43" t="n">
        <v>20</v>
      </c>
      <c r="B28" s="44" t="s">
        <v>166</v>
      </c>
      <c r="C28" s="43"/>
      <c r="D28" s="43" t="n">
        <v>2</v>
      </c>
      <c r="E28" s="45" t="n">
        <v>147.74</v>
      </c>
      <c r="F28" s="46" t="n">
        <f aca="false">E28/E$29</f>
        <v>0.000151640428376923</v>
      </c>
      <c r="G28" s="47" t="n">
        <f aca="false">E28/D28</f>
        <v>73.87</v>
      </c>
    </row>
    <row r="29" customFormat="false" ht="15" hidden="false" customHeight="false" outlineLevel="0" collapsed="false">
      <c r="A29" s="53"/>
      <c r="B29" s="54" t="s">
        <v>38</v>
      </c>
      <c r="C29" s="53"/>
      <c r="D29" s="55" t="n">
        <f aca="false">SUM(D9:D28)</f>
        <v>585</v>
      </c>
      <c r="E29" s="56" t="n">
        <f aca="false">SUM(E9:E28)</f>
        <v>974278.44</v>
      </c>
      <c r="F29" s="57" t="n">
        <f aca="false">SUM(F9:F28)</f>
        <v>1</v>
      </c>
      <c r="G29" s="56" t="n">
        <f aca="false">E29/D29</f>
        <v>1665.43323076923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2026-04-11T13:29:42Z</dcterms:created>
  <dc:creator>openpyxl</dc:creator>
  <dc:description/>
  <dc:language>en-US</dc:language>
  <cp:lastModifiedBy/>
  <dcterms:modified xsi:type="dcterms:W3CDTF">2026-04-11T13:30:16Z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