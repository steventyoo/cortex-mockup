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Overview" sheetId="1" state="visible" r:id="rId1"/>
    <sheet xmlns:r="http://schemas.openxmlformats.org/officeDocument/2006/relationships" name="02 Job Info" sheetId="2" state="visible" r:id="rId2"/>
    <sheet xmlns:r="http://schemas.openxmlformats.org/officeDocument/2006/relationships" name="03 Contract" sheetId="3" state="visible" r:id="rId3"/>
    <sheet xmlns:r="http://schemas.openxmlformats.org/officeDocument/2006/relationships" name="04 SOV-PayApps" sheetId="4" state="visible" r:id="rId4"/>
    <sheet xmlns:r="http://schemas.openxmlformats.org/officeDocument/2006/relationships" name="05 Change Orders" sheetId="5" state="visible" r:id="rId5"/>
    <sheet xmlns:r="http://schemas.openxmlformats.org/officeDocument/2006/relationships" name="06 Cost Codes" sheetId="6" state="visible" r:id="rId6"/>
    <sheet xmlns:r="http://schemas.openxmlformats.org/officeDocument/2006/relationships" name="07 Cost Categories" sheetId="7" state="visible" r:id="rId7"/>
    <sheet xmlns:r="http://schemas.openxmlformats.org/officeDocument/2006/relationships" name="08 BVA" sheetId="8" state="visible" r:id="rId8"/>
    <sheet xmlns:r="http://schemas.openxmlformats.org/officeDocument/2006/relationships" name="09 Vendor Analysis" sheetId="9" state="visible" r:id="rId9"/>
    <sheet xmlns:r="http://schemas.openxmlformats.org/officeDocument/2006/relationships" name="10 Crew Roster" sheetId="10" state="visible" r:id="rId10"/>
    <sheet xmlns:r="http://schemas.openxmlformats.org/officeDocument/2006/relationships" name="11 Wage Tiers" sheetId="11" state="visible" r:id="rId11"/>
    <sheet xmlns:r="http://schemas.openxmlformats.org/officeDocument/2006/relationships" name="12 Productivity" sheetId="12" state="visible" r:id="rId12"/>
    <sheet xmlns:r="http://schemas.openxmlformats.org/officeDocument/2006/relationships" name="13 Benchmarks" sheetId="13" state="visible" r:id="rId13"/>
    <sheet xmlns:r="http://schemas.openxmlformats.org/officeDocument/2006/relationships" name="14 Predictive Signals" sheetId="14" state="visible" r:id="rId14"/>
    <sheet xmlns:r="http://schemas.openxmlformats.org/officeDocument/2006/relationships" name="15 Reconciliation" sheetId="15" state="visible" r:id="rId15"/>
    <sheet xmlns:r="http://schemas.openxmlformats.org/officeDocument/2006/relationships" name="16 Metric Registry" sheetId="16" state="visible" r:id="rId16"/>
    <sheet xmlns:r="http://schemas.openxmlformats.org/officeDocument/2006/relationships" name="17 Change Log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;($#,##0);-"/>
    <numFmt numFmtId="165" formatCode="0.0%;(0.0%);-"/>
    <numFmt numFmtId="166" formatCode="#,##0.0"/>
    <numFmt numFmtId="167" formatCode="$#,##0.00"/>
  </numFmts>
  <fonts count="10">
    <font>
      <name val="Calibri"/>
      <family val="2"/>
      <color theme="1"/>
      <sz val="11"/>
      <scheme val="minor"/>
    </font>
    <font>
      <name val="Arial"/>
      <b val="1"/>
      <color rgb="002C2B29"/>
      <sz val="16"/>
    </font>
    <font>
      <name val="Arial"/>
      <i val="1"/>
      <color rgb="0070655C"/>
      <sz val="9"/>
    </font>
    <font>
      <name val="Arial"/>
      <b val="1"/>
      <color rgb="002C2B29"/>
      <sz val="12"/>
    </font>
    <font>
      <name val="Arial"/>
      <color rgb="002C2B29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2C2B29"/>
      <sz val="10"/>
    </font>
  </fonts>
  <fills count="5">
    <fill>
      <patternFill/>
    </fill>
    <fill>
      <patternFill patternType="gray125"/>
    </fill>
    <fill>
      <patternFill patternType="solid">
        <fgColor rgb="002C2B29"/>
      </patternFill>
    </fill>
    <fill>
      <patternFill patternType="solid">
        <fgColor rgb="00E8CEC3"/>
      </patternFill>
    </fill>
    <fill>
      <patternFill patternType="solid">
        <fgColor rgb="00D5DEC5"/>
      </patternFill>
    </fill>
  </fills>
  <borders count="2">
    <border>
      <left/>
      <right/>
      <top/>
      <bottom/>
      <diagonal/>
    </border>
    <border>
      <left style="thin">
        <color rgb="00BFB8AE"/>
      </left>
      <right style="thin">
        <color rgb="00BFB8AE"/>
      </right>
      <top style="thin">
        <color rgb="00BFB8AE"/>
      </top>
      <bottom style="thin">
        <color rgb="00BFB8AE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0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right" vertical="center"/>
    </xf>
    <xf numFmtId="0" fontId="9" fillId="0" borderId="0" pivotButton="0" quotePrefix="0" xfId="0"/>
    <xf numFmtId="0" fontId="7" fillId="2" borderId="1" applyAlignment="1" pivotButton="0" quotePrefix="0" xfId="0">
      <alignment horizontal="center" vertical="center"/>
    </xf>
    <xf numFmtId="165" fontId="8" fillId="0" borderId="0" applyAlignment="1" pivotButton="0" quotePrefix="0" xfId="0">
      <alignment horizontal="right" vertical="center"/>
    </xf>
    <xf numFmtId="3" fontId="6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7" fontId="8" fillId="0" borderId="0" applyAlignment="1" pivotButton="0" quotePrefix="0" xfId="0">
      <alignment horizontal="right" vertical="center"/>
    </xf>
    <xf numFmtId="3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0" fontId="9" fillId="3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OWP #2098 · Trailside Apartment Community Phase II</t>
        </is>
      </c>
    </row>
    <row r="2">
      <c r="A2" s="2" t="inlineStr">
        <is>
          <t>Chinn Construction, LLC · 170 units · Live / in-progress</t>
        </is>
      </c>
    </row>
    <row r="4">
      <c r="A4" s="3" t="inlineStr">
        <is>
          <t>Forecast at Completion (Revised Basis)</t>
        </is>
      </c>
    </row>
    <row r="5">
      <c r="A5" s="4" t="inlineStr">
        <is>
          <t>Revised contract value</t>
        </is>
      </c>
      <c r="B5" s="5" t="n">
        <v>6917965.74</v>
      </c>
    </row>
    <row r="6">
      <c r="A6" s="4" t="inlineStr">
        <is>
          <t>Revised budget (expenses)</t>
        </is>
      </c>
      <c r="B6" s="5" t="n">
        <v>5187333</v>
      </c>
    </row>
    <row r="7">
      <c r="A7" s="4" t="inlineStr">
        <is>
          <t>Forecast net profit</t>
        </is>
      </c>
      <c r="B7" s="6">
        <f>B5-B6</f>
        <v/>
      </c>
    </row>
    <row r="8">
      <c r="A8" s="4" t="inlineStr">
        <is>
          <t>Forecast margin</t>
        </is>
      </c>
      <c r="B8" s="7">
        <f>IFERROR(B7/B5,0)</f>
        <v/>
      </c>
    </row>
    <row r="10">
      <c r="A10" s="3" t="inlineStr">
        <is>
          <t>Progress to Date</t>
        </is>
      </c>
    </row>
    <row r="11">
      <c r="A11" s="4" t="inlineStr">
        <is>
          <t>Work complete (billed)</t>
        </is>
      </c>
      <c r="B11" s="5" t="n">
        <v>6917965.74</v>
      </c>
    </row>
    <row r="12">
      <c r="A12" s="4" t="inlineStr">
        <is>
          <t>Retention held</t>
        </is>
      </c>
      <c r="B12" s="5" t="n">
        <v>345898.29</v>
      </c>
    </row>
    <row r="13">
      <c r="A13" s="4" t="inlineStr">
        <is>
          <t>Earned less retention</t>
        </is>
      </c>
      <c r="B13" s="6">
        <f>B11-B12</f>
        <v/>
      </c>
    </row>
    <row r="14">
      <c r="A14" s="4" t="inlineStr">
        <is>
          <t>Balance to finish</t>
        </is>
      </c>
      <c r="B14" s="6">
        <f>B5-B11</f>
        <v/>
      </c>
    </row>
    <row r="15">
      <c r="A15" s="4" t="inlineStr">
        <is>
          <t>Percent complete</t>
        </is>
      </c>
      <c r="B15" s="7">
        <f>IFERROR(B11/B5,0)</f>
        <v/>
      </c>
    </row>
    <row r="17">
      <c r="A17" s="3" t="inlineStr">
        <is>
          <t>Transaction Totals by Source</t>
        </is>
      </c>
    </row>
    <row r="18">
      <c r="A18" s="8" t="inlineStr">
        <is>
          <t>Source</t>
        </is>
      </c>
      <c r="B18" s="8" t="inlineStr">
        <is>
          <t>Dollars</t>
        </is>
      </c>
    </row>
    <row r="19">
      <c r="A19" s="4" t="inlineStr">
        <is>
          <t>GL</t>
        </is>
      </c>
      <c r="B19" s="9" t="n">
        <v>74155.97</v>
      </c>
    </row>
    <row r="20">
      <c r="A20" s="4" t="inlineStr">
        <is>
          <t>AP</t>
        </is>
      </c>
      <c r="B20" s="9" t="n">
        <v>1652638.19</v>
      </c>
    </row>
    <row r="21">
      <c r="A21" s="4" t="inlineStr">
        <is>
          <t>PR</t>
        </is>
      </c>
      <c r="B21" s="9" t="n">
        <v>2334399.23</v>
      </c>
    </row>
    <row r="22">
      <c r="A22" s="4" t="inlineStr">
        <is>
          <t>AR</t>
        </is>
      </c>
      <c r="B22" s="9" t="n">
        <v>-6906115.74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Job Information</t>
        </is>
      </c>
    </row>
    <row r="3">
      <c r="A3" s="10" t="inlineStr">
        <is>
          <t>Job ID</t>
        </is>
      </c>
      <c r="B3" s="4" t="inlineStr">
        <is>
          <t>2098</t>
        </is>
      </c>
    </row>
    <row r="4">
      <c r="A4" s="10" t="inlineStr">
        <is>
          <t>Project name</t>
        </is>
      </c>
      <c r="B4" s="4" t="inlineStr">
        <is>
          <t>Trailside Apartment Community Phase II</t>
        </is>
      </c>
    </row>
    <row r="5">
      <c r="A5" s="10" t="inlineStr">
        <is>
          <t>General contractor</t>
        </is>
      </c>
      <c r="B5" s="4" t="inlineStr">
        <is>
          <t>Chinn Construction, LLC</t>
        </is>
      </c>
    </row>
    <row r="6">
      <c r="A6" s="10" t="inlineStr">
        <is>
          <t>Owner</t>
        </is>
      </c>
      <c r="B6" s="4" t="inlineStr">
        <is>
          <t>Trailside Ph II SH Holdings, LLC (Dallas, TX)</t>
        </is>
      </c>
    </row>
    <row r="7">
      <c r="A7" s="10" t="inlineStr">
        <is>
          <t>Units</t>
        </is>
      </c>
      <c r="B7" s="4" t="n">
        <v>170</v>
      </c>
    </row>
    <row r="8">
      <c r="A8" s="10" t="inlineStr">
        <is>
          <t>Insurance</t>
        </is>
      </c>
      <c r="B8" s="4" t="inlineStr">
        <is>
          <t>Standard (non-OCIP)</t>
        </is>
      </c>
    </row>
    <row r="9">
      <c r="A9" s="10" t="inlineStr">
        <is>
          <t>Job start</t>
        </is>
      </c>
      <c r="B9" s="4" t="inlineStr">
        <is>
          <t>Aug 2023</t>
        </is>
      </c>
    </row>
    <row r="10">
      <c r="A10" s="10" t="inlineStr">
        <is>
          <t>Expected completion</t>
        </is>
      </c>
      <c r="B10" s="4" t="inlineStr">
        <is>
          <t>TBD (active)</t>
        </is>
      </c>
    </row>
    <row r="11">
      <c r="A11" s="10" t="inlineStr">
        <is>
          <t>Architect</t>
        </is>
      </c>
      <c r="B11" s="4" t="inlineStr">
        <is>
          <t>Weber Thompson Architects</t>
        </is>
      </c>
    </row>
    <row r="12">
      <c r="A12" s="10" t="inlineStr">
        <is>
          <t>MEP Engineer</t>
        </is>
      </c>
      <c r="B12" s="4" t="inlineStr">
        <is>
          <t>Marx-Okubo</t>
        </is>
      </c>
    </row>
    <row r="13">
      <c r="A13" s="10" t="inlineStr">
        <is>
          <t>Status</t>
        </is>
      </c>
      <c r="B13" s="4" t="inlineStr">
        <is>
          <t>ACTIVE · in-progress</t>
        </is>
      </c>
    </row>
    <row r="14">
      <c r="A14" s="10" t="inlineStr">
        <is>
          <t>JDR report date</t>
        </is>
      </c>
      <c r="B14" s="4" t="inlineStr">
        <is>
          <t>Apr 3, 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Contract Summary</t>
        </is>
      </c>
    </row>
    <row r="3">
      <c r="A3" s="11" t="inlineStr">
        <is>
          <t>Item</t>
        </is>
      </c>
      <c r="B3" s="11" t="inlineStr">
        <is>
          <t>Original</t>
        </is>
      </c>
      <c r="C3" s="11" t="inlineStr">
        <is>
          <t>Revised</t>
        </is>
      </c>
      <c r="D3" s="11" t="inlineStr">
        <is>
          <t>Delta</t>
        </is>
      </c>
    </row>
    <row r="4">
      <c r="A4" s="4" t="inlineStr">
        <is>
          <t>Base construction contract</t>
        </is>
      </c>
      <c r="B4" s="5" t="n">
        <v>6885880</v>
      </c>
      <c r="C4" s="5" t="n">
        <v>6917965.74</v>
      </c>
      <c r="D4" s="9">
        <f>C4-B4</f>
        <v/>
      </c>
    </row>
    <row r="5">
      <c r="A5" s="4" t="inlineStr">
        <is>
          <t>Executed change orders (net)</t>
        </is>
      </c>
      <c r="B5" s="5" t="n">
        <v>0</v>
      </c>
      <c r="C5" s="5" t="n">
        <v>32085.74000000022</v>
      </c>
      <c r="D5" s="9">
        <f>C5-B5</f>
        <v/>
      </c>
    </row>
    <row r="6">
      <c r="A6" s="10" t="inlineStr">
        <is>
          <t>Total contract value</t>
        </is>
      </c>
      <c r="B6" s="6">
        <f>SUM(B4:B5)</f>
        <v/>
      </c>
      <c r="C6" s="6">
        <f>SUM(C4:C5)</f>
        <v/>
      </c>
      <c r="D6" s="6">
        <f>SUM(D4:D5)</f>
        <v/>
      </c>
    </row>
    <row r="9">
      <c r="A9" s="3" t="inlineStr">
        <is>
          <t>Executed Change Orders</t>
        </is>
      </c>
    </row>
    <row r="10">
      <c r="A10" s="11" t="inlineStr">
        <is>
          <t>CO #</t>
        </is>
      </c>
      <c r="B10" s="11" t="inlineStr">
        <is>
          <t>Description</t>
        </is>
      </c>
      <c r="C10" s="11" t="inlineStr">
        <is>
          <t>Amount</t>
        </is>
      </c>
    </row>
    <row r="11">
      <c r="A11" s="4" t="n">
        <v>1</v>
      </c>
      <c r="B11" s="4" t="inlineStr">
        <is>
          <t>Pet Wash Budget Reallocation</t>
        </is>
      </c>
      <c r="C11" s="5" t="n">
        <v>0</v>
      </c>
    </row>
    <row r="12">
      <c r="A12" s="4" t="n">
        <v>2</v>
      </c>
      <c r="B12" s="4" t="inlineStr">
        <is>
          <t>Gas Meter at Boiler Room</t>
        </is>
      </c>
      <c r="C12" s="5" t="n">
        <v>4426</v>
      </c>
    </row>
    <row r="13">
      <c r="A13" s="4" t="n">
        <v>3</v>
      </c>
      <c r="B13" s="4" t="inlineStr">
        <is>
          <t>Condensate Drains at Units</t>
        </is>
      </c>
      <c r="C13" s="5" t="n">
        <v>60075</v>
      </c>
    </row>
    <row r="14">
      <c r="A14" s="4" t="n">
        <v>4</v>
      </c>
      <c r="B14" s="4" t="inlineStr">
        <is>
          <t>Lixil Trim Reduction + Sink Upgrades</t>
        </is>
      </c>
      <c r="C14" s="5" t="n">
        <v>12975</v>
      </c>
    </row>
    <row r="15">
      <c r="A15" s="4" t="n">
        <v>5</v>
      </c>
      <c r="B15" s="4" t="inlineStr">
        <is>
          <t>OT Premium 12/16/23</t>
        </is>
      </c>
      <c r="C15" s="5" t="n">
        <v>1272</v>
      </c>
    </row>
    <row r="16">
      <c r="A16" s="4" t="n">
        <v>6</v>
      </c>
      <c r="B16" s="4" t="inlineStr">
        <is>
          <t>Reduced Cost on Toilets</t>
        </is>
      </c>
      <c r="C16" s="5" t="n">
        <v>-2055</v>
      </c>
    </row>
    <row r="17">
      <c r="A17" s="4" t="n">
        <v>7</v>
      </c>
      <c r="B17" s="4" t="inlineStr">
        <is>
          <t>Maint. Room Plumbing Fixtures</t>
        </is>
      </c>
      <c r="C17" s="5" t="n">
        <v>9500</v>
      </c>
    </row>
    <row r="18">
      <c r="A18" s="4" t="n">
        <v>8</v>
      </c>
      <c r="B18" s="4" t="inlineStr">
        <is>
          <t>Toilet Flange Backcharge</t>
        </is>
      </c>
      <c r="C18" s="5" t="n">
        <v>-18984.26</v>
      </c>
    </row>
    <row r="19">
      <c r="A19" s="4" t="n">
        <v>9</v>
      </c>
      <c r="B19" s="4" t="inlineStr">
        <is>
          <t>Corrections to Toilet Flange Backcharge</t>
        </is>
      </c>
      <c r="C19" s="5" t="n">
        <v>2904</v>
      </c>
    </row>
    <row r="20">
      <c r="A20" s="4" t="n">
        <v>10</v>
      </c>
      <c r="B20" s="4" t="inlineStr">
        <is>
          <t>Shower Stall Backcharges</t>
        </is>
      </c>
      <c r="C20" s="5" t="n">
        <v>-52104</v>
      </c>
    </row>
    <row r="21">
      <c r="A21" s="4" t="n">
        <v>11</v>
      </c>
      <c r="B21" s="4" t="inlineStr">
        <is>
          <t>Retail Gas &amp; Condensate Changes</t>
        </is>
      </c>
      <c r="C21" s="5" t="n">
        <v>5019</v>
      </c>
    </row>
    <row r="22">
      <c r="A22" s="4" t="n">
        <v>12</v>
      </c>
      <c r="B22" s="4" t="inlineStr">
        <is>
          <t>Damaged Toilet Seats</t>
        </is>
      </c>
      <c r="C22" s="5" t="n">
        <v>308</v>
      </c>
    </row>
    <row r="23">
      <c r="A23" s="4" t="n">
        <v>13</v>
      </c>
      <c r="B23" s="4" t="inlineStr">
        <is>
          <t>Move Retail Condensate</t>
        </is>
      </c>
      <c r="C23" s="5" t="n">
        <v>464</v>
      </c>
    </row>
    <row r="24">
      <c r="A24" s="4" t="n">
        <v>14</v>
      </c>
      <c r="B24" s="4" t="inlineStr">
        <is>
          <t>L2 Amenity Coffee Maker</t>
        </is>
      </c>
      <c r="C24" s="5" t="n">
        <v>489</v>
      </c>
    </row>
    <row r="25">
      <c r="A25" s="4" t="n">
        <v>15</v>
      </c>
      <c r="B25" s="4" t="inlineStr">
        <is>
          <t>L2 Amenity Coffee Maker - CANCELLED</t>
        </is>
      </c>
      <c r="C25" s="5" t="n">
        <v>-489</v>
      </c>
    </row>
    <row r="26">
      <c r="A26" s="4" t="n">
        <v>16</v>
      </c>
      <c r="B26" s="4" t="inlineStr">
        <is>
          <t>Attic Stock</t>
        </is>
      </c>
      <c r="C26" s="5" t="n">
        <v>1220</v>
      </c>
    </row>
    <row r="27">
      <c r="A27" s="4" t="n">
        <v>17</v>
      </c>
      <c r="B27" s="4" t="inlineStr">
        <is>
          <t>Boiler Room Cond Drain + Attic Stock Premium</t>
        </is>
      </c>
      <c r="C27" s="5" t="n">
        <v>803</v>
      </c>
    </row>
    <row r="28">
      <c r="A28" s="4" t="n">
        <v>18</v>
      </c>
      <c r="B28" s="4" t="inlineStr">
        <is>
          <t>Garage Heat Trace</t>
        </is>
      </c>
      <c r="C28" s="5" t="n">
        <v>6263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Schedule of Values / Pay Application History</t>
        </is>
      </c>
    </row>
    <row r="3">
      <c r="A3" s="11" t="inlineStr">
        <is>
          <t>Pay App</t>
        </is>
      </c>
      <c r="B3" s="11" t="inlineStr">
        <is>
          <t>Period End</t>
        </is>
      </c>
      <c r="C3" s="11" t="inlineStr">
        <is>
          <t>This Period</t>
        </is>
      </c>
      <c r="D3" s="11" t="inlineStr">
        <is>
          <t>Completed to Date</t>
        </is>
      </c>
      <c r="E3" s="11" t="inlineStr">
        <is>
          <t>Retention Held</t>
        </is>
      </c>
      <c r="F3" s="11" t="inlineStr">
        <is>
          <t>Previous Billed</t>
        </is>
      </c>
      <c r="G3" s="11" t="inlineStr">
        <is>
          <t>Current Balance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50" customWidth="1" min="3" max="3"/>
    <col width="18" customWidth="1" min="4" max="4"/>
    <col width="12" customWidth="1" min="5" max="5"/>
  </cols>
  <sheetData>
    <row r="1">
      <c r="A1" s="1" t="inlineStr">
        <is>
          <t>Change Order Log</t>
        </is>
      </c>
    </row>
    <row r="3">
      <c r="A3" s="11" t="inlineStr">
        <is>
          <t>#</t>
        </is>
      </c>
      <c r="B3" s="11" t="inlineStr">
        <is>
          <t>Type</t>
        </is>
      </c>
      <c r="C3" s="11" t="inlineStr">
        <is>
          <t>Description</t>
        </is>
      </c>
      <c r="D3" s="11" t="inlineStr">
        <is>
          <t>Amount</t>
        </is>
      </c>
      <c r="E3" s="1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Cost Code Detail (Revised Basis)</t>
        </is>
      </c>
    </row>
    <row r="3">
      <c r="A3" s="11" t="inlineStr">
        <is>
          <t>Code</t>
        </is>
      </c>
      <c r="B3" s="11" t="inlineStr">
        <is>
          <t>Description</t>
        </is>
      </c>
      <c r="C3" s="11" t="inlineStr">
        <is>
          <t>Original</t>
        </is>
      </c>
      <c r="D3" s="11" t="inlineStr">
        <is>
          <t>Revised</t>
        </is>
      </c>
      <c r="E3" s="11" t="inlineStr">
        <is>
          <t>Actual</t>
        </is>
      </c>
      <c r="F3" s="11" t="inlineStr">
        <is>
          <t>Variance</t>
        </is>
      </c>
      <c r="G3" s="11" t="inlineStr">
        <is>
          <t>Net Due</t>
        </is>
      </c>
      <c r="H3" s="11" t="inlineStr">
        <is>
          <t>% Complete</t>
        </is>
      </c>
    </row>
    <row r="4">
      <c r="A4" s="4" t="inlineStr">
        <is>
          <t>100</t>
        </is>
      </c>
      <c r="B4" s="4" t="inlineStr">
        <is>
          <t>Supervision</t>
        </is>
      </c>
      <c r="C4" s="5" t="n">
        <v>12750</v>
      </c>
      <c r="D4" s="5" t="n">
        <v>13000</v>
      </c>
      <c r="E4" s="5" t="n">
        <v>10219</v>
      </c>
      <c r="F4" s="9">
        <f>D4-E4</f>
        <v/>
      </c>
      <c r="G4" s="5" t="n">
        <v>0</v>
      </c>
      <c r="H4" s="12">
        <f>IFERROR(E4/D4,0)</f>
        <v/>
      </c>
    </row>
    <row r="5">
      <c r="A5" s="4" t="inlineStr">
        <is>
          <t>101</t>
        </is>
      </c>
      <c r="B5" s="4" t="inlineStr">
        <is>
          <t>Takeoff &amp; Purchase Labor</t>
        </is>
      </c>
      <c r="C5" s="5" t="n">
        <v>29750</v>
      </c>
      <c r="D5" s="5" t="n">
        <v>30000</v>
      </c>
      <c r="E5" s="5" t="n">
        <v>28199</v>
      </c>
      <c r="F5" s="9">
        <f>D5-E5</f>
        <v/>
      </c>
      <c r="G5" s="5" t="n">
        <v>0</v>
      </c>
      <c r="H5" s="12">
        <f>IFERROR(E5/D5,0)</f>
        <v/>
      </c>
    </row>
    <row r="6">
      <c r="A6" s="4" t="inlineStr">
        <is>
          <t>110</t>
        </is>
      </c>
      <c r="B6" s="4" t="inlineStr">
        <is>
          <t>Underground Labor</t>
        </is>
      </c>
      <c r="C6" s="5" t="n">
        <v>100467</v>
      </c>
      <c r="D6" s="5" t="n">
        <v>100967</v>
      </c>
      <c r="E6" s="5" t="n">
        <v>71186.75999999999</v>
      </c>
      <c r="F6" s="9">
        <f>D6-E6</f>
        <v/>
      </c>
      <c r="G6" s="5" t="n">
        <v>0</v>
      </c>
      <c r="H6" s="12">
        <f>IFERROR(E6/D6,0)</f>
        <v/>
      </c>
    </row>
    <row r="7">
      <c r="A7" s="4" t="inlineStr">
        <is>
          <t>111</t>
        </is>
      </c>
      <c r="B7" s="4" t="inlineStr">
        <is>
          <t>Garage Labor</t>
        </is>
      </c>
      <c r="C7" s="5" t="n">
        <v>116833</v>
      </c>
      <c r="D7" s="5" t="n">
        <v>117133</v>
      </c>
      <c r="E7" s="5" t="n">
        <v>112004.5</v>
      </c>
      <c r="F7" s="9">
        <f>D7-E7</f>
        <v/>
      </c>
      <c r="G7" s="5" t="n">
        <v>0</v>
      </c>
      <c r="H7" s="12">
        <f>IFERROR(E7/D7,0)</f>
        <v/>
      </c>
    </row>
    <row r="8">
      <c r="A8" s="4" t="inlineStr">
        <is>
          <t>112</t>
        </is>
      </c>
      <c r="B8" s="4" t="inlineStr">
        <is>
          <t>Canout Labor</t>
        </is>
      </c>
      <c r="C8" s="5" t="n">
        <v>48144</v>
      </c>
      <c r="D8" s="5" t="n">
        <v>48994</v>
      </c>
      <c r="E8" s="5" t="n">
        <v>37993.5</v>
      </c>
      <c r="F8" s="9">
        <f>D8-E8</f>
        <v/>
      </c>
      <c r="G8" s="5" t="n">
        <v>0</v>
      </c>
      <c r="H8" s="12">
        <f>IFERROR(E8/D8,0)</f>
        <v/>
      </c>
    </row>
    <row r="9">
      <c r="A9" s="4" t="inlineStr">
        <is>
          <t>120</t>
        </is>
      </c>
      <c r="B9" s="4" t="inlineStr">
        <is>
          <t>Roughin Labor</t>
        </is>
      </c>
      <c r="C9" s="5" t="n">
        <v>1037606</v>
      </c>
      <c r="D9" s="5" t="n">
        <v>1069806</v>
      </c>
      <c r="E9" s="5" t="n">
        <v>797900.1</v>
      </c>
      <c r="F9" s="9">
        <f>D9-E9</f>
        <v/>
      </c>
      <c r="G9" s="5" t="n">
        <v>0</v>
      </c>
      <c r="H9" s="12">
        <f>IFERROR(E9/D9,0)</f>
        <v/>
      </c>
    </row>
    <row r="10">
      <c r="A10" s="4" t="inlineStr">
        <is>
          <t>130</t>
        </is>
      </c>
      <c r="B10" s="4" t="inlineStr">
        <is>
          <t>Finish Labor</t>
        </is>
      </c>
      <c r="C10" s="5" t="n">
        <v>196840</v>
      </c>
      <c r="D10" s="5" t="n">
        <v>197570</v>
      </c>
      <c r="E10" s="5" t="n">
        <v>222921</v>
      </c>
      <c r="F10" s="9">
        <f>D10-E10</f>
        <v/>
      </c>
      <c r="G10" s="5" t="n">
        <v>0</v>
      </c>
      <c r="H10" s="12">
        <f>IFERROR(E10/D10,0)</f>
        <v/>
      </c>
    </row>
    <row r="11">
      <c r="A11" s="4" t="inlineStr">
        <is>
          <t>140</t>
        </is>
      </c>
      <c r="B11" s="4" t="inlineStr">
        <is>
          <t>Gas Labor</t>
        </is>
      </c>
      <c r="C11" s="5" t="n">
        <v>11400</v>
      </c>
      <c r="D11" s="5" t="n">
        <v>13400</v>
      </c>
      <c r="E11" s="5" t="n">
        <v>23969.5</v>
      </c>
      <c r="F11" s="9">
        <f>D11-E11</f>
        <v/>
      </c>
      <c r="G11" s="5" t="n">
        <v>0</v>
      </c>
      <c r="H11" s="12">
        <f>IFERROR(E11/D11,0)</f>
        <v/>
      </c>
    </row>
    <row r="12">
      <c r="A12" s="4" t="inlineStr">
        <is>
          <t>141</t>
        </is>
      </c>
      <c r="B12" s="4" t="inlineStr">
        <is>
          <t>Water Main/Insulation Lab</t>
        </is>
      </c>
      <c r="C12" s="5" t="n">
        <v>141720</v>
      </c>
      <c r="D12" s="5" t="n">
        <v>142820</v>
      </c>
      <c r="E12" s="5" t="n">
        <v>120399.72</v>
      </c>
      <c r="F12" s="9">
        <f>D12-E12</f>
        <v/>
      </c>
      <c r="G12" s="5" t="n">
        <v>0</v>
      </c>
      <c r="H12" s="12">
        <f>IFERROR(E12/D12,0)</f>
        <v/>
      </c>
    </row>
    <row r="13">
      <c r="A13" s="4" t="inlineStr">
        <is>
          <t>142</t>
        </is>
      </c>
      <c r="B13" s="4" t="inlineStr">
        <is>
          <t>Mech Room Labor</t>
        </is>
      </c>
      <c r="C13" s="5" t="n">
        <v>65600</v>
      </c>
      <c r="D13" s="5" t="n">
        <v>65600</v>
      </c>
      <c r="E13" s="5" t="n">
        <v>80791</v>
      </c>
      <c r="F13" s="9">
        <f>D13-E13</f>
        <v/>
      </c>
      <c r="G13" s="5" t="n">
        <v>0</v>
      </c>
      <c r="H13" s="12">
        <f>IFERROR(E13/D13,0)</f>
        <v/>
      </c>
    </row>
    <row r="14">
      <c r="A14" s="4" t="inlineStr">
        <is>
          <t>143</t>
        </is>
      </c>
      <c r="B14" s="4" t="inlineStr">
        <is>
          <t>Condensation Drains Labor</t>
        </is>
      </c>
      <c r="C14" s="5" t="n">
        <v>0</v>
      </c>
      <c r="D14" s="5" t="n">
        <v>0</v>
      </c>
      <c r="E14" s="5" t="n">
        <v>0</v>
      </c>
      <c r="F14" s="9">
        <f>D14-E14</f>
        <v/>
      </c>
      <c r="G14" s="5" t="n">
        <v>0</v>
      </c>
      <c r="H14" s="12">
        <f>IFERROR(E14/D14,0)</f>
        <v/>
      </c>
    </row>
    <row r="15">
      <c r="A15" s="4" t="inlineStr">
        <is>
          <t>150</t>
        </is>
      </c>
      <c r="B15" s="4" t="inlineStr">
        <is>
          <t>Warranty Labor</t>
        </is>
      </c>
      <c r="C15" s="5" t="n">
        <v>0</v>
      </c>
      <c r="D15" s="5" t="n">
        <v>0</v>
      </c>
      <c r="E15" s="5" t="n">
        <v>26715.88</v>
      </c>
      <c r="F15" s="9">
        <f>D15-E15</f>
        <v/>
      </c>
      <c r="G15" s="5" t="n">
        <v>0</v>
      </c>
      <c r="H15" s="12">
        <f>IFERROR(E15/D15,0)</f>
        <v/>
      </c>
    </row>
    <row r="16">
      <c r="A16" s="4" t="inlineStr">
        <is>
          <t>151</t>
        </is>
      </c>
      <c r="B16" s="4" t="inlineStr">
        <is>
          <t>T&amp;M Labor</t>
        </is>
      </c>
      <c r="C16" s="5" t="n">
        <v>0</v>
      </c>
      <c r="D16" s="5" t="n">
        <v>0</v>
      </c>
      <c r="E16" s="5" t="n">
        <v>224</v>
      </c>
      <c r="F16" s="9">
        <f>D16-E16</f>
        <v/>
      </c>
      <c r="G16" s="5" t="n">
        <v>0</v>
      </c>
      <c r="H16" s="12">
        <f>IFERROR(E16/D16,0)</f>
        <v/>
      </c>
    </row>
    <row r="17">
      <c r="A17" s="4" t="inlineStr">
        <is>
          <t>210</t>
        </is>
      </c>
      <c r="B17" s="4" t="inlineStr">
        <is>
          <t>Underground Material</t>
        </is>
      </c>
      <c r="C17" s="5" t="n">
        <v>85150</v>
      </c>
      <c r="D17" s="5" t="n">
        <v>85650</v>
      </c>
      <c r="E17" s="5" t="n">
        <v>101624.25</v>
      </c>
      <c r="F17" s="9">
        <f>D17-E17</f>
        <v/>
      </c>
      <c r="G17" s="5" t="n">
        <v>0</v>
      </c>
      <c r="H17" s="12">
        <f>IFERROR(E17/D17,0)</f>
        <v/>
      </c>
    </row>
    <row r="18">
      <c r="A18" s="4" t="inlineStr">
        <is>
          <t>211</t>
        </is>
      </c>
      <c r="B18" s="4" t="inlineStr">
        <is>
          <t>Garage Material</t>
        </is>
      </c>
      <c r="C18" s="5" t="n">
        <v>106000</v>
      </c>
      <c r="D18" s="5" t="n">
        <v>106150</v>
      </c>
      <c r="E18" s="5" t="n">
        <v>17998.09</v>
      </c>
      <c r="F18" s="9">
        <f>D18-E18</f>
        <v/>
      </c>
      <c r="G18" s="5" t="n">
        <v>0</v>
      </c>
      <c r="H18" s="12">
        <f>IFERROR(E18/D18,0)</f>
        <v/>
      </c>
    </row>
    <row r="19">
      <c r="A19" s="4" t="inlineStr">
        <is>
          <t>212</t>
        </is>
      </c>
      <c r="B19" s="4" t="inlineStr">
        <is>
          <t>Canout Material</t>
        </is>
      </c>
      <c r="C19" s="5" t="n">
        <v>47200</v>
      </c>
      <c r="D19" s="5" t="n">
        <v>47200</v>
      </c>
      <c r="E19" s="5" t="n">
        <v>23927.32</v>
      </c>
      <c r="F19" s="9">
        <f>D19-E19</f>
        <v/>
      </c>
      <c r="G19" s="5" t="n">
        <v>0</v>
      </c>
      <c r="H19" s="12">
        <f>IFERROR(E19/D19,0)</f>
        <v/>
      </c>
    </row>
    <row r="20">
      <c r="A20" s="4" t="inlineStr">
        <is>
          <t>220</t>
        </is>
      </c>
      <c r="B20" s="4" t="inlineStr">
        <is>
          <t>Roughin Material</t>
        </is>
      </c>
      <c r="C20" s="5" t="n">
        <v>611575</v>
      </c>
      <c r="D20" s="5" t="n">
        <v>623175</v>
      </c>
      <c r="E20" s="5" t="n">
        <v>266624.03</v>
      </c>
      <c r="F20" s="9">
        <f>D20-E20</f>
        <v/>
      </c>
      <c r="G20" s="5" t="n">
        <v>0</v>
      </c>
      <c r="H20" s="12">
        <f>IFERROR(E20/D20,0)</f>
        <v/>
      </c>
    </row>
    <row r="21">
      <c r="A21" s="4" t="inlineStr">
        <is>
          <t>230</t>
        </is>
      </c>
      <c r="B21" s="4" t="inlineStr">
        <is>
          <t>Finish Material</t>
        </is>
      </c>
      <c r="C21" s="5" t="n">
        <v>1131147</v>
      </c>
      <c r="D21" s="5" t="n">
        <v>1114762</v>
      </c>
      <c r="E21" s="5" t="n">
        <v>912915.01</v>
      </c>
      <c r="F21" s="9">
        <f>D21-E21</f>
        <v/>
      </c>
      <c r="G21" s="5" t="n">
        <v>-492.4</v>
      </c>
      <c r="H21" s="12">
        <f>IFERROR(E21/D21,0)</f>
        <v/>
      </c>
    </row>
    <row r="22">
      <c r="A22" s="4" t="inlineStr">
        <is>
          <t>240</t>
        </is>
      </c>
      <c r="B22" s="4" t="inlineStr">
        <is>
          <t>Gas Material</t>
        </is>
      </c>
      <c r="C22" s="5" t="n">
        <v>10450</v>
      </c>
      <c r="D22" s="5" t="n">
        <v>22400</v>
      </c>
      <c r="E22" s="5" t="n">
        <v>14686.12</v>
      </c>
      <c r="F22" s="9">
        <f>D22-E22</f>
        <v/>
      </c>
      <c r="G22" s="5" t="n">
        <v>0</v>
      </c>
      <c r="H22" s="12">
        <f>IFERROR(E22/D22,0)</f>
        <v/>
      </c>
    </row>
    <row r="23">
      <c r="A23" s="4" t="inlineStr">
        <is>
          <t>241</t>
        </is>
      </c>
      <c r="B23" s="4" t="inlineStr">
        <is>
          <t>Water Main/Insulation Mat</t>
        </is>
      </c>
      <c r="C23" s="5" t="n">
        <v>136575</v>
      </c>
      <c r="D23" s="5" t="n">
        <v>138575</v>
      </c>
      <c r="E23" s="5" t="n">
        <v>121627.31</v>
      </c>
      <c r="F23" s="9">
        <f>D23-E23</f>
        <v/>
      </c>
      <c r="G23" s="5" t="n">
        <v>0</v>
      </c>
      <c r="H23" s="12">
        <f>IFERROR(E23/D23,0)</f>
        <v/>
      </c>
    </row>
    <row r="24">
      <c r="A24" s="4" t="inlineStr">
        <is>
          <t>242</t>
        </is>
      </c>
      <c r="B24" s="4" t="inlineStr">
        <is>
          <t>Mech Room Material</t>
        </is>
      </c>
      <c r="C24" s="5" t="n">
        <v>71500</v>
      </c>
      <c r="D24" s="5" t="n">
        <v>71500</v>
      </c>
      <c r="E24" s="5" t="n">
        <v>58031.73</v>
      </c>
      <c r="F24" s="9">
        <f>D24-E24</f>
        <v/>
      </c>
      <c r="G24" s="5" t="n">
        <v>0</v>
      </c>
      <c r="H24" s="12">
        <f>IFERROR(E24/D24,0)</f>
        <v/>
      </c>
    </row>
    <row r="25">
      <c r="A25" s="4" t="inlineStr">
        <is>
          <t>250</t>
        </is>
      </c>
      <c r="B25" s="4" t="inlineStr">
        <is>
          <t>Warranty Material</t>
        </is>
      </c>
      <c r="C25" s="5" t="n">
        <v>0</v>
      </c>
      <c r="D25" s="5" t="n">
        <v>0</v>
      </c>
      <c r="E25" s="5" t="n">
        <v>1481.84</v>
      </c>
      <c r="F25" s="9">
        <f>D25-E25</f>
        <v/>
      </c>
      <c r="G25" s="5" t="n">
        <v>0</v>
      </c>
      <c r="H25" s="12">
        <f>IFERROR(E25/D25,0)</f>
        <v/>
      </c>
    </row>
    <row r="26">
      <c r="A26" s="4" t="inlineStr">
        <is>
          <t>600</t>
        </is>
      </c>
      <c r="B26" s="4" t="inlineStr">
        <is>
          <t>Subcontractor</t>
        </is>
      </c>
      <c r="C26" s="5" t="n">
        <v>25130</v>
      </c>
      <c r="D26" s="5" t="n">
        <v>25130</v>
      </c>
      <c r="E26" s="5" t="n">
        <v>16200</v>
      </c>
      <c r="F26" s="9">
        <f>D26-E26</f>
        <v/>
      </c>
      <c r="G26" s="5" t="n">
        <v>0</v>
      </c>
      <c r="H26" s="12">
        <f>IFERROR(E26/D26,0)</f>
        <v/>
      </c>
    </row>
    <row r="27">
      <c r="A27" s="4" t="inlineStr">
        <is>
          <t>601</t>
        </is>
      </c>
      <c r="B27" s="4" t="inlineStr">
        <is>
          <t>Engineering/Plans</t>
        </is>
      </c>
      <c r="C27" s="5" t="n">
        <v>124500</v>
      </c>
      <c r="D27" s="5" t="n">
        <v>124500</v>
      </c>
      <c r="E27" s="5" t="n">
        <v>106959.5</v>
      </c>
      <c r="F27" s="9">
        <f>D27-E27</f>
        <v/>
      </c>
      <c r="G27" s="5" t="n">
        <v>0</v>
      </c>
      <c r="H27" s="12">
        <f>IFERROR(E27/D27,0)</f>
        <v/>
      </c>
    </row>
    <row r="28">
      <c r="A28" s="4" t="inlineStr">
        <is>
          <t>602</t>
        </is>
      </c>
      <c r="B28" s="4" t="inlineStr">
        <is>
          <t>Rental Equipment</t>
        </is>
      </c>
      <c r="C28" s="5" t="n">
        <v>18000</v>
      </c>
      <c r="D28" s="5" t="n">
        <v>18000</v>
      </c>
      <c r="E28" s="5" t="n">
        <v>13081.86</v>
      </c>
      <c r="F28" s="9">
        <f>D28-E28</f>
        <v/>
      </c>
      <c r="G28" s="5" t="n">
        <v>0</v>
      </c>
      <c r="H28" s="12">
        <f>IFERROR(E28/D28,0)</f>
        <v/>
      </c>
    </row>
    <row r="29">
      <c r="A29" s="4" t="inlineStr">
        <is>
          <t>603</t>
        </is>
      </c>
      <c r="B29" s="4" t="inlineStr">
        <is>
          <t>Permits &amp; Licenses</t>
        </is>
      </c>
      <c r="C29" s="5" t="n">
        <v>40500</v>
      </c>
      <c r="D29" s="5" t="n">
        <v>40500</v>
      </c>
      <c r="E29" s="5" t="n">
        <v>26503.77</v>
      </c>
      <c r="F29" s="9">
        <f>D29-E29</f>
        <v/>
      </c>
      <c r="G29" s="5" t="n">
        <v>0</v>
      </c>
      <c r="H29" s="12">
        <f>IFERROR(E29/D29,0)</f>
        <v/>
      </c>
    </row>
    <row r="30">
      <c r="A30" s="4" t="inlineStr">
        <is>
          <t>607</t>
        </is>
      </c>
      <c r="B30" s="4" t="inlineStr">
        <is>
          <t>Other Expenses</t>
        </is>
      </c>
      <c r="C30" s="5" t="n">
        <v>83451</v>
      </c>
      <c r="D30" s="5" t="n">
        <v>83451</v>
      </c>
      <c r="E30" s="5" t="n">
        <v>77812.75</v>
      </c>
      <c r="F30" s="9">
        <f>D30-E30</f>
        <v/>
      </c>
      <c r="G30" s="5" t="n">
        <v>0</v>
      </c>
      <c r="H30" s="12">
        <f>IFERROR(E30/D30,0)</f>
        <v/>
      </c>
    </row>
    <row r="31">
      <c r="A31" s="4" t="inlineStr">
        <is>
          <t>995</t>
        </is>
      </c>
      <c r="B31" s="4" t="inlineStr">
        <is>
          <t>Payroll Burden</t>
        </is>
      </c>
      <c r="C31" s="5" t="n">
        <v>733502.3199999999</v>
      </c>
      <c r="D31" s="5" t="n">
        <v>749404.3</v>
      </c>
      <c r="E31" s="5" t="n">
        <v>662213.84</v>
      </c>
      <c r="F31" s="9">
        <f>D31-E31</f>
        <v/>
      </c>
      <c r="G31" s="5" t="n">
        <v>0</v>
      </c>
      <c r="H31" s="12">
        <f>IFERROR(E31/D31,0)</f>
        <v/>
      </c>
    </row>
    <row r="32">
      <c r="A32" s="4" t="inlineStr">
        <is>
          <t>998</t>
        </is>
      </c>
      <c r="B32" s="4" t="inlineStr">
        <is>
          <t>Payroll Taxes</t>
        </is>
      </c>
      <c r="C32" s="5" t="n">
        <v>134724.92</v>
      </c>
      <c r="D32" s="5" t="n">
        <v>137645.7</v>
      </c>
      <c r="E32" s="5" t="n">
        <v>118832.01</v>
      </c>
      <c r="F32" s="9">
        <f>D32-E32</f>
        <v/>
      </c>
      <c r="G32" s="5" t="n">
        <v>0</v>
      </c>
      <c r="H32" s="12">
        <f>IFERROR(E32/D32,0)</f>
        <v/>
      </c>
    </row>
    <row r="33">
      <c r="A33" s="10" t="inlineStr">
        <is>
          <t>TOTAL</t>
        </is>
      </c>
      <c r="C33" s="6">
        <f>SUM(C4:C32)</f>
        <v/>
      </c>
      <c r="D33" s="6">
        <f>SUM(D4:D32)</f>
        <v/>
      </c>
      <c r="E33" s="6">
        <f>SUM(E4:E32)</f>
        <v/>
      </c>
      <c r="F33" s="6">
        <f>SUM(F4:F32)</f>
        <v/>
      </c>
      <c r="G33" s="6">
        <f>SUM(G4:G32)</f>
        <v/>
      </c>
      <c r="H33" s="7">
        <f>IFERROR(E33/D33,0)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Cost Category Rollup</t>
        </is>
      </c>
    </row>
    <row r="3">
      <c r="A3" s="11" t="inlineStr">
        <is>
          <t>Category</t>
        </is>
      </c>
      <c r="B3" s="11" t="inlineStr">
        <is>
          <t># Codes</t>
        </is>
      </c>
      <c r="C3" s="11" t="inlineStr">
        <is>
          <t>Revised Budget</t>
        </is>
      </c>
      <c r="D3" s="11" t="inlineStr">
        <is>
          <t>Actual</t>
        </is>
      </c>
      <c r="E3" s="11" t="inlineStr">
        <is>
          <t>Variance</t>
        </is>
      </c>
      <c r="F3" s="11" t="inlineStr">
        <is>
          <t>% Complete</t>
        </is>
      </c>
    </row>
    <row r="4">
      <c r="A4" s="10" t="inlineStr">
        <is>
          <t>Labor</t>
        </is>
      </c>
      <c r="B4" s="4" t="n">
        <v>12</v>
      </c>
      <c r="C4" s="5" t="n">
        <v>1799290</v>
      </c>
      <c r="D4" s="5" t="n">
        <v>1532299.96</v>
      </c>
      <c r="E4" s="9">
        <f>C4-D4</f>
        <v/>
      </c>
      <c r="F4" s="12">
        <f>IFERROR(D4/C4,0)</f>
        <v/>
      </c>
    </row>
    <row r="5">
      <c r="A5" s="10" t="inlineStr">
        <is>
          <t>Material</t>
        </is>
      </c>
      <c r="B5" s="4" t="n">
        <v>8</v>
      </c>
      <c r="C5" s="5" t="n">
        <v>2209412</v>
      </c>
      <c r="D5" s="5" t="n">
        <v>1517433.86</v>
      </c>
      <c r="E5" s="9">
        <f>C5-D5</f>
        <v/>
      </c>
      <c r="F5" s="12">
        <f>IFERROR(D5/C5,0)</f>
        <v/>
      </c>
    </row>
    <row r="6">
      <c r="A6" s="10" t="inlineStr">
        <is>
          <t>Overhead</t>
        </is>
      </c>
      <c r="B6" s="4" t="n">
        <v>5</v>
      </c>
      <c r="C6" s="5" t="n">
        <v>291581</v>
      </c>
      <c r="D6" s="5" t="n">
        <v>240557.88</v>
      </c>
      <c r="E6" s="9">
        <f>C6-D6</f>
        <v/>
      </c>
      <c r="F6" s="12">
        <f>IFERROR(D6/C6,0)</f>
        <v/>
      </c>
    </row>
    <row r="7">
      <c r="A7" s="10" t="inlineStr">
        <is>
          <t>Burden</t>
        </is>
      </c>
      <c r="B7" s="4" t="n">
        <v>2</v>
      </c>
      <c r="C7" s="5" t="n">
        <v>887050</v>
      </c>
      <c r="D7" s="5" t="n">
        <v>781045.85</v>
      </c>
      <c r="E7" s="9">
        <f>C7-D7</f>
        <v/>
      </c>
      <c r="F7" s="12">
        <f>IFERROR(D7/C7,0)</f>
        <v/>
      </c>
    </row>
    <row r="8">
      <c r="A8" s="10" t="inlineStr">
        <is>
          <t>TOTAL</t>
        </is>
      </c>
      <c r="B8" s="13">
        <f>SUM(B4:B7)</f>
        <v/>
      </c>
      <c r="C8" s="6">
        <f>SUM(C4:C7)</f>
        <v/>
      </c>
      <c r="D8" s="6">
        <f>SUM(D4:D7)</f>
        <v/>
      </c>
      <c r="E8" s="6">
        <f>SUM(E4:E7)</f>
        <v/>
      </c>
      <c r="F8" s="7">
        <f>IFERROR(D8/C8,0)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4" customWidth="1" min="3" max="3"/>
    <col width="14" customWidth="1" min="4" max="4"/>
    <col width="14" customWidth="1" min="5" max="5"/>
    <col width="10" customWidth="1" min="6" max="6"/>
    <col width="14" customWidth="1" min="7" max="7"/>
  </cols>
  <sheetData>
    <row r="1">
      <c r="A1" s="1" t="inlineStr">
        <is>
          <t>Budget vs Actual — Flag list</t>
        </is>
      </c>
    </row>
    <row r="2">
      <c r="A2" s="2" t="inlineStr">
        <is>
          <t>Revised budget is canonical basis. Flags: OVER &gt;10%, CRITICAL &gt;50%, ON ±10%, UNDER &lt;-10%.</t>
        </is>
      </c>
    </row>
    <row r="4">
      <c r="A4" s="11" t="inlineStr">
        <is>
          <t>Code</t>
        </is>
      </c>
      <c r="B4" s="11" t="inlineStr">
        <is>
          <t>Description</t>
        </is>
      </c>
      <c r="C4" s="11" t="inlineStr">
        <is>
          <t>Revised</t>
        </is>
      </c>
      <c r="D4" s="11" t="inlineStr">
        <is>
          <t>Actual</t>
        </is>
      </c>
      <c r="E4" s="11" t="inlineStr">
        <is>
          <t>Variance</t>
        </is>
      </c>
      <c r="F4" s="11" t="inlineStr">
        <is>
          <t>% Var</t>
        </is>
      </c>
      <c r="G4" s="11" t="inlineStr">
        <is>
          <t>Status</t>
        </is>
      </c>
    </row>
    <row r="5">
      <c r="A5" s="4" t="inlineStr">
        <is>
          <t>100</t>
        </is>
      </c>
      <c r="B5" s="4" t="inlineStr">
        <is>
          <t>Supervision</t>
        </is>
      </c>
      <c r="C5" s="5" t="n">
        <v>13000</v>
      </c>
      <c r="D5" s="5" t="n">
        <v>10219</v>
      </c>
      <c r="E5" s="9">
        <f>C5-D5</f>
        <v/>
      </c>
      <c r="F5" s="12">
        <f>IFERROR((D5-C5)/C5,0)</f>
        <v/>
      </c>
      <c r="G5" s="14">
        <f>IF(C5=0,"UNBUDGETED",IF(F5&gt;0.5,"CRITICAL",IF(F5&gt;0.1,"OVER",IF(F5&lt;-0.1,"UNDER","ON"))))</f>
        <v/>
      </c>
    </row>
    <row r="6">
      <c r="A6" s="4" t="inlineStr">
        <is>
          <t>101</t>
        </is>
      </c>
      <c r="B6" s="4" t="inlineStr">
        <is>
          <t>Takeoff &amp; Purchase Labor</t>
        </is>
      </c>
      <c r="C6" s="5" t="n">
        <v>30000</v>
      </c>
      <c r="D6" s="5" t="n">
        <v>28199</v>
      </c>
      <c r="E6" s="9">
        <f>C6-D6</f>
        <v/>
      </c>
      <c r="F6" s="12">
        <f>IFERROR((D6-C6)/C6,0)</f>
        <v/>
      </c>
      <c r="G6" s="14">
        <f>IF(C6=0,"UNBUDGETED",IF(F6&gt;0.5,"CRITICAL",IF(F6&gt;0.1,"OVER",IF(F6&lt;-0.1,"UNDER","ON"))))</f>
        <v/>
      </c>
    </row>
    <row r="7">
      <c r="A7" s="4" t="inlineStr">
        <is>
          <t>110</t>
        </is>
      </c>
      <c r="B7" s="4" t="inlineStr">
        <is>
          <t>Underground Labor</t>
        </is>
      </c>
      <c r="C7" s="5" t="n">
        <v>100967</v>
      </c>
      <c r="D7" s="5" t="n">
        <v>71186.75999999999</v>
      </c>
      <c r="E7" s="9">
        <f>C7-D7</f>
        <v/>
      </c>
      <c r="F7" s="12">
        <f>IFERROR((D7-C7)/C7,0)</f>
        <v/>
      </c>
      <c r="G7" s="14">
        <f>IF(C7=0,"UNBUDGETED",IF(F7&gt;0.5,"CRITICAL",IF(F7&gt;0.1,"OVER",IF(F7&lt;-0.1,"UNDER","ON"))))</f>
        <v/>
      </c>
    </row>
    <row r="8">
      <c r="A8" s="4" t="inlineStr">
        <is>
          <t>111</t>
        </is>
      </c>
      <c r="B8" s="4" t="inlineStr">
        <is>
          <t>Garage Labor</t>
        </is>
      </c>
      <c r="C8" s="5" t="n">
        <v>117133</v>
      </c>
      <c r="D8" s="5" t="n">
        <v>112004.5</v>
      </c>
      <c r="E8" s="9">
        <f>C8-D8</f>
        <v/>
      </c>
      <c r="F8" s="12">
        <f>IFERROR((D8-C8)/C8,0)</f>
        <v/>
      </c>
      <c r="G8" s="14">
        <f>IF(C8=0,"UNBUDGETED",IF(F8&gt;0.5,"CRITICAL",IF(F8&gt;0.1,"OVER",IF(F8&lt;-0.1,"UNDER","ON"))))</f>
        <v/>
      </c>
    </row>
    <row r="9">
      <c r="A9" s="4" t="inlineStr">
        <is>
          <t>112</t>
        </is>
      </c>
      <c r="B9" s="4" t="inlineStr">
        <is>
          <t>Canout Labor</t>
        </is>
      </c>
      <c r="C9" s="5" t="n">
        <v>48994</v>
      </c>
      <c r="D9" s="5" t="n">
        <v>37993.5</v>
      </c>
      <c r="E9" s="9">
        <f>C9-D9</f>
        <v/>
      </c>
      <c r="F9" s="12">
        <f>IFERROR((D9-C9)/C9,0)</f>
        <v/>
      </c>
      <c r="G9" s="14">
        <f>IF(C9=0,"UNBUDGETED",IF(F9&gt;0.5,"CRITICAL",IF(F9&gt;0.1,"OVER",IF(F9&lt;-0.1,"UNDER","ON"))))</f>
        <v/>
      </c>
    </row>
    <row r="10">
      <c r="A10" s="4" t="inlineStr">
        <is>
          <t>120</t>
        </is>
      </c>
      <c r="B10" s="4" t="inlineStr">
        <is>
          <t>Roughin Labor</t>
        </is>
      </c>
      <c r="C10" s="5" t="n">
        <v>1069806</v>
      </c>
      <c r="D10" s="5" t="n">
        <v>797900.1</v>
      </c>
      <c r="E10" s="9">
        <f>C10-D10</f>
        <v/>
      </c>
      <c r="F10" s="12">
        <f>IFERROR((D10-C10)/C10,0)</f>
        <v/>
      </c>
      <c r="G10" s="14">
        <f>IF(C10=0,"UNBUDGETED",IF(F10&gt;0.5,"CRITICAL",IF(F10&gt;0.1,"OVER",IF(F10&lt;-0.1,"UNDER","ON"))))</f>
        <v/>
      </c>
    </row>
    <row r="11">
      <c r="A11" s="4" t="inlineStr">
        <is>
          <t>130</t>
        </is>
      </c>
      <c r="B11" s="4" t="inlineStr">
        <is>
          <t>Finish Labor</t>
        </is>
      </c>
      <c r="C11" s="5" t="n">
        <v>197570</v>
      </c>
      <c r="D11" s="5" t="n">
        <v>222921</v>
      </c>
      <c r="E11" s="9">
        <f>C11-D11</f>
        <v/>
      </c>
      <c r="F11" s="12">
        <f>IFERROR((D11-C11)/C11,0)</f>
        <v/>
      </c>
      <c r="G11" s="14">
        <f>IF(C11=0,"UNBUDGETED",IF(F11&gt;0.5,"CRITICAL",IF(F11&gt;0.1,"OVER",IF(F11&lt;-0.1,"UNDER","ON"))))</f>
        <v/>
      </c>
    </row>
    <row r="12">
      <c r="A12" s="4" t="inlineStr">
        <is>
          <t>140</t>
        </is>
      </c>
      <c r="B12" s="4" t="inlineStr">
        <is>
          <t>Gas Labor</t>
        </is>
      </c>
      <c r="C12" s="5" t="n">
        <v>13400</v>
      </c>
      <c r="D12" s="5" t="n">
        <v>23969.5</v>
      </c>
      <c r="E12" s="9">
        <f>C12-D12</f>
        <v/>
      </c>
      <c r="F12" s="12">
        <f>IFERROR((D12-C12)/C12,0)</f>
        <v/>
      </c>
      <c r="G12" s="14">
        <f>IF(C12=0,"UNBUDGETED",IF(F12&gt;0.5,"CRITICAL",IF(F12&gt;0.1,"OVER",IF(F12&lt;-0.1,"UNDER","ON"))))</f>
        <v/>
      </c>
    </row>
    <row r="13">
      <c r="A13" s="4" t="inlineStr">
        <is>
          <t>141</t>
        </is>
      </c>
      <c r="B13" s="4" t="inlineStr">
        <is>
          <t>Water Main/Insulation Lab</t>
        </is>
      </c>
      <c r="C13" s="5" t="n">
        <v>142820</v>
      </c>
      <c r="D13" s="5" t="n">
        <v>120399.72</v>
      </c>
      <c r="E13" s="9">
        <f>C13-D13</f>
        <v/>
      </c>
      <c r="F13" s="12">
        <f>IFERROR((D13-C13)/C13,0)</f>
        <v/>
      </c>
      <c r="G13" s="14">
        <f>IF(C13=0,"UNBUDGETED",IF(F13&gt;0.5,"CRITICAL",IF(F13&gt;0.1,"OVER",IF(F13&lt;-0.1,"UNDER","ON"))))</f>
        <v/>
      </c>
    </row>
    <row r="14">
      <c r="A14" s="4" t="inlineStr">
        <is>
          <t>142</t>
        </is>
      </c>
      <c r="B14" s="4" t="inlineStr">
        <is>
          <t>Mech Room Labor</t>
        </is>
      </c>
      <c r="C14" s="5" t="n">
        <v>65600</v>
      </c>
      <c r="D14" s="5" t="n">
        <v>80791</v>
      </c>
      <c r="E14" s="9">
        <f>C14-D14</f>
        <v/>
      </c>
      <c r="F14" s="12">
        <f>IFERROR((D14-C14)/C14,0)</f>
        <v/>
      </c>
      <c r="G14" s="14">
        <f>IF(C14=0,"UNBUDGETED",IF(F14&gt;0.5,"CRITICAL",IF(F14&gt;0.1,"OVER",IF(F14&lt;-0.1,"UNDER","ON"))))</f>
        <v/>
      </c>
    </row>
    <row r="15">
      <c r="A15" s="4" t="inlineStr">
        <is>
          <t>150</t>
        </is>
      </c>
      <c r="B15" s="4" t="inlineStr">
        <is>
          <t>Warranty Labor</t>
        </is>
      </c>
      <c r="C15" s="5" t="n">
        <v>0</v>
      </c>
      <c r="D15" s="5" t="n">
        <v>26715.88</v>
      </c>
      <c r="E15" s="9">
        <f>C15-D15</f>
        <v/>
      </c>
      <c r="F15" s="12">
        <f>IFERROR((D15-C15)/C15,0)</f>
        <v/>
      </c>
      <c r="G15" s="14">
        <f>IF(C15=0,"UNBUDGETED",IF(F15&gt;0.5,"CRITICAL",IF(F15&gt;0.1,"OVER",IF(F15&lt;-0.1,"UNDER","ON"))))</f>
        <v/>
      </c>
    </row>
    <row r="16">
      <c r="A16" s="4" t="inlineStr">
        <is>
          <t>151</t>
        </is>
      </c>
      <c r="B16" s="4" t="inlineStr">
        <is>
          <t>T&amp;M Labor</t>
        </is>
      </c>
      <c r="C16" s="5" t="n">
        <v>0</v>
      </c>
      <c r="D16" s="5" t="n">
        <v>224</v>
      </c>
      <c r="E16" s="9">
        <f>C16-D16</f>
        <v/>
      </c>
      <c r="F16" s="12">
        <f>IFERROR((D16-C16)/C16,0)</f>
        <v/>
      </c>
      <c r="G16" s="14">
        <f>IF(C16=0,"UNBUDGETED",IF(F16&gt;0.5,"CRITICAL",IF(F16&gt;0.1,"OVER",IF(F16&lt;-0.1,"UNDER","ON"))))</f>
        <v/>
      </c>
    </row>
    <row r="17">
      <c r="A17" s="4" t="inlineStr">
        <is>
          <t>210</t>
        </is>
      </c>
      <c r="B17" s="4" t="inlineStr">
        <is>
          <t>Underground Material</t>
        </is>
      </c>
      <c r="C17" s="5" t="n">
        <v>85650</v>
      </c>
      <c r="D17" s="5" t="n">
        <v>101624.25</v>
      </c>
      <c r="E17" s="9">
        <f>C17-D17</f>
        <v/>
      </c>
      <c r="F17" s="12">
        <f>IFERROR((D17-C17)/C17,0)</f>
        <v/>
      </c>
      <c r="G17" s="14">
        <f>IF(C17=0,"UNBUDGETED",IF(F17&gt;0.5,"CRITICAL",IF(F17&gt;0.1,"OVER",IF(F17&lt;-0.1,"UNDER","ON"))))</f>
        <v/>
      </c>
    </row>
    <row r="18">
      <c r="A18" s="4" t="inlineStr">
        <is>
          <t>211</t>
        </is>
      </c>
      <c r="B18" s="4" t="inlineStr">
        <is>
          <t>Garage Material</t>
        </is>
      </c>
      <c r="C18" s="5" t="n">
        <v>106150</v>
      </c>
      <c r="D18" s="5" t="n">
        <v>17998.09</v>
      </c>
      <c r="E18" s="9">
        <f>C18-D18</f>
        <v/>
      </c>
      <c r="F18" s="12">
        <f>IFERROR((D18-C18)/C18,0)</f>
        <v/>
      </c>
      <c r="G18" s="14">
        <f>IF(C18=0,"UNBUDGETED",IF(F18&gt;0.5,"CRITICAL",IF(F18&gt;0.1,"OVER",IF(F18&lt;-0.1,"UNDER","ON"))))</f>
        <v/>
      </c>
    </row>
    <row r="19">
      <c r="A19" s="4" t="inlineStr">
        <is>
          <t>212</t>
        </is>
      </c>
      <c r="B19" s="4" t="inlineStr">
        <is>
          <t>Canout Material</t>
        </is>
      </c>
      <c r="C19" s="5" t="n">
        <v>47200</v>
      </c>
      <c r="D19" s="5" t="n">
        <v>23927.32</v>
      </c>
      <c r="E19" s="9">
        <f>C19-D19</f>
        <v/>
      </c>
      <c r="F19" s="12">
        <f>IFERROR((D19-C19)/C19,0)</f>
        <v/>
      </c>
      <c r="G19" s="14">
        <f>IF(C19=0,"UNBUDGETED",IF(F19&gt;0.5,"CRITICAL",IF(F19&gt;0.1,"OVER",IF(F19&lt;-0.1,"UNDER","ON"))))</f>
        <v/>
      </c>
    </row>
    <row r="20">
      <c r="A20" s="4" t="inlineStr">
        <is>
          <t>220</t>
        </is>
      </c>
      <c r="B20" s="4" t="inlineStr">
        <is>
          <t>Roughin Material</t>
        </is>
      </c>
      <c r="C20" s="5" t="n">
        <v>623175</v>
      </c>
      <c r="D20" s="5" t="n">
        <v>266624.03</v>
      </c>
      <c r="E20" s="9">
        <f>C20-D20</f>
        <v/>
      </c>
      <c r="F20" s="12">
        <f>IFERROR((D20-C20)/C20,0)</f>
        <v/>
      </c>
      <c r="G20" s="14">
        <f>IF(C20=0,"UNBUDGETED",IF(F20&gt;0.5,"CRITICAL",IF(F20&gt;0.1,"OVER",IF(F20&lt;-0.1,"UNDER","ON"))))</f>
        <v/>
      </c>
    </row>
    <row r="21">
      <c r="A21" s="4" t="inlineStr">
        <is>
          <t>230</t>
        </is>
      </c>
      <c r="B21" s="4" t="inlineStr">
        <is>
          <t>Finish Material</t>
        </is>
      </c>
      <c r="C21" s="5" t="n">
        <v>1114762</v>
      </c>
      <c r="D21" s="5" t="n">
        <v>912915.01</v>
      </c>
      <c r="E21" s="9">
        <f>C21-D21</f>
        <v/>
      </c>
      <c r="F21" s="12">
        <f>IFERROR((D21-C21)/C21,0)</f>
        <v/>
      </c>
      <c r="G21" s="14">
        <f>IF(C21=0,"UNBUDGETED",IF(F21&gt;0.5,"CRITICAL",IF(F21&gt;0.1,"OVER",IF(F21&lt;-0.1,"UNDER","ON"))))</f>
        <v/>
      </c>
    </row>
    <row r="22">
      <c r="A22" s="4" t="inlineStr">
        <is>
          <t>240</t>
        </is>
      </c>
      <c r="B22" s="4" t="inlineStr">
        <is>
          <t>Gas Material</t>
        </is>
      </c>
      <c r="C22" s="5" t="n">
        <v>22400</v>
      </c>
      <c r="D22" s="5" t="n">
        <v>14686.12</v>
      </c>
      <c r="E22" s="9">
        <f>C22-D22</f>
        <v/>
      </c>
      <c r="F22" s="12">
        <f>IFERROR((D22-C22)/C22,0)</f>
        <v/>
      </c>
      <c r="G22" s="14">
        <f>IF(C22=0,"UNBUDGETED",IF(F22&gt;0.5,"CRITICAL",IF(F22&gt;0.1,"OVER",IF(F22&lt;-0.1,"UNDER","ON"))))</f>
        <v/>
      </c>
    </row>
    <row r="23">
      <c r="A23" s="4" t="inlineStr">
        <is>
          <t>241</t>
        </is>
      </c>
      <c r="B23" s="4" t="inlineStr">
        <is>
          <t>Water Main/Insulation Mat</t>
        </is>
      </c>
      <c r="C23" s="5" t="n">
        <v>138575</v>
      </c>
      <c r="D23" s="5" t="n">
        <v>121627.31</v>
      </c>
      <c r="E23" s="9">
        <f>C23-D23</f>
        <v/>
      </c>
      <c r="F23" s="12">
        <f>IFERROR((D23-C23)/C23,0)</f>
        <v/>
      </c>
      <c r="G23" s="14">
        <f>IF(C23=0,"UNBUDGETED",IF(F23&gt;0.5,"CRITICAL",IF(F23&gt;0.1,"OVER",IF(F23&lt;-0.1,"UNDER","ON"))))</f>
        <v/>
      </c>
    </row>
    <row r="24">
      <c r="A24" s="4" t="inlineStr">
        <is>
          <t>242</t>
        </is>
      </c>
      <c r="B24" s="4" t="inlineStr">
        <is>
          <t>Mech Room Material</t>
        </is>
      </c>
      <c r="C24" s="5" t="n">
        <v>71500</v>
      </c>
      <c r="D24" s="5" t="n">
        <v>58031.73</v>
      </c>
      <c r="E24" s="9">
        <f>C24-D24</f>
        <v/>
      </c>
      <c r="F24" s="12">
        <f>IFERROR((D24-C24)/C24,0)</f>
        <v/>
      </c>
      <c r="G24" s="14">
        <f>IF(C24=0,"UNBUDGETED",IF(F24&gt;0.5,"CRITICAL",IF(F24&gt;0.1,"OVER",IF(F24&lt;-0.1,"UNDER","ON"))))</f>
        <v/>
      </c>
    </row>
    <row r="25">
      <c r="A25" s="4" t="inlineStr">
        <is>
          <t>250</t>
        </is>
      </c>
      <c r="B25" s="4" t="inlineStr">
        <is>
          <t>Warranty Material</t>
        </is>
      </c>
      <c r="C25" s="5" t="n">
        <v>0</v>
      </c>
      <c r="D25" s="5" t="n">
        <v>1481.84</v>
      </c>
      <c r="E25" s="9">
        <f>C25-D25</f>
        <v/>
      </c>
      <c r="F25" s="12">
        <f>IFERROR((D25-C25)/C25,0)</f>
        <v/>
      </c>
      <c r="G25" s="14">
        <f>IF(C25=0,"UNBUDGETED",IF(F25&gt;0.5,"CRITICAL",IF(F25&gt;0.1,"OVER",IF(F25&lt;-0.1,"UNDER","ON"))))</f>
        <v/>
      </c>
    </row>
    <row r="26">
      <c r="A26" s="4" t="inlineStr">
        <is>
          <t>600</t>
        </is>
      </c>
      <c r="B26" s="4" t="inlineStr">
        <is>
          <t>Subcontractor</t>
        </is>
      </c>
      <c r="C26" s="5" t="n">
        <v>25130</v>
      </c>
      <c r="D26" s="5" t="n">
        <v>16200</v>
      </c>
      <c r="E26" s="9">
        <f>C26-D26</f>
        <v/>
      </c>
      <c r="F26" s="12">
        <f>IFERROR((D26-C26)/C26,0)</f>
        <v/>
      </c>
      <c r="G26" s="14">
        <f>IF(C26=0,"UNBUDGETED",IF(F26&gt;0.5,"CRITICAL",IF(F26&gt;0.1,"OVER",IF(F26&lt;-0.1,"UNDER","ON"))))</f>
        <v/>
      </c>
    </row>
    <row r="27">
      <c r="A27" s="4" t="inlineStr">
        <is>
          <t>601</t>
        </is>
      </c>
      <c r="B27" s="4" t="inlineStr">
        <is>
          <t>Engineering/Plans</t>
        </is>
      </c>
      <c r="C27" s="5" t="n">
        <v>124500</v>
      </c>
      <c r="D27" s="5" t="n">
        <v>106959.5</v>
      </c>
      <c r="E27" s="9">
        <f>C27-D27</f>
        <v/>
      </c>
      <c r="F27" s="12">
        <f>IFERROR((D27-C27)/C27,0)</f>
        <v/>
      </c>
      <c r="G27" s="14">
        <f>IF(C27=0,"UNBUDGETED",IF(F27&gt;0.5,"CRITICAL",IF(F27&gt;0.1,"OVER",IF(F27&lt;-0.1,"UNDER","ON"))))</f>
        <v/>
      </c>
    </row>
    <row r="28">
      <c r="A28" s="4" t="inlineStr">
        <is>
          <t>602</t>
        </is>
      </c>
      <c r="B28" s="4" t="inlineStr">
        <is>
          <t>Rental Equipment</t>
        </is>
      </c>
      <c r="C28" s="5" t="n">
        <v>18000</v>
      </c>
      <c r="D28" s="5" t="n">
        <v>13081.86</v>
      </c>
      <c r="E28" s="9">
        <f>C28-D28</f>
        <v/>
      </c>
      <c r="F28" s="12">
        <f>IFERROR((D28-C28)/C28,0)</f>
        <v/>
      </c>
      <c r="G28" s="14">
        <f>IF(C28=0,"UNBUDGETED",IF(F28&gt;0.5,"CRITICAL",IF(F28&gt;0.1,"OVER",IF(F28&lt;-0.1,"UNDER","ON"))))</f>
        <v/>
      </c>
    </row>
    <row r="29">
      <c r="A29" s="4" t="inlineStr">
        <is>
          <t>603</t>
        </is>
      </c>
      <c r="B29" s="4" t="inlineStr">
        <is>
          <t>Permits &amp; Licenses</t>
        </is>
      </c>
      <c r="C29" s="5" t="n">
        <v>40500</v>
      </c>
      <c r="D29" s="5" t="n">
        <v>26503.77</v>
      </c>
      <c r="E29" s="9">
        <f>C29-D29</f>
        <v/>
      </c>
      <c r="F29" s="12">
        <f>IFERROR((D29-C29)/C29,0)</f>
        <v/>
      </c>
      <c r="G29" s="14">
        <f>IF(C29=0,"UNBUDGETED",IF(F29&gt;0.5,"CRITICAL",IF(F29&gt;0.1,"OVER",IF(F29&lt;-0.1,"UNDER","ON"))))</f>
        <v/>
      </c>
    </row>
    <row r="30">
      <c r="A30" s="4" t="inlineStr">
        <is>
          <t>607</t>
        </is>
      </c>
      <c r="B30" s="4" t="inlineStr">
        <is>
          <t>Other Expenses</t>
        </is>
      </c>
      <c r="C30" s="5" t="n">
        <v>83451</v>
      </c>
      <c r="D30" s="5" t="n">
        <v>77812.75</v>
      </c>
      <c r="E30" s="9">
        <f>C30-D30</f>
        <v/>
      </c>
      <c r="F30" s="12">
        <f>IFERROR((D30-C30)/C30,0)</f>
        <v/>
      </c>
      <c r="G30" s="14">
        <f>IF(C30=0,"UNBUDGETED",IF(F30&gt;0.5,"CRITICAL",IF(F30&gt;0.1,"OVER",IF(F30&lt;-0.1,"UNDER","ON"))))</f>
        <v/>
      </c>
    </row>
    <row r="31">
      <c r="A31" s="4" t="inlineStr">
        <is>
          <t>995</t>
        </is>
      </c>
      <c r="B31" s="4" t="inlineStr">
        <is>
          <t>Payroll Burden</t>
        </is>
      </c>
      <c r="C31" s="5" t="n">
        <v>749404.3</v>
      </c>
      <c r="D31" s="5" t="n">
        <v>662213.84</v>
      </c>
      <c r="E31" s="9">
        <f>C31-D31</f>
        <v/>
      </c>
      <c r="F31" s="12">
        <f>IFERROR((D31-C31)/C31,0)</f>
        <v/>
      </c>
      <c r="G31" s="14">
        <f>IF(C31=0,"UNBUDGETED",IF(F31&gt;0.5,"CRITICAL",IF(F31&gt;0.1,"OVER",IF(F31&lt;-0.1,"UNDER","ON"))))</f>
        <v/>
      </c>
    </row>
    <row r="32">
      <c r="A32" s="4" t="inlineStr">
        <is>
          <t>998</t>
        </is>
      </c>
      <c r="B32" s="4" t="inlineStr">
        <is>
          <t>Payroll Taxes</t>
        </is>
      </c>
      <c r="C32" s="5" t="n">
        <v>137645.7</v>
      </c>
      <c r="D32" s="5" t="n">
        <v>118832.01</v>
      </c>
      <c r="E32" s="9">
        <f>C32-D32</f>
        <v/>
      </c>
      <c r="F32" s="12">
        <f>IFERROR((D32-C32)/C32,0)</f>
        <v/>
      </c>
      <c r="G32" s="14">
        <f>IF(C32=0,"UNBUDGETED",IF(F32&gt;0.5,"CRITICAL",IF(F32&gt;0.1,"OVER",IF(F32&lt;-0.1,"UNDER","ON"))))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</cols>
  <sheetData>
    <row r="1">
      <c r="A1" s="1" t="inlineStr">
        <is>
          <t>Vendor Spend (AP source)</t>
        </is>
      </c>
    </row>
    <row r="3">
      <c r="A3" s="11" t="inlineStr">
        <is>
          <t>Vendor</t>
        </is>
      </c>
      <c r="B3" s="11" t="inlineStr">
        <is>
          <t>Spend ($)</t>
        </is>
      </c>
      <c r="C3" s="11" t="inlineStr">
        <is>
          <t>Invoices</t>
        </is>
      </c>
      <c r="D3" s="11" t="inlineStr">
        <is>
          <t>% of Total AP</t>
        </is>
      </c>
    </row>
    <row r="4">
      <c r="A4" s="4" t="inlineStr">
        <is>
          <t>Keller Supply Company</t>
        </is>
      </c>
      <c r="B4" s="5" t="n">
        <v>580995.7999999997</v>
      </c>
      <c r="C4" s="4" t="n">
        <v>93</v>
      </c>
      <c r="D4" s="12">
        <f>IFERROR(B4/SUM(B$4:B$28),0)</f>
        <v/>
      </c>
    </row>
    <row r="5">
      <c r="A5" s="4" t="inlineStr">
        <is>
          <t>Consolidated Supply Co.</t>
        </is>
      </c>
      <c r="B5" s="5" t="n">
        <v>372631.9599999999</v>
      </c>
      <c r="C5" s="4" t="n">
        <v>250</v>
      </c>
      <c r="D5" s="12">
        <f>IFERROR(B5/SUM(B$4:B$28),0)</f>
        <v/>
      </c>
    </row>
    <row r="6">
      <c r="A6" s="4" t="inlineStr">
        <is>
          <t>Rosen Supply Kirkland</t>
        </is>
      </c>
      <c r="B6" s="5" t="n">
        <v>172522.8700000001</v>
      </c>
      <c r="C6" s="4" t="n">
        <v>131</v>
      </c>
      <c r="D6" s="12">
        <f>IFERROR(B6/SUM(B$4:B$28),0)</f>
        <v/>
      </c>
    </row>
    <row r="7">
      <c r="A7" s="4" t="inlineStr">
        <is>
          <t>California Hydronics Corp</t>
        </is>
      </c>
      <c r="B7" s="5" t="n">
        <v>147326.5</v>
      </c>
      <c r="C7" s="4" t="n">
        <v>7</v>
      </c>
      <c r="D7" s="12">
        <f>IFERROR(B7/SUM(B$4:B$28),0)</f>
        <v/>
      </c>
    </row>
    <row r="8">
      <c r="A8" s="4" t="inlineStr">
        <is>
          <t>Franklin Engineering</t>
        </is>
      </c>
      <c r="B8" s="5" t="n">
        <v>106959.5</v>
      </c>
      <c r="C8" s="4" t="n">
        <v>14</v>
      </c>
      <c r="D8" s="12">
        <f>IFERROR(B8/SUM(B$4:B$28),0)</f>
        <v/>
      </c>
    </row>
    <row r="9">
      <c r="A9" s="4" t="inlineStr">
        <is>
          <t>Pacific Plumbing Supply Co., LLC</t>
        </is>
      </c>
      <c r="B9" s="5" t="n">
        <v>105473.62</v>
      </c>
      <c r="C9" s="4" t="n">
        <v>135</v>
      </c>
      <c r="D9" s="12">
        <f>IFERROR(B9/SUM(B$4:B$28),0)</f>
        <v/>
      </c>
    </row>
    <row r="10">
      <c r="A10" s="4" t="inlineStr">
        <is>
          <t>Hub International Northwest</t>
        </is>
      </c>
      <c r="B10" s="5" t="n">
        <v>60451</v>
      </c>
      <c r="C10" s="4" t="n">
        <v>1</v>
      </c>
      <c r="D10" s="12">
        <f>IFERROR(B10/SUM(B$4:B$28),0)</f>
        <v/>
      </c>
    </row>
    <row r="11">
      <c r="A11" s="4" t="inlineStr">
        <is>
          <t>Bank of America CC</t>
        </is>
      </c>
      <c r="B11" s="5" t="n">
        <v>31431.65</v>
      </c>
      <c r="C11" s="4" t="n">
        <v>18</v>
      </c>
      <c r="D11" s="12">
        <f>IFERROR(B11/SUM(B$4:B$28),0)</f>
        <v/>
      </c>
    </row>
    <row r="12">
      <c r="A12" s="4" t="inlineStr">
        <is>
          <t>University Silver Cloud Hotel $Trailside</t>
        </is>
      </c>
      <c r="B12" s="5" t="n">
        <v>16313.32</v>
      </c>
      <c r="C12" s="4" t="n">
        <v>20</v>
      </c>
      <c r="D12" s="12">
        <f>IFERROR(B12/SUM(B$4:B$28),0)</f>
        <v/>
      </c>
    </row>
    <row r="13">
      <c r="A13" s="4" t="inlineStr">
        <is>
          <t>Mechanical Resource Services, Inc.</t>
        </is>
      </c>
      <c r="B13" s="5" t="n">
        <v>10350</v>
      </c>
      <c r="C13" s="4" t="n">
        <v>1</v>
      </c>
      <c r="D13" s="12">
        <f>IFERROR(B13/SUM(B$4:B$28),0)</f>
        <v/>
      </c>
    </row>
    <row r="14">
      <c r="A14" s="4" t="inlineStr">
        <is>
          <t>MacArthur Co. NW 6276</t>
        </is>
      </c>
      <c r="B14" s="5" t="n">
        <v>10064.08</v>
      </c>
      <c r="C14" s="4" t="n">
        <v>6</v>
      </c>
      <c r="D14" s="12">
        <f>IFERROR(B14/SUM(B$4:B$28),0)</f>
        <v/>
      </c>
    </row>
    <row r="15">
      <c r="A15" s="4" t="inlineStr">
        <is>
          <t>Sunstate Equipment Co</t>
        </is>
      </c>
      <c r="B15" s="5" t="n">
        <v>9483.839999999998</v>
      </c>
      <c r="C15" s="4" t="n">
        <v>21</v>
      </c>
      <c r="D15" s="12">
        <f>IFERROR(B15/SUM(B$4:B$28),0)</f>
        <v/>
      </c>
    </row>
    <row r="16">
      <c r="A16" s="4" t="inlineStr">
        <is>
          <t>Ferguson Enterprises, Inc. #3007</t>
        </is>
      </c>
      <c r="B16" s="5" t="n">
        <v>5547.94</v>
      </c>
      <c r="C16" s="4" t="n">
        <v>10</v>
      </c>
      <c r="D16" s="12">
        <f>IFERROR(B16/SUM(B$4:B$28),0)</f>
        <v/>
      </c>
    </row>
    <row r="17">
      <c r="A17" s="4" t="inlineStr">
        <is>
          <t>Kele, Inc $ MI Controls</t>
        </is>
      </c>
      <c r="B17" s="5" t="n">
        <v>5463.56</v>
      </c>
      <c r="C17" s="4" t="n">
        <v>10</v>
      </c>
      <c r="D17" s="12">
        <f>IFERROR(B17/SUM(B$4:B$28),0)</f>
        <v/>
      </c>
    </row>
    <row r="18">
      <c r="A18" s="4" t="inlineStr">
        <is>
          <t>Williams Scotsman, Inc. $Mobile Mini</t>
        </is>
      </c>
      <c r="B18" s="5" t="n">
        <v>3598.02</v>
      </c>
      <c r="C18" s="4" t="n">
        <v>17</v>
      </c>
      <c r="D18" s="12">
        <f>IFERROR(B18/SUM(B$4:B$28),0)</f>
        <v/>
      </c>
    </row>
    <row r="19">
      <c r="A19" s="4" t="inlineStr">
        <is>
          <t>Capital One Credit Card</t>
        </is>
      </c>
      <c r="B19" s="5" t="n">
        <v>3262.399999999999</v>
      </c>
      <c r="C19" s="4" t="n">
        <v>54</v>
      </c>
      <c r="D19" s="12">
        <f>IFERROR(B19/SUM(B$4:B$28),0)</f>
        <v/>
      </c>
    </row>
    <row r="20">
      <c r="A20" s="4" t="inlineStr">
        <is>
          <t>Chemical Products Company</t>
        </is>
      </c>
      <c r="B20" s="5" t="n">
        <v>3150</v>
      </c>
      <c r="C20" s="4" t="n">
        <v>1</v>
      </c>
      <c r="D20" s="12">
        <f>IFERROR(B20/SUM(B$4:B$28),0)</f>
        <v/>
      </c>
    </row>
    <row r="21">
      <c r="A21" s="4" t="inlineStr">
        <is>
          <t>Mechanical Sales, Inc.</t>
        </is>
      </c>
      <c r="B21" s="5" t="n">
        <v>2941.3</v>
      </c>
      <c r="C21" s="4" t="n">
        <v>6</v>
      </c>
      <c r="D21" s="12">
        <f>IFERROR(B21/SUM(B$4:B$28),0)</f>
        <v/>
      </c>
    </row>
    <row r="22">
      <c r="A22" s="4" t="inlineStr">
        <is>
          <t>Patchworks, Inc.</t>
        </is>
      </c>
      <c r="B22" s="5" t="n">
        <v>1800</v>
      </c>
      <c r="C22" s="4" t="n">
        <v>1</v>
      </c>
      <c r="D22" s="12">
        <f>IFERROR(B22/SUM(B$4:B$28),0)</f>
        <v/>
      </c>
    </row>
    <row r="23">
      <c r="A23" s="4" t="inlineStr">
        <is>
          <t>Seton Identification Products</t>
        </is>
      </c>
      <c r="B23" s="5" t="n">
        <v>1069.75</v>
      </c>
      <c r="C23" s="4" t="n">
        <v>2</v>
      </c>
      <c r="D23" s="12">
        <f>IFERROR(B23/SUM(B$4:B$28),0)</f>
        <v/>
      </c>
    </row>
    <row r="24">
      <c r="A24" s="4" t="inlineStr">
        <is>
          <t>Cascade Restoration Co.</t>
        </is>
      </c>
      <c r="B24" s="5" t="n">
        <v>620</v>
      </c>
      <c r="C24" s="4" t="n">
        <v>1</v>
      </c>
      <c r="D24" s="12">
        <f>IFERROR(B24/SUM(B$4:B$28),0)</f>
        <v/>
      </c>
    </row>
    <row r="25">
      <c r="A25" s="4" t="inlineStr">
        <is>
          <t>ACME Corp</t>
        </is>
      </c>
      <c r="B25" s="5" t="n">
        <v>442.73</v>
      </c>
      <c r="C25" s="4" t="n">
        <v>5</v>
      </c>
      <c r="D25" s="12">
        <f>IFERROR(B25/SUM(B$4:B$28),0)</f>
        <v/>
      </c>
    </row>
    <row r="26">
      <c r="A26" s="4" t="inlineStr">
        <is>
          <t>A.R. Brown Backflow Testing</t>
        </is>
      </c>
      <c r="B26" s="5" t="n">
        <v>280</v>
      </c>
      <c r="C26" s="4" t="n">
        <v>1</v>
      </c>
      <c r="D26" s="12">
        <f>IFERROR(B26/SUM(B$4:B$28),0)</f>
        <v/>
      </c>
    </row>
    <row r="27">
      <c r="A27" s="4" t="inlineStr">
        <is>
          <t>Core &amp; Main LP $HD Supply Waterworks</t>
        </is>
      </c>
      <c r="B27" s="5" t="n">
        <v>196.16</v>
      </c>
      <c r="C27" s="4" t="n">
        <v>1</v>
      </c>
      <c r="D27" s="12">
        <f>IFERROR(B27/SUM(B$4:B$28),0)</f>
        <v/>
      </c>
    </row>
    <row r="28">
      <c r="A28" s="4" t="inlineStr">
        <is>
          <t>Sunbelt Rentals, Inc.</t>
        </is>
      </c>
      <c r="B28" s="5" t="n">
        <v>0</v>
      </c>
      <c r="C28" s="4" t="n">
        <v>2</v>
      </c>
      <c r="D28" s="12">
        <f>IFERROR(B28/SUM(B$4:B$28),0)</f>
        <v/>
      </c>
    </row>
    <row r="29">
      <c r="A29" s="10" t="inlineStr">
        <is>
          <t>TOTAL AP</t>
        </is>
      </c>
      <c r="B29" s="6">
        <f>SUM(B4:B28)</f>
        <v/>
      </c>
      <c r="C29" s="15">
        <f>SUM(C4:C28)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2" customWidth="1" min="4" max="4"/>
    <col width="12" customWidth="1" min="5" max="5"/>
  </cols>
  <sheetData>
    <row r="1">
      <c r="A1" s="1" t="inlineStr">
        <is>
          <t>Crew Roster (PR source)</t>
        </is>
      </c>
    </row>
    <row r="3">
      <c r="A3" s="11" t="inlineStr">
        <is>
          <t>Worker</t>
        </is>
      </c>
      <c r="B3" s="11" t="inlineStr">
        <is>
          <t>Hours</t>
        </is>
      </c>
      <c r="C3" s="11" t="inlineStr">
        <is>
          <t>Labor $</t>
        </is>
      </c>
      <c r="D3" s="11" t="inlineStr">
        <is>
          <t>Avg $/hr</t>
        </is>
      </c>
      <c r="E3" s="11" t="inlineStr">
        <is>
          <t>Tier</t>
        </is>
      </c>
    </row>
    <row r="4">
      <c r="A4" s="4" t="inlineStr">
        <is>
          <t>Paco Leyva, Orlando</t>
        </is>
      </c>
      <c r="B4" s="16" t="n">
        <v>2900.8</v>
      </c>
      <c r="C4" s="5" t="n">
        <v>177226</v>
      </c>
      <c r="D4" s="17">
        <f>IFERROR(C4/B4,0)</f>
        <v/>
      </c>
      <c r="E4" s="4" t="inlineStr">
        <is>
          <t>LEAD/SUPERVISOR</t>
        </is>
      </c>
    </row>
    <row r="5">
      <c r="A5" s="4" t="inlineStr">
        <is>
          <t>Galdamez, Dagoberto A</t>
        </is>
      </c>
      <c r="B5" s="16" t="n">
        <v>2484.5</v>
      </c>
      <c r="C5" s="5" t="n">
        <v>104538</v>
      </c>
      <c r="D5" s="17">
        <f>IFERROR(C5/B5,0)</f>
        <v/>
      </c>
      <c r="E5" s="4" t="inlineStr">
        <is>
          <t>LEAD/SUPERVISOR</t>
        </is>
      </c>
    </row>
    <row r="6">
      <c r="A6" s="4" t="inlineStr">
        <is>
          <t>Balderas Ortiz, Ricardo I</t>
        </is>
      </c>
      <c r="B6" s="16" t="n">
        <v>2342.5</v>
      </c>
      <c r="C6" s="5" t="n">
        <v>103246</v>
      </c>
      <c r="D6" s="17">
        <f>IFERROR(C6/B6,0)</f>
        <v/>
      </c>
      <c r="E6" s="4" t="inlineStr">
        <is>
          <t>LEAD/SUPERVISOR</t>
        </is>
      </c>
    </row>
    <row r="7">
      <c r="A7" s="4" t="inlineStr">
        <is>
          <t>Lopez, Maslin A</t>
        </is>
      </c>
      <c r="B7" s="16" t="n">
        <v>1792</v>
      </c>
      <c r="C7" s="5" t="n">
        <v>59136</v>
      </c>
      <c r="D7" s="17">
        <f>IFERROR(C7/B7,0)</f>
        <v/>
      </c>
      <c r="E7" s="4" t="inlineStr">
        <is>
          <t>JOURNEYMAN</t>
        </is>
      </c>
    </row>
    <row r="8">
      <c r="A8" s="4" t="inlineStr">
        <is>
          <t>Carmona, Raul O</t>
        </is>
      </c>
      <c r="B8" s="16" t="n">
        <v>1766</v>
      </c>
      <c r="C8" s="5" t="n">
        <v>93757</v>
      </c>
      <c r="D8" s="17">
        <f>IFERROR(C8/B8,0)</f>
        <v/>
      </c>
      <c r="E8" s="4" t="inlineStr">
        <is>
          <t>LEAD/SUPERVISOR</t>
        </is>
      </c>
    </row>
    <row r="9">
      <c r="A9" s="4" t="inlineStr">
        <is>
          <t>Jimenez Alvarenga, Gerson M</t>
        </is>
      </c>
      <c r="B9" s="16" t="n">
        <v>1594</v>
      </c>
      <c r="C9" s="5" t="n">
        <v>59222</v>
      </c>
      <c r="D9" s="17">
        <f>IFERROR(C9/B9,0)</f>
        <v/>
      </c>
      <c r="E9" s="4" t="inlineStr">
        <is>
          <t>LEAD/SUPERVISOR</t>
        </is>
      </c>
    </row>
    <row r="10">
      <c r="A10" s="4" t="inlineStr">
        <is>
          <t>Mendoza Morales, Jesus A</t>
        </is>
      </c>
      <c r="B10" s="16" t="n">
        <v>1445.5</v>
      </c>
      <c r="C10" s="5" t="n">
        <v>59388</v>
      </c>
      <c r="D10" s="17">
        <f>IFERROR(C10/B10,0)</f>
        <v/>
      </c>
      <c r="E10" s="4" t="inlineStr">
        <is>
          <t>LEAD/SUPERVISOR</t>
        </is>
      </c>
    </row>
    <row r="11">
      <c r="A11" s="4" t="inlineStr">
        <is>
          <t>Gochez Molina, Douglas O</t>
        </is>
      </c>
      <c r="B11" s="16" t="n">
        <v>1326</v>
      </c>
      <c r="C11" s="5" t="n">
        <v>33225</v>
      </c>
      <c r="D11" s="17">
        <f>IFERROR(C11/B11,0)</f>
        <v/>
      </c>
      <c r="E11" s="4" t="inlineStr">
        <is>
          <t>JOURNEYMAN</t>
        </is>
      </c>
    </row>
    <row r="12">
      <c r="A12" s="4" t="inlineStr">
        <is>
          <t>Suniga Aviles, Kelvin A</t>
        </is>
      </c>
      <c r="B12" s="16" t="n">
        <v>1303</v>
      </c>
      <c r="C12" s="5" t="n">
        <v>27702</v>
      </c>
      <c r="D12" s="17">
        <f>IFERROR(C12/B12,0)</f>
        <v/>
      </c>
      <c r="E12" s="4" t="inlineStr">
        <is>
          <t>JOURNEYMAN</t>
        </is>
      </c>
    </row>
    <row r="13">
      <c r="A13" s="4" t="inlineStr">
        <is>
          <t>Zuniga Avilez, Eduar A</t>
        </is>
      </c>
      <c r="B13" s="16" t="n">
        <v>1298</v>
      </c>
      <c r="C13" s="5" t="n">
        <v>26406</v>
      </c>
      <c r="D13" s="17">
        <f>IFERROR(C13/B13,0)</f>
        <v/>
      </c>
      <c r="E13" s="4" t="inlineStr">
        <is>
          <t>JOURNEYMAN</t>
        </is>
      </c>
    </row>
    <row r="14">
      <c r="A14" s="4" t="inlineStr">
        <is>
          <t>Games, Jordan M</t>
        </is>
      </c>
      <c r="B14" s="16" t="n">
        <v>1236.5</v>
      </c>
      <c r="C14" s="5" t="n">
        <v>66095</v>
      </c>
      <c r="D14" s="17">
        <f>IFERROR(C14/B14,0)</f>
        <v/>
      </c>
      <c r="E14" s="4" t="inlineStr">
        <is>
          <t>LEAD/SUPERVISOR</t>
        </is>
      </c>
    </row>
    <row r="15">
      <c r="A15" s="4" t="inlineStr">
        <is>
          <t>Escobar Ramirez, Carlos M</t>
        </is>
      </c>
      <c r="B15" s="16" t="n">
        <v>1106</v>
      </c>
      <c r="C15" s="5" t="n">
        <v>22120</v>
      </c>
      <c r="D15" s="17">
        <f>IFERROR(C15/B15,0)</f>
        <v/>
      </c>
      <c r="E15" s="4" t="inlineStr">
        <is>
          <t>JOURNEYMAN</t>
        </is>
      </c>
    </row>
    <row r="16">
      <c r="A16" s="4" t="inlineStr">
        <is>
          <t>Nunez Bravo, Jose L</t>
        </is>
      </c>
      <c r="B16" s="16" t="n">
        <v>1031</v>
      </c>
      <c r="C16" s="5" t="n">
        <v>23721</v>
      </c>
      <c r="D16" s="17">
        <f>IFERROR(C16/B16,0)</f>
        <v/>
      </c>
      <c r="E16" s="4" t="inlineStr">
        <is>
          <t>JOURNEYMAN</t>
        </is>
      </c>
    </row>
    <row r="17">
      <c r="A17" s="4" t="inlineStr">
        <is>
          <t>Escalante Escobar, Boanerge</t>
        </is>
      </c>
      <c r="B17" s="16" t="n">
        <v>904</v>
      </c>
      <c r="C17" s="5" t="n">
        <v>31640</v>
      </c>
      <c r="D17" s="17">
        <f>IFERROR(C17/B17,0)</f>
        <v/>
      </c>
      <c r="E17" s="4" t="inlineStr">
        <is>
          <t>JOURNEYMAN</t>
        </is>
      </c>
    </row>
    <row r="18">
      <c r="A18" s="4" t="inlineStr">
        <is>
          <t>Weeks, Gregg A</t>
        </is>
      </c>
      <c r="B18" s="16" t="n">
        <v>874</v>
      </c>
      <c r="C18" s="5" t="n">
        <v>41952</v>
      </c>
      <c r="D18" s="17">
        <f>IFERROR(C18/B18,0)</f>
        <v/>
      </c>
      <c r="E18" s="4" t="inlineStr">
        <is>
          <t>LEAD/SUPERVISOR</t>
        </is>
      </c>
    </row>
    <row r="19">
      <c r="A19" s="4" t="inlineStr">
        <is>
          <t>Lima Romero, Melvin A</t>
        </is>
      </c>
      <c r="B19" s="16" t="n">
        <v>866</v>
      </c>
      <c r="C19" s="5" t="n">
        <v>36696</v>
      </c>
      <c r="D19" s="17">
        <f>IFERROR(C19/B19,0)</f>
        <v/>
      </c>
      <c r="E19" s="4" t="inlineStr">
        <is>
          <t>LEAD/SUPERVISOR</t>
        </is>
      </c>
    </row>
    <row r="20">
      <c r="A20" s="4" t="inlineStr">
        <is>
          <t>Anderson, Richard P</t>
        </is>
      </c>
      <c r="B20" s="16" t="n">
        <v>775.5</v>
      </c>
      <c r="C20" s="5" t="n">
        <v>50474</v>
      </c>
      <c r="D20" s="17">
        <f>IFERROR(C20/B20,0)</f>
        <v/>
      </c>
      <c r="E20" s="4" t="inlineStr">
        <is>
          <t>LEAD/SUPERVISOR</t>
        </is>
      </c>
    </row>
    <row r="21">
      <c r="A21" s="4" t="inlineStr">
        <is>
          <t>Melgar Moz, Brandon</t>
        </is>
      </c>
      <c r="B21" s="16" t="n">
        <v>733</v>
      </c>
      <c r="C21" s="5" t="n">
        <v>16270</v>
      </c>
      <c r="D21" s="17">
        <f>IFERROR(C21/B21,0)</f>
        <v/>
      </c>
      <c r="E21" s="4" t="inlineStr">
        <is>
          <t>JOURNEYMAN</t>
        </is>
      </c>
    </row>
    <row r="22">
      <c r="A22" s="4" t="inlineStr">
        <is>
          <t>Boss, Benjamin T</t>
        </is>
      </c>
      <c r="B22" s="16" t="n">
        <v>692</v>
      </c>
      <c r="C22" s="5" t="n">
        <v>34884</v>
      </c>
      <c r="D22" s="17">
        <f>IFERROR(C22/B22,0)</f>
        <v/>
      </c>
      <c r="E22" s="4" t="inlineStr">
        <is>
          <t>LEAD/SUPERVISOR</t>
        </is>
      </c>
    </row>
    <row r="23">
      <c r="A23" s="4" t="inlineStr">
        <is>
          <t>Puentez, Victor M</t>
        </is>
      </c>
      <c r="B23" s="16" t="n">
        <v>656</v>
      </c>
      <c r="C23" s="5" t="n">
        <v>12672</v>
      </c>
      <c r="D23" s="17">
        <f>IFERROR(C23/B23,0)</f>
        <v/>
      </c>
      <c r="E23" s="4" t="inlineStr">
        <is>
          <t>APPRENTICE/HELPER</t>
        </is>
      </c>
    </row>
    <row r="24">
      <c r="A24" s="4" t="inlineStr">
        <is>
          <t>Trower-Kelly, Fidel D</t>
        </is>
      </c>
      <c r="B24" s="16" t="n">
        <v>633.5</v>
      </c>
      <c r="C24" s="5" t="n">
        <v>19732</v>
      </c>
      <c r="D24" s="17">
        <f>IFERROR(C24/B24,0)</f>
        <v/>
      </c>
      <c r="E24" s="4" t="inlineStr">
        <is>
          <t>JOURNEYMAN</t>
        </is>
      </c>
    </row>
    <row r="25">
      <c r="A25" s="4" t="inlineStr">
        <is>
          <t>Yohannes Jr., Samson</t>
        </is>
      </c>
      <c r="B25" s="16" t="n">
        <v>633.5</v>
      </c>
      <c r="C25" s="5" t="n">
        <v>20906</v>
      </c>
      <c r="D25" s="17">
        <f>IFERROR(C25/B25,0)</f>
        <v/>
      </c>
      <c r="E25" s="4" t="inlineStr">
        <is>
          <t>JOURNEYMAN</t>
        </is>
      </c>
    </row>
    <row r="26">
      <c r="A26" s="4" t="inlineStr">
        <is>
          <t>Castro Hernandez, Jose A</t>
        </is>
      </c>
      <c r="B26" s="16" t="n">
        <v>632</v>
      </c>
      <c r="C26" s="5" t="n">
        <v>34128</v>
      </c>
      <c r="D26" s="17">
        <f>IFERROR(C26/B26,0)</f>
        <v/>
      </c>
      <c r="E26" s="4" t="inlineStr">
        <is>
          <t>LEAD/SUPERVISOR</t>
        </is>
      </c>
    </row>
    <row r="27">
      <c r="A27" s="4" t="inlineStr">
        <is>
          <t>Chastain, Aaron R</t>
        </is>
      </c>
      <c r="B27" s="16" t="n">
        <v>617.5</v>
      </c>
      <c r="C27" s="5" t="n">
        <v>14082</v>
      </c>
      <c r="D27" s="17">
        <f>IFERROR(C27/B27,0)</f>
        <v/>
      </c>
      <c r="E27" s="4" t="inlineStr">
        <is>
          <t>JOURNEYMAN</t>
        </is>
      </c>
    </row>
    <row r="28">
      <c r="A28" s="4" t="inlineStr">
        <is>
          <t>Martinez Garcia, Cesar B</t>
        </is>
      </c>
      <c r="B28" s="16" t="n">
        <v>583</v>
      </c>
      <c r="C28" s="5" t="n">
        <v>11660</v>
      </c>
      <c r="D28" s="17">
        <f>IFERROR(C28/B28,0)</f>
        <v/>
      </c>
      <c r="E28" s="4" t="inlineStr">
        <is>
          <t>JOURNEYMAN</t>
        </is>
      </c>
    </row>
    <row r="29">
      <c r="A29" s="4" t="inlineStr">
        <is>
          <t>Taylor, Evan R</t>
        </is>
      </c>
      <c r="B29" s="16" t="n">
        <v>576.8</v>
      </c>
      <c r="C29" s="5" t="n">
        <v>29991</v>
      </c>
      <c r="D29" s="17">
        <f>IFERROR(C29/B29,0)</f>
        <v/>
      </c>
      <c r="E29" s="4" t="inlineStr">
        <is>
          <t>LEAD/SUPERVISOR</t>
        </is>
      </c>
    </row>
    <row r="30">
      <c r="A30" s="4" t="inlineStr">
        <is>
          <t>Aquino, Juan</t>
        </is>
      </c>
      <c r="B30" s="16" t="n">
        <v>572</v>
      </c>
      <c r="C30" s="5" t="n">
        <v>15452</v>
      </c>
      <c r="D30" s="17">
        <f>IFERROR(C30/B30,0)</f>
        <v/>
      </c>
      <c r="E30" s="4" t="inlineStr">
        <is>
          <t>JOURNEYMAN</t>
        </is>
      </c>
    </row>
    <row r="31">
      <c r="A31" s="4" t="inlineStr">
        <is>
          <t>Storozhuk, Maxim A</t>
        </is>
      </c>
      <c r="B31" s="16" t="n">
        <v>562</v>
      </c>
      <c r="C31" s="5" t="n">
        <v>12364</v>
      </c>
      <c r="D31" s="17">
        <f>IFERROR(C31/B31,0)</f>
        <v/>
      </c>
      <c r="E31" s="4" t="inlineStr">
        <is>
          <t>JOURNEYMAN</t>
        </is>
      </c>
    </row>
    <row r="32">
      <c r="A32" s="4" t="inlineStr">
        <is>
          <t>Cosentino, Brandon C</t>
        </is>
      </c>
      <c r="B32" s="16" t="n">
        <v>544.5</v>
      </c>
      <c r="C32" s="5" t="n">
        <v>12300</v>
      </c>
      <c r="D32" s="17">
        <f>IFERROR(C32/B32,0)</f>
        <v/>
      </c>
      <c r="E32" s="4" t="inlineStr">
        <is>
          <t>JOURNEYMAN</t>
        </is>
      </c>
    </row>
    <row r="33">
      <c r="A33" s="4" t="inlineStr">
        <is>
          <t>Eliassen, Cory H</t>
        </is>
      </c>
      <c r="B33" s="16" t="n">
        <v>534.8</v>
      </c>
      <c r="C33" s="5" t="n">
        <v>20320</v>
      </c>
      <c r="D33" s="17">
        <f>IFERROR(C33/B33,0)</f>
        <v/>
      </c>
      <c r="E33" s="4" t="inlineStr">
        <is>
          <t>LEAD/SUPERVISOR</t>
        </is>
      </c>
    </row>
    <row r="34">
      <c r="A34" s="4" t="inlineStr">
        <is>
          <t>Sontay Garcia, Juan C</t>
        </is>
      </c>
      <c r="B34" s="16" t="n">
        <v>503</v>
      </c>
      <c r="C34" s="5" t="n">
        <v>10563</v>
      </c>
      <c r="D34" s="17">
        <f>IFERROR(C34/B34,0)</f>
        <v/>
      </c>
      <c r="E34" s="4" t="inlineStr">
        <is>
          <t>JOURNEYMAN</t>
        </is>
      </c>
    </row>
    <row r="35">
      <c r="A35" s="4" t="inlineStr">
        <is>
          <t>Cruz Reyes, Jose</t>
        </is>
      </c>
      <c r="B35" s="16" t="n">
        <v>484</v>
      </c>
      <c r="C35" s="5" t="n">
        <v>19967</v>
      </c>
      <c r="D35" s="17">
        <f>IFERROR(C35/B35,0)</f>
        <v/>
      </c>
      <c r="E35" s="4" t="inlineStr">
        <is>
          <t>LEAD/SUPERVISOR</t>
        </is>
      </c>
    </row>
    <row r="36">
      <c r="A36" s="4" t="inlineStr">
        <is>
          <t>McCurry, Maxwell J</t>
        </is>
      </c>
      <c r="B36" s="16" t="n">
        <v>477</v>
      </c>
      <c r="C36" s="5" t="n">
        <v>11448</v>
      </c>
      <c r="D36" s="17">
        <f>IFERROR(C36/B36,0)</f>
        <v/>
      </c>
      <c r="E36" s="4" t="inlineStr">
        <is>
          <t>JOURNEYMAN</t>
        </is>
      </c>
    </row>
    <row r="37">
      <c r="A37" s="4" t="inlineStr">
        <is>
          <t>Ortiz Carmona, Juan M</t>
        </is>
      </c>
      <c r="B37" s="16" t="n">
        <v>439</v>
      </c>
      <c r="C37" s="5" t="n">
        <v>14048</v>
      </c>
      <c r="D37" s="17">
        <f>IFERROR(C37/B37,0)</f>
        <v/>
      </c>
      <c r="E37" s="4" t="inlineStr">
        <is>
          <t>JOURNEYMAN</t>
        </is>
      </c>
    </row>
    <row r="38">
      <c r="A38" s="4" t="inlineStr">
        <is>
          <t>Barnhart, Joseph N</t>
        </is>
      </c>
      <c r="B38" s="16" t="n">
        <v>416.5</v>
      </c>
      <c r="C38" s="5" t="n">
        <v>28518</v>
      </c>
      <c r="D38" s="17">
        <f>IFERROR(C38/B38,0)</f>
        <v/>
      </c>
      <c r="E38" s="4" t="inlineStr">
        <is>
          <t>LEAD/SUPERVISOR</t>
        </is>
      </c>
    </row>
    <row r="39">
      <c r="A39" s="4" t="inlineStr">
        <is>
          <t>Molina, Carlos G</t>
        </is>
      </c>
      <c r="B39" s="16" t="n">
        <v>375</v>
      </c>
      <c r="C39" s="5" t="n">
        <v>9750</v>
      </c>
      <c r="D39" s="17">
        <f>IFERROR(C39/B39,0)</f>
        <v/>
      </c>
      <c r="E39" s="4" t="inlineStr">
        <is>
          <t>JOURNEYMAN</t>
        </is>
      </c>
    </row>
    <row r="40">
      <c r="A40" s="4" t="inlineStr">
        <is>
          <t>Gerard, Jeffrey S</t>
        </is>
      </c>
      <c r="B40" s="16" t="n">
        <v>343.5</v>
      </c>
      <c r="C40" s="5" t="n">
        <v>23454</v>
      </c>
      <c r="D40" s="17">
        <f>IFERROR(C40/B40,0)</f>
        <v/>
      </c>
      <c r="E40" s="4" t="inlineStr">
        <is>
          <t>LEAD/SUPERVISOR</t>
        </is>
      </c>
    </row>
    <row r="41">
      <c r="A41" s="4" t="inlineStr">
        <is>
          <t>Hubbard, Justin A</t>
        </is>
      </c>
      <c r="B41" s="16" t="n">
        <v>336</v>
      </c>
      <c r="C41" s="5" t="n">
        <v>15456</v>
      </c>
      <c r="D41" s="17">
        <f>IFERROR(C41/B41,0)</f>
        <v/>
      </c>
      <c r="E41" s="4" t="inlineStr">
        <is>
          <t>LEAD/SUPERVISOR</t>
        </is>
      </c>
    </row>
    <row r="42">
      <c r="A42" s="4" t="inlineStr">
        <is>
          <t>Platero Navas, Ronald A</t>
        </is>
      </c>
      <c r="B42" s="16" t="n">
        <v>312</v>
      </c>
      <c r="C42" s="5" t="n">
        <v>6240</v>
      </c>
      <c r="D42" s="17">
        <f>IFERROR(C42/B42,0)</f>
        <v/>
      </c>
      <c r="E42" s="4" t="inlineStr">
        <is>
          <t>JOURNEYMAN</t>
        </is>
      </c>
    </row>
    <row r="43">
      <c r="A43" s="4" t="inlineStr">
        <is>
          <t>Portillo Soriano, Walter A</t>
        </is>
      </c>
      <c r="B43" s="16" t="n">
        <v>294</v>
      </c>
      <c r="C43" s="5" t="n">
        <v>10395</v>
      </c>
      <c r="D43" s="17">
        <f>IFERROR(C43/B43,0)</f>
        <v/>
      </c>
      <c r="E43" s="4" t="inlineStr">
        <is>
          <t>JOURNEYMAN</t>
        </is>
      </c>
    </row>
    <row r="44">
      <c r="A44" s="4" t="inlineStr">
        <is>
          <t>Ascencio, Jose L</t>
        </is>
      </c>
      <c r="B44" s="16" t="n">
        <v>278</v>
      </c>
      <c r="C44" s="5" t="n">
        <v>11802</v>
      </c>
      <c r="D44" s="17">
        <f>IFERROR(C44/B44,0)</f>
        <v/>
      </c>
      <c r="E44" s="4" t="inlineStr">
        <is>
          <t>LEAD/SUPERVISOR</t>
        </is>
      </c>
    </row>
    <row r="45">
      <c r="A45" s="4" t="inlineStr">
        <is>
          <t>Belcher, Jacob T</t>
        </is>
      </c>
      <c r="B45" s="16" t="n">
        <v>277</v>
      </c>
      <c r="C45" s="5" t="n">
        <v>7756</v>
      </c>
      <c r="D45" s="17">
        <f>IFERROR(C45/B45,0)</f>
        <v/>
      </c>
      <c r="E45" s="4" t="inlineStr">
        <is>
          <t>JOURNEYMAN</t>
        </is>
      </c>
    </row>
    <row r="46">
      <c r="A46" s="4" t="inlineStr">
        <is>
          <t>Johnson, Jake E</t>
        </is>
      </c>
      <c r="B46" s="16" t="n">
        <v>273</v>
      </c>
      <c r="C46" s="5" t="n">
        <v>14168</v>
      </c>
      <c r="D46" s="17">
        <f>IFERROR(C46/B46,0)</f>
        <v/>
      </c>
      <c r="E46" s="4" t="inlineStr">
        <is>
          <t>LEAD/SUPERVISOR</t>
        </is>
      </c>
    </row>
    <row r="47">
      <c r="A47" s="4" t="inlineStr">
        <is>
          <t>Young, Joshua S</t>
        </is>
      </c>
      <c r="B47" s="16" t="n">
        <v>256</v>
      </c>
      <c r="C47" s="5" t="n">
        <v>6912</v>
      </c>
      <c r="D47" s="17">
        <f>IFERROR(C47/B47,0)</f>
        <v/>
      </c>
      <c r="E47" s="4" t="inlineStr">
        <is>
          <t>JOURNEYMAN</t>
        </is>
      </c>
    </row>
    <row r="48">
      <c r="A48" s="4" t="inlineStr">
        <is>
          <t>Vazquez Popoca, Jose N</t>
        </is>
      </c>
      <c r="B48" s="16" t="n">
        <v>252</v>
      </c>
      <c r="C48" s="5" t="n">
        <v>8820</v>
      </c>
      <c r="D48" s="17">
        <f>IFERROR(C48/B48,0)</f>
        <v/>
      </c>
      <c r="E48" s="4" t="inlineStr">
        <is>
          <t>JOURNEYMAN</t>
        </is>
      </c>
    </row>
    <row r="49">
      <c r="A49" s="4" t="inlineStr">
        <is>
          <t>Gomez Aguirre, Exequiel</t>
        </is>
      </c>
      <c r="B49" s="16" t="n">
        <v>240</v>
      </c>
      <c r="C49" s="5" t="n">
        <v>5760</v>
      </c>
      <c r="D49" s="17">
        <f>IFERROR(C49/B49,0)</f>
        <v/>
      </c>
      <c r="E49" s="4" t="inlineStr">
        <is>
          <t>JOURNEYMAN</t>
        </is>
      </c>
    </row>
    <row r="50">
      <c r="A50" s="4" t="inlineStr">
        <is>
          <t>Araque, Mario W</t>
        </is>
      </c>
      <c r="B50" s="16" t="n">
        <v>238</v>
      </c>
      <c r="C50" s="5" t="n">
        <v>5398</v>
      </c>
      <c r="D50" s="17">
        <f>IFERROR(C50/B50,0)</f>
        <v/>
      </c>
      <c r="E50" s="4" t="inlineStr">
        <is>
          <t>JOURNEYMAN</t>
        </is>
      </c>
    </row>
    <row r="51">
      <c r="A51" s="4" t="inlineStr">
        <is>
          <t>Zepeda Mendoza, Cesar</t>
        </is>
      </c>
      <c r="B51" s="16" t="n">
        <v>214</v>
      </c>
      <c r="C51" s="5" t="n">
        <v>4708</v>
      </c>
      <c r="D51" s="17">
        <f>IFERROR(C51/B51,0)</f>
        <v/>
      </c>
      <c r="E51" s="4" t="inlineStr">
        <is>
          <t>JOURNEYMAN</t>
        </is>
      </c>
    </row>
    <row r="52">
      <c r="A52" s="4" t="inlineStr">
        <is>
          <t>Diaz Morales, Guni</t>
        </is>
      </c>
      <c r="B52" s="16" t="n">
        <v>204</v>
      </c>
      <c r="C52" s="5" t="n">
        <v>4488</v>
      </c>
      <c r="D52" s="17">
        <f>IFERROR(C52/B52,0)</f>
        <v/>
      </c>
      <c r="E52" s="4" t="inlineStr">
        <is>
          <t>JOURNEYMAN</t>
        </is>
      </c>
    </row>
    <row r="53">
      <c r="A53" s="4" t="inlineStr">
        <is>
          <t>Diaz Morales, Teofilo</t>
        </is>
      </c>
      <c r="B53" s="16" t="n">
        <v>200</v>
      </c>
      <c r="C53" s="5" t="n">
        <v>4400</v>
      </c>
      <c r="D53" s="17">
        <f>IFERROR(C53/B53,0)</f>
        <v/>
      </c>
      <c r="E53" s="4" t="inlineStr">
        <is>
          <t>JOURNEYMAN</t>
        </is>
      </c>
    </row>
    <row r="54">
      <c r="A54" s="4" t="inlineStr">
        <is>
          <t>Zamudio Sanchez, Jose R</t>
        </is>
      </c>
      <c r="B54" s="16" t="n">
        <v>189</v>
      </c>
      <c r="C54" s="5" t="n">
        <v>9072</v>
      </c>
      <c r="D54" s="17">
        <f>IFERROR(C54/B54,0)</f>
        <v/>
      </c>
      <c r="E54" s="4" t="inlineStr">
        <is>
          <t>LEAD/SUPERVISOR</t>
        </is>
      </c>
    </row>
    <row r="55">
      <c r="A55" s="4" t="inlineStr">
        <is>
          <t>Diaz Morales, Cristian A</t>
        </is>
      </c>
      <c r="B55" s="16" t="n">
        <v>168</v>
      </c>
      <c r="C55" s="5" t="n">
        <v>3696</v>
      </c>
      <c r="D55" s="17">
        <f>IFERROR(C55/B55,0)</f>
        <v/>
      </c>
      <c r="E55" s="4" t="inlineStr">
        <is>
          <t>JOURNEYMAN</t>
        </is>
      </c>
    </row>
    <row r="56">
      <c r="A56" s="4" t="inlineStr">
        <is>
          <t>Barnhart, Thomas L</t>
        </is>
      </c>
      <c r="B56" s="16" t="n">
        <v>163.5</v>
      </c>
      <c r="C56" s="5" t="n">
        <v>7030</v>
      </c>
      <c r="D56" s="17">
        <f>IFERROR(C56/B56,0)</f>
        <v/>
      </c>
      <c r="E56" s="4" t="inlineStr">
        <is>
          <t>LEAD/SUPERVISOR</t>
        </is>
      </c>
    </row>
    <row r="57">
      <c r="A57" s="4" t="inlineStr">
        <is>
          <t>McCabe, Thomas C</t>
        </is>
      </c>
      <c r="B57" s="16" t="n">
        <v>163.5</v>
      </c>
      <c r="C57" s="5" t="n">
        <v>7194</v>
      </c>
      <c r="D57" s="17">
        <f>IFERROR(C57/B57,0)</f>
        <v/>
      </c>
      <c r="E57" s="4" t="inlineStr">
        <is>
          <t>LEAD/SUPERVISOR</t>
        </is>
      </c>
    </row>
    <row r="58">
      <c r="A58" s="4" t="inlineStr">
        <is>
          <t>Guerrero Espinoza, Mario</t>
        </is>
      </c>
      <c r="B58" s="16" t="n">
        <v>150</v>
      </c>
      <c r="C58" s="5" t="n">
        <v>4500</v>
      </c>
      <c r="D58" s="17">
        <f>IFERROR(C58/B58,0)</f>
        <v/>
      </c>
      <c r="E58" s="4" t="inlineStr">
        <is>
          <t>JOURNEYMAN</t>
        </is>
      </c>
    </row>
    <row r="59">
      <c r="A59" s="4" t="inlineStr">
        <is>
          <t>Romero Garza, Jesus I</t>
        </is>
      </c>
      <c r="B59" s="16" t="n">
        <v>134</v>
      </c>
      <c r="C59" s="5" t="n">
        <v>4521</v>
      </c>
      <c r="D59" s="17">
        <f>IFERROR(C59/B59,0)</f>
        <v/>
      </c>
      <c r="E59" s="4" t="inlineStr">
        <is>
          <t>JOURNEYMAN</t>
        </is>
      </c>
    </row>
    <row r="60">
      <c r="A60" s="4" t="inlineStr">
        <is>
          <t>Rodriguez Arevalos, Christian</t>
        </is>
      </c>
      <c r="B60" s="16" t="n">
        <v>76</v>
      </c>
      <c r="C60" s="5" t="n">
        <v>3539</v>
      </c>
      <c r="D60" s="17">
        <f>IFERROR(C60/B60,0)</f>
        <v/>
      </c>
      <c r="E60" s="4" t="inlineStr">
        <is>
          <t>LEAD/SUPERVISOR</t>
        </is>
      </c>
    </row>
    <row r="61">
      <c r="A61" s="4" t="inlineStr">
        <is>
          <t>Diaz Morales, Elber</t>
        </is>
      </c>
      <c r="B61" s="16" t="n">
        <v>56</v>
      </c>
      <c r="C61" s="5" t="n">
        <v>1232</v>
      </c>
      <c r="D61" s="17">
        <f>IFERROR(C61/B61,0)</f>
        <v/>
      </c>
      <c r="E61" s="4" t="inlineStr">
        <is>
          <t>JOURNEYMAN</t>
        </is>
      </c>
    </row>
    <row r="62">
      <c r="A62" s="4" t="inlineStr">
        <is>
          <t>Diaz Morales, Urias</t>
        </is>
      </c>
      <c r="B62" s="16" t="n">
        <v>48</v>
      </c>
      <c r="C62" s="5" t="n">
        <v>1056</v>
      </c>
      <c r="D62" s="17">
        <f>IFERROR(C62/B62,0)</f>
        <v/>
      </c>
      <c r="E62" s="4" t="inlineStr">
        <is>
          <t>JOURNEYMAN</t>
        </is>
      </c>
    </row>
    <row r="63">
      <c r="A63" s="4" t="inlineStr">
        <is>
          <t>Cruz, Azael S</t>
        </is>
      </c>
      <c r="B63" s="16" t="n">
        <v>47</v>
      </c>
      <c r="C63" s="5" t="n">
        <v>1504</v>
      </c>
      <c r="D63" s="17">
        <f>IFERROR(C63/B63,0)</f>
        <v/>
      </c>
      <c r="E63" s="4" t="inlineStr">
        <is>
          <t>JOURNEYMAN</t>
        </is>
      </c>
    </row>
    <row r="64">
      <c r="A64" s="4" t="inlineStr">
        <is>
          <t>Perez Araque, Manuel A</t>
        </is>
      </c>
      <c r="B64" s="16" t="n">
        <v>46</v>
      </c>
      <c r="C64" s="5" t="n">
        <v>1345</v>
      </c>
      <c r="D64" s="17">
        <f>IFERROR(C64/B64,0)</f>
        <v/>
      </c>
      <c r="E64" s="4" t="inlineStr">
        <is>
          <t>JOURNEYMAN</t>
        </is>
      </c>
    </row>
    <row r="65">
      <c r="A65" s="4" t="inlineStr">
        <is>
          <t>Nuno Ordonez, Roberto F</t>
        </is>
      </c>
      <c r="B65" s="16" t="n">
        <v>40</v>
      </c>
      <c r="C65" s="5" t="n">
        <v>960</v>
      </c>
      <c r="D65" s="17">
        <f>IFERROR(C65/B65,0)</f>
        <v/>
      </c>
      <c r="E65" s="4" t="inlineStr">
        <is>
          <t>JOURNEYMAN</t>
        </is>
      </c>
    </row>
    <row r="66">
      <c r="A66" s="4" t="inlineStr">
        <is>
          <t>Rodriguez, Eduardo D</t>
        </is>
      </c>
      <c r="B66" s="16" t="n">
        <v>40</v>
      </c>
      <c r="C66" s="5" t="n">
        <v>1040</v>
      </c>
      <c r="D66" s="17">
        <f>IFERROR(C66/B66,0)</f>
        <v/>
      </c>
      <c r="E66" s="4" t="inlineStr">
        <is>
          <t>JOURNEYMAN</t>
        </is>
      </c>
    </row>
    <row r="67">
      <c r="A67" s="4" t="inlineStr">
        <is>
          <t>Draves, Steven W</t>
        </is>
      </c>
      <c r="B67" s="16" t="n">
        <v>32.2</v>
      </c>
      <c r="C67" s="5" t="n">
        <v>1774</v>
      </c>
      <c r="D67" s="17">
        <f>IFERROR(C67/B67,0)</f>
        <v/>
      </c>
      <c r="E67" s="4" t="inlineStr">
        <is>
          <t>LEAD/SUPERVISOR</t>
        </is>
      </c>
    </row>
    <row r="68">
      <c r="A68" s="4" t="inlineStr">
        <is>
          <t>Jimenez, D'angelo J</t>
        </is>
      </c>
      <c r="B68" s="16" t="n">
        <v>28</v>
      </c>
      <c r="C68" s="5" t="n">
        <v>784</v>
      </c>
      <c r="D68" s="17">
        <f>IFERROR(C68/B68,0)</f>
        <v/>
      </c>
      <c r="E68" s="4" t="inlineStr">
        <is>
          <t>JOURNEYMAN</t>
        </is>
      </c>
    </row>
    <row r="69">
      <c r="A69" s="4" t="inlineStr">
        <is>
          <t>Reed, Reuben H</t>
        </is>
      </c>
      <c r="B69" s="16" t="n">
        <v>24</v>
      </c>
      <c r="C69" s="5" t="n">
        <v>1488</v>
      </c>
      <c r="D69" s="17">
        <f>IFERROR(C69/B69,0)</f>
        <v/>
      </c>
      <c r="E69" s="4" t="inlineStr">
        <is>
          <t>LEAD/SUPERVISOR</t>
        </is>
      </c>
    </row>
    <row r="70">
      <c r="A70" s="4" t="inlineStr">
        <is>
          <t>Gerard, Mitchell J</t>
        </is>
      </c>
      <c r="B70" s="16" t="n">
        <v>22</v>
      </c>
      <c r="C70" s="5" t="n">
        <v>1342</v>
      </c>
      <c r="D70" s="17">
        <f>IFERROR(C70/B70,0)</f>
        <v/>
      </c>
      <c r="E70" s="4" t="inlineStr">
        <is>
          <t>LEAD/SUPERVISOR</t>
        </is>
      </c>
    </row>
    <row r="71">
      <c r="A71" s="4" t="inlineStr">
        <is>
          <t>Wilson, Garret A</t>
        </is>
      </c>
      <c r="B71" s="16" t="n">
        <v>21</v>
      </c>
      <c r="C71" s="5" t="n">
        <v>1134</v>
      </c>
      <c r="D71" s="17">
        <f>IFERROR(C71/B71,0)</f>
        <v/>
      </c>
      <c r="E71" s="4" t="inlineStr">
        <is>
          <t>LEAD/SUPERVISOR</t>
        </is>
      </c>
    </row>
    <row r="72">
      <c r="A72" s="4" t="inlineStr">
        <is>
          <t>Gerard, Jordan E</t>
        </is>
      </c>
      <c r="B72" s="16" t="n">
        <v>17</v>
      </c>
      <c r="C72" s="5" t="n">
        <v>1200</v>
      </c>
      <c r="D72" s="17">
        <f>IFERROR(C72/B72,0)</f>
        <v/>
      </c>
      <c r="E72" s="4" t="inlineStr">
        <is>
          <t>LEAD/SUPERVISOR</t>
        </is>
      </c>
    </row>
    <row r="73">
      <c r="A73" s="4" t="inlineStr">
        <is>
          <t>Silva Morales, Jair J</t>
        </is>
      </c>
      <c r="B73" s="16" t="n">
        <v>16</v>
      </c>
      <c r="C73" s="5" t="n">
        <v>544</v>
      </c>
      <c r="D73" s="17">
        <f>IFERROR(C73/B73,0)</f>
        <v/>
      </c>
      <c r="E73" s="4" t="inlineStr">
        <is>
          <t>JOURNEYMAN</t>
        </is>
      </c>
    </row>
    <row r="74">
      <c r="A74" s="4" t="inlineStr">
        <is>
          <t>Castro, Marcus J</t>
        </is>
      </c>
      <c r="B74" s="16" t="n">
        <v>14</v>
      </c>
      <c r="C74" s="5" t="n">
        <v>358</v>
      </c>
      <c r="D74" s="17">
        <f>IFERROR(C74/B74,0)</f>
        <v/>
      </c>
      <c r="E74" s="4" t="inlineStr">
        <is>
          <t>JOURNEYMAN</t>
        </is>
      </c>
    </row>
    <row r="75">
      <c r="A75" s="4" t="inlineStr">
        <is>
          <t>Eisenhauer, Tommy J</t>
        </is>
      </c>
      <c r="B75" s="16" t="n">
        <v>12</v>
      </c>
      <c r="C75" s="5" t="n">
        <v>798</v>
      </c>
      <c r="D75" s="17">
        <f>IFERROR(C75/B75,0)</f>
        <v/>
      </c>
      <c r="E75" s="4" t="inlineStr">
        <is>
          <t>LEAD/SUPERVISOR</t>
        </is>
      </c>
    </row>
    <row r="76">
      <c r="A76" s="4" t="inlineStr">
        <is>
          <t>Bautista Quintero, Isidoro</t>
        </is>
      </c>
      <c r="B76" s="16" t="n">
        <v>8</v>
      </c>
      <c r="C76" s="5" t="n">
        <v>160</v>
      </c>
      <c r="D76" s="17">
        <f>IFERROR(C76/B76,0)</f>
        <v/>
      </c>
      <c r="E76" s="4" t="inlineStr">
        <is>
          <t>JOURNEYMAN</t>
        </is>
      </c>
    </row>
    <row r="77">
      <c r="A77" s="4" t="inlineStr">
        <is>
          <t>Fox, Tamron P</t>
        </is>
      </c>
      <c r="B77" s="16" t="n">
        <v>8</v>
      </c>
      <c r="C77" s="5" t="n">
        <v>216</v>
      </c>
      <c r="D77" s="17">
        <f>IFERROR(C77/B77,0)</f>
        <v/>
      </c>
      <c r="E77" s="4" t="inlineStr">
        <is>
          <t>JOURNEYMAN</t>
        </is>
      </c>
    </row>
    <row r="78">
      <c r="A78" s="4" t="inlineStr">
        <is>
          <t>Hernandez Gonzalez, Osbaldo</t>
        </is>
      </c>
      <c r="B78" s="16" t="n">
        <v>7</v>
      </c>
      <c r="C78" s="5" t="n">
        <v>294</v>
      </c>
      <c r="D78" s="17">
        <f>IFERROR(C78/B78,0)</f>
        <v/>
      </c>
      <c r="E78" s="4" t="inlineStr">
        <is>
          <t>LEAD/SUPERVISOR</t>
        </is>
      </c>
    </row>
    <row r="79">
      <c r="A79" s="4" t="inlineStr">
        <is>
          <t>Waites, Thaddeus Z</t>
        </is>
      </c>
      <c r="B79" s="16" t="n">
        <v>6</v>
      </c>
      <c r="C79" s="5" t="n">
        <v>427</v>
      </c>
      <c r="D79" s="17">
        <f>IFERROR(C79/B79,0)</f>
        <v/>
      </c>
      <c r="E79" s="4" t="inlineStr">
        <is>
          <t>LEAD/SUPERVISOR</t>
        </is>
      </c>
    </row>
    <row r="80">
      <c r="A80" s="4" t="inlineStr">
        <is>
          <t>Amaya Gonzalez, Edilberto A</t>
        </is>
      </c>
      <c r="B80" s="16" t="n">
        <v>6</v>
      </c>
      <c r="C80" s="5" t="n">
        <v>459</v>
      </c>
      <c r="D80" s="17">
        <f>IFERROR(C80/B80,0)</f>
        <v/>
      </c>
      <c r="E80" s="4" t="inlineStr">
        <is>
          <t>OT-ONLY</t>
        </is>
      </c>
    </row>
    <row r="81">
      <c r="A81" s="4" t="inlineStr">
        <is>
          <t>Goodwin, Marcus A</t>
        </is>
      </c>
      <c r="B81" s="16" t="n">
        <v>6</v>
      </c>
      <c r="C81" s="5" t="n">
        <v>225</v>
      </c>
      <c r="D81" s="17">
        <f>IFERROR(C81/B81,0)</f>
        <v/>
      </c>
      <c r="E81" s="4" t="inlineStr">
        <is>
          <t>OT-ONLY</t>
        </is>
      </c>
    </row>
    <row r="82">
      <c r="A82" s="4" t="inlineStr">
        <is>
          <t>de Dios, Pedro</t>
        </is>
      </c>
      <c r="B82" s="16" t="n">
        <v>4</v>
      </c>
      <c r="C82" s="5" t="n">
        <v>104</v>
      </c>
      <c r="D82" s="17">
        <f>IFERROR(C82/B82,0)</f>
        <v/>
      </c>
      <c r="E82" s="4" t="inlineStr">
        <is>
          <t>JOURNEYMAN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Wage Tier Distribution</t>
        </is>
      </c>
    </row>
    <row r="3">
      <c r="A3" s="11" t="inlineStr">
        <is>
          <t>Tier</t>
        </is>
      </c>
      <c r="B3" s="11" t="inlineStr">
        <is>
          <t># Workers</t>
        </is>
      </c>
      <c r="C3" s="11" t="inlineStr">
        <is>
          <t>Hours</t>
        </is>
      </c>
      <c r="D3" s="11" t="inlineStr">
        <is>
          <t>Labor $</t>
        </is>
      </c>
      <c r="E3" s="11" t="inlineStr">
        <is>
          <t>% of Hours</t>
        </is>
      </c>
    </row>
    <row r="4">
      <c r="A4" s="10" t="inlineStr">
        <is>
          <t>LEAD/SUPERVISOR</t>
        </is>
      </c>
      <c r="B4" s="4" t="n">
        <v>32</v>
      </c>
      <c r="C4" s="16" t="n">
        <v>21585</v>
      </c>
      <c r="D4" s="5" t="n">
        <v>1060576</v>
      </c>
      <c r="E4" s="12">
        <f>IFERROR(C4/SUM(C$4:C$7),0)</f>
        <v/>
      </c>
    </row>
    <row r="5">
      <c r="A5" s="10" t="inlineStr">
        <is>
          <t>JOURNEYMAN</t>
        </is>
      </c>
      <c r="B5" s="4" t="n">
        <v>44</v>
      </c>
      <c r="C5" s="16" t="n">
        <v>18727</v>
      </c>
      <c r="D5" s="5" t="n">
        <v>479422</v>
      </c>
      <c r="E5" s="12">
        <f>IFERROR(C5/SUM(C$4:C$7),0)</f>
        <v/>
      </c>
    </row>
    <row r="6">
      <c r="A6" s="10" t="inlineStr">
        <is>
          <t>APPRENTICE/HELPER</t>
        </is>
      </c>
      <c r="B6" s="4" t="n">
        <v>1</v>
      </c>
      <c r="C6" s="16" t="n">
        <v>656</v>
      </c>
      <c r="D6" s="5" t="n">
        <v>12672</v>
      </c>
      <c r="E6" s="12">
        <f>IFERROR(C6/SUM(C$4:C$7),0)</f>
        <v/>
      </c>
    </row>
    <row r="7">
      <c r="A7" s="10" t="inlineStr">
        <is>
          <t>OT-ONLY</t>
        </is>
      </c>
      <c r="B7" s="4" t="n">
        <v>2</v>
      </c>
      <c r="C7" s="16" t="n">
        <v>12</v>
      </c>
      <c r="D7" s="5" t="n">
        <v>684</v>
      </c>
      <c r="E7" s="12">
        <f>IFERROR(C7/SUM(C$4:C$7),0)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" t="inlineStr">
        <is>
          <t>Productivity Metrics</t>
        </is>
      </c>
    </row>
    <row r="3">
      <c r="A3" s="4" t="inlineStr">
        <is>
          <t>Total labor hours (to date)</t>
        </is>
      </c>
      <c r="B3" s="16" t="n">
        <v>40980</v>
      </c>
    </row>
    <row r="4">
      <c r="A4" s="4" t="inlineStr">
        <is>
          <t>Active workers</t>
        </is>
      </c>
      <c r="B4" s="18" t="n">
        <v>79</v>
      </c>
    </row>
    <row r="5">
      <c r="A5" s="4" t="inlineStr">
        <is>
          <t>Hours per unit (to date)</t>
        </is>
      </c>
      <c r="B5" s="16" t="n">
        <v>241.1</v>
      </c>
    </row>
    <row r="6">
      <c r="A6" s="4" t="inlineStr">
        <is>
          <t>Revenue per labor hour (billed)</t>
        </is>
      </c>
      <c r="B6" s="19" t="n">
        <v>168.81</v>
      </c>
    </row>
    <row r="7">
      <c r="A7" s="4" t="inlineStr">
        <is>
          <t>Percent complete</t>
        </is>
      </c>
      <c r="B7" s="20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Portfolio Benchmarks (vs. closed jobs)</t>
        </is>
      </c>
    </row>
    <row r="3">
      <c r="A3" s="11" t="inlineStr">
        <is>
          <t>Metric</t>
        </is>
      </c>
      <c r="B3" s="11" t="inlineStr">
        <is>
          <t>This Job</t>
        </is>
      </c>
      <c r="C3" s="11" t="inlineStr">
        <is>
          <t>Portfolio Median</t>
        </is>
      </c>
      <c r="D3" s="11" t="inlineStr">
        <is>
          <t>Delta</t>
        </is>
      </c>
    </row>
    <row r="4">
      <c r="A4" s="4" t="inlineStr">
        <is>
          <t>Forecast margin %</t>
        </is>
      </c>
      <c r="B4" s="20" t="n">
        <v>0.2501649769661912</v>
      </c>
      <c r="C4" s="20" t="n">
        <v>0.34</v>
      </c>
      <c r="D4" s="12">
        <f>B4-C4</f>
        <v/>
      </c>
    </row>
    <row r="5">
      <c r="A5" s="4" t="inlineStr">
        <is>
          <t>Roughin labor share (code 120)</t>
        </is>
      </c>
      <c r="B5" s="20" t="n">
        <v>0.5945711919701661</v>
      </c>
      <c r="C5" s="20" t="n">
        <v>0.45</v>
      </c>
      <c r="D5" s="12">
        <f>B5-C5</f>
        <v/>
      </c>
    </row>
    <row r="6">
      <c r="A6" s="4" t="inlineStr">
        <is>
          <t>Top vendor concentration</t>
        </is>
      </c>
      <c r="B6" s="20" t="n">
        <v>0.3516123448900249</v>
      </c>
      <c r="C6" s="20" t="n">
        <v>0.38</v>
      </c>
      <c r="D6" s="12">
        <f>B6-C6</f>
        <v/>
      </c>
    </row>
    <row r="7">
      <c r="A7" s="4" t="inlineStr">
        <is>
          <t>Hours per unit</t>
        </is>
      </c>
      <c r="B7" s="16" t="n">
        <v>241.0588235294118</v>
      </c>
      <c r="C7" s="16" t="n">
        <v>95</v>
      </c>
      <c r="D7" s="21">
        <f>B7-C7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44" customWidth="1" min="3" max="3"/>
  </cols>
  <sheetData>
    <row r="1">
      <c r="A1" s="1" t="inlineStr">
        <is>
          <t>Predictive Signals (live project)</t>
        </is>
      </c>
    </row>
    <row r="3">
      <c r="A3" s="11" t="inlineStr">
        <is>
          <t>Signal</t>
        </is>
      </c>
      <c r="B3" s="11" t="inlineStr">
        <is>
          <t>Status</t>
        </is>
      </c>
      <c r="C3" s="11" t="inlineStr">
        <is>
          <t>Notes</t>
        </is>
      </c>
    </row>
    <row r="4">
      <c r="A4" s="4" t="inlineStr">
        <is>
          <t>Finish Labor (130) over revised</t>
        </is>
      </c>
      <c r="B4" s="22" t="inlineStr">
        <is>
          <t>⚠ WATCH</t>
        </is>
      </c>
      <c r="C4" s="4" t="inlineStr">
        <is>
          <t>Actual $222,921 vs revised $197,570 (+13%) — monitor</t>
        </is>
      </c>
    </row>
    <row r="5">
      <c r="A5" s="4" t="inlineStr">
        <is>
          <t>Gas Labor (140) CRITICAL overrun</t>
        </is>
      </c>
      <c r="B5" s="22" t="inlineStr">
        <is>
          <t>⚠ WATCH</t>
        </is>
      </c>
      <c r="C5" s="4" t="inlineStr">
        <is>
          <t>Actual $23,970 vs revised $13,400 (+79%) — needs immediate attention</t>
        </is>
      </c>
    </row>
    <row r="6">
      <c r="A6" s="4" t="inlineStr">
        <is>
          <t>Mech Room Labor (142) over revised</t>
        </is>
      </c>
      <c r="B6" s="22" t="inlineStr">
        <is>
          <t>⚠ WATCH</t>
        </is>
      </c>
      <c r="C6" s="4" t="inlineStr">
        <is>
          <t>Actual $80,791 vs revised $65,600 (+23%) — monitor</t>
        </is>
      </c>
    </row>
    <row r="7">
      <c r="A7" s="4" t="inlineStr">
        <is>
          <t>Warranty Labor (150) unbudgeted</t>
        </is>
      </c>
      <c r="B7" s="22" t="inlineStr">
        <is>
          <t>⚠ WATCH</t>
        </is>
      </c>
      <c r="C7" s="4" t="inlineStr">
        <is>
          <t>No revised budget but $26,716 actual spend — needs CO or budget transfer</t>
        </is>
      </c>
    </row>
    <row r="8">
      <c r="A8" s="4" t="inlineStr">
        <is>
          <t>Underground Material (210) over revised</t>
        </is>
      </c>
      <c r="B8" s="22" t="inlineStr">
        <is>
          <t>⚠ WATCH</t>
        </is>
      </c>
      <c r="C8" s="4" t="inlineStr">
        <is>
          <t>Actual $101,624 vs revised $85,650 (+19%) — monitor</t>
        </is>
      </c>
    </row>
    <row r="9">
      <c r="A9" s="4" t="inlineStr">
        <is>
          <t>Top vendor concentration (Keller Supply Compan)</t>
        </is>
      </c>
      <c r="B9" s="23" t="inlineStr">
        <is>
          <t>✓ OK</t>
        </is>
      </c>
      <c r="C9" s="4" t="inlineStr">
        <is>
          <t>35% of AP ($580,996) — acceptable</t>
        </is>
      </c>
    </row>
    <row r="10">
      <c r="A10" s="4" t="inlineStr">
        <is>
          <t>Retention aging</t>
        </is>
      </c>
      <c r="B10" s="23" t="inlineStr">
        <is>
          <t>✓ OK</t>
        </is>
      </c>
      <c r="C10" s="4" t="inlineStr">
        <is>
          <t>$345,898 held · 5.0% of billed · standard range</t>
        </is>
      </c>
    </row>
    <row r="11">
      <c r="A11" s="4" t="inlineStr">
        <is>
          <t>Forecast margin</t>
        </is>
      </c>
      <c r="B11" s="23" t="inlineStr">
        <is>
          <t>✓ OK</t>
        </is>
      </c>
      <c r="C11" s="4" t="inlineStr">
        <is>
          <t>25.0% forecast margin — monitor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JDR Reconciliation</t>
        </is>
      </c>
    </row>
    <row r="3">
      <c r="A3" s="11" t="inlineStr">
        <is>
          <t>Source</t>
        </is>
      </c>
      <c r="B3" s="11" t="inlineStr">
        <is>
          <t>Reported</t>
        </is>
      </c>
      <c r="C3" s="11" t="inlineStr">
        <is>
          <t>Calculated</t>
        </is>
      </c>
      <c r="D3" s="11" t="inlineStr">
        <is>
          <t>Delta</t>
        </is>
      </c>
    </row>
    <row r="4">
      <c r="A4" s="4" t="inlineStr">
        <is>
          <t>Total expenses (from code totals)</t>
        </is>
      </c>
      <c r="B4" s="5" t="n">
        <v>4073043.39</v>
      </c>
      <c r="C4" s="5" t="n">
        <v>4073043.39</v>
      </c>
      <c r="D4" s="9">
        <f>IF(ISNUMBER(B4),B4-C4,"—")</f>
        <v/>
      </c>
    </row>
    <row r="5">
      <c r="A5" s="4" t="inlineStr">
        <is>
          <t>Revenue billed (AR ·-1)</t>
        </is>
      </c>
      <c r="B5" s="5" t="n">
        <v>-6917965.74</v>
      </c>
      <c r="C5" s="5" t="n">
        <v>6906115.74</v>
      </c>
      <c r="D5" s="9">
        <f>IF(ISNUMBER(B5),B5-C5,"—")</f>
        <v/>
      </c>
    </row>
    <row r="6">
      <c r="A6" s="4" t="inlineStr">
        <is>
          <t>AP source total</t>
        </is>
      </c>
      <c r="C6" s="5" t="n">
        <v>1652638.19</v>
      </c>
      <c r="D6" s="9">
        <f>IF(ISNUMBER(B6),B6-C6,"—")</f>
        <v/>
      </c>
    </row>
    <row r="7">
      <c r="A7" s="4" t="inlineStr">
        <is>
          <t>PR source total</t>
        </is>
      </c>
      <c r="C7" s="5" t="n">
        <v>2334399.23</v>
      </c>
      <c r="D7" s="9">
        <f>IF(ISNUMBER(B7),B7-C7,"—")</f>
        <v/>
      </c>
    </row>
    <row r="8">
      <c r="A8" s="4" t="inlineStr">
        <is>
          <t>GL source total</t>
        </is>
      </c>
      <c r="C8" s="5" t="n">
        <v>74155.97</v>
      </c>
      <c r="D8" s="9">
        <f>IF(ISNUMBER(B8),B8-C8,"—")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50" customWidth="1" min="3" max="3"/>
  </cols>
  <sheetData>
    <row r="1">
      <c r="A1" s="1" t="inlineStr">
        <is>
          <t>Metric Registry</t>
        </is>
      </c>
    </row>
    <row r="3">
      <c r="A3" s="11" t="inlineStr">
        <is>
          <t>Metric</t>
        </is>
      </c>
      <c r="B3" s="11" t="inlineStr">
        <is>
          <t>Source Tab</t>
        </is>
      </c>
      <c r="C3" s="11" t="inlineStr">
        <is>
          <t>Definition</t>
        </is>
      </c>
    </row>
    <row r="4">
      <c r="A4" s="24" t="inlineStr">
        <is>
          <t>Forecast margin %</t>
        </is>
      </c>
      <c r="B4" s="24" t="inlineStr">
        <is>
          <t>01 Overview</t>
        </is>
      </c>
      <c r="C4" s="24" t="inlineStr">
        <is>
          <t>Forecast net profit / Revised contract value</t>
        </is>
      </c>
    </row>
    <row r="5">
      <c r="A5" s="24" t="inlineStr">
        <is>
          <t>Percent complete</t>
        </is>
      </c>
      <c r="B5" s="24" t="inlineStr">
        <is>
          <t>01 Overview</t>
        </is>
      </c>
      <c r="C5" s="24" t="inlineStr">
        <is>
          <t>Billed to date / Revised contract value</t>
        </is>
      </c>
    </row>
    <row r="6">
      <c r="A6" s="24" t="inlineStr">
        <is>
          <t>Roughin labor share</t>
        </is>
      </c>
      <c r="B6" s="24" t="inlineStr">
        <is>
          <t>06 Cost Codes</t>
        </is>
      </c>
      <c r="C6" s="24" t="inlineStr">
        <is>
          <t>Code 120 revised / Total labor revised budget</t>
        </is>
      </c>
    </row>
    <row r="7">
      <c r="A7" s="24" t="inlineStr">
        <is>
          <t>Top vendor concentration</t>
        </is>
      </c>
      <c r="B7" s="24" t="inlineStr">
        <is>
          <t>09 Vendor Analysis</t>
        </is>
      </c>
      <c r="C7" s="24" t="inlineStr">
        <is>
          <t>Largest single vendor AP spend / Total AP</t>
        </is>
      </c>
    </row>
    <row r="8">
      <c r="A8" s="24" t="inlineStr">
        <is>
          <t>Hours per unit</t>
        </is>
      </c>
      <c r="B8" s="24" t="inlineStr">
        <is>
          <t>12 Productivity</t>
        </is>
      </c>
      <c r="C8" s="24" t="inlineStr">
        <is>
          <t>Total PR hours to date / Unit count</t>
        </is>
      </c>
    </row>
    <row r="9">
      <c r="A9" s="24" t="inlineStr">
        <is>
          <t>BVA status codes</t>
        </is>
      </c>
      <c r="B9" s="24" t="inlineStr">
        <is>
          <t>08 BVA</t>
        </is>
      </c>
      <c r="C9" s="24" t="inlineStr">
        <is>
          <t>OVER / CRITICAL / UNDER / ON / UNBUDGETED on revised basis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50" customWidth="1" min="3" max="3"/>
  </cols>
  <sheetData>
    <row r="1">
      <c r="A1" s="1" t="inlineStr">
        <is>
          <t>Workbook Change Log</t>
        </is>
      </c>
    </row>
    <row r="3">
      <c r="A3" s="11" t="inlineStr">
        <is>
          <t>Date</t>
        </is>
      </c>
      <c r="B3" s="11" t="inlineStr">
        <is>
          <t>Version</t>
        </is>
      </c>
      <c r="C3" s="11" t="inlineStr">
        <is>
          <t>Note</t>
        </is>
      </c>
    </row>
    <row r="4">
      <c r="A4" s="4" t="inlineStr">
        <is>
          <t>2026-04-23</t>
        </is>
      </c>
      <c r="B4" s="4" t="inlineStr">
        <is>
          <t>v1.0 · live</t>
        </is>
      </c>
      <c r="C4" s="4" t="inlineStr">
        <is>
          <t>Initial build for #2098 live project. 17-tab JCR schema on revised budget basis.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2026-04-24T01:42:56Z</dcterms:created>
  <dcterms:modified xmlns:dcterms="http://purl.org/dc/terms/" xmlns:xsi="http://www.w3.org/2001/XMLSchema-instance" xsi:type="dcterms:W3CDTF">2026-04-24T01:42:56Z</dcterms:modified>
</cp:coreProperties>
</file>