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Overview" sheetId="1" state="visible" r:id="rId3"/>
    <sheet name="02 Job Info" sheetId="2" state="visible" r:id="rId4"/>
    <sheet name="03 Contract" sheetId="3" state="visible" r:id="rId5"/>
    <sheet name="04 SOV-PayApps" sheetId="4" state="visible" r:id="rId6"/>
    <sheet name="05 Change Orders" sheetId="5" state="visible" r:id="rId7"/>
    <sheet name="06 Cost Codes" sheetId="6" state="visible" r:id="rId8"/>
    <sheet name="07 Cost Categories" sheetId="7" state="visible" r:id="rId9"/>
    <sheet name="08 BVA" sheetId="8" state="visible" r:id="rId10"/>
    <sheet name="09 Vendor Analysis" sheetId="9" state="visible" r:id="rId11"/>
    <sheet name="10 Crew Roster" sheetId="10" state="visible" r:id="rId12"/>
    <sheet name="11 Wage Tiers" sheetId="11" state="visible" r:id="rId13"/>
    <sheet name="12 Productivity" sheetId="12" state="visible" r:id="rId14"/>
    <sheet name="13 Benchmarks" sheetId="13" state="visible" r:id="rId15"/>
    <sheet name="14 Predictive Signals" sheetId="14" state="visible" r:id="rId16"/>
    <sheet name="15 Reconciliation" sheetId="15" state="visible" r:id="rId17"/>
    <sheet name="16 Metric Registry" sheetId="16" state="visible" r:id="rId18"/>
    <sheet name="17 Change Lo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<sst xmlns="http://schemas.openxmlformats.org/spreadsheetml/2006/main" count="641" uniqueCount="456">
  <si>
    <t xml:space="preserve">OWP #2051 · Vail Apartments</t>
  </si>
  <si>
    <t xml:space="preserve">Compass · 163 units · Live / in-progress</t>
  </si>
  <si>
    <t xml:space="preserve">Forecast at Completion (Revised Basis)</t>
  </si>
  <si>
    <t xml:space="preserve">Revised contract value</t>
  </si>
  <si>
    <t xml:space="preserve">Revised budget (expenses)</t>
  </si>
  <si>
    <t xml:space="preserve">Forecast net profit</t>
  </si>
  <si>
    <t xml:space="preserve">Forecast margin</t>
  </si>
  <si>
    <t xml:space="preserve">Progress to Date</t>
  </si>
  <si>
    <t xml:space="preserve">Work complete (billed)</t>
  </si>
  <si>
    <t xml:space="preserve">Retention held</t>
  </si>
  <si>
    <t xml:space="preserve">Earned less retention</t>
  </si>
  <si>
    <t xml:space="preserve">Balance to finish</t>
  </si>
  <si>
    <t xml:space="preserve">Percent complete</t>
  </si>
  <si>
    <t xml:space="preserve">Transaction Totals by Source</t>
  </si>
  <si>
    <t xml:space="preserve">Source</t>
  </si>
  <si>
    <t xml:space="preserve">Dollars</t>
  </si>
  <si>
    <t xml:space="preserve">GL</t>
  </si>
  <si>
    <t xml:space="preserve">AP</t>
  </si>
  <si>
    <t xml:space="preserve">PR</t>
  </si>
  <si>
    <t xml:space="preserve">AR</t>
  </si>
  <si>
    <t xml:space="preserve">JOB #2051 · COMPASS · VAIL APARTMENTS — FULL PROJECT INFORMATION</t>
  </si>
  <si>
    <t xml:space="preserve">Sourced from executed subcontract (18-0622-0500) + GDrive folder scan + dashboard PROJECT_TEAMS</t>
  </si>
  <si>
    <t xml:space="preserve">IDENTITY</t>
  </si>
  <si>
    <t xml:space="preserve">OWP Job ID</t>
  </si>
  <si>
    <t xml:space="preserve">2051</t>
  </si>
  <si>
    <t xml:space="preserve">Project Name</t>
  </si>
  <si>
    <t xml:space="preserve">Vail Apartments</t>
  </si>
  <si>
    <t xml:space="preserve">Project Name (full)</t>
  </si>
  <si>
    <t xml:space="preserve">Centerpoint Mixed-Use (Vail Apartments)</t>
  </si>
  <si>
    <t xml:space="preserve">Subcontract Number</t>
  </si>
  <si>
    <t xml:space="preserve">18-0622-0500</t>
  </si>
  <si>
    <t xml:space="preserve">Effective Date</t>
  </si>
  <si>
    <t xml:space="preserve">August 14, 2018</t>
  </si>
  <si>
    <t xml:space="preserve">Site Address</t>
  </si>
  <si>
    <t xml:space="preserve">17962 Midvale Avenue N, Shoreline, WA 98136</t>
  </si>
  <si>
    <t xml:space="preserve">City / State / ZIP</t>
  </si>
  <si>
    <t xml:space="preserve">Shoreline, WA 98136</t>
  </si>
  <si>
    <t xml:space="preserve">⚠ Dashboard fix needed</t>
  </si>
  <si>
    <t xml:space="preserve">PROJECTS['2051'].location currently reads 'Bellevue area, WA' — should be 'Shoreline, WA' per executed contract</t>
  </si>
  <si>
    <t xml:space="preserve">PROJECT TEAM — GENERAL CONTRACTOR</t>
  </si>
  <si>
    <t xml:space="preserve">GC Legal Name</t>
  </si>
  <si>
    <t xml:space="preserve">Compass General Construction I, LLC</t>
  </si>
  <si>
    <t xml:space="preserve">GC Address</t>
  </si>
  <si>
    <t xml:space="preserve">733 7th Avenue, Suite 212, Kirkland, WA 98033</t>
  </si>
  <si>
    <t xml:space="preserve">GC Phone</t>
  </si>
  <si>
    <t xml:space="preserve">(206) 320-8741</t>
  </si>
  <si>
    <t xml:space="preserve">GC Fax</t>
  </si>
  <si>
    <t xml:space="preserve">(206) 323-4719</t>
  </si>
  <si>
    <t xml:space="preserve">GC Contract Signatory</t>
  </si>
  <si>
    <t xml:space="preserve">Ryan Ames, Vice President</t>
  </si>
  <si>
    <t xml:space="preserve">GC Project Manager</t>
  </si>
  <si>
    <t xml:space="preserve">Justin Anderson</t>
  </si>
  <si>
    <t xml:space="preserve">GC Superintendent</t>
  </si>
  <si>
    <t xml:space="preserve">Will Fenton</t>
  </si>
  <si>
    <t xml:space="preserve">GC Project Engineer</t>
  </si>
  <si>
    <t xml:space="preserve">Jeff Seeb</t>
  </si>
  <si>
    <t xml:space="preserve">PROJECT TEAM — OWP (SUBCONTRACTOR)</t>
  </si>
  <si>
    <t xml:space="preserve">OWP Legal Name</t>
  </si>
  <si>
    <t xml:space="preserve">Oneway Plumbing, LLC</t>
  </si>
  <si>
    <t xml:space="preserve">OWP Address</t>
  </si>
  <si>
    <t xml:space="preserve">127 10th Street South, Suite 200, Kirkland, WA 98033</t>
  </si>
  <si>
    <t xml:space="preserve">OWP Phone</t>
  </si>
  <si>
    <t xml:space="preserve">425-968-8314</t>
  </si>
  <si>
    <t xml:space="preserve">OWP Contract Signatory</t>
  </si>
  <si>
    <t xml:space="preserve">Richard Donelson, Vice President</t>
  </si>
  <si>
    <t xml:space="preserve">OWP Subcontractor Rep</t>
  </si>
  <si>
    <t xml:space="preserve">Richard Donelson</t>
  </si>
  <si>
    <t xml:space="preserve">OWP RI Foreman</t>
  </si>
  <si>
    <t xml:space="preserve">Bob</t>
  </si>
  <si>
    <t xml:space="preserve">OWP License #</t>
  </si>
  <si>
    <t xml:space="preserve">ONEWAWP895BU (renewal cycle; original expired 1/31/2019)</t>
  </si>
  <si>
    <t xml:space="preserve">OWP Federal Tax ID</t>
  </si>
  <si>
    <t xml:space="preserve">27-4605928</t>
  </si>
  <si>
    <t xml:space="preserve">OWP Unemployment ID</t>
  </si>
  <si>
    <t xml:space="preserve">42342900</t>
  </si>
  <si>
    <t xml:space="preserve">OWP Worker's Comp ID</t>
  </si>
  <si>
    <t xml:space="preserve">207548-00</t>
  </si>
  <si>
    <t xml:space="preserve">PROJECT TEAM — OWNER</t>
  </si>
  <si>
    <t xml:space="preserve">Owner Legal Name</t>
  </si>
  <si>
    <t xml:space="preserve">AAA Management, LLC dba ADC Ridge at Sun Valley</t>
  </si>
  <si>
    <t xml:space="preserve">Owner Address</t>
  </si>
  <si>
    <t xml:space="preserve">1450 Frazee Road, Suite 414, San Diego, CA 92108</t>
  </si>
  <si>
    <t xml:space="preserve">Owner Short Name</t>
  </si>
  <si>
    <t xml:space="preserve">AAA Management</t>
  </si>
  <si>
    <t xml:space="preserve">PROJECT TEAM — DESIGN</t>
  </si>
  <si>
    <t xml:space="preserve">MEP / Plumbing Engineer</t>
  </si>
  <si>
    <t xml:space="preserve">Franklin Engineering</t>
  </si>
  <si>
    <t xml:space="preserve">Architect</t>
  </si>
  <si>
    <t xml:space="preserve">TBD (not in dashboard) — see Plans folder</t>
  </si>
  <si>
    <t xml:space="preserve">Structural Engineer</t>
  </si>
  <si>
    <t xml:space="preserve">TBD</t>
  </si>
  <si>
    <t xml:space="preserve">Civil Engineer</t>
  </si>
  <si>
    <t xml:space="preserve">INSURANCE &amp; BONDING</t>
  </si>
  <si>
    <t xml:space="preserve">Insurance Type</t>
  </si>
  <si>
    <t xml:space="preserve">Not Wrap (OWP carries own CGL/WC)</t>
  </si>
  <si>
    <t xml:space="preserve">Insurance Carrier</t>
  </si>
  <si>
    <t xml:space="preserve">Hub International / Liberty Mutual</t>
  </si>
  <si>
    <t xml:space="preserve">Insurance Policy #</t>
  </si>
  <si>
    <t xml:space="preserve">BKA 17 55850721</t>
  </si>
  <si>
    <t xml:space="preserve">CONTRACT &amp; FINANCIALS</t>
  </si>
  <si>
    <t xml:space="preserve">Original Contract</t>
  </si>
  <si>
    <t xml:space="preserve">$2,672,000</t>
  </si>
  <si>
    <t xml:space="preserve">Final Contract</t>
  </si>
  <si>
    <t xml:space="preserve">$2,588,280</t>
  </si>
  <si>
    <t xml:space="preserve">Net Change Orders</t>
  </si>
  <si>
    <t xml:space="preserve">($83,720) net — credit-net posture (-3.1%)</t>
  </si>
  <si>
    <t xml:space="preserve">Retention Percentage</t>
  </si>
  <si>
    <t xml:space="preserve">5% per Article 7.2.2</t>
  </si>
  <si>
    <t xml:space="preserve">Retention Held</t>
  </si>
  <si>
    <t xml:space="preserve">$126,114 (still held per JDR 04/03/2026, 7+ yrs aged)</t>
  </si>
  <si>
    <t xml:space="preserve">Schedule</t>
  </si>
  <si>
    <t xml:space="preserve">March 2018 (subcontract effective 8/14/2018) → Closed (retention release pending — 2023) · ~22 months field + retention tail</t>
  </si>
  <si>
    <t xml:space="preserve">SCOPE &amp; FIXTURES (per Job Ticket 3-4-2020)</t>
  </si>
  <si>
    <t xml:space="preserve">Plumbing Units</t>
  </si>
  <si>
    <t xml:space="preserve">Resident Unit Trim</t>
  </si>
  <si>
    <t xml:space="preserve">191 toilets + 17 ADA + 192 lavs Type B + 153 SS sinks (Ruvati RVH7400) + 11 ADA SS sinks (Elkay ELUHAD211550) + 202 tub/shower stalls (Fibercare ET60-32RT-HC-80S L/R) + 208 Delta 559LF-PP faucets + 14 amenity fixtures + 4 Bock OptiTherm OT-300N-A water heaters + 2 Lawler 805 master mixing valves + 2 backflow preventers + 1 booster package + 13 Watts RD25 roof drains + 21 Watts FD33 garage drains + 15 Watts FD15 floor drains</t>
  </si>
  <si>
    <t xml:space="preserve">Amenity Fixtures</t>
  </si>
  <si>
    <t xml:space="preserve">L3 amenity (1 dual lav, 1 SS sink, 1 hotsink), 2 Elkay drinking fountains w/bottle filler, 1 Forever Stainless ADA dog wash (60HTY-RH), 2 Mustee 63M mop sinks, 4 Moen garbage disposal push buttons (per CO #14), 1 coffee machine line</t>
  </si>
  <si>
    <t xml:space="preserve">Building Systems</t>
  </si>
  <si>
    <t xml:space="preserve">1 wvs/cw stub (retail), 1 common gas supply (4 water heaters + 2 rooftop HVAC + 2 BBQ + 2 firepit + L2 gas cooktop + L3 gas), 1 fireplace L2, 1 yard hydrant rooftop, 4 hosebibs garage mech rooms, 10 ext keyless hose bibs, 1 trash room hot/cold hose bib</t>
  </si>
  <si>
    <t xml:space="preserve">Scope (design-build)</t>
  </si>
  <si>
    <t xml:space="preserve">Plumbing per CAD drawings — design-build per Article 4.7. Holdrite firestop sleeve system at post-tension decks.</t>
  </si>
  <si>
    <t xml:space="preserve">Scope EXCLUDES</t>
  </si>
  <si>
    <t xml:space="preserve">Shoreline plumbing, gas/boiler permits/plan review fees (by owner). Excavation/backfill/dewatering. Hoisting concrete basin. Foundation/footing drains. Storm detention piping. Pump systems for storm/sanitary drainage. Fire-rated tub/shower enclosures. Wash machine drain pans. Kitchen sink garbage disposals. Utility/unit meters.</t>
  </si>
  <si>
    <t xml:space="preserve">DOCUMENTS ON FILE (GDrive)</t>
  </si>
  <si>
    <t xml:space="preserve">Executed Contract</t>
  </si>
  <si>
    <t xml:space="preserve">One Way Plumbing - Vail Apartments Fully Executed Contract.pdf</t>
  </si>
  <si>
    <t xml:space="preserve">PSA Agreement</t>
  </si>
  <si>
    <t xml:space="preserve">One Way Plumbing - PSA Agreement - Final with exhibits - 2-20-18 - executed.pdf</t>
  </si>
  <si>
    <t xml:space="preserve">Insurance Requirements</t>
  </si>
  <si>
    <t xml:space="preserve">Vail Insurance Requirements.pdf</t>
  </si>
  <si>
    <t xml:space="preserve">Job Tickets</t>
  </si>
  <si>
    <t xml:space="preserve">14 ticket revisions (12-10-18 → 3-4-2020)</t>
  </si>
  <si>
    <t xml:space="preserve">Latest Ticket</t>
  </si>
  <si>
    <t xml:space="preserve">Vail Apartments job ticket 3-4-2020.pdf</t>
  </si>
  <si>
    <t xml:space="preserve">Change Orders (SCOs)</t>
  </si>
  <si>
    <t xml:space="preserve">17 files in Change Orders/CO's/</t>
  </si>
  <si>
    <t xml:space="preserve">CORs</t>
  </si>
  <si>
    <t xml:space="preserve">7 numbered CORs in Change Orders/COR's/</t>
  </si>
  <si>
    <t xml:space="preserve">RFIs</t>
  </si>
  <si>
    <t xml:space="preserve">120+ (RFI 95, 99, 106, 109, 113, 117, 119, 120, 121, ..., 143)</t>
  </si>
  <si>
    <t xml:space="preserve">ASIs</t>
  </si>
  <si>
    <t xml:space="preserve">1 (ASI 03 on file)</t>
  </si>
  <si>
    <t xml:space="preserve">Permits</t>
  </si>
  <si>
    <t xml:space="preserve">9 files in Permits/ — City of Shoreline #890-895 (Vail Apartments-Shoreline)</t>
  </si>
  <si>
    <t xml:space="preserve">Sub-Permits</t>
  </si>
  <si>
    <t xml:space="preserve">Boiler/PV Installation Permits HWT 1-4 + PV 1-2 issued 6-15-2020</t>
  </si>
  <si>
    <t xml:space="preserve">Plans/Photos/Submittals</t>
  </si>
  <si>
    <t xml:space="preserve">Plans / Photos / Submittals (full design set)</t>
  </si>
  <si>
    <t xml:space="preserve">Vendor Subfolders</t>
  </si>
  <si>
    <t xml:space="preserve">Brett Vail (sub contact), Franklin Vail Apartments (MEP design), RUVATI application.docx</t>
  </si>
  <si>
    <t xml:space="preserve">Delivery Instructions</t>
  </si>
  <si>
    <t xml:space="preserve">Vail Apartments Trucking.pdf (delivery instructions)</t>
  </si>
  <si>
    <t xml:space="preserve">FIXTURE SCHEDULE (verified from Job Ticket)</t>
  </si>
  <si>
    <t xml:space="preserve">Sourced from latest Job Ticket. Two totals shown: 'Main' = standard plumbing-engineering fixture schedule (toilets + lavs + tub/showers + kitchen sinks + drinking fountains + mop sinks + dog wash + coffee bar). 'Inclusive' adds appliance rough-ins (dishwasher + washer + icemaker) and matches the 2020 dashboard convention.</t>
  </si>
  <si>
    <t xml:space="preserve">Toilets (water closets)</t>
  </si>
  <si>
    <t xml:space="preserve">Lavs (lavatory sinks)</t>
  </si>
  <si>
    <t xml:space="preserve">Tub/showers + handshowers</t>
  </si>
  <si>
    <t xml:space="preserve">Kitchen sinks</t>
  </si>
  <si>
    <t xml:space="preserve">Drinking fountains</t>
  </si>
  <si>
    <t xml:space="preserve">Mop sinks</t>
  </si>
  <si>
    <t xml:space="preserve">Dog-wash sink</t>
  </si>
  <si>
    <t xml:space="preserve">MAIN FIXTURE TOTAL</t>
  </si>
  <si>
    <t xml:space="preserve">INCLUSIVE FIXTURE TOTAL (with appliance rough-ins)</t>
  </si>
  <si>
    <t xml:space="preserve">Main fixtures / unit: 4.93  ·  Inclusive / unit: 7.99</t>
  </si>
  <si>
    <t xml:space="preserve">Contract Summary</t>
  </si>
  <si>
    <t xml:space="preserve">Item</t>
  </si>
  <si>
    <t xml:space="preserve">Original</t>
  </si>
  <si>
    <t xml:space="preserve">Revised</t>
  </si>
  <si>
    <t xml:space="preserve">Delta</t>
  </si>
  <si>
    <t xml:space="preserve">Base construction contract</t>
  </si>
  <si>
    <t xml:space="preserve">Executed change orders (net)</t>
  </si>
  <si>
    <t xml:space="preserve">Total contract value</t>
  </si>
  <si>
    <t xml:space="preserve">Executed Change Orders</t>
  </si>
  <si>
    <t xml:space="preserve">CO #</t>
  </si>
  <si>
    <t xml:space="preserve">Description</t>
  </si>
  <si>
    <t xml:space="preserve">Amount</t>
  </si>
  <si>
    <t xml:space="preserve">Schedule of Values / Pay Application History</t>
  </si>
  <si>
    <t xml:space="preserve">STATEMENT OF VALUES — SUMMARY (from JDR + Contract)</t>
  </si>
  <si>
    <t xml:space="preserve">Final Contract Value</t>
  </si>
  <si>
    <t xml:space="preserve">Total Billed to Date</t>
  </si>
  <si>
    <t xml:space="preserve">Retention Held (5%)</t>
  </si>
  <si>
    <t xml:space="preserve">Net Paid to OWP</t>
  </si>
  <si>
    <t xml:space="preserve">Percent Complete</t>
  </si>
  <si>
    <t xml:space="preserve">100.0%</t>
  </si>
  <si>
    <t xml:space="preserve">PAY APPLICATION DETAIL — DATA GAP</t>
  </si>
  <si>
    <t xml:space="preserve">Per-pay-app history is not in 2051_data.json — the Sage parse rolls up to AR totals only. Full pay-app series lives in GDrive: 2051-Compass, Vail Apartments/Billing/. To populate this tab on a per-app basis, re-parse Billing/ folder PDFs and inject into 2051_data.json under a new 'pay_apps' array.</t>
  </si>
  <si>
    <t xml:space="preserve">Change Order Log</t>
  </si>
  <si>
    <t xml:space="preserve">EXECUTED CHANGE ORDERS (SCO) — SOURCE: GDRIVE/CHANGE ORDERS/CO's/</t>
  </si>
  <si>
    <t xml:space="preserve">#</t>
  </si>
  <si>
    <t xml:space="preserve">SCO ID</t>
  </si>
  <si>
    <t xml:space="preserve">Type</t>
  </si>
  <si>
    <t xml:space="preserve">Source File</t>
  </si>
  <si>
    <t xml:space="preserve">SCO 01</t>
  </si>
  <si>
    <t xml:space="preserve">Plumbing Alternates and Adjustments</t>
  </si>
  <si>
    <t xml:space="preserve">Field/Coord</t>
  </si>
  <si>
    <t xml:space="preserve">GDrive: Change Orders/CO's/</t>
  </si>
  <si>
    <t xml:space="preserve">SCO 02</t>
  </si>
  <si>
    <t xml:space="preserve">Firestopping</t>
  </si>
  <si>
    <t xml:space="preserve">SCO 03</t>
  </si>
  <si>
    <t xml:space="preserve">Alternate Plumbing Fixtures</t>
  </si>
  <si>
    <t xml:space="preserve">SCO 04</t>
  </si>
  <si>
    <t xml:space="preserve">Added Unit 330 and Common Areas</t>
  </si>
  <si>
    <t xml:space="preserve">Owner-Directed</t>
  </si>
  <si>
    <t xml:space="preserve">SCO 05</t>
  </si>
  <si>
    <t xml:space="preserve">Temp Gas Lines for Temp Heat (10ea POCs, levels 3-7)</t>
  </si>
  <si>
    <t xml:space="preserve">SCO 06</t>
  </si>
  <si>
    <t xml:space="preserve">ADA Sink Modification</t>
  </si>
  <si>
    <t xml:space="preserve">SCO 07</t>
  </si>
  <si>
    <t xml:space="preserve">Added Drinking Fountain</t>
  </si>
  <si>
    <t xml:space="preserve">SCO 08</t>
  </si>
  <si>
    <t xml:space="preserve">ADA Dog Wash Upgrade</t>
  </si>
  <si>
    <t xml:space="preserve">SCO 09</t>
  </si>
  <si>
    <t xml:space="preserve">L4 Roof Piping Retesting</t>
  </si>
  <si>
    <t xml:space="preserve">SCO 010</t>
  </si>
  <si>
    <t xml:space="preserve">(referenced — file on Drive)</t>
  </si>
  <si>
    <t xml:space="preserve">SCO 012</t>
  </si>
  <si>
    <t xml:space="preserve">Ruvati Sink Change (replaces previous SS sink spec)</t>
  </si>
  <si>
    <t xml:space="preserve">SCO 015</t>
  </si>
  <si>
    <t xml:space="preserve">Re-route Piping in Amenity Space</t>
  </si>
  <si>
    <t xml:space="preserve">SCO 017</t>
  </si>
  <si>
    <t xml:space="preserve">Replacement Sinks</t>
  </si>
  <si>
    <t xml:space="preserve">Misc</t>
  </si>
  <si>
    <t xml:space="preserve">Amenity Plumbing Fixture Upgrades</t>
  </si>
  <si>
    <t xml:space="preserve">Outdoor Kitchen Sink Change</t>
  </si>
  <si>
    <t xml:space="preserve">Owner Plumbing Modifications</t>
  </si>
  <si>
    <t xml:space="preserve">Remove Dishwasher Installation from Scope</t>
  </si>
  <si>
    <t xml:space="preserve">Closeout</t>
  </si>
  <si>
    <t xml:space="preserve">One Way Closeout Change Order</t>
  </si>
  <si>
    <t xml:space="preserve">Reconcil</t>
  </si>
  <si>
    <t xml:space="preserve">Vail – One-Way COP Log Reconciliation</t>
  </si>
  <si>
    <t xml:space="preserve">OPEN/SUBMITTED CHANGE ORDER REQUESTS (COR) — SOURCE: GDRIVE/CHANGE ORDERS/COR's/</t>
  </si>
  <si>
    <t xml:space="preserve">COR ID</t>
  </si>
  <si>
    <t xml:space="preserve">Status</t>
  </si>
  <si>
    <t xml:space="preserve">COR #01</t>
  </si>
  <si>
    <t xml:space="preserve">West Wall Foundation Drainage</t>
  </si>
  <si>
    <t xml:space="preserve">Submitted</t>
  </si>
  <si>
    <t xml:space="preserve">GDrive: Change Orders/COR's/</t>
  </si>
  <si>
    <t xml:space="preserve">COR #02</t>
  </si>
  <si>
    <t xml:space="preserve">Added Fixtures per BP Cycle 2 Corrections (revised r1)</t>
  </si>
  <si>
    <t xml:space="preserve">COR #03</t>
  </si>
  <si>
    <t xml:space="preserve">COR #04</t>
  </si>
  <si>
    <t xml:space="preserve">RFI-117 Move Piping for Retail Door to Garage</t>
  </si>
  <si>
    <t xml:space="preserve">COR #05</t>
  </si>
  <si>
    <t xml:space="preserve">RFI-143 Move Piping for Mail Room Wall Relocation</t>
  </si>
  <si>
    <t xml:space="preserve">COR #06</t>
  </si>
  <si>
    <t xml:space="preserve">IFC Plan Set Changes, Added Unit L3</t>
  </si>
  <si>
    <t xml:space="preserve">COR #07</t>
  </si>
  <si>
    <t xml:space="preserve">Alternate Fixtures</t>
  </si>
  <si>
    <t xml:space="preserve">NET CO IMPACT</t>
  </si>
  <si>
    <t xml:space="preserve">Net Dollar Impact</t>
  </si>
  <si>
    <t xml:space="preserve">($83,720) — credit-net (-3.1%)</t>
  </si>
  <si>
    <t xml:space="preserve">Posture</t>
  </si>
  <si>
    <t xml:space="preserve">Unusual: scope deletes (e.g. Remove Dishwasher Installation) net against scope adds (Unit 330, ADA Dog Wash, Drinking Fountain, etc.)</t>
  </si>
  <si>
    <t xml:space="preserve">Total Documented Events</t>
  </si>
  <si>
    <t xml:space="preserve">19 SCOs + 7 CORs = 26 change events</t>
  </si>
  <si>
    <t xml:space="preserve">Cost Code Detail (Revised Basis)</t>
  </si>
  <si>
    <t xml:space="preserve">Code</t>
  </si>
  <si>
    <t xml:space="preserve">Actual</t>
  </si>
  <si>
    <t xml:space="preserve">Variance</t>
  </si>
  <si>
    <t xml:space="preserve">Net Due</t>
  </si>
  <si>
    <t xml:space="preserve">% Complete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</si>
  <si>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</si>
  <si>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</si>
  <si>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</si>
  <si>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</si>
  <si>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</si>
  <si>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</si>
  <si>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</si>
  <si>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</si>
  <si>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</si>
  <si>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</si>
  <si>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</si>
  <si>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</si>
  <si>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</si>
  <si>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</si>
  <si>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</si>
  <si>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</si>
  <si>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</si>
  <si>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</si>
  <si>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</si>
  <si>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</si>
  <si>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143</t>
  </si>
  <si>
    <t xml:space="preserve">Condensation Drains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</si>
  <si>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</si>
  <si>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</si>
  <si>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</si>
  <si>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</si>
  <si>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</si>
  <si>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</si>
  <si>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</si>
  <si>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</si>
  <si>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</si>
  <si>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</si>
  <si>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</si>
  <si>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</si>
  <si>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</si>
  <si>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</si>
  <si>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</si>
  <si>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</si>
  <si>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243</t>
  </si>
  <si>
    <t xml:space="preserve">Condensation Drains Mat</t>
  </si>
  <si>
    <t xml:space="preserve">600</t>
  </si>
  <si>
    <t xml:space="preserve">Subcontractor</t>
  </si>
  <si>
    <t xml:space="preserve">601</t>
  </si>
  <si>
    <t xml:space="preserve">Engineering/Plans</t>
  </si>
  <si>
    <t xml:space="preserve">995</t>
  </si>
  <si>
    <t xml:space="preserve">Payroll Burden</t>
  </si>
  <si>
    <t xml:space="preserve">998</t>
  </si>
  <si>
    <t xml:space="preserve">Payroll Taxes</t>
  </si>
  <si>
    <t xml:space="preserve">TOTAL</t>
  </si>
  <si>
    <t xml:space="preserve">Cost Category Rollup</t>
  </si>
  <si>
    <t xml:space="preserve">Category</t>
  </si>
  <si>
    <t xml:space="preserve"># Codes</t>
  </si>
  <si>
    <t xml:space="preserve">Revised Budget</t>
  </si>
  <si>
    <t xml:space="preserve">Labor</t>
  </si>
  <si>
    <t xml:space="preserve">Material</t>
  </si>
  <si>
    <t xml:space="preserve">Overhead</t>
  </si>
  <si>
    <t xml:space="preserve">Burden</t>
  </si>
  <si>
    <t xml:space="preserve">Budget vs Actual — Flag list</t>
  </si>
  <si>
    <t xml:space="preserve">Revised budget is canonical basis. Flags: OVER &gt;10%, CRITICAL &gt;50%, ON ±10%, UNDER &lt;-10%.</t>
  </si>
  <si>
    <t xml:space="preserve">% Var</t>
  </si>
  <si>
    <t xml:space="preserve">Vendor Spend (AP source)</t>
  </si>
  <si>
    <t xml:space="preserve">Vendor</t>
  </si>
  <si>
    <t xml:space="preserve">Spend ($)</t>
  </si>
  <si>
    <t xml:space="preserve">Invoices</t>
  </si>
  <si>
    <t xml:space="preserve">% of Total AP</t>
  </si>
  <si>
    <t xml:space="preserve">Ferguson Enterprises, Inc. #3007</t>
  </si>
  <si>
    <t xml:space="preserve">Keller Supply Company</t>
  </si>
  <si>
    <t xml:space="preserve">Consolidated Supply Co.</t>
  </si>
  <si>
    <t xml:space="preserve">Rosen Supply Kirkland</t>
  </si>
  <si>
    <t xml:space="preserve">California Hydronics Corp</t>
  </si>
  <si>
    <t xml:space="preserve">Ruvita USA, Inc.</t>
  </si>
  <si>
    <t xml:space="preserve">Mechanical Firestop Services, LLC</t>
  </si>
  <si>
    <t xml:space="preserve">Capital One Credit Card</t>
  </si>
  <si>
    <t xml:space="preserve">Mechanical Resource Services, Inc.</t>
  </si>
  <si>
    <t xml:space="preserve">Quality Concrete Products, Inc. $32</t>
  </si>
  <si>
    <t xml:space="preserve">Core &amp; Main LP $HD Supply Waterworks</t>
  </si>
  <si>
    <t xml:space="preserve">Mechanical Sales, Inc.</t>
  </si>
  <si>
    <t xml:space="preserve">TOTAL AP</t>
  </si>
  <si>
    <t xml:space="preserve">Crew Roster (PR source)</t>
  </si>
  <si>
    <t xml:space="preserve">Worker</t>
  </si>
  <si>
    <t xml:space="preserve">Hours</t>
  </si>
  <si>
    <t xml:space="preserve">Labor $</t>
  </si>
  <si>
    <t xml:space="preserve">Avg $/hr</t>
  </si>
  <si>
    <t xml:space="preserve">Tier</t>
  </si>
  <si>
    <t xml:space="preserve">Boss, Kyle A</t>
  </si>
  <si>
    <t xml:space="preserve">APPRENTICE/HELPER</t>
  </si>
  <si>
    <t xml:space="preserve">Rodriguez Arevalos, Christian</t>
  </si>
  <si>
    <t xml:space="preserve">JOURNEYMAN</t>
  </si>
  <si>
    <t xml:space="preserve">Romero Garza, Jesus I</t>
  </si>
  <si>
    <t xml:space="preserve">Lopez, Maslin A</t>
  </si>
  <si>
    <t xml:space="preserve">Roberts, Lake A</t>
  </si>
  <si>
    <t xml:space="preserve">Ross, Kelli M</t>
  </si>
  <si>
    <t xml:space="preserve">LEAD/SUPERVISOR</t>
  </si>
  <si>
    <t xml:space="preserve">Wilson, Garret A</t>
  </si>
  <si>
    <t xml:space="preserve">Escalante Escobar, Boanerge</t>
  </si>
  <si>
    <t xml:space="preserve">Montenegro, Carlos E</t>
  </si>
  <si>
    <t xml:space="preserve">Jimenez Alvarenga, Gerson M</t>
  </si>
  <si>
    <t xml:space="preserve">Boss, Aaron J</t>
  </si>
  <si>
    <t xml:space="preserve">Boss, Benjamin T</t>
  </si>
  <si>
    <t xml:space="preserve">McCabe, Thomas C</t>
  </si>
  <si>
    <t xml:space="preserve">Amaya Gonzalez, Edilberto A</t>
  </si>
  <si>
    <t xml:space="preserve">Hubbard, Robert W</t>
  </si>
  <si>
    <t xml:space="preserve">Foster, Antonio T</t>
  </si>
  <si>
    <t xml:space="preserve">Quintanilla, Esteban R</t>
  </si>
  <si>
    <t xml:space="preserve">Sanders, Allen O</t>
  </si>
  <si>
    <t xml:space="preserve">Trower-Kelly, Fidel D</t>
  </si>
  <si>
    <t xml:space="preserve">Silva Morales, Jair J</t>
  </si>
  <si>
    <t xml:space="preserve">Cruz Guzman, Joel A</t>
  </si>
  <si>
    <t xml:space="preserve">Cruz Gonzalez, Julio C</t>
  </si>
  <si>
    <t xml:space="preserve">Barbosa, Michael S</t>
  </si>
  <si>
    <t xml:space="preserve">Gerard, Jeffrey S</t>
  </si>
  <si>
    <t xml:space="preserve">Lovo, German G</t>
  </si>
  <si>
    <t xml:space="preserve">Donelson, Richard T</t>
  </si>
  <si>
    <t xml:space="preserve">Cruz Reyes, Jose</t>
  </si>
  <si>
    <t xml:space="preserve">Ramos Herrera, Franklin J</t>
  </si>
  <si>
    <t xml:space="preserve">Rosas Olivares, Jorge C</t>
  </si>
  <si>
    <t xml:space="preserve">Paco Leyva, Orlando</t>
  </si>
  <si>
    <t xml:space="preserve">Rivera, Eli P</t>
  </si>
  <si>
    <t xml:space="preserve">Sepulveda Gonzalez, Alfredo</t>
  </si>
  <si>
    <t xml:space="preserve">Ascencio, Jose L</t>
  </si>
  <si>
    <t xml:space="preserve">Cornejo Orellana, Carlos E</t>
  </si>
  <si>
    <t xml:space="preserve">Eliassen, Cory H</t>
  </si>
  <si>
    <t xml:space="preserve">Vazquez Popoca, Jose N</t>
  </si>
  <si>
    <t xml:space="preserve">Castro Hernandez, Jose A</t>
  </si>
  <si>
    <t xml:space="preserve">Benites Portillo, Marvin E</t>
  </si>
  <si>
    <t xml:space="preserve">Gauthier, Dillon R</t>
  </si>
  <si>
    <t xml:space="preserve">Guerrero Espinoza, Mario</t>
  </si>
  <si>
    <t xml:space="preserve">Rivera, Jorge A</t>
  </si>
  <si>
    <t xml:space="preserve">Barnhart, Joseph N</t>
  </si>
  <si>
    <t xml:space="preserve">Waites, Thaddeus Z</t>
  </si>
  <si>
    <t xml:space="preserve">OT-ONLY</t>
  </si>
  <si>
    <t xml:space="preserve">Gerard, Jordan E</t>
  </si>
  <si>
    <t xml:space="preserve">Anderson, Richard P</t>
  </si>
  <si>
    <t xml:space="preserve">Wage Tier Distribution</t>
  </si>
  <si>
    <t xml:space="preserve"># Workers</t>
  </si>
  <si>
    <t xml:space="preserve">% of Hours</t>
  </si>
  <si>
    <t xml:space="preserve">Productivity Metrics</t>
  </si>
  <si>
    <t xml:space="preserve">Total labor hours (to date)</t>
  </si>
  <si>
    <t xml:space="preserve">Active workers</t>
  </si>
  <si>
    <t xml:space="preserve">Hours per unit (to date)</t>
  </si>
  <si>
    <t xml:space="preserve">Revenue per labor hour (billed)</t>
  </si>
  <si>
    <t xml:space="preserve">Portfolio Benchmarks (vs. closed jobs)</t>
  </si>
  <si>
    <t xml:space="preserve">Metric</t>
  </si>
  <si>
    <t xml:space="preserve">This Job</t>
  </si>
  <si>
    <t xml:space="preserve">Portfolio Median</t>
  </si>
  <si>
    <t xml:space="preserve">Forecast margin %</t>
  </si>
  <si>
    <t xml:space="preserve">Roughin labor share (code 120)</t>
  </si>
  <si>
    <t xml:space="preserve">Top vendor concentration</t>
  </si>
  <si>
    <t xml:space="preserve">Hours per unit</t>
  </si>
  <si>
    <t xml:space="preserve">Predictive Signals (live project)</t>
  </si>
  <si>
    <t xml:space="preserve">Signal</t>
  </si>
  <si>
    <t xml:space="preserve">Notes</t>
  </si>
  <si>
    <t xml:space="preserve">Finish Labor (130) over revised</t>
  </si>
  <si>
    <t xml:space="preserve">⚠ WATCH</t>
  </si>
  <si>
    <t xml:space="preserve">Actual $74,008 vs revised $59,314 (+25%) — monitor</t>
  </si>
  <si>
    <t xml:space="preserve">Top vendor concentration (Ferguson Enterprises)</t>
  </si>
  <si>
    <t xml:space="preserve">✓ OK</t>
  </si>
  <si>
    <t xml:space="preserve">18% of AP ($80,202) — acceptable</t>
  </si>
  <si>
    <t xml:space="preserve">Retention aging</t>
  </si>
  <si>
    <t xml:space="preserve">$126,114 held · 4.9% of billed · standard range</t>
  </si>
  <si>
    <t xml:space="preserve">32.0% forecast margin — healthy</t>
  </si>
  <si>
    <t xml:space="preserve">JDR Reconciliation</t>
  </si>
  <si>
    <t xml:space="preserve">Reported</t>
  </si>
  <si>
    <t xml:space="preserve">Calculated</t>
  </si>
  <si>
    <t xml:space="preserve">Total expenses (from code totals)</t>
  </si>
  <si>
    <t xml:space="preserve">Revenue billed (AR ·-1)</t>
  </si>
  <si>
    <t xml:space="preserve">AP source total</t>
  </si>
  <si>
    <t xml:space="preserve">PR source total</t>
  </si>
  <si>
    <t xml:space="preserve">GL source total</t>
  </si>
  <si>
    <t xml:space="preserve">Metric Registry</t>
  </si>
  <si>
    <t xml:space="preserve">Source Tab</t>
  </si>
  <si>
    <t xml:space="preserve">Definition</t>
  </si>
  <si>
    <t xml:space="preserve">01 Overview</t>
  </si>
  <si>
    <t xml:space="preserve">Forecast net profit / Revised contract value</t>
  </si>
  <si>
    <t xml:space="preserve">Billed to date / Revised contract value</t>
  </si>
  <si>
    <t xml:space="preserve">Roughin labor share</t>
  </si>
  <si>
    <t xml:space="preserve">06 Cost Codes</t>
  </si>
  <si>
    <t xml:space="preserve">Code 120 revised / Total labor revised budget</t>
  </si>
  <si>
    <t xml:space="preserve">09 Vendor Analysis</t>
  </si>
  <si>
    <t xml:space="preserve">Largest single vendor AP spend / Total AP</t>
  </si>
  <si>
    <t xml:space="preserve">12 Productivity</t>
  </si>
  <si>
    <t xml:space="preserve">Total PR hours to date / Unit count</t>
  </si>
  <si>
    <t xml:space="preserve">BVA status codes</t>
  </si>
  <si>
    <t xml:space="preserve">08 BVA</t>
  </si>
  <si>
    <t xml:space="preserve">OVER / CRITICAL / UNDER / ON / UNBUDGETED on revised basis</t>
  </si>
  <si>
    <t xml:space="preserve">Workbook Change Log</t>
  </si>
  <si>
    <t xml:space="preserve">Date</t>
  </si>
  <si>
    <t xml:space="preserve">Version</t>
  </si>
  <si>
    <t xml:space="preserve">Note</t>
  </si>
  <si>
    <t xml:space="preserve">2026-04-25</t>
  </si>
  <si>
    <t xml:space="preserve">v1.0 · live</t>
  </si>
  <si>
    <t xml:space="preserve">Initial build for #2051 live project. 17-tab JCR schema on revised budget basis.</t>
  </si>
  <si>
    <t xml:space="preserve">v1.1 · enriched</t>
  </si>
  <si>
    <t xml:space="preserve">Patched by enrich_2051.py: filled SOV-PayApps and Change Orders tabs (were empty), expanded Job Info from 13 rows to 60+ rows of key-players + contract + permit + fixture detail, flagged dashboard location typo (Bellevue area → Shoreline WA). Source: executed subcontract 18-0622-0500 + GDrive folder scan + dashboard PROJECT_TEAMS['2051'].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</si>
</sst>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"/>
    <numFmt numFmtId="168" formatCode="#,##0.0"/>
    <numFmt numFmtId="169" formatCode="\$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B29"/>
      <name val="Arial"/>
      <family val="0"/>
      <charset val="1"/>
    </font>
    <font>
      <i val="true"/>
      <sz val="9"/>
      <color rgb="FF70655C"/>
      <name val="Arial"/>
      <family val="0"/>
      <charset val="1"/>
    </font>
    <font>
      <b val="true"/>
      <sz val="12"/>
      <color rgb="FF2C2B29"/>
      <name val="Arial"/>
      <family val="0"/>
      <charset val="1"/>
    </font>
    <font>
      <sz val="10"/>
      <color rgb="FF2C2B2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2C2B29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0"/>
      <color rgb="FFB85C3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C2B29"/>
        <bgColor rgb="FF1F1F1F"/>
      </patternFill>
    </fill>
    <fill>
      <patternFill patternType="solid">
        <fgColor rgb="FFECF0F1"/>
        <bgColor rgb="FFFAFAFA"/>
      </patternFill>
    </fill>
    <fill>
      <patternFill patternType="solid">
        <fgColor rgb="FFFFF8E7"/>
        <bgColor rgb="FFFAFAFA"/>
      </patternFill>
    </fill>
    <fill>
      <patternFill patternType="solid">
        <fgColor rgb="FFFFF3CD"/>
        <bgColor rgb="FFFFF8E7"/>
      </patternFill>
    </fill>
    <fill>
      <patternFill patternType="solid">
        <fgColor rgb="FF2C3E50"/>
        <bgColor rgb="FF2C2B29"/>
      </patternFill>
    </fill>
    <fill>
      <patternFill patternType="solid">
        <fgColor rgb="FFFAFAFA"/>
        <bgColor rgb="FFFFFFFF"/>
      </patternFill>
    </fill>
    <fill>
      <patternFill patternType="solid">
        <fgColor rgb="FFE8CEC3"/>
        <bgColor rgb="FFD5D8DC"/>
      </patternFill>
    </fill>
    <fill>
      <patternFill patternType="solid">
        <fgColor rgb="FFD5DEC5"/>
        <bgColor rgb="FFD5D8D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BFB8AE"/>
      </left>
      <right style="thin">
        <color rgb="FFBFB8AE"/>
      </right>
      <top style="thin">
        <color rgb="FFBFB8AE"/>
      </top>
      <bottom style="thin">
        <color rgb="FFBFB8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8AE"/>
      <rgbColor rgb="FF70655C"/>
      <rgbColor rgb="FF9999FF"/>
      <rgbColor rgb="FFB85C3E"/>
      <rgbColor rgb="FFFFF3CD"/>
      <rgbColor rgb="FFECF0F1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D5DEC5"/>
      <rgbColor rgb="FFFFF8E7"/>
      <rgbColor rgb="FF99CCFF"/>
      <rgbColor rgb="FFFF99CC"/>
      <rgbColor rgb="FFCC99FF"/>
      <rgbColor rgb="FFE8CEC3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2C3E50"/>
      <rgbColor rgb="FF2C2B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8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2588279.5</v>
      </c>
    </row>
    <row r="6" customFormat="false" ht="15" hidden="false" customHeight="true" outlineLevel="0" collapsed="false">
      <c r="A6" s="5" t="s">
        <v>4</v>
      </c>
      <c r="B6" s="6" t="n">
        <v>1760397.22</v>
      </c>
    </row>
    <row r="7" customFormat="false" ht="15" hidden="false" customHeight="true" outlineLevel="0" collapsed="false">
      <c r="A7" s="5" t="s">
        <v>5</v>
      </c>
      <c r="B7" s="7" t="n">
        <f aca="false">B5-B6</f>
        <v>827882.28</v>
      </c>
    </row>
    <row r="8" customFormat="false" ht="15" hidden="false" customHeight="true" outlineLevel="0" collapsed="false">
      <c r="A8" s="5" t="s">
        <v>6</v>
      </c>
      <c r="B8" s="8" t="n">
        <f aca="false">IFERROR(B7/B5,0)</f>
        <v>0.319858145150089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5" t="s">
        <v>8</v>
      </c>
      <c r="B11" s="6" t="n">
        <v>2588280</v>
      </c>
    </row>
    <row r="12" customFormat="false" ht="15" hidden="false" customHeight="true" outlineLevel="0" collapsed="false">
      <c r="A12" s="5" t="s">
        <v>9</v>
      </c>
      <c r="B12" s="6" t="n">
        <v>126113.98</v>
      </c>
    </row>
    <row r="13" customFormat="false" ht="15" hidden="false" customHeight="true" outlineLevel="0" collapsed="false">
      <c r="A13" s="5" t="s">
        <v>10</v>
      </c>
      <c r="B13" s="7" t="n">
        <f aca="false">B11-B12</f>
        <v>2462166.02</v>
      </c>
    </row>
    <row r="14" customFormat="false" ht="15" hidden="false" customHeight="true" outlineLevel="0" collapsed="false">
      <c r="A14" s="5" t="s">
        <v>11</v>
      </c>
      <c r="B14" s="7" t="n">
        <f aca="false">B5-B11</f>
        <v>-0.5</v>
      </c>
    </row>
    <row r="15" customFormat="false" ht="15" hidden="false" customHeight="true" outlineLevel="0" collapsed="false">
      <c r="A15" s="5" t="s">
        <v>12</v>
      </c>
      <c r="B15" s="8" t="n">
        <f aca="false">IFERROR(B11/B5,0)</f>
        <v>1.00000019317852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9" t="s">
        <v>14</v>
      </c>
      <c r="B18" s="9" t="s">
        <v>15</v>
      </c>
    </row>
    <row r="19" customFormat="false" ht="15" hidden="false" customHeight="true" outlineLevel="0" collapsed="false">
      <c r="A19" s="5" t="s">
        <v>16</v>
      </c>
      <c r="B19" s="10" t="n">
        <v>32235.75</v>
      </c>
    </row>
    <row r="20" customFormat="false" ht="15" hidden="false" customHeight="true" outlineLevel="0" collapsed="false">
      <c r="A20" s="5" t="s">
        <v>17</v>
      </c>
      <c r="B20" s="10" t="n">
        <v>453330.32</v>
      </c>
    </row>
    <row r="21" customFormat="false" ht="15" hidden="false" customHeight="true" outlineLevel="0" collapsed="false">
      <c r="A21" s="5" t="s">
        <v>18</v>
      </c>
      <c r="B21" s="10" t="n">
        <v>809520.68</v>
      </c>
    </row>
    <row r="22" customFormat="false" ht="15" hidden="false" customHeight="true" outlineLevel="0" collapsed="false">
      <c r="A22" s="5" t="s">
        <v>19</v>
      </c>
      <c r="B22" s="10" t="n">
        <v>-2588279.5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0"/>
    <col collapsed="false" customWidth="true" hidden="false" outlineLevel="0" max="5" min="3" style="1" width="22"/>
    <col collapsed="false" customWidth="true" hidden="false" outlineLevel="0" max="6" min="6" style="1" width="24"/>
  </cols>
  <sheetData>
    <row r="1" customFormat="false" ht="17.25" hidden="false" customHeight="true" outlineLevel="0" collapsed="false">
      <c r="A1" s="11" t="s">
        <v>20</v>
      </c>
      <c r="B1" s="11"/>
      <c r="C1" s="11"/>
      <c r="D1" s="11"/>
      <c r="E1" s="11"/>
      <c r="F1" s="11"/>
    </row>
    <row r="2" customFormat="false" ht="15" hidden="false" customHeight="true" outlineLevel="0" collapsed="false">
      <c r="A2" s="12" t="s">
        <v>21</v>
      </c>
      <c r="B2" s="12"/>
      <c r="C2" s="12"/>
      <c r="D2" s="12"/>
      <c r="E2" s="12"/>
      <c r="F2" s="12"/>
    </row>
    <row r="3" customFormat="false" ht="15" hidden="false" customHeight="true" outlineLevel="0" collapsed="false">
      <c r="A3" s="13"/>
      <c r="B3" s="5"/>
    </row>
    <row r="4" customFormat="false" ht="15" hidden="false" customHeight="true" outlineLevel="0" collapsed="false">
      <c r="A4" s="14" t="s">
        <v>22</v>
      </c>
      <c r="B4" s="14"/>
      <c r="C4" s="14"/>
      <c r="D4" s="14"/>
      <c r="E4" s="14"/>
      <c r="F4" s="14"/>
    </row>
    <row r="5" customFormat="false" ht="15" hidden="false" customHeight="true" outlineLevel="0" collapsed="false">
      <c r="A5" s="15" t="s">
        <v>23</v>
      </c>
      <c r="B5" s="16" t="s">
        <v>24</v>
      </c>
      <c r="C5" s="16"/>
      <c r="D5" s="16"/>
      <c r="E5" s="16"/>
      <c r="F5" s="16"/>
    </row>
    <row r="6" customFormat="false" ht="15" hidden="false" customHeight="true" outlineLevel="0" collapsed="false">
      <c r="A6" s="15" t="s">
        <v>25</v>
      </c>
      <c r="B6" s="16" t="s">
        <v>26</v>
      </c>
      <c r="C6" s="16"/>
      <c r="D6" s="16"/>
      <c r="E6" s="16"/>
      <c r="F6" s="16"/>
    </row>
    <row r="7" customFormat="false" ht="15" hidden="false" customHeight="true" outlineLevel="0" collapsed="false">
      <c r="A7" s="15" t="s">
        <v>27</v>
      </c>
      <c r="B7" s="16" t="s">
        <v>28</v>
      </c>
      <c r="C7" s="16"/>
      <c r="D7" s="16"/>
      <c r="E7" s="16"/>
      <c r="F7" s="16"/>
    </row>
    <row r="8" customFormat="false" ht="15" hidden="false" customHeight="true" outlineLevel="0" collapsed="false">
      <c r="A8" s="15" t="s">
        <v>29</v>
      </c>
      <c r="B8" s="16" t="s">
        <v>30</v>
      </c>
      <c r="C8" s="16"/>
      <c r="D8" s="16"/>
      <c r="E8" s="16"/>
      <c r="F8" s="16"/>
    </row>
    <row r="9" customFormat="false" ht="15" hidden="false" customHeight="true" outlineLevel="0" collapsed="false">
      <c r="A9" s="15" t="s">
        <v>31</v>
      </c>
      <c r="B9" s="16" t="s">
        <v>32</v>
      </c>
      <c r="C9" s="16"/>
      <c r="D9" s="16"/>
      <c r="E9" s="16"/>
      <c r="F9" s="16"/>
    </row>
    <row r="10" customFormat="false" ht="15" hidden="false" customHeight="true" outlineLevel="0" collapsed="false">
      <c r="A10" s="15" t="s">
        <v>33</v>
      </c>
      <c r="B10" s="16" t="s">
        <v>34</v>
      </c>
      <c r="C10" s="16"/>
      <c r="D10" s="16"/>
      <c r="E10" s="16"/>
      <c r="F10" s="16"/>
    </row>
    <row r="11" customFormat="false" ht="15" hidden="false" customHeight="true" outlineLevel="0" collapsed="false">
      <c r="A11" s="15" t="s">
        <v>35</v>
      </c>
      <c r="B11" s="16" t="s">
        <v>36</v>
      </c>
      <c r="C11" s="16"/>
      <c r="D11" s="16"/>
      <c r="E11" s="16"/>
      <c r="F11" s="16"/>
    </row>
    <row r="12" customFormat="false" ht="15" hidden="false" customHeight="true" outlineLevel="0" collapsed="false">
      <c r="A12" s="17" t="s">
        <v>37</v>
      </c>
      <c r="B12" s="18" t="s">
        <v>38</v>
      </c>
      <c r="C12" s="18"/>
      <c r="D12" s="18"/>
      <c r="E12" s="18"/>
      <c r="F12" s="18"/>
    </row>
    <row r="13" customFormat="false" ht="15" hidden="false" customHeight="true" outlineLevel="0" collapsed="false">
      <c r="A13" s="13"/>
      <c r="B13" s="5"/>
    </row>
    <row r="14" customFormat="false" ht="15" hidden="false" customHeight="true" outlineLevel="0" collapsed="false">
      <c r="A14" s="14" t="s">
        <v>39</v>
      </c>
      <c r="B14" s="14"/>
      <c r="C14" s="14"/>
      <c r="D14" s="14"/>
      <c r="E14" s="14"/>
      <c r="F14" s="14"/>
    </row>
    <row r="15" customFormat="false" ht="15" hidden="false" customHeight="true" outlineLevel="0" collapsed="false">
      <c r="A15" s="15" t="s">
        <v>40</v>
      </c>
      <c r="B15" s="16" t="s">
        <v>41</v>
      </c>
      <c r="C15" s="16"/>
      <c r="D15" s="16"/>
      <c r="E15" s="16"/>
      <c r="F15" s="16"/>
    </row>
    <row r="16" customFormat="false" ht="15" hidden="false" customHeight="true" outlineLevel="0" collapsed="false">
      <c r="A16" s="15" t="s">
        <v>42</v>
      </c>
      <c r="B16" s="16" t="s">
        <v>43</v>
      </c>
      <c r="C16" s="16"/>
      <c r="D16" s="16"/>
      <c r="E16" s="16"/>
      <c r="F16" s="16"/>
    </row>
    <row r="17" customFormat="false" ht="15" hidden="false" customHeight="true" outlineLevel="0" collapsed="false">
      <c r="A17" s="15" t="s">
        <v>44</v>
      </c>
      <c r="B17" s="16" t="s">
        <v>45</v>
      </c>
      <c r="C17" s="16"/>
      <c r="D17" s="16"/>
      <c r="E17" s="16"/>
      <c r="F17" s="16"/>
    </row>
    <row r="18" customFormat="false" ht="15" hidden="false" customHeight="true" outlineLevel="0" collapsed="false">
      <c r="A18" s="15" t="s">
        <v>46</v>
      </c>
      <c r="B18" s="16" t="s">
        <v>47</v>
      </c>
      <c r="C18" s="16"/>
      <c r="D18" s="16"/>
      <c r="E18" s="16"/>
      <c r="F18" s="16"/>
    </row>
    <row r="19" customFormat="false" ht="15" hidden="false" customHeight="true" outlineLevel="0" collapsed="false">
      <c r="A19" s="15" t="s">
        <v>48</v>
      </c>
      <c r="B19" s="16" t="s">
        <v>49</v>
      </c>
      <c r="C19" s="16"/>
      <c r="D19" s="16"/>
      <c r="E19" s="16"/>
      <c r="F19" s="16"/>
    </row>
    <row r="20" customFormat="false" ht="15" hidden="false" customHeight="true" outlineLevel="0" collapsed="false">
      <c r="A20" s="15" t="s">
        <v>50</v>
      </c>
      <c r="B20" s="16" t="s">
        <v>51</v>
      </c>
      <c r="C20" s="16"/>
      <c r="D20" s="16"/>
      <c r="E20" s="16"/>
      <c r="F20" s="16"/>
    </row>
    <row r="21" customFormat="false" ht="15" hidden="false" customHeight="true" outlineLevel="0" collapsed="false">
      <c r="A21" s="15" t="s">
        <v>52</v>
      </c>
      <c r="B21" s="16" t="s">
        <v>53</v>
      </c>
      <c r="C21" s="16"/>
      <c r="D21" s="16"/>
      <c r="E21" s="16"/>
      <c r="F21" s="16"/>
    </row>
    <row r="22" customFormat="false" ht="15" hidden="false" customHeight="true" outlineLevel="0" collapsed="false">
      <c r="A22" s="15" t="s">
        <v>54</v>
      </c>
      <c r="B22" s="16" t="s">
        <v>55</v>
      </c>
      <c r="C22" s="16"/>
      <c r="D22" s="16"/>
      <c r="E22" s="16"/>
      <c r="F22" s="16"/>
    </row>
    <row r="24" customFormat="false" ht="15" hidden="false" customHeight="true" outlineLevel="0" collapsed="false">
      <c r="A24" s="14" t="s">
        <v>56</v>
      </c>
      <c r="B24" s="14"/>
      <c r="C24" s="14"/>
      <c r="D24" s="14"/>
      <c r="E24" s="14"/>
      <c r="F24" s="14"/>
    </row>
    <row r="25" customFormat="false" ht="15" hidden="false" customHeight="true" outlineLevel="0" collapsed="false">
      <c r="A25" s="15" t="s">
        <v>57</v>
      </c>
      <c r="B25" s="16" t="s">
        <v>58</v>
      </c>
      <c r="C25" s="16"/>
      <c r="D25" s="16"/>
      <c r="E25" s="16"/>
      <c r="F25" s="16"/>
    </row>
    <row r="26" customFormat="false" ht="15" hidden="false" customHeight="true" outlineLevel="0" collapsed="false">
      <c r="A26" s="15" t="s">
        <v>59</v>
      </c>
      <c r="B26" s="16" t="s">
        <v>60</v>
      </c>
      <c r="C26" s="16"/>
      <c r="D26" s="16"/>
      <c r="E26" s="16"/>
      <c r="F26" s="16"/>
    </row>
    <row r="27" customFormat="false" ht="15" hidden="false" customHeight="true" outlineLevel="0" collapsed="false">
      <c r="A27" s="15" t="s">
        <v>61</v>
      </c>
      <c r="B27" s="16" t="s">
        <v>62</v>
      </c>
      <c r="C27" s="16"/>
      <c r="D27" s="16"/>
      <c r="E27" s="16"/>
      <c r="F27" s="16"/>
    </row>
    <row r="28" customFormat="false" ht="15" hidden="false" customHeight="true" outlineLevel="0" collapsed="false">
      <c r="A28" s="15" t="s">
        <v>63</v>
      </c>
      <c r="B28" s="16" t="s">
        <v>64</v>
      </c>
      <c r="C28" s="16"/>
      <c r="D28" s="16"/>
      <c r="E28" s="16"/>
      <c r="F28" s="16"/>
    </row>
    <row r="29" customFormat="false" ht="15" hidden="false" customHeight="true" outlineLevel="0" collapsed="false">
      <c r="A29" s="15" t="s">
        <v>65</v>
      </c>
      <c r="B29" s="16" t="s">
        <v>66</v>
      </c>
      <c r="C29" s="16"/>
      <c r="D29" s="16"/>
      <c r="E29" s="16"/>
      <c r="F29" s="16"/>
    </row>
    <row r="30" customFormat="false" ht="15" hidden="false" customHeight="true" outlineLevel="0" collapsed="false">
      <c r="A30" s="15" t="s">
        <v>67</v>
      </c>
      <c r="B30" s="16" t="s">
        <v>68</v>
      </c>
      <c r="C30" s="16"/>
      <c r="D30" s="16"/>
      <c r="E30" s="16"/>
      <c r="F30" s="16"/>
    </row>
    <row r="31" customFormat="false" ht="15" hidden="false" customHeight="true" outlineLevel="0" collapsed="false">
      <c r="A31" s="15" t="s">
        <v>69</v>
      </c>
      <c r="B31" s="16" t="s">
        <v>70</v>
      </c>
      <c r="C31" s="16"/>
      <c r="D31" s="16"/>
      <c r="E31" s="16"/>
      <c r="F31" s="16"/>
    </row>
    <row r="32" customFormat="false" ht="15" hidden="false" customHeight="true" outlineLevel="0" collapsed="false">
      <c r="A32" s="15" t="s">
        <v>71</v>
      </c>
      <c r="B32" s="16" t="s">
        <v>72</v>
      </c>
      <c r="C32" s="16"/>
      <c r="D32" s="16"/>
      <c r="E32" s="16"/>
      <c r="F32" s="16"/>
    </row>
    <row r="33" customFormat="false" ht="15" hidden="false" customHeight="true" outlineLevel="0" collapsed="false">
      <c r="A33" s="15" t="s">
        <v>73</v>
      </c>
      <c r="B33" s="16" t="s">
        <v>74</v>
      </c>
      <c r="C33" s="16"/>
      <c r="D33" s="16"/>
      <c r="E33" s="16"/>
      <c r="F33" s="16"/>
    </row>
    <row r="34" customFormat="false" ht="15" hidden="false" customHeight="true" outlineLevel="0" collapsed="false">
      <c r="A34" s="15" t="s">
        <v>75</v>
      </c>
      <c r="B34" s="16" t="s">
        <v>76</v>
      </c>
      <c r="C34" s="16"/>
      <c r="D34" s="16"/>
      <c r="E34" s="16"/>
      <c r="F34" s="16"/>
    </row>
    <row r="36" customFormat="false" ht="15" hidden="false" customHeight="true" outlineLevel="0" collapsed="false">
      <c r="A36" s="14" t="s">
        <v>77</v>
      </c>
      <c r="B36" s="14"/>
      <c r="C36" s="14"/>
      <c r="D36" s="14"/>
      <c r="E36" s="14"/>
      <c r="F36" s="14"/>
    </row>
    <row r="37" customFormat="false" ht="15" hidden="false" customHeight="true" outlineLevel="0" collapsed="false">
      <c r="A37" s="15" t="s">
        <v>78</v>
      </c>
      <c r="B37" s="16" t="s">
        <v>79</v>
      </c>
      <c r="C37" s="16"/>
      <c r="D37" s="16"/>
      <c r="E37" s="16"/>
      <c r="F37" s="16"/>
    </row>
    <row r="38" customFormat="false" ht="15" hidden="false" customHeight="true" outlineLevel="0" collapsed="false">
      <c r="A38" s="15" t="s">
        <v>80</v>
      </c>
      <c r="B38" s="16" t="s">
        <v>81</v>
      </c>
      <c r="C38" s="16"/>
      <c r="D38" s="16"/>
      <c r="E38" s="16"/>
      <c r="F38" s="16"/>
    </row>
    <row r="39" customFormat="false" ht="15" hidden="false" customHeight="true" outlineLevel="0" collapsed="false">
      <c r="A39" s="15" t="s">
        <v>82</v>
      </c>
      <c r="B39" s="16" t="s">
        <v>83</v>
      </c>
      <c r="C39" s="16"/>
      <c r="D39" s="16"/>
      <c r="E39" s="16"/>
      <c r="F39" s="16"/>
    </row>
    <row r="41" customFormat="false" ht="15" hidden="false" customHeight="true" outlineLevel="0" collapsed="false">
      <c r="A41" s="14" t="s">
        <v>84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15" t="s">
        <v>85</v>
      </c>
      <c r="B42" s="16" t="s">
        <v>86</v>
      </c>
      <c r="C42" s="16"/>
      <c r="D42" s="16"/>
      <c r="E42" s="16"/>
      <c r="F42" s="16"/>
    </row>
    <row r="43" customFormat="false" ht="15" hidden="false" customHeight="true" outlineLevel="0" collapsed="false">
      <c r="A43" s="15" t="s">
        <v>87</v>
      </c>
      <c r="B43" s="16" t="s">
        <v>88</v>
      </c>
      <c r="C43" s="16"/>
      <c r="D43" s="16"/>
      <c r="E43" s="16"/>
      <c r="F43" s="16"/>
    </row>
    <row r="44" customFormat="false" ht="15" hidden="false" customHeight="true" outlineLevel="0" collapsed="false">
      <c r="A44" s="15" t="s">
        <v>89</v>
      </c>
      <c r="B44" s="16" t="s">
        <v>90</v>
      </c>
      <c r="C44" s="16"/>
      <c r="D44" s="16"/>
      <c r="E44" s="16"/>
      <c r="F44" s="16"/>
    </row>
    <row r="45" customFormat="false" ht="15" hidden="false" customHeight="true" outlineLevel="0" collapsed="false">
      <c r="A45" s="15" t="s">
        <v>91</v>
      </c>
      <c r="B45" s="16" t="s">
        <v>90</v>
      </c>
      <c r="C45" s="16"/>
      <c r="D45" s="16"/>
      <c r="E45" s="16"/>
      <c r="F45" s="16"/>
    </row>
    <row r="47" customFormat="false" ht="15" hidden="false" customHeight="true" outlineLevel="0" collapsed="false">
      <c r="A47" s="14" t="s">
        <v>92</v>
      </c>
      <c r="B47" s="14"/>
      <c r="C47" s="14"/>
      <c r="D47" s="14"/>
      <c r="E47" s="14"/>
      <c r="F47" s="14"/>
    </row>
    <row r="48" customFormat="false" ht="15" hidden="false" customHeight="true" outlineLevel="0" collapsed="false">
      <c r="A48" s="15" t="s">
        <v>93</v>
      </c>
      <c r="B48" s="16" t="s">
        <v>94</v>
      </c>
      <c r="C48" s="16"/>
      <c r="D48" s="16"/>
      <c r="E48" s="16"/>
      <c r="F48" s="16"/>
    </row>
    <row r="49" customFormat="false" ht="15" hidden="false" customHeight="true" outlineLevel="0" collapsed="false">
      <c r="A49" s="15" t="s">
        <v>95</v>
      </c>
      <c r="B49" s="16" t="s">
        <v>96</v>
      </c>
      <c r="C49" s="16"/>
      <c r="D49" s="16"/>
      <c r="E49" s="16"/>
      <c r="F49" s="16"/>
    </row>
    <row r="50" customFormat="false" ht="15" hidden="false" customHeight="true" outlineLevel="0" collapsed="false">
      <c r="A50" s="15" t="s">
        <v>97</v>
      </c>
      <c r="B50" s="16" t="s">
        <v>98</v>
      </c>
      <c r="C50" s="16"/>
      <c r="D50" s="16"/>
      <c r="E50" s="16"/>
      <c r="F50" s="16"/>
    </row>
    <row r="52" customFormat="false" ht="15" hidden="false" customHeight="true" outlineLevel="0" collapsed="false">
      <c r="A52" s="14" t="s">
        <v>99</v>
      </c>
      <c r="B52" s="14"/>
      <c r="C52" s="14"/>
      <c r="D52" s="14"/>
      <c r="E52" s="14"/>
      <c r="F52" s="14"/>
    </row>
    <row r="53" customFormat="false" ht="15" hidden="false" customHeight="true" outlineLevel="0" collapsed="false">
      <c r="A53" s="15" t="s">
        <v>100</v>
      </c>
      <c r="B53" s="16" t="s">
        <v>101</v>
      </c>
      <c r="C53" s="16"/>
      <c r="D53" s="16"/>
      <c r="E53" s="16"/>
      <c r="F53" s="16"/>
    </row>
    <row r="54" customFormat="false" ht="15" hidden="false" customHeight="true" outlineLevel="0" collapsed="false">
      <c r="A54" s="15" t="s">
        <v>102</v>
      </c>
      <c r="B54" s="16" t="s">
        <v>103</v>
      </c>
      <c r="C54" s="16"/>
      <c r="D54" s="16"/>
      <c r="E54" s="16"/>
      <c r="F54" s="16"/>
    </row>
    <row r="55" customFormat="false" ht="15" hidden="false" customHeight="true" outlineLevel="0" collapsed="false">
      <c r="A55" s="15" t="s">
        <v>104</v>
      </c>
      <c r="B55" s="16" t="s">
        <v>105</v>
      </c>
      <c r="C55" s="16"/>
      <c r="D55" s="16"/>
      <c r="E55" s="16"/>
      <c r="F55" s="16"/>
    </row>
    <row r="56" customFormat="false" ht="15" hidden="false" customHeight="true" outlineLevel="0" collapsed="false">
      <c r="A56" s="15" t="s">
        <v>106</v>
      </c>
      <c r="B56" s="16" t="s">
        <v>107</v>
      </c>
      <c r="C56" s="16"/>
      <c r="D56" s="16"/>
      <c r="E56" s="16"/>
      <c r="F56" s="16"/>
    </row>
    <row r="57" customFormat="false" ht="15" hidden="false" customHeight="true" outlineLevel="0" collapsed="false">
      <c r="A57" s="15" t="s">
        <v>108</v>
      </c>
      <c r="B57" s="16" t="s">
        <v>109</v>
      </c>
      <c r="C57" s="16"/>
      <c r="D57" s="16"/>
      <c r="E57" s="16"/>
      <c r="F57" s="16"/>
    </row>
    <row r="58" customFormat="false" ht="15" hidden="false" customHeight="true" outlineLevel="0" collapsed="false">
      <c r="A58" s="15" t="s">
        <v>110</v>
      </c>
      <c r="B58" s="16" t="s">
        <v>111</v>
      </c>
      <c r="C58" s="16"/>
      <c r="D58" s="16"/>
      <c r="E58" s="16"/>
      <c r="F58" s="16"/>
    </row>
    <row r="60" customFormat="false" ht="15" hidden="false" customHeight="true" outlineLevel="0" collapsed="false">
      <c r="A60" s="14" t="s">
        <v>112</v>
      </c>
      <c r="B60" s="14"/>
      <c r="C60" s="14"/>
      <c r="D60" s="14"/>
      <c r="E60" s="14"/>
      <c r="F60" s="14"/>
    </row>
    <row r="61" customFormat="false" ht="15" hidden="false" customHeight="true" outlineLevel="0" collapsed="false">
      <c r="A61" s="15" t="s">
        <v>113</v>
      </c>
      <c r="B61" s="16" t="n">
        <v>163</v>
      </c>
      <c r="C61" s="16"/>
      <c r="D61" s="16"/>
      <c r="E61" s="16"/>
      <c r="F61" s="16"/>
    </row>
    <row r="62" customFormat="false" ht="45.75" hidden="false" customHeight="true" outlineLevel="0" collapsed="false">
      <c r="A62" s="15" t="s">
        <v>114</v>
      </c>
      <c r="B62" s="16" t="s">
        <v>115</v>
      </c>
      <c r="C62" s="16"/>
      <c r="D62" s="16"/>
      <c r="E62" s="16"/>
      <c r="F62" s="16"/>
    </row>
    <row r="63" customFormat="false" ht="23.25" hidden="false" customHeight="true" outlineLevel="0" collapsed="false">
      <c r="A63" s="15" t="s">
        <v>116</v>
      </c>
      <c r="B63" s="16" t="s">
        <v>117</v>
      </c>
      <c r="C63" s="16"/>
      <c r="D63" s="16"/>
      <c r="E63" s="16"/>
      <c r="F63" s="16"/>
    </row>
    <row r="64" customFormat="false" ht="23.25" hidden="false" customHeight="true" outlineLevel="0" collapsed="false">
      <c r="A64" s="15" t="s">
        <v>118</v>
      </c>
      <c r="B64" s="16" t="s">
        <v>119</v>
      </c>
      <c r="C64" s="16"/>
      <c r="D64" s="16"/>
      <c r="E64" s="16"/>
      <c r="F64" s="16"/>
    </row>
    <row r="65" customFormat="false" ht="15" hidden="false" customHeight="true" outlineLevel="0" collapsed="false">
      <c r="A65" s="15" t="s">
        <v>120</v>
      </c>
      <c r="B65" s="16" t="s">
        <v>121</v>
      </c>
      <c r="C65" s="16"/>
      <c r="D65" s="16"/>
      <c r="E65" s="16"/>
      <c r="F65" s="16"/>
    </row>
    <row r="66" customFormat="false" ht="34.5" hidden="false" customHeight="true" outlineLevel="0" collapsed="false">
      <c r="A66" s="15" t="s">
        <v>122</v>
      </c>
      <c r="B66" s="16" t="s">
        <v>123</v>
      </c>
      <c r="C66" s="16"/>
      <c r="D66" s="16"/>
      <c r="E66" s="16"/>
      <c r="F66" s="16"/>
    </row>
    <row r="68" customFormat="false" ht="15" hidden="false" customHeight="true" outlineLevel="0" collapsed="false">
      <c r="A68" s="14" t="s">
        <v>124</v>
      </c>
      <c r="B68" s="14"/>
      <c r="C68" s="14"/>
      <c r="D68" s="14"/>
      <c r="E68" s="14"/>
      <c r="F68" s="14"/>
    </row>
    <row r="69" customFormat="false" ht="15" hidden="false" customHeight="true" outlineLevel="0" collapsed="false">
      <c r="A69" s="15" t="s">
        <v>125</v>
      </c>
      <c r="B69" s="16" t="s">
        <v>126</v>
      </c>
      <c r="C69" s="16"/>
      <c r="D69" s="16"/>
      <c r="E69" s="16"/>
      <c r="F69" s="16"/>
    </row>
    <row r="70" customFormat="false" ht="15" hidden="false" customHeight="true" outlineLevel="0" collapsed="false">
      <c r="A70" s="15" t="s">
        <v>127</v>
      </c>
      <c r="B70" s="16" t="s">
        <v>128</v>
      </c>
      <c r="C70" s="16"/>
      <c r="D70" s="16"/>
      <c r="E70" s="16"/>
      <c r="F70" s="16"/>
    </row>
    <row r="71" customFormat="false" ht="15" hidden="false" customHeight="true" outlineLevel="0" collapsed="false">
      <c r="A71" s="15" t="s">
        <v>129</v>
      </c>
      <c r="B71" s="16" t="s">
        <v>130</v>
      </c>
      <c r="C71" s="16"/>
      <c r="D71" s="16"/>
      <c r="E71" s="16"/>
      <c r="F71" s="16"/>
    </row>
    <row r="72" customFormat="false" ht="15" hidden="false" customHeight="true" outlineLevel="0" collapsed="false">
      <c r="A72" s="15" t="s">
        <v>131</v>
      </c>
      <c r="B72" s="16" t="s">
        <v>132</v>
      </c>
      <c r="C72" s="16"/>
      <c r="D72" s="16"/>
      <c r="E72" s="16"/>
      <c r="F72" s="16"/>
    </row>
    <row r="73" customFormat="false" ht="15" hidden="false" customHeight="true" outlineLevel="0" collapsed="false">
      <c r="A73" s="15" t="s">
        <v>133</v>
      </c>
      <c r="B73" s="16" t="s">
        <v>134</v>
      </c>
      <c r="C73" s="16"/>
      <c r="D73" s="16"/>
      <c r="E73" s="16"/>
      <c r="F73" s="16"/>
    </row>
    <row r="74" customFormat="false" ht="15" hidden="false" customHeight="true" outlineLevel="0" collapsed="false">
      <c r="A74" s="15" t="s">
        <v>135</v>
      </c>
      <c r="B74" s="16" t="s">
        <v>136</v>
      </c>
      <c r="C74" s="16"/>
      <c r="D74" s="16"/>
      <c r="E74" s="16"/>
      <c r="F74" s="16"/>
    </row>
    <row r="75" customFormat="false" ht="15" hidden="false" customHeight="true" outlineLevel="0" collapsed="false">
      <c r="A75" s="15" t="s">
        <v>137</v>
      </c>
      <c r="B75" s="16" t="s">
        <v>138</v>
      </c>
      <c r="C75" s="16"/>
      <c r="D75" s="16"/>
      <c r="E75" s="16"/>
      <c r="F75" s="16"/>
    </row>
    <row r="76" customFormat="false" ht="15" hidden="false" customHeight="true" outlineLevel="0" collapsed="false">
      <c r="A76" s="15" t="s">
        <v>139</v>
      </c>
      <c r="B76" s="16" t="s">
        <v>140</v>
      </c>
      <c r="C76" s="16"/>
      <c r="D76" s="16"/>
      <c r="E76" s="16"/>
      <c r="F76" s="16"/>
    </row>
    <row r="77" customFormat="false" ht="15" hidden="false" customHeight="true" outlineLevel="0" collapsed="false">
      <c r="A77" s="15" t="s">
        <v>141</v>
      </c>
      <c r="B77" s="16" t="s">
        <v>142</v>
      </c>
      <c r="C77" s="16"/>
      <c r="D77" s="16"/>
      <c r="E77" s="16"/>
      <c r="F77" s="16"/>
    </row>
    <row r="78" customFormat="false" ht="15" hidden="false" customHeight="true" outlineLevel="0" collapsed="false">
      <c r="A78" s="15" t="s">
        <v>143</v>
      </c>
      <c r="B78" s="16" t="s">
        <v>144</v>
      </c>
      <c r="C78" s="16"/>
      <c r="D78" s="16"/>
      <c r="E78" s="16"/>
      <c r="F78" s="16"/>
    </row>
    <row r="79" customFormat="false" ht="15" hidden="false" customHeight="true" outlineLevel="0" collapsed="false">
      <c r="A79" s="15" t="s">
        <v>145</v>
      </c>
      <c r="B79" s="16" t="s">
        <v>146</v>
      </c>
      <c r="C79" s="16"/>
      <c r="D79" s="16"/>
      <c r="E79" s="16"/>
      <c r="F79" s="16"/>
    </row>
    <row r="80" customFormat="false" ht="15" hidden="false" customHeight="true" outlineLevel="0" collapsed="false">
      <c r="A80" s="15" t="s">
        <v>147</v>
      </c>
      <c r="B80" s="16" t="s">
        <v>148</v>
      </c>
      <c r="C80" s="16"/>
      <c r="D80" s="16"/>
      <c r="E80" s="16"/>
      <c r="F80" s="16"/>
    </row>
    <row r="81" customFormat="false" ht="15" hidden="false" customHeight="true" outlineLevel="0" collapsed="false">
      <c r="A81" s="15" t="s">
        <v>149</v>
      </c>
      <c r="B81" s="16" t="s">
        <v>150</v>
      </c>
      <c r="C81" s="16"/>
      <c r="D81" s="16"/>
      <c r="E81" s="16"/>
      <c r="F81" s="16"/>
    </row>
    <row r="82" customFormat="false" ht="15" hidden="false" customHeight="true" outlineLevel="0" collapsed="false">
      <c r="A82" s="15" t="s">
        <v>151</v>
      </c>
      <c r="B82" s="16" t="s">
        <v>152</v>
      </c>
      <c r="C82" s="16"/>
      <c r="D82" s="16"/>
      <c r="E82" s="16"/>
      <c r="F82" s="16"/>
    </row>
    <row r="85" customFormat="false" ht="15" hidden="false" customHeight="false" outlineLevel="0" collapsed="false">
      <c r="A85" s="19" t="s">
        <v>153</v>
      </c>
      <c r="B85" s="19"/>
      <c r="C85" s="19"/>
      <c r="D85" s="19"/>
      <c r="E85" s="19"/>
      <c r="F85" s="19"/>
    </row>
    <row r="86" customFormat="false" ht="22.35" hidden="false" customHeight="true" outlineLevel="0" collapsed="false">
      <c r="A86" s="20" t="s">
        <v>154</v>
      </c>
      <c r="B86" s="20"/>
      <c r="C86" s="20"/>
      <c r="D86" s="20"/>
      <c r="E86" s="20"/>
      <c r="F86" s="20"/>
    </row>
    <row r="87" customFormat="false" ht="15" hidden="false" customHeight="false" outlineLevel="0" collapsed="false">
      <c r="A87" s="21" t="s">
        <v>155</v>
      </c>
      <c r="B87" s="22" t="n">
        <v>211</v>
      </c>
      <c r="C87" s="22"/>
      <c r="D87" s="22"/>
      <c r="E87" s="22"/>
      <c r="F87" s="22"/>
    </row>
    <row r="88" customFormat="false" ht="15" hidden="false" customHeight="false" outlineLevel="0" collapsed="false">
      <c r="A88" s="21" t="s">
        <v>156</v>
      </c>
      <c r="B88" s="22" t="n">
        <v>206</v>
      </c>
      <c r="C88" s="22"/>
      <c r="D88" s="22"/>
      <c r="E88" s="22"/>
      <c r="F88" s="22"/>
    </row>
    <row r="89" customFormat="false" ht="15" hidden="false" customHeight="false" outlineLevel="0" collapsed="false">
      <c r="A89" s="21" t="s">
        <v>157</v>
      </c>
      <c r="B89" s="22" t="n">
        <v>213</v>
      </c>
      <c r="C89" s="22"/>
      <c r="D89" s="22"/>
      <c r="E89" s="22"/>
      <c r="F89" s="22"/>
    </row>
    <row r="90" customFormat="false" ht="15" hidden="false" customHeight="false" outlineLevel="0" collapsed="false">
      <c r="A90" s="21" t="s">
        <v>158</v>
      </c>
      <c r="B90" s="22" t="n">
        <v>168</v>
      </c>
      <c r="C90" s="22"/>
      <c r="D90" s="22"/>
      <c r="E90" s="22"/>
      <c r="F90" s="22"/>
    </row>
    <row r="91" customFormat="false" ht="15" hidden="false" customHeight="false" outlineLevel="0" collapsed="false">
      <c r="A91" s="21" t="s">
        <v>159</v>
      </c>
      <c r="B91" s="22" t="n">
        <v>2</v>
      </c>
      <c r="C91" s="22"/>
      <c r="D91" s="22"/>
      <c r="E91" s="22"/>
      <c r="F91" s="22"/>
    </row>
    <row r="92" customFormat="false" ht="15" hidden="false" customHeight="false" outlineLevel="0" collapsed="false">
      <c r="A92" s="21" t="s">
        <v>160</v>
      </c>
      <c r="B92" s="22" t="n">
        <v>2</v>
      </c>
      <c r="C92" s="22"/>
      <c r="D92" s="22"/>
      <c r="E92" s="22"/>
      <c r="F92" s="22"/>
    </row>
    <row r="93" customFormat="false" ht="15" hidden="false" customHeight="false" outlineLevel="0" collapsed="false">
      <c r="A93" s="21" t="s">
        <v>161</v>
      </c>
      <c r="B93" s="22" t="n">
        <v>1</v>
      </c>
      <c r="C93" s="22"/>
      <c r="D93" s="22"/>
      <c r="E93" s="22"/>
      <c r="F93" s="22"/>
    </row>
    <row r="94" customFormat="false" ht="15" hidden="false" customHeight="false" outlineLevel="0" collapsed="false">
      <c r="A94" s="23" t="s">
        <v>162</v>
      </c>
      <c r="B94" s="23" t="n">
        <v>803</v>
      </c>
      <c r="C94" s="23"/>
      <c r="D94" s="23"/>
      <c r="E94" s="23"/>
      <c r="F94" s="23"/>
    </row>
    <row r="95" customFormat="false" ht="15" hidden="false" customHeight="false" outlineLevel="0" collapsed="false">
      <c r="A95" s="24" t="s">
        <v>163</v>
      </c>
      <c r="B95" s="24" t="n">
        <v>1302</v>
      </c>
      <c r="C95" s="24"/>
      <c r="D95" s="24"/>
      <c r="E95" s="24"/>
      <c r="F95" s="24"/>
    </row>
    <row r="97" customFormat="false" ht="15" hidden="false" customHeight="false" outlineLevel="0" collapsed="false">
      <c r="A97" s="25" t="s">
        <v>164</v>
      </c>
      <c r="B97" s="25"/>
      <c r="C97" s="25"/>
      <c r="D97" s="25"/>
      <c r="E97" s="25"/>
      <c r="F97" s="25"/>
    </row>
  </sheetData>
  <mergeCells count="85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A14:F14"/>
    <mergeCell ref="B15:F15"/>
    <mergeCell ref="B16:F16"/>
    <mergeCell ref="B17:F17"/>
    <mergeCell ref="B18:F18"/>
    <mergeCell ref="B19:F19"/>
    <mergeCell ref="B20:F20"/>
    <mergeCell ref="B21:F21"/>
    <mergeCell ref="B22:F22"/>
    <mergeCell ref="A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A36:F36"/>
    <mergeCell ref="B37:F37"/>
    <mergeCell ref="B38:F38"/>
    <mergeCell ref="B39:F39"/>
    <mergeCell ref="A41:F41"/>
    <mergeCell ref="B42:F42"/>
    <mergeCell ref="B43:F43"/>
    <mergeCell ref="B44:F44"/>
    <mergeCell ref="B45:F45"/>
    <mergeCell ref="A47:F47"/>
    <mergeCell ref="B48:F48"/>
    <mergeCell ref="B49:F49"/>
    <mergeCell ref="B50:F50"/>
    <mergeCell ref="A52:F52"/>
    <mergeCell ref="B53:F53"/>
    <mergeCell ref="B54:F54"/>
    <mergeCell ref="B55:F55"/>
    <mergeCell ref="B56:F56"/>
    <mergeCell ref="B57:F57"/>
    <mergeCell ref="B58:F58"/>
    <mergeCell ref="A60:F60"/>
    <mergeCell ref="B61:F61"/>
    <mergeCell ref="B62:F62"/>
    <mergeCell ref="B63:F63"/>
    <mergeCell ref="B64:F64"/>
    <mergeCell ref="B65:F65"/>
    <mergeCell ref="B66:F66"/>
    <mergeCell ref="A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A85:F85"/>
    <mergeCell ref="A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A97:F9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165</v>
      </c>
    </row>
    <row r="3" customFormat="false" ht="15" hidden="false" customHeight="true" outlineLevel="0" collapsed="false">
      <c r="A3" s="26" t="s">
        <v>166</v>
      </c>
      <c r="B3" s="26" t="s">
        <v>167</v>
      </c>
      <c r="C3" s="26" t="s">
        <v>168</v>
      </c>
      <c r="D3" s="26" t="s">
        <v>169</v>
      </c>
    </row>
    <row r="4" customFormat="false" ht="15" hidden="false" customHeight="true" outlineLevel="0" collapsed="false">
      <c r="A4" s="5" t="s">
        <v>170</v>
      </c>
      <c r="B4" s="6" t="n">
        <v>2738000</v>
      </c>
      <c r="C4" s="6" t="n">
        <v>2588279.5</v>
      </c>
      <c r="D4" s="10" t="n">
        <f aca="false">C4-B4</f>
        <v>-149720.5</v>
      </c>
    </row>
    <row r="5" customFormat="false" ht="15" hidden="false" customHeight="true" outlineLevel="0" collapsed="false">
      <c r="A5" s="5" t="s">
        <v>171</v>
      </c>
      <c r="B5" s="6" t="n">
        <v>0</v>
      </c>
      <c r="C5" s="6" t="n">
        <v>-149720.5</v>
      </c>
      <c r="D5" s="10" t="n">
        <f aca="false">C5-B5</f>
        <v>-149720.5</v>
      </c>
    </row>
    <row r="6" customFormat="false" ht="15" hidden="false" customHeight="true" outlineLevel="0" collapsed="false">
      <c r="A6" s="13" t="s">
        <v>172</v>
      </c>
      <c r="B6" s="7" t="n">
        <f aca="false">SUM(B4:B5)</f>
        <v>2738000</v>
      </c>
      <c r="C6" s="7" t="n">
        <f aca="false">SUM(C4:C5)</f>
        <v>2438559</v>
      </c>
      <c r="D6" s="7" t="n">
        <f aca="false">SUM(D4:D5)</f>
        <v>-299441</v>
      </c>
    </row>
    <row r="9" customFormat="false" ht="15" hidden="false" customHeight="true" outlineLevel="0" collapsed="false">
      <c r="A9" s="4" t="s">
        <v>173</v>
      </c>
    </row>
    <row r="10" customFormat="false" ht="15" hidden="false" customHeight="true" outlineLevel="0" collapsed="false">
      <c r="A10" s="26" t="s">
        <v>174</v>
      </c>
      <c r="B10" s="26" t="s">
        <v>175</v>
      </c>
      <c r="C10" s="26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7" min="3" style="1" width="16"/>
  </cols>
  <sheetData>
    <row r="1" customFormat="false" ht="19.5" hidden="false" customHeight="true" outlineLevel="0" collapsed="false">
      <c r="A1" s="2" t="s">
        <v>177</v>
      </c>
    </row>
    <row r="3" customFormat="false" ht="15" hidden="false" customHeight="true" outlineLevel="0" collapsed="false">
      <c r="A3" s="27"/>
      <c r="B3" s="27"/>
      <c r="C3" s="27"/>
      <c r="D3" s="27"/>
      <c r="E3" s="27"/>
      <c r="F3" s="27"/>
      <c r="G3" s="27"/>
    </row>
    <row r="4" customFormat="false" ht="15" hidden="false" customHeight="true" outlineLevel="0" collapsed="false">
      <c r="A4" s="28" t="s">
        <v>178</v>
      </c>
      <c r="B4" s="28"/>
      <c r="C4" s="28"/>
      <c r="D4" s="28"/>
      <c r="E4" s="28"/>
      <c r="F4" s="28"/>
      <c r="G4" s="28"/>
    </row>
    <row r="5" customFormat="false" ht="15" hidden="false" customHeight="true" outlineLevel="0" collapsed="false">
      <c r="A5" s="29" t="s">
        <v>100</v>
      </c>
      <c r="B5" s="30" t="n">
        <v>2672000</v>
      </c>
    </row>
    <row r="6" customFormat="false" ht="15" hidden="false" customHeight="true" outlineLevel="0" collapsed="false">
      <c r="A6" s="29" t="s">
        <v>104</v>
      </c>
      <c r="B6" s="30" t="n">
        <v>-83720</v>
      </c>
    </row>
    <row r="7" customFormat="false" ht="15" hidden="false" customHeight="true" outlineLevel="0" collapsed="false">
      <c r="A7" s="29" t="s">
        <v>179</v>
      </c>
      <c r="B7" s="30" t="n">
        <v>2588280</v>
      </c>
    </row>
    <row r="8" customFormat="false" ht="15" hidden="false" customHeight="true" outlineLevel="0" collapsed="false">
      <c r="A8" s="29" t="s">
        <v>180</v>
      </c>
      <c r="B8" s="30" t="n">
        <v>2588280</v>
      </c>
    </row>
    <row r="9" customFormat="false" ht="15" hidden="false" customHeight="true" outlineLevel="0" collapsed="false">
      <c r="A9" s="29" t="s">
        <v>181</v>
      </c>
      <c r="B9" s="30" t="n">
        <v>126114</v>
      </c>
    </row>
    <row r="10" customFormat="false" ht="15" hidden="false" customHeight="true" outlineLevel="0" collapsed="false">
      <c r="A10" s="29" t="s">
        <v>182</v>
      </c>
      <c r="B10" s="30" t="n">
        <v>2462166</v>
      </c>
    </row>
    <row r="11" customFormat="false" ht="15" hidden="false" customHeight="true" outlineLevel="0" collapsed="false">
      <c r="A11" s="29" t="s">
        <v>183</v>
      </c>
      <c r="B11" s="30" t="s">
        <v>184</v>
      </c>
    </row>
    <row r="14" customFormat="false" ht="15" hidden="false" customHeight="true" outlineLevel="0" collapsed="false">
      <c r="A14" s="28" t="s">
        <v>185</v>
      </c>
      <c r="B14" s="28"/>
      <c r="C14" s="28"/>
      <c r="D14" s="28"/>
      <c r="E14" s="28"/>
      <c r="F14" s="28"/>
      <c r="G14" s="28"/>
    </row>
    <row r="15" customFormat="false" ht="21.75" hidden="false" customHeight="true" outlineLevel="0" collapsed="false">
      <c r="A15" s="20" t="s">
        <v>186</v>
      </c>
      <c r="B15" s="20"/>
      <c r="C15" s="20"/>
      <c r="D15" s="20"/>
      <c r="E15" s="20"/>
      <c r="F15" s="20"/>
      <c r="G15" s="20"/>
    </row>
  </sheetData>
  <mergeCells count="3">
    <mergeCell ref="A4:G4"/>
    <mergeCell ref="A14:G14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60"/>
    <col collapsed="false" customWidth="true" hidden="false" outlineLevel="0" max="4" min="4" style="1" width="18"/>
    <col collapsed="false" customWidth="true" hidden="false" outlineLevel="0" max="5" min="5" style="1" width="32"/>
  </cols>
  <sheetData>
    <row r="1" customFormat="false" ht="19.5" hidden="false" customHeight="true" outlineLevel="0" collapsed="false">
      <c r="A1" s="2" t="s">
        <v>187</v>
      </c>
    </row>
    <row r="3" customFormat="false" ht="15" hidden="false" customHeight="true" outlineLevel="0" collapsed="false">
      <c r="A3" s="27"/>
      <c r="B3" s="27"/>
      <c r="C3" s="27"/>
      <c r="D3" s="27"/>
      <c r="E3" s="27"/>
    </row>
    <row r="4" customFormat="false" ht="15" hidden="false" customHeight="true" outlineLevel="0" collapsed="false">
      <c r="A4" s="28" t="s">
        <v>188</v>
      </c>
      <c r="B4" s="28"/>
      <c r="C4" s="28"/>
      <c r="D4" s="28"/>
      <c r="E4" s="28"/>
    </row>
    <row r="5" customFormat="false" ht="15" hidden="false" customHeight="true" outlineLevel="0" collapsed="false">
      <c r="A5" s="31" t="s">
        <v>189</v>
      </c>
      <c r="B5" s="31" t="s">
        <v>190</v>
      </c>
      <c r="C5" s="31" t="s">
        <v>175</v>
      </c>
      <c r="D5" s="31" t="s">
        <v>191</v>
      </c>
      <c r="E5" s="31" t="s">
        <v>192</v>
      </c>
    </row>
    <row r="6" customFormat="false" ht="15" hidden="false" customHeight="true" outlineLevel="0" collapsed="false">
      <c r="A6" s="32" t="n">
        <v>1</v>
      </c>
      <c r="B6" s="32" t="s">
        <v>193</v>
      </c>
      <c r="C6" s="32" t="s">
        <v>194</v>
      </c>
      <c r="D6" s="32" t="s">
        <v>195</v>
      </c>
      <c r="E6" s="32" t="s">
        <v>196</v>
      </c>
    </row>
    <row r="7" customFormat="false" ht="15" hidden="false" customHeight="true" outlineLevel="0" collapsed="false">
      <c r="A7" s="33" t="n">
        <v>2</v>
      </c>
      <c r="B7" s="33" t="s">
        <v>197</v>
      </c>
      <c r="C7" s="33" t="s">
        <v>198</v>
      </c>
      <c r="D7" s="33" t="s">
        <v>195</v>
      </c>
      <c r="E7" s="33" t="s">
        <v>196</v>
      </c>
    </row>
    <row r="8" customFormat="false" ht="15" hidden="false" customHeight="true" outlineLevel="0" collapsed="false">
      <c r="A8" s="32" t="n">
        <v>3</v>
      </c>
      <c r="B8" s="32" t="s">
        <v>199</v>
      </c>
      <c r="C8" s="32" t="s">
        <v>200</v>
      </c>
      <c r="D8" s="32" t="s">
        <v>195</v>
      </c>
      <c r="E8" s="32" t="s">
        <v>196</v>
      </c>
    </row>
    <row r="9" customFormat="false" ht="15" hidden="false" customHeight="true" outlineLevel="0" collapsed="false">
      <c r="A9" s="33" t="n">
        <v>4</v>
      </c>
      <c r="B9" s="33" t="s">
        <v>201</v>
      </c>
      <c r="C9" s="33" t="s">
        <v>202</v>
      </c>
      <c r="D9" s="33" t="s">
        <v>203</v>
      </c>
      <c r="E9" s="33" t="s">
        <v>196</v>
      </c>
    </row>
    <row r="10" customFormat="false" ht="15" hidden="false" customHeight="true" outlineLevel="0" collapsed="false">
      <c r="A10" s="32" t="n">
        <v>5</v>
      </c>
      <c r="B10" s="32" t="s">
        <v>204</v>
      </c>
      <c r="C10" s="32" t="s">
        <v>205</v>
      </c>
      <c r="D10" s="32" t="s">
        <v>195</v>
      </c>
      <c r="E10" s="32" t="s">
        <v>196</v>
      </c>
    </row>
    <row r="11" customFormat="false" ht="15" hidden="false" customHeight="true" outlineLevel="0" collapsed="false">
      <c r="A11" s="33" t="n">
        <v>6</v>
      </c>
      <c r="B11" s="33" t="s">
        <v>206</v>
      </c>
      <c r="C11" s="33" t="s">
        <v>207</v>
      </c>
      <c r="D11" s="33" t="s">
        <v>203</v>
      </c>
      <c r="E11" s="33" t="s">
        <v>196</v>
      </c>
    </row>
    <row r="12" customFormat="false" ht="15" hidden="false" customHeight="true" outlineLevel="0" collapsed="false">
      <c r="A12" s="32" t="n">
        <v>7</v>
      </c>
      <c r="B12" s="32" t="s">
        <v>208</v>
      </c>
      <c r="C12" s="32" t="s">
        <v>209</v>
      </c>
      <c r="D12" s="32" t="s">
        <v>203</v>
      </c>
      <c r="E12" s="32" t="s">
        <v>196</v>
      </c>
    </row>
    <row r="13" customFormat="false" ht="15" hidden="false" customHeight="true" outlineLevel="0" collapsed="false">
      <c r="A13" s="33" t="n">
        <v>8</v>
      </c>
      <c r="B13" s="33" t="s">
        <v>210</v>
      </c>
      <c r="C13" s="33" t="s">
        <v>211</v>
      </c>
      <c r="D13" s="33" t="s">
        <v>203</v>
      </c>
      <c r="E13" s="33" t="s">
        <v>196</v>
      </c>
    </row>
    <row r="14" customFormat="false" ht="15" hidden="false" customHeight="true" outlineLevel="0" collapsed="false">
      <c r="A14" s="32" t="n">
        <v>9</v>
      </c>
      <c r="B14" s="32" t="s">
        <v>212</v>
      </c>
      <c r="C14" s="32" t="s">
        <v>213</v>
      </c>
      <c r="D14" s="32" t="s">
        <v>195</v>
      </c>
      <c r="E14" s="32" t="s">
        <v>196</v>
      </c>
    </row>
    <row r="15" customFormat="false" ht="15" hidden="false" customHeight="true" outlineLevel="0" collapsed="false">
      <c r="A15" s="33" t="n">
        <v>10</v>
      </c>
      <c r="B15" s="33" t="s">
        <v>214</v>
      </c>
      <c r="C15" s="33" t="s">
        <v>215</v>
      </c>
      <c r="D15" s="33" t="s">
        <v>195</v>
      </c>
      <c r="E15" s="33" t="s">
        <v>196</v>
      </c>
    </row>
    <row r="16" customFormat="false" ht="15" hidden="false" customHeight="true" outlineLevel="0" collapsed="false">
      <c r="A16" s="32" t="n">
        <v>11</v>
      </c>
      <c r="B16" s="32" t="s">
        <v>216</v>
      </c>
      <c r="C16" s="32" t="s">
        <v>217</v>
      </c>
      <c r="D16" s="32" t="s">
        <v>195</v>
      </c>
      <c r="E16" s="32" t="s">
        <v>196</v>
      </c>
    </row>
    <row r="17" customFormat="false" ht="15" hidden="false" customHeight="true" outlineLevel="0" collapsed="false">
      <c r="A17" s="33" t="n">
        <v>12</v>
      </c>
      <c r="B17" s="33" t="s">
        <v>218</v>
      </c>
      <c r="C17" s="33" t="s">
        <v>219</v>
      </c>
      <c r="D17" s="33" t="s">
        <v>195</v>
      </c>
      <c r="E17" s="33" t="s">
        <v>196</v>
      </c>
    </row>
    <row r="18" customFormat="false" ht="15" hidden="false" customHeight="true" outlineLevel="0" collapsed="false">
      <c r="A18" s="32" t="n">
        <v>13</v>
      </c>
      <c r="B18" s="32" t="s">
        <v>220</v>
      </c>
      <c r="C18" s="32" t="s">
        <v>221</v>
      </c>
      <c r="D18" s="32" t="s">
        <v>195</v>
      </c>
      <c r="E18" s="32" t="s">
        <v>196</v>
      </c>
    </row>
    <row r="19" customFormat="false" ht="15" hidden="false" customHeight="true" outlineLevel="0" collapsed="false">
      <c r="A19" s="33" t="n">
        <v>14</v>
      </c>
      <c r="B19" s="33" t="s">
        <v>222</v>
      </c>
      <c r="C19" s="33" t="s">
        <v>223</v>
      </c>
      <c r="D19" s="33" t="s">
        <v>195</v>
      </c>
      <c r="E19" s="33" t="s">
        <v>196</v>
      </c>
    </row>
    <row r="20" customFormat="false" ht="15" hidden="false" customHeight="true" outlineLevel="0" collapsed="false">
      <c r="A20" s="32" t="n">
        <v>15</v>
      </c>
      <c r="B20" s="32" t="s">
        <v>222</v>
      </c>
      <c r="C20" s="32" t="s">
        <v>224</v>
      </c>
      <c r="D20" s="32" t="s">
        <v>195</v>
      </c>
      <c r="E20" s="32" t="s">
        <v>196</v>
      </c>
    </row>
    <row r="21" customFormat="false" ht="15" hidden="false" customHeight="true" outlineLevel="0" collapsed="false">
      <c r="A21" s="33" t="n">
        <v>16</v>
      </c>
      <c r="B21" s="33" t="s">
        <v>222</v>
      </c>
      <c r="C21" s="33" t="s">
        <v>225</v>
      </c>
      <c r="D21" s="33" t="s">
        <v>203</v>
      </c>
      <c r="E21" s="33" t="s">
        <v>196</v>
      </c>
    </row>
    <row r="22" customFormat="false" ht="15" hidden="false" customHeight="true" outlineLevel="0" collapsed="false">
      <c r="A22" s="32" t="n">
        <v>17</v>
      </c>
      <c r="B22" s="32" t="s">
        <v>222</v>
      </c>
      <c r="C22" s="32" t="s">
        <v>226</v>
      </c>
      <c r="D22" s="32" t="s">
        <v>195</v>
      </c>
      <c r="E22" s="32" t="s">
        <v>196</v>
      </c>
    </row>
    <row r="23" customFormat="false" ht="15" hidden="false" customHeight="true" outlineLevel="0" collapsed="false">
      <c r="A23" s="33" t="n">
        <v>18</v>
      </c>
      <c r="B23" s="33" t="s">
        <v>227</v>
      </c>
      <c r="C23" s="33" t="s">
        <v>228</v>
      </c>
      <c r="D23" s="33" t="s">
        <v>195</v>
      </c>
      <c r="E23" s="33" t="s">
        <v>196</v>
      </c>
    </row>
    <row r="24" customFormat="false" ht="15" hidden="false" customHeight="true" outlineLevel="0" collapsed="false">
      <c r="A24" s="32" t="n">
        <v>19</v>
      </c>
      <c r="B24" s="32" t="s">
        <v>229</v>
      </c>
      <c r="C24" s="32" t="s">
        <v>230</v>
      </c>
      <c r="D24" s="32" t="s">
        <v>195</v>
      </c>
      <c r="E24" s="32" t="s">
        <v>196</v>
      </c>
    </row>
    <row r="26" customFormat="false" ht="15" hidden="false" customHeight="true" outlineLevel="0" collapsed="false">
      <c r="A26" s="28" t="s">
        <v>231</v>
      </c>
      <c r="B26" s="28"/>
      <c r="C26" s="28"/>
      <c r="D26" s="28"/>
      <c r="E26" s="28"/>
    </row>
    <row r="27" customFormat="false" ht="15" hidden="false" customHeight="true" outlineLevel="0" collapsed="false">
      <c r="A27" s="34" t="s">
        <v>189</v>
      </c>
      <c r="B27" s="34" t="s">
        <v>232</v>
      </c>
      <c r="C27" s="34" t="s">
        <v>175</v>
      </c>
      <c r="D27" s="34" t="s">
        <v>233</v>
      </c>
      <c r="E27" s="34" t="s">
        <v>192</v>
      </c>
    </row>
    <row r="28" customFormat="false" ht="15" hidden="false" customHeight="true" outlineLevel="0" collapsed="false">
      <c r="A28" s="32" t="n">
        <v>1</v>
      </c>
      <c r="B28" s="32" t="s">
        <v>234</v>
      </c>
      <c r="C28" s="32" t="s">
        <v>235</v>
      </c>
      <c r="D28" s="32" t="s">
        <v>236</v>
      </c>
      <c r="E28" s="32" t="s">
        <v>237</v>
      </c>
    </row>
    <row r="29" customFormat="false" ht="15" hidden="false" customHeight="true" outlineLevel="0" collapsed="false">
      <c r="A29" s="33" t="n">
        <v>2</v>
      </c>
      <c r="B29" s="33" t="s">
        <v>238</v>
      </c>
      <c r="C29" s="33" t="s">
        <v>239</v>
      </c>
      <c r="D29" s="33" t="s">
        <v>236</v>
      </c>
      <c r="E29" s="33" t="s">
        <v>237</v>
      </c>
    </row>
    <row r="30" customFormat="false" ht="15" hidden="false" customHeight="true" outlineLevel="0" collapsed="false">
      <c r="A30" s="32" t="n">
        <v>3</v>
      </c>
      <c r="B30" s="32" t="s">
        <v>240</v>
      </c>
      <c r="C30" s="32" t="s">
        <v>211</v>
      </c>
      <c r="D30" s="32" t="s">
        <v>236</v>
      </c>
      <c r="E30" s="32" t="s">
        <v>237</v>
      </c>
    </row>
    <row r="31" customFormat="false" ht="15" hidden="false" customHeight="true" outlineLevel="0" collapsed="false">
      <c r="A31" s="33" t="n">
        <v>4</v>
      </c>
      <c r="B31" s="33" t="s">
        <v>241</v>
      </c>
      <c r="C31" s="33" t="s">
        <v>242</v>
      </c>
      <c r="D31" s="33" t="s">
        <v>236</v>
      </c>
      <c r="E31" s="33" t="s">
        <v>237</v>
      </c>
    </row>
    <row r="32" customFormat="false" ht="15" hidden="false" customHeight="true" outlineLevel="0" collapsed="false">
      <c r="A32" s="32" t="n">
        <v>5</v>
      </c>
      <c r="B32" s="32" t="s">
        <v>243</v>
      </c>
      <c r="C32" s="32" t="s">
        <v>244</v>
      </c>
      <c r="D32" s="32" t="s">
        <v>236</v>
      </c>
      <c r="E32" s="32" t="s">
        <v>237</v>
      </c>
    </row>
    <row r="33" customFormat="false" ht="15" hidden="false" customHeight="true" outlineLevel="0" collapsed="false">
      <c r="A33" s="33" t="n">
        <v>6</v>
      </c>
      <c r="B33" s="33" t="s">
        <v>245</v>
      </c>
      <c r="C33" s="33" t="s">
        <v>246</v>
      </c>
      <c r="D33" s="33" t="s">
        <v>236</v>
      </c>
      <c r="E33" s="33" t="s">
        <v>237</v>
      </c>
    </row>
    <row r="34" customFormat="false" ht="15" hidden="false" customHeight="true" outlineLevel="0" collapsed="false">
      <c r="A34" s="32" t="n">
        <v>7</v>
      </c>
      <c r="B34" s="32" t="s">
        <v>247</v>
      </c>
      <c r="C34" s="32" t="s">
        <v>248</v>
      </c>
      <c r="D34" s="32" t="s">
        <v>236</v>
      </c>
      <c r="E34" s="32" t="s">
        <v>237</v>
      </c>
    </row>
    <row r="36" customFormat="false" ht="15" hidden="false" customHeight="true" outlineLevel="0" collapsed="false">
      <c r="A36" s="28" t="s">
        <v>249</v>
      </c>
      <c r="B36" s="28"/>
      <c r="C36" s="28"/>
      <c r="D36" s="28"/>
      <c r="E36" s="28"/>
    </row>
    <row r="37" customFormat="false" ht="15" hidden="false" customHeight="true" outlineLevel="0" collapsed="false">
      <c r="A37" s="29" t="s">
        <v>100</v>
      </c>
      <c r="B37" s="35" t="s">
        <v>101</v>
      </c>
      <c r="C37" s="35"/>
      <c r="D37" s="35"/>
      <c r="E37" s="35"/>
    </row>
    <row r="38" customFormat="false" ht="15" hidden="false" customHeight="true" outlineLevel="0" collapsed="false">
      <c r="A38" s="29" t="s">
        <v>102</v>
      </c>
      <c r="B38" s="35" t="s">
        <v>103</v>
      </c>
      <c r="C38" s="35"/>
      <c r="D38" s="35"/>
      <c r="E38" s="35"/>
    </row>
    <row r="39" customFormat="false" ht="15" hidden="false" customHeight="true" outlineLevel="0" collapsed="false">
      <c r="A39" s="29" t="s">
        <v>250</v>
      </c>
      <c r="B39" s="35" t="s">
        <v>251</v>
      </c>
      <c r="C39" s="35"/>
      <c r="D39" s="35"/>
      <c r="E39" s="35"/>
    </row>
    <row r="40" customFormat="false" ht="15" hidden="false" customHeight="true" outlineLevel="0" collapsed="false">
      <c r="A40" s="29" t="s">
        <v>252</v>
      </c>
      <c r="B40" s="35" t="s">
        <v>253</v>
      </c>
      <c r="C40" s="35"/>
      <c r="D40" s="35"/>
      <c r="E40" s="35"/>
    </row>
    <row r="41" customFormat="false" ht="15" hidden="false" customHeight="true" outlineLevel="0" collapsed="false">
      <c r="A41" s="29" t="s">
        <v>254</v>
      </c>
      <c r="B41" s="35" t="s">
        <v>255</v>
      </c>
      <c r="C41" s="35"/>
      <c r="D41" s="35"/>
      <c r="E41" s="35"/>
    </row>
  </sheetData>
  <mergeCells count="8">
    <mergeCell ref="A4:E4"/>
    <mergeCell ref="A26:E26"/>
    <mergeCell ref="A36:E36"/>
    <mergeCell ref="B37:E37"/>
    <mergeCell ref="B38:E38"/>
    <mergeCell ref="B39:E39"/>
    <mergeCell ref="B40:E40"/>
    <mergeCell ref="B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8" min="3" style="1" width="14"/>
  </cols>
  <sheetData>
    <row r="1" customFormat="false" ht="19.5" hidden="false" customHeight="true" outlineLevel="0" collapsed="false">
      <c r="A1" s="2" t="s">
        <v>256</v>
      </c>
    </row>
    <row r="3" customFormat="false" ht="15" hidden="false" customHeight="true" outlineLevel="0" collapsed="false">
      <c r="A3" s="26" t="s">
        <v>257</v>
      </c>
      <c r="B3" s="26" t="s">
        <v>175</v>
      </c>
      <c r="C3" s="26" t="s">
        <v>167</v>
      </c>
      <c r="D3" s="26" t="s">
        <v>168</v>
      </c>
      <c r="E3" s="26" t="s">
        <v>258</v>
      </c>
      <c r="F3" s="26" t="s">
        <v>259</v>
      </c>
      <c r="G3" s="26" t="s">
        <v>260</v>
      </c>
      <c r="H3" s="26" t="s">
        <v>261</v>
      </c>
    </row>
    <row r="4" customFormat="false" ht="15" hidden="false" customHeight="true" outlineLevel="0" collapsed="false">
      <c r="A4" s="5" t="s">
        <v>262</v>
      </c>
      <c r="B4" s="5" t="s">
        <v>263</v>
      </c>
      <c r="C4" s="6" t="n">
        <v>16300</v>
      </c>
      <c r="D4" s="6" t="n">
        <v>16550</v>
      </c>
      <c r="E4" s="6" t="n">
        <v>6172.5</v>
      </c>
      <c r="F4" s="10" t="n">
        <f aca="false">D4-E4</f>
        <v>10377.5</v>
      </c>
      <c r="G4" s="6" t="n">
        <v>0</v>
      </c>
      <c r="H4" s="36" t="n">
        <f aca="false">IFERROR(E4/D4,0)</f>
        <v>0.372960725075529</v>
      </c>
    </row>
    <row r="5" customFormat="false" ht="15" hidden="false" customHeight="true" outlineLevel="0" collapsed="false">
      <c r="A5" s="5" t="s">
        <v>264</v>
      </c>
      <c r="B5" s="5" t="s">
        <v>265</v>
      </c>
      <c r="C5" s="6" t="n">
        <v>24400</v>
      </c>
      <c r="D5" s="6" t="n">
        <v>25450</v>
      </c>
      <c r="E5" s="6" t="n">
        <v>19701</v>
      </c>
      <c r="F5" s="10" t="n">
        <f aca="false">D5-E5</f>
        <v>5749</v>
      </c>
      <c r="G5" s="6" t="n">
        <v>0</v>
      </c>
      <c r="H5" s="36" t="n">
        <f aca="false">IFERROR(E5/D5,0)</f>
        <v>0.774106090373281</v>
      </c>
    </row>
    <row r="6" customFormat="false" ht="15" hidden="false" customHeight="true" outlineLevel="0" collapsed="false">
      <c r="A6" s="5" t="s">
        <v>266</v>
      </c>
      <c r="B6" s="5" t="s">
        <v>267</v>
      </c>
      <c r="C6" s="6" t="n">
        <v>21500</v>
      </c>
      <c r="D6" s="6" t="n">
        <v>18940</v>
      </c>
      <c r="E6" s="6" t="n">
        <v>17320</v>
      </c>
      <c r="F6" s="10" t="n">
        <f aca="false">D6-E6</f>
        <v>1620</v>
      </c>
      <c r="G6" s="6" t="n">
        <v>0</v>
      </c>
      <c r="H6" s="36" t="n">
        <f aca="false">IFERROR(E6/D6,0)</f>
        <v>0.914466737064414</v>
      </c>
    </row>
    <row r="7" customFormat="false" ht="15" hidden="false" customHeight="true" outlineLevel="0" collapsed="false">
      <c r="A7" s="5" t="s">
        <v>268</v>
      </c>
      <c r="B7" s="5" t="s">
        <v>269</v>
      </c>
      <c r="C7" s="6" t="n">
        <v>123400</v>
      </c>
      <c r="D7" s="6" t="n">
        <v>102722</v>
      </c>
      <c r="E7" s="6" t="n">
        <v>70146.5</v>
      </c>
      <c r="F7" s="10" t="n">
        <f aca="false">D7-E7</f>
        <v>32575.5</v>
      </c>
      <c r="G7" s="6" t="n">
        <v>0</v>
      </c>
      <c r="H7" s="36" t="n">
        <f aca="false">IFERROR(E7/D7,0)</f>
        <v>0.682877085726524</v>
      </c>
    </row>
    <row r="8" customFormat="false" ht="15" hidden="false" customHeight="true" outlineLevel="0" collapsed="false">
      <c r="A8" s="5" t="s">
        <v>270</v>
      </c>
      <c r="B8" s="5" t="s">
        <v>271</v>
      </c>
      <c r="C8" s="6" t="n">
        <v>21400</v>
      </c>
      <c r="D8" s="6" t="n">
        <v>21796</v>
      </c>
      <c r="E8" s="6" t="n">
        <v>13477.82</v>
      </c>
      <c r="F8" s="10" t="n">
        <f aca="false">D8-E8</f>
        <v>8318.18</v>
      </c>
      <c r="G8" s="6" t="n">
        <v>0</v>
      </c>
      <c r="H8" s="36" t="n">
        <f aca="false">IFERROR(E8/D8,0)</f>
        <v>0.618362084786199</v>
      </c>
    </row>
    <row r="9" customFormat="false" ht="15" hidden="false" customHeight="true" outlineLevel="0" collapsed="false">
      <c r="A9" s="5" t="s">
        <v>272</v>
      </c>
      <c r="B9" s="5" t="s">
        <v>273</v>
      </c>
      <c r="C9" s="6" t="n">
        <v>387125</v>
      </c>
      <c r="D9" s="6" t="n">
        <v>326457</v>
      </c>
      <c r="E9" s="6" t="n">
        <v>261842.25</v>
      </c>
      <c r="F9" s="10" t="n">
        <f aca="false">D9-E9</f>
        <v>64614.75</v>
      </c>
      <c r="G9" s="6" t="n">
        <v>0</v>
      </c>
      <c r="H9" s="36" t="n">
        <f aca="false">IFERROR(E9/D9,0)</f>
        <v>0.802072707891085</v>
      </c>
    </row>
    <row r="10" customFormat="false" ht="15" hidden="false" customHeight="true" outlineLevel="0" collapsed="false">
      <c r="A10" s="5" t="s">
        <v>274</v>
      </c>
      <c r="B10" s="5" t="s">
        <v>275</v>
      </c>
      <c r="C10" s="6" t="n">
        <v>59000</v>
      </c>
      <c r="D10" s="6" t="n">
        <v>59314</v>
      </c>
      <c r="E10" s="6" t="n">
        <v>74007.5</v>
      </c>
      <c r="F10" s="10" t="n">
        <f aca="false">D10-E10</f>
        <v>-14693.5</v>
      </c>
      <c r="G10" s="6" t="n">
        <v>0</v>
      </c>
      <c r="H10" s="36" t="n">
        <f aca="false">IFERROR(E10/D10,0)</f>
        <v>1.24772397747581</v>
      </c>
    </row>
    <row r="11" customFormat="false" ht="15" hidden="false" customHeight="true" outlineLevel="0" collapsed="false">
      <c r="A11" s="5" t="s">
        <v>276</v>
      </c>
      <c r="B11" s="5" t="s">
        <v>277</v>
      </c>
      <c r="C11" s="6" t="n">
        <v>11900</v>
      </c>
      <c r="D11" s="6" t="n">
        <v>14255</v>
      </c>
      <c r="E11" s="6" t="n">
        <v>10694</v>
      </c>
      <c r="F11" s="10" t="n">
        <f aca="false">D11-E11</f>
        <v>3561</v>
      </c>
      <c r="G11" s="6" t="n">
        <v>0</v>
      </c>
      <c r="H11" s="36" t="n">
        <f aca="false">IFERROR(E11/D11,0)</f>
        <v>0.750192914766749</v>
      </c>
    </row>
    <row r="12" customFormat="false" ht="15" hidden="false" customHeight="true" outlineLevel="0" collapsed="false">
      <c r="A12" s="5" t="s">
        <v>278</v>
      </c>
      <c r="B12" s="5" t="s">
        <v>279</v>
      </c>
      <c r="C12" s="6" t="n">
        <v>55300</v>
      </c>
      <c r="D12" s="6" t="n">
        <v>55500</v>
      </c>
      <c r="E12" s="6" t="n">
        <v>46255</v>
      </c>
      <c r="F12" s="10" t="n">
        <f aca="false">D12-E12</f>
        <v>9245</v>
      </c>
      <c r="G12" s="6" t="n">
        <v>0</v>
      </c>
      <c r="H12" s="36" t="n">
        <f aca="false">IFERROR(E12/D12,0)</f>
        <v>0.833423423423424</v>
      </c>
    </row>
    <row r="13" customFormat="false" ht="15" hidden="false" customHeight="true" outlineLevel="0" collapsed="false">
      <c r="A13" s="5" t="s">
        <v>280</v>
      </c>
      <c r="B13" s="5" t="s">
        <v>281</v>
      </c>
      <c r="C13" s="6" t="n">
        <v>17000</v>
      </c>
      <c r="D13" s="6" t="n">
        <v>17000</v>
      </c>
      <c r="E13" s="6" t="n">
        <v>16058</v>
      </c>
      <c r="F13" s="10" t="n">
        <f aca="false">D13-E13</f>
        <v>942</v>
      </c>
      <c r="G13" s="6" t="n">
        <v>0</v>
      </c>
      <c r="H13" s="36" t="n">
        <f aca="false">IFERROR(E13/D13,0)</f>
        <v>0.944588235294118</v>
      </c>
    </row>
    <row r="14" customFormat="false" ht="15" hidden="false" customHeight="true" outlineLevel="0" collapsed="false">
      <c r="A14" s="5" t="s">
        <v>282</v>
      </c>
      <c r="B14" s="5" t="s">
        <v>283</v>
      </c>
      <c r="C14" s="6" t="n">
        <v>0</v>
      </c>
      <c r="D14" s="6" t="n">
        <v>0</v>
      </c>
      <c r="E14" s="6" t="n">
        <v>416</v>
      </c>
      <c r="F14" s="10" t="n">
        <f aca="false">D14-E14</f>
        <v>-416</v>
      </c>
      <c r="G14" s="6" t="n">
        <v>0</v>
      </c>
      <c r="H14" s="36" t="n">
        <f aca="false">IFERROR(E14/D14,0)</f>
        <v>0</v>
      </c>
    </row>
    <row r="15" customFormat="false" ht="15" hidden="false" customHeight="true" outlineLevel="0" collapsed="false">
      <c r="A15" s="5" t="s">
        <v>284</v>
      </c>
      <c r="B15" s="5" t="s">
        <v>285</v>
      </c>
      <c r="C15" s="6" t="n">
        <v>13000</v>
      </c>
      <c r="D15" s="6" t="n">
        <v>10100</v>
      </c>
      <c r="E15" s="6" t="n">
        <v>9764.8</v>
      </c>
      <c r="F15" s="10" t="n">
        <f aca="false">D15-E15</f>
        <v>335.200000000001</v>
      </c>
      <c r="G15" s="6" t="n">
        <v>0</v>
      </c>
      <c r="H15" s="36" t="n">
        <f aca="false">IFERROR(E15/D15,0)</f>
        <v>0.966811881188119</v>
      </c>
    </row>
    <row r="16" customFormat="false" ht="15" hidden="false" customHeight="true" outlineLevel="0" collapsed="false">
      <c r="A16" s="5" t="s">
        <v>286</v>
      </c>
      <c r="B16" s="5" t="s">
        <v>287</v>
      </c>
      <c r="C16" s="6" t="n">
        <v>75760</v>
      </c>
      <c r="D16" s="6" t="n">
        <v>59835</v>
      </c>
      <c r="E16" s="6" t="n">
        <v>9727.46</v>
      </c>
      <c r="F16" s="10" t="n">
        <f aca="false">D16-E16</f>
        <v>50107.54</v>
      </c>
      <c r="G16" s="6" t="n">
        <v>0</v>
      </c>
      <c r="H16" s="36" t="n">
        <f aca="false">IFERROR(E16/D16,0)</f>
        <v>0.162571404696248</v>
      </c>
    </row>
    <row r="17" customFormat="false" ht="15" hidden="false" customHeight="true" outlineLevel="0" collapsed="false">
      <c r="A17" s="5" t="s">
        <v>288</v>
      </c>
      <c r="B17" s="5" t="s">
        <v>289</v>
      </c>
      <c r="C17" s="6" t="n">
        <v>21400</v>
      </c>
      <c r="D17" s="6" t="n">
        <v>21996</v>
      </c>
      <c r="E17" s="6" t="n">
        <v>13552.21</v>
      </c>
      <c r="F17" s="10" t="n">
        <f aca="false">D17-E17</f>
        <v>8443.79</v>
      </c>
      <c r="G17" s="6" t="n">
        <v>0</v>
      </c>
      <c r="H17" s="36" t="n">
        <f aca="false">IFERROR(E17/D17,0)</f>
        <v>0.616121567557738</v>
      </c>
    </row>
    <row r="18" customFormat="false" ht="15" hidden="false" customHeight="true" outlineLevel="0" collapsed="false">
      <c r="A18" s="5" t="s">
        <v>290</v>
      </c>
      <c r="B18" s="5" t="s">
        <v>291</v>
      </c>
      <c r="C18" s="6" t="n">
        <v>230840</v>
      </c>
      <c r="D18" s="6" t="n">
        <v>145597</v>
      </c>
      <c r="E18" s="6" t="n">
        <v>47851.97</v>
      </c>
      <c r="F18" s="10" t="n">
        <f aca="false">D18-E18</f>
        <v>97745.03</v>
      </c>
      <c r="G18" s="6" t="n">
        <v>0</v>
      </c>
      <c r="H18" s="36" t="n">
        <f aca="false">IFERROR(E18/D18,0)</f>
        <v>0.328660411959038</v>
      </c>
    </row>
    <row r="19" customFormat="false" ht="15" hidden="false" customHeight="true" outlineLevel="0" collapsed="false">
      <c r="A19" s="5" t="s">
        <v>292</v>
      </c>
      <c r="B19" s="5" t="s">
        <v>293</v>
      </c>
      <c r="C19" s="6" t="n">
        <v>332585</v>
      </c>
      <c r="D19" s="6" t="n">
        <v>352190</v>
      </c>
      <c r="E19" s="6" t="n">
        <v>281538.12</v>
      </c>
      <c r="F19" s="10" t="n">
        <f aca="false">D19-E19</f>
        <v>70651.88</v>
      </c>
      <c r="G19" s="6" t="n">
        <v>0</v>
      </c>
      <c r="H19" s="36" t="n">
        <f aca="false">IFERROR(E19/D19,0)</f>
        <v>0.799392714159971</v>
      </c>
    </row>
    <row r="20" customFormat="false" ht="15" hidden="false" customHeight="true" outlineLevel="0" collapsed="false">
      <c r="A20" s="5" t="s">
        <v>294</v>
      </c>
      <c r="B20" s="5" t="s">
        <v>295</v>
      </c>
      <c r="C20" s="6" t="n">
        <v>9800</v>
      </c>
      <c r="D20" s="6" t="n">
        <v>12214</v>
      </c>
      <c r="E20" s="6" t="n">
        <v>5341.44</v>
      </c>
      <c r="F20" s="10" t="n">
        <f aca="false">D20-E20</f>
        <v>6872.56</v>
      </c>
      <c r="G20" s="6" t="n">
        <v>0</v>
      </c>
      <c r="H20" s="36" t="n">
        <f aca="false">IFERROR(E20/D20,0)</f>
        <v>0.437321106926478</v>
      </c>
    </row>
    <row r="21" customFormat="false" ht="15" hidden="false" customHeight="true" outlineLevel="0" collapsed="false">
      <c r="A21" s="5" t="s">
        <v>296</v>
      </c>
      <c r="B21" s="5" t="s">
        <v>297</v>
      </c>
      <c r="C21" s="6" t="n">
        <v>51400</v>
      </c>
      <c r="D21" s="6" t="n">
        <v>51400</v>
      </c>
      <c r="E21" s="6" t="n">
        <v>43355.63</v>
      </c>
      <c r="F21" s="10" t="n">
        <f aca="false">D21-E21</f>
        <v>8044.37</v>
      </c>
      <c r="G21" s="6" t="n">
        <v>0</v>
      </c>
      <c r="H21" s="36" t="n">
        <f aca="false">IFERROR(E21/D21,0)</f>
        <v>0.843494747081712</v>
      </c>
    </row>
    <row r="22" customFormat="false" ht="15" hidden="false" customHeight="true" outlineLevel="0" collapsed="false">
      <c r="A22" s="5" t="s">
        <v>298</v>
      </c>
      <c r="B22" s="5" t="s">
        <v>299</v>
      </c>
      <c r="C22" s="6" t="n">
        <v>20400</v>
      </c>
      <c r="D22" s="6" t="n">
        <v>20400</v>
      </c>
      <c r="E22" s="6" t="n">
        <v>20399.37</v>
      </c>
      <c r="F22" s="10" t="n">
        <f aca="false">D22-E22</f>
        <v>0.630000000001019</v>
      </c>
      <c r="G22" s="6" t="n">
        <v>0</v>
      </c>
      <c r="H22" s="36" t="n">
        <f aca="false">IFERROR(E22/D22,0)</f>
        <v>0.999969117647059</v>
      </c>
    </row>
    <row r="23" customFormat="false" ht="15" hidden="false" customHeight="true" outlineLevel="0" collapsed="false">
      <c r="A23" s="5" t="s">
        <v>300</v>
      </c>
      <c r="B23" s="5" t="s">
        <v>301</v>
      </c>
      <c r="C23" s="6" t="n">
        <v>0</v>
      </c>
      <c r="D23" s="6" t="n">
        <v>0</v>
      </c>
      <c r="E23" s="6" t="n">
        <v>0</v>
      </c>
      <c r="F23" s="10" t="n">
        <f aca="false">D23-E23</f>
        <v>0</v>
      </c>
      <c r="G23" s="6" t="n">
        <v>0</v>
      </c>
      <c r="H23" s="36" t="n">
        <f aca="false">IFERROR(E23/D23,0)</f>
        <v>0</v>
      </c>
    </row>
    <row r="24" customFormat="false" ht="15" hidden="false" customHeight="true" outlineLevel="0" collapsed="false">
      <c r="A24" s="5" t="s">
        <v>302</v>
      </c>
      <c r="B24" s="5" t="s">
        <v>303</v>
      </c>
      <c r="C24" s="6" t="n">
        <v>2500</v>
      </c>
      <c r="D24" s="6" t="n">
        <v>31650</v>
      </c>
      <c r="E24" s="6" t="n">
        <v>33715</v>
      </c>
      <c r="F24" s="10" t="n">
        <f aca="false">D24-E24</f>
        <v>-2065</v>
      </c>
      <c r="G24" s="6" t="n">
        <v>0</v>
      </c>
      <c r="H24" s="36" t="n">
        <f aca="false">IFERROR(E24/D24,0)</f>
        <v>1.0652448657188</v>
      </c>
    </row>
    <row r="25" customFormat="false" ht="15" hidden="false" customHeight="true" outlineLevel="0" collapsed="false">
      <c r="A25" s="5" t="s">
        <v>304</v>
      </c>
      <c r="B25" s="5" t="s">
        <v>305</v>
      </c>
      <c r="C25" s="6" t="n">
        <v>45000</v>
      </c>
      <c r="D25" s="6" t="n">
        <v>48022</v>
      </c>
      <c r="E25" s="6" t="n">
        <v>22226.25</v>
      </c>
      <c r="F25" s="10" t="n">
        <f aca="false">D25-E25</f>
        <v>25795.75</v>
      </c>
      <c r="G25" s="6" t="n">
        <v>0</v>
      </c>
      <c r="H25" s="36" t="n">
        <f aca="false">IFERROR(E25/D25,0)</f>
        <v>0.462834742409729</v>
      </c>
    </row>
    <row r="26" customFormat="false" ht="15" hidden="false" customHeight="true" outlineLevel="0" collapsed="false">
      <c r="A26" s="5" t="s">
        <v>306</v>
      </c>
      <c r="B26" s="5" t="s">
        <v>307</v>
      </c>
      <c r="C26" s="6" t="n">
        <v>334376.89</v>
      </c>
      <c r="D26" s="6" t="n">
        <v>298673.44</v>
      </c>
      <c r="E26" s="6" t="n">
        <v>230366.76</v>
      </c>
      <c r="F26" s="10" t="n">
        <f aca="false">D26-E26</f>
        <v>68306.68</v>
      </c>
      <c r="G26" s="6" t="n">
        <v>0</v>
      </c>
      <c r="H26" s="36" t="n">
        <f aca="false">IFERROR(E26/D26,0)</f>
        <v>0.771299784808452</v>
      </c>
    </row>
    <row r="27" customFormat="false" ht="15" hidden="false" customHeight="true" outlineLevel="0" collapsed="false">
      <c r="A27" s="5" t="s">
        <v>308</v>
      </c>
      <c r="B27" s="5" t="s">
        <v>309</v>
      </c>
      <c r="C27" s="6" t="n">
        <v>56405.36</v>
      </c>
      <c r="D27" s="6" t="n">
        <v>50335.78</v>
      </c>
      <c r="E27" s="6" t="n">
        <v>41157.17</v>
      </c>
      <c r="F27" s="10" t="n">
        <f aca="false">D27-E27</f>
        <v>9178.61</v>
      </c>
      <c r="G27" s="6" t="n">
        <v>0</v>
      </c>
      <c r="H27" s="36" t="n">
        <f aca="false">IFERROR(E27/D27,0)</f>
        <v>0.817652373719052</v>
      </c>
    </row>
    <row r="28" customFormat="false" ht="15" hidden="false" customHeight="true" outlineLevel="0" collapsed="false">
      <c r="A28" s="13" t="s">
        <v>310</v>
      </c>
      <c r="C28" s="7" t="n">
        <f aca="false">SUM(C4:C27)</f>
        <v>1930792.25</v>
      </c>
      <c r="D28" s="7" t="n">
        <f aca="false">SUM(D4:D27)</f>
        <v>1760397.22</v>
      </c>
      <c r="E28" s="7" t="n">
        <f aca="false">SUM(E4:E27)</f>
        <v>1295086.75</v>
      </c>
      <c r="F28" s="7" t="n">
        <f aca="false">SUM(F4:F27)</f>
        <v>465310.47</v>
      </c>
      <c r="G28" s="7" t="n">
        <f aca="false">SUM(G4:G27)</f>
        <v>0</v>
      </c>
      <c r="H28" s="8" t="n">
        <f aca="false">IFERROR(E28/D28,0)</f>
        <v>0.735678706650082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6" min="3" style="1" width="16"/>
  </cols>
  <sheetData>
    <row r="1" customFormat="false" ht="19.5" hidden="false" customHeight="true" outlineLevel="0" collapsed="false">
      <c r="A1" s="2" t="s">
        <v>311</v>
      </c>
    </row>
    <row r="3" customFormat="false" ht="15" hidden="false" customHeight="true" outlineLevel="0" collapsed="false">
      <c r="A3" s="26" t="s">
        <v>312</v>
      </c>
      <c r="B3" s="26" t="s">
        <v>313</v>
      </c>
      <c r="C3" s="26" t="s">
        <v>314</v>
      </c>
      <c r="D3" s="26" t="s">
        <v>258</v>
      </c>
      <c r="E3" s="26" t="s">
        <v>259</v>
      </c>
      <c r="F3" s="26" t="s">
        <v>261</v>
      </c>
    </row>
    <row r="4" customFormat="false" ht="15" hidden="false" customHeight="true" outlineLevel="0" collapsed="false">
      <c r="A4" s="13" t="s">
        <v>315</v>
      </c>
      <c r="B4" s="5" t="n">
        <v>11</v>
      </c>
      <c r="C4" s="6" t="n">
        <v>657984</v>
      </c>
      <c r="D4" s="6" t="n">
        <v>536090.57</v>
      </c>
      <c r="E4" s="10" t="n">
        <f aca="false">C4-D4</f>
        <v>121893.43</v>
      </c>
      <c r="F4" s="36" t="n">
        <f aca="false">IFERROR(D4/C4,0)</f>
        <v>0.814747121510553</v>
      </c>
    </row>
    <row r="5" customFormat="false" ht="15" hidden="false" customHeight="true" outlineLevel="0" collapsed="false">
      <c r="A5" s="13" t="s">
        <v>316</v>
      </c>
      <c r="B5" s="5" t="n">
        <v>9</v>
      </c>
      <c r="C5" s="6" t="n">
        <v>673732</v>
      </c>
      <c r="D5" s="6" t="n">
        <v>431531</v>
      </c>
      <c r="E5" s="10" t="n">
        <f aca="false">C5-D5</f>
        <v>242201</v>
      </c>
      <c r="F5" s="36" t="n">
        <f aca="false">IFERROR(D5/C5,0)</f>
        <v>0.640508392060938</v>
      </c>
    </row>
    <row r="6" customFormat="false" ht="15" hidden="false" customHeight="true" outlineLevel="0" collapsed="false">
      <c r="A6" s="13" t="s">
        <v>317</v>
      </c>
      <c r="B6" s="5" t="n">
        <v>2</v>
      </c>
      <c r="C6" s="6" t="n">
        <v>79672</v>
      </c>
      <c r="D6" s="6" t="n">
        <v>55941.25</v>
      </c>
      <c r="E6" s="10" t="n">
        <f aca="false">C6-D6</f>
        <v>23730.75</v>
      </c>
      <c r="F6" s="36" t="n">
        <f aca="false">IFERROR(D6/C6,0)</f>
        <v>0.702144417110152</v>
      </c>
    </row>
    <row r="7" customFormat="false" ht="15" hidden="false" customHeight="true" outlineLevel="0" collapsed="false">
      <c r="A7" s="13" t="s">
        <v>318</v>
      </c>
      <c r="B7" s="5" t="n">
        <v>2</v>
      </c>
      <c r="C7" s="6" t="n">
        <v>349009.22</v>
      </c>
      <c r="D7" s="6" t="n">
        <v>271523.93</v>
      </c>
      <c r="E7" s="10" t="n">
        <f aca="false">C7-D7</f>
        <v>77485.29</v>
      </c>
      <c r="F7" s="36" t="n">
        <f aca="false">IFERROR(D7/C7,0)</f>
        <v>0.777984977015794</v>
      </c>
    </row>
    <row r="8" customFormat="false" ht="15" hidden="false" customHeight="true" outlineLevel="0" collapsed="false">
      <c r="A8" s="13" t="s">
        <v>310</v>
      </c>
      <c r="B8" s="37" t="n">
        <f aca="false">SUM(B4:B7)</f>
        <v>24</v>
      </c>
      <c r="C8" s="7" t="n">
        <f aca="false">SUM(C4:C7)</f>
        <v>1760397.22</v>
      </c>
      <c r="D8" s="7" t="n">
        <f aca="false">SUM(D4:D7)</f>
        <v>1295086.75</v>
      </c>
      <c r="E8" s="7" t="n">
        <f aca="false">SUM(E4:E7)</f>
        <v>465310.47</v>
      </c>
      <c r="F8" s="8" t="n">
        <f aca="false">IFERROR(D8/C8,0)</f>
        <v>0.735678706650082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5" min="3" style="1" width="14"/>
    <col collapsed="false" customWidth="true" hidden="false" outlineLevel="0" max="6" min="6" style="1" width="10"/>
    <col collapsed="false" customWidth="true" hidden="false" outlineLevel="0" max="7" min="7" style="1" width="14"/>
  </cols>
  <sheetData>
    <row r="1" customFormat="false" ht="19.5" hidden="false" customHeight="true" outlineLevel="0" collapsed="false">
      <c r="A1" s="2" t="s">
        <v>319</v>
      </c>
    </row>
    <row r="2" customFormat="false" ht="15" hidden="false" customHeight="true" outlineLevel="0" collapsed="false">
      <c r="A2" s="3" t="s">
        <v>320</v>
      </c>
    </row>
    <row r="4" customFormat="false" ht="15" hidden="false" customHeight="true" outlineLevel="0" collapsed="false">
      <c r="A4" s="26" t="s">
        <v>257</v>
      </c>
      <c r="B4" s="26" t="s">
        <v>175</v>
      </c>
      <c r="C4" s="26" t="s">
        <v>168</v>
      </c>
      <c r="D4" s="26" t="s">
        <v>258</v>
      </c>
      <c r="E4" s="26" t="s">
        <v>259</v>
      </c>
      <c r="F4" s="26" t="s">
        <v>321</v>
      </c>
      <c r="G4" s="26" t="s">
        <v>233</v>
      </c>
    </row>
    <row r="5" customFormat="false" ht="15" hidden="false" customHeight="true" outlineLevel="0" collapsed="false">
      <c r="A5" s="5" t="s">
        <v>262</v>
      </c>
      <c r="B5" s="5" t="s">
        <v>263</v>
      </c>
      <c r="C5" s="6" t="n">
        <v>16550</v>
      </c>
      <c r="D5" s="6" t="n">
        <v>6172.5</v>
      </c>
      <c r="E5" s="10" t="n">
        <f aca="false">C5-D5</f>
        <v>10377.5</v>
      </c>
      <c r="F5" s="36" t="n">
        <f aca="false">IFERROR((D5-C5)/C5,0)</f>
        <v>-0.627039274924471</v>
      </c>
      <c r="G5" s="38" t="str">
        <f aca="false">IF(C5=0,"UNBUDGETED",IF(F5&gt;0.5,"CRITICAL",IF(F5&gt;0.1,"OVER",IF(F5&lt;-0.1,"UNDER","ON"))))</f>
        <v>UNDER</v>
      </c>
    </row>
    <row r="6" customFormat="false" ht="15" hidden="false" customHeight="true" outlineLevel="0" collapsed="false">
      <c r="A6" s="5" t="s">
        <v>264</v>
      </c>
      <c r="B6" s="5" t="s">
        <v>265</v>
      </c>
      <c r="C6" s="6" t="n">
        <v>25450</v>
      </c>
      <c r="D6" s="6" t="n">
        <v>19701</v>
      </c>
      <c r="E6" s="10" t="n">
        <f aca="false">C6-D6</f>
        <v>5749</v>
      </c>
      <c r="F6" s="36" t="n">
        <f aca="false">IFERROR((D6-C6)/C6,0)</f>
        <v>-0.225893909626719</v>
      </c>
      <c r="G6" s="38" t="str">
        <f aca="false">IF(C6=0,"UNBUDGETED",IF(F6&gt;0.5,"CRITICAL",IF(F6&gt;0.1,"OVER",IF(F6&lt;-0.1,"UNDER","ON"))))</f>
        <v>UNDER</v>
      </c>
    </row>
    <row r="7" customFormat="false" ht="15" hidden="false" customHeight="true" outlineLevel="0" collapsed="false">
      <c r="A7" s="5" t="s">
        <v>266</v>
      </c>
      <c r="B7" s="5" t="s">
        <v>267</v>
      </c>
      <c r="C7" s="6" t="n">
        <v>18940</v>
      </c>
      <c r="D7" s="6" t="n">
        <v>17320</v>
      </c>
      <c r="E7" s="10" t="n">
        <f aca="false">C7-D7</f>
        <v>1620</v>
      </c>
      <c r="F7" s="36" t="n">
        <f aca="false">IFERROR((D7-C7)/C7,0)</f>
        <v>-0.0855332629355861</v>
      </c>
      <c r="G7" s="38" t="str">
        <f aca="false">IF(C7=0,"UNBUDGETED",IF(F7&gt;0.5,"CRITICAL",IF(F7&gt;0.1,"OVER",IF(F7&lt;-0.1,"UNDER","ON"))))</f>
        <v>ON</v>
      </c>
    </row>
    <row r="8" customFormat="false" ht="15" hidden="false" customHeight="true" outlineLevel="0" collapsed="false">
      <c r="A8" s="5" t="s">
        <v>268</v>
      </c>
      <c r="B8" s="5" t="s">
        <v>269</v>
      </c>
      <c r="C8" s="6" t="n">
        <v>102722</v>
      </c>
      <c r="D8" s="6" t="n">
        <v>70146.5</v>
      </c>
      <c r="E8" s="10" t="n">
        <f aca="false">C8-D8</f>
        <v>32575.5</v>
      </c>
      <c r="F8" s="36" t="n">
        <f aca="false">IFERROR((D8-C8)/C8,0)</f>
        <v>-0.317122914273476</v>
      </c>
      <c r="G8" s="38" t="str">
        <f aca="false">IF(C8=0,"UNBUDGETED",IF(F8&gt;0.5,"CRITICAL",IF(F8&gt;0.1,"OVER",IF(F8&lt;-0.1,"UNDER","ON"))))</f>
        <v>UNDER</v>
      </c>
    </row>
    <row r="9" customFormat="false" ht="15" hidden="false" customHeight="true" outlineLevel="0" collapsed="false">
      <c r="A9" s="5" t="s">
        <v>270</v>
      </c>
      <c r="B9" s="5" t="s">
        <v>271</v>
      </c>
      <c r="C9" s="6" t="n">
        <v>21796</v>
      </c>
      <c r="D9" s="6" t="n">
        <v>13477.82</v>
      </c>
      <c r="E9" s="10" t="n">
        <f aca="false">C9-D9</f>
        <v>8318.18</v>
      </c>
      <c r="F9" s="36" t="n">
        <f aca="false">IFERROR((D9-C9)/C9,0)</f>
        <v>-0.381637915213801</v>
      </c>
      <c r="G9" s="38" t="str">
        <f aca="false">IF(C9=0,"UNBUDGETED",IF(F9&gt;0.5,"CRITICAL",IF(F9&gt;0.1,"OVER",IF(F9&lt;-0.1,"UNDER","ON"))))</f>
        <v>UNDER</v>
      </c>
    </row>
    <row r="10" customFormat="false" ht="15" hidden="false" customHeight="true" outlineLevel="0" collapsed="false">
      <c r="A10" s="5" t="s">
        <v>272</v>
      </c>
      <c r="B10" s="5" t="s">
        <v>273</v>
      </c>
      <c r="C10" s="6" t="n">
        <v>326457</v>
      </c>
      <c r="D10" s="6" t="n">
        <v>261842.25</v>
      </c>
      <c r="E10" s="10" t="n">
        <f aca="false">C10-D10</f>
        <v>64614.75</v>
      </c>
      <c r="F10" s="36" t="n">
        <f aca="false">IFERROR((D10-C10)/C10,0)</f>
        <v>-0.197927292108915</v>
      </c>
      <c r="G10" s="38" t="str">
        <f aca="false">IF(C10=0,"UNBUDGETED",IF(F10&gt;0.5,"CRITICAL",IF(F10&gt;0.1,"OVER",IF(F10&lt;-0.1,"UNDER","ON"))))</f>
        <v>UNDER</v>
      </c>
    </row>
    <row r="11" customFormat="false" ht="15" hidden="false" customHeight="true" outlineLevel="0" collapsed="false">
      <c r="A11" s="5" t="s">
        <v>274</v>
      </c>
      <c r="B11" s="5" t="s">
        <v>275</v>
      </c>
      <c r="C11" s="6" t="n">
        <v>59314</v>
      </c>
      <c r="D11" s="6" t="n">
        <v>74007.5</v>
      </c>
      <c r="E11" s="10" t="n">
        <f aca="false">C11-D11</f>
        <v>-14693.5</v>
      </c>
      <c r="F11" s="36" t="n">
        <f aca="false">IFERROR((D11-C11)/C11,0)</f>
        <v>0.247723977475807</v>
      </c>
      <c r="G11" s="38" t="str">
        <f aca="false">IF(C11=0,"UNBUDGETED",IF(F11&gt;0.5,"CRITICAL",IF(F11&gt;0.1,"OVER",IF(F11&lt;-0.1,"UNDER","ON"))))</f>
        <v>OVER</v>
      </c>
    </row>
    <row r="12" customFormat="false" ht="15" hidden="false" customHeight="true" outlineLevel="0" collapsed="false">
      <c r="A12" s="5" t="s">
        <v>276</v>
      </c>
      <c r="B12" s="5" t="s">
        <v>277</v>
      </c>
      <c r="C12" s="6" t="n">
        <v>14255</v>
      </c>
      <c r="D12" s="6" t="n">
        <v>10694</v>
      </c>
      <c r="E12" s="10" t="n">
        <f aca="false">C12-D12</f>
        <v>3561</v>
      </c>
      <c r="F12" s="36" t="n">
        <f aca="false">IFERROR((D12-C12)/C12,0)</f>
        <v>-0.249807085233251</v>
      </c>
      <c r="G12" s="38" t="str">
        <f aca="false">IF(C12=0,"UNBUDGETED",IF(F12&gt;0.5,"CRITICAL",IF(F12&gt;0.1,"OVER",IF(F12&lt;-0.1,"UNDER","ON"))))</f>
        <v>UNDER</v>
      </c>
    </row>
    <row r="13" customFormat="false" ht="15" hidden="false" customHeight="true" outlineLevel="0" collapsed="false">
      <c r="A13" s="5" t="s">
        <v>278</v>
      </c>
      <c r="B13" s="5" t="s">
        <v>279</v>
      </c>
      <c r="C13" s="6" t="n">
        <v>55500</v>
      </c>
      <c r="D13" s="6" t="n">
        <v>46255</v>
      </c>
      <c r="E13" s="10" t="n">
        <f aca="false">C13-D13</f>
        <v>9245</v>
      </c>
      <c r="F13" s="36" t="n">
        <f aca="false">IFERROR((D13-C13)/C13,0)</f>
        <v>-0.166576576576577</v>
      </c>
      <c r="G13" s="38" t="str">
        <f aca="false">IF(C13=0,"UNBUDGETED",IF(F13&gt;0.5,"CRITICAL",IF(F13&gt;0.1,"OVER",IF(F13&lt;-0.1,"UNDER","ON"))))</f>
        <v>UNDER</v>
      </c>
    </row>
    <row r="14" customFormat="false" ht="15" hidden="false" customHeight="true" outlineLevel="0" collapsed="false">
      <c r="A14" s="5" t="s">
        <v>280</v>
      </c>
      <c r="B14" s="5" t="s">
        <v>281</v>
      </c>
      <c r="C14" s="6" t="n">
        <v>17000</v>
      </c>
      <c r="D14" s="6" t="n">
        <v>16058</v>
      </c>
      <c r="E14" s="10" t="n">
        <f aca="false">C14-D14</f>
        <v>942</v>
      </c>
      <c r="F14" s="36" t="n">
        <f aca="false">IFERROR((D14-C14)/C14,0)</f>
        <v>-0.0554117647058824</v>
      </c>
      <c r="G14" s="38" t="str">
        <f aca="false">IF(C14=0,"UNBUDGETED",IF(F14&gt;0.5,"CRITICAL",IF(F14&gt;0.1,"OVER",IF(F14&lt;-0.1,"UNDER","ON"))))</f>
        <v>ON</v>
      </c>
    </row>
    <row r="15" customFormat="false" ht="15" hidden="false" customHeight="true" outlineLevel="0" collapsed="false">
      <c r="A15" s="5" t="s">
        <v>282</v>
      </c>
      <c r="B15" s="5" t="s">
        <v>283</v>
      </c>
      <c r="C15" s="6" t="n">
        <v>0</v>
      </c>
      <c r="D15" s="6" t="n">
        <v>416</v>
      </c>
      <c r="E15" s="10" t="n">
        <f aca="false">C15-D15</f>
        <v>-416</v>
      </c>
      <c r="F15" s="36" t="n">
        <f aca="false">IFERROR((D15-C15)/C15,0)</f>
        <v>0</v>
      </c>
      <c r="G15" s="38" t="str">
        <f aca="false">IF(C15=0,"UNBUDGETED",IF(F15&gt;0.5,"CRITICAL",IF(F15&gt;0.1,"OVER",IF(F15&lt;-0.1,"UNDER","ON"))))</f>
        <v>UNBUDGETED</v>
      </c>
    </row>
    <row r="16" customFormat="false" ht="15" hidden="false" customHeight="true" outlineLevel="0" collapsed="false">
      <c r="A16" s="5" t="s">
        <v>284</v>
      </c>
      <c r="B16" s="5" t="s">
        <v>285</v>
      </c>
      <c r="C16" s="6" t="n">
        <v>10100</v>
      </c>
      <c r="D16" s="6" t="n">
        <v>9764.8</v>
      </c>
      <c r="E16" s="10" t="n">
        <f aca="false">C16-D16</f>
        <v>335.200000000001</v>
      </c>
      <c r="F16" s="36" t="n">
        <f aca="false">IFERROR((D16-C16)/C16,0)</f>
        <v>-0.0331881188118813</v>
      </c>
      <c r="G16" s="38" t="str">
        <f aca="false">IF(C16=0,"UNBUDGETED",IF(F16&gt;0.5,"CRITICAL",IF(F16&gt;0.1,"OVER",IF(F16&lt;-0.1,"UNDER","ON"))))</f>
        <v>ON</v>
      </c>
    </row>
    <row r="17" customFormat="false" ht="15" hidden="false" customHeight="true" outlineLevel="0" collapsed="false">
      <c r="A17" s="5" t="s">
        <v>286</v>
      </c>
      <c r="B17" s="5" t="s">
        <v>287</v>
      </c>
      <c r="C17" s="6" t="n">
        <v>59835</v>
      </c>
      <c r="D17" s="6" t="n">
        <v>9727.46</v>
      </c>
      <c r="E17" s="10" t="n">
        <f aca="false">C17-D17</f>
        <v>50107.54</v>
      </c>
      <c r="F17" s="36" t="n">
        <f aca="false">IFERROR((D17-C17)/C17,0)</f>
        <v>-0.837428595303752</v>
      </c>
      <c r="G17" s="38" t="str">
        <f aca="false">IF(C17=0,"UNBUDGETED",IF(F17&gt;0.5,"CRITICAL",IF(F17&gt;0.1,"OVER",IF(F17&lt;-0.1,"UNDER","ON"))))</f>
        <v>UNDER</v>
      </c>
    </row>
    <row r="18" customFormat="false" ht="15" hidden="false" customHeight="true" outlineLevel="0" collapsed="false">
      <c r="A18" s="5" t="s">
        <v>288</v>
      </c>
      <c r="B18" s="5" t="s">
        <v>289</v>
      </c>
      <c r="C18" s="6" t="n">
        <v>21996</v>
      </c>
      <c r="D18" s="6" t="n">
        <v>13552.21</v>
      </c>
      <c r="E18" s="10" t="n">
        <f aca="false">C18-D18</f>
        <v>8443.79</v>
      </c>
      <c r="F18" s="36" t="n">
        <f aca="false">IFERROR((D18-C18)/C18,0)</f>
        <v>-0.383878432442262</v>
      </c>
      <c r="G18" s="38" t="str">
        <f aca="false">IF(C18=0,"UNBUDGETED",IF(F18&gt;0.5,"CRITICAL",IF(F18&gt;0.1,"OVER",IF(F18&lt;-0.1,"UNDER","ON"))))</f>
        <v>UNDER</v>
      </c>
    </row>
    <row r="19" customFormat="false" ht="15" hidden="false" customHeight="true" outlineLevel="0" collapsed="false">
      <c r="A19" s="5" t="s">
        <v>290</v>
      </c>
      <c r="B19" s="5" t="s">
        <v>291</v>
      </c>
      <c r="C19" s="6" t="n">
        <v>145597</v>
      </c>
      <c r="D19" s="6" t="n">
        <v>47851.97</v>
      </c>
      <c r="E19" s="10" t="n">
        <f aca="false">C19-D19</f>
        <v>97745.03</v>
      </c>
      <c r="F19" s="36" t="n">
        <f aca="false">IFERROR((D19-C19)/C19,0)</f>
        <v>-0.671339588040962</v>
      </c>
      <c r="G19" s="38" t="str">
        <f aca="false">IF(C19=0,"UNBUDGETED",IF(F19&gt;0.5,"CRITICAL",IF(F19&gt;0.1,"OVER",IF(F19&lt;-0.1,"UNDER","ON"))))</f>
        <v>UNDER</v>
      </c>
    </row>
    <row r="20" customFormat="false" ht="15" hidden="false" customHeight="true" outlineLevel="0" collapsed="false">
      <c r="A20" s="5" t="s">
        <v>292</v>
      </c>
      <c r="B20" s="5" t="s">
        <v>293</v>
      </c>
      <c r="C20" s="6" t="n">
        <v>352190</v>
      </c>
      <c r="D20" s="6" t="n">
        <v>281538.12</v>
      </c>
      <c r="E20" s="10" t="n">
        <f aca="false">C20-D20</f>
        <v>70651.88</v>
      </c>
      <c r="F20" s="36" t="n">
        <f aca="false">IFERROR((D20-C20)/C20,0)</f>
        <v>-0.20060728584003</v>
      </c>
      <c r="G20" s="38" t="str">
        <f aca="false">IF(C20=0,"UNBUDGETED",IF(F20&gt;0.5,"CRITICAL",IF(F20&gt;0.1,"OVER",IF(F20&lt;-0.1,"UNDER","ON"))))</f>
        <v>UNDER</v>
      </c>
    </row>
    <row r="21" customFormat="false" ht="15" hidden="false" customHeight="true" outlineLevel="0" collapsed="false">
      <c r="A21" s="5" t="s">
        <v>294</v>
      </c>
      <c r="B21" s="5" t="s">
        <v>295</v>
      </c>
      <c r="C21" s="6" t="n">
        <v>12214</v>
      </c>
      <c r="D21" s="6" t="n">
        <v>5341.44</v>
      </c>
      <c r="E21" s="10" t="n">
        <f aca="false">C21-D21</f>
        <v>6872.56</v>
      </c>
      <c r="F21" s="36" t="n">
        <f aca="false">IFERROR((D21-C21)/C21,0)</f>
        <v>-0.562678893073522</v>
      </c>
      <c r="G21" s="38" t="str">
        <f aca="false">IF(C21=0,"UNBUDGETED",IF(F21&gt;0.5,"CRITICAL",IF(F21&gt;0.1,"OVER",IF(F21&lt;-0.1,"UNDER","ON"))))</f>
        <v>UNDER</v>
      </c>
    </row>
    <row r="22" customFormat="false" ht="15" hidden="false" customHeight="true" outlineLevel="0" collapsed="false">
      <c r="A22" s="5" t="s">
        <v>296</v>
      </c>
      <c r="B22" s="5" t="s">
        <v>297</v>
      </c>
      <c r="C22" s="6" t="n">
        <v>51400</v>
      </c>
      <c r="D22" s="6" t="n">
        <v>43355.63</v>
      </c>
      <c r="E22" s="10" t="n">
        <f aca="false">C22-D22</f>
        <v>8044.37</v>
      </c>
      <c r="F22" s="36" t="n">
        <f aca="false">IFERROR((D22-C22)/C22,0)</f>
        <v>-0.156505252918288</v>
      </c>
      <c r="G22" s="38" t="str">
        <f aca="false">IF(C22=0,"UNBUDGETED",IF(F22&gt;0.5,"CRITICAL",IF(F22&gt;0.1,"OVER",IF(F22&lt;-0.1,"UNDER","ON"))))</f>
        <v>UNDER</v>
      </c>
    </row>
    <row r="23" customFormat="false" ht="15" hidden="false" customHeight="true" outlineLevel="0" collapsed="false">
      <c r="A23" s="5" t="s">
        <v>298</v>
      </c>
      <c r="B23" s="5" t="s">
        <v>299</v>
      </c>
      <c r="C23" s="6" t="n">
        <v>20400</v>
      </c>
      <c r="D23" s="6" t="n">
        <v>20399.37</v>
      </c>
      <c r="E23" s="10" t="n">
        <f aca="false">C23-D23</f>
        <v>0.630000000001019</v>
      </c>
      <c r="F23" s="36" t="n">
        <f aca="false">IFERROR((D23-C23)/C23,0)</f>
        <v>-3.08823529412264E-005</v>
      </c>
      <c r="G23" s="38" t="str">
        <f aca="false">IF(C23=0,"UNBUDGETED",IF(F23&gt;0.5,"CRITICAL",IF(F23&gt;0.1,"OVER",IF(F23&lt;-0.1,"UNDER","ON"))))</f>
        <v>ON</v>
      </c>
    </row>
    <row r="24" customFormat="false" ht="15" hidden="false" customHeight="true" outlineLevel="0" collapsed="false">
      <c r="A24" s="5" t="s">
        <v>302</v>
      </c>
      <c r="B24" s="5" t="s">
        <v>303</v>
      </c>
      <c r="C24" s="6" t="n">
        <v>31650</v>
      </c>
      <c r="D24" s="6" t="n">
        <v>33715</v>
      </c>
      <c r="E24" s="10" t="n">
        <f aca="false">C24-D24</f>
        <v>-2065</v>
      </c>
      <c r="F24" s="36" t="n">
        <f aca="false">IFERROR((D24-C24)/C24,0)</f>
        <v>0.0652448657187994</v>
      </c>
      <c r="G24" s="38" t="str">
        <f aca="false">IF(C24=0,"UNBUDGETED",IF(F24&gt;0.5,"CRITICAL",IF(F24&gt;0.1,"OVER",IF(F24&lt;-0.1,"UNDER","ON"))))</f>
        <v>ON</v>
      </c>
    </row>
    <row r="25" customFormat="false" ht="15" hidden="false" customHeight="true" outlineLevel="0" collapsed="false">
      <c r="A25" s="5" t="s">
        <v>304</v>
      </c>
      <c r="B25" s="5" t="s">
        <v>305</v>
      </c>
      <c r="C25" s="6" t="n">
        <v>48022</v>
      </c>
      <c r="D25" s="6" t="n">
        <v>22226.25</v>
      </c>
      <c r="E25" s="10" t="n">
        <f aca="false">C25-D25</f>
        <v>25795.75</v>
      </c>
      <c r="F25" s="36" t="n">
        <f aca="false">IFERROR((D25-C25)/C25,0)</f>
        <v>-0.537165257590271</v>
      </c>
      <c r="G25" s="38" t="str">
        <f aca="false">IF(C25=0,"UNBUDGETED",IF(F25&gt;0.5,"CRITICAL",IF(F25&gt;0.1,"OVER",IF(F25&lt;-0.1,"UNDER","ON"))))</f>
        <v>UNDER</v>
      </c>
    </row>
    <row r="26" customFormat="false" ht="15" hidden="false" customHeight="true" outlineLevel="0" collapsed="false">
      <c r="A26" s="5" t="s">
        <v>306</v>
      </c>
      <c r="B26" s="5" t="s">
        <v>307</v>
      </c>
      <c r="C26" s="6" t="n">
        <v>298673.44</v>
      </c>
      <c r="D26" s="6" t="n">
        <v>230366.76</v>
      </c>
      <c r="E26" s="10" t="n">
        <f aca="false">C26-D26</f>
        <v>68306.68</v>
      </c>
      <c r="F26" s="36" t="n">
        <f aca="false">IFERROR((D26-C26)/C26,0)</f>
        <v>-0.228700215191548</v>
      </c>
      <c r="G26" s="38" t="str">
        <f aca="false">IF(C26=0,"UNBUDGETED",IF(F26&gt;0.5,"CRITICAL",IF(F26&gt;0.1,"OVER",IF(F26&lt;-0.1,"UNDER","ON"))))</f>
        <v>UNDER</v>
      </c>
    </row>
    <row r="27" customFormat="false" ht="15" hidden="false" customHeight="true" outlineLevel="0" collapsed="false">
      <c r="A27" s="5" t="s">
        <v>308</v>
      </c>
      <c r="B27" s="5" t="s">
        <v>309</v>
      </c>
      <c r="C27" s="6" t="n">
        <v>50335.78</v>
      </c>
      <c r="D27" s="6" t="n">
        <v>41157.17</v>
      </c>
      <c r="E27" s="10" t="n">
        <f aca="false">C27-D27</f>
        <v>9178.61</v>
      </c>
      <c r="F27" s="36" t="n">
        <f aca="false">IFERROR((D27-C27)/C27,0)</f>
        <v>-0.182347626280948</v>
      </c>
      <c r="G27" s="38" t="str">
        <f aca="false">IF(C27=0,"UNBUDGETED",IF(F27&gt;0.5,"CRITICAL",IF(F27&gt;0.1,"OVER",IF(F27&lt;-0.1,"UNDER","ON"))))</f>
        <v>UNDER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</cols>
  <sheetData>
    <row r="1" customFormat="false" ht="19.5" hidden="false" customHeight="true" outlineLevel="0" collapsed="false">
      <c r="A1" s="2" t="s">
        <v>322</v>
      </c>
    </row>
    <row r="3" customFormat="false" ht="15" hidden="false" customHeight="true" outlineLevel="0" collapsed="false">
      <c r="A3" s="26" t="s">
        <v>323</v>
      </c>
      <c r="B3" s="26" t="s">
        <v>324</v>
      </c>
      <c r="C3" s="26" t="s">
        <v>325</v>
      </c>
      <c r="D3" s="26" t="s">
        <v>326</v>
      </c>
    </row>
    <row r="4" customFormat="false" ht="15" hidden="false" customHeight="true" outlineLevel="0" collapsed="false">
      <c r="A4" s="5" t="s">
        <v>327</v>
      </c>
      <c r="B4" s="6" t="n">
        <v>80201.52</v>
      </c>
      <c r="C4" s="5" t="n">
        <v>15</v>
      </c>
      <c r="D4" s="36" t="n">
        <f aca="false">IFERROR(B4/SUM(B$4:B$16),0)</f>
        <v>0.176916293620069</v>
      </c>
    </row>
    <row r="5" customFormat="false" ht="15" hidden="false" customHeight="true" outlineLevel="0" collapsed="false">
      <c r="A5" s="5" t="s">
        <v>328</v>
      </c>
      <c r="B5" s="6" t="n">
        <v>79385.05</v>
      </c>
      <c r="C5" s="5" t="n">
        <v>28</v>
      </c>
      <c r="D5" s="36" t="n">
        <f aca="false">IFERROR(B5/SUM(B$4:B$16),0)</f>
        <v>0.175115244883687</v>
      </c>
    </row>
    <row r="6" customFormat="false" ht="15" hidden="false" customHeight="true" outlineLevel="0" collapsed="false">
      <c r="A6" s="5" t="s">
        <v>329</v>
      </c>
      <c r="B6" s="6" t="n">
        <v>69327.67</v>
      </c>
      <c r="C6" s="5" t="n">
        <v>67</v>
      </c>
      <c r="D6" s="36" t="n">
        <f aca="false">IFERROR(B6/SUM(B$4:B$16),0)</f>
        <v>0.152929700356244</v>
      </c>
    </row>
    <row r="7" customFormat="false" ht="15" hidden="false" customHeight="true" outlineLevel="0" collapsed="false">
      <c r="A7" s="5" t="s">
        <v>330</v>
      </c>
      <c r="B7" s="6" t="n">
        <v>68719.97</v>
      </c>
      <c r="C7" s="5" t="n">
        <v>108</v>
      </c>
      <c r="D7" s="36" t="n">
        <f aca="false">IFERROR(B7/SUM(B$4:B$16),0)</f>
        <v>0.151589176739822</v>
      </c>
    </row>
    <row r="8" customFormat="false" ht="15" hidden="false" customHeight="true" outlineLevel="0" collapsed="false">
      <c r="A8" s="5" t="s">
        <v>331</v>
      </c>
      <c r="B8" s="6" t="n">
        <v>57789</v>
      </c>
      <c r="C8" s="5" t="n">
        <v>1</v>
      </c>
      <c r="D8" s="36" t="n">
        <f aca="false">IFERROR(B8/SUM(B$4:B$16),0)</f>
        <v>0.127476582638461</v>
      </c>
    </row>
    <row r="9" customFormat="false" ht="15" hidden="false" customHeight="true" outlineLevel="0" collapsed="false">
      <c r="A9" s="5" t="s">
        <v>332</v>
      </c>
      <c r="B9" s="6" t="n">
        <v>31600</v>
      </c>
      <c r="C9" s="5" t="n">
        <v>3</v>
      </c>
      <c r="D9" s="36" t="n">
        <f aca="false">IFERROR(B9/SUM(B$4:B$16),0)</f>
        <v>0.0697063456951214</v>
      </c>
    </row>
    <row r="10" customFormat="false" ht="15" hidden="false" customHeight="true" outlineLevel="0" collapsed="false">
      <c r="A10" s="5" t="s">
        <v>333</v>
      </c>
      <c r="B10" s="6" t="n">
        <v>29150</v>
      </c>
      <c r="C10" s="5" t="n">
        <v>3</v>
      </c>
      <c r="D10" s="36" t="n">
        <f aca="false">IFERROR(B10/SUM(B$4:B$16),0)</f>
        <v>0.0643018980067338</v>
      </c>
    </row>
    <row r="11" customFormat="false" ht="15" hidden="false" customHeight="true" outlineLevel="0" collapsed="false">
      <c r="A11" s="5" t="s">
        <v>86</v>
      </c>
      <c r="B11" s="6" t="n">
        <v>22226.25</v>
      </c>
      <c r="C11" s="5" t="n">
        <v>9</v>
      </c>
      <c r="D11" s="36" t="n">
        <f aca="false">IFERROR(B11/SUM(B$4:B$16),0)</f>
        <v>0.0490288185444997</v>
      </c>
    </row>
    <row r="12" customFormat="false" ht="15" hidden="false" customHeight="true" outlineLevel="0" collapsed="false">
      <c r="A12" s="5" t="s">
        <v>334</v>
      </c>
      <c r="B12" s="6" t="n">
        <v>6309.27</v>
      </c>
      <c r="C12" s="5" t="n">
        <v>10</v>
      </c>
      <c r="D12" s="36" t="n">
        <f aca="false">IFERROR(B12/SUM(B$4:B$16),0)</f>
        <v>0.0139175998640462</v>
      </c>
    </row>
    <row r="13" customFormat="false" ht="15" hidden="false" customHeight="true" outlineLevel="0" collapsed="false">
      <c r="A13" s="5" t="s">
        <v>335</v>
      </c>
      <c r="B13" s="6" t="n">
        <v>4565</v>
      </c>
      <c r="C13" s="5" t="n">
        <v>2</v>
      </c>
      <c r="D13" s="36" t="n">
        <f aca="false">IFERROR(B13/SUM(B$4:B$16),0)</f>
        <v>0.0100699198765262</v>
      </c>
    </row>
    <row r="14" customFormat="false" ht="15" hidden="false" customHeight="true" outlineLevel="0" collapsed="false">
      <c r="A14" s="5" t="s">
        <v>336</v>
      </c>
      <c r="B14" s="6" t="n">
        <v>3164</v>
      </c>
      <c r="C14" s="5" t="n">
        <v>2</v>
      </c>
      <c r="D14" s="36" t="n">
        <f aca="false">IFERROR(B14/SUM(B$4:B$16),0)</f>
        <v>0.00697945815757481</v>
      </c>
    </row>
    <row r="15" customFormat="false" ht="15" hidden="false" customHeight="true" outlineLevel="0" collapsed="false">
      <c r="A15" s="5" t="s">
        <v>337</v>
      </c>
      <c r="B15" s="6" t="n">
        <v>602.01</v>
      </c>
      <c r="C15" s="5" t="n">
        <v>3</v>
      </c>
      <c r="D15" s="36" t="n">
        <f aca="false">IFERROR(B15/SUM(B$4:B$16),0)</f>
        <v>0.00132797206240253</v>
      </c>
    </row>
    <row r="16" customFormat="false" ht="15" hidden="false" customHeight="true" outlineLevel="0" collapsed="false">
      <c r="A16" s="5" t="s">
        <v>338</v>
      </c>
      <c r="B16" s="6" t="n">
        <v>290.58</v>
      </c>
      <c r="C16" s="5" t="n">
        <v>1</v>
      </c>
      <c r="D16" s="36" t="n">
        <f aca="false">IFERROR(B16/SUM(B$4:B$16),0)</f>
        <v>0.000640989554812923</v>
      </c>
    </row>
    <row r="17" customFormat="false" ht="15" hidden="false" customHeight="true" outlineLevel="0" collapsed="false">
      <c r="A17" s="13" t="s">
        <v>339</v>
      </c>
      <c r="B17" s="7" t="n">
        <f aca="false">SUM(B4:B16)</f>
        <v>453330.32</v>
      </c>
      <c r="C17" s="39" t="n">
        <f aca="false">SUM(C4:C16)</f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2"/>
  </cols>
  <sheetData>
    <row r="1" customFormat="false" ht="19.5" hidden="false" customHeight="true" outlineLevel="0" collapsed="false">
      <c r="A1" s="2" t="s">
        <v>340</v>
      </c>
    </row>
    <row r="3" customFormat="false" ht="15" hidden="false" customHeight="true" outlineLevel="0" collapsed="false">
      <c r="A3" s="26" t="s">
        <v>341</v>
      </c>
      <c r="B3" s="26" t="s">
        <v>342</v>
      </c>
      <c r="C3" s="26" t="s">
        <v>343</v>
      </c>
      <c r="D3" s="26" t="s">
        <v>344</v>
      </c>
      <c r="E3" s="26" t="s">
        <v>345</v>
      </c>
    </row>
    <row r="4" customFormat="false" ht="15" hidden="false" customHeight="true" outlineLevel="0" collapsed="false">
      <c r="A4" s="5" t="s">
        <v>346</v>
      </c>
      <c r="B4" s="40" t="n">
        <v>1574</v>
      </c>
      <c r="C4" s="6" t="n">
        <v>30203</v>
      </c>
      <c r="D4" s="41" t="n">
        <f aca="false">IFERROR(C4/B4,0)</f>
        <v>19.1886912325286</v>
      </c>
      <c r="E4" s="5" t="s">
        <v>347</v>
      </c>
    </row>
    <row r="5" customFormat="false" ht="15" hidden="false" customHeight="true" outlineLevel="0" collapsed="false">
      <c r="A5" s="5" t="s">
        <v>348</v>
      </c>
      <c r="B5" s="40" t="n">
        <v>1473.5</v>
      </c>
      <c r="C5" s="6" t="n">
        <v>38516</v>
      </c>
      <c r="D5" s="41" t="n">
        <f aca="false">IFERROR(C5/B5,0)</f>
        <v>26.1391245334238</v>
      </c>
      <c r="E5" s="5" t="s">
        <v>349</v>
      </c>
    </row>
    <row r="6" customFormat="false" ht="15" hidden="false" customHeight="true" outlineLevel="0" collapsed="false">
      <c r="A6" s="5" t="s">
        <v>350</v>
      </c>
      <c r="B6" s="40" t="n">
        <v>1389.5</v>
      </c>
      <c r="C6" s="6" t="n">
        <v>27869</v>
      </c>
      <c r="D6" s="41" t="n">
        <f aca="false">IFERROR(C6/B6,0)</f>
        <v>20.0568549838071</v>
      </c>
      <c r="E6" s="5" t="s">
        <v>349</v>
      </c>
    </row>
    <row r="7" customFormat="false" ht="15" hidden="false" customHeight="true" outlineLevel="0" collapsed="false">
      <c r="A7" s="5" t="s">
        <v>351</v>
      </c>
      <c r="B7" s="40" t="n">
        <v>1293</v>
      </c>
      <c r="C7" s="6" t="n">
        <v>22419</v>
      </c>
      <c r="D7" s="41" t="n">
        <f aca="false">IFERROR(C7/B7,0)</f>
        <v>17.338747099768</v>
      </c>
      <c r="E7" s="5" t="s">
        <v>347</v>
      </c>
    </row>
    <row r="8" customFormat="false" ht="15" hidden="false" customHeight="true" outlineLevel="0" collapsed="false">
      <c r="A8" s="5" t="s">
        <v>352</v>
      </c>
      <c r="B8" s="40" t="n">
        <v>1253</v>
      </c>
      <c r="C8" s="6" t="n">
        <v>27870</v>
      </c>
      <c r="D8" s="41" t="n">
        <f aca="false">IFERROR(C8/B8,0)</f>
        <v>22.2426177174781</v>
      </c>
      <c r="E8" s="5" t="s">
        <v>349</v>
      </c>
    </row>
    <row r="9" customFormat="false" ht="15" hidden="false" customHeight="true" outlineLevel="0" collapsed="false">
      <c r="A9" s="5" t="s">
        <v>353</v>
      </c>
      <c r="B9" s="40" t="n">
        <v>1222</v>
      </c>
      <c r="C9" s="6" t="n">
        <v>51976</v>
      </c>
      <c r="D9" s="41" t="n">
        <f aca="false">IFERROR(C9/B9,0)</f>
        <v>42.5335515548282</v>
      </c>
      <c r="E9" s="5" t="s">
        <v>354</v>
      </c>
    </row>
    <row r="10" customFormat="false" ht="15" hidden="false" customHeight="true" outlineLevel="0" collapsed="false">
      <c r="A10" s="5" t="s">
        <v>355</v>
      </c>
      <c r="B10" s="40" t="n">
        <v>1190</v>
      </c>
      <c r="C10" s="6" t="n">
        <v>42673</v>
      </c>
      <c r="D10" s="41" t="n">
        <f aca="false">IFERROR(C10/B10,0)</f>
        <v>35.8596638655462</v>
      </c>
      <c r="E10" s="5" t="s">
        <v>349</v>
      </c>
    </row>
    <row r="11" customFormat="false" ht="15" hidden="false" customHeight="true" outlineLevel="0" collapsed="false">
      <c r="A11" s="5" t="s">
        <v>356</v>
      </c>
      <c r="B11" s="40" t="n">
        <v>981</v>
      </c>
      <c r="C11" s="6" t="n">
        <v>21822</v>
      </c>
      <c r="D11" s="41" t="n">
        <f aca="false">IFERROR(C11/B11,0)</f>
        <v>22.2446483180428</v>
      </c>
      <c r="E11" s="5" t="s">
        <v>349</v>
      </c>
    </row>
    <row r="12" customFormat="false" ht="15" hidden="false" customHeight="true" outlineLevel="0" collapsed="false">
      <c r="A12" s="5" t="s">
        <v>357</v>
      </c>
      <c r="B12" s="40" t="n">
        <v>876</v>
      </c>
      <c r="C12" s="6" t="n">
        <v>27298</v>
      </c>
      <c r="D12" s="41" t="n">
        <f aca="false">IFERROR(C12/B12,0)</f>
        <v>31.162100456621</v>
      </c>
      <c r="E12" s="5" t="s">
        <v>349</v>
      </c>
    </row>
    <row r="13" customFormat="false" ht="15" hidden="false" customHeight="true" outlineLevel="0" collapsed="false">
      <c r="A13" s="5" t="s">
        <v>358</v>
      </c>
      <c r="B13" s="40" t="n">
        <v>868</v>
      </c>
      <c r="C13" s="6" t="n">
        <v>21616</v>
      </c>
      <c r="D13" s="41" t="n">
        <f aca="false">IFERROR(C13/B13,0)</f>
        <v>24.9032258064516</v>
      </c>
      <c r="E13" s="5" t="s">
        <v>349</v>
      </c>
    </row>
    <row r="14" customFormat="false" ht="15" hidden="false" customHeight="true" outlineLevel="0" collapsed="false">
      <c r="A14" s="5" t="s">
        <v>359</v>
      </c>
      <c r="B14" s="40" t="n">
        <v>701</v>
      </c>
      <c r="C14" s="6" t="n">
        <v>11216</v>
      </c>
      <c r="D14" s="41" t="n">
        <f aca="false">IFERROR(C14/B14,0)</f>
        <v>16</v>
      </c>
      <c r="E14" s="5" t="s">
        <v>347</v>
      </c>
    </row>
    <row r="15" customFormat="false" ht="15" hidden="false" customHeight="true" outlineLevel="0" collapsed="false">
      <c r="A15" s="5" t="s">
        <v>360</v>
      </c>
      <c r="B15" s="40" t="n">
        <v>694</v>
      </c>
      <c r="C15" s="6" t="n">
        <v>11440</v>
      </c>
      <c r="D15" s="41" t="n">
        <f aca="false">IFERROR(C15/B15,0)</f>
        <v>16.4841498559078</v>
      </c>
      <c r="E15" s="5" t="s">
        <v>347</v>
      </c>
    </row>
    <row r="16" customFormat="false" ht="15" hidden="false" customHeight="true" outlineLevel="0" collapsed="false">
      <c r="A16" s="5" t="s">
        <v>361</v>
      </c>
      <c r="B16" s="40" t="n">
        <v>589</v>
      </c>
      <c r="C16" s="6" t="n">
        <v>21870</v>
      </c>
      <c r="D16" s="41" t="n">
        <f aca="false">IFERROR(C16/B16,0)</f>
        <v>37.1307300509338</v>
      </c>
      <c r="E16" s="5" t="s">
        <v>354</v>
      </c>
    </row>
    <row r="17" customFormat="false" ht="15" hidden="false" customHeight="true" outlineLevel="0" collapsed="false">
      <c r="A17" s="5" t="s">
        <v>362</v>
      </c>
      <c r="B17" s="40" t="n">
        <v>561</v>
      </c>
      <c r="C17" s="6" t="n">
        <v>17968</v>
      </c>
      <c r="D17" s="41" t="n">
        <f aca="false">IFERROR(C17/B17,0)</f>
        <v>32.0285204991087</v>
      </c>
      <c r="E17" s="5" t="s">
        <v>349</v>
      </c>
    </row>
    <row r="18" customFormat="false" ht="15" hidden="false" customHeight="true" outlineLevel="0" collapsed="false">
      <c r="A18" s="5" t="s">
        <v>363</v>
      </c>
      <c r="B18" s="40" t="n">
        <v>536</v>
      </c>
      <c r="C18" s="6" t="n">
        <v>27470</v>
      </c>
      <c r="D18" s="41" t="n">
        <f aca="false">IFERROR(C18/B18,0)</f>
        <v>51.25</v>
      </c>
      <c r="E18" s="5" t="s">
        <v>354</v>
      </c>
    </row>
    <row r="19" customFormat="false" ht="15" hidden="false" customHeight="true" outlineLevel="0" collapsed="false">
      <c r="A19" s="5" t="s">
        <v>364</v>
      </c>
      <c r="B19" s="40" t="n">
        <v>424</v>
      </c>
      <c r="C19" s="6" t="n">
        <v>8614</v>
      </c>
      <c r="D19" s="41" t="n">
        <f aca="false">IFERROR(C19/B19,0)</f>
        <v>20.3160377358491</v>
      </c>
      <c r="E19" s="5" t="s">
        <v>347</v>
      </c>
    </row>
    <row r="20" customFormat="false" ht="15" hidden="false" customHeight="true" outlineLevel="0" collapsed="false">
      <c r="A20" s="5" t="s">
        <v>365</v>
      </c>
      <c r="B20" s="40" t="n">
        <v>396</v>
      </c>
      <c r="C20" s="6" t="n">
        <v>12647</v>
      </c>
      <c r="D20" s="41" t="n">
        <f aca="false">IFERROR(C20/B20,0)</f>
        <v>31.9368686868687</v>
      </c>
      <c r="E20" s="5" t="s">
        <v>349</v>
      </c>
    </row>
    <row r="21" customFormat="false" ht="15" hidden="false" customHeight="true" outlineLevel="0" collapsed="false">
      <c r="A21" s="5" t="s">
        <v>366</v>
      </c>
      <c r="B21" s="40" t="n">
        <v>357.5</v>
      </c>
      <c r="C21" s="6" t="n">
        <v>19305</v>
      </c>
      <c r="D21" s="41" t="n">
        <f aca="false">IFERROR(C21/B21,0)</f>
        <v>54</v>
      </c>
      <c r="E21" s="5" t="s">
        <v>354</v>
      </c>
    </row>
    <row r="22" customFormat="false" ht="15" hidden="false" customHeight="true" outlineLevel="0" collapsed="false">
      <c r="A22" s="5" t="s">
        <v>367</v>
      </c>
      <c r="B22" s="40" t="n">
        <v>352</v>
      </c>
      <c r="C22" s="6" t="n">
        <v>7392</v>
      </c>
      <c r="D22" s="41" t="n">
        <f aca="false">IFERROR(C22/B22,0)</f>
        <v>21</v>
      </c>
      <c r="E22" s="5" t="s">
        <v>349</v>
      </c>
    </row>
    <row r="23" customFormat="false" ht="15" hidden="false" customHeight="true" outlineLevel="0" collapsed="false">
      <c r="A23" s="5" t="s">
        <v>368</v>
      </c>
      <c r="B23" s="40" t="n">
        <v>331</v>
      </c>
      <c r="C23" s="6" t="n">
        <v>8937</v>
      </c>
      <c r="D23" s="41" t="n">
        <f aca="false">IFERROR(C23/B23,0)</f>
        <v>27</v>
      </c>
      <c r="E23" s="5" t="s">
        <v>349</v>
      </c>
    </row>
    <row r="24" customFormat="false" ht="15" hidden="false" customHeight="true" outlineLevel="0" collapsed="false">
      <c r="A24" s="5" t="s">
        <v>369</v>
      </c>
      <c r="B24" s="40" t="n">
        <v>304</v>
      </c>
      <c r="C24" s="6" t="n">
        <v>8512</v>
      </c>
      <c r="D24" s="41" t="n">
        <f aca="false">IFERROR(C24/B24,0)</f>
        <v>28</v>
      </c>
      <c r="E24" s="5" t="s">
        <v>349</v>
      </c>
    </row>
    <row r="25" customFormat="false" ht="15" hidden="false" customHeight="true" outlineLevel="0" collapsed="false">
      <c r="A25" s="5" t="s">
        <v>370</v>
      </c>
      <c r="B25" s="40" t="n">
        <v>278</v>
      </c>
      <c r="C25" s="6" t="n">
        <v>7784</v>
      </c>
      <c r="D25" s="41" t="n">
        <f aca="false">IFERROR(C25/B25,0)</f>
        <v>28</v>
      </c>
      <c r="E25" s="5" t="s">
        <v>349</v>
      </c>
    </row>
    <row r="26" customFormat="false" ht="15" hidden="false" customHeight="true" outlineLevel="0" collapsed="false">
      <c r="A26" s="5" t="s">
        <v>371</v>
      </c>
      <c r="B26" s="40" t="n">
        <v>268</v>
      </c>
      <c r="C26" s="6" t="n">
        <v>4650</v>
      </c>
      <c r="D26" s="41" t="n">
        <f aca="false">IFERROR(C26/B26,0)</f>
        <v>17.3507462686567</v>
      </c>
      <c r="E26" s="5" t="s">
        <v>347</v>
      </c>
    </row>
    <row r="27" customFormat="false" ht="15" hidden="false" customHeight="true" outlineLevel="0" collapsed="false">
      <c r="A27" s="5" t="s">
        <v>372</v>
      </c>
      <c r="B27" s="40" t="n">
        <v>242.5</v>
      </c>
      <c r="C27" s="6" t="n">
        <v>12874</v>
      </c>
      <c r="D27" s="41" t="n">
        <f aca="false">IFERROR(C27/B27,0)</f>
        <v>53.0886597938144</v>
      </c>
      <c r="E27" s="5" t="s">
        <v>354</v>
      </c>
    </row>
    <row r="28" customFormat="false" ht="15" hidden="false" customHeight="true" outlineLevel="0" collapsed="false">
      <c r="A28" s="5" t="s">
        <v>373</v>
      </c>
      <c r="B28" s="40" t="n">
        <v>241</v>
      </c>
      <c r="C28" s="6" t="n">
        <v>5870</v>
      </c>
      <c r="D28" s="41" t="n">
        <f aca="false">IFERROR(C28/B28,0)</f>
        <v>24.356846473029</v>
      </c>
      <c r="E28" s="5" t="s">
        <v>349</v>
      </c>
    </row>
    <row r="29" customFormat="false" ht="15" hidden="false" customHeight="true" outlineLevel="0" collapsed="false">
      <c r="A29" s="5" t="s">
        <v>374</v>
      </c>
      <c r="B29" s="40" t="n">
        <v>208</v>
      </c>
      <c r="C29" s="6" t="n">
        <v>13000</v>
      </c>
      <c r="D29" s="41" t="n">
        <f aca="false">IFERROR(C29/B29,0)</f>
        <v>62.5</v>
      </c>
      <c r="E29" s="5" t="s">
        <v>354</v>
      </c>
    </row>
    <row r="30" customFormat="false" ht="15" hidden="false" customHeight="true" outlineLevel="0" collapsed="false">
      <c r="A30" s="5" t="s">
        <v>375</v>
      </c>
      <c r="B30" s="40" t="n">
        <v>176</v>
      </c>
      <c r="C30" s="6" t="n">
        <v>5632</v>
      </c>
      <c r="D30" s="41" t="n">
        <f aca="false">IFERROR(C30/B30,0)</f>
        <v>32</v>
      </c>
      <c r="E30" s="5" t="s">
        <v>349</v>
      </c>
    </row>
    <row r="31" customFormat="false" ht="15" hidden="false" customHeight="true" outlineLevel="0" collapsed="false">
      <c r="A31" s="5" t="s">
        <v>376</v>
      </c>
      <c r="B31" s="40" t="n">
        <v>158</v>
      </c>
      <c r="C31" s="6" t="n">
        <v>4073</v>
      </c>
      <c r="D31" s="41" t="n">
        <f aca="false">IFERROR(C31/B31,0)</f>
        <v>25.7784810126582</v>
      </c>
      <c r="E31" s="5" t="s">
        <v>349</v>
      </c>
    </row>
    <row r="32" customFormat="false" ht="15" hidden="false" customHeight="true" outlineLevel="0" collapsed="false">
      <c r="A32" s="5" t="s">
        <v>377</v>
      </c>
      <c r="B32" s="40" t="n">
        <v>151.5</v>
      </c>
      <c r="C32" s="6" t="n">
        <v>3030</v>
      </c>
      <c r="D32" s="41" t="n">
        <f aca="false">IFERROR(C32/B32,0)</f>
        <v>20</v>
      </c>
      <c r="E32" s="5" t="s">
        <v>349</v>
      </c>
    </row>
    <row r="33" customFormat="false" ht="15" hidden="false" customHeight="true" outlineLevel="0" collapsed="false">
      <c r="A33" s="5" t="s">
        <v>378</v>
      </c>
      <c r="B33" s="40" t="n">
        <v>85.5</v>
      </c>
      <c r="C33" s="6" t="n">
        <v>3389</v>
      </c>
      <c r="D33" s="41" t="n">
        <f aca="false">IFERROR(C33/B33,0)</f>
        <v>39.6374269005848</v>
      </c>
      <c r="E33" s="5" t="s">
        <v>354</v>
      </c>
    </row>
    <row r="34" customFormat="false" ht="15" hidden="false" customHeight="true" outlineLevel="0" collapsed="false">
      <c r="A34" s="5" t="s">
        <v>379</v>
      </c>
      <c r="B34" s="40" t="n">
        <v>84</v>
      </c>
      <c r="C34" s="6" t="n">
        <v>2322</v>
      </c>
      <c r="D34" s="41" t="n">
        <f aca="false">IFERROR(C34/B34,0)</f>
        <v>27.6428571428571</v>
      </c>
      <c r="E34" s="5" t="s">
        <v>349</v>
      </c>
    </row>
    <row r="35" customFormat="false" ht="15" hidden="false" customHeight="true" outlineLevel="0" collapsed="false">
      <c r="A35" s="5" t="s">
        <v>380</v>
      </c>
      <c r="B35" s="40" t="n">
        <v>69</v>
      </c>
      <c r="C35" s="6" t="n">
        <v>2208</v>
      </c>
      <c r="D35" s="41" t="n">
        <f aca="false">IFERROR(C35/B35,0)</f>
        <v>32</v>
      </c>
      <c r="E35" s="5" t="s">
        <v>349</v>
      </c>
    </row>
    <row r="36" customFormat="false" ht="15" hidden="false" customHeight="true" outlineLevel="0" collapsed="false">
      <c r="A36" s="5" t="s">
        <v>381</v>
      </c>
      <c r="B36" s="40" t="n">
        <v>56</v>
      </c>
      <c r="C36" s="6" t="n">
        <v>1304</v>
      </c>
      <c r="D36" s="41" t="n">
        <f aca="false">IFERROR(C36/B36,0)</f>
        <v>23.2857142857143</v>
      </c>
      <c r="E36" s="5" t="s">
        <v>349</v>
      </c>
    </row>
    <row r="37" customFormat="false" ht="15" hidden="false" customHeight="true" outlineLevel="0" collapsed="false">
      <c r="A37" s="5" t="s">
        <v>382</v>
      </c>
      <c r="B37" s="40" t="n">
        <v>30</v>
      </c>
      <c r="C37" s="6" t="n">
        <v>589</v>
      </c>
      <c r="D37" s="41" t="n">
        <f aca="false">IFERROR(C37/B37,0)</f>
        <v>19.6333333333333</v>
      </c>
      <c r="E37" s="5" t="s">
        <v>347</v>
      </c>
    </row>
    <row r="38" customFormat="false" ht="15" hidden="false" customHeight="true" outlineLevel="0" collapsed="false">
      <c r="A38" s="5" t="s">
        <v>383</v>
      </c>
      <c r="B38" s="40" t="n">
        <v>28</v>
      </c>
      <c r="C38" s="6" t="n">
        <v>840</v>
      </c>
      <c r="D38" s="41" t="n">
        <f aca="false">IFERROR(C38/B38,0)</f>
        <v>30</v>
      </c>
      <c r="E38" s="5" t="s">
        <v>349</v>
      </c>
    </row>
    <row r="39" customFormat="false" ht="15" hidden="false" customHeight="true" outlineLevel="0" collapsed="false">
      <c r="A39" s="5" t="s">
        <v>384</v>
      </c>
      <c r="B39" s="40" t="n">
        <v>24</v>
      </c>
      <c r="C39" s="6" t="n">
        <v>456</v>
      </c>
      <c r="D39" s="41" t="n">
        <f aca="false">IFERROR(C39/B39,0)</f>
        <v>19</v>
      </c>
      <c r="E39" s="5" t="s">
        <v>347</v>
      </c>
    </row>
    <row r="40" customFormat="false" ht="15" hidden="false" customHeight="true" outlineLevel="0" collapsed="false">
      <c r="A40" s="5" t="s">
        <v>385</v>
      </c>
      <c r="B40" s="40" t="n">
        <v>24</v>
      </c>
      <c r="C40" s="6" t="n">
        <v>840</v>
      </c>
      <c r="D40" s="41" t="n">
        <f aca="false">IFERROR(C40/B40,0)</f>
        <v>35</v>
      </c>
      <c r="E40" s="5" t="s">
        <v>349</v>
      </c>
    </row>
    <row r="41" customFormat="false" ht="15" hidden="false" customHeight="true" outlineLevel="0" collapsed="false">
      <c r="A41" s="5" t="s">
        <v>386</v>
      </c>
      <c r="B41" s="40" t="n">
        <v>18</v>
      </c>
      <c r="C41" s="6" t="n">
        <v>396</v>
      </c>
      <c r="D41" s="41" t="n">
        <f aca="false">IFERROR(C41/B41,0)</f>
        <v>22</v>
      </c>
      <c r="E41" s="5" t="s">
        <v>349</v>
      </c>
    </row>
    <row r="42" customFormat="false" ht="15" hidden="false" customHeight="true" outlineLevel="0" collapsed="false">
      <c r="A42" s="5" t="s">
        <v>387</v>
      </c>
      <c r="B42" s="40" t="n">
        <v>16</v>
      </c>
      <c r="C42" s="6" t="n">
        <v>272</v>
      </c>
      <c r="D42" s="41" t="n">
        <f aca="false">IFERROR(C42/B42,0)</f>
        <v>17</v>
      </c>
      <c r="E42" s="5" t="s">
        <v>347</v>
      </c>
    </row>
    <row r="43" customFormat="false" ht="15" hidden="false" customHeight="true" outlineLevel="0" collapsed="false">
      <c r="A43" s="5" t="s">
        <v>388</v>
      </c>
      <c r="B43" s="40" t="n">
        <v>8</v>
      </c>
      <c r="C43" s="6" t="n">
        <v>128</v>
      </c>
      <c r="D43" s="41" t="n">
        <f aca="false">IFERROR(C43/B43,0)</f>
        <v>16</v>
      </c>
      <c r="E43" s="5" t="s">
        <v>347</v>
      </c>
    </row>
    <row r="44" customFormat="false" ht="15" hidden="false" customHeight="true" outlineLevel="0" collapsed="false">
      <c r="A44" s="5" t="s">
        <v>389</v>
      </c>
      <c r="B44" s="40" t="n">
        <v>4</v>
      </c>
      <c r="C44" s="6" t="n">
        <v>0</v>
      </c>
      <c r="D44" s="41" t="n">
        <f aca="false">IFERROR(C44/B44,0)</f>
        <v>0</v>
      </c>
      <c r="E44" s="5" t="s">
        <v>347</v>
      </c>
    </row>
    <row r="45" customFormat="false" ht="15" hidden="false" customHeight="true" outlineLevel="0" collapsed="false">
      <c r="A45" s="5" t="s">
        <v>390</v>
      </c>
      <c r="B45" s="40" t="n">
        <v>4</v>
      </c>
      <c r="C45" s="6" t="n">
        <v>200</v>
      </c>
      <c r="D45" s="41" t="n">
        <f aca="false">IFERROR(C45/B45,0)</f>
        <v>50</v>
      </c>
      <c r="E45" s="5" t="s">
        <v>354</v>
      </c>
    </row>
    <row r="46" customFormat="false" ht="15" hidden="false" customHeight="true" outlineLevel="0" collapsed="false">
      <c r="A46" s="5" t="s">
        <v>391</v>
      </c>
      <c r="B46" s="40" t="n">
        <v>4</v>
      </c>
      <c r="C46" s="6" t="n">
        <v>258</v>
      </c>
      <c r="D46" s="41" t="n">
        <f aca="false">IFERROR(C46/B46,0)</f>
        <v>64.5</v>
      </c>
      <c r="E46" s="5" t="s">
        <v>392</v>
      </c>
    </row>
    <row r="47" customFormat="false" ht="15" hidden="false" customHeight="true" outlineLevel="0" collapsed="false">
      <c r="A47" s="5" t="s">
        <v>393</v>
      </c>
      <c r="B47" s="40" t="n">
        <v>3</v>
      </c>
      <c r="C47" s="6" t="n">
        <v>108</v>
      </c>
      <c r="D47" s="41" t="n">
        <f aca="false">IFERROR(C47/B47,0)</f>
        <v>36</v>
      </c>
      <c r="E47" s="5" t="s">
        <v>354</v>
      </c>
    </row>
    <row r="48" customFormat="false" ht="15" hidden="false" customHeight="true" outlineLevel="0" collapsed="false">
      <c r="A48" s="5" t="s">
        <v>394</v>
      </c>
      <c r="B48" s="40" t="n">
        <v>3</v>
      </c>
      <c r="C48" s="6" t="n">
        <v>141</v>
      </c>
      <c r="D48" s="41" t="n">
        <f aca="false">IFERROR(C48/B48,0)</f>
        <v>47</v>
      </c>
      <c r="E48" s="5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5" min="4" style="1" width="14"/>
  </cols>
  <sheetData>
    <row r="1" customFormat="false" ht="19.5" hidden="false" customHeight="true" outlineLevel="0" collapsed="false">
      <c r="A1" s="2" t="s">
        <v>395</v>
      </c>
    </row>
    <row r="3" customFormat="false" ht="15" hidden="false" customHeight="true" outlineLevel="0" collapsed="false">
      <c r="A3" s="26" t="s">
        <v>345</v>
      </c>
      <c r="B3" s="26" t="s">
        <v>396</v>
      </c>
      <c r="C3" s="26" t="s">
        <v>342</v>
      </c>
      <c r="D3" s="26" t="s">
        <v>343</v>
      </c>
      <c r="E3" s="26" t="s">
        <v>397</v>
      </c>
    </row>
    <row r="4" customFormat="false" ht="15" hidden="false" customHeight="true" outlineLevel="0" collapsed="false">
      <c r="A4" s="13" t="s">
        <v>354</v>
      </c>
      <c r="B4" s="5" t="n">
        <v>10</v>
      </c>
      <c r="C4" s="40" t="n">
        <v>3250.5</v>
      </c>
      <c r="D4" s="6" t="n">
        <v>150332</v>
      </c>
      <c r="E4" s="36" t="n">
        <f aca="false">IFERROR(C4/SUM(C$4:C$7),0)</f>
        <v>0.166274489743721</v>
      </c>
    </row>
    <row r="5" customFormat="false" ht="15" hidden="false" customHeight="true" outlineLevel="0" collapsed="false">
      <c r="A5" s="13" t="s">
        <v>349</v>
      </c>
      <c r="B5" s="5" t="n">
        <v>23</v>
      </c>
      <c r="C5" s="40" t="n">
        <v>11258.5</v>
      </c>
      <c r="D5" s="6" t="n">
        <v>297420</v>
      </c>
      <c r="E5" s="36" t="n">
        <f aca="false">IFERROR(C5/SUM(C$4:C$7),0)</f>
        <v>0.575911811345849</v>
      </c>
    </row>
    <row r="6" customFormat="false" ht="15" hidden="false" customHeight="true" outlineLevel="0" collapsed="false">
      <c r="A6" s="13" t="s">
        <v>347</v>
      </c>
      <c r="B6" s="5" t="n">
        <v>11</v>
      </c>
      <c r="C6" s="40" t="n">
        <v>5036</v>
      </c>
      <c r="D6" s="6" t="n">
        <v>89987</v>
      </c>
      <c r="E6" s="36" t="n">
        <f aca="false">IFERROR(C6/SUM(C$4:C$7),0)</f>
        <v>0.257609084863676</v>
      </c>
    </row>
    <row r="7" customFormat="false" ht="15" hidden="false" customHeight="true" outlineLevel="0" collapsed="false">
      <c r="A7" s="13" t="s">
        <v>392</v>
      </c>
      <c r="B7" s="5" t="n">
        <v>1</v>
      </c>
      <c r="C7" s="40" t="n">
        <v>4</v>
      </c>
      <c r="D7" s="6" t="n">
        <v>258</v>
      </c>
      <c r="E7" s="36" t="n">
        <f aca="false">IFERROR(C7/SUM(C$4:C$7),0)</f>
        <v>0.00020461404675431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398</v>
      </c>
    </row>
    <row r="3" customFormat="false" ht="15" hidden="false" customHeight="true" outlineLevel="0" collapsed="false">
      <c r="A3" s="5" t="s">
        <v>399</v>
      </c>
      <c r="B3" s="40" t="n">
        <v>19549</v>
      </c>
    </row>
    <row r="4" customFormat="false" ht="15" hidden="false" customHeight="true" outlineLevel="0" collapsed="false">
      <c r="A4" s="5" t="s">
        <v>400</v>
      </c>
      <c r="B4" s="42" t="n">
        <v>45</v>
      </c>
    </row>
    <row r="5" customFormat="false" ht="15" hidden="false" customHeight="true" outlineLevel="0" collapsed="false">
      <c r="A5" s="5" t="s">
        <v>401</v>
      </c>
      <c r="B5" s="40" t="n">
        <v>119.9</v>
      </c>
    </row>
    <row r="6" customFormat="false" ht="15" hidden="false" customHeight="true" outlineLevel="0" collapsed="false">
      <c r="A6" s="5" t="s">
        <v>402</v>
      </c>
      <c r="B6" s="43" t="n">
        <v>132.4</v>
      </c>
    </row>
    <row r="7" customFormat="false" ht="15" hidden="false" customHeight="true" outlineLevel="0" collapsed="false">
      <c r="A7" s="5" t="s">
        <v>12</v>
      </c>
      <c r="B7" s="44" t="n">
        <v>1.00000019317852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</cols>
  <sheetData>
    <row r="1" customFormat="false" ht="19.5" hidden="false" customHeight="true" outlineLevel="0" collapsed="false">
      <c r="A1" s="2" t="s">
        <v>403</v>
      </c>
    </row>
    <row r="3" customFormat="false" ht="15" hidden="false" customHeight="true" outlineLevel="0" collapsed="false">
      <c r="A3" s="26" t="s">
        <v>404</v>
      </c>
      <c r="B3" s="26" t="s">
        <v>405</v>
      </c>
      <c r="C3" s="26" t="s">
        <v>406</v>
      </c>
      <c r="D3" s="26" t="s">
        <v>169</v>
      </c>
    </row>
    <row r="4" customFormat="false" ht="15" hidden="false" customHeight="true" outlineLevel="0" collapsed="false">
      <c r="A4" s="5" t="s">
        <v>407</v>
      </c>
      <c r="B4" s="44" t="n">
        <v>0.319858145150089</v>
      </c>
      <c r="C4" s="44" t="n">
        <v>0.34</v>
      </c>
      <c r="D4" s="36" t="n">
        <f aca="false">B4-C4</f>
        <v>-0.020141854849911</v>
      </c>
    </row>
    <row r="5" customFormat="false" ht="15" hidden="false" customHeight="true" outlineLevel="0" collapsed="false">
      <c r="A5" s="5" t="s">
        <v>408</v>
      </c>
      <c r="B5" s="44" t="n">
        <v>0.496147322731252</v>
      </c>
      <c r="C5" s="44" t="n">
        <v>0.45</v>
      </c>
      <c r="D5" s="36" t="n">
        <f aca="false">B5-C5</f>
        <v>0.046147322731252</v>
      </c>
    </row>
    <row r="6" customFormat="false" ht="15" hidden="false" customHeight="true" outlineLevel="0" collapsed="false">
      <c r="A6" s="5" t="s">
        <v>409</v>
      </c>
      <c r="B6" s="44" t="n">
        <v>0.176916293620069</v>
      </c>
      <c r="C6" s="44" t="n">
        <v>0.38</v>
      </c>
      <c r="D6" s="36" t="n">
        <f aca="false">B6-C6</f>
        <v>-0.203083706379931</v>
      </c>
    </row>
    <row r="7" customFormat="false" ht="15" hidden="false" customHeight="true" outlineLevel="0" collapsed="false">
      <c r="A7" s="5" t="s">
        <v>410</v>
      </c>
      <c r="B7" s="40" t="n">
        <v>119.932515337423</v>
      </c>
      <c r="C7" s="40" t="n">
        <v>95</v>
      </c>
      <c r="D7" s="45" t="n">
        <f aca="false">B7-C7</f>
        <v>24.932515337423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44"/>
  </cols>
  <sheetData>
    <row r="1" customFormat="false" ht="19.5" hidden="false" customHeight="true" outlineLevel="0" collapsed="false">
      <c r="A1" s="2" t="s">
        <v>411</v>
      </c>
    </row>
    <row r="3" customFormat="false" ht="15" hidden="false" customHeight="true" outlineLevel="0" collapsed="false">
      <c r="A3" s="26" t="s">
        <v>412</v>
      </c>
      <c r="B3" s="26" t="s">
        <v>233</v>
      </c>
      <c r="C3" s="26" t="s">
        <v>413</v>
      </c>
    </row>
    <row r="4" customFormat="false" ht="15" hidden="false" customHeight="true" outlineLevel="0" collapsed="false">
      <c r="A4" s="5" t="s">
        <v>414</v>
      </c>
      <c r="B4" s="46" t="s">
        <v>415</v>
      </c>
      <c r="C4" s="5" t="s">
        <v>416</v>
      </c>
    </row>
    <row r="5" customFormat="false" ht="15" hidden="false" customHeight="true" outlineLevel="0" collapsed="false">
      <c r="A5" s="5" t="s">
        <v>417</v>
      </c>
      <c r="B5" s="47" t="s">
        <v>418</v>
      </c>
      <c r="C5" s="5" t="s">
        <v>419</v>
      </c>
    </row>
    <row r="6" customFormat="false" ht="15" hidden="false" customHeight="true" outlineLevel="0" collapsed="false">
      <c r="A6" s="5" t="s">
        <v>420</v>
      </c>
      <c r="B6" s="47" t="s">
        <v>418</v>
      </c>
      <c r="C6" s="5" t="s">
        <v>421</v>
      </c>
    </row>
    <row r="7" customFormat="false" ht="15" hidden="false" customHeight="true" outlineLevel="0" collapsed="false">
      <c r="A7" s="5" t="s">
        <v>6</v>
      </c>
      <c r="B7" s="47" t="s">
        <v>418</v>
      </c>
      <c r="C7" s="5" t="s">
        <v>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423</v>
      </c>
    </row>
    <row r="3" customFormat="false" ht="15" hidden="false" customHeight="true" outlineLevel="0" collapsed="false">
      <c r="A3" s="26" t="s">
        <v>14</v>
      </c>
      <c r="B3" s="26" t="s">
        <v>424</v>
      </c>
      <c r="C3" s="26" t="s">
        <v>425</v>
      </c>
      <c r="D3" s="26" t="s">
        <v>169</v>
      </c>
    </row>
    <row r="4" customFormat="false" ht="15" hidden="false" customHeight="true" outlineLevel="0" collapsed="false">
      <c r="A4" s="5" t="s">
        <v>426</v>
      </c>
      <c r="B4" s="6" t="n">
        <v>1295086.75</v>
      </c>
      <c r="C4" s="6" t="n">
        <v>1295086.75</v>
      </c>
      <c r="D4" s="10" t="n">
        <f aca="false">IF(ISNUMBER(B4),B4-C4,"—")</f>
        <v>0</v>
      </c>
    </row>
    <row r="5" customFormat="false" ht="15" hidden="false" customHeight="true" outlineLevel="0" collapsed="false">
      <c r="A5" s="5" t="s">
        <v>427</v>
      </c>
      <c r="B5" s="6" t="n">
        <v>-2588279.5</v>
      </c>
      <c r="C5" s="6" t="n">
        <v>2588279.5</v>
      </c>
      <c r="D5" s="10" t="n">
        <f aca="false">IF(ISNUMBER(B5),B5-C5,"—")</f>
        <v>-5176559</v>
      </c>
    </row>
    <row r="6" customFormat="false" ht="15" hidden="false" customHeight="true" outlineLevel="0" collapsed="false">
      <c r="A6" s="5" t="s">
        <v>428</v>
      </c>
      <c r="C6" s="6" t="n">
        <v>453330.32</v>
      </c>
      <c r="D6" s="10" t="str">
        <f aca="false">IF(ISNUMBER(B6),B6-C6,"—")</f>
        <v>—</v>
      </c>
    </row>
    <row r="7" customFormat="false" ht="15" hidden="false" customHeight="true" outlineLevel="0" collapsed="false">
      <c r="A7" s="5" t="s">
        <v>429</v>
      </c>
      <c r="C7" s="6" t="n">
        <v>809520.68</v>
      </c>
      <c r="D7" s="10" t="str">
        <f aca="false">IF(ISNUMBER(B7),B7-C7,"—")</f>
        <v>—</v>
      </c>
    </row>
    <row r="8" customFormat="false" ht="15" hidden="false" customHeight="true" outlineLevel="0" collapsed="false">
      <c r="A8" s="5" t="s">
        <v>430</v>
      </c>
      <c r="C8" s="6" t="n">
        <v>32235.75</v>
      </c>
      <c r="D8" s="10" t="str">
        <f aca="false">IF(ISNUMBER(B8),B8-C8,"—")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431</v>
      </c>
    </row>
    <row r="3" customFormat="false" ht="15" hidden="false" customHeight="true" outlineLevel="0" collapsed="false">
      <c r="A3" s="26" t="s">
        <v>404</v>
      </c>
      <c r="B3" s="26" t="s">
        <v>432</v>
      </c>
      <c r="C3" s="26" t="s">
        <v>433</v>
      </c>
    </row>
    <row r="4" customFormat="false" ht="15" hidden="false" customHeight="true" outlineLevel="0" collapsed="false">
      <c r="A4" s="48" t="s">
        <v>407</v>
      </c>
      <c r="B4" s="48" t="s">
        <v>434</v>
      </c>
      <c r="C4" s="48" t="s">
        <v>435</v>
      </c>
    </row>
    <row r="5" customFormat="false" ht="15" hidden="false" customHeight="true" outlineLevel="0" collapsed="false">
      <c r="A5" s="48" t="s">
        <v>12</v>
      </c>
      <c r="B5" s="48" t="s">
        <v>434</v>
      </c>
      <c r="C5" s="48" t="s">
        <v>436</v>
      </c>
    </row>
    <row r="6" customFormat="false" ht="15" hidden="false" customHeight="true" outlineLevel="0" collapsed="false">
      <c r="A6" s="48" t="s">
        <v>437</v>
      </c>
      <c r="B6" s="48" t="s">
        <v>438</v>
      </c>
      <c r="C6" s="48" t="s">
        <v>439</v>
      </c>
    </row>
    <row r="7" customFormat="false" ht="15" hidden="false" customHeight="true" outlineLevel="0" collapsed="false">
      <c r="A7" s="48" t="s">
        <v>409</v>
      </c>
      <c r="B7" s="48" t="s">
        <v>440</v>
      </c>
      <c r="C7" s="48" t="s">
        <v>441</v>
      </c>
    </row>
    <row r="8" customFormat="false" ht="15" hidden="false" customHeight="true" outlineLevel="0" collapsed="false">
      <c r="A8" s="48" t="s">
        <v>410</v>
      </c>
      <c r="B8" s="48" t="s">
        <v>442</v>
      </c>
      <c r="C8" s="48" t="s">
        <v>443</v>
      </c>
    </row>
    <row r="9" customFormat="false" ht="23.25" hidden="false" customHeight="true" outlineLevel="0" collapsed="false">
      <c r="A9" s="48" t="s">
        <v>444</v>
      </c>
      <c r="B9" s="48" t="s">
        <v>445</v>
      </c>
      <c r="C9" s="48" t="s">
        <v>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70"/>
  </cols>
  <sheetData>
    <row r="1" customFormat="false" ht="19.5" hidden="false" customHeight="true" outlineLevel="0" collapsed="false">
      <c r="A1" s="2" t="s">
        <v>447</v>
      </c>
    </row>
    <row r="3" customFormat="false" ht="15" hidden="false" customHeight="true" outlineLevel="0" collapsed="false">
      <c r="A3" s="26" t="s">
        <v>448</v>
      </c>
      <c r="B3" s="26" t="s">
        <v>449</v>
      </c>
      <c r="C3" s="26" t="s">
        <v>450</v>
      </c>
    </row>
    <row r="4" customFormat="false" ht="15" hidden="false" customHeight="true" outlineLevel="0" collapsed="false">
      <c r="A4" s="5" t="s">
        <v>451</v>
      </c>
      <c r="B4" s="5" t="s">
        <v>452</v>
      </c>
      <c r="C4" s="5" t="s">
        <v>453</v>
      </c>
    </row>
    <row r="6" customFormat="false" ht="57" hidden="false" customHeight="true" outlineLevel="0" collapsed="false">
      <c r="A6" s="30" t="s">
        <v>451</v>
      </c>
      <c r="B6" s="30" t="s">
        <v>454</v>
      </c>
      <c r="C6" s="33" t="s">
        <v>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2026-04-26T01:16:24Z</dcterms:created>
  <dc:creator>openpyxl</dc:creator>
  <dc:description/>
  <dc:language>en-US</dc:language>
  <cp:lastModifiedBy/>
  <dcterms:modified xsi:type="dcterms:W3CDTF">2026-04-26T02:07:29Z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