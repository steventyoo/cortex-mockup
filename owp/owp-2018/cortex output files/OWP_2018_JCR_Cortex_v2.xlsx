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<sst xmlns="http://schemas.openxmlformats.org/spreadsheetml/2006/main" count="1539" uniqueCount="812">
  <si>
    <t xml:space="preserve">Job #2018 · SRM Astro Apartments</t>
  </si>
  <si>
    <t xml:space="preserve">Cortex JCR Summary  •  SRMQA, LLC (SRM Development)  •  Seattle, WA  •  6-story multifamily apartments + 3 levels below-grade parking + retail/amenity  •  Dec 2013 – Feb 2015 (~15 months)</t>
  </si>
  <si>
    <t xml:space="preserve">PROJECT OVERVIEW</t>
  </si>
  <si>
    <t xml:space="preserve">Project Job #</t>
  </si>
  <si>
    <t xml:space="preserve">2018</t>
  </si>
  <si>
    <t xml:space="preserve">Project Name:</t>
  </si>
  <si>
    <t xml:space="preserve">SRM Astro Apartments</t>
  </si>
  <si>
    <t xml:space="preserve">General Contractor</t>
  </si>
  <si>
    <t xml:space="preserve">SRMQA, LLC (SRM Development)</t>
  </si>
  <si>
    <t xml:space="preserve">Location</t>
  </si>
  <si>
    <t xml:space="preserve">Seattle, WA</t>
  </si>
  <si>
    <t xml:space="preserve">Project Duration</t>
  </si>
  <si>
    <t xml:space="preserve">Dec 2013 – Feb 2015 (~15 months)</t>
  </si>
  <si>
    <t xml:space="preserve">Total Unique Documents</t>
  </si>
  <si>
    <t xml:space="preserve">Astro folder: Contract, Billings (15 SOVs + aggregate), PO_s, COs (5)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</si>
  <si>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</si>
  <si>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</si>
  <si>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</si>
  <si>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</si>
  <si>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$2,305,058</t>
  </si>
  <si>
    <t xml:space="preserve">$1,072,788</t>
  </si>
  <si>
    <t xml:space="preserve">$1,232,270</t>
  </si>
  <si>
    <t xml:space="preserve">23,300</t>
  </si>
  <si>
    <t xml:space="preserve">Original $2,282,726 + $22,332 COs (5)</t>
  </si>
  <si>
    <t xml:space="preserve">46.5% margin</t>
  </si>
  <si>
    <t xml:space="preserve">53.5% of revenue</t>
  </si>
  <si>
    <t xml:space="preserve">48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</si>
  <si>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</si>
  <si>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</si>
  <si>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</si>
  <si>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</si>
  <si>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</si>
  <si>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</si>
  <si>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</si>
  <si>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</si>
  <si>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</si>
  <si>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</si>
  <si>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</si>
  <si>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</si>
  <si>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</si>
  <si>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</si>
  <si>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</si>
  <si>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</si>
  <si>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212</t>
  </si>
  <si>
    <t xml:space="preserve">Water Closets</t>
  </si>
  <si>
    <t xml:space="preserve">242 (239 res + 3 common)</t>
  </si>
  <si>
    <t xml:space="preserve">Kitchen Sinks</t>
  </si>
  <si>
    <t xml:space="preserve">Total Fixtures</t>
  </si>
  <si>
    <t xml:space="preserve">~1,144</t>
  </si>
  <si>
    <t xml:space="preserve">Lavatories</t>
  </si>
  <si>
    <t xml:space="preserve">242</t>
  </si>
  <si>
    <t xml:space="preserve">Dishwashers</t>
  </si>
  <si>
    <t xml:space="preserve">Fixtures / Unit</t>
  </si>
  <si>
    <t xml:space="preserve">5.4</t>
  </si>
  <si>
    <t xml:space="preserve">Tubs/Showers</t>
  </si>
  <si>
    <t xml:space="preserve">233 (fiberglass)</t>
  </si>
  <si>
    <t xml:space="preserve">Auto Washers</t>
  </si>
  <si>
    <t xml:space="preserve">Levels</t>
  </si>
  <si>
    <t xml:space="preserve">L2–L6 residential (N+S wings) + L1 retail/amenity + P1/P2/P3 parking</t>
  </si>
  <si>
    <t xml:space="preserve">Duration</t>
  </si>
  <si>
    <t xml:space="preserve">15 mo</t>
  </si>
  <si>
    <t xml:space="preserve">Below-grade</t>
  </si>
  <si>
    <t xml:space="preserve">3 PT deck parking levels</t>
  </si>
  <si>
    <t xml:space="preserve">SOURCES</t>
  </si>
  <si>
    <t xml:space="preserve">Job #2018 — SRM Astro Apartments  •  GC: SRMQA, LLC (SRM Development)  •  Seattle, WA</t>
  </si>
  <si>
    <t xml:space="preserve">Canonical source: 2018 Job Detail Report.pdf (183 pages, OWP Sage Timberline export)</t>
  </si>
  <si>
    <t xml:space="preserve">Cost codes parsed: 29 (Labor+Material+Overhead+Burden+Revenue)</t>
  </si>
  <si>
    <t xml:space="preserve">Unit count (212) from 11 Keller Supply per-level trim POs (L1N, L2N/S, L3N/S, L4N/S, L5N/S, L6N/S)</t>
  </si>
  <si>
    <t xml:space="preserve">Per-level residential WCs: L2N=25, L2S=24, L3N=25, L3S=23, L4N=25, L4S=23, L5N=25, L5S=23, L6N=25, L6S=21 = 239 res + 3 common (L1N)</t>
  </si>
  <si>
    <t xml:space="preserve">Billing: ASTRO AGGREGATE BILLING.xlsx (15 pay apps, Dec 2013 – Feb 2015) + 15 underlying SOV files</t>
  </si>
  <si>
    <t xml:space="preserve">Change orders: 5 COs net +$22,332 (roof deck, ASK 40, sky lounge, trench drain, tub liners)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</si>
  <si>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</si>
  <si>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</si>
  <si>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</si>
  <si>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</si>
  <si>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</si>
  <si>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</si>
  <si>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</si>
  <si>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</si>
  <si>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</si>
  <si>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</si>
  <si>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</si>
  <si>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</si>
  <si>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</si>
  <si>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</si>
  <si>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</si>
  <si>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</si>
  <si>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</si>
  <si>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</si>
  <si>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</si>
  <si>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113</t>
  </si>
  <si>
    <t xml:space="preserve">Foundation Drain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</si>
  <si>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</si>
  <si>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</si>
  <si>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</si>
  <si>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</si>
  <si>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</si>
  <si>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</si>
  <si>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</si>
  <si>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</si>
  <si>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</si>
  <si>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</si>
  <si>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</si>
  <si>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</si>
  <si>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</si>
  <si>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</si>
  <si>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</si>
  <si>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</si>
  <si>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</si>
  <si>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Canout Material</t>
  </si>
  <si>
    <t xml:space="preserve">213</t>
  </si>
  <si>
    <t xml:space="preserve">Foundation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</si>
  <si>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</si>
  <si>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</si>
  <si>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</si>
  <si>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</si>
  <si>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</si>
  <si>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</si>
  <si>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</si>
  <si>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</si>
  <si>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</si>
  <si>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</si>
  <si>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</si>
  <si>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</si>
  <si>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</si>
  <si>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</si>
  <si>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</si>
  <si>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</si>
  <si>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</si>
  <si>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</si>
  <si>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</si>
  <si>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</si>
  <si>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</si>
  <si>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</si>
  <si>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</si>
  <si>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</si>
  <si>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</si>
  <si>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</si>
  <si>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</si>
  <si>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</si>
  <si>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</si>
  <si>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</si>
  <si>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</si>
  <si>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</si>
  <si>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</si>
  <si>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</si>
  <si>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</si>
  <si>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10 material cost codes  •  $556,907 JDR material  •  19 AP vendors  •  $535,198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</si>
  <si>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</si>
  <si>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</si>
  <si>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</si>
  <si>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</si>
  <si>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</si>
  <si>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</si>
  <si>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</si>
  <si>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</si>
  <si>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</si>
  <si>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</si>
  <si>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Keller Supply Company</t>
  </si>
  <si>
    <t xml:space="preserve">Ferguson Enterprises, Inc.</t>
  </si>
  <si>
    <t xml:space="preserve">Mechanical Sales, Inc.</t>
  </si>
  <si>
    <t xml:space="preserve">Consolidated Supply Co.</t>
  </si>
  <si>
    <t xml:space="preserve">Franklin Engineering</t>
  </si>
  <si>
    <t xml:space="preserve">Bank of America CC</t>
  </si>
  <si>
    <t xml:space="preserve">Quality Concrete Products, Inc.</t>
  </si>
  <si>
    <t xml:space="preserve">United Rentals, Inc.</t>
  </si>
  <si>
    <t xml:space="preserve">Ferguson Enterprises, Inc. #3007</t>
  </si>
  <si>
    <t xml:space="preserve">C.M. Hoskins Company</t>
  </si>
  <si>
    <t xml:space="preserve">Kele, Inc</t>
  </si>
  <si>
    <t xml:space="preserve">MAD Concrete Cutting &amp; Coring, Inc.</t>
  </si>
  <si>
    <t xml:space="preserve">Capital One Credit Card</t>
  </si>
  <si>
    <t xml:space="preserve">Fastenal Company</t>
  </si>
  <si>
    <t xml:space="preserve">DRSi</t>
  </si>
  <si>
    <t xml:space="preserve">R.A. Brown Backflow Testing</t>
  </si>
  <si>
    <t xml:space="preserve">Rosen Supply Kirkland</t>
  </si>
  <si>
    <t xml:space="preserve">Core &amp; Main LP</t>
  </si>
  <si>
    <t xml:space="preserve">Vendor AP ties to JDR 'by Source: AP' line (535,198.25)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</si>
  <si>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</si>
  <si>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</si>
  <si>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</si>
  <si>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</si>
  <si>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</si>
  <si>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</si>
  <si>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Waites, Thaddeus Z</t>
  </si>
  <si>
    <t xml:space="preserve">Mid</t>
  </si>
  <si>
    <t xml:space="preserve">Reyes, Robert J</t>
  </si>
  <si>
    <t xml:space="preserve">Apprentice</t>
  </si>
  <si>
    <t xml:space="preserve">Cortes Mendiola, Victor H</t>
  </si>
  <si>
    <t xml:space="preserve">Sanders, Allen O</t>
  </si>
  <si>
    <t xml:space="preserve">Senior</t>
  </si>
  <si>
    <t xml:space="preserve">Vaughan, Tyler J</t>
  </si>
  <si>
    <t xml:space="preserve">Castaneda Juarez, Edgar D</t>
  </si>
  <si>
    <t xml:space="preserve">Anzora, William</t>
  </si>
  <si>
    <t xml:space="preserve">Palma Vides, Hugo</t>
  </si>
  <si>
    <t xml:space="preserve">Arreola, Israel A</t>
  </si>
  <si>
    <t xml:space="preserve">Kinssies, Jr, John E</t>
  </si>
  <si>
    <t xml:space="preserve">Castaneda Martinez, Gustavo</t>
  </si>
  <si>
    <t xml:space="preserve">Rivera, Eli P</t>
  </si>
  <si>
    <t xml:space="preserve">Ramos Banegas, Noel O</t>
  </si>
  <si>
    <t xml:space="preserve">Holmes, Anthony R</t>
  </si>
  <si>
    <t xml:space="preserve">Hubbard, Robert W</t>
  </si>
  <si>
    <t xml:space="preserve">Garcia, Jordan X</t>
  </si>
  <si>
    <t xml:space="preserve">Balderas Ortiz, Ricardo I</t>
  </si>
  <si>
    <t xml:space="preserve">Castro Hernandez, Jose A</t>
  </si>
  <si>
    <t xml:space="preserve">Castaneda Juarez, Gustavo</t>
  </si>
  <si>
    <t xml:space="preserve">Spears, Gregory M</t>
  </si>
  <si>
    <t xml:space="preserve">Paco Leyva, Orlando</t>
  </si>
  <si>
    <t xml:space="preserve">Monico Brambila, Jesus S</t>
  </si>
  <si>
    <t xml:space="preserve">McCabe, Thomas C</t>
  </si>
  <si>
    <t xml:space="preserve">Alba Martinez, Santiago</t>
  </si>
  <si>
    <t xml:space="preserve">Meza Fuentes, Erick A</t>
  </si>
  <si>
    <t xml:space="preserve">Reed, Reuben H</t>
  </si>
  <si>
    <t xml:space="preserve">Gerard, Jeffrey S</t>
  </si>
  <si>
    <t xml:space="preserve">Lopez Martinez, Abimael</t>
  </si>
  <si>
    <t xml:space="preserve">Agustin Rodriguez, Ezequiel</t>
  </si>
  <si>
    <t xml:space="preserve">Bateman, Rohan O</t>
  </si>
  <si>
    <t xml:space="preserve">Velasquez Cruz, Denis M</t>
  </si>
  <si>
    <t xml:space="preserve">Ross, Kelli M</t>
  </si>
  <si>
    <t xml:space="preserve">Ramirez, Lorenzo A</t>
  </si>
  <si>
    <t xml:space="preserve">Hubbard, Dustin R</t>
  </si>
  <si>
    <t xml:space="preserve">Veley, Nathaniel S</t>
  </si>
  <si>
    <t xml:space="preserve">Soto Cruz, Jovani</t>
  </si>
  <si>
    <t xml:space="preserve">Salazar, Hajdar L</t>
  </si>
  <si>
    <t xml:space="preserve">Sepulveda Gonzalez, Alfredo</t>
  </si>
  <si>
    <t xml:space="preserve">Gonzalez Hernandez, Josue</t>
  </si>
  <si>
    <t xml:space="preserve">Soto Serna, Cesar E</t>
  </si>
  <si>
    <t xml:space="preserve">Reyes Cruz, Denis A</t>
  </si>
  <si>
    <t xml:space="preserve">Ramos Garcia, Jose M</t>
  </si>
  <si>
    <t xml:space="preserve">Gerard, Mitchell J</t>
  </si>
  <si>
    <t xml:space="preserve">Nishiyama, Joshua K</t>
  </si>
  <si>
    <t xml:space="preserve">Sanchez Garcia, Adelaido</t>
  </si>
  <si>
    <t xml:space="preserve">Wilson, Garret A</t>
  </si>
  <si>
    <t xml:space="preserve">Barnhart, Joseph N</t>
  </si>
  <si>
    <t xml:space="preserve">Donelson, Richard T</t>
  </si>
  <si>
    <t xml:space="preserve">TOTAL (48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</si>
  <si>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</si>
  <si>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</si>
  <si>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</si>
  <si>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</si>
  <si>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</si>
  <si>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</si>
  <si>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</si>
  <si>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</si>
  <si>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</si>
  <si>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</si>
  <si>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</si>
  <si>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</si>
  <si>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</si>
  <si>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</si>
  <si>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</si>
  <si>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</si>
  <si>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</si>
  <si>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</si>
  <si>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</si>
  <si>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</si>
  <si>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</si>
  <si>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</si>
  <si>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</si>
  <si>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</si>
  <si>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</si>
  <si>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</si>
  <si>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</si>
  <si>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</si>
  <si>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</si>
  <si>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Foundation Drain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</si>
  <si>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</si>
  <si>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</si>
  <si>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</si>
  <si>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</si>
  <si>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</si>
  <si>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</si>
  <si>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</si>
  <si>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</si>
  <si>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</si>
  <si>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</si>
  <si>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</si>
  <si>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</si>
  <si>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</si>
  <si>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</si>
  <si>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</si>
  <si>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</si>
  <si>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</si>
  <si>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</si>
  <si>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</si>
  <si>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</si>
  <si>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</si>
  <si>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</si>
  <si>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</si>
  <si>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</si>
  <si>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</si>
  <si>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</si>
  <si>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</si>
  <si>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</si>
  <si>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</si>
  <si>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147 unique POs  •  PO amounts not dollar-parsed from individual PDFs  •  JDR material $556,907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</si>
  <si>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</si>
  <si>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</si>
  <si>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</si>
  <si>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</si>
  <si>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</si>
  <si>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</si>
  <si>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</si>
  <si>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</si>
  <si>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</si>
  <si>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</si>
  <si>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</si>
  <si>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</si>
  <si>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</si>
  <si>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</si>
  <si>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</si>
  <si>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</si>
  <si>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</si>
  <si>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</si>
  <si>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</si>
  <si>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</si>
  <si>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KELLER</t>
  </si>
  <si>
    <t xml:space="preserve">FEI</t>
  </si>
  <si>
    <t xml:space="preserve">CONSOLIDATED</t>
  </si>
  <si>
    <t xml:space="preserve">MECH SALES</t>
  </si>
  <si>
    <t xml:space="preserve">FASTENAL</t>
  </si>
  <si>
    <t xml:space="preserve">SIOUX CHIEF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</si>
  <si>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</si>
  <si>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</si>
  <si>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</si>
  <si>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</si>
  <si>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</si>
  <si>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</si>
  <si>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</si>
  <si>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15 pay applications  •  Original $2,282,726 + $22,332 COs = $2,305,058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</si>
  <si>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</si>
  <si>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</si>
  <si>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</si>
  <si>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</si>
  <si>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</si>
  <si>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</si>
  <si>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</si>
  <si>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</si>
  <si>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</si>
  <si>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</si>
  <si>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</si>
  <si>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</si>
  <si>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</si>
  <si>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</si>
  <si>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2013-12-19</t>
  </si>
  <si>
    <t xml:space="preserve">2014-01-23</t>
  </si>
  <si>
    <t xml:space="preserve">2014-02-25</t>
  </si>
  <si>
    <t xml:space="preserve">2014-03-25</t>
  </si>
  <si>
    <t xml:space="preserve">2014-04-25</t>
  </si>
  <si>
    <t xml:space="preserve">2014-05-22</t>
  </si>
  <si>
    <t xml:space="preserve">2014-06-24</t>
  </si>
  <si>
    <t xml:space="preserve">2014-07-24</t>
  </si>
  <si>
    <t xml:space="preserve">2014-08-25</t>
  </si>
  <si>
    <t xml:space="preserve">2014-09-25</t>
  </si>
  <si>
    <t xml:space="preserve">2014-10-25</t>
  </si>
  <si>
    <t xml:space="preserve">2014-11-18</t>
  </si>
  <si>
    <t xml:space="preserve">2014-12-15</t>
  </si>
  <si>
    <t xml:space="preserve">2015-01-22</t>
  </si>
  <si>
    <t xml:space="preserve">2015-02-19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</si>
  <si>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</si>
  <si>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</si>
  <si>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</si>
  <si>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</si>
  <si>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</si>
  <si>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</si>
  <si>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#2018 SRM Astro Apartments</t>
  </si>
  <si>
    <t xml:space="preserve">Narrative observations distilled from the full JDR analysis</t>
  </si>
  <si>
    <t xml:space="preserve">MARGIN PROFILE</t>
  </si>
  <si>
    <t xml:space="preserve">Net profit of $1,072,788 on $2,305,058 revenue = 46.5% gross margin. Direct cost $1,232,270 absorbs 53.5% of revenue.</t>
  </si>
  <si>
    <t xml:space="preserve">VENDOR CONCENTRATION</t>
  </si>
  <si>
    <t xml:space="preserve">Rosen Supply Company, Inc. alone = $187,930 (35% of all AP) across 87 invoices. Total 19 AP vendors, $535,198 total AP spend.</t>
  </si>
  <si>
    <t xml:space="preserve">CREW PROFILE</t>
  </si>
  <si>
    <t xml:space="preserve">48 workers for 23,300 hours = 485 avg hrs/worker. Top 3 workers logged 3,041 hrs combined (13% of all labor).</t>
  </si>
  <si>
    <t xml:space="preserve">ROUGHIN DOMINANCE</t>
  </si>
  <si>
    <t xml:space="preserve">Code 120 Roughin Labor = 14,241 hrs (61% of all labor) and $256,945 actual. Code 230 Finish Material = $272,549 — 22% of total direct cost.</t>
  </si>
  <si>
    <t xml:space="preserve">BUDGET DELIVERY</t>
  </si>
  <si>
    <t xml:space="preserve">Revised budget was $1,442,963; actual direct cost $1,232,270 → $210,693 variance (14.6% under revised budget).</t>
  </si>
  <si>
    <t xml:space="preserve">CONTRACT GROWTH</t>
  </si>
  <si>
    <t xml:space="preserve">Contract grew from $2,282,726 to $2,305,058 — net +$22,332 (1.0%). Retainage of $115,253 (5%) withheld until closeout.</t>
  </si>
  <si>
    <t xml:space="preserve">BURDEN RATIO</t>
  </si>
  <si>
    <t xml:space="preserve">Burden codes 995 + 998 = $230,027 on $440,393 labor base = 52.2%. In line with OWP's typical 48–50% labor burden.</t>
  </si>
  <si>
    <t xml:space="preserve">PROJECT SCALE</t>
  </si>
  <si>
    <t xml:space="preserve">212 units · 1144 fixtures · 15 months. Revenue/unit $10,873, hours/unit 109.9, profit/unit $5,060.</t>
  </si>
  <si>
    <t xml:space="preserve">PRODUCTIVITY</t>
  </si>
  <si>
    <t xml:space="preserve">Blended labor rate $18.90/hr. Revenue/hour $99. Profit/hour $46. 1,553 hrs/month burn rate.</t>
  </si>
  <si>
    <t xml:space="preserve">FIXTURE DENSITY</t>
  </si>
  <si>
    <t xml:space="preserve">1144 fixtures ÷ 212 units = 5.40 fixtures/unit. Material/fixture $487, labor/fixture $385.</t>
  </si>
  <si>
    <t xml:space="preserve">BIGGEST QUESTION</t>
  </si>
  <si>
    <t xml:space="preserve">How does this job's 46.5%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</si>
  <si>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</si>
  <si>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</si>
  <si>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</si>
  <si>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</si>
  <si>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</si>
  <si>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</si>
  <si>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</si>
  <si>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</si>
  <si>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</si>
  <si>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</si>
  <si>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</si>
  <si>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</si>
  <si>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</si>
  <si>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</si>
  <si>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</si>
  <si>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</si>
  <si>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</si>
  <si>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</si>
  <si>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6-story multifamily apartments + 3 levels below-grade parking + retail/amenity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</si>
  <si>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</si>
  <si>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</si>
  <si>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</si>
  <si>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</si>
  <si>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</si>
  <si>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</si>
  <si>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</si>
  <si>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</si>
  <si>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</si>
  <si>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</si>
  <si>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</si>
  <si>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</si>
  <si>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</si>
  <si>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</si>
  <si>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</si>
  <si>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</si>
  <si>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</si>
  <si>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</si>
  <si>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</si>
  <si>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</si>
  <si>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</si>
  <si>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</si>
  <si>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</si>
  <si>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</si>
  <si>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13 labor codes</t>
  </si>
  <si>
    <t xml:space="preserve">Material Cost</t>
  </si>
  <si>
    <t xml:space="preserve">material_cost</t>
  </si>
  <si>
    <t xml:space="preserve">Sum of 10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</si>
  <si>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</si>
  <si>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</si>
  <si>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</si>
  <si>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</si>
  <si>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</si>
  <si>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</si>
  <si>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</si>
  <si>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</si>
  <si>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</si>
  <si>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</si>
  <si>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</si>
  <si>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</si>
  <si>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</si>
  <si>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</si>
  <si>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</si>
  <si>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</si>
  <si>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</si>
  <si>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</si>
  <si>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</si>
  <si>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</si>
  <si>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</si>
  <si>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</si>
  <si>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</si>
  <si>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</si>
  <si>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</si>
  <si>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</si>
  <si>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</si>
  <si>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</si>
  <si>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</si>
  <si>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</si>
  <si>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</si>
  <si>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</si>
  <si>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</si>
  <si>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</si>
  <si>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</si>
  <si>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</si>
  <si>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</si>
  <si>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</si>
  <si>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</si>
  <si>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</si>
  <si>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</si>
  <si>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</si>
  <si>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</si>
  <si>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</si>
  <si>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</si>
  <si>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</si>
  <si>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</si>
  <si>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</si>
  <si>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</si>
  <si>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</si>
  <si>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</si>
  <si>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</si>
  <si>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</si>
  <si>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</si>
  <si>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</si>
  <si>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</si>
  <si>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</si>
  <si>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</si>
  <si>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</si>
  <si>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</si>
  <si>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</si>
  <si>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</si>
  <si>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</si>
  <si>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</si>
  <si>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</si>
  <si>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</si>
  <si>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</si>
  <si>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</si>
  <si>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</si>
  <si>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</si>
  <si>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</si>
  <si>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</si>
  <si>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</si>
  <si>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</si>
  <si>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</si>
  <si>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</si>
  <si>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(20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</si>
  <si>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</si>
  <si>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</si>
  <si>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</si>
  <si>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</si>
  <si>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</si>
  <si>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</si>
  <si>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</si>
  <si>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COR-001</t>
  </si>
  <si>
    <t xml:space="preserve">COR</t>
  </si>
  <si>
    <t xml:space="preserve">2014-07-29</t>
  </si>
  <si>
    <t xml:space="preserve">Rooftop items — trench drain dog run + 6 gas heaters + BBQ + waste/water piping BBQ sinks</t>
  </si>
  <si>
    <t xml:space="preserve">Sub (OWP)</t>
  </si>
  <si>
    <t xml:space="preserve">Approved</t>
  </si>
  <si>
    <t xml:space="preserve">2018-SRM, Astro/Change Orders/COR_s/Astro - OWP COR #01 Rooftop Items.pdf</t>
  </si>
  <si>
    <t xml:space="preserve">COR-002</t>
  </si>
  <si>
    <t xml:space="preserve">2014-09-19</t>
  </si>
  <si>
    <t xml:space="preserve">ASI-020 replumb washer/dryer — maintenance access to courtyards (demo+recore+replumb)</t>
  </si>
  <si>
    <t xml:space="preserve">ASI-020</t>
  </si>
  <si>
    <t xml:space="preserve">2018-SRM, Astro/Change Orders/COR_s/Astro - OWP COR #02 ASI-020 Replumbing.pdf</t>
  </si>
  <si>
    <t xml:space="preserve">COR-003</t>
  </si>
  <si>
    <t xml:space="preserve">2014-10-22</t>
  </si>
  <si>
    <t xml:space="preserve">ASI-024 Common &amp; Media Lounge sinks (move + add)</t>
  </si>
  <si>
    <t xml:space="preserve">ASI-024</t>
  </si>
  <si>
    <t xml:space="preserve">2018-SRM, Astro/Change Orders/COR_s/Astro - OWP COR #03 ASI-024.pdf</t>
  </si>
  <si>
    <t xml:space="preserve">COR-004</t>
  </si>
  <si>
    <t xml:space="preserve">2015-01-23</t>
  </si>
  <si>
    <t xml:space="preserve">Added trench drain at north entrance</t>
  </si>
  <si>
    <t xml:space="preserve">2018-SRM, Astro/Change Orders/COR_s/Astro - OWP COR #04 ADDED TRENCH DRAIN.pdf</t>
  </si>
  <si>
    <t xml:space="preserve">COR-005</t>
  </si>
  <si>
    <t xml:space="preserve">Added drinking fountain Elkay EEZSDL</t>
  </si>
  <si>
    <t xml:space="preserve">2018-SRM, Astro/Change Orders/COR_s/Astro - OWP COR #05 ADDED DRINKING FOUNTAIN.pdf</t>
  </si>
  <si>
    <t xml:space="preserve">COR-006</t>
  </si>
  <si>
    <t xml:space="preserve">2015-06-19</t>
  </si>
  <si>
    <t xml:space="preserve">ASI-042 BBQ gas system mod — pull pavers, demo, install, test, restore (40 hrs)</t>
  </si>
  <si>
    <t xml:space="preserve">ASI-042</t>
  </si>
  <si>
    <t xml:space="preserve">2018-SRM, Astro/Change Orders/COR_s/Astro - OWP COR #06 ASI-042 ADDED BARBECUES.pdf</t>
  </si>
  <si>
    <t xml:space="preserve">ASI-001</t>
  </si>
  <si>
    <t xml:space="preserve">ASI</t>
  </si>
  <si>
    <t xml:space="preserve">2014-01-13</t>
  </si>
  <si>
    <t xml:space="preserve">Residential garage entry widened + Media room wall relocation + mech layout revisions</t>
  </si>
  <si>
    <t xml:space="preserve">Runberg (Eric Blank)</t>
  </si>
  <si>
    <t xml:space="preserve">Closed</t>
  </si>
  <si>
    <t xml:space="preserve">2018-SRM, Astro/ASI-RFI/ASI 01 - Residential Garage Entry Reconfiguration.pdf</t>
  </si>
  <si>
    <t xml:space="preserve">ASI-002</t>
  </si>
  <si>
    <t xml:space="preserve">2014-02-05</t>
  </si>
  <si>
    <t xml:space="preserve">Commercial garage entry reconfiguration</t>
  </si>
  <si>
    <t xml:space="preserve">Runberg</t>
  </si>
  <si>
    <t xml:space="preserve">2018-SRM, Astro/ASI-RFI/ASI 02 - Commercial Garage Entry Reconfiguration.pdf</t>
  </si>
  <si>
    <t xml:space="preserve">ASI-003</t>
  </si>
  <si>
    <t xml:space="preserve">2014-02-19</t>
  </si>
  <si>
    <t xml:space="preserve">Grand lobby stair redesign + structural column relocation (SBC 2406.4.11)</t>
  </si>
  <si>
    <t xml:space="preserve">ASK-08</t>
  </si>
  <si>
    <t xml:space="preserve">2018-SRM, Astro/ASI-RFI/ASI 03 - Lobby Stair Redesign.pdf</t>
  </si>
  <si>
    <t xml:space="preserve">ASI-004</t>
  </si>
  <si>
    <t xml:space="preserve">2014</t>
  </si>
  <si>
    <t xml:space="preserve">VTHP louvers in x06 stack</t>
  </si>
  <si>
    <t xml:space="preserve">2018-SRM, Astro/ASI-RFI/ASI 04 - VTHP Louvers in x06 Stack.pdf</t>
  </si>
  <si>
    <t xml:space="preserve">ASI-005</t>
  </si>
  <si>
    <t xml:space="preserve">2 Hour walls at electrical shafts (code)</t>
  </si>
  <si>
    <t xml:space="preserve">2018-SRM, Astro/ASI-RFI/ASI 05 - 2 Hour Walls at Electrical Shafts.pdf</t>
  </si>
  <si>
    <t xml:space="preserve">ASI-007</t>
  </si>
  <si>
    <t xml:space="preserve">AV closet at media room</t>
  </si>
  <si>
    <t xml:space="preserve">2018-SRM, Astro/ASI-RFI/ASI 07 - AV Closet at Media Room.pdf</t>
  </si>
  <si>
    <t xml:space="preserve">ASI-010</t>
  </si>
  <si>
    <t xml:space="preserve">Common area ID changes</t>
  </si>
  <si>
    <t xml:space="preserve">2018-SRM, Astro/ASI-RFI/ASI 10 - Common Area ID Changes.pdf</t>
  </si>
  <si>
    <t xml:space="preserve">ASI-013</t>
  </si>
  <si>
    <t xml:space="preserve">Final roof deck revisions</t>
  </si>
  <si>
    <t xml:space="preserve">2018-SRM, Astro/ASI-RFI/ASI 13 - Final Roof Deck Revisions.pdf</t>
  </si>
  <si>
    <t xml:space="preserve">RFI-031</t>
  </si>
  <si>
    <t xml:space="preserve">RFI</t>
  </si>
  <si>
    <t xml:space="preserve">Structural — mail room wall concrete curb</t>
  </si>
  <si>
    <t xml:space="preserve">Sub</t>
  </si>
  <si>
    <t xml:space="preserve">2018-SRM, Astro/ASI-RFI/RFI # 31 - STRUCTURAL - MAIL ROOM WALL CONCRETE CURB- Response.pdf</t>
  </si>
  <si>
    <t xml:space="preserve">RFI-032</t>
  </si>
  <si>
    <t xml:space="preserve">Architectural — adaptable showers in Unit Types L and F</t>
  </si>
  <si>
    <t xml:space="preserve">2018-SRM, Astro/ASI-RFI/RFI # 32 - ARCHITECTURAL - ADAPTABLE SHOWERS IN UNIT TYPES L AND F - Response.pdf</t>
  </si>
  <si>
    <t xml:space="preserve">RFI-036</t>
  </si>
  <si>
    <t xml:space="preserve">Architectural — concrete feature strips at alley wall</t>
  </si>
  <si>
    <t xml:space="preserve">2018-SRM, Astro/ASI-RFI/RFI # 36 - ARCHITECTURAL - CONCRETE FEATURE STRIPS AT ALLEY WALL- Response.pdf</t>
  </si>
  <si>
    <t xml:space="preserve">RFI-049</t>
  </si>
  <si>
    <t xml:space="preserve">Architectural — retail blade sign locations</t>
  </si>
  <si>
    <t xml:space="preserve">2018-SRM, Astro/ASI-RFI/RFI # 49 - ARCHITECTURAL - RETAIL BLADE SIGN LOCATIONS- Response.pdf</t>
  </si>
  <si>
    <t xml:space="preserve">RFI-057</t>
  </si>
  <si>
    <t xml:space="preserve">Architectural — shower head heights (accessibility)</t>
  </si>
  <si>
    <t xml:space="preserve">2018-SRM, Astro/ASI-RFI/RFI # 57 -ARCHITECTURAL - SHOWER HEAD HEIGHTS-Response.pdf</t>
  </si>
  <si>
    <t xml:space="preserve">DOC-GAP-CONTRACT</t>
  </si>
  <si>
    <t xml:space="preserve">Memo</t>
  </si>
  <si>
    <t xml:space="preserve">GAP: original/final contract $ not stated in reviewed docs; 6 CORs total $25,338 but baseline unknown. Schedule_days = 0 on all CORs likely understated.</t>
  </si>
  <si>
    <t xml:space="preserve">OWP</t>
  </si>
  <si>
    <t xml:space="preserve">Open</t>
  </si>
  <si>
    <t xml:space="preserve">2018-SRM, Astro/Contract/astro contrct.pdf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</si>
  <si>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</si>
  <si>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</si>
  <si>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</si>
  <si>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</si>
  <si>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</si>
  <si>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</si>
  <si>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</si>
  <si>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</si>
  <si>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</si>
  <si>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Mixed</t>
  </si>
  <si>
    <t xml:space="preserve">ASI-042 BBQ gas system mod — pull pavers, demo, install, tes</t>
  </si>
  <si>
    <t xml:space="preserve">Design clarification</t>
  </si>
  <si>
    <t xml:space="preserve">Designer</t>
  </si>
  <si>
    <t xml:space="preserve">ASI-020 replumb washer/dryer — maintenance access to courtya</t>
  </si>
  <si>
    <t xml:space="preserve">Owner directive</t>
  </si>
  <si>
    <t xml:space="preserve">Owner/GC</t>
  </si>
  <si>
    <t xml:space="preserve">Rooftop items — trench drain dog run + 6 gas heaters + BBQ +</t>
  </si>
  <si>
    <t xml:space="preserve">Field condition</t>
  </si>
  <si>
    <t xml:space="preserve">Combined/multi-cause</t>
  </si>
  <si>
    <t xml:space="preserve">GAP: original/final contract $ not stated in reviewed docs; 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</si>
  <si>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</si>
  <si>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</si>
  <si>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</si>
  <si>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</si>
  <si>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NEUTRAL</t>
  </si>
  <si>
    <t xml:space="preserve">POSITIVE — recoverable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</si>
  <si>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</si>
  <si>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</si>
  <si>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</si>
  <si>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</si>
  <si>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</si>
  <si>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</si>
  <si>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</si>
  <si>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</si>
  <si>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</si>
  <si>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</si>
  <si>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</si>
  <si>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</si>
  <si>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</si>
  <si>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</si>
  <si>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</si>
  <si>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</si>
  <si>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</si>
  <si>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</si>
  <si>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</si>
  <si>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</si>
  <si>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</si>
  <si>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</si>
  <si>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ELEVATED</t>
  </si>
  <si>
    <t xml:space="preserve">High ASI = owner scope churn</t>
  </si>
  <si>
    <t xml:space="preserve">Backcharge Count</t>
  </si>
  <si>
    <t xml:space="preserve">&lt;3</t>
  </si>
  <si>
    <t xml:space="preserve">HEALTHY</t>
  </si>
  <si>
    <t xml:space="preserve">BC clusters = coordination weakness</t>
  </si>
  <si>
    <t xml:space="preserve">Change Order Count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</si>
  <si>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</si>
  <si>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</si>
  <si>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</si>
  <si>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</si>
  <si>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</si>
  <si>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</si>
  <si>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</si>
  <si>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</si>
  <si>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</si>
  <si>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</si>
  <si>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</si>
  <si>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</si>
  <si>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</si>
  <si>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</si>
  <si>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</si>
  <si>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</si>
  <si>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</si>
  <si>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</si>
  <si>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</si>
  <si>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</si>
  <si>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</si>
  <si>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</si>
  <si>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</si>
  <si>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</si>
  <si>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</si>
  <si>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0 BCs + 8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</si>
  <si>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</si>
  <si>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</si>
  <si>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</si>
  <si>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</si>
  <si>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</si>
  <si>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</si>
  <si>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</si>
  <si>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</si>
  <si>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</si>
  <si>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</si>
  <si>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</si>
  <si>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</si>
  <si>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</si>
  <si>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</si>
  <si>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</si>
  <si>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</si>
  <si>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</si>
  <si>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</si>
  <si>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</si>
  <si>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</si>
  <si>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</si>
  <si>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</si>
  <si>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</si>
  <si>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</si>
  <si>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</si>
  <si>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</si>
  <si>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</si>
  <si>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</si>
  <si>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</si>
  <si>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</si>
  <si>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</si>
  <si>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</si>
  <si>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</si>
  <si>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</si>
  <si>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</si>
  <si>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</si>
  <si>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</si>
  <si>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</si>
  <si>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</si>
  <si>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</si>
  <si>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</si>
  <si>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</si>
  <si>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</si>
  <si>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</si>
  <si>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</si>
  <si>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</si>
  <si>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</si>
  <si>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</si>
  <si>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</si>
  <si>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</si>
  <si>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</si>
  <si>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</si>
  <si>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</si>
  <si>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</si>
  <si>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</si>
  <si>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</si>
  <si>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</si>
  <si>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</si>
  <si>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</si>
  <si>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</si>
  <si>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</si>
  <si>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</si>
  <si>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</si>
  <si>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</si>
  <si>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</si>
  <si>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</si>
  <si>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</si>
  <si>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</si>
  <si>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</si>
  <si>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</si>
  <si>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</si>
  <si>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</si>
  <si>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</si>
  <si>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</si>
  <si>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</si>
  <si>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</si>
  <si>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</si>
  <si>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</si>
  <si>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(13 codes)</t>
  </si>
  <si>
    <t xml:space="preserve">Material subtotal (10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</si>
  <si>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</si>
  <si>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</si>
  <si>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</si>
  <si>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</si>
  <si>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</si>
  <si>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</si>
  <si>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</si>
  <si>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</si>
  <si>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</si>
  <si>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</si>
  <si>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</si>
  <si>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</si>
  <si>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</si>
  <si>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</si>
  <si>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</si>
  <si>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</si>
  <si>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</si>
  <si>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</si>
  <si>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</si>
  <si>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</si>
  <si>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</si>
  <si>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</si>
  <si>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</si>
  <si>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</si>
  <si>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</si>
  <si>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</si>
  <si>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</si>
  <si>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#2018 — Cortex v2 17-tab layout</t>
  </si>
  <si>
    <t xml:space="preserve">12 analytical tabs + Change Log + Root Cause Analysis + Predictive Signals + Metric Registry + Reconciliation</t>
  </si>
  <si>
    <t xml:space="preserve">Canonical source: 2018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</si>
  <si>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</si>
  <si>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</si>
  <si>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</si>
  <si>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</si>
  <si>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</si>
  <si>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#2018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</si>
  <si>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</si>
  <si>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</si>
  <si>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</si>
  <si>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</si>
  <si>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</si>
  <si>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</si>
  <si>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2018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</si>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</sst>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468235</v>
      </c>
      <c r="D20" s="11" t="n">
        <v>440392.94</v>
      </c>
      <c r="E20" s="11" t="n">
        <f aca="false">C20-D20</f>
        <v>27842.06</v>
      </c>
      <c r="F20" s="12" t="n">
        <f aca="false">IF(C20=0,0,D20/C20)</f>
        <v>0.940538276720023</v>
      </c>
      <c r="G20" s="12" t="n">
        <f aca="false">IF($D$24=0,0,D20/$D$24)</f>
        <v>0.357383537274061</v>
      </c>
    </row>
    <row r="21" customFormat="false" ht="15" hidden="false" customHeight="true" outlineLevel="0" collapsed="false">
      <c r="B21" s="5" t="s">
        <v>35</v>
      </c>
      <c r="C21" s="11" t="n">
        <v>722677</v>
      </c>
      <c r="D21" s="11" t="n">
        <v>556906.77</v>
      </c>
      <c r="E21" s="11" t="n">
        <f aca="false">C21-D21</f>
        <v>165770.23</v>
      </c>
      <c r="F21" s="12" t="n">
        <f aca="false">IF(C21=0,0,D21/C21)</f>
        <v>0.77061643030012</v>
      </c>
      <c r="G21" s="12" t="n">
        <f aca="false">IF($D$24=0,0,D21/$D$24)</f>
        <v>0.451935744915602</v>
      </c>
    </row>
    <row r="22" customFormat="false" ht="15" hidden="false" customHeight="true" outlineLevel="0" collapsed="false">
      <c r="B22" s="5" t="s">
        <v>36</v>
      </c>
      <c r="C22" s="11" t="n">
        <v>8150</v>
      </c>
      <c r="D22" s="11" t="n">
        <v>4943.28</v>
      </c>
      <c r="E22" s="11" t="n">
        <f aca="false">C22-D22</f>
        <v>3206.72</v>
      </c>
      <c r="F22" s="12" t="n">
        <f aca="false">IF(C22=0,0,D22/C22)</f>
        <v>0.606537423312883</v>
      </c>
      <c r="G22" s="12" t="n">
        <f aca="false">IF($D$24=0,0,D22/$D$24)</f>
        <v>0.00401152409967363</v>
      </c>
    </row>
    <row r="23" customFormat="false" ht="15" hidden="false" customHeight="true" outlineLevel="0" collapsed="false">
      <c r="B23" s="5" t="s">
        <v>37</v>
      </c>
      <c r="C23" s="11" t="n">
        <v>243900.6</v>
      </c>
      <c r="D23" s="11" t="n">
        <v>230026.81</v>
      </c>
      <c r="E23" s="11" t="n">
        <f aca="false">C23-D23</f>
        <v>13873.79</v>
      </c>
      <c r="F23" s="12" t="n">
        <f aca="false">IF(C23=0,0,D23/C23)</f>
        <v>0.943117032102422</v>
      </c>
      <c r="G23" s="12" t="n">
        <f aca="false">IF($D$24=0,0,D23/$D$24)</f>
        <v>0.186669193710663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1442962.6</v>
      </c>
      <c r="D24" s="13" t="n">
        <f aca="false">SUM(D20:D23)</f>
        <v>1232269.8</v>
      </c>
      <c r="E24" s="13" t="n">
        <f aca="false">C24-D24</f>
        <v>210692.8</v>
      </c>
      <c r="F24" s="14" t="n">
        <f aca="false">IF(C24=0,0,D24/C24)</f>
        <v>0.853985959164846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45</v>
      </c>
      <c r="F29" s="5" t="s">
        <v>46</v>
      </c>
      <c r="G29" s="6" t="s">
        <v>43</v>
      </c>
    </row>
    <row r="30" customFormat="false" ht="15" hidden="false" customHeight="true" outlineLevel="0" collapsed="false">
      <c r="B30" s="5" t="s">
        <v>47</v>
      </c>
      <c r="C30" s="6" t="s">
        <v>48</v>
      </c>
      <c r="D30" s="5" t="s">
        <v>49</v>
      </c>
      <c r="E30" s="6" t="s">
        <v>50</v>
      </c>
      <c r="F30" s="5" t="s">
        <v>51</v>
      </c>
      <c r="G30" s="6" t="s">
        <v>43</v>
      </c>
    </row>
    <row r="31" customFormat="false" ht="15" hidden="false" customHeight="true" outlineLevel="0" collapsed="false">
      <c r="B31" s="5" t="s">
        <v>52</v>
      </c>
      <c r="C31" s="6" t="s">
        <v>53</v>
      </c>
      <c r="D31" s="5" t="s">
        <v>54</v>
      </c>
      <c r="E31" s="6" t="s">
        <v>55</v>
      </c>
      <c r="F31" s="5" t="s">
        <v>56</v>
      </c>
      <c r="G31" s="6" t="s">
        <v>43</v>
      </c>
    </row>
    <row r="32" customFormat="false" ht="15" hidden="false" customHeight="true" outlineLevel="0" collapsed="false">
      <c r="B32" s="5" t="s">
        <v>57</v>
      </c>
      <c r="C32" s="6" t="s">
        <v>58</v>
      </c>
      <c r="D32" s="5" t="s">
        <v>59</v>
      </c>
      <c r="E32" s="6" t="s">
        <v>60</v>
      </c>
      <c r="F32" s="5" t="s">
        <v>61</v>
      </c>
      <c r="G32" s="6" t="s">
        <v>62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</row>
  </sheetData>
  <mergeCells count="13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72</v>
      </c>
      <c r="C4" s="10" t="s">
        <v>73</v>
      </c>
      <c r="D4" s="10" t="s">
        <v>74</v>
      </c>
      <c r="E4" s="10" t="s">
        <v>75</v>
      </c>
      <c r="F4" s="10" t="s">
        <v>30</v>
      </c>
      <c r="G4" s="10" t="s">
        <v>31</v>
      </c>
      <c r="H4" s="10" t="s">
        <v>76</v>
      </c>
    </row>
    <row r="5" customFormat="false" ht="15" hidden="false" customHeight="true" outlineLevel="0" collapsed="false">
      <c r="B5" s="4" t="s">
        <v>77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78</v>
      </c>
      <c r="C6" s="5" t="s">
        <v>79</v>
      </c>
      <c r="D6" s="11" t="n">
        <v>17545</v>
      </c>
      <c r="E6" s="11" t="n">
        <v>19105</v>
      </c>
      <c r="F6" s="11" t="n">
        <v>4039</v>
      </c>
      <c r="G6" s="11" t="n">
        <f aca="false">E6-F6</f>
        <v>15066</v>
      </c>
      <c r="H6" s="12" t="n">
        <f aca="false">IF(E6=0,0,F6/E6)</f>
        <v>0.211410625490709</v>
      </c>
    </row>
    <row r="7" customFormat="false" ht="15" hidden="false" customHeight="true" outlineLevel="0" collapsed="false">
      <c r="B7" s="5" t="s">
        <v>80</v>
      </c>
      <c r="C7" s="5" t="s">
        <v>81</v>
      </c>
      <c r="D7" s="11" t="n">
        <v>10000</v>
      </c>
      <c r="E7" s="11" t="n">
        <v>10000</v>
      </c>
      <c r="F7" s="11" t="n">
        <v>7795</v>
      </c>
      <c r="G7" s="11" t="n">
        <f aca="false">E7-F7</f>
        <v>2205</v>
      </c>
      <c r="H7" s="12" t="n">
        <f aca="false">IF(E7=0,0,F7/E7)</f>
        <v>0.7795</v>
      </c>
    </row>
    <row r="8" customFormat="false" ht="15" hidden="false" customHeight="true" outlineLevel="0" collapsed="false">
      <c r="B8" s="5" t="s">
        <v>82</v>
      </c>
      <c r="C8" s="5" t="s">
        <v>83</v>
      </c>
      <c r="D8" s="11" t="n">
        <v>10000</v>
      </c>
      <c r="E8" s="11" t="n">
        <v>10440</v>
      </c>
      <c r="F8" s="11" t="n">
        <v>9680</v>
      </c>
      <c r="G8" s="11" t="n">
        <f aca="false">E8-F8</f>
        <v>760</v>
      </c>
      <c r="H8" s="12" t="n">
        <f aca="false">IF(E8=0,0,F8/E8)</f>
        <v>0.9272030651341</v>
      </c>
    </row>
    <row r="9" customFormat="false" ht="15" hidden="false" customHeight="true" outlineLevel="0" collapsed="false">
      <c r="B9" s="5" t="s">
        <v>84</v>
      </c>
      <c r="C9" s="5" t="s">
        <v>85</v>
      </c>
      <c r="D9" s="11" t="n">
        <v>9330</v>
      </c>
      <c r="E9" s="11" t="n">
        <v>9330</v>
      </c>
      <c r="F9" s="11" t="n">
        <v>8108.75</v>
      </c>
      <c r="G9" s="11" t="n">
        <f aca="false">E9-F9</f>
        <v>1221.25</v>
      </c>
      <c r="H9" s="12" t="n">
        <f aca="false">IF(E9=0,0,F9/E9)</f>
        <v>0.869105037513398</v>
      </c>
    </row>
    <row r="10" customFormat="false" ht="15" hidden="false" customHeight="true" outlineLevel="0" collapsed="false">
      <c r="B10" s="5" t="s">
        <v>86</v>
      </c>
      <c r="C10" s="5" t="s">
        <v>87</v>
      </c>
      <c r="D10" s="11" t="n">
        <v>71700</v>
      </c>
      <c r="E10" s="11" t="n">
        <v>71700</v>
      </c>
      <c r="F10" s="11" t="n">
        <v>33852.25</v>
      </c>
      <c r="G10" s="11" t="n">
        <f aca="false">E10-F10</f>
        <v>37847.75</v>
      </c>
      <c r="H10" s="12" t="n">
        <f aca="false">IF(E10=0,0,F10/E10)</f>
        <v>0.472137377963738</v>
      </c>
    </row>
    <row r="11" customFormat="false" ht="15" hidden="false" customHeight="true" outlineLevel="0" collapsed="false">
      <c r="B11" s="5" t="s">
        <v>88</v>
      </c>
      <c r="C11" s="5" t="s">
        <v>89</v>
      </c>
      <c r="D11" s="11" t="n">
        <v>10400</v>
      </c>
      <c r="E11" s="11" t="n">
        <v>10400</v>
      </c>
      <c r="F11" s="11" t="n">
        <v>5609.75</v>
      </c>
      <c r="G11" s="11" t="n">
        <f aca="false">E11-F11</f>
        <v>4790.25</v>
      </c>
      <c r="H11" s="12" t="n">
        <f aca="false">IF(E11=0,0,F11/E11)</f>
        <v>0.539399038461539</v>
      </c>
    </row>
    <row r="12" customFormat="false" ht="15" hidden="false" customHeight="true" outlineLevel="0" collapsed="false">
      <c r="B12" s="5" t="s">
        <v>90</v>
      </c>
      <c r="C12" s="5" t="s">
        <v>91</v>
      </c>
      <c r="D12" s="11" t="n">
        <v>6625</v>
      </c>
      <c r="E12" s="11" t="n">
        <v>6625</v>
      </c>
      <c r="F12" s="11" t="n">
        <v>952</v>
      </c>
      <c r="G12" s="11" t="n">
        <f aca="false">E12-F12</f>
        <v>5673</v>
      </c>
      <c r="H12" s="12" t="n">
        <f aca="false">IF(E12=0,0,F12/E12)</f>
        <v>0.143698113207547</v>
      </c>
    </row>
    <row r="13" customFormat="false" ht="15" hidden="false" customHeight="true" outlineLevel="0" collapsed="false">
      <c r="B13" s="5" t="s">
        <v>92</v>
      </c>
      <c r="C13" s="5" t="s">
        <v>93</v>
      </c>
      <c r="D13" s="11" t="n">
        <v>207140</v>
      </c>
      <c r="E13" s="11" t="n">
        <v>208010</v>
      </c>
      <c r="F13" s="11" t="n">
        <v>256945.47</v>
      </c>
      <c r="G13" s="11" t="n">
        <f aca="false">E13-F13</f>
        <v>-48935.47</v>
      </c>
      <c r="H13" s="12" t="n">
        <f aca="false">IF(E13=0,0,F13/E13)</f>
        <v>1.23525537233787</v>
      </c>
    </row>
    <row r="14" customFormat="false" ht="15" hidden="false" customHeight="true" outlineLevel="0" collapsed="false">
      <c r="B14" s="5" t="s">
        <v>94</v>
      </c>
      <c r="C14" s="5" t="s">
        <v>95</v>
      </c>
      <c r="D14" s="11" t="n">
        <v>43900</v>
      </c>
      <c r="E14" s="11" t="n">
        <v>44800</v>
      </c>
      <c r="F14" s="11" t="n">
        <v>58292.75</v>
      </c>
      <c r="G14" s="11" t="n">
        <f aca="false">E14-F14</f>
        <v>-13492.75</v>
      </c>
      <c r="H14" s="12" t="n">
        <f aca="false">IF(E14=0,0,F14/E14)</f>
        <v>1.30117745535714</v>
      </c>
    </row>
    <row r="15" customFormat="false" ht="15" hidden="false" customHeight="true" outlineLevel="0" collapsed="false">
      <c r="B15" s="5" t="s">
        <v>96</v>
      </c>
      <c r="C15" s="5" t="s">
        <v>97</v>
      </c>
      <c r="D15" s="11" t="n">
        <v>7200</v>
      </c>
      <c r="E15" s="11" t="n">
        <v>8390</v>
      </c>
      <c r="F15" s="11" t="n">
        <v>8626.5</v>
      </c>
      <c r="G15" s="11" t="n">
        <f aca="false">E15-F15</f>
        <v>-236.5</v>
      </c>
      <c r="H15" s="12" t="n">
        <f aca="false">IF(E15=0,0,F15/E15)</f>
        <v>1.02818831942789</v>
      </c>
    </row>
    <row r="16" customFormat="false" ht="15" hidden="false" customHeight="true" outlineLevel="0" collapsed="false">
      <c r="B16" s="5" t="s">
        <v>98</v>
      </c>
      <c r="C16" s="5" t="s">
        <v>99</v>
      </c>
      <c r="D16" s="11" t="n">
        <v>40550</v>
      </c>
      <c r="E16" s="11" t="n">
        <v>40550</v>
      </c>
      <c r="F16" s="11" t="n">
        <v>31534.47</v>
      </c>
      <c r="G16" s="11" t="n">
        <f aca="false">E16-F16</f>
        <v>9015.53</v>
      </c>
      <c r="H16" s="12" t="n">
        <f aca="false">IF(E16=0,0,F16/E16)</f>
        <v>0.777668803945746</v>
      </c>
    </row>
    <row r="17" customFormat="false" ht="15" hidden="false" customHeight="true" outlineLevel="0" collapsed="false">
      <c r="B17" s="5" t="s">
        <v>100</v>
      </c>
      <c r="C17" s="5" t="s">
        <v>101</v>
      </c>
      <c r="D17" s="11" t="n">
        <v>8400</v>
      </c>
      <c r="E17" s="11" t="n">
        <v>8400</v>
      </c>
      <c r="F17" s="11" t="n">
        <v>14152</v>
      </c>
      <c r="G17" s="11" t="n">
        <f aca="false">E17-F17</f>
        <v>-5752</v>
      </c>
      <c r="H17" s="12" t="n">
        <f aca="false">IF(E17=0,0,F17/E17)</f>
        <v>1.6847619047619</v>
      </c>
    </row>
    <row r="18" customFormat="false" ht="15" hidden="false" customHeight="true" outlineLevel="0" collapsed="false">
      <c r="B18" s="5" t="s">
        <v>102</v>
      </c>
      <c r="C18" s="5" t="s">
        <v>103</v>
      </c>
      <c r="D18" s="11" t="n">
        <v>20485</v>
      </c>
      <c r="E18" s="11" t="n">
        <v>20485</v>
      </c>
      <c r="F18" s="11" t="n">
        <v>805</v>
      </c>
      <c r="G18" s="11" t="n">
        <f aca="false">E18-F18</f>
        <v>19680</v>
      </c>
      <c r="H18" s="12" t="n">
        <f aca="false">IF(E18=0,0,F18/E18)</f>
        <v>0.0392970466194777</v>
      </c>
    </row>
    <row r="19" customFormat="false" ht="15" hidden="false" customHeight="true" outlineLevel="0" collapsed="false">
      <c r="B19" s="4" t="s">
        <v>104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B20" s="5" t="s">
        <v>105</v>
      </c>
      <c r="C20" s="5" t="s">
        <v>106</v>
      </c>
      <c r="D20" s="11" t="n">
        <v>5900</v>
      </c>
      <c r="E20" s="11" t="n">
        <v>5900</v>
      </c>
      <c r="F20" s="11" t="n">
        <v>3233.67</v>
      </c>
      <c r="G20" s="11" t="n">
        <f aca="false">E20-F20</f>
        <v>2666.33</v>
      </c>
      <c r="H20" s="12" t="n">
        <f aca="false">IF(E20=0,0,F20/E20)</f>
        <v>0.548079661016949</v>
      </c>
    </row>
    <row r="21" customFormat="false" ht="15" hidden="false" customHeight="true" outlineLevel="0" collapsed="false">
      <c r="B21" s="5" t="s">
        <v>107</v>
      </c>
      <c r="C21" s="5" t="s">
        <v>108</v>
      </c>
      <c r="D21" s="11" t="n">
        <v>45820</v>
      </c>
      <c r="E21" s="11" t="n">
        <v>45820</v>
      </c>
      <c r="F21" s="11" t="n">
        <v>74066.35</v>
      </c>
      <c r="G21" s="11" t="n">
        <f aca="false">E21-F21</f>
        <v>-28246.35</v>
      </c>
      <c r="H21" s="12" t="n">
        <f aca="false">IF(E21=0,0,F21/E21)</f>
        <v>1.6164633347883</v>
      </c>
    </row>
    <row r="22" customFormat="false" ht="15" hidden="false" customHeight="true" outlineLevel="0" collapsed="false">
      <c r="B22" s="5" t="s">
        <v>43</v>
      </c>
      <c r="C22" s="5" t="s">
        <v>109</v>
      </c>
      <c r="D22" s="11" t="n">
        <v>18200</v>
      </c>
      <c r="E22" s="11" t="n">
        <v>18200</v>
      </c>
      <c r="F22" s="11" t="n">
        <v>5771.34</v>
      </c>
      <c r="G22" s="11" t="n">
        <f aca="false">E22-F22</f>
        <v>12428.66</v>
      </c>
      <c r="H22" s="12" t="n">
        <f aca="false">IF(E22=0,0,F22/E22)</f>
        <v>0.317106593406593</v>
      </c>
    </row>
    <row r="23" customFormat="false" ht="15" hidden="false" customHeight="true" outlineLevel="0" collapsed="false">
      <c r="B23" s="5" t="s">
        <v>110</v>
      </c>
      <c r="C23" s="5" t="s">
        <v>111</v>
      </c>
      <c r="D23" s="11" t="n">
        <v>10600</v>
      </c>
      <c r="E23" s="11" t="n">
        <v>10600</v>
      </c>
      <c r="F23" s="11" t="n">
        <v>5372.56</v>
      </c>
      <c r="G23" s="11" t="n">
        <f aca="false">E23-F23</f>
        <v>5227.44</v>
      </c>
      <c r="H23" s="12" t="n">
        <f aca="false">IF(E23=0,0,F23/E23)</f>
        <v>0.506845283018868</v>
      </c>
    </row>
    <row r="24" customFormat="false" ht="15" hidden="false" customHeight="true" outlineLevel="0" collapsed="false">
      <c r="B24" s="5" t="s">
        <v>112</v>
      </c>
      <c r="C24" s="5" t="s">
        <v>113</v>
      </c>
      <c r="D24" s="11" t="n">
        <v>201680</v>
      </c>
      <c r="E24" s="11" t="n">
        <v>201680</v>
      </c>
      <c r="F24" s="11" t="n">
        <v>141396.65</v>
      </c>
      <c r="G24" s="11" t="n">
        <f aca="false">E24-F24</f>
        <v>60283.35</v>
      </c>
      <c r="H24" s="12" t="n">
        <f aca="false">IF(E24=0,0,F24/E24)</f>
        <v>0.701094059896866</v>
      </c>
    </row>
    <row r="25" customFormat="false" ht="15" hidden="false" customHeight="true" outlineLevel="0" collapsed="false">
      <c r="B25" s="5" t="s">
        <v>114</v>
      </c>
      <c r="C25" s="5" t="s">
        <v>115</v>
      </c>
      <c r="D25" s="11" t="n">
        <v>390477</v>
      </c>
      <c r="E25" s="11" t="n">
        <v>336907</v>
      </c>
      <c r="F25" s="11" t="n">
        <v>272549.22</v>
      </c>
      <c r="G25" s="11" t="n">
        <f aca="false">E25-F25</f>
        <v>64357.78</v>
      </c>
      <c r="H25" s="12" t="n">
        <f aca="false">IF(E25=0,0,F25/E25)</f>
        <v>0.808974642853963</v>
      </c>
    </row>
    <row r="26" customFormat="false" ht="15" hidden="false" customHeight="true" outlineLevel="0" collapsed="false">
      <c r="B26" s="5" t="s">
        <v>116</v>
      </c>
      <c r="C26" s="5" t="s">
        <v>117</v>
      </c>
      <c r="D26" s="11" t="n">
        <v>10800</v>
      </c>
      <c r="E26" s="11" t="n">
        <v>10800</v>
      </c>
      <c r="F26" s="11" t="n">
        <v>3578.52</v>
      </c>
      <c r="G26" s="11" t="n">
        <f aca="false">E26-F26</f>
        <v>7221.48</v>
      </c>
      <c r="H26" s="12" t="n">
        <f aca="false">IF(E26=0,0,F26/E26)</f>
        <v>0.331344444444444</v>
      </c>
    </row>
    <row r="27" customFormat="false" ht="15" hidden="false" customHeight="true" outlineLevel="0" collapsed="false">
      <c r="B27" s="5" t="s">
        <v>118</v>
      </c>
      <c r="C27" s="5" t="s">
        <v>119</v>
      </c>
      <c r="D27" s="11" t="n">
        <v>87250</v>
      </c>
      <c r="E27" s="11" t="n">
        <v>87250</v>
      </c>
      <c r="F27" s="11" t="n">
        <v>48338.27</v>
      </c>
      <c r="G27" s="11" t="n">
        <f aca="false">E27-F27</f>
        <v>38911.73</v>
      </c>
      <c r="H27" s="12" t="n">
        <f aca="false">IF(E27=0,0,F27/E27)</f>
        <v>0.554020286532951</v>
      </c>
    </row>
    <row r="28" customFormat="false" ht="15" hidden="false" customHeight="true" outlineLevel="0" collapsed="false">
      <c r="B28" s="5" t="s">
        <v>50</v>
      </c>
      <c r="C28" s="5" t="s">
        <v>120</v>
      </c>
      <c r="D28" s="11" t="n">
        <v>5520</v>
      </c>
      <c r="E28" s="11" t="n">
        <v>5520</v>
      </c>
      <c r="F28" s="11" t="n">
        <v>1947.18</v>
      </c>
      <c r="G28" s="11" t="n">
        <f aca="false">E28-F28</f>
        <v>3572.82</v>
      </c>
      <c r="H28" s="12" t="n">
        <f aca="false">IF(E28=0,0,F28/E28)</f>
        <v>0.35275</v>
      </c>
    </row>
    <row r="29" customFormat="false" ht="15" hidden="false" customHeight="true" outlineLevel="0" collapsed="false">
      <c r="B29" s="5" t="s">
        <v>121</v>
      </c>
      <c r="C29" s="5" t="s">
        <v>122</v>
      </c>
      <c r="D29" s="11" t="n">
        <v>0</v>
      </c>
      <c r="E29" s="11" t="n">
        <v>0</v>
      </c>
      <c r="F29" s="11" t="n">
        <v>653.01</v>
      </c>
      <c r="G29" s="11" t="n">
        <f aca="false">E29-F29</f>
        <v>-653.01</v>
      </c>
      <c r="H29" s="12" t="n">
        <f aca="false">IF(E29=0,0,F29/E29)</f>
        <v>0</v>
      </c>
    </row>
    <row r="30" customFormat="false" ht="15" hidden="false" customHeight="true" outlineLevel="0" collapsed="false">
      <c r="B30" s="4" t="s">
        <v>123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124</v>
      </c>
      <c r="C31" s="5" t="s">
        <v>125</v>
      </c>
      <c r="D31" s="11" t="n">
        <v>3000</v>
      </c>
      <c r="E31" s="11" t="n">
        <v>3000</v>
      </c>
      <c r="F31" s="11" t="n">
        <v>691.7</v>
      </c>
      <c r="G31" s="11" t="n">
        <f aca="false">E31-F31</f>
        <v>2308.3</v>
      </c>
      <c r="H31" s="12" t="n">
        <f aca="false">IF(E31=0,0,F31/E31)</f>
        <v>0.230566666666667</v>
      </c>
    </row>
    <row r="32" customFormat="false" ht="15" hidden="false" customHeight="true" outlineLevel="0" collapsed="false">
      <c r="B32" s="5" t="s">
        <v>126</v>
      </c>
      <c r="C32" s="5" t="s">
        <v>127</v>
      </c>
      <c r="D32" s="11" t="n">
        <v>3000</v>
      </c>
      <c r="E32" s="11" t="n">
        <v>3000</v>
      </c>
      <c r="F32" s="11" t="n">
        <v>2252.62</v>
      </c>
      <c r="G32" s="11" t="n">
        <f aca="false">E32-F32</f>
        <v>747.38</v>
      </c>
      <c r="H32" s="12" t="n">
        <f aca="false">IF(E32=0,0,F32/E32)</f>
        <v>0.750873333333333</v>
      </c>
    </row>
    <row r="33" customFormat="false" ht="15" hidden="false" customHeight="true" outlineLevel="0" collapsed="false">
      <c r="B33" s="5" t="s">
        <v>128</v>
      </c>
      <c r="C33" s="5" t="s">
        <v>129</v>
      </c>
      <c r="D33" s="11" t="n">
        <v>2000</v>
      </c>
      <c r="E33" s="11" t="n">
        <v>2150</v>
      </c>
      <c r="F33" s="11" t="n">
        <v>1998.96</v>
      </c>
      <c r="G33" s="11" t="n">
        <f aca="false">E33-F33</f>
        <v>151.04</v>
      </c>
      <c r="H33" s="12" t="n">
        <f aca="false">IF(E33=0,0,F33/E33)</f>
        <v>0.929748837209302</v>
      </c>
    </row>
    <row r="34" customFormat="false" ht="15" hidden="false" customHeight="true" outlineLevel="0" collapsed="false">
      <c r="B34" s="4" t="s">
        <v>130</v>
      </c>
      <c r="C34" s="4"/>
      <c r="D34" s="4"/>
      <c r="E34" s="4"/>
      <c r="F34" s="4"/>
      <c r="G34" s="4"/>
      <c r="H34" s="4"/>
    </row>
    <row r="35" customFormat="false" ht="15" hidden="false" customHeight="true" outlineLevel="0" collapsed="false">
      <c r="B35" s="5" t="s">
        <v>131</v>
      </c>
      <c r="C35" s="5" t="s">
        <v>132</v>
      </c>
      <c r="D35" s="11" t="n">
        <v>205165</v>
      </c>
      <c r="E35" s="11" t="n">
        <v>207315.16</v>
      </c>
      <c r="F35" s="11" t="n">
        <v>195501.68</v>
      </c>
      <c r="G35" s="11" t="n">
        <f aca="false">E35-F35</f>
        <v>11813.48</v>
      </c>
      <c r="H35" s="12" t="n">
        <f aca="false">IF(E35=0,0,F35/E35)</f>
        <v>0.943016805910383</v>
      </c>
    </row>
    <row r="36" customFormat="false" ht="15" hidden="false" customHeight="true" outlineLevel="0" collapsed="false">
      <c r="B36" s="5" t="s">
        <v>133</v>
      </c>
      <c r="C36" s="5" t="s">
        <v>134</v>
      </c>
      <c r="D36" s="11" t="n">
        <v>36206</v>
      </c>
      <c r="E36" s="11" t="n">
        <v>36585.44</v>
      </c>
      <c r="F36" s="11" t="n">
        <v>34525.13</v>
      </c>
      <c r="G36" s="11" t="n">
        <f aca="false">E36-F36</f>
        <v>2060.31000000001</v>
      </c>
      <c r="H36" s="12" t="n">
        <f aca="false">IF(E36=0,0,F36/E36)</f>
        <v>0.943684974131786</v>
      </c>
    </row>
    <row r="37" customFormat="false" ht="15" hidden="false" customHeight="true" outlineLevel="0" collapsed="false">
      <c r="B37" s="6" t="s">
        <v>38</v>
      </c>
      <c r="C37" s="6" t="s">
        <v>135</v>
      </c>
      <c r="D37" s="13" t="n">
        <v>1488893</v>
      </c>
      <c r="E37" s="13" t="n">
        <v>1442962.6</v>
      </c>
      <c r="F37" s="13" t="n">
        <v>1232269.8</v>
      </c>
      <c r="G37" s="13" t="n">
        <f aca="false">E37-F37</f>
        <v>210692.8</v>
      </c>
      <c r="H37" s="14" t="n">
        <f aca="false">IF(E37=0,0,F37/E37)</f>
        <v>0.853985959164846</v>
      </c>
    </row>
    <row r="40" customFormat="false" ht="15" hidden="false" customHeight="true" outlineLevel="0" collapsed="false">
      <c r="B40" s="4" t="s">
        <v>63</v>
      </c>
      <c r="C40" s="4"/>
      <c r="D40" s="4"/>
      <c r="E40" s="4"/>
      <c r="F40" s="4"/>
      <c r="G40" s="4"/>
      <c r="H40" s="4"/>
    </row>
    <row r="41" customFormat="false" ht="15" hidden="false" customHeight="true" outlineLevel="0" collapsed="false">
      <c r="B41" s="3" t="s">
        <v>64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65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66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68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69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70</v>
      </c>
      <c r="C47" s="3"/>
      <c r="D47" s="3"/>
      <c r="E47" s="3"/>
      <c r="F47" s="3"/>
      <c r="G47" s="3"/>
      <c r="H47" s="3"/>
    </row>
  </sheetData>
  <mergeCells count="13">
    <mergeCell ref="B2:H2"/>
    <mergeCell ref="B5:H5"/>
    <mergeCell ref="B19:H19"/>
    <mergeCell ref="B30:H30"/>
    <mergeCell ref="B34:H34"/>
    <mergeCell ref="B40:H40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136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137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138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139</v>
      </c>
    </row>
    <row r="6" customFormat="false" ht="15" hidden="false" customHeight="true" outlineLevel="0" collapsed="false">
      <c r="B6" s="5" t="s">
        <v>34</v>
      </c>
      <c r="C6" s="15" t="n">
        <v>13</v>
      </c>
      <c r="D6" s="11" t="n">
        <v>468235</v>
      </c>
      <c r="E6" s="11" t="n">
        <v>440392.94</v>
      </c>
      <c r="F6" s="11" t="n">
        <f aca="false">D6-E6</f>
        <v>27842.06</v>
      </c>
      <c r="G6" s="12" t="n">
        <f aca="false">IF(D6=0,0,E6/D6)</f>
        <v>0.940538276720023</v>
      </c>
      <c r="H6" s="12" t="n">
        <f aca="false">IF(1232269.8=0,0,E6/1232269.8)</f>
        <v>0.357383537274061</v>
      </c>
      <c r="I6" s="11" t="n">
        <f aca="false">IF(212=0,0,E6/212)</f>
        <v>2077.32518867925</v>
      </c>
    </row>
    <row r="7" customFormat="false" ht="15" hidden="false" customHeight="true" outlineLevel="0" collapsed="false">
      <c r="B7" s="5" t="s">
        <v>35</v>
      </c>
      <c r="C7" s="15" t="n">
        <v>10</v>
      </c>
      <c r="D7" s="11" t="n">
        <v>722677</v>
      </c>
      <c r="E7" s="11" t="n">
        <v>556906.77</v>
      </c>
      <c r="F7" s="11" t="n">
        <f aca="false">D7-E7</f>
        <v>165770.23</v>
      </c>
      <c r="G7" s="12" t="n">
        <f aca="false">IF(D7=0,0,E7/D7)</f>
        <v>0.77061643030012</v>
      </c>
      <c r="H7" s="12" t="n">
        <f aca="false">IF(1232269.8=0,0,E7/1232269.8)</f>
        <v>0.451935744915602</v>
      </c>
      <c r="I7" s="11" t="n">
        <f aca="false">IF(212=0,0,E7/212)</f>
        <v>2626.91872641509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8150</v>
      </c>
      <c r="E8" s="11" t="n">
        <v>4943.28</v>
      </c>
      <c r="F8" s="11" t="n">
        <f aca="false">D8-E8</f>
        <v>3206.72</v>
      </c>
      <c r="G8" s="12" t="n">
        <f aca="false">IF(D8=0,0,E8/D8)</f>
        <v>0.606537423312883</v>
      </c>
      <c r="H8" s="12" t="n">
        <f aca="false">IF(1232269.8=0,0,E8/1232269.8)</f>
        <v>0.00401152409967363</v>
      </c>
      <c r="I8" s="11" t="n">
        <f aca="false">IF(212=0,0,E8/212)</f>
        <v>23.317358490566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243900.6</v>
      </c>
      <c r="E9" s="11" t="n">
        <v>230026.81</v>
      </c>
      <c r="F9" s="11" t="n">
        <f aca="false">D9-E9</f>
        <v>13873.79</v>
      </c>
      <c r="G9" s="12" t="n">
        <f aca="false">IF(D9=0,0,E9/D9)</f>
        <v>0.943117032102422</v>
      </c>
      <c r="H9" s="12" t="n">
        <f aca="false">IF(1232269.8=0,0,E9/1232269.8)</f>
        <v>0.186669193710663</v>
      </c>
      <c r="I9" s="11" t="n">
        <f aca="false">IF(212=0,0,E9/212)</f>
        <v>1085.03212264151</v>
      </c>
    </row>
    <row r="12" customFormat="false" ht="15" hidden="false" customHeight="true" outlineLevel="0" collapsed="false">
      <c r="B12" s="4" t="s">
        <v>140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72</v>
      </c>
      <c r="C13" s="10" t="s">
        <v>73</v>
      </c>
      <c r="D13" s="10" t="s">
        <v>75</v>
      </c>
      <c r="E13" s="10" t="s">
        <v>30</v>
      </c>
      <c r="F13" s="10" t="s">
        <v>141</v>
      </c>
      <c r="G13" s="10" t="s">
        <v>142</v>
      </c>
    </row>
    <row r="14" customFormat="false" ht="15" hidden="false" customHeight="true" outlineLevel="0" collapsed="false">
      <c r="B14" s="5" t="s">
        <v>92</v>
      </c>
      <c r="C14" s="5" t="s">
        <v>93</v>
      </c>
      <c r="D14" s="11" t="n">
        <v>208010</v>
      </c>
      <c r="E14" s="11" t="n">
        <v>256945.47</v>
      </c>
      <c r="F14" s="11" t="n">
        <f aca="false">E14-D14</f>
        <v>48935.47</v>
      </c>
      <c r="G14" s="12" t="n">
        <f aca="false">IF(D14=0,0,F14/D14)</f>
        <v>0.235255372337868</v>
      </c>
    </row>
    <row r="15" customFormat="false" ht="15" hidden="false" customHeight="true" outlineLevel="0" collapsed="false">
      <c r="B15" s="5" t="s">
        <v>107</v>
      </c>
      <c r="C15" s="5" t="s">
        <v>108</v>
      </c>
      <c r="D15" s="11" t="n">
        <v>45820</v>
      </c>
      <c r="E15" s="11" t="n">
        <v>74066.35</v>
      </c>
      <c r="F15" s="11" t="n">
        <f aca="false">E15-D15</f>
        <v>28246.35</v>
      </c>
      <c r="G15" s="12" t="n">
        <f aca="false">IF(D15=0,0,F15/D15)</f>
        <v>0.616463334788302</v>
      </c>
    </row>
    <row r="16" customFormat="false" ht="15" hidden="false" customHeight="true" outlineLevel="0" collapsed="false">
      <c r="B16" s="5" t="s">
        <v>94</v>
      </c>
      <c r="C16" s="5" t="s">
        <v>95</v>
      </c>
      <c r="D16" s="11" t="n">
        <v>44800</v>
      </c>
      <c r="E16" s="11" t="n">
        <v>58292.75</v>
      </c>
      <c r="F16" s="11" t="n">
        <f aca="false">E16-D16</f>
        <v>13492.75</v>
      </c>
      <c r="G16" s="12" t="n">
        <f aca="false">IF(D16=0,0,F16/D16)</f>
        <v>0.301177455357143</v>
      </c>
    </row>
    <row r="17" customFormat="false" ht="15" hidden="false" customHeight="true" outlineLevel="0" collapsed="false">
      <c r="B17" s="5" t="s">
        <v>100</v>
      </c>
      <c r="C17" s="5" t="s">
        <v>101</v>
      </c>
      <c r="D17" s="11" t="n">
        <v>8400</v>
      </c>
      <c r="E17" s="11" t="n">
        <v>14152</v>
      </c>
      <c r="F17" s="11" t="n">
        <f aca="false">E17-D17</f>
        <v>5752</v>
      </c>
      <c r="G17" s="12" t="n">
        <f aca="false">IF(D17=0,0,F17/D17)</f>
        <v>0.684761904761905</v>
      </c>
    </row>
    <row r="18" customFormat="false" ht="15" hidden="false" customHeight="true" outlineLevel="0" collapsed="false">
      <c r="B18" s="5" t="s">
        <v>121</v>
      </c>
      <c r="C18" s="5" t="s">
        <v>122</v>
      </c>
      <c r="D18" s="11" t="n">
        <v>0</v>
      </c>
      <c r="E18" s="11" t="n">
        <v>653.01</v>
      </c>
      <c r="F18" s="11" t="n">
        <f aca="false">E18-D18</f>
        <v>653.01</v>
      </c>
      <c r="G18" s="12" t="n">
        <f aca="false">IF(D18=0,0,F18/D18)</f>
        <v>0</v>
      </c>
    </row>
    <row r="19" customFormat="false" ht="15" hidden="false" customHeight="true" outlineLevel="0" collapsed="false">
      <c r="B19" s="5" t="s">
        <v>96</v>
      </c>
      <c r="C19" s="5" t="s">
        <v>97</v>
      </c>
      <c r="D19" s="11" t="n">
        <v>8390</v>
      </c>
      <c r="E19" s="11" t="n">
        <v>8626.5</v>
      </c>
      <c r="F19" s="11" t="n">
        <f aca="false">E19-D19</f>
        <v>236.5</v>
      </c>
      <c r="G19" s="12" t="n">
        <f aca="false">IF(D19=0,0,F19/D19)</f>
        <v>0.0281883194278903</v>
      </c>
    </row>
    <row r="22" customFormat="false" ht="15" hidden="false" customHeight="true" outlineLevel="0" collapsed="false">
      <c r="B22" s="4" t="s">
        <v>143</v>
      </c>
      <c r="C22" s="4"/>
      <c r="D22" s="4"/>
      <c r="E22" s="4"/>
      <c r="F22" s="4"/>
      <c r="G22" s="4"/>
      <c r="H22" s="4"/>
      <c r="I22" s="4"/>
    </row>
    <row r="23" customFormat="false" ht="15" hidden="false" customHeight="true" outlineLevel="0" collapsed="false">
      <c r="B23" s="10" t="s">
        <v>72</v>
      </c>
      <c r="C23" s="10" t="s">
        <v>73</v>
      </c>
      <c r="D23" s="10" t="s">
        <v>75</v>
      </c>
      <c r="E23" s="10" t="s">
        <v>30</v>
      </c>
      <c r="F23" s="10" t="s">
        <v>144</v>
      </c>
      <c r="G23" s="10" t="s">
        <v>145</v>
      </c>
    </row>
    <row r="24" customFormat="false" ht="15" hidden="false" customHeight="true" outlineLevel="0" collapsed="false">
      <c r="B24" s="5" t="s">
        <v>114</v>
      </c>
      <c r="C24" s="5" t="s">
        <v>115</v>
      </c>
      <c r="D24" s="11" t="n">
        <v>336907</v>
      </c>
      <c r="E24" s="11" t="n">
        <v>272549.22</v>
      </c>
      <c r="F24" s="11" t="n">
        <f aca="false">D24-E24</f>
        <v>64357.78</v>
      </c>
      <c r="G24" s="12" t="n">
        <f aca="false">IF(D24=0,0,F24/D24)</f>
        <v>0.191025357146037</v>
      </c>
    </row>
    <row r="25" customFormat="false" ht="15" hidden="false" customHeight="true" outlineLevel="0" collapsed="false">
      <c r="B25" s="5" t="s">
        <v>112</v>
      </c>
      <c r="C25" s="5" t="s">
        <v>113</v>
      </c>
      <c r="D25" s="11" t="n">
        <v>201680</v>
      </c>
      <c r="E25" s="11" t="n">
        <v>141396.65</v>
      </c>
      <c r="F25" s="11" t="n">
        <f aca="false">D25-E25</f>
        <v>60283.35</v>
      </c>
      <c r="G25" s="12" t="n">
        <f aca="false">IF(D25=0,0,F25/D25)</f>
        <v>0.298905940103134</v>
      </c>
    </row>
    <row r="26" customFormat="false" ht="15" hidden="false" customHeight="true" outlineLevel="0" collapsed="false">
      <c r="B26" s="5" t="s">
        <v>118</v>
      </c>
      <c r="C26" s="5" t="s">
        <v>119</v>
      </c>
      <c r="D26" s="11" t="n">
        <v>87250</v>
      </c>
      <c r="E26" s="11" t="n">
        <v>48338.27</v>
      </c>
      <c r="F26" s="11" t="n">
        <f aca="false">D26-E26</f>
        <v>38911.73</v>
      </c>
      <c r="G26" s="12" t="n">
        <f aca="false">IF(D26=0,0,F26/D26)</f>
        <v>0.445979713467049</v>
      </c>
    </row>
    <row r="27" customFormat="false" ht="15" hidden="false" customHeight="true" outlineLevel="0" collapsed="false">
      <c r="B27" s="5" t="s">
        <v>86</v>
      </c>
      <c r="C27" s="5" t="s">
        <v>87</v>
      </c>
      <c r="D27" s="11" t="n">
        <v>71700</v>
      </c>
      <c r="E27" s="11" t="n">
        <v>33852.25</v>
      </c>
      <c r="F27" s="11" t="n">
        <f aca="false">D27-E27</f>
        <v>37847.75</v>
      </c>
      <c r="G27" s="12" t="n">
        <f aca="false">IF(D27=0,0,F27/D27)</f>
        <v>0.527862622036262</v>
      </c>
    </row>
    <row r="28" customFormat="false" ht="15" hidden="false" customHeight="true" outlineLevel="0" collapsed="false">
      <c r="B28" s="5" t="s">
        <v>102</v>
      </c>
      <c r="C28" s="5" t="s">
        <v>103</v>
      </c>
      <c r="D28" s="11" t="n">
        <v>20485</v>
      </c>
      <c r="E28" s="11" t="n">
        <v>805</v>
      </c>
      <c r="F28" s="11" t="n">
        <f aca="false">D28-E28</f>
        <v>19680</v>
      </c>
      <c r="G28" s="12" t="n">
        <f aca="false">IF(D28=0,0,F28/D28)</f>
        <v>0.960702953380522</v>
      </c>
    </row>
    <row r="29" customFormat="false" ht="15" hidden="false" customHeight="true" outlineLevel="0" collapsed="false">
      <c r="B29" s="5" t="s">
        <v>78</v>
      </c>
      <c r="C29" s="5" t="s">
        <v>79</v>
      </c>
      <c r="D29" s="11" t="n">
        <v>19105</v>
      </c>
      <c r="E29" s="11" t="n">
        <v>4039</v>
      </c>
      <c r="F29" s="11" t="n">
        <f aca="false">D29-E29</f>
        <v>15066</v>
      </c>
      <c r="G29" s="12" t="n">
        <f aca="false">IF(D29=0,0,F29/D29)</f>
        <v>0.788589374509291</v>
      </c>
    </row>
    <row r="30" customFormat="false" ht="15" hidden="false" customHeight="true" outlineLevel="0" collapsed="false">
      <c r="B30" s="5" t="s">
        <v>43</v>
      </c>
      <c r="C30" s="5" t="s">
        <v>109</v>
      </c>
      <c r="D30" s="11" t="n">
        <v>18200</v>
      </c>
      <c r="E30" s="11" t="n">
        <v>5771.34</v>
      </c>
      <c r="F30" s="11" t="n">
        <f aca="false">D30-E30</f>
        <v>12428.66</v>
      </c>
      <c r="G30" s="12" t="n">
        <f aca="false">IF(D30=0,0,F30/D30)</f>
        <v>0.682893406593407</v>
      </c>
    </row>
    <row r="31" customFormat="false" ht="15" hidden="false" customHeight="true" outlineLevel="0" collapsed="false">
      <c r="B31" s="5" t="s">
        <v>131</v>
      </c>
      <c r="C31" s="5" t="s">
        <v>132</v>
      </c>
      <c r="D31" s="11" t="n">
        <v>207315.16</v>
      </c>
      <c r="E31" s="11" t="n">
        <v>195501.68</v>
      </c>
      <c r="F31" s="11" t="n">
        <f aca="false">D31-E31</f>
        <v>11813.48</v>
      </c>
      <c r="G31" s="12" t="n">
        <f aca="false">IF(D31=0,0,F31/D31)</f>
        <v>0.056983194089617</v>
      </c>
    </row>
    <row r="32" customFormat="false" ht="15" hidden="false" customHeight="true" outlineLevel="0" collapsed="false">
      <c r="B32" s="5" t="s">
        <v>98</v>
      </c>
      <c r="C32" s="5" t="s">
        <v>99</v>
      </c>
      <c r="D32" s="11" t="n">
        <v>40550</v>
      </c>
      <c r="E32" s="11" t="n">
        <v>31534.47</v>
      </c>
      <c r="F32" s="11" t="n">
        <f aca="false">D32-E32</f>
        <v>9015.53</v>
      </c>
      <c r="G32" s="12" t="n">
        <f aca="false">IF(D32=0,0,F32/D32)</f>
        <v>0.222331196054254</v>
      </c>
    </row>
    <row r="33" customFormat="false" ht="15" hidden="false" customHeight="true" outlineLevel="0" collapsed="false">
      <c r="B33" s="5" t="s">
        <v>116</v>
      </c>
      <c r="C33" s="5" t="s">
        <v>117</v>
      </c>
      <c r="D33" s="11" t="n">
        <v>10800</v>
      </c>
      <c r="E33" s="11" t="n">
        <v>3578.52</v>
      </c>
      <c r="F33" s="11" t="n">
        <f aca="false">D33-E33</f>
        <v>7221.48</v>
      </c>
      <c r="G33" s="12" t="n">
        <f aca="false">IF(D33=0,0,F33/D33)</f>
        <v>0.668655555555556</v>
      </c>
    </row>
    <row r="36" customFormat="false" ht="15" hidden="false" customHeight="true" outlineLevel="0" collapsed="false">
      <c r="B36" s="4" t="s">
        <v>63</v>
      </c>
      <c r="C36" s="4"/>
      <c r="D36" s="4"/>
      <c r="E36" s="4"/>
      <c r="F36" s="4"/>
      <c r="G36" s="4"/>
      <c r="H36" s="4"/>
      <c r="I36" s="4"/>
    </row>
    <row r="37" customFormat="false" ht="15" hidden="false" customHeight="true" outlineLevel="0" collapsed="false">
      <c r="B37" s="3" t="s">
        <v>64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65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66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67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68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69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70</v>
      </c>
      <c r="C43" s="3"/>
      <c r="D43" s="3"/>
      <c r="E43" s="3"/>
      <c r="F43" s="3"/>
      <c r="G43" s="3"/>
      <c r="H43" s="3"/>
      <c r="I43" s="3"/>
    </row>
  </sheetData>
  <mergeCells count="12">
    <mergeCell ref="B2:I2"/>
    <mergeCell ref="B4:I4"/>
    <mergeCell ref="B12:I12"/>
    <mergeCell ref="B22:I22"/>
    <mergeCell ref="B36:I36"/>
    <mergeCell ref="B37:I37"/>
    <mergeCell ref="B38:I38"/>
    <mergeCell ref="B39:I39"/>
    <mergeCell ref="B40:I40"/>
    <mergeCell ref="B41:I41"/>
    <mergeCell ref="B42:I42"/>
    <mergeCell ref="B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146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147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148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72</v>
      </c>
      <c r="C6" s="10" t="s">
        <v>73</v>
      </c>
      <c r="D6" s="10" t="s">
        <v>75</v>
      </c>
      <c r="E6" s="10" t="s">
        <v>30</v>
      </c>
      <c r="F6" s="10" t="s">
        <v>31</v>
      </c>
      <c r="G6" s="10" t="s">
        <v>76</v>
      </c>
      <c r="H6" s="10" t="s">
        <v>149</v>
      </c>
      <c r="I6" s="10" t="s">
        <v>139</v>
      </c>
    </row>
    <row r="7" customFormat="false" ht="15" hidden="false" customHeight="true" outlineLevel="0" collapsed="false">
      <c r="B7" s="5" t="s">
        <v>105</v>
      </c>
      <c r="C7" s="5" t="s">
        <v>106</v>
      </c>
      <c r="D7" s="11" t="n">
        <v>5900</v>
      </c>
      <c r="E7" s="11" t="n">
        <v>3233.67</v>
      </c>
      <c r="F7" s="11" t="n">
        <f aca="false">D7-E7</f>
        <v>2666.33</v>
      </c>
      <c r="G7" s="12" t="n">
        <f aca="false">IF(D7=0,0,E7/D7)</f>
        <v>0.548079661016949</v>
      </c>
      <c r="H7" s="12" t="n">
        <f aca="false">IF(556906.77=0,0,E7/556906.77)</f>
        <v>0.00580648355199561</v>
      </c>
      <c r="I7" s="11" t="n">
        <f aca="false">IF(212=0,0,E7/212)</f>
        <v>15.2531603773585</v>
      </c>
    </row>
    <row r="8" customFormat="false" ht="15" hidden="false" customHeight="true" outlineLevel="0" collapsed="false">
      <c r="B8" s="5" t="s">
        <v>107</v>
      </c>
      <c r="C8" s="5" t="s">
        <v>108</v>
      </c>
      <c r="D8" s="11" t="n">
        <v>45820</v>
      </c>
      <c r="E8" s="11" t="n">
        <v>74066.35</v>
      </c>
      <c r="F8" s="11" t="n">
        <f aca="false">D8-E8</f>
        <v>-28246.35</v>
      </c>
      <c r="G8" s="12" t="n">
        <f aca="false">IF(D8=0,0,E8/D8)</f>
        <v>1.6164633347883</v>
      </c>
      <c r="H8" s="12" t="n">
        <f aca="false">IF(556906.77=0,0,E8/556906.77)</f>
        <v>0.132995959090244</v>
      </c>
      <c r="I8" s="11" t="n">
        <f aca="false">IF(212=0,0,E8/212)</f>
        <v>349.369575471698</v>
      </c>
    </row>
    <row r="9" customFormat="false" ht="15" hidden="false" customHeight="true" outlineLevel="0" collapsed="false">
      <c r="B9" s="5" t="s">
        <v>43</v>
      </c>
      <c r="C9" s="5" t="s">
        <v>109</v>
      </c>
      <c r="D9" s="11" t="n">
        <v>18200</v>
      </c>
      <c r="E9" s="11" t="n">
        <v>5771.34</v>
      </c>
      <c r="F9" s="11" t="n">
        <f aca="false">D9-E9</f>
        <v>12428.66</v>
      </c>
      <c r="G9" s="12" t="n">
        <f aca="false">IF(D9=0,0,E9/D9)</f>
        <v>0.317106593406593</v>
      </c>
      <c r="H9" s="12" t="n">
        <f aca="false">IF(556906.77=0,0,E9/556906.77)</f>
        <v>0.0103632067536187</v>
      </c>
      <c r="I9" s="11" t="n">
        <f aca="false">IF(212=0,0,E9/212)</f>
        <v>27.2233018867925</v>
      </c>
    </row>
    <row r="10" customFormat="false" ht="15" hidden="false" customHeight="true" outlineLevel="0" collapsed="false">
      <c r="B10" s="5" t="s">
        <v>110</v>
      </c>
      <c r="C10" s="5" t="s">
        <v>111</v>
      </c>
      <c r="D10" s="11" t="n">
        <v>10600</v>
      </c>
      <c r="E10" s="11" t="n">
        <v>5372.56</v>
      </c>
      <c r="F10" s="11" t="n">
        <f aca="false">D10-E10</f>
        <v>5227.44</v>
      </c>
      <c r="G10" s="12" t="n">
        <f aca="false">IF(D10=0,0,E10/D10)</f>
        <v>0.506845283018868</v>
      </c>
      <c r="H10" s="12" t="n">
        <f aca="false">IF(556906.77=0,0,E10/556906.77)</f>
        <v>0.00964714435057056</v>
      </c>
      <c r="I10" s="11" t="n">
        <f aca="false">IF(212=0,0,E10/212)</f>
        <v>25.3422641509434</v>
      </c>
    </row>
    <row r="11" customFormat="false" ht="15" hidden="false" customHeight="true" outlineLevel="0" collapsed="false">
      <c r="B11" s="5" t="s">
        <v>112</v>
      </c>
      <c r="C11" s="5" t="s">
        <v>113</v>
      </c>
      <c r="D11" s="11" t="n">
        <v>201680</v>
      </c>
      <c r="E11" s="11" t="n">
        <v>141396.65</v>
      </c>
      <c r="F11" s="11" t="n">
        <f aca="false">D11-E11</f>
        <v>60283.35</v>
      </c>
      <c r="G11" s="12" t="n">
        <f aca="false">IF(D11=0,0,E11/D11)</f>
        <v>0.701094059896866</v>
      </c>
      <c r="H11" s="12" t="n">
        <f aca="false">IF(556906.77=0,0,E11/556906.77)</f>
        <v>0.253896446617088</v>
      </c>
      <c r="I11" s="11" t="n">
        <f aca="false">IF(212=0,0,E11/212)</f>
        <v>666.965330188679</v>
      </c>
    </row>
    <row r="12" customFormat="false" ht="15" hidden="false" customHeight="true" outlineLevel="0" collapsed="false">
      <c r="B12" s="5" t="s">
        <v>114</v>
      </c>
      <c r="C12" s="5" t="s">
        <v>115</v>
      </c>
      <c r="D12" s="11" t="n">
        <v>336907</v>
      </c>
      <c r="E12" s="11" t="n">
        <v>272549.22</v>
      </c>
      <c r="F12" s="11" t="n">
        <f aca="false">D12-E12</f>
        <v>64357.78</v>
      </c>
      <c r="G12" s="12" t="n">
        <f aca="false">IF(D12=0,0,E12/D12)</f>
        <v>0.808974642853963</v>
      </c>
      <c r="H12" s="12" t="n">
        <f aca="false">IF(556906.77=0,0,E12/556906.77)</f>
        <v>0.489398288334688</v>
      </c>
      <c r="I12" s="11" t="n">
        <f aca="false">IF(212=0,0,E12/212)</f>
        <v>1285.60952830189</v>
      </c>
    </row>
    <row r="13" customFormat="false" ht="15" hidden="false" customHeight="true" outlineLevel="0" collapsed="false">
      <c r="B13" s="5" t="s">
        <v>116</v>
      </c>
      <c r="C13" s="5" t="s">
        <v>117</v>
      </c>
      <c r="D13" s="11" t="n">
        <v>10800</v>
      </c>
      <c r="E13" s="11" t="n">
        <v>3578.52</v>
      </c>
      <c r="F13" s="11" t="n">
        <f aca="false">D13-E13</f>
        <v>7221.48</v>
      </c>
      <c r="G13" s="12" t="n">
        <f aca="false">IF(D13=0,0,E13/D13)</f>
        <v>0.331344444444444</v>
      </c>
      <c r="H13" s="12" t="n">
        <f aca="false">IF(556906.77=0,0,E13/556906.77)</f>
        <v>0.00642570748421679</v>
      </c>
      <c r="I13" s="11" t="n">
        <f aca="false">IF(212=0,0,E13/212)</f>
        <v>16.8798113207547</v>
      </c>
    </row>
    <row r="14" customFormat="false" ht="15" hidden="false" customHeight="true" outlineLevel="0" collapsed="false">
      <c r="B14" s="5" t="s">
        <v>118</v>
      </c>
      <c r="C14" s="5" t="s">
        <v>119</v>
      </c>
      <c r="D14" s="11" t="n">
        <v>87250</v>
      </c>
      <c r="E14" s="11" t="n">
        <v>48338.27</v>
      </c>
      <c r="F14" s="11" t="n">
        <f aca="false">D14-E14</f>
        <v>38911.73</v>
      </c>
      <c r="G14" s="12" t="n">
        <f aca="false">IF(D14=0,0,E14/D14)</f>
        <v>0.554020286532951</v>
      </c>
      <c r="H14" s="12" t="n">
        <f aca="false">IF(556906.77=0,0,E14/556906.77)</f>
        <v>0.0867977776603434</v>
      </c>
      <c r="I14" s="11" t="n">
        <f aca="false">IF(212=0,0,E14/212)</f>
        <v>228.01070754717</v>
      </c>
    </row>
    <row r="15" customFormat="false" ht="15" hidden="false" customHeight="true" outlineLevel="0" collapsed="false">
      <c r="B15" s="5" t="s">
        <v>50</v>
      </c>
      <c r="C15" s="5" t="s">
        <v>120</v>
      </c>
      <c r="D15" s="11" t="n">
        <v>5520</v>
      </c>
      <c r="E15" s="11" t="n">
        <v>1947.18</v>
      </c>
      <c r="F15" s="11" t="n">
        <f aca="false">D15-E15</f>
        <v>3572.82</v>
      </c>
      <c r="G15" s="12" t="n">
        <f aca="false">IF(D15=0,0,E15/D15)</f>
        <v>0.35275</v>
      </c>
      <c r="H15" s="12" t="n">
        <f aca="false">IF(556906.77=0,0,E15/556906.77)</f>
        <v>0.00349642005608946</v>
      </c>
      <c r="I15" s="11" t="n">
        <f aca="false">IF(212=0,0,E15/212)</f>
        <v>9.18481132075472</v>
      </c>
    </row>
    <row r="16" customFormat="false" ht="15" hidden="false" customHeight="true" outlineLevel="0" collapsed="false">
      <c r="B16" s="5" t="s">
        <v>121</v>
      </c>
      <c r="C16" s="5" t="s">
        <v>122</v>
      </c>
      <c r="D16" s="11" t="n">
        <v>0</v>
      </c>
      <c r="E16" s="11" t="n">
        <v>653.01</v>
      </c>
      <c r="F16" s="11" t="n">
        <f aca="false">D16-E16</f>
        <v>-653.01</v>
      </c>
      <c r="G16" s="12" t="n">
        <f aca="false">IF(D16=0,0,E16/D16)</f>
        <v>0</v>
      </c>
      <c r="H16" s="12" t="n">
        <f aca="false">IF(556906.77=0,0,E16/556906.77)</f>
        <v>0.00117256610114472</v>
      </c>
      <c r="I16" s="11" t="n">
        <f aca="false">IF(212=0,0,E16/212)</f>
        <v>3.0802358490566</v>
      </c>
    </row>
    <row r="17" customFormat="false" ht="15" hidden="false" customHeight="true" outlineLevel="0" collapsed="false">
      <c r="B17" s="6" t="s">
        <v>38</v>
      </c>
      <c r="C17" s="6" t="s">
        <v>150</v>
      </c>
      <c r="D17" s="13" t="n">
        <f aca="false">SUM(D7:D16)</f>
        <v>722677</v>
      </c>
      <c r="E17" s="13" t="n">
        <f aca="false">SUM(E7:E16)</f>
        <v>556906.77</v>
      </c>
      <c r="F17" s="13" t="n">
        <f aca="false">D17-E17</f>
        <v>165770.23</v>
      </c>
      <c r="G17" s="14" t="n">
        <f aca="false">IF(D17=0,0,E17/D17)</f>
        <v>0.77061643030012</v>
      </c>
      <c r="H17" s="14" t="n">
        <v>1</v>
      </c>
      <c r="I17" s="13" t="n">
        <f aca="false">IF(212=0,0,E17/212)</f>
        <v>2626.91872641509</v>
      </c>
    </row>
    <row r="20" customFormat="false" ht="15" hidden="false" customHeight="true" outlineLevel="0" collapsed="false">
      <c r="B20" s="4" t="s">
        <v>151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B21" s="10" t="s">
        <v>152</v>
      </c>
      <c r="C21" s="10" t="s">
        <v>153</v>
      </c>
      <c r="D21" s="10" t="s">
        <v>154</v>
      </c>
      <c r="E21" s="10" t="s">
        <v>155</v>
      </c>
      <c r="F21" s="10"/>
      <c r="G21" s="10"/>
      <c r="H21" s="10"/>
      <c r="I21" s="10" t="s">
        <v>156</v>
      </c>
    </row>
    <row r="22" customFormat="false" ht="15" hidden="false" customHeight="true" outlineLevel="0" collapsed="false">
      <c r="B22" s="5" t="s">
        <v>157</v>
      </c>
      <c r="C22" s="15" t="n">
        <v>87</v>
      </c>
      <c r="D22" s="11" t="n">
        <v>187929.87</v>
      </c>
      <c r="E22" s="12" t="n">
        <f aca="false">IF(535198.25=0,0,D22/535198.25)</f>
        <v>0.351140666098964</v>
      </c>
      <c r="I22" s="11" t="n">
        <f aca="false">IF(C22=0,0,D22/C22)</f>
        <v>2160.11344827586</v>
      </c>
    </row>
    <row r="23" customFormat="false" ht="15" hidden="false" customHeight="true" outlineLevel="0" collapsed="false">
      <c r="B23" s="5" t="s">
        <v>158</v>
      </c>
      <c r="C23" s="15" t="n">
        <v>64</v>
      </c>
      <c r="D23" s="11" t="n">
        <v>141063.76</v>
      </c>
      <c r="E23" s="12" t="n">
        <f aca="false">IF(535198.25=0,0,D23/535198.25)</f>
        <v>0.263572909664783</v>
      </c>
      <c r="I23" s="11" t="n">
        <f aca="false">IF(C23=0,0,D23/C23)</f>
        <v>2204.12125</v>
      </c>
    </row>
    <row r="24" customFormat="false" ht="15" hidden="false" customHeight="true" outlineLevel="0" collapsed="false">
      <c r="B24" s="5" t="s">
        <v>159</v>
      </c>
      <c r="C24" s="15" t="n">
        <v>45</v>
      </c>
      <c r="D24" s="11" t="n">
        <v>65193.3</v>
      </c>
      <c r="E24" s="12" t="n">
        <f aca="false">IF(535198.25=0,0,D24/535198.25)</f>
        <v>0.121811496954633</v>
      </c>
      <c r="I24" s="11" t="n">
        <f aca="false">IF(C24=0,0,D24/C24)</f>
        <v>1448.74</v>
      </c>
    </row>
    <row r="25" customFormat="false" ht="15" hidden="false" customHeight="true" outlineLevel="0" collapsed="false">
      <c r="B25" s="5" t="s">
        <v>160</v>
      </c>
      <c r="C25" s="15" t="n">
        <v>4</v>
      </c>
      <c r="D25" s="11" t="n">
        <v>47527.77</v>
      </c>
      <c r="E25" s="12" t="n">
        <f aca="false">IF(535198.25=0,0,D25/535198.25)</f>
        <v>0.0888040459773551</v>
      </c>
      <c r="I25" s="11" t="n">
        <f aca="false">IF(C25=0,0,D25/C25)</f>
        <v>11881.9425</v>
      </c>
    </row>
    <row r="26" customFormat="false" ht="15" hidden="false" customHeight="true" outlineLevel="0" collapsed="false">
      <c r="B26" s="5" t="s">
        <v>161</v>
      </c>
      <c r="C26" s="15" t="n">
        <v>21</v>
      </c>
      <c r="D26" s="11" t="n">
        <v>43369.79</v>
      </c>
      <c r="E26" s="12" t="n">
        <f aca="false">IF(535198.25=0,0,D26/535198.25)</f>
        <v>0.081034999647327</v>
      </c>
      <c r="I26" s="11" t="n">
        <f aca="false">IF(C26=0,0,D26/C26)</f>
        <v>2065.2280952381</v>
      </c>
    </row>
    <row r="27" customFormat="false" ht="15" hidden="false" customHeight="true" outlineLevel="0" collapsed="false">
      <c r="B27" s="5" t="s">
        <v>162</v>
      </c>
      <c r="C27" s="15" t="n">
        <v>6</v>
      </c>
      <c r="D27" s="11" t="n">
        <v>23133.75</v>
      </c>
      <c r="E27" s="12" t="n">
        <f aca="false">IF(535198.25=0,0,D27/535198.25)</f>
        <v>0.0432246368518582</v>
      </c>
      <c r="I27" s="11" t="n">
        <f aca="false">IF(C27=0,0,D27/C27)</f>
        <v>3855.625</v>
      </c>
    </row>
    <row r="28" customFormat="false" ht="15" hidden="false" customHeight="true" outlineLevel="0" collapsed="false">
      <c r="B28" s="5" t="s">
        <v>163</v>
      </c>
      <c r="C28" s="15" t="n">
        <v>3</v>
      </c>
      <c r="D28" s="11" t="n">
        <v>11633</v>
      </c>
      <c r="E28" s="12" t="n">
        <f aca="false">IF(535198.25=0,0,D28/535198.25)</f>
        <v>0.0217358707731201</v>
      </c>
      <c r="I28" s="11" t="n">
        <f aca="false">IF(C28=0,0,D28/C28)</f>
        <v>3877.66666666667</v>
      </c>
    </row>
    <row r="29" customFormat="false" ht="15" hidden="false" customHeight="true" outlineLevel="0" collapsed="false">
      <c r="B29" s="5" t="s">
        <v>164</v>
      </c>
      <c r="C29" s="15" t="n">
        <v>4</v>
      </c>
      <c r="D29" s="11" t="n">
        <v>8875</v>
      </c>
      <c r="E29" s="12" t="n">
        <f aca="false">IF(535198.25=0,0,D29/535198.25)</f>
        <v>0.0165826401711889</v>
      </c>
      <c r="I29" s="11" t="n">
        <f aca="false">IF(C29=0,0,D29/C29)</f>
        <v>2218.75</v>
      </c>
    </row>
    <row r="30" customFormat="false" ht="15" hidden="false" customHeight="true" outlineLevel="0" collapsed="false">
      <c r="B30" s="5" t="s">
        <v>165</v>
      </c>
      <c r="C30" s="15" t="n">
        <v>4</v>
      </c>
      <c r="D30" s="11" t="n">
        <v>2252.62</v>
      </c>
      <c r="E30" s="12" t="n">
        <f aca="false">IF(535198.25=0,0,D30/535198.25)</f>
        <v>0.00420894500308998</v>
      </c>
      <c r="I30" s="11" t="n">
        <f aca="false">IF(C30=0,0,D30/C30)</f>
        <v>563.155</v>
      </c>
    </row>
    <row r="31" customFormat="false" ht="15" hidden="false" customHeight="true" outlineLevel="0" collapsed="false">
      <c r="B31" s="5" t="s">
        <v>166</v>
      </c>
      <c r="C31" s="15" t="n">
        <v>3</v>
      </c>
      <c r="D31" s="11" t="n">
        <v>934.77</v>
      </c>
      <c r="E31" s="12" t="n">
        <f aca="false">IF(535198.25=0,0,D31/535198.25)</f>
        <v>0.00174658642848701</v>
      </c>
      <c r="I31" s="11" t="n">
        <f aca="false">IF(C31=0,0,D31/C31)</f>
        <v>311.59</v>
      </c>
    </row>
    <row r="32" customFormat="false" ht="15" hidden="false" customHeight="true" outlineLevel="0" collapsed="false">
      <c r="B32" s="5" t="s">
        <v>167</v>
      </c>
      <c r="C32" s="15" t="n">
        <v>4</v>
      </c>
      <c r="D32" s="11" t="n">
        <v>654.66</v>
      </c>
      <c r="E32" s="12" t="n">
        <f aca="false">IF(535198.25=0,0,D32/535198.25)</f>
        <v>0.00122321027768682</v>
      </c>
      <c r="I32" s="11" t="n">
        <f aca="false">IF(C32=0,0,D32/C32)</f>
        <v>163.665</v>
      </c>
    </row>
    <row r="33" customFormat="false" ht="15" hidden="false" customHeight="true" outlineLevel="0" collapsed="false">
      <c r="B33" s="5" t="s">
        <v>168</v>
      </c>
      <c r="C33" s="15" t="n">
        <v>2</v>
      </c>
      <c r="D33" s="11" t="n">
        <v>637.54</v>
      </c>
      <c r="E33" s="12" t="n">
        <f aca="false">IF(535198.25=0,0,D33/535198.25)</f>
        <v>0.00119122213123828</v>
      </c>
      <c r="I33" s="11" t="n">
        <f aca="false">IF(C33=0,0,D33/C33)</f>
        <v>318.77</v>
      </c>
    </row>
    <row r="34" customFormat="false" ht="15" hidden="false" customHeight="true" outlineLevel="0" collapsed="false">
      <c r="B34" s="5" t="s">
        <v>169</v>
      </c>
      <c r="C34" s="15" t="n">
        <v>1</v>
      </c>
      <c r="D34" s="11" t="n">
        <v>500</v>
      </c>
      <c r="E34" s="12" t="n">
        <f aca="false">IF(535198.25=0,0,D34/535198.25)</f>
        <v>0.000934233249081065</v>
      </c>
      <c r="I34" s="11" t="n">
        <f aca="false">IF(C34=0,0,D34/C34)</f>
        <v>500</v>
      </c>
    </row>
    <row r="35" customFormat="false" ht="15" hidden="false" customHeight="true" outlineLevel="0" collapsed="false">
      <c r="B35" s="5" t="s">
        <v>170</v>
      </c>
      <c r="C35" s="15" t="n">
        <v>44</v>
      </c>
      <c r="D35" s="11" t="n">
        <v>431.75</v>
      </c>
      <c r="E35" s="12" t="n">
        <f aca="false">IF(535198.25=0,0,D35/535198.25)</f>
        <v>0.000806710410581499</v>
      </c>
      <c r="I35" s="11" t="n">
        <f aca="false">IF(C35=0,0,D35/C35)</f>
        <v>9.8125</v>
      </c>
    </row>
    <row r="36" customFormat="false" ht="15" hidden="false" customHeight="true" outlineLevel="0" collapsed="false">
      <c r="B36" s="5" t="s">
        <v>171</v>
      </c>
      <c r="C36" s="15" t="n">
        <v>3</v>
      </c>
      <c r="D36" s="11" t="n">
        <v>372.77</v>
      </c>
      <c r="E36" s="12" t="n">
        <f aca="false">IF(535198.25=0,0,D36/535198.25)</f>
        <v>0.000696508256519897</v>
      </c>
      <c r="I36" s="11" t="n">
        <f aca="false">IF(C36=0,0,D36/C36)</f>
        <v>124.256666666667</v>
      </c>
    </row>
    <row r="37" customFormat="false" ht="15" hidden="false" customHeight="true" outlineLevel="0" collapsed="false">
      <c r="B37" s="5" t="s">
        <v>172</v>
      </c>
      <c r="C37" s="15" t="n">
        <v>2</v>
      </c>
      <c r="D37" s="11" t="n">
        <v>354.99</v>
      </c>
      <c r="E37" s="12" t="n">
        <f aca="false">IF(535198.25=0,0,D37/535198.25)</f>
        <v>0.000663286922182575</v>
      </c>
      <c r="I37" s="11" t="n">
        <f aca="false">IF(C37=0,0,D37/C37)</f>
        <v>177.495</v>
      </c>
    </row>
    <row r="38" customFormat="false" ht="15" hidden="false" customHeight="true" outlineLevel="0" collapsed="false">
      <c r="B38" s="5" t="s">
        <v>173</v>
      </c>
      <c r="C38" s="15" t="n">
        <v>1</v>
      </c>
      <c r="D38" s="11" t="n">
        <v>191.7</v>
      </c>
      <c r="E38" s="12" t="n">
        <f aca="false">IF(535198.25=0,0,D38/535198.25)</f>
        <v>0.00035818502769768</v>
      </c>
      <c r="I38" s="11" t="n">
        <f aca="false">IF(C38=0,0,D38/C38)</f>
        <v>191.7</v>
      </c>
    </row>
    <row r="39" customFormat="false" ht="15" hidden="false" customHeight="true" outlineLevel="0" collapsed="false">
      <c r="B39" s="5" t="s">
        <v>174</v>
      </c>
      <c r="C39" s="15" t="n">
        <v>2</v>
      </c>
      <c r="D39" s="11" t="n">
        <v>111.82</v>
      </c>
      <c r="E39" s="12" t="n">
        <f aca="false">IF(535198.25=0,0,D39/535198.25)</f>
        <v>0.000208931923824489</v>
      </c>
      <c r="I39" s="11" t="n">
        <f aca="false">IF(C39=0,0,D39/C39)</f>
        <v>55.91</v>
      </c>
    </row>
    <row r="40" customFormat="false" ht="15" hidden="false" customHeight="true" outlineLevel="0" collapsed="false">
      <c r="B40" s="5" t="s">
        <v>175</v>
      </c>
      <c r="C40" s="15" t="n">
        <v>1</v>
      </c>
      <c r="D40" s="11" t="n">
        <v>29.39</v>
      </c>
      <c r="E40" s="12" t="n">
        <f aca="false">IF(535198.25=0,0,D40/535198.25)</f>
        <v>5.4914230380985E-005</v>
      </c>
      <c r="I40" s="11" t="n">
        <f aca="false">IF(C40=0,0,D40/C40)</f>
        <v>29.39</v>
      </c>
    </row>
    <row r="41" customFormat="false" ht="15" hidden="false" customHeight="true" outlineLevel="0" collapsed="false">
      <c r="B41" s="6" t="s">
        <v>38</v>
      </c>
      <c r="C41" s="16" t="n">
        <f aca="false">SUM(C22:C40)</f>
        <v>301</v>
      </c>
      <c r="D41" s="13" t="n">
        <f aca="false">SUM(D22:D40)</f>
        <v>535198.25</v>
      </c>
      <c r="E41" s="14" t="n">
        <v>1</v>
      </c>
    </row>
    <row r="44" customFormat="false" ht="15" hidden="false" customHeight="true" outlineLevel="0" collapsed="false">
      <c r="B44" s="4" t="s">
        <v>63</v>
      </c>
      <c r="C44" s="4"/>
      <c r="D44" s="4"/>
      <c r="E44" s="4"/>
      <c r="F44" s="4"/>
      <c r="G44" s="4"/>
      <c r="H44" s="4"/>
      <c r="I44" s="4"/>
    </row>
    <row r="45" customFormat="false" ht="15" hidden="false" customHeight="true" outlineLevel="0" collapsed="false">
      <c r="B45" s="3" t="s">
        <v>64</v>
      </c>
      <c r="C45" s="3"/>
      <c r="D45" s="3"/>
      <c r="E45" s="3"/>
      <c r="F45" s="3"/>
      <c r="G45" s="3"/>
      <c r="H45" s="3"/>
      <c r="I45" s="3"/>
    </row>
    <row r="46" customFormat="false" ht="15" hidden="false" customHeight="true" outlineLevel="0" collapsed="false">
      <c r="B46" s="3" t="s">
        <v>65</v>
      </c>
      <c r="C46" s="3"/>
      <c r="D46" s="3"/>
      <c r="E46" s="3"/>
      <c r="F46" s="3"/>
      <c r="G46" s="3"/>
      <c r="H46" s="3"/>
      <c r="I46" s="3"/>
    </row>
    <row r="47" customFormat="false" ht="15" hidden="false" customHeight="true" outlineLevel="0" collapsed="false">
      <c r="B47" s="3" t="s">
        <v>66</v>
      </c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B48" s="3" t="s">
        <v>67</v>
      </c>
      <c r="C48" s="3"/>
      <c r="D48" s="3"/>
      <c r="E48" s="3"/>
      <c r="F48" s="3"/>
      <c r="G48" s="3"/>
      <c r="H48" s="3"/>
      <c r="I48" s="3"/>
    </row>
    <row r="49" customFormat="false" ht="15" hidden="false" customHeight="true" outlineLevel="0" collapsed="false">
      <c r="B49" s="3" t="s">
        <v>68</v>
      </c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B50" s="3" t="s">
        <v>69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70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176</v>
      </c>
      <c r="C52" s="3"/>
      <c r="D52" s="3"/>
      <c r="E52" s="3"/>
      <c r="F52" s="3"/>
      <c r="G52" s="3"/>
      <c r="H52" s="3"/>
      <c r="I52" s="3"/>
    </row>
  </sheetData>
  <mergeCells count="13">
    <mergeCell ref="B2:I2"/>
    <mergeCell ref="B3:I3"/>
    <mergeCell ref="B5:I5"/>
    <mergeCell ref="B20:I20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177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178</v>
      </c>
      <c r="C4" s="10" t="s">
        <v>179</v>
      </c>
      <c r="D4" s="10" t="s">
        <v>180</v>
      </c>
      <c r="E4" s="10" t="s">
        <v>181</v>
      </c>
      <c r="F4" s="10" t="s">
        <v>182</v>
      </c>
    </row>
    <row r="5" customFormat="false" ht="15" hidden="false" customHeight="true" outlineLevel="0" collapsed="false">
      <c r="B5" s="5" t="s">
        <v>183</v>
      </c>
      <c r="C5" s="17" t="n">
        <v>1056</v>
      </c>
      <c r="D5" s="11" t="n">
        <v>29568</v>
      </c>
      <c r="E5" s="18" t="n">
        <f aca="false">IF(C5=0,0,D5/C5)</f>
        <v>28</v>
      </c>
      <c r="F5" s="5" t="s">
        <v>184</v>
      </c>
    </row>
    <row r="6" customFormat="false" ht="15" hidden="false" customHeight="true" outlineLevel="0" collapsed="false">
      <c r="B6" s="5" t="s">
        <v>185</v>
      </c>
      <c r="C6" s="17" t="n">
        <v>1006.25</v>
      </c>
      <c r="D6" s="11" t="n">
        <v>13441.25</v>
      </c>
      <c r="E6" s="18" t="n">
        <f aca="false">IF(C6=0,0,D6/C6)</f>
        <v>13.3577639751553</v>
      </c>
      <c r="F6" s="5" t="s">
        <v>186</v>
      </c>
    </row>
    <row r="7" customFormat="false" ht="15" hidden="false" customHeight="true" outlineLevel="0" collapsed="false">
      <c r="B7" s="5" t="s">
        <v>187</v>
      </c>
      <c r="C7" s="17" t="n">
        <v>978.5</v>
      </c>
      <c r="D7" s="11" t="n">
        <v>24497.5</v>
      </c>
      <c r="E7" s="18" t="n">
        <f aca="false">IF(C7=0,0,D7/C7)</f>
        <v>25.0357690342361</v>
      </c>
      <c r="F7" s="5" t="s">
        <v>184</v>
      </c>
    </row>
    <row r="8" customFormat="false" ht="15" hidden="false" customHeight="true" outlineLevel="0" collapsed="false">
      <c r="B8" s="5" t="s">
        <v>188</v>
      </c>
      <c r="C8" s="17" t="n">
        <v>941</v>
      </c>
      <c r="D8" s="11" t="n">
        <v>28383.5</v>
      </c>
      <c r="E8" s="18" t="n">
        <f aca="false">IF(C8=0,0,D8/C8)</f>
        <v>30.163124335813</v>
      </c>
      <c r="F8" s="5" t="s">
        <v>189</v>
      </c>
    </row>
    <row r="9" customFormat="false" ht="15" hidden="false" customHeight="true" outlineLevel="0" collapsed="false">
      <c r="B9" s="5" t="s">
        <v>190</v>
      </c>
      <c r="C9" s="17" t="n">
        <v>857.5</v>
      </c>
      <c r="D9" s="11" t="n">
        <v>13751</v>
      </c>
      <c r="E9" s="18" t="n">
        <f aca="false">IF(C9=0,0,D9/C9)</f>
        <v>16.0361516034985</v>
      </c>
      <c r="F9" s="5" t="s">
        <v>186</v>
      </c>
    </row>
    <row r="10" customFormat="false" ht="15" hidden="false" customHeight="true" outlineLevel="0" collapsed="false">
      <c r="B10" s="5" t="s">
        <v>191</v>
      </c>
      <c r="C10" s="17" t="n">
        <v>855.5</v>
      </c>
      <c r="D10" s="11" t="n">
        <v>12404.75</v>
      </c>
      <c r="E10" s="18" t="n">
        <f aca="false">IF(C10=0,0,D10/C10)</f>
        <v>14.5</v>
      </c>
      <c r="F10" s="5" t="s">
        <v>186</v>
      </c>
    </row>
    <row r="11" customFormat="false" ht="15" hidden="false" customHeight="true" outlineLevel="0" collapsed="false">
      <c r="B11" s="5" t="s">
        <v>192</v>
      </c>
      <c r="C11" s="17" t="n">
        <v>835.75</v>
      </c>
      <c r="D11" s="11" t="n">
        <v>10864.75</v>
      </c>
      <c r="E11" s="18" t="n">
        <f aca="false">IF(C11=0,0,D11/C11)</f>
        <v>13</v>
      </c>
      <c r="F11" s="5" t="s">
        <v>186</v>
      </c>
    </row>
    <row r="12" customFormat="false" ht="15" hidden="false" customHeight="true" outlineLevel="0" collapsed="false">
      <c r="B12" s="5" t="s">
        <v>193</v>
      </c>
      <c r="C12" s="17" t="n">
        <v>825.5</v>
      </c>
      <c r="D12" s="11" t="n">
        <v>23138</v>
      </c>
      <c r="E12" s="18" t="n">
        <f aca="false">IF(C12=0,0,D12/C12)</f>
        <v>28.0290732889158</v>
      </c>
      <c r="F12" s="5" t="s">
        <v>184</v>
      </c>
    </row>
    <row r="13" customFormat="false" ht="15" hidden="false" customHeight="true" outlineLevel="0" collapsed="false">
      <c r="B13" s="5" t="s">
        <v>194</v>
      </c>
      <c r="C13" s="17" t="n">
        <v>824</v>
      </c>
      <c r="D13" s="11" t="n">
        <v>13248</v>
      </c>
      <c r="E13" s="18" t="n">
        <f aca="false">IF(C13=0,0,D13/C13)</f>
        <v>16.0776699029126</v>
      </c>
      <c r="F13" s="5" t="s">
        <v>186</v>
      </c>
    </row>
    <row r="14" customFormat="false" ht="15" hidden="false" customHeight="true" outlineLevel="0" collapsed="false">
      <c r="B14" s="5" t="s">
        <v>195</v>
      </c>
      <c r="C14" s="17" t="n">
        <v>762.5</v>
      </c>
      <c r="D14" s="11" t="n">
        <v>12099.5</v>
      </c>
      <c r="E14" s="18" t="n">
        <f aca="false">IF(C14=0,0,D14/C14)</f>
        <v>15.8681967213115</v>
      </c>
      <c r="F14" s="5" t="s">
        <v>186</v>
      </c>
    </row>
    <row r="15" customFormat="false" ht="15" hidden="false" customHeight="true" outlineLevel="0" collapsed="false">
      <c r="B15" s="5" t="s">
        <v>196</v>
      </c>
      <c r="C15" s="17" t="n">
        <v>740</v>
      </c>
      <c r="D15" s="11" t="n">
        <v>20720</v>
      </c>
      <c r="E15" s="18" t="n">
        <f aca="false">IF(C15=0,0,D15/C15)</f>
        <v>28</v>
      </c>
      <c r="F15" s="5" t="s">
        <v>184</v>
      </c>
    </row>
    <row r="16" customFormat="false" ht="15" hidden="false" customHeight="true" outlineLevel="0" collapsed="false">
      <c r="B16" s="5" t="s">
        <v>197</v>
      </c>
      <c r="C16" s="17" t="n">
        <v>699.5</v>
      </c>
      <c r="D16" s="11" t="n">
        <v>9417.5</v>
      </c>
      <c r="E16" s="18" t="n">
        <f aca="false">IF(C16=0,0,D16/C16)</f>
        <v>13.4631879914224</v>
      </c>
      <c r="F16" s="5" t="s">
        <v>186</v>
      </c>
    </row>
    <row r="17" customFormat="false" ht="15" hidden="false" customHeight="true" outlineLevel="0" collapsed="false">
      <c r="B17" s="5" t="s">
        <v>198</v>
      </c>
      <c r="C17" s="17" t="n">
        <v>686.25</v>
      </c>
      <c r="D17" s="11" t="n">
        <v>9218.25</v>
      </c>
      <c r="E17" s="18" t="n">
        <f aca="false">IF(C17=0,0,D17/C17)</f>
        <v>13.4327868852459</v>
      </c>
      <c r="F17" s="5" t="s">
        <v>186</v>
      </c>
    </row>
    <row r="18" customFormat="false" ht="15" hidden="false" customHeight="true" outlineLevel="0" collapsed="false">
      <c r="B18" s="5" t="s">
        <v>199</v>
      </c>
      <c r="C18" s="17" t="n">
        <v>639.5</v>
      </c>
      <c r="D18" s="11" t="n">
        <v>9225</v>
      </c>
      <c r="E18" s="18" t="n">
        <f aca="false">IF(C18=0,0,D18/C18)</f>
        <v>14.4253322908522</v>
      </c>
      <c r="F18" s="5" t="s">
        <v>186</v>
      </c>
    </row>
    <row r="19" customFormat="false" ht="15" hidden="false" customHeight="true" outlineLevel="0" collapsed="false">
      <c r="B19" s="5" t="s">
        <v>200</v>
      </c>
      <c r="C19" s="17" t="n">
        <v>636</v>
      </c>
      <c r="D19" s="11" t="n">
        <v>21627</v>
      </c>
      <c r="E19" s="18" t="n">
        <f aca="false">IF(C19=0,0,D19/C19)</f>
        <v>34.0047169811321</v>
      </c>
      <c r="F19" s="5" t="s">
        <v>189</v>
      </c>
    </row>
    <row r="20" customFormat="false" ht="15" hidden="false" customHeight="true" outlineLevel="0" collapsed="false">
      <c r="B20" s="5" t="s">
        <v>201</v>
      </c>
      <c r="C20" s="17" t="n">
        <v>636</v>
      </c>
      <c r="D20" s="11" t="n">
        <v>9237</v>
      </c>
      <c r="E20" s="18" t="n">
        <f aca="false">IF(C20=0,0,D20/C20)</f>
        <v>14.5235849056604</v>
      </c>
      <c r="F20" s="5" t="s">
        <v>186</v>
      </c>
    </row>
    <row r="21" customFormat="false" ht="15" hidden="false" customHeight="true" outlineLevel="0" collapsed="false">
      <c r="B21" s="5" t="s">
        <v>202</v>
      </c>
      <c r="C21" s="17" t="n">
        <v>624</v>
      </c>
      <c r="D21" s="11" t="n">
        <v>8568</v>
      </c>
      <c r="E21" s="18" t="n">
        <f aca="false">IF(C21=0,0,D21/C21)</f>
        <v>13.7307692307692</v>
      </c>
      <c r="F21" s="5" t="s">
        <v>186</v>
      </c>
    </row>
    <row r="22" customFormat="false" ht="15" hidden="false" customHeight="true" outlineLevel="0" collapsed="false">
      <c r="B22" s="5" t="s">
        <v>203</v>
      </c>
      <c r="C22" s="17" t="n">
        <v>620.5</v>
      </c>
      <c r="D22" s="11" t="n">
        <v>10548.5</v>
      </c>
      <c r="E22" s="18" t="n">
        <f aca="false">IF(C22=0,0,D22/C22)</f>
        <v>17</v>
      </c>
      <c r="F22" s="5" t="s">
        <v>186</v>
      </c>
    </row>
    <row r="23" customFormat="false" ht="15" hidden="false" customHeight="true" outlineLevel="0" collapsed="false">
      <c r="B23" s="5" t="s">
        <v>204</v>
      </c>
      <c r="C23" s="17" t="n">
        <v>611</v>
      </c>
      <c r="D23" s="11" t="n">
        <v>8554</v>
      </c>
      <c r="E23" s="18" t="n">
        <f aca="false">IF(C23=0,0,D23/C23)</f>
        <v>14</v>
      </c>
      <c r="F23" s="5" t="s">
        <v>186</v>
      </c>
    </row>
    <row r="24" customFormat="false" ht="15" hidden="false" customHeight="true" outlineLevel="0" collapsed="false">
      <c r="B24" s="5" t="s">
        <v>205</v>
      </c>
      <c r="C24" s="17" t="n">
        <v>591.5</v>
      </c>
      <c r="D24" s="11" t="n">
        <v>8281</v>
      </c>
      <c r="E24" s="18" t="n">
        <f aca="false">IF(C24=0,0,D24/C24)</f>
        <v>14</v>
      </c>
      <c r="F24" s="5" t="s">
        <v>186</v>
      </c>
    </row>
    <row r="25" customFormat="false" ht="15" hidden="false" customHeight="true" outlineLevel="0" collapsed="false">
      <c r="B25" s="5" t="s">
        <v>206</v>
      </c>
      <c r="C25" s="17" t="n">
        <v>589.5</v>
      </c>
      <c r="D25" s="11" t="n">
        <v>10021.5</v>
      </c>
      <c r="E25" s="18" t="n">
        <f aca="false">IF(C25=0,0,D25/C25)</f>
        <v>17</v>
      </c>
      <c r="F25" s="5" t="s">
        <v>186</v>
      </c>
    </row>
    <row r="26" customFormat="false" ht="15" hidden="false" customHeight="true" outlineLevel="0" collapsed="false">
      <c r="B26" s="5" t="s">
        <v>207</v>
      </c>
      <c r="C26" s="17" t="n">
        <v>581</v>
      </c>
      <c r="D26" s="11" t="n">
        <v>8390</v>
      </c>
      <c r="E26" s="18" t="n">
        <f aca="false">IF(C26=0,0,D26/C26)</f>
        <v>14.4406196213425</v>
      </c>
      <c r="F26" s="5" t="s">
        <v>186</v>
      </c>
    </row>
    <row r="27" customFormat="false" ht="15" hidden="false" customHeight="true" outlineLevel="0" collapsed="false">
      <c r="B27" s="5" t="s">
        <v>208</v>
      </c>
      <c r="C27" s="17" t="n">
        <v>580.5</v>
      </c>
      <c r="D27" s="11" t="n">
        <v>10980</v>
      </c>
      <c r="E27" s="18" t="n">
        <f aca="false">IF(C27=0,0,D27/C27)</f>
        <v>18.9147286821705</v>
      </c>
      <c r="F27" s="5" t="s">
        <v>184</v>
      </c>
    </row>
    <row r="28" customFormat="false" ht="15" hidden="false" customHeight="true" outlineLevel="0" collapsed="false">
      <c r="B28" s="5" t="s">
        <v>209</v>
      </c>
      <c r="C28" s="17" t="n">
        <v>571.5</v>
      </c>
      <c r="D28" s="11" t="n">
        <v>8620.5</v>
      </c>
      <c r="E28" s="18" t="n">
        <f aca="false">IF(C28=0,0,D28/C28)</f>
        <v>15.0839895013123</v>
      </c>
      <c r="F28" s="5" t="s">
        <v>186</v>
      </c>
    </row>
    <row r="29" customFormat="false" ht="15" hidden="false" customHeight="true" outlineLevel="0" collapsed="false">
      <c r="B29" s="5" t="s">
        <v>210</v>
      </c>
      <c r="C29" s="17" t="n">
        <v>506.75</v>
      </c>
      <c r="D29" s="11" t="n">
        <v>10135</v>
      </c>
      <c r="E29" s="18" t="n">
        <f aca="false">IF(C29=0,0,D29/C29)</f>
        <v>20</v>
      </c>
      <c r="F29" s="5" t="s">
        <v>184</v>
      </c>
    </row>
    <row r="30" customFormat="false" ht="15" hidden="false" customHeight="true" outlineLevel="0" collapsed="false">
      <c r="B30" s="5" t="s">
        <v>211</v>
      </c>
      <c r="C30" s="17" t="n">
        <v>495</v>
      </c>
      <c r="D30" s="11" t="n">
        <v>13860</v>
      </c>
      <c r="E30" s="18" t="n">
        <f aca="false">IF(C30=0,0,D30/C30)</f>
        <v>28</v>
      </c>
      <c r="F30" s="5" t="s">
        <v>184</v>
      </c>
    </row>
    <row r="31" customFormat="false" ht="15" hidden="false" customHeight="true" outlineLevel="0" collapsed="false">
      <c r="B31" s="5" t="s">
        <v>212</v>
      </c>
      <c r="C31" s="17" t="n">
        <v>493.5</v>
      </c>
      <c r="D31" s="11" t="n">
        <v>19039</v>
      </c>
      <c r="E31" s="18" t="n">
        <f aca="false">IF(C31=0,0,D31/C31)</f>
        <v>38.5795339412361</v>
      </c>
      <c r="F31" s="5" t="s">
        <v>189</v>
      </c>
    </row>
    <row r="32" customFormat="false" ht="15" hidden="false" customHeight="true" outlineLevel="0" collapsed="false">
      <c r="B32" s="5" t="s">
        <v>213</v>
      </c>
      <c r="C32" s="17" t="n">
        <v>479.25</v>
      </c>
      <c r="D32" s="11" t="n">
        <v>5990.75</v>
      </c>
      <c r="E32" s="18" t="n">
        <f aca="false">IF(C32=0,0,D32/C32)</f>
        <v>12.5002608242045</v>
      </c>
      <c r="F32" s="5" t="s">
        <v>186</v>
      </c>
    </row>
    <row r="33" customFormat="false" ht="15" hidden="false" customHeight="true" outlineLevel="0" collapsed="false">
      <c r="B33" s="5" t="s">
        <v>214</v>
      </c>
      <c r="C33" s="17" t="n">
        <v>472</v>
      </c>
      <c r="D33" s="11" t="n">
        <v>5664</v>
      </c>
      <c r="E33" s="18" t="n">
        <f aca="false">IF(C33=0,0,D33/C33)</f>
        <v>12</v>
      </c>
      <c r="F33" s="5" t="s">
        <v>186</v>
      </c>
    </row>
    <row r="34" customFormat="false" ht="15" hidden="false" customHeight="true" outlineLevel="0" collapsed="false">
      <c r="B34" s="5" t="s">
        <v>215</v>
      </c>
      <c r="C34" s="17" t="n">
        <v>367</v>
      </c>
      <c r="D34" s="11" t="n">
        <v>4404</v>
      </c>
      <c r="E34" s="18" t="n">
        <f aca="false">IF(C34=0,0,D34/C34)</f>
        <v>12</v>
      </c>
      <c r="F34" s="5" t="s">
        <v>186</v>
      </c>
    </row>
    <row r="35" customFormat="false" ht="15" hidden="false" customHeight="true" outlineLevel="0" collapsed="false">
      <c r="B35" s="5" t="s">
        <v>216</v>
      </c>
      <c r="C35" s="17" t="n">
        <v>363</v>
      </c>
      <c r="D35" s="11" t="n">
        <v>5453</v>
      </c>
      <c r="E35" s="18" t="n">
        <f aca="false">IF(C35=0,0,D35/C35)</f>
        <v>15.0220385674931</v>
      </c>
      <c r="F35" s="5" t="s">
        <v>186</v>
      </c>
    </row>
    <row r="36" customFormat="false" ht="15" hidden="false" customHeight="true" outlineLevel="0" collapsed="false">
      <c r="B36" s="5" t="s">
        <v>217</v>
      </c>
      <c r="C36" s="17" t="n">
        <v>320</v>
      </c>
      <c r="D36" s="11" t="n">
        <v>9280</v>
      </c>
      <c r="E36" s="18" t="n">
        <f aca="false">IF(C36=0,0,D36/C36)</f>
        <v>29</v>
      </c>
      <c r="F36" s="5" t="s">
        <v>184</v>
      </c>
    </row>
    <row r="37" customFormat="false" ht="15" hidden="false" customHeight="true" outlineLevel="0" collapsed="false">
      <c r="B37" s="5" t="s">
        <v>218</v>
      </c>
      <c r="C37" s="17" t="n">
        <v>314.25</v>
      </c>
      <c r="D37" s="11" t="n">
        <v>5028</v>
      </c>
      <c r="E37" s="18" t="n">
        <f aca="false">IF(C37=0,0,D37/C37)</f>
        <v>16</v>
      </c>
      <c r="F37" s="5" t="s">
        <v>186</v>
      </c>
    </row>
    <row r="38" customFormat="false" ht="15" hidden="false" customHeight="true" outlineLevel="0" collapsed="false">
      <c r="B38" s="5" t="s">
        <v>219</v>
      </c>
      <c r="C38" s="17" t="n">
        <v>310</v>
      </c>
      <c r="D38" s="11" t="n">
        <v>4030</v>
      </c>
      <c r="E38" s="18" t="n">
        <f aca="false">IF(C38=0,0,D38/C38)</f>
        <v>13</v>
      </c>
      <c r="F38" s="5" t="s">
        <v>186</v>
      </c>
    </row>
    <row r="39" customFormat="false" ht="15" hidden="false" customHeight="true" outlineLevel="0" collapsed="false">
      <c r="B39" s="5" t="s">
        <v>220</v>
      </c>
      <c r="C39" s="17" t="n">
        <v>281.5</v>
      </c>
      <c r="D39" s="11" t="n">
        <v>8163.5</v>
      </c>
      <c r="E39" s="18" t="n">
        <f aca="false">IF(C39=0,0,D39/C39)</f>
        <v>29</v>
      </c>
      <c r="F39" s="5" t="s">
        <v>184</v>
      </c>
    </row>
    <row r="40" customFormat="false" ht="15" hidden="false" customHeight="true" outlineLevel="0" collapsed="false">
      <c r="B40" s="5" t="s">
        <v>221</v>
      </c>
      <c r="C40" s="17" t="n">
        <v>226</v>
      </c>
      <c r="D40" s="11" t="n">
        <v>3616</v>
      </c>
      <c r="E40" s="18" t="n">
        <f aca="false">IF(C40=0,0,D40/C40)</f>
        <v>16</v>
      </c>
      <c r="F40" s="5" t="s">
        <v>186</v>
      </c>
    </row>
    <row r="41" customFormat="false" ht="15" hidden="false" customHeight="true" outlineLevel="0" collapsed="false">
      <c r="B41" s="5" t="s">
        <v>222</v>
      </c>
      <c r="C41" s="17" t="n">
        <v>208</v>
      </c>
      <c r="D41" s="11" t="n">
        <v>3112</v>
      </c>
      <c r="E41" s="18" t="n">
        <f aca="false">IF(C41=0,0,D41/C41)</f>
        <v>14.9615384615385</v>
      </c>
      <c r="F41" s="5" t="s">
        <v>186</v>
      </c>
    </row>
    <row r="42" customFormat="false" ht="15" hidden="false" customHeight="true" outlineLevel="0" collapsed="false">
      <c r="B42" s="5" t="s">
        <v>223</v>
      </c>
      <c r="C42" s="17" t="n">
        <v>202</v>
      </c>
      <c r="D42" s="11" t="n">
        <v>5077</v>
      </c>
      <c r="E42" s="18" t="n">
        <f aca="false">IF(C42=0,0,D42/C42)</f>
        <v>25.1336633663366</v>
      </c>
      <c r="F42" s="5" t="s">
        <v>184</v>
      </c>
    </row>
    <row r="43" customFormat="false" ht="15" hidden="false" customHeight="true" outlineLevel="0" collapsed="false">
      <c r="B43" s="5" t="s">
        <v>224</v>
      </c>
      <c r="C43" s="17" t="n">
        <v>158.5</v>
      </c>
      <c r="D43" s="11" t="n">
        <v>2219</v>
      </c>
      <c r="E43" s="18" t="n">
        <f aca="false">IF(C43=0,0,D43/C43)</f>
        <v>14</v>
      </c>
      <c r="F43" s="5" t="s">
        <v>186</v>
      </c>
    </row>
    <row r="44" customFormat="false" ht="15" hidden="false" customHeight="true" outlineLevel="0" collapsed="false">
      <c r="B44" s="5" t="s">
        <v>225</v>
      </c>
      <c r="C44" s="17" t="n">
        <v>134</v>
      </c>
      <c r="D44" s="11" t="n">
        <v>1742</v>
      </c>
      <c r="E44" s="18" t="n">
        <f aca="false">IF(C44=0,0,D44/C44)</f>
        <v>13</v>
      </c>
      <c r="F44" s="5" t="s">
        <v>186</v>
      </c>
    </row>
    <row r="45" customFormat="false" ht="15" hidden="false" customHeight="true" outlineLevel="0" collapsed="false">
      <c r="B45" s="5" t="s">
        <v>226</v>
      </c>
      <c r="C45" s="17" t="n">
        <v>133.5</v>
      </c>
      <c r="D45" s="11" t="n">
        <v>1602</v>
      </c>
      <c r="E45" s="18" t="n">
        <f aca="false">IF(C45=0,0,D45/C45)</f>
        <v>12</v>
      </c>
      <c r="F45" s="5" t="s">
        <v>186</v>
      </c>
    </row>
    <row r="46" customFormat="false" ht="15" hidden="false" customHeight="true" outlineLevel="0" collapsed="false">
      <c r="B46" s="5" t="s">
        <v>227</v>
      </c>
      <c r="C46" s="17" t="n">
        <v>88</v>
      </c>
      <c r="D46" s="11" t="n">
        <v>1144</v>
      </c>
      <c r="E46" s="18" t="n">
        <f aca="false">IF(C46=0,0,D46/C46)</f>
        <v>13</v>
      </c>
      <c r="F46" s="5" t="s">
        <v>186</v>
      </c>
    </row>
    <row r="47" customFormat="false" ht="15" hidden="false" customHeight="true" outlineLevel="0" collapsed="false">
      <c r="B47" s="5" t="s">
        <v>228</v>
      </c>
      <c r="C47" s="17" t="n">
        <v>74</v>
      </c>
      <c r="D47" s="11" t="n">
        <v>898</v>
      </c>
      <c r="E47" s="18" t="n">
        <f aca="false">IF(C47=0,0,D47/C47)</f>
        <v>12.1351351351351</v>
      </c>
      <c r="F47" s="5" t="s">
        <v>186</v>
      </c>
    </row>
    <row r="48" customFormat="false" ht="15" hidden="false" customHeight="true" outlineLevel="0" collapsed="false">
      <c r="B48" s="5" t="s">
        <v>229</v>
      </c>
      <c r="C48" s="17" t="n">
        <v>61</v>
      </c>
      <c r="D48" s="11" t="n">
        <v>793</v>
      </c>
      <c r="E48" s="18" t="n">
        <f aca="false">IF(C48=0,0,D48/C48)</f>
        <v>13</v>
      </c>
      <c r="F48" s="5" t="s">
        <v>186</v>
      </c>
    </row>
    <row r="49" customFormat="false" ht="15" hidden="false" customHeight="true" outlineLevel="0" collapsed="false">
      <c r="B49" s="5" t="s">
        <v>230</v>
      </c>
      <c r="C49" s="17" t="n">
        <v>56</v>
      </c>
      <c r="D49" s="11" t="n">
        <v>728</v>
      </c>
      <c r="E49" s="18" t="n">
        <f aca="false">IF(C49=0,0,D49/C49)</f>
        <v>13</v>
      </c>
      <c r="F49" s="5" t="s">
        <v>186</v>
      </c>
    </row>
    <row r="50" customFormat="false" ht="15" hidden="false" customHeight="true" outlineLevel="0" collapsed="false">
      <c r="B50" s="5" t="s">
        <v>231</v>
      </c>
      <c r="C50" s="17" t="n">
        <v>33</v>
      </c>
      <c r="D50" s="11" t="n">
        <v>470</v>
      </c>
      <c r="E50" s="18" t="n">
        <f aca="false">IF(C50=0,0,D50/C50)</f>
        <v>14.2424242424242</v>
      </c>
      <c r="F50" s="5" t="s">
        <v>186</v>
      </c>
    </row>
    <row r="51" customFormat="false" ht="15" hidden="false" customHeight="true" outlineLevel="0" collapsed="false">
      <c r="B51" s="5" t="s">
        <v>232</v>
      </c>
      <c r="C51" s="17" t="n">
        <v>20.5</v>
      </c>
      <c r="D51" s="11" t="n">
        <v>635.5</v>
      </c>
      <c r="E51" s="18" t="n">
        <f aca="false">IF(C51=0,0,D51/C51)</f>
        <v>31</v>
      </c>
      <c r="F51" s="5" t="s">
        <v>189</v>
      </c>
    </row>
    <row r="52" customFormat="false" ht="15" hidden="false" customHeight="true" outlineLevel="0" collapsed="false">
      <c r="B52" s="5" t="s">
        <v>233</v>
      </c>
      <c r="C52" s="17" t="n">
        <v>20</v>
      </c>
      <c r="D52" s="11" t="n">
        <v>900</v>
      </c>
      <c r="E52" s="18" t="n">
        <f aca="false">IF(C52=0,0,D52/C52)</f>
        <v>45</v>
      </c>
      <c r="F52" s="5" t="s">
        <v>189</v>
      </c>
    </row>
    <row r="53" customFormat="false" ht="15" hidden="false" customHeight="true" outlineLevel="0" collapsed="false">
      <c r="B53" s="6" t="s">
        <v>234</v>
      </c>
      <c r="C53" s="19" t="n">
        <f aca="false">SUM(C5:C52)</f>
        <v>23566</v>
      </c>
      <c r="D53" s="13" t="n">
        <f aca="false">SUM(D5:D52)</f>
        <v>448788.25</v>
      </c>
      <c r="E53" s="20" t="n">
        <f aca="false">IF(C53=0,0,D53/C53)</f>
        <v>19.0438873801239</v>
      </c>
    </row>
    <row r="56" customFormat="false" ht="15" hidden="false" customHeight="true" outlineLevel="0" collapsed="false">
      <c r="B56" s="4" t="s">
        <v>63</v>
      </c>
      <c r="C56" s="4"/>
      <c r="D56" s="4"/>
      <c r="E56" s="4"/>
      <c r="F56" s="4"/>
    </row>
    <row r="57" customFormat="false" ht="15" hidden="false" customHeight="true" outlineLevel="0" collapsed="false">
      <c r="B57" s="3" t="s">
        <v>64</v>
      </c>
      <c r="C57" s="3"/>
      <c r="D57" s="3"/>
      <c r="E57" s="3"/>
      <c r="F57" s="3"/>
    </row>
    <row r="58" customFormat="false" ht="15" hidden="false" customHeight="true" outlineLevel="0" collapsed="false">
      <c r="B58" s="3" t="s">
        <v>65</v>
      </c>
      <c r="C58" s="3"/>
      <c r="D58" s="3"/>
      <c r="E58" s="3"/>
      <c r="F58" s="3"/>
    </row>
    <row r="59" customFormat="false" ht="15" hidden="false" customHeight="true" outlineLevel="0" collapsed="false">
      <c r="B59" s="3" t="s">
        <v>66</v>
      </c>
      <c r="C59" s="3"/>
      <c r="D59" s="3"/>
      <c r="E59" s="3"/>
      <c r="F59" s="3"/>
    </row>
    <row r="60" customFormat="false" ht="15" hidden="false" customHeight="true" outlineLevel="0" collapsed="false">
      <c r="B60" s="3" t="s">
        <v>67</v>
      </c>
      <c r="C60" s="3"/>
      <c r="D60" s="3"/>
      <c r="E60" s="3"/>
      <c r="F60" s="3"/>
    </row>
    <row r="61" customFormat="false" ht="15" hidden="false" customHeight="true" outlineLevel="0" collapsed="false">
      <c r="B61" s="3" t="s">
        <v>68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69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70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235</v>
      </c>
      <c r="C64" s="3"/>
      <c r="D64" s="3"/>
      <c r="E64" s="3"/>
      <c r="F64" s="3"/>
    </row>
  </sheetData>
  <mergeCells count="10">
    <mergeCell ref="B2:F2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236</v>
      </c>
      <c r="C2" s="2"/>
      <c r="D2" s="2"/>
      <c r="E2" s="2"/>
      <c r="F2" s="2"/>
    </row>
    <row r="4" customFormat="false" ht="15" hidden="false" customHeight="true" outlineLevel="0" collapsed="false">
      <c r="B4" s="4" t="s">
        <v>237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182</v>
      </c>
      <c r="C5" s="10" t="s">
        <v>238</v>
      </c>
      <c r="D5" s="10" t="s">
        <v>179</v>
      </c>
      <c r="E5" s="10" t="s">
        <v>180</v>
      </c>
      <c r="F5" s="10" t="s">
        <v>239</v>
      </c>
    </row>
    <row r="6" customFormat="false" ht="15" hidden="false" customHeight="true" outlineLevel="0" collapsed="false">
      <c r="B6" s="5" t="s">
        <v>189</v>
      </c>
      <c r="C6" s="15" t="n">
        <v>5</v>
      </c>
      <c r="D6" s="17" t="n">
        <v>2111</v>
      </c>
      <c r="E6" s="11" t="n">
        <v>70585</v>
      </c>
      <c r="F6" s="12" t="n">
        <f aca="false">IF(23566=0,0,D6/23566)</f>
        <v>0.0895782058898413</v>
      </c>
    </row>
    <row r="7" customFormat="false" ht="15" hidden="false" customHeight="true" outlineLevel="0" collapsed="false">
      <c r="B7" s="5" t="s">
        <v>184</v>
      </c>
      <c r="C7" s="15" t="n">
        <v>10</v>
      </c>
      <c r="D7" s="17" t="n">
        <v>5985.75</v>
      </c>
      <c r="E7" s="11" t="n">
        <v>155419</v>
      </c>
      <c r="F7" s="12" t="n">
        <f aca="false">IF(23566=0,0,D7/23566)</f>
        <v>0.253999405923789</v>
      </c>
    </row>
    <row r="8" customFormat="false" ht="15" hidden="false" customHeight="true" outlineLevel="0" collapsed="false">
      <c r="B8" s="5" t="s">
        <v>186</v>
      </c>
      <c r="C8" s="15" t="n">
        <v>33</v>
      </c>
      <c r="D8" s="17" t="n">
        <v>15469.25</v>
      </c>
      <c r="E8" s="11" t="n">
        <v>222784.25</v>
      </c>
      <c r="F8" s="12" t="n">
        <f aca="false">IF(23566=0,0,D8/23566)</f>
        <v>0.65642238818637</v>
      </c>
    </row>
    <row r="11" customFormat="false" ht="15" hidden="false" customHeight="true" outlineLevel="0" collapsed="false">
      <c r="B11" s="4" t="s">
        <v>240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241</v>
      </c>
      <c r="C12" s="21" t="n">
        <v>19.0438873801239</v>
      </c>
      <c r="F12" s="22" t="s">
        <v>242</v>
      </c>
    </row>
    <row r="13" customFormat="false" ht="15" hidden="false" customHeight="true" outlineLevel="0" collapsed="false">
      <c r="B13" s="5" t="s">
        <v>243</v>
      </c>
      <c r="C13" s="21" t="n">
        <v>28.4486017992022</v>
      </c>
      <c r="F13" s="22" t="s">
        <v>244</v>
      </c>
    </row>
    <row r="14" customFormat="false" ht="15" hidden="false" customHeight="true" outlineLevel="0" collapsed="false">
      <c r="B14" s="5" t="s">
        <v>245</v>
      </c>
      <c r="C14" s="21" t="n">
        <v>1.49384425728615</v>
      </c>
      <c r="F14" s="22" t="s">
        <v>246</v>
      </c>
    </row>
    <row r="15" customFormat="false" ht="15" hidden="false" customHeight="true" outlineLevel="0" collapsed="false">
      <c r="B15" s="5" t="s">
        <v>247</v>
      </c>
      <c r="C15" s="21" t="n">
        <v>12</v>
      </c>
      <c r="F15" s="22" t="s">
        <v>248</v>
      </c>
    </row>
    <row r="16" customFormat="false" ht="15" hidden="false" customHeight="true" outlineLevel="0" collapsed="false">
      <c r="B16" s="5" t="s">
        <v>249</v>
      </c>
      <c r="C16" s="21" t="n">
        <v>45</v>
      </c>
      <c r="F16" s="22" t="s">
        <v>250</v>
      </c>
    </row>
    <row r="17" customFormat="false" ht="15" hidden="false" customHeight="true" outlineLevel="0" collapsed="false">
      <c r="B17" s="5" t="s">
        <v>251</v>
      </c>
      <c r="C17" s="21" t="n">
        <v>490.958333333333</v>
      </c>
      <c r="F17" s="22" t="s">
        <v>252</v>
      </c>
    </row>
    <row r="20" customFormat="false" ht="15" hidden="false" customHeight="true" outlineLevel="0" collapsed="false">
      <c r="B20" s="4" t="s">
        <v>63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64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65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66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67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68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69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70</v>
      </c>
      <c r="C27" s="3"/>
      <c r="D27" s="3"/>
      <c r="E27" s="3"/>
      <c r="F27" s="3"/>
    </row>
  </sheetData>
  <mergeCells count="11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253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254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255</v>
      </c>
      <c r="C5" s="10" t="s">
        <v>256</v>
      </c>
      <c r="D5" s="10" t="s">
        <v>179</v>
      </c>
      <c r="E5" s="10" t="s">
        <v>257</v>
      </c>
      <c r="F5" s="10" t="s">
        <v>258</v>
      </c>
    </row>
    <row r="6" customFormat="false" ht="15" hidden="false" customHeight="true" outlineLevel="0" collapsed="false">
      <c r="B6" s="5" t="s">
        <v>259</v>
      </c>
      <c r="C6" s="5" t="s">
        <v>78</v>
      </c>
      <c r="D6" s="17" t="n">
        <v>258</v>
      </c>
      <c r="E6" s="12" t="n">
        <f aca="false">IF(23300.5=0,0,D6/23300.5)</f>
        <v>0.0110727237612927</v>
      </c>
      <c r="F6" s="23" t="n">
        <f aca="false">IF(212=0,0,D6/212)</f>
        <v>1.21698113207547</v>
      </c>
    </row>
    <row r="7" customFormat="false" ht="15" hidden="false" customHeight="true" outlineLevel="0" collapsed="false">
      <c r="B7" s="5" t="s">
        <v>81</v>
      </c>
      <c r="C7" s="5" t="s">
        <v>80</v>
      </c>
      <c r="D7" s="17" t="n">
        <v>203</v>
      </c>
      <c r="E7" s="12" t="n">
        <f aca="false">IF(23300.5=0,0,D7/23300.5)</f>
        <v>0.00871225939357525</v>
      </c>
      <c r="F7" s="23" t="n">
        <f aca="false">IF(212=0,0,D7/212)</f>
        <v>0.957547169811321</v>
      </c>
    </row>
    <row r="8" customFormat="false" ht="15" hidden="false" customHeight="true" outlineLevel="0" collapsed="false">
      <c r="B8" s="5" t="s">
        <v>260</v>
      </c>
      <c r="C8" s="5" t="s">
        <v>82</v>
      </c>
      <c r="D8" s="17" t="n">
        <v>250.5</v>
      </c>
      <c r="E8" s="12" t="n">
        <f aca="false">IF(23300.5=0,0,D8/23300.5)</f>
        <v>0.0107508422566039</v>
      </c>
      <c r="F8" s="23" t="n">
        <f aca="false">IF(212=0,0,D8/212)</f>
        <v>1.18160377358491</v>
      </c>
    </row>
    <row r="9" customFormat="false" ht="15" hidden="false" customHeight="true" outlineLevel="0" collapsed="false">
      <c r="B9" s="5" t="s">
        <v>261</v>
      </c>
      <c r="C9" s="5" t="s">
        <v>84</v>
      </c>
      <c r="D9" s="17" t="n">
        <v>340.5</v>
      </c>
      <c r="E9" s="12" t="n">
        <f aca="false">IF(23300.5=0,0,D9/23300.5)</f>
        <v>0.0146134203128688</v>
      </c>
      <c r="F9" s="23" t="n">
        <f aca="false">IF(212=0,0,D9/212)</f>
        <v>1.6061320754717</v>
      </c>
    </row>
    <row r="10" customFormat="false" ht="15" hidden="false" customHeight="true" outlineLevel="0" collapsed="false">
      <c r="B10" s="5" t="s">
        <v>262</v>
      </c>
      <c r="C10" s="5" t="s">
        <v>86</v>
      </c>
      <c r="D10" s="17" t="n">
        <v>1616</v>
      </c>
      <c r="E10" s="12" t="n">
        <f aca="false">IF(23300.5=0,0,D10/23300.5)</f>
        <v>0.069354734876934</v>
      </c>
      <c r="F10" s="23" t="n">
        <f aca="false">IF(212=0,0,D10/212)</f>
        <v>7.62264150943396</v>
      </c>
    </row>
    <row r="11" customFormat="false" ht="15" hidden="false" customHeight="true" outlineLevel="0" collapsed="false">
      <c r="B11" s="5" t="s">
        <v>263</v>
      </c>
      <c r="C11" s="5" t="s">
        <v>88</v>
      </c>
      <c r="D11" s="17" t="n">
        <v>238</v>
      </c>
      <c r="E11" s="12" t="n">
        <f aca="false">IF(23300.5=0,0,D11/23300.5)</f>
        <v>0.0102143730821227</v>
      </c>
      <c r="F11" s="23" t="n">
        <f aca="false">IF(212=0,0,D11/212)</f>
        <v>1.12264150943396</v>
      </c>
    </row>
    <row r="12" customFormat="false" ht="15" hidden="false" customHeight="true" outlineLevel="0" collapsed="false">
      <c r="B12" s="5" t="s">
        <v>264</v>
      </c>
      <c r="C12" s="5" t="s">
        <v>90</v>
      </c>
      <c r="D12" s="17" t="n">
        <v>49</v>
      </c>
      <c r="E12" s="12" t="n">
        <f aca="false">IF(23300.5=0,0,D12/23300.5)</f>
        <v>0.00210295916396644</v>
      </c>
      <c r="F12" s="23" t="n">
        <f aca="false">IF(212=0,0,D12/212)</f>
        <v>0.231132075471698</v>
      </c>
    </row>
    <row r="13" customFormat="false" ht="15" hidden="false" customHeight="true" outlineLevel="0" collapsed="false">
      <c r="B13" s="5" t="s">
        <v>265</v>
      </c>
      <c r="C13" s="5" t="s">
        <v>92</v>
      </c>
      <c r="D13" s="17" t="n">
        <v>14241</v>
      </c>
      <c r="E13" s="12" t="n">
        <f aca="false">IF(23300.5=0,0,D13/23300.5)</f>
        <v>0.611188601102981</v>
      </c>
      <c r="F13" s="23" t="n">
        <f aca="false">IF(212=0,0,D13/212)</f>
        <v>67.1745283018868</v>
      </c>
    </row>
    <row r="14" customFormat="false" ht="15" hidden="false" customHeight="true" outlineLevel="0" collapsed="false">
      <c r="B14" s="5" t="s">
        <v>266</v>
      </c>
      <c r="C14" s="5" t="s">
        <v>94</v>
      </c>
      <c r="D14" s="17" t="n">
        <v>2845</v>
      </c>
      <c r="E14" s="12" t="n">
        <f aca="false">IF(23300.5=0,0,D14/23300.5)</f>
        <v>0.122100384111929</v>
      </c>
      <c r="F14" s="23" t="n">
        <f aca="false">IF(212=0,0,D14/212)</f>
        <v>13.4198113207547</v>
      </c>
    </row>
    <row r="15" customFormat="false" ht="15" hidden="false" customHeight="true" outlineLevel="0" collapsed="false">
      <c r="B15" s="5" t="s">
        <v>267</v>
      </c>
      <c r="C15" s="5" t="s">
        <v>96</v>
      </c>
      <c r="D15" s="17" t="n">
        <v>429.5</v>
      </c>
      <c r="E15" s="12" t="n">
        <f aca="false">IF(23300.5=0,0,D15/23300.5)</f>
        <v>0.0184330808351752</v>
      </c>
      <c r="F15" s="23" t="n">
        <f aca="false">IF(212=0,0,D15/212)</f>
        <v>2.02594339622642</v>
      </c>
    </row>
    <row r="16" customFormat="false" ht="15" hidden="false" customHeight="true" outlineLevel="0" collapsed="false">
      <c r="B16" s="5" t="s">
        <v>268</v>
      </c>
      <c r="C16" s="5" t="s">
        <v>98</v>
      </c>
      <c r="D16" s="17" t="n">
        <v>1935.5</v>
      </c>
      <c r="E16" s="12" t="n">
        <f aca="false">IF(23300.5=0,0,D16/23300.5)</f>
        <v>0.0830668869766743</v>
      </c>
      <c r="F16" s="23" t="n">
        <f aca="false">IF(212=0,0,D16/212)</f>
        <v>9.12971698113208</v>
      </c>
    </row>
    <row r="17" customFormat="false" ht="15" hidden="false" customHeight="true" outlineLevel="0" collapsed="false">
      <c r="B17" s="5" t="s">
        <v>269</v>
      </c>
      <c r="C17" s="5" t="s">
        <v>100</v>
      </c>
      <c r="D17" s="17" t="n">
        <v>856</v>
      </c>
      <c r="E17" s="12" t="n">
        <f aca="false">IF(23300.5=0,0,D17/23300.5)</f>
        <v>0.0367374090684749</v>
      </c>
      <c r="F17" s="23" t="n">
        <f aca="false">IF(212=0,0,D17/212)</f>
        <v>4.0377358490566</v>
      </c>
    </row>
    <row r="18" customFormat="false" ht="15" hidden="false" customHeight="true" outlineLevel="0" collapsed="false">
      <c r="B18" s="5" t="s">
        <v>270</v>
      </c>
      <c r="C18" s="5" t="s">
        <v>102</v>
      </c>
      <c r="D18" s="17" t="n">
        <v>38.5</v>
      </c>
      <c r="E18" s="12" t="n">
        <f aca="false">IF(23300.5=0,0,D18/23300.5)</f>
        <v>0.0016523250574022</v>
      </c>
      <c r="F18" s="23" t="n">
        <f aca="false">IF(212=0,0,D18/212)</f>
        <v>0.181603773584906</v>
      </c>
    </row>
    <row r="19" customFormat="false" ht="15" hidden="false" customHeight="true" outlineLevel="0" collapsed="false">
      <c r="B19" s="6" t="s">
        <v>38</v>
      </c>
      <c r="D19" s="19" t="n">
        <f aca="false">SUM(D6:D18)</f>
        <v>23300.5</v>
      </c>
      <c r="E19" s="14" t="n">
        <v>1</v>
      </c>
      <c r="F19" s="21" t="n">
        <f aca="false">IF(212=0,0,D19/212)</f>
        <v>109.908018867925</v>
      </c>
    </row>
    <row r="22" customFormat="false" ht="15" hidden="false" customHeight="true" outlineLevel="0" collapsed="false">
      <c r="B22" s="4" t="s">
        <v>271</v>
      </c>
      <c r="C22" s="4"/>
      <c r="D22" s="4"/>
      <c r="E22" s="4"/>
      <c r="F22" s="4"/>
      <c r="G22" s="4"/>
    </row>
    <row r="23" customFormat="false" ht="15" hidden="false" customHeight="true" outlineLevel="0" collapsed="false">
      <c r="B23" s="10" t="s">
        <v>40</v>
      </c>
      <c r="C23" s="10" t="s">
        <v>41</v>
      </c>
      <c r="D23" s="10" t="s">
        <v>272</v>
      </c>
      <c r="E23" s="10"/>
      <c r="F23" s="10" t="s">
        <v>273</v>
      </c>
    </row>
    <row r="24" customFormat="false" ht="15" hidden="false" customHeight="true" outlineLevel="0" collapsed="false">
      <c r="B24" s="5" t="s">
        <v>258</v>
      </c>
      <c r="C24" s="24" t="n">
        <v>109.908018867925</v>
      </c>
      <c r="D24" s="5" t="s">
        <v>274</v>
      </c>
      <c r="F24" s="22" t="s">
        <v>275</v>
      </c>
    </row>
    <row r="25" customFormat="false" ht="15" hidden="false" customHeight="true" outlineLevel="0" collapsed="false">
      <c r="B25" s="5" t="s">
        <v>276</v>
      </c>
      <c r="C25" s="24" t="n">
        <v>20.3675699300699</v>
      </c>
      <c r="D25" s="5" t="s">
        <v>274</v>
      </c>
      <c r="F25" s="22" t="s">
        <v>277</v>
      </c>
    </row>
    <row r="26" customFormat="false" ht="15" hidden="false" customHeight="true" outlineLevel="0" collapsed="false">
      <c r="B26" s="5" t="s">
        <v>278</v>
      </c>
      <c r="C26" s="24" t="n">
        <v>98.9274049913092</v>
      </c>
      <c r="D26" s="5" t="s">
        <v>279</v>
      </c>
      <c r="F26" s="22" t="s">
        <v>280</v>
      </c>
    </row>
    <row r="27" customFormat="false" ht="15" hidden="false" customHeight="true" outlineLevel="0" collapsed="false">
      <c r="B27" s="5" t="s">
        <v>281</v>
      </c>
      <c r="C27" s="24" t="n">
        <v>46.0414240037767</v>
      </c>
      <c r="D27" s="5" t="s">
        <v>279</v>
      </c>
      <c r="F27" s="22" t="s">
        <v>282</v>
      </c>
    </row>
    <row r="28" customFormat="false" ht="15" hidden="false" customHeight="true" outlineLevel="0" collapsed="false">
      <c r="B28" s="5" t="s">
        <v>283</v>
      </c>
      <c r="C28" s="24" t="n">
        <v>14.1333333333333</v>
      </c>
      <c r="D28" s="5" t="s">
        <v>284</v>
      </c>
      <c r="F28" s="22" t="s">
        <v>285</v>
      </c>
    </row>
    <row r="29" customFormat="false" ht="15" hidden="false" customHeight="true" outlineLevel="0" collapsed="false">
      <c r="B29" s="5" t="s">
        <v>286</v>
      </c>
      <c r="C29" s="24" t="n">
        <v>76.2666666666667</v>
      </c>
      <c r="D29" s="5" t="s">
        <v>287</v>
      </c>
      <c r="F29" s="22" t="s">
        <v>288</v>
      </c>
    </row>
    <row r="30" customFormat="false" ht="15" hidden="false" customHeight="true" outlineLevel="0" collapsed="false">
      <c r="B30" s="5" t="s">
        <v>289</v>
      </c>
      <c r="C30" s="24" t="n">
        <v>1553.36666666667</v>
      </c>
      <c r="D30" s="5" t="s">
        <v>274</v>
      </c>
      <c r="F30" s="22" t="s">
        <v>290</v>
      </c>
    </row>
    <row r="31" customFormat="false" ht="15" hidden="false" customHeight="true" outlineLevel="0" collapsed="false">
      <c r="B31" s="5" t="s">
        <v>291</v>
      </c>
      <c r="C31" s="24" t="n">
        <v>153670.533333333</v>
      </c>
      <c r="D31" s="5" t="s">
        <v>279</v>
      </c>
      <c r="F31" s="22" t="s">
        <v>292</v>
      </c>
    </row>
    <row r="34" customFormat="false" ht="15" hidden="false" customHeight="true" outlineLevel="0" collapsed="false">
      <c r="B34" s="4" t="s">
        <v>63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69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70</v>
      </c>
      <c r="C41" s="3"/>
      <c r="D41" s="3"/>
      <c r="E41" s="3"/>
      <c r="F41" s="3"/>
      <c r="G41" s="3"/>
    </row>
  </sheetData>
  <mergeCells count="11">
    <mergeCell ref="B2:G2"/>
    <mergeCell ref="B4:G4"/>
    <mergeCell ref="B22:G22"/>
    <mergeCell ref="B34:G34"/>
    <mergeCell ref="B35:G35"/>
    <mergeCell ref="B36:G36"/>
    <mergeCell ref="B37:G37"/>
    <mergeCell ref="B38:G38"/>
    <mergeCell ref="B39:G39"/>
    <mergeCell ref="B40:G40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293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294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295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296</v>
      </c>
      <c r="C6" s="10" t="s">
        <v>297</v>
      </c>
      <c r="D6" s="10" t="s">
        <v>298</v>
      </c>
      <c r="E6" s="10" t="s">
        <v>299</v>
      </c>
      <c r="F6" s="10" t="s">
        <v>300</v>
      </c>
    </row>
    <row r="7" customFormat="false" ht="15" hidden="false" customHeight="true" outlineLevel="0" collapsed="false">
      <c r="B7" s="5" t="s">
        <v>301</v>
      </c>
      <c r="C7" s="5" t="s">
        <v>302</v>
      </c>
      <c r="D7" s="15" t="n">
        <v>15</v>
      </c>
      <c r="E7" s="12" t="n">
        <f aca="false">IF(147=0,0,D7/147)</f>
        <v>0.102040816326531</v>
      </c>
    </row>
    <row r="8" customFormat="false" ht="15" hidden="false" customHeight="true" outlineLevel="0" collapsed="false">
      <c r="B8" s="5" t="s">
        <v>303</v>
      </c>
      <c r="C8" s="5" t="s">
        <v>304</v>
      </c>
      <c r="D8" s="15" t="n">
        <v>30</v>
      </c>
      <c r="E8" s="12" t="n">
        <f aca="false">IF(147=0,0,D8/147)</f>
        <v>0.204081632653061</v>
      </c>
    </row>
    <row r="9" customFormat="false" ht="15" hidden="false" customHeight="true" outlineLevel="0" collapsed="false">
      <c r="B9" s="5" t="s">
        <v>305</v>
      </c>
      <c r="C9" s="5" t="s">
        <v>306</v>
      </c>
      <c r="D9" s="15" t="n">
        <v>21</v>
      </c>
      <c r="E9" s="12" t="n">
        <f aca="false">IF(147=0,0,D9/147)</f>
        <v>0.142857142857143</v>
      </c>
    </row>
    <row r="10" customFormat="false" ht="15" hidden="false" customHeight="true" outlineLevel="0" collapsed="false">
      <c r="B10" s="5" t="s">
        <v>307</v>
      </c>
      <c r="C10" s="5" t="s">
        <v>308</v>
      </c>
      <c r="D10" s="15" t="n">
        <v>1</v>
      </c>
      <c r="E10" s="12" t="n">
        <f aca="false">IF(147=0,0,D10/147)</f>
        <v>0.00680272108843537</v>
      </c>
    </row>
    <row r="11" customFormat="false" ht="15" hidden="false" customHeight="true" outlineLevel="0" collapsed="false">
      <c r="B11" s="5" t="s">
        <v>309</v>
      </c>
      <c r="C11" s="5" t="s">
        <v>310</v>
      </c>
      <c r="D11" s="15" t="n">
        <v>11</v>
      </c>
      <c r="E11" s="12" t="n">
        <f aca="false">IF(147=0,0,D11/147)</f>
        <v>0.0748299319727891</v>
      </c>
    </row>
    <row r="12" customFormat="false" ht="15" hidden="false" customHeight="true" outlineLevel="0" collapsed="false">
      <c r="B12" s="5" t="s">
        <v>311</v>
      </c>
      <c r="C12" s="5" t="s">
        <v>312</v>
      </c>
      <c r="D12" s="15" t="n">
        <v>69</v>
      </c>
      <c r="E12" s="12" t="n">
        <f aca="false">IF(147=0,0,D12/147)</f>
        <v>0.469387755102041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147</v>
      </c>
      <c r="E13" s="14" t="n">
        <v>1</v>
      </c>
      <c r="F13" s="13" t="n">
        <v>556906.77</v>
      </c>
    </row>
    <row r="16" customFormat="false" ht="15" hidden="false" customHeight="true" outlineLevel="0" collapsed="false">
      <c r="B16" s="4" t="s">
        <v>313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152</v>
      </c>
      <c r="C17" s="10" t="s">
        <v>298</v>
      </c>
      <c r="D17" s="10" t="s">
        <v>299</v>
      </c>
    </row>
    <row r="18" customFormat="false" ht="15" hidden="false" customHeight="true" outlineLevel="0" collapsed="false">
      <c r="B18" s="5" t="s">
        <v>314</v>
      </c>
      <c r="C18" s="15" t="n">
        <v>49</v>
      </c>
      <c r="D18" s="12" t="n">
        <f aca="false">IF(147=0,0,C18/147)</f>
        <v>0.333333333333333</v>
      </c>
    </row>
    <row r="19" customFormat="false" ht="15" hidden="false" customHeight="true" outlineLevel="0" collapsed="false">
      <c r="B19" s="5" t="s">
        <v>315</v>
      </c>
      <c r="C19" s="15" t="n">
        <v>38</v>
      </c>
      <c r="D19" s="12" t="n">
        <f aca="false">IF(147=0,0,C19/147)</f>
        <v>0.258503401360544</v>
      </c>
    </row>
    <row r="20" customFormat="false" ht="15" hidden="false" customHeight="true" outlineLevel="0" collapsed="false">
      <c r="B20" s="5" t="s">
        <v>311</v>
      </c>
      <c r="C20" s="15" t="n">
        <v>23</v>
      </c>
      <c r="D20" s="12" t="n">
        <f aca="false">IF(147=0,0,C20/147)</f>
        <v>0.156462585034014</v>
      </c>
    </row>
    <row r="21" customFormat="false" ht="15" hidden="false" customHeight="true" outlineLevel="0" collapsed="false">
      <c r="B21" s="5" t="s">
        <v>316</v>
      </c>
      <c r="C21" s="15" t="n">
        <v>19</v>
      </c>
      <c r="D21" s="12" t="n">
        <f aca="false">IF(147=0,0,C21/147)</f>
        <v>0.129251700680272</v>
      </c>
    </row>
    <row r="22" customFormat="false" ht="15" hidden="false" customHeight="true" outlineLevel="0" collapsed="false">
      <c r="B22" s="5" t="s">
        <v>317</v>
      </c>
      <c r="C22" s="15" t="n">
        <v>13</v>
      </c>
      <c r="D22" s="12" t="n">
        <f aca="false">IF(147=0,0,C22/147)</f>
        <v>0.0884353741496599</v>
      </c>
    </row>
    <row r="23" customFormat="false" ht="15" hidden="false" customHeight="true" outlineLevel="0" collapsed="false">
      <c r="B23" s="5" t="s">
        <v>318</v>
      </c>
      <c r="C23" s="15" t="n">
        <v>2</v>
      </c>
      <c r="D23" s="12" t="n">
        <f aca="false">IF(147=0,0,C23/147)</f>
        <v>0.0136054421768707</v>
      </c>
    </row>
    <row r="24" customFormat="false" ht="15" hidden="false" customHeight="true" outlineLevel="0" collapsed="false">
      <c r="B24" s="5" t="s">
        <v>319</v>
      </c>
      <c r="C24" s="15" t="n">
        <v>2</v>
      </c>
      <c r="D24" s="12" t="n">
        <f aca="false">IF(147=0,0,C24/147)</f>
        <v>0.0136054421768707</v>
      </c>
    </row>
    <row r="25" customFormat="false" ht="15" hidden="false" customHeight="true" outlineLevel="0" collapsed="false">
      <c r="B25" s="5" t="s">
        <v>320</v>
      </c>
      <c r="C25" s="15" t="n">
        <v>1</v>
      </c>
      <c r="D25" s="12" t="n">
        <f aca="false">IF(147=0,0,C25/147)</f>
        <v>0.00680272108843537</v>
      </c>
    </row>
    <row r="28" customFormat="false" ht="15" hidden="false" customHeight="true" outlineLevel="0" collapsed="false">
      <c r="B28" s="4" t="s">
        <v>321</v>
      </c>
      <c r="C28" s="4"/>
      <c r="D28" s="4"/>
      <c r="E28" s="4"/>
      <c r="F28" s="4"/>
      <c r="G28" s="4"/>
    </row>
    <row r="29" customFormat="false" ht="15" hidden="false" customHeight="true" outlineLevel="0" collapsed="false">
      <c r="B29" s="5" t="s">
        <v>322</v>
      </c>
      <c r="E29" s="11" t="n">
        <v>556906.77</v>
      </c>
    </row>
    <row r="30" customFormat="false" ht="15" hidden="false" customHeight="true" outlineLevel="0" collapsed="false">
      <c r="B30" s="5" t="s">
        <v>323</v>
      </c>
      <c r="E30" s="15" t="n">
        <v>147</v>
      </c>
    </row>
    <row r="31" customFormat="false" ht="15" hidden="false" customHeight="true" outlineLevel="0" collapsed="false">
      <c r="B31" s="22" t="s">
        <v>324</v>
      </c>
    </row>
    <row r="34" customFormat="false" ht="15" hidden="false" customHeight="true" outlineLevel="0" collapsed="false">
      <c r="B34" s="4" t="s">
        <v>63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64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65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66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67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68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69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70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325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326</v>
      </c>
      <c r="C43" s="3"/>
      <c r="D43" s="3"/>
      <c r="E43" s="3"/>
      <c r="F43" s="3"/>
      <c r="G43" s="3"/>
    </row>
  </sheetData>
  <mergeCells count="15">
    <mergeCell ref="B2:G2"/>
    <mergeCell ref="B3:G3"/>
    <mergeCell ref="B5:G5"/>
    <mergeCell ref="B16:G16"/>
    <mergeCell ref="B28:G28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327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328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329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330</v>
      </c>
      <c r="G6" s="11" t="n">
        <v>2282726</v>
      </c>
    </row>
    <row r="7" customFormat="false" ht="15" hidden="false" customHeight="true" outlineLevel="0" collapsed="false">
      <c r="B7" s="5" t="s">
        <v>331</v>
      </c>
      <c r="G7" s="11" t="n">
        <v>22332</v>
      </c>
    </row>
    <row r="8" customFormat="false" ht="15" hidden="false" customHeight="true" outlineLevel="0" collapsed="false">
      <c r="B8" s="5" t="s">
        <v>332</v>
      </c>
      <c r="G8" s="11" t="n">
        <v>2305058</v>
      </c>
    </row>
    <row r="9" customFormat="false" ht="15" hidden="false" customHeight="true" outlineLevel="0" collapsed="false">
      <c r="B9" s="5" t="s">
        <v>333</v>
      </c>
      <c r="G9" s="11" t="n">
        <v>115253</v>
      </c>
    </row>
    <row r="10" customFormat="false" ht="15" hidden="false" customHeight="true" outlineLevel="0" collapsed="false">
      <c r="B10" s="5" t="s">
        <v>334</v>
      </c>
      <c r="G10" s="11" t="n">
        <v>2189805</v>
      </c>
    </row>
    <row r="12" customFormat="false" ht="15" hidden="false" customHeight="true" outlineLevel="0" collapsed="false">
      <c r="B12" s="4" t="s">
        <v>335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336</v>
      </c>
      <c r="C13" s="10" t="s">
        <v>337</v>
      </c>
      <c r="D13" s="10" t="s">
        <v>338</v>
      </c>
      <c r="E13" s="10" t="s">
        <v>339</v>
      </c>
      <c r="F13" s="10" t="s">
        <v>340</v>
      </c>
      <c r="G13" s="10" t="s">
        <v>341</v>
      </c>
      <c r="H13" s="10" t="s">
        <v>342</v>
      </c>
    </row>
    <row r="14" customFormat="false" ht="15" hidden="false" customHeight="true" outlineLevel="0" collapsed="false">
      <c r="B14" s="5" t="n">
        <v>1</v>
      </c>
      <c r="C14" s="5" t="s">
        <v>343</v>
      </c>
      <c r="D14" s="11" t="n">
        <v>64000</v>
      </c>
      <c r="E14" s="11" t="n">
        <v>3200</v>
      </c>
      <c r="F14" s="11" t="n">
        <f aca="false">D14-E14</f>
        <v>60800</v>
      </c>
      <c r="G14" s="11" t="n">
        <v>66880</v>
      </c>
      <c r="H14" s="12" t="n">
        <f aca="false">IF(2305058=0,0,G14/2305058)</f>
        <v>0.0290144543000653</v>
      </c>
    </row>
    <row r="15" customFormat="false" ht="15" hidden="false" customHeight="true" outlineLevel="0" collapsed="false">
      <c r="B15" s="5" t="n">
        <v>2</v>
      </c>
      <c r="C15" s="5" t="s">
        <v>344</v>
      </c>
      <c r="D15" s="11" t="n">
        <v>69200</v>
      </c>
      <c r="E15" s="11" t="n">
        <v>3460</v>
      </c>
      <c r="F15" s="11" t="n">
        <f aca="false">D15-E15</f>
        <v>65740</v>
      </c>
      <c r="G15" s="11" t="n">
        <v>139194</v>
      </c>
      <c r="H15" s="12" t="n">
        <f aca="false">IF(2305058=0,0,G15/2305058)</f>
        <v>0.060386333012011</v>
      </c>
    </row>
    <row r="16" customFormat="false" ht="15" hidden="false" customHeight="true" outlineLevel="0" collapsed="false">
      <c r="B16" s="5" t="n">
        <v>3</v>
      </c>
      <c r="C16" s="5" t="s">
        <v>345</v>
      </c>
      <c r="D16" s="11" t="n">
        <v>21900</v>
      </c>
      <c r="E16" s="11" t="n">
        <v>1095</v>
      </c>
      <c r="F16" s="11" t="n">
        <f aca="false">D16-E16</f>
        <v>20805</v>
      </c>
      <c r="G16" s="11" t="n">
        <v>162079.5</v>
      </c>
      <c r="H16" s="12" t="n">
        <f aca="false">IF(2305058=0,0,G16/2305058)</f>
        <v>0.0703147165928146</v>
      </c>
    </row>
    <row r="17" customFormat="false" ht="15" hidden="false" customHeight="true" outlineLevel="0" collapsed="false">
      <c r="B17" s="5" t="n">
        <v>4</v>
      </c>
      <c r="C17" s="5" t="s">
        <v>346</v>
      </c>
      <c r="D17" s="11" t="n">
        <v>71500</v>
      </c>
      <c r="E17" s="11" t="n">
        <v>3575</v>
      </c>
      <c r="F17" s="11" t="n">
        <f aca="false">D17-E17</f>
        <v>67925</v>
      </c>
      <c r="G17" s="11" t="n">
        <v>236797</v>
      </c>
      <c r="H17" s="12" t="n">
        <f aca="false">IF(2305058=0,0,G17/2305058)</f>
        <v>0.102729302256169</v>
      </c>
    </row>
    <row r="18" customFormat="false" ht="15" hidden="false" customHeight="true" outlineLevel="0" collapsed="false">
      <c r="B18" s="5" t="n">
        <v>5</v>
      </c>
      <c r="C18" s="5" t="s">
        <v>347</v>
      </c>
      <c r="D18" s="11" t="n">
        <v>152200</v>
      </c>
      <c r="E18" s="11" t="n">
        <v>7610</v>
      </c>
      <c r="F18" s="11" t="n">
        <f aca="false">D18-E18</f>
        <v>144590</v>
      </c>
      <c r="G18" s="11" t="n">
        <v>395846</v>
      </c>
      <c r="H18" s="12" t="n">
        <f aca="false">IF(2305058=0,0,G18/2305058)</f>
        <v>0.171729301388512</v>
      </c>
    </row>
    <row r="19" customFormat="false" ht="15" hidden="false" customHeight="true" outlineLevel="0" collapsed="false">
      <c r="B19" s="5" t="n">
        <v>6</v>
      </c>
      <c r="C19" s="5" t="s">
        <v>348</v>
      </c>
      <c r="D19" s="11" t="n">
        <v>526600</v>
      </c>
      <c r="E19" s="11" t="n">
        <v>26330</v>
      </c>
      <c r="F19" s="11" t="n">
        <f aca="false">D19-E19</f>
        <v>500270</v>
      </c>
      <c r="G19" s="11" t="n">
        <v>946143</v>
      </c>
      <c r="H19" s="12" t="n">
        <f aca="false">IF(2305058=0,0,G19/2305058)</f>
        <v>0.410463858176237</v>
      </c>
    </row>
    <row r="20" customFormat="false" ht="15" hidden="false" customHeight="true" outlineLevel="0" collapsed="false">
      <c r="B20" s="5" t="n">
        <v>7</v>
      </c>
      <c r="C20" s="5" t="s">
        <v>349</v>
      </c>
      <c r="D20" s="11" t="n">
        <v>766800</v>
      </c>
      <c r="E20" s="11" t="n">
        <v>38340</v>
      </c>
      <c r="F20" s="11" t="n">
        <f aca="false">D20-E20</f>
        <v>728460</v>
      </c>
      <c r="G20" s="11" t="n">
        <v>1747449</v>
      </c>
      <c r="H20" s="12" t="n">
        <f aca="false">IF(2305058=0,0,G20/2305058)</f>
        <v>0.758093288758895</v>
      </c>
    </row>
    <row r="21" customFormat="false" ht="15" hidden="false" customHeight="true" outlineLevel="0" collapsed="false">
      <c r="B21" s="5" t="n">
        <v>8</v>
      </c>
      <c r="C21" s="5" t="s">
        <v>350</v>
      </c>
      <c r="D21" s="11" t="n">
        <v>245793</v>
      </c>
      <c r="E21" s="11" t="n">
        <v>12289.65</v>
      </c>
      <c r="F21" s="11" t="n">
        <f aca="false">D21-E21</f>
        <v>233503.35</v>
      </c>
      <c r="G21" s="11" t="n">
        <v>2004302.68</v>
      </c>
      <c r="H21" s="12" t="n">
        <f aca="false">IF(2305058=0,0,G21/2305058)</f>
        <v>0.869523751680001</v>
      </c>
    </row>
    <row r="22" customFormat="false" ht="15" hidden="false" customHeight="true" outlineLevel="0" collapsed="false">
      <c r="B22" s="5" t="n">
        <v>9</v>
      </c>
      <c r="C22" s="5" t="s">
        <v>351</v>
      </c>
      <c r="D22" s="11" t="n">
        <v>77356</v>
      </c>
      <c r="E22" s="11" t="n">
        <v>3867.8</v>
      </c>
      <c r="F22" s="11" t="n">
        <f aca="false">D22-E22</f>
        <v>73488.2</v>
      </c>
      <c r="G22" s="11" t="n">
        <v>2085139.7</v>
      </c>
      <c r="H22" s="12" t="n">
        <f aca="false">IF(2305058=0,0,G22/2305058)</f>
        <v>0.904593159911811</v>
      </c>
    </row>
    <row r="23" customFormat="false" ht="15" hidden="false" customHeight="true" outlineLevel="0" collapsed="false">
      <c r="B23" s="5" t="n">
        <v>10</v>
      </c>
      <c r="C23" s="5" t="s">
        <v>352</v>
      </c>
      <c r="D23" s="11" t="n">
        <v>69100</v>
      </c>
      <c r="E23" s="11" t="n">
        <v>3455</v>
      </c>
      <c r="F23" s="11" t="n">
        <f aca="false">D23-E23</f>
        <v>65645</v>
      </c>
      <c r="G23" s="11" t="n">
        <v>2157349.2</v>
      </c>
      <c r="H23" s="12" t="n">
        <f aca="false">IF(2305058=0,0,G23/2305058)</f>
        <v>0.935919703538913</v>
      </c>
    </row>
    <row r="24" customFormat="false" ht="15" hidden="false" customHeight="true" outlineLevel="0" collapsed="false">
      <c r="B24" s="5" t="n">
        <v>11</v>
      </c>
      <c r="C24" s="5" t="s">
        <v>353</v>
      </c>
      <c r="D24" s="11" t="n">
        <v>53690</v>
      </c>
      <c r="E24" s="11" t="n">
        <v>2684.5</v>
      </c>
      <c r="F24" s="11" t="n">
        <f aca="false">D24-E24</f>
        <v>51005.5</v>
      </c>
      <c r="G24" s="11" t="n">
        <v>2213455.24</v>
      </c>
      <c r="H24" s="12" t="n">
        <f aca="false">IF(2305058=0,0,G24/2305058)</f>
        <v>0.960260106253292</v>
      </c>
    </row>
    <row r="25" customFormat="false" ht="15" hidden="false" customHeight="true" outlineLevel="0" collapsed="false">
      <c r="B25" s="5" t="n">
        <v>12</v>
      </c>
      <c r="C25" s="5" t="s">
        <v>354</v>
      </c>
      <c r="D25" s="11" t="n">
        <v>78400</v>
      </c>
      <c r="E25" s="11" t="n">
        <v>3920</v>
      </c>
      <c r="F25" s="11" t="n">
        <f aca="false">D25-E25</f>
        <v>74480</v>
      </c>
      <c r="G25" s="11" t="n">
        <v>2295383.24</v>
      </c>
      <c r="H25" s="12" t="n">
        <f aca="false">IF(2305058=0,0,G25/2305058)</f>
        <v>0.995802812770872</v>
      </c>
    </row>
    <row r="26" customFormat="false" ht="15" hidden="false" customHeight="true" outlineLevel="0" collapsed="false">
      <c r="B26" s="5" t="n">
        <v>13</v>
      </c>
      <c r="C26" s="5" t="s">
        <v>355</v>
      </c>
      <c r="D26" s="11" t="n">
        <v>52000</v>
      </c>
      <c r="E26" s="11" t="n">
        <v>2600</v>
      </c>
      <c r="F26" s="11" t="n">
        <f aca="false">D26-E26</f>
        <v>49400</v>
      </c>
      <c r="G26" s="11" t="n">
        <v>2349723.24</v>
      </c>
      <c r="H26" s="12" t="n">
        <f aca="false">IF(2305058=0,0,G26/2305058)</f>
        <v>1.01937705688968</v>
      </c>
    </row>
    <row r="27" customFormat="false" ht="15" hidden="false" customHeight="true" outlineLevel="0" collapsed="false">
      <c r="B27" s="5" t="n">
        <v>14</v>
      </c>
      <c r="C27" s="5" t="s">
        <v>356</v>
      </c>
      <c r="D27" s="11" t="n">
        <v>32410</v>
      </c>
      <c r="E27" s="11" t="n">
        <v>1620.5</v>
      </c>
      <c r="F27" s="11" t="n">
        <f aca="false">D27-E27</f>
        <v>30789.5</v>
      </c>
      <c r="G27" s="11" t="n">
        <v>2383591.69</v>
      </c>
      <c r="H27" s="12" t="n">
        <f aca="false">IF(2305058=0,0,G27/2305058)</f>
        <v>1.03407015788757</v>
      </c>
    </row>
    <row r="28" customFormat="false" ht="15" hidden="false" customHeight="true" outlineLevel="0" collapsed="false">
      <c r="B28" s="5" t="n">
        <v>15</v>
      </c>
      <c r="C28" s="5" t="s">
        <v>357</v>
      </c>
      <c r="D28" s="11" t="n">
        <v>24109</v>
      </c>
      <c r="E28" s="11" t="n">
        <v>1205.45</v>
      </c>
      <c r="F28" s="11" t="n">
        <f aca="false">D28-E28</f>
        <v>22903.55</v>
      </c>
      <c r="G28" s="11" t="n">
        <v>2408785.59</v>
      </c>
      <c r="H28" s="12" t="n">
        <f aca="false">IF(2305058=0,0,G28/2305058)</f>
        <v>1.04499999132343</v>
      </c>
    </row>
    <row r="30" customFormat="false" ht="15" hidden="false" customHeight="true" outlineLevel="0" collapsed="false">
      <c r="B30" s="4" t="s">
        <v>358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10" t="s">
        <v>40</v>
      </c>
      <c r="C31" s="10" t="s">
        <v>359</v>
      </c>
      <c r="D31" s="10" t="s">
        <v>360</v>
      </c>
      <c r="E31" s="10" t="s">
        <v>361</v>
      </c>
      <c r="F31" s="10" t="s">
        <v>362</v>
      </c>
    </row>
    <row r="32" customFormat="false" ht="15" hidden="false" customHeight="true" outlineLevel="0" collapsed="false">
      <c r="B32" s="5" t="s">
        <v>332</v>
      </c>
      <c r="C32" s="11" t="n">
        <v>2305058</v>
      </c>
      <c r="D32" s="11" t="n">
        <v>2305058</v>
      </c>
      <c r="E32" s="11" t="n">
        <f aca="false">C32-D32</f>
        <v>0</v>
      </c>
      <c r="F32" s="6" t="str">
        <f aca="false">IF(ABS(E32)&lt;=1,"TIES",IF(ABS(E32)&lt;=ABS(D32)*0.05,"WITHIN","OFF"))</f>
        <v>TIES</v>
      </c>
    </row>
    <row r="33" customFormat="false" ht="15" hidden="false" customHeight="true" outlineLevel="0" collapsed="false">
      <c r="B33" s="5" t="s">
        <v>363</v>
      </c>
      <c r="C33" s="11" t="n">
        <v>115253</v>
      </c>
      <c r="D33" s="11" t="n">
        <v>115253</v>
      </c>
      <c r="E33" s="11" t="n">
        <f aca="false">C33-D33</f>
        <v>0</v>
      </c>
      <c r="F33" s="6" t="str">
        <f aca="false">IF(ABS(E33)&lt;=1,"TIES",IF(ABS(E33)&lt;=ABS(D33)*0.05,"WITHIN","OFF"))</f>
        <v>TIES</v>
      </c>
    </row>
    <row r="34" customFormat="false" ht="15" hidden="false" customHeight="true" outlineLevel="0" collapsed="false">
      <c r="B34" s="5" t="s">
        <v>135</v>
      </c>
      <c r="C34" s="11" t="n">
        <v>1232269.8</v>
      </c>
      <c r="D34" s="11" t="n">
        <v>1232269.8</v>
      </c>
      <c r="E34" s="11" t="n">
        <f aca="false">C34-D34</f>
        <v>0</v>
      </c>
      <c r="F34" s="6" t="str">
        <f aca="false">IF(ABS(E34)&lt;=1,"TIES",IF(ABS(E34)&lt;=ABS(D34)*0.05,"WITHIN","OFF"))</f>
        <v>TIES</v>
      </c>
    </row>
    <row r="38" customFormat="false" ht="15" hidden="false" customHeight="true" outlineLevel="0" collapsed="false">
      <c r="B38" s="4" t="s">
        <v>63</v>
      </c>
      <c r="C38" s="4"/>
      <c r="D38" s="4"/>
      <c r="E38" s="4"/>
      <c r="F38" s="4"/>
      <c r="G38" s="4"/>
      <c r="H38" s="4"/>
    </row>
    <row r="39" customFormat="false" ht="15" hidden="false" customHeight="true" outlineLevel="0" collapsed="false">
      <c r="B39" s="3" t="s">
        <v>64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65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66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67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68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69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70</v>
      </c>
      <c r="C45" s="3"/>
      <c r="D45" s="3"/>
      <c r="E45" s="3"/>
      <c r="F45" s="3"/>
      <c r="G45" s="3"/>
      <c r="H45" s="3"/>
    </row>
  </sheetData>
  <mergeCells count="13">
    <mergeCell ref="B2:H2"/>
    <mergeCell ref="B3:H3"/>
    <mergeCell ref="B5:H5"/>
    <mergeCell ref="B12:H12"/>
    <mergeCell ref="B30:H30"/>
    <mergeCell ref="B38:H38"/>
    <mergeCell ref="B39:H39"/>
    <mergeCell ref="B40:H40"/>
    <mergeCell ref="B41:H41"/>
    <mergeCell ref="B42:H42"/>
    <mergeCell ref="B43:H43"/>
    <mergeCell ref="B44:H44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364</v>
      </c>
      <c r="C2" s="2"/>
    </row>
    <row r="3" customFormat="false" ht="15" hidden="false" customHeight="true" outlineLevel="0" collapsed="false">
      <c r="B3" s="3" t="s">
        <v>365</v>
      </c>
      <c r="C3" s="3"/>
    </row>
    <row r="5" customFormat="false" ht="31.5" hidden="false" customHeight="true" outlineLevel="0" collapsed="false">
      <c r="B5" s="6" t="s">
        <v>366</v>
      </c>
      <c r="C5" s="25" t="s">
        <v>367</v>
      </c>
    </row>
    <row r="6" customFormat="false" ht="31.5" hidden="false" customHeight="true" outlineLevel="0" collapsed="false">
      <c r="B6" s="6" t="s">
        <v>368</v>
      </c>
      <c r="C6" s="25" t="s">
        <v>369</v>
      </c>
    </row>
    <row r="7" customFormat="false" ht="31.5" hidden="false" customHeight="true" outlineLevel="0" collapsed="false">
      <c r="B7" s="6" t="s">
        <v>370</v>
      </c>
      <c r="C7" s="25" t="s">
        <v>371</v>
      </c>
    </row>
    <row r="8" customFormat="false" ht="31.5" hidden="false" customHeight="true" outlineLevel="0" collapsed="false">
      <c r="B8" s="6" t="s">
        <v>372</v>
      </c>
      <c r="C8" s="25" t="s">
        <v>373</v>
      </c>
    </row>
    <row r="9" customFormat="false" ht="31.5" hidden="false" customHeight="true" outlineLevel="0" collapsed="false">
      <c r="B9" s="6" t="s">
        <v>374</v>
      </c>
      <c r="C9" s="25" t="s">
        <v>375</v>
      </c>
    </row>
    <row r="10" customFormat="false" ht="31.5" hidden="false" customHeight="true" outlineLevel="0" collapsed="false">
      <c r="B10" s="6" t="s">
        <v>376</v>
      </c>
      <c r="C10" s="25" t="s">
        <v>377</v>
      </c>
    </row>
    <row r="11" customFormat="false" ht="31.5" hidden="false" customHeight="true" outlineLevel="0" collapsed="false">
      <c r="B11" s="6" t="s">
        <v>378</v>
      </c>
      <c r="C11" s="25" t="s">
        <v>379</v>
      </c>
    </row>
    <row r="12" customFormat="false" ht="31.5" hidden="false" customHeight="true" outlineLevel="0" collapsed="false">
      <c r="B12" s="6" t="s">
        <v>380</v>
      </c>
      <c r="C12" s="25" t="s">
        <v>381</v>
      </c>
    </row>
    <row r="13" customFormat="false" ht="31.5" hidden="false" customHeight="true" outlineLevel="0" collapsed="false">
      <c r="B13" s="6" t="s">
        <v>382</v>
      </c>
      <c r="C13" s="25" t="s">
        <v>383</v>
      </c>
    </row>
    <row r="14" customFormat="false" ht="31.5" hidden="false" customHeight="true" outlineLevel="0" collapsed="false">
      <c r="B14" s="6" t="s">
        <v>384</v>
      </c>
      <c r="C14" s="25" t="s">
        <v>385</v>
      </c>
    </row>
    <row r="16" customFormat="false" ht="15" hidden="false" customHeight="true" outlineLevel="0" collapsed="false">
      <c r="B16" s="4" t="s">
        <v>386</v>
      </c>
      <c r="C16" s="4"/>
    </row>
    <row r="17" customFormat="false" ht="49.5" hidden="false" customHeight="true" outlineLevel="0" collapsed="false">
      <c r="B17" s="26" t="s">
        <v>387</v>
      </c>
      <c r="C17" s="26"/>
    </row>
    <row r="20" customFormat="false" ht="15" hidden="false" customHeight="true" outlineLevel="0" collapsed="false">
      <c r="B20" s="4" t="s">
        <v>63</v>
      </c>
      <c r="C20" s="4"/>
    </row>
    <row r="21" customFormat="false" ht="15" hidden="false" customHeight="true" outlineLevel="0" collapsed="false">
      <c r="B21" s="3" t="s">
        <v>64</v>
      </c>
      <c r="C21" s="3"/>
    </row>
    <row r="22" customFormat="false" ht="15" hidden="false" customHeight="true" outlineLevel="0" collapsed="false">
      <c r="B22" s="3" t="s">
        <v>65</v>
      </c>
      <c r="C22" s="3"/>
    </row>
    <row r="23" customFormat="false" ht="15" hidden="false" customHeight="true" outlineLevel="0" collapsed="false">
      <c r="B23" s="3" t="s">
        <v>66</v>
      </c>
      <c r="C23" s="3"/>
    </row>
    <row r="24" customFormat="false" ht="15" hidden="false" customHeight="true" outlineLevel="0" collapsed="false">
      <c r="B24" s="3" t="s">
        <v>67</v>
      </c>
      <c r="C24" s="3"/>
    </row>
    <row r="25" customFormat="false" ht="15" hidden="false" customHeight="true" outlineLevel="0" collapsed="false">
      <c r="B25" s="3" t="s">
        <v>68</v>
      </c>
      <c r="C25" s="3"/>
    </row>
    <row r="26" customFormat="false" ht="15" hidden="false" customHeight="true" outlineLevel="0" collapsed="false">
      <c r="B26" s="3" t="s">
        <v>69</v>
      </c>
      <c r="C26" s="3"/>
    </row>
    <row r="27" customFormat="false" ht="15" hidden="false" customHeight="true" outlineLevel="0" collapsed="false">
      <c r="B27" s="3" t="s">
        <v>70</v>
      </c>
      <c r="C27" s="3"/>
    </row>
  </sheetData>
  <mergeCells count="12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388</v>
      </c>
      <c r="C2" s="2"/>
      <c r="D2" s="2"/>
      <c r="E2" s="2"/>
      <c r="F2" s="2"/>
    </row>
    <row r="3" customFormat="false" ht="15" hidden="false" customHeight="true" outlineLevel="0" collapsed="false">
      <c r="B3" s="3" t="s">
        <v>389</v>
      </c>
      <c r="C3" s="3"/>
      <c r="D3" s="3"/>
      <c r="E3" s="3"/>
      <c r="F3" s="3"/>
    </row>
    <row r="5" customFormat="false" ht="15" hidden="false" customHeight="true" outlineLevel="0" collapsed="false">
      <c r="B5" s="10" t="s">
        <v>390</v>
      </c>
      <c r="C5" s="10" t="s">
        <v>391</v>
      </c>
      <c r="D5" s="10" t="s">
        <v>41</v>
      </c>
      <c r="E5" s="10" t="s">
        <v>28</v>
      </c>
      <c r="F5" s="10" t="s">
        <v>273</v>
      </c>
      <c r="G5" s="27" t="s">
        <v>392</v>
      </c>
      <c r="H5" s="27" t="s">
        <v>393</v>
      </c>
    </row>
    <row r="6" customFormat="false" ht="15" hidden="false" customHeight="true" outlineLevel="0" collapsed="false">
      <c r="B6" s="5" t="s">
        <v>394</v>
      </c>
      <c r="C6" s="28" t="s">
        <v>395</v>
      </c>
      <c r="D6" s="6" t="s">
        <v>4</v>
      </c>
      <c r="E6" s="5" t="s">
        <v>396</v>
      </c>
      <c r="F6" s="22" t="s">
        <v>397</v>
      </c>
      <c r="G6" s="29" t="s">
        <v>398</v>
      </c>
      <c r="H6" s="30" t="s">
        <v>399</v>
      </c>
    </row>
    <row r="7" customFormat="false" ht="15" hidden="false" customHeight="true" outlineLevel="0" collapsed="false">
      <c r="B7" s="5" t="s">
        <v>400</v>
      </c>
      <c r="C7" s="28" t="s">
        <v>401</v>
      </c>
      <c r="D7" s="6" t="s">
        <v>6</v>
      </c>
      <c r="E7" s="5" t="s">
        <v>396</v>
      </c>
      <c r="G7" s="29" t="s">
        <v>398</v>
      </c>
      <c r="H7" s="30" t="s">
        <v>399</v>
      </c>
    </row>
    <row r="8" customFormat="false" ht="15" hidden="false" customHeight="true" outlineLevel="0" collapsed="false">
      <c r="B8" s="5" t="s">
        <v>7</v>
      </c>
      <c r="C8" s="28" t="s">
        <v>402</v>
      </c>
      <c r="D8" s="6" t="s">
        <v>8</v>
      </c>
      <c r="E8" s="5" t="s">
        <v>396</v>
      </c>
      <c r="G8" s="29" t="s">
        <v>398</v>
      </c>
      <c r="H8" s="30" t="s">
        <v>399</v>
      </c>
    </row>
    <row r="9" customFormat="false" ht="15" hidden="false" customHeight="true" outlineLevel="0" collapsed="false">
      <c r="B9" s="5" t="s">
        <v>9</v>
      </c>
      <c r="C9" s="28" t="s">
        <v>403</v>
      </c>
      <c r="D9" s="6" t="s">
        <v>10</v>
      </c>
      <c r="E9" s="5" t="s">
        <v>396</v>
      </c>
      <c r="G9" s="29" t="s">
        <v>398</v>
      </c>
      <c r="H9" s="30" t="s">
        <v>399</v>
      </c>
    </row>
    <row r="10" customFormat="false" ht="15" hidden="false" customHeight="true" outlineLevel="0" collapsed="false">
      <c r="B10" s="5" t="s">
        <v>404</v>
      </c>
      <c r="C10" s="28" t="s">
        <v>405</v>
      </c>
      <c r="D10" s="6" t="s">
        <v>406</v>
      </c>
      <c r="E10" s="5" t="s">
        <v>396</v>
      </c>
      <c r="G10" s="29" t="s">
        <v>398</v>
      </c>
      <c r="H10" s="30" t="s">
        <v>399</v>
      </c>
    </row>
    <row r="11" customFormat="false" ht="15" hidden="false" customHeight="true" outlineLevel="0" collapsed="false">
      <c r="B11" s="5" t="s">
        <v>407</v>
      </c>
      <c r="C11" s="28" t="s">
        <v>408</v>
      </c>
      <c r="D11" s="6" t="n">
        <v>15</v>
      </c>
      <c r="E11" s="5" t="s">
        <v>396</v>
      </c>
      <c r="F11" s="22" t="s">
        <v>12</v>
      </c>
      <c r="G11" s="29" t="s">
        <v>398</v>
      </c>
      <c r="H11" s="30" t="s">
        <v>399</v>
      </c>
    </row>
    <row r="12" customFormat="false" ht="15" hidden="false" customHeight="true" outlineLevel="0" collapsed="false">
      <c r="B12" s="5" t="s">
        <v>409</v>
      </c>
      <c r="C12" s="28" t="s">
        <v>410</v>
      </c>
      <c r="D12" s="13" t="n">
        <v>212</v>
      </c>
      <c r="E12" s="5" t="s">
        <v>396</v>
      </c>
      <c r="G12" s="29" t="s">
        <v>398</v>
      </c>
      <c r="H12" s="30" t="s">
        <v>399</v>
      </c>
    </row>
    <row r="13" customFormat="false" ht="15" hidden="false" customHeight="true" outlineLevel="0" collapsed="false">
      <c r="B13" s="5" t="s">
        <v>47</v>
      </c>
      <c r="C13" s="28" t="s">
        <v>411</v>
      </c>
      <c r="D13" s="13" t="n">
        <v>1144</v>
      </c>
      <c r="E13" s="5" t="s">
        <v>396</v>
      </c>
      <c r="G13" s="29" t="s">
        <v>398</v>
      </c>
      <c r="H13" s="30" t="s">
        <v>399</v>
      </c>
    </row>
    <row r="14" customFormat="false" ht="15" hidden="false" customHeight="true" outlineLevel="0" collapsed="false">
      <c r="B14" s="5" t="s">
        <v>412</v>
      </c>
      <c r="C14" s="28" t="s">
        <v>413</v>
      </c>
      <c r="D14" s="21" t="n">
        <v>5.39622641509434</v>
      </c>
      <c r="E14" s="5" t="s">
        <v>396</v>
      </c>
      <c r="G14" s="29" t="s">
        <v>398</v>
      </c>
      <c r="H14" s="30" t="s">
        <v>399</v>
      </c>
    </row>
    <row r="15" customFormat="false" ht="15" hidden="false" customHeight="true" outlineLevel="0" collapsed="false">
      <c r="B15" s="5" t="s">
        <v>414</v>
      </c>
      <c r="C15" s="28" t="s">
        <v>415</v>
      </c>
      <c r="D15" s="13" t="n">
        <v>2282726</v>
      </c>
      <c r="E15" s="5" t="s">
        <v>416</v>
      </c>
      <c r="G15" s="29" t="s">
        <v>398</v>
      </c>
      <c r="H15" s="30" t="s">
        <v>399</v>
      </c>
    </row>
    <row r="16" customFormat="false" ht="15" hidden="false" customHeight="true" outlineLevel="0" collapsed="false">
      <c r="B16" s="5" t="s">
        <v>417</v>
      </c>
      <c r="C16" s="28" t="s">
        <v>418</v>
      </c>
      <c r="D16" s="13" t="n">
        <v>2305058</v>
      </c>
      <c r="E16" s="5" t="s">
        <v>416</v>
      </c>
      <c r="F16" s="22" t="s">
        <v>419</v>
      </c>
      <c r="G16" s="29" t="s">
        <v>398</v>
      </c>
      <c r="H16" s="30" t="s">
        <v>399</v>
      </c>
    </row>
    <row r="17" customFormat="false" ht="15" hidden="false" customHeight="true" outlineLevel="0" collapsed="false">
      <c r="B17" s="5" t="s">
        <v>420</v>
      </c>
      <c r="C17" s="28" t="s">
        <v>421</v>
      </c>
      <c r="D17" s="13" t="n">
        <v>22332</v>
      </c>
      <c r="E17" s="5" t="s">
        <v>416</v>
      </c>
      <c r="G17" s="29" t="s">
        <v>398</v>
      </c>
      <c r="H17" s="30" t="s">
        <v>399</v>
      </c>
    </row>
    <row r="18" customFormat="false" ht="15" hidden="false" customHeight="true" outlineLevel="0" collapsed="false">
      <c r="B18" s="5" t="s">
        <v>422</v>
      </c>
      <c r="C18" s="28" t="s">
        <v>423</v>
      </c>
      <c r="D18" s="13" t="n">
        <v>2305058</v>
      </c>
      <c r="E18" s="5" t="s">
        <v>416</v>
      </c>
      <c r="G18" s="29" t="s">
        <v>398</v>
      </c>
      <c r="H18" s="30" t="s">
        <v>399</v>
      </c>
    </row>
    <row r="19" customFormat="false" ht="15" hidden="false" customHeight="true" outlineLevel="0" collapsed="false">
      <c r="B19" s="5" t="s">
        <v>424</v>
      </c>
      <c r="C19" s="28" t="s">
        <v>425</v>
      </c>
      <c r="D19" s="13" t="n">
        <v>1072788.2</v>
      </c>
      <c r="E19" s="5" t="s">
        <v>416</v>
      </c>
      <c r="G19" s="29" t="s">
        <v>398</v>
      </c>
      <c r="H19" s="30" t="s">
        <v>399</v>
      </c>
    </row>
    <row r="20" customFormat="false" ht="15" hidden="false" customHeight="true" outlineLevel="0" collapsed="false">
      <c r="B20" s="5" t="s">
        <v>426</v>
      </c>
      <c r="C20" s="28" t="s">
        <v>427</v>
      </c>
      <c r="D20" s="21" t="n">
        <v>0.46540616331563</v>
      </c>
      <c r="E20" s="5" t="s">
        <v>416</v>
      </c>
      <c r="G20" s="29" t="s">
        <v>398</v>
      </c>
      <c r="H20" s="30" t="s">
        <v>399</v>
      </c>
    </row>
    <row r="21" customFormat="false" ht="15" hidden="false" customHeight="true" outlineLevel="0" collapsed="false">
      <c r="B21" s="5" t="s">
        <v>135</v>
      </c>
      <c r="C21" s="28" t="s">
        <v>428</v>
      </c>
      <c r="D21" s="13" t="n">
        <v>1232269.8</v>
      </c>
      <c r="E21" s="5" t="s">
        <v>416</v>
      </c>
      <c r="G21" s="29" t="s">
        <v>398</v>
      </c>
      <c r="H21" s="30" t="s">
        <v>399</v>
      </c>
    </row>
    <row r="22" customFormat="false" ht="15" hidden="false" customHeight="true" outlineLevel="0" collapsed="false">
      <c r="B22" s="5" t="s">
        <v>429</v>
      </c>
      <c r="C22" s="28" t="s">
        <v>430</v>
      </c>
      <c r="D22" s="13" t="n">
        <v>440392.94</v>
      </c>
      <c r="E22" s="5" t="s">
        <v>34</v>
      </c>
      <c r="F22" s="22" t="s">
        <v>431</v>
      </c>
      <c r="G22" s="29" t="s">
        <v>398</v>
      </c>
      <c r="H22" s="30" t="s">
        <v>399</v>
      </c>
    </row>
    <row r="23" customFormat="false" ht="15" hidden="false" customHeight="true" outlineLevel="0" collapsed="false">
      <c r="B23" s="5" t="s">
        <v>432</v>
      </c>
      <c r="C23" s="28" t="s">
        <v>433</v>
      </c>
      <c r="D23" s="13" t="n">
        <v>556906.77</v>
      </c>
      <c r="E23" s="5" t="s">
        <v>35</v>
      </c>
      <c r="F23" s="22" t="s">
        <v>434</v>
      </c>
      <c r="G23" s="29" t="s">
        <v>398</v>
      </c>
      <c r="H23" s="30" t="s">
        <v>399</v>
      </c>
    </row>
    <row r="24" customFormat="false" ht="15" hidden="false" customHeight="true" outlineLevel="0" collapsed="false">
      <c r="B24" s="5" t="s">
        <v>435</v>
      </c>
      <c r="C24" s="28" t="s">
        <v>436</v>
      </c>
      <c r="D24" s="13" t="n">
        <v>4943.28</v>
      </c>
      <c r="E24" s="5" t="s">
        <v>416</v>
      </c>
      <c r="F24" s="22" t="s">
        <v>437</v>
      </c>
      <c r="G24" s="29" t="s">
        <v>398</v>
      </c>
      <c r="H24" s="30" t="s">
        <v>399</v>
      </c>
    </row>
    <row r="25" customFormat="false" ht="15" hidden="false" customHeight="true" outlineLevel="0" collapsed="false">
      <c r="B25" s="5" t="s">
        <v>438</v>
      </c>
      <c r="C25" s="28" t="s">
        <v>439</v>
      </c>
      <c r="D25" s="13" t="n">
        <v>230026.81</v>
      </c>
      <c r="E25" s="5" t="s">
        <v>416</v>
      </c>
      <c r="F25" s="22" t="s">
        <v>440</v>
      </c>
      <c r="G25" s="29" t="s">
        <v>398</v>
      </c>
      <c r="H25" s="30" t="s">
        <v>399</v>
      </c>
    </row>
    <row r="26" customFormat="false" ht="15" hidden="false" customHeight="true" outlineLevel="0" collapsed="false">
      <c r="B26" s="5" t="s">
        <v>363</v>
      </c>
      <c r="C26" s="28" t="s">
        <v>441</v>
      </c>
      <c r="D26" s="13" t="n">
        <v>115253</v>
      </c>
      <c r="E26" s="5" t="s">
        <v>416</v>
      </c>
      <c r="F26" s="22" t="s">
        <v>442</v>
      </c>
      <c r="G26" s="29" t="s">
        <v>398</v>
      </c>
      <c r="H26" s="30" t="s">
        <v>399</v>
      </c>
    </row>
    <row r="27" customFormat="false" ht="15" hidden="false" customHeight="true" outlineLevel="0" collapsed="false">
      <c r="B27" s="5" t="s">
        <v>443</v>
      </c>
      <c r="C27" s="28" t="s">
        <v>444</v>
      </c>
      <c r="D27" s="13" t="n">
        <v>10872.9150943396</v>
      </c>
      <c r="E27" s="5" t="s">
        <v>416</v>
      </c>
      <c r="G27" s="29" t="s">
        <v>398</v>
      </c>
      <c r="H27" s="30" t="s">
        <v>399</v>
      </c>
    </row>
    <row r="28" customFormat="false" ht="15" hidden="false" customHeight="true" outlineLevel="0" collapsed="false">
      <c r="B28" s="5" t="s">
        <v>445</v>
      </c>
      <c r="C28" s="28" t="s">
        <v>446</v>
      </c>
      <c r="D28" s="13" t="n">
        <v>5060.32169811321</v>
      </c>
      <c r="E28" s="5" t="s">
        <v>416</v>
      </c>
      <c r="G28" s="29" t="s">
        <v>398</v>
      </c>
      <c r="H28" s="30" t="s">
        <v>399</v>
      </c>
    </row>
    <row r="29" customFormat="false" ht="15" hidden="false" customHeight="true" outlineLevel="0" collapsed="false">
      <c r="B29" s="5" t="s">
        <v>447</v>
      </c>
      <c r="C29" s="28" t="s">
        <v>448</v>
      </c>
      <c r="D29" s="13" t="n">
        <v>5812.59339622642</v>
      </c>
      <c r="E29" s="5" t="s">
        <v>416</v>
      </c>
      <c r="G29" s="29" t="s">
        <v>398</v>
      </c>
      <c r="H29" s="30" t="s">
        <v>399</v>
      </c>
    </row>
    <row r="30" customFormat="false" ht="15" hidden="false" customHeight="true" outlineLevel="0" collapsed="false">
      <c r="B30" s="5" t="s">
        <v>449</v>
      </c>
      <c r="C30" s="28" t="s">
        <v>450</v>
      </c>
      <c r="D30" s="13" t="n">
        <v>2077.32518867925</v>
      </c>
      <c r="E30" s="5" t="s">
        <v>34</v>
      </c>
      <c r="G30" s="29" t="s">
        <v>398</v>
      </c>
      <c r="H30" s="30" t="s">
        <v>399</v>
      </c>
    </row>
    <row r="31" customFormat="false" ht="15" hidden="false" customHeight="true" outlineLevel="0" collapsed="false">
      <c r="B31" s="5" t="s">
        <v>451</v>
      </c>
      <c r="C31" s="28" t="s">
        <v>452</v>
      </c>
      <c r="D31" s="13" t="n">
        <v>2626.9187264151</v>
      </c>
      <c r="E31" s="5" t="s">
        <v>35</v>
      </c>
      <c r="G31" s="29" t="s">
        <v>398</v>
      </c>
      <c r="H31" s="30" t="s">
        <v>399</v>
      </c>
    </row>
    <row r="32" customFormat="false" ht="15" hidden="false" customHeight="true" outlineLevel="0" collapsed="false">
      <c r="B32" s="5" t="s">
        <v>453</v>
      </c>
      <c r="C32" s="28" t="s">
        <v>454</v>
      </c>
      <c r="D32" s="13" t="n">
        <v>2014.91083916084</v>
      </c>
      <c r="E32" s="5" t="s">
        <v>416</v>
      </c>
      <c r="G32" s="29" t="s">
        <v>398</v>
      </c>
      <c r="H32" s="30" t="s">
        <v>399</v>
      </c>
    </row>
    <row r="33" customFormat="false" ht="15" hidden="false" customHeight="true" outlineLevel="0" collapsed="false">
      <c r="B33" s="5" t="s">
        <v>455</v>
      </c>
      <c r="C33" s="28" t="s">
        <v>456</v>
      </c>
      <c r="D33" s="13" t="n">
        <v>937.751923076923</v>
      </c>
      <c r="E33" s="5" t="s">
        <v>416</v>
      </c>
      <c r="G33" s="29" t="s">
        <v>398</v>
      </c>
      <c r="H33" s="30" t="s">
        <v>399</v>
      </c>
    </row>
    <row r="34" customFormat="false" ht="15" hidden="false" customHeight="true" outlineLevel="0" collapsed="false">
      <c r="B34" s="5" t="s">
        <v>457</v>
      </c>
      <c r="C34" s="28" t="s">
        <v>458</v>
      </c>
      <c r="D34" s="13" t="n">
        <v>1077.15891608392</v>
      </c>
      <c r="E34" s="5" t="s">
        <v>416</v>
      </c>
      <c r="G34" s="29" t="s">
        <v>398</v>
      </c>
      <c r="H34" s="30" t="s">
        <v>399</v>
      </c>
    </row>
    <row r="35" customFormat="false" ht="15" hidden="false" customHeight="true" outlineLevel="0" collapsed="false">
      <c r="B35" s="5" t="s">
        <v>459</v>
      </c>
      <c r="C35" s="28" t="s">
        <v>460</v>
      </c>
      <c r="D35" s="13" t="n">
        <v>384.958863636364</v>
      </c>
      <c r="E35" s="5" t="s">
        <v>34</v>
      </c>
      <c r="G35" s="29" t="s">
        <v>398</v>
      </c>
      <c r="H35" s="30" t="s">
        <v>399</v>
      </c>
    </row>
    <row r="36" customFormat="false" ht="15" hidden="false" customHeight="true" outlineLevel="0" collapsed="false">
      <c r="B36" s="5" t="s">
        <v>461</v>
      </c>
      <c r="C36" s="28" t="s">
        <v>462</v>
      </c>
      <c r="D36" s="13" t="n">
        <v>486.806617132867</v>
      </c>
      <c r="E36" s="5" t="s">
        <v>35</v>
      </c>
      <c r="G36" s="29" t="s">
        <v>398</v>
      </c>
      <c r="H36" s="30" t="s">
        <v>399</v>
      </c>
    </row>
    <row r="37" customFormat="false" ht="15" hidden="false" customHeight="true" outlineLevel="0" collapsed="false">
      <c r="B37" s="5" t="s">
        <v>463</v>
      </c>
      <c r="C37" s="28" t="s">
        <v>464</v>
      </c>
      <c r="D37" s="13" t="n">
        <v>23300.5</v>
      </c>
      <c r="E37" s="5" t="s">
        <v>34</v>
      </c>
      <c r="F37" s="22" t="s">
        <v>465</v>
      </c>
      <c r="G37" s="29" t="s">
        <v>398</v>
      </c>
      <c r="H37" s="30" t="s">
        <v>399</v>
      </c>
    </row>
    <row r="38" customFormat="false" ht="15" hidden="false" customHeight="true" outlineLevel="0" collapsed="false">
      <c r="B38" s="5" t="s">
        <v>466</v>
      </c>
      <c r="C38" s="28" t="s">
        <v>467</v>
      </c>
      <c r="D38" s="6" t="n">
        <v>48</v>
      </c>
      <c r="E38" s="5" t="s">
        <v>34</v>
      </c>
      <c r="F38" s="22" t="s">
        <v>468</v>
      </c>
      <c r="G38" s="29" t="s">
        <v>398</v>
      </c>
      <c r="H38" s="30" t="s">
        <v>399</v>
      </c>
    </row>
    <row r="39" customFormat="false" ht="15" hidden="false" customHeight="true" outlineLevel="0" collapsed="false">
      <c r="B39" s="5" t="s">
        <v>241</v>
      </c>
      <c r="C39" s="28" t="s">
        <v>469</v>
      </c>
      <c r="D39" s="14" t="n">
        <v>19.2608849595502</v>
      </c>
      <c r="E39" s="5" t="s">
        <v>34</v>
      </c>
      <c r="F39" s="22" t="s">
        <v>470</v>
      </c>
      <c r="G39" s="29" t="s">
        <v>398</v>
      </c>
      <c r="H39" s="30" t="s">
        <v>399</v>
      </c>
    </row>
    <row r="40" customFormat="false" ht="15" hidden="false" customHeight="true" outlineLevel="0" collapsed="false">
      <c r="B40" s="5" t="s">
        <v>243</v>
      </c>
      <c r="C40" s="28" t="s">
        <v>471</v>
      </c>
      <c r="D40" s="14" t="n">
        <v>28.7727623870732</v>
      </c>
      <c r="E40" s="5" t="s">
        <v>34</v>
      </c>
      <c r="F40" s="22" t="s">
        <v>472</v>
      </c>
      <c r="G40" s="29" t="s">
        <v>398</v>
      </c>
      <c r="H40" s="30" t="s">
        <v>399</v>
      </c>
    </row>
    <row r="41" customFormat="false" ht="15" hidden="false" customHeight="true" outlineLevel="0" collapsed="false">
      <c r="B41" s="5" t="s">
        <v>245</v>
      </c>
      <c r="C41" s="28" t="s">
        <v>473</v>
      </c>
      <c r="D41" s="21" t="n">
        <v>1.49384425728615</v>
      </c>
      <c r="E41" s="5" t="s">
        <v>34</v>
      </c>
      <c r="G41" s="29" t="s">
        <v>398</v>
      </c>
      <c r="H41" s="30" t="s">
        <v>399</v>
      </c>
    </row>
    <row r="42" customFormat="false" ht="15" hidden="false" customHeight="true" outlineLevel="0" collapsed="false">
      <c r="B42" s="5" t="s">
        <v>474</v>
      </c>
      <c r="C42" s="28" t="s">
        <v>475</v>
      </c>
      <c r="D42" s="13" t="n">
        <v>109.908018867925</v>
      </c>
      <c r="E42" s="5" t="s">
        <v>34</v>
      </c>
      <c r="F42" s="22" t="s">
        <v>476</v>
      </c>
      <c r="G42" s="29" t="s">
        <v>398</v>
      </c>
      <c r="H42" s="30" t="s">
        <v>399</v>
      </c>
    </row>
    <row r="43" customFormat="false" ht="15" hidden="false" customHeight="true" outlineLevel="0" collapsed="false">
      <c r="B43" s="5" t="s">
        <v>477</v>
      </c>
      <c r="C43" s="28" t="s">
        <v>478</v>
      </c>
      <c r="D43" s="14" t="n">
        <v>20.3675699300699</v>
      </c>
      <c r="E43" s="5" t="s">
        <v>34</v>
      </c>
      <c r="F43" s="22" t="s">
        <v>476</v>
      </c>
      <c r="G43" s="29" t="s">
        <v>398</v>
      </c>
      <c r="H43" s="30" t="s">
        <v>399</v>
      </c>
    </row>
    <row r="44" customFormat="false" ht="15" hidden="false" customHeight="true" outlineLevel="0" collapsed="false">
      <c r="B44" s="5" t="s">
        <v>479</v>
      </c>
      <c r="C44" s="28" t="s">
        <v>480</v>
      </c>
      <c r="D44" s="14" t="n">
        <v>98.9274049913092</v>
      </c>
      <c r="E44" s="5" t="s">
        <v>481</v>
      </c>
      <c r="G44" s="29" t="s">
        <v>398</v>
      </c>
      <c r="H44" s="30" t="s">
        <v>399</v>
      </c>
    </row>
    <row r="45" customFormat="false" ht="15" hidden="false" customHeight="true" outlineLevel="0" collapsed="false">
      <c r="B45" s="5" t="s">
        <v>482</v>
      </c>
      <c r="C45" s="28" t="s">
        <v>483</v>
      </c>
      <c r="D45" s="14" t="n">
        <v>46.0414240037767</v>
      </c>
      <c r="E45" s="5" t="s">
        <v>481</v>
      </c>
      <c r="G45" s="29" t="s">
        <v>398</v>
      </c>
      <c r="H45" s="30" t="s">
        <v>399</v>
      </c>
    </row>
    <row r="46" customFormat="false" ht="15" hidden="false" customHeight="true" outlineLevel="0" collapsed="false">
      <c r="B46" s="5" t="s">
        <v>484</v>
      </c>
      <c r="C46" s="28" t="s">
        <v>485</v>
      </c>
      <c r="D46" s="21" t="n">
        <v>0.191055036359172</v>
      </c>
      <c r="E46" s="5" t="s">
        <v>486</v>
      </c>
      <c r="G46" s="29" t="s">
        <v>398</v>
      </c>
      <c r="H46" s="30" t="s">
        <v>399</v>
      </c>
    </row>
    <row r="47" customFormat="false" ht="15" hidden="false" customHeight="true" outlineLevel="0" collapsed="false">
      <c r="B47" s="5" t="s">
        <v>487</v>
      </c>
      <c r="C47" s="28" t="s">
        <v>488</v>
      </c>
      <c r="D47" s="21" t="n">
        <v>0.24160206380924</v>
      </c>
      <c r="E47" s="5" t="s">
        <v>486</v>
      </c>
      <c r="G47" s="29" t="s">
        <v>398</v>
      </c>
      <c r="H47" s="30" t="s">
        <v>399</v>
      </c>
    </row>
    <row r="48" customFormat="false" ht="15" hidden="false" customHeight="true" outlineLevel="0" collapsed="false">
      <c r="B48" s="5" t="s">
        <v>489</v>
      </c>
      <c r="C48" s="28" t="s">
        <v>490</v>
      </c>
      <c r="D48" s="13" t="n">
        <v>153670.533333333</v>
      </c>
      <c r="E48" s="5" t="s">
        <v>481</v>
      </c>
      <c r="G48" s="29" t="s">
        <v>398</v>
      </c>
      <c r="H48" s="30" t="s">
        <v>399</v>
      </c>
    </row>
    <row r="49" customFormat="false" ht="15" hidden="false" customHeight="true" outlineLevel="0" collapsed="false">
      <c r="B49" s="5" t="s">
        <v>491</v>
      </c>
      <c r="C49" s="28" t="s">
        <v>492</v>
      </c>
      <c r="D49" s="13" t="n">
        <v>1553.36666666667</v>
      </c>
      <c r="E49" s="5" t="s">
        <v>481</v>
      </c>
      <c r="G49" s="29" t="s">
        <v>398</v>
      </c>
      <c r="H49" s="30" t="s">
        <v>399</v>
      </c>
    </row>
    <row r="50" customFormat="false" ht="15" hidden="false" customHeight="true" outlineLevel="0" collapsed="false">
      <c r="B50" s="5" t="s">
        <v>493</v>
      </c>
      <c r="C50" s="28" t="s">
        <v>494</v>
      </c>
      <c r="D50" s="14" t="n">
        <v>14.1333333333333</v>
      </c>
      <c r="E50" s="5" t="s">
        <v>481</v>
      </c>
      <c r="G50" s="29" t="s">
        <v>398</v>
      </c>
      <c r="H50" s="30" t="s">
        <v>399</v>
      </c>
    </row>
    <row r="51" customFormat="false" ht="15" hidden="false" customHeight="true" outlineLevel="0" collapsed="false">
      <c r="B51" s="5" t="s">
        <v>495</v>
      </c>
      <c r="C51" s="28" t="s">
        <v>496</v>
      </c>
      <c r="D51" s="6" t="n">
        <v>19</v>
      </c>
      <c r="E51" s="5" t="s">
        <v>35</v>
      </c>
      <c r="F51" s="22" t="s">
        <v>497</v>
      </c>
      <c r="G51" s="29" t="s">
        <v>398</v>
      </c>
      <c r="H51" s="30" t="s">
        <v>399</v>
      </c>
    </row>
    <row r="52" customFormat="false" ht="15" hidden="false" customHeight="true" outlineLevel="0" collapsed="false">
      <c r="B52" s="5" t="s">
        <v>498</v>
      </c>
      <c r="C52" s="28" t="s">
        <v>499</v>
      </c>
      <c r="D52" s="13" t="n">
        <v>187929.87</v>
      </c>
      <c r="E52" s="5" t="s">
        <v>35</v>
      </c>
      <c r="F52" s="22" t="s">
        <v>157</v>
      </c>
      <c r="G52" s="29" t="s">
        <v>398</v>
      </c>
      <c r="H52" s="30" t="s">
        <v>399</v>
      </c>
    </row>
    <row r="53" customFormat="false" ht="15" hidden="false" customHeight="true" outlineLevel="0" collapsed="false">
      <c r="B53" s="5" t="s">
        <v>500</v>
      </c>
      <c r="C53" s="28" t="s">
        <v>501</v>
      </c>
      <c r="D53" s="21" t="n">
        <v>0.351140666098964</v>
      </c>
      <c r="E53" s="5" t="s">
        <v>35</v>
      </c>
      <c r="G53" s="29" t="s">
        <v>398</v>
      </c>
      <c r="H53" s="30" t="s">
        <v>399</v>
      </c>
    </row>
    <row r="54" customFormat="false" ht="15" hidden="false" customHeight="true" outlineLevel="0" collapsed="false">
      <c r="B54" s="5" t="s">
        <v>502</v>
      </c>
      <c r="C54" s="28" t="s">
        <v>503</v>
      </c>
      <c r="D54" s="13" t="n">
        <v>147</v>
      </c>
      <c r="E54" s="5" t="s">
        <v>35</v>
      </c>
      <c r="F54" s="22" t="s">
        <v>504</v>
      </c>
      <c r="G54" s="29" t="s">
        <v>398</v>
      </c>
      <c r="H54" s="30" t="s">
        <v>399</v>
      </c>
    </row>
    <row r="55" customFormat="false" ht="15" hidden="false" customHeight="true" outlineLevel="0" collapsed="false">
      <c r="B55" s="5" t="s">
        <v>505</v>
      </c>
      <c r="C55" s="28" t="s">
        <v>506</v>
      </c>
      <c r="D55" s="21" t="n">
        <v>0.00978304010205342</v>
      </c>
      <c r="E55" s="5" t="s">
        <v>416</v>
      </c>
      <c r="G55" s="29" t="s">
        <v>398</v>
      </c>
      <c r="H55" s="30" t="s">
        <v>399</v>
      </c>
    </row>
    <row r="56" customFormat="false" ht="15" hidden="false" customHeight="true" outlineLevel="0" collapsed="false">
      <c r="B56" s="5" t="s">
        <v>507</v>
      </c>
      <c r="C56" s="28" t="s">
        <v>508</v>
      </c>
      <c r="D56" s="14" t="n">
        <v>98.9274049913092</v>
      </c>
      <c r="E56" s="5" t="s">
        <v>481</v>
      </c>
      <c r="G56" s="29" t="s">
        <v>398</v>
      </c>
      <c r="H56" s="30" t="s">
        <v>399</v>
      </c>
    </row>
    <row r="60" customFormat="false" ht="15" hidden="false" customHeight="true" outlineLevel="0" collapsed="false">
      <c r="B60" s="4" t="s">
        <v>63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64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65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66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67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68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69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70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509</v>
      </c>
      <c r="C68" s="3"/>
      <c r="D68" s="3"/>
      <c r="E68" s="3"/>
      <c r="F68" s="3"/>
    </row>
  </sheetData>
  <mergeCells count="11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510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511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512</v>
      </c>
      <c r="C5" s="27" t="s">
        <v>513</v>
      </c>
      <c r="D5" s="27" t="s">
        <v>337</v>
      </c>
      <c r="E5" s="27" t="s">
        <v>514</v>
      </c>
      <c r="F5" s="27" t="s">
        <v>515</v>
      </c>
      <c r="G5" s="27" t="s">
        <v>516</v>
      </c>
      <c r="H5" s="27" t="s">
        <v>517</v>
      </c>
      <c r="I5" s="27" t="s">
        <v>518</v>
      </c>
      <c r="J5" s="27" t="s">
        <v>362</v>
      </c>
      <c r="K5" s="27" t="s">
        <v>393</v>
      </c>
    </row>
    <row r="6" customFormat="false" ht="23.85" hidden="false" customHeight="false" outlineLevel="0" collapsed="false">
      <c r="B6" s="33" t="s">
        <v>519</v>
      </c>
      <c r="C6" s="33" t="s">
        <v>520</v>
      </c>
      <c r="D6" s="33" t="s">
        <v>521</v>
      </c>
      <c r="E6" s="30" t="s">
        <v>522</v>
      </c>
      <c r="F6" s="33" t="s">
        <v>523</v>
      </c>
      <c r="G6" s="33"/>
      <c r="H6" s="34" t="n">
        <v>8985</v>
      </c>
      <c r="I6" s="33" t="n">
        <v>0</v>
      </c>
      <c r="J6" s="33" t="s">
        <v>524</v>
      </c>
      <c r="K6" s="35" t="s">
        <v>525</v>
      </c>
    </row>
    <row r="7" customFormat="false" ht="23.85" hidden="false" customHeight="false" outlineLevel="0" collapsed="false">
      <c r="B7" s="33" t="s">
        <v>526</v>
      </c>
      <c r="C7" s="33" t="s">
        <v>520</v>
      </c>
      <c r="D7" s="33" t="s">
        <v>527</v>
      </c>
      <c r="E7" s="30" t="s">
        <v>528</v>
      </c>
      <c r="F7" s="33" t="s">
        <v>523</v>
      </c>
      <c r="G7" s="33" t="s">
        <v>529</v>
      </c>
      <c r="H7" s="34" t="n">
        <v>3905</v>
      </c>
      <c r="I7" s="33" t="n">
        <v>0</v>
      </c>
      <c r="J7" s="33" t="s">
        <v>524</v>
      </c>
      <c r="K7" s="35" t="s">
        <v>530</v>
      </c>
    </row>
    <row r="8" customFormat="false" ht="15" hidden="false" customHeight="false" outlineLevel="0" collapsed="false">
      <c r="B8" s="33" t="s">
        <v>531</v>
      </c>
      <c r="C8" s="33" t="s">
        <v>520</v>
      </c>
      <c r="D8" s="33" t="s">
        <v>532</v>
      </c>
      <c r="E8" s="30" t="s">
        <v>533</v>
      </c>
      <c r="F8" s="33" t="s">
        <v>523</v>
      </c>
      <c r="G8" s="33" t="s">
        <v>534</v>
      </c>
      <c r="H8" s="34" t="n">
        <v>2374</v>
      </c>
      <c r="I8" s="33" t="n">
        <v>0</v>
      </c>
      <c r="J8" s="33" t="s">
        <v>524</v>
      </c>
      <c r="K8" s="35" t="s">
        <v>535</v>
      </c>
    </row>
    <row r="9" customFormat="false" ht="19.4" hidden="false" customHeight="false" outlineLevel="0" collapsed="false">
      <c r="B9" s="33" t="s">
        <v>536</v>
      </c>
      <c r="C9" s="33" t="s">
        <v>520</v>
      </c>
      <c r="D9" s="33" t="s">
        <v>537</v>
      </c>
      <c r="E9" s="30" t="s">
        <v>538</v>
      </c>
      <c r="F9" s="33" t="s">
        <v>523</v>
      </c>
      <c r="G9" s="33"/>
      <c r="H9" s="34" t="n">
        <v>2037</v>
      </c>
      <c r="I9" s="33" t="n">
        <v>0</v>
      </c>
      <c r="J9" s="33" t="s">
        <v>524</v>
      </c>
      <c r="K9" s="35" t="s">
        <v>539</v>
      </c>
    </row>
    <row r="10" customFormat="false" ht="19.4" hidden="false" customHeight="false" outlineLevel="0" collapsed="false">
      <c r="B10" s="33" t="s">
        <v>540</v>
      </c>
      <c r="C10" s="33" t="s">
        <v>520</v>
      </c>
      <c r="D10" s="33" t="s">
        <v>537</v>
      </c>
      <c r="E10" s="30" t="s">
        <v>541</v>
      </c>
      <c r="F10" s="33" t="s">
        <v>523</v>
      </c>
      <c r="G10" s="33"/>
      <c r="H10" s="34" t="n">
        <v>1882</v>
      </c>
      <c r="I10" s="33" t="n">
        <v>0</v>
      </c>
      <c r="J10" s="33" t="s">
        <v>524</v>
      </c>
      <c r="K10" s="35" t="s">
        <v>542</v>
      </c>
    </row>
    <row r="11" customFormat="false" ht="23.85" hidden="false" customHeight="false" outlineLevel="0" collapsed="false">
      <c r="B11" s="33" t="s">
        <v>543</v>
      </c>
      <c r="C11" s="33" t="s">
        <v>520</v>
      </c>
      <c r="D11" s="33" t="s">
        <v>544</v>
      </c>
      <c r="E11" s="30" t="s">
        <v>545</v>
      </c>
      <c r="F11" s="33" t="s">
        <v>523</v>
      </c>
      <c r="G11" s="33" t="s">
        <v>546</v>
      </c>
      <c r="H11" s="34" t="n">
        <v>4455</v>
      </c>
      <c r="I11" s="33" t="n">
        <v>0</v>
      </c>
      <c r="J11" s="33" t="s">
        <v>524</v>
      </c>
      <c r="K11" s="35" t="s">
        <v>547</v>
      </c>
    </row>
    <row r="12" customFormat="false" ht="23.85" hidden="false" customHeight="false" outlineLevel="0" collapsed="false">
      <c r="B12" s="33" t="s">
        <v>548</v>
      </c>
      <c r="C12" s="33" t="s">
        <v>549</v>
      </c>
      <c r="D12" s="33" t="s">
        <v>550</v>
      </c>
      <c r="E12" s="30" t="s">
        <v>551</v>
      </c>
      <c r="F12" s="33" t="s">
        <v>552</v>
      </c>
      <c r="G12" s="33"/>
      <c r="H12" s="36" t="n">
        <v>0</v>
      </c>
      <c r="I12" s="33" t="n">
        <v>0</v>
      </c>
      <c r="J12" s="33" t="s">
        <v>553</v>
      </c>
      <c r="K12" s="35" t="s">
        <v>554</v>
      </c>
    </row>
    <row r="13" customFormat="false" ht="15" hidden="false" customHeight="false" outlineLevel="0" collapsed="false">
      <c r="B13" s="33" t="s">
        <v>555</v>
      </c>
      <c r="C13" s="33" t="s">
        <v>549</v>
      </c>
      <c r="D13" s="33" t="s">
        <v>556</v>
      </c>
      <c r="E13" s="30" t="s">
        <v>557</v>
      </c>
      <c r="F13" s="33" t="s">
        <v>558</v>
      </c>
      <c r="G13" s="33"/>
      <c r="H13" s="36" t="n">
        <v>0</v>
      </c>
      <c r="I13" s="33" t="n">
        <v>0</v>
      </c>
      <c r="J13" s="33" t="s">
        <v>553</v>
      </c>
      <c r="K13" s="35" t="s">
        <v>559</v>
      </c>
    </row>
    <row r="14" customFormat="false" ht="23.85" hidden="false" customHeight="false" outlineLevel="0" collapsed="false">
      <c r="B14" s="33" t="s">
        <v>560</v>
      </c>
      <c r="C14" s="33" t="s">
        <v>549</v>
      </c>
      <c r="D14" s="33" t="s">
        <v>561</v>
      </c>
      <c r="E14" s="30" t="s">
        <v>562</v>
      </c>
      <c r="F14" s="33" t="s">
        <v>552</v>
      </c>
      <c r="G14" s="33" t="s">
        <v>563</v>
      </c>
      <c r="H14" s="36" t="n">
        <v>0</v>
      </c>
      <c r="I14" s="33" t="n">
        <v>0</v>
      </c>
      <c r="J14" s="33" t="s">
        <v>553</v>
      </c>
      <c r="K14" s="35" t="s">
        <v>564</v>
      </c>
    </row>
    <row r="15" customFormat="false" ht="15" hidden="false" customHeight="false" outlineLevel="0" collapsed="false">
      <c r="B15" s="33" t="s">
        <v>565</v>
      </c>
      <c r="C15" s="33" t="s">
        <v>549</v>
      </c>
      <c r="D15" s="33" t="s">
        <v>566</v>
      </c>
      <c r="E15" s="30" t="s">
        <v>567</v>
      </c>
      <c r="F15" s="33" t="s">
        <v>558</v>
      </c>
      <c r="G15" s="33"/>
      <c r="H15" s="36" t="n">
        <v>0</v>
      </c>
      <c r="I15" s="33" t="n">
        <v>0</v>
      </c>
      <c r="J15" s="33" t="s">
        <v>553</v>
      </c>
      <c r="K15" s="35" t="s">
        <v>568</v>
      </c>
    </row>
    <row r="16" customFormat="false" ht="15" hidden="false" customHeight="false" outlineLevel="0" collapsed="false">
      <c r="B16" s="33" t="s">
        <v>569</v>
      </c>
      <c r="C16" s="33" t="s">
        <v>549</v>
      </c>
      <c r="D16" s="33" t="s">
        <v>566</v>
      </c>
      <c r="E16" s="30" t="s">
        <v>570</v>
      </c>
      <c r="F16" s="33" t="s">
        <v>558</v>
      </c>
      <c r="G16" s="33"/>
      <c r="H16" s="36" t="n">
        <v>0</v>
      </c>
      <c r="I16" s="33" t="n">
        <v>0</v>
      </c>
      <c r="J16" s="33" t="s">
        <v>553</v>
      </c>
      <c r="K16" s="35" t="s">
        <v>571</v>
      </c>
    </row>
    <row r="17" customFormat="false" ht="15" hidden="false" customHeight="false" outlineLevel="0" collapsed="false">
      <c r="B17" s="33" t="s">
        <v>572</v>
      </c>
      <c r="C17" s="33" t="s">
        <v>549</v>
      </c>
      <c r="D17" s="33" t="s">
        <v>566</v>
      </c>
      <c r="E17" s="30" t="s">
        <v>573</v>
      </c>
      <c r="F17" s="33" t="s">
        <v>558</v>
      </c>
      <c r="G17" s="33"/>
      <c r="H17" s="36" t="n">
        <v>0</v>
      </c>
      <c r="I17" s="33" t="n">
        <v>0</v>
      </c>
      <c r="J17" s="33" t="s">
        <v>553</v>
      </c>
      <c r="K17" s="35" t="s">
        <v>574</v>
      </c>
    </row>
    <row r="18" customFormat="false" ht="15" hidden="false" customHeight="false" outlineLevel="0" collapsed="false">
      <c r="B18" s="33" t="s">
        <v>575</v>
      </c>
      <c r="C18" s="33" t="s">
        <v>549</v>
      </c>
      <c r="D18" s="33" t="s">
        <v>566</v>
      </c>
      <c r="E18" s="30" t="s">
        <v>576</v>
      </c>
      <c r="F18" s="33" t="s">
        <v>558</v>
      </c>
      <c r="G18" s="33"/>
      <c r="H18" s="36" t="n">
        <v>0</v>
      </c>
      <c r="I18" s="33" t="n">
        <v>0</v>
      </c>
      <c r="J18" s="33" t="s">
        <v>553</v>
      </c>
      <c r="K18" s="35" t="s">
        <v>577</v>
      </c>
    </row>
    <row r="19" customFormat="false" ht="15" hidden="false" customHeight="false" outlineLevel="0" collapsed="false">
      <c r="B19" s="33" t="s">
        <v>578</v>
      </c>
      <c r="C19" s="33" t="s">
        <v>549</v>
      </c>
      <c r="D19" s="33" t="s">
        <v>566</v>
      </c>
      <c r="E19" s="30" t="s">
        <v>579</v>
      </c>
      <c r="F19" s="33" t="s">
        <v>558</v>
      </c>
      <c r="G19" s="33"/>
      <c r="H19" s="36" t="n">
        <v>0</v>
      </c>
      <c r="I19" s="33" t="n">
        <v>0</v>
      </c>
      <c r="J19" s="33" t="s">
        <v>553</v>
      </c>
      <c r="K19" s="35" t="s">
        <v>580</v>
      </c>
    </row>
    <row r="20" customFormat="false" ht="19.4" hidden="false" customHeight="false" outlineLevel="0" collapsed="false">
      <c r="B20" s="33" t="s">
        <v>581</v>
      </c>
      <c r="C20" s="33" t="s">
        <v>582</v>
      </c>
      <c r="D20" s="33" t="s">
        <v>566</v>
      </c>
      <c r="E20" s="30" t="s">
        <v>583</v>
      </c>
      <c r="F20" s="33" t="s">
        <v>584</v>
      </c>
      <c r="G20" s="33"/>
      <c r="H20" s="36" t="n">
        <v>0</v>
      </c>
      <c r="I20" s="33" t="n">
        <v>0</v>
      </c>
      <c r="J20" s="33" t="s">
        <v>553</v>
      </c>
      <c r="K20" s="35" t="s">
        <v>585</v>
      </c>
    </row>
    <row r="21" customFormat="false" ht="23.85" hidden="false" customHeight="false" outlineLevel="0" collapsed="false">
      <c r="B21" s="33" t="s">
        <v>586</v>
      </c>
      <c r="C21" s="33" t="s">
        <v>582</v>
      </c>
      <c r="D21" s="33" t="s">
        <v>566</v>
      </c>
      <c r="E21" s="30" t="s">
        <v>587</v>
      </c>
      <c r="F21" s="33" t="s">
        <v>584</v>
      </c>
      <c r="G21" s="33"/>
      <c r="H21" s="36" t="n">
        <v>0</v>
      </c>
      <c r="I21" s="33" t="n">
        <v>0</v>
      </c>
      <c r="J21" s="33" t="s">
        <v>553</v>
      </c>
      <c r="K21" s="35" t="s">
        <v>588</v>
      </c>
    </row>
    <row r="22" customFormat="false" ht="19.4" hidden="false" customHeight="false" outlineLevel="0" collapsed="false">
      <c r="B22" s="33" t="s">
        <v>589</v>
      </c>
      <c r="C22" s="33" t="s">
        <v>582</v>
      </c>
      <c r="D22" s="33" t="s">
        <v>566</v>
      </c>
      <c r="E22" s="30" t="s">
        <v>590</v>
      </c>
      <c r="F22" s="33" t="s">
        <v>584</v>
      </c>
      <c r="G22" s="33"/>
      <c r="H22" s="36" t="n">
        <v>0</v>
      </c>
      <c r="I22" s="33" t="n">
        <v>0</v>
      </c>
      <c r="J22" s="33" t="s">
        <v>553</v>
      </c>
      <c r="K22" s="35" t="s">
        <v>591</v>
      </c>
    </row>
    <row r="23" customFormat="false" ht="19.4" hidden="false" customHeight="false" outlineLevel="0" collapsed="false">
      <c r="B23" s="33" t="s">
        <v>592</v>
      </c>
      <c r="C23" s="33" t="s">
        <v>582</v>
      </c>
      <c r="D23" s="33" t="s">
        <v>566</v>
      </c>
      <c r="E23" s="30" t="s">
        <v>593</v>
      </c>
      <c r="F23" s="33" t="s">
        <v>584</v>
      </c>
      <c r="G23" s="33"/>
      <c r="H23" s="36" t="n">
        <v>0</v>
      </c>
      <c r="I23" s="33" t="n">
        <v>0</v>
      </c>
      <c r="J23" s="33" t="s">
        <v>553</v>
      </c>
      <c r="K23" s="35" t="s">
        <v>594</v>
      </c>
    </row>
    <row r="24" customFormat="false" ht="19.4" hidden="false" customHeight="false" outlineLevel="0" collapsed="false">
      <c r="B24" s="33" t="s">
        <v>595</v>
      </c>
      <c r="C24" s="33" t="s">
        <v>582</v>
      </c>
      <c r="D24" s="33" t="s">
        <v>566</v>
      </c>
      <c r="E24" s="30" t="s">
        <v>596</v>
      </c>
      <c r="F24" s="33" t="s">
        <v>584</v>
      </c>
      <c r="G24" s="33"/>
      <c r="H24" s="36" t="n">
        <v>0</v>
      </c>
      <c r="I24" s="33" t="n">
        <v>0</v>
      </c>
      <c r="J24" s="33" t="s">
        <v>553</v>
      </c>
      <c r="K24" s="35" t="s">
        <v>597</v>
      </c>
    </row>
    <row r="25" customFormat="false" ht="35.05" hidden="false" customHeight="false" outlineLevel="0" collapsed="false">
      <c r="B25" s="33" t="s">
        <v>598</v>
      </c>
      <c r="C25" s="33" t="s">
        <v>599</v>
      </c>
      <c r="D25" s="33" t="s">
        <v>566</v>
      </c>
      <c r="E25" s="30" t="s">
        <v>600</v>
      </c>
      <c r="F25" s="33" t="s">
        <v>601</v>
      </c>
      <c r="G25" s="33"/>
      <c r="H25" s="36" t="n">
        <v>0</v>
      </c>
      <c r="I25" s="33" t="n">
        <v>0</v>
      </c>
      <c r="J25" s="33" t="s">
        <v>602</v>
      </c>
      <c r="K25" s="35" t="s">
        <v>603</v>
      </c>
    </row>
    <row r="27" customFormat="false" ht="15" hidden="false" customHeight="false" outlineLevel="0" collapsed="false">
      <c r="B27" s="37" t="s">
        <v>38</v>
      </c>
      <c r="H27" s="38" t="n">
        <f aca="false">SUM(H6:H25)</f>
        <v>23638</v>
      </c>
      <c r="I27" s="37" t="n">
        <f aca="false">SUM(I6:I25)</f>
        <v>0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604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605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606</v>
      </c>
    </row>
    <row r="6" customFormat="false" ht="15" hidden="false" customHeight="false" outlineLevel="0" collapsed="false">
      <c r="B6" s="27" t="s">
        <v>607</v>
      </c>
      <c r="C6" s="27" t="s">
        <v>608</v>
      </c>
      <c r="D6" s="27" t="s">
        <v>609</v>
      </c>
      <c r="E6" s="27" t="s">
        <v>610</v>
      </c>
      <c r="F6" s="27" t="s">
        <v>611</v>
      </c>
      <c r="G6" s="27" t="s">
        <v>273</v>
      </c>
    </row>
    <row r="7" customFormat="false" ht="15" hidden="false" customHeight="false" outlineLevel="0" collapsed="false">
      <c r="B7" s="30" t="s">
        <v>612</v>
      </c>
      <c r="C7" s="33" t="n">
        <v>2</v>
      </c>
      <c r="D7" s="36" t="n">
        <v>4455</v>
      </c>
      <c r="E7" s="40" t="n">
        <f aca="false">C7/20</f>
        <v>0.1</v>
      </c>
      <c r="F7" s="30" t="s">
        <v>613</v>
      </c>
      <c r="G7" s="30" t="s">
        <v>614</v>
      </c>
    </row>
    <row r="8" customFormat="false" ht="15" hidden="false" customHeight="false" outlineLevel="0" collapsed="false">
      <c r="B8" s="30" t="s">
        <v>615</v>
      </c>
      <c r="C8" s="33" t="n">
        <v>11</v>
      </c>
      <c r="D8" s="36" t="n">
        <v>3905</v>
      </c>
      <c r="E8" s="40" t="n">
        <f aca="false">C8/20</f>
        <v>0.55</v>
      </c>
      <c r="F8" s="30" t="s">
        <v>616</v>
      </c>
      <c r="G8" s="30" t="s">
        <v>617</v>
      </c>
    </row>
    <row r="9" customFormat="false" ht="15" hidden="false" customHeight="false" outlineLevel="0" collapsed="false">
      <c r="B9" s="30" t="s">
        <v>618</v>
      </c>
      <c r="C9" s="33" t="n">
        <v>5</v>
      </c>
      <c r="D9" s="36" t="n">
        <v>15278</v>
      </c>
      <c r="E9" s="40" t="n">
        <f aca="false">C9/20</f>
        <v>0.25</v>
      </c>
      <c r="F9" s="30" t="s">
        <v>619</v>
      </c>
      <c r="G9" s="30" t="s">
        <v>620</v>
      </c>
    </row>
    <row r="10" customFormat="false" ht="15" hidden="false" customHeight="false" outlineLevel="0" collapsed="false">
      <c r="B10" s="30" t="s">
        <v>621</v>
      </c>
      <c r="C10" s="33" t="n">
        <v>1</v>
      </c>
      <c r="D10" s="36" t="n">
        <v>0</v>
      </c>
      <c r="E10" s="40" t="n">
        <f aca="false">C10/20</f>
        <v>0.05</v>
      </c>
      <c r="F10" s="30" t="s">
        <v>613</v>
      </c>
      <c r="G10" s="30" t="s">
        <v>583</v>
      </c>
    </row>
    <row r="11" customFormat="false" ht="15" hidden="false" customHeight="false" outlineLevel="0" collapsed="false">
      <c r="B11" s="30" t="s">
        <v>622</v>
      </c>
      <c r="C11" s="33" t="n">
        <v>1</v>
      </c>
      <c r="D11" s="36" t="n">
        <v>0</v>
      </c>
      <c r="E11" s="40" t="n">
        <f aca="false">C11/20</f>
        <v>0.05</v>
      </c>
      <c r="F11" s="30" t="s">
        <v>613</v>
      </c>
      <c r="G11" s="30" t="s">
        <v>623</v>
      </c>
    </row>
    <row r="12" customFormat="false" ht="15" hidden="false" customHeight="false" outlineLevel="0" collapsed="false">
      <c r="B12" s="37" t="s">
        <v>38</v>
      </c>
      <c r="C12" s="37" t="n">
        <f aca="false">SUM(C7:C11)</f>
        <v>20</v>
      </c>
      <c r="D12" s="38" t="n">
        <f aca="false">SUM(D7:D11)</f>
        <v>23638</v>
      </c>
    </row>
    <row r="15" customFormat="false" ht="15" hidden="false" customHeight="false" outlineLevel="0" collapsed="false">
      <c r="B15" s="39" t="s">
        <v>624</v>
      </c>
    </row>
    <row r="16" customFormat="false" ht="15" hidden="false" customHeight="false" outlineLevel="0" collapsed="false">
      <c r="B16" s="27" t="s">
        <v>625</v>
      </c>
      <c r="C16" s="27" t="s">
        <v>608</v>
      </c>
      <c r="D16" s="27" t="s">
        <v>626</v>
      </c>
      <c r="E16" s="27" t="s">
        <v>627</v>
      </c>
    </row>
    <row r="17" customFormat="false" ht="15" hidden="false" customHeight="false" outlineLevel="0" collapsed="false">
      <c r="B17" s="30" t="s">
        <v>616</v>
      </c>
      <c r="C17" s="33" t="n">
        <v>11</v>
      </c>
      <c r="D17" s="36" t="n">
        <v>0</v>
      </c>
      <c r="E17" s="30" t="s">
        <v>628</v>
      </c>
    </row>
    <row r="18" customFormat="false" ht="23.85" hidden="false" customHeight="false" outlineLevel="0" collapsed="false">
      <c r="B18" s="30" t="s">
        <v>613</v>
      </c>
      <c r="C18" s="33" t="n">
        <v>5</v>
      </c>
      <c r="D18" s="36" t="n">
        <v>8360</v>
      </c>
      <c r="E18" s="30" t="s">
        <v>629</v>
      </c>
    </row>
    <row r="19" customFormat="false" ht="23.85" hidden="false" customHeight="false" outlineLevel="0" collapsed="false">
      <c r="B19" s="30" t="s">
        <v>619</v>
      </c>
      <c r="C19" s="33" t="n">
        <v>4</v>
      </c>
      <c r="D19" s="36" t="n">
        <v>15278</v>
      </c>
      <c r="E19" s="30" t="s">
        <v>629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630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631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632</v>
      </c>
    </row>
    <row r="6" customFormat="false" ht="15" hidden="false" customHeight="false" outlineLevel="0" collapsed="false">
      <c r="B6" s="27" t="s">
        <v>633</v>
      </c>
      <c r="C6" s="27" t="s">
        <v>634</v>
      </c>
      <c r="D6" s="27" t="s">
        <v>635</v>
      </c>
      <c r="E6" s="27" t="s">
        <v>362</v>
      </c>
      <c r="F6" s="27" t="s">
        <v>636</v>
      </c>
    </row>
    <row r="7" customFormat="false" ht="15" hidden="false" customHeight="false" outlineLevel="0" collapsed="false">
      <c r="B7" s="30" t="s">
        <v>637</v>
      </c>
      <c r="C7" s="41" t="n">
        <v>5</v>
      </c>
      <c r="D7" s="33" t="s">
        <v>638</v>
      </c>
      <c r="E7" s="30" t="s">
        <v>639</v>
      </c>
      <c r="F7" s="30" t="s">
        <v>640</v>
      </c>
    </row>
    <row r="8" customFormat="false" ht="15" hidden="false" customHeight="false" outlineLevel="0" collapsed="false">
      <c r="B8" s="30" t="s">
        <v>641</v>
      </c>
      <c r="C8" s="33" t="s">
        <v>642</v>
      </c>
      <c r="D8" s="33" t="s">
        <v>643</v>
      </c>
      <c r="E8" s="30" t="s">
        <v>639</v>
      </c>
      <c r="F8" s="30" t="s">
        <v>644</v>
      </c>
    </row>
    <row r="9" customFormat="false" ht="15" hidden="false" customHeight="false" outlineLevel="0" collapsed="false">
      <c r="B9" s="30" t="s">
        <v>645</v>
      </c>
      <c r="C9" s="33" t="s">
        <v>646</v>
      </c>
      <c r="D9" s="33" t="s">
        <v>647</v>
      </c>
      <c r="E9" s="30" t="s">
        <v>648</v>
      </c>
      <c r="F9" s="30" t="s">
        <v>649</v>
      </c>
    </row>
    <row r="10" customFormat="false" ht="15" hidden="false" customHeight="false" outlineLevel="0" collapsed="false">
      <c r="B10" s="30" t="s">
        <v>650</v>
      </c>
      <c r="C10" s="41" t="n">
        <v>8</v>
      </c>
      <c r="D10" s="33" t="s">
        <v>651</v>
      </c>
      <c r="E10" s="42" t="s">
        <v>652</v>
      </c>
      <c r="F10" s="30" t="s">
        <v>653</v>
      </c>
    </row>
    <row r="11" customFormat="false" ht="15" hidden="false" customHeight="false" outlineLevel="0" collapsed="false">
      <c r="B11" s="30" t="s">
        <v>654</v>
      </c>
      <c r="C11" s="41" t="n">
        <v>0</v>
      </c>
      <c r="D11" s="33" t="s">
        <v>655</v>
      </c>
      <c r="E11" s="43" t="s">
        <v>656</v>
      </c>
      <c r="F11" s="30" t="s">
        <v>657</v>
      </c>
    </row>
    <row r="12" customFormat="false" ht="15" hidden="false" customHeight="false" outlineLevel="0" collapsed="false">
      <c r="B12" s="30" t="s">
        <v>658</v>
      </c>
      <c r="C12" s="41" t="n">
        <v>6</v>
      </c>
      <c r="D12" s="33" t="s">
        <v>655</v>
      </c>
      <c r="E12" s="42" t="s">
        <v>652</v>
      </c>
      <c r="F12" s="30" t="s">
        <v>659</v>
      </c>
    </row>
    <row r="13" customFormat="false" ht="15" hidden="false" customHeight="false" outlineLevel="0" collapsed="false">
      <c r="B13" s="30" t="s">
        <v>660</v>
      </c>
      <c r="C13" s="41" t="n">
        <v>0</v>
      </c>
      <c r="D13" s="33" t="s">
        <v>661</v>
      </c>
      <c r="E13" s="43" t="s">
        <v>656</v>
      </c>
      <c r="F13" s="30" t="s">
        <v>662</v>
      </c>
    </row>
    <row r="14" customFormat="false" ht="15" hidden="false" customHeight="false" outlineLevel="0" collapsed="false">
      <c r="B14" s="30" t="s">
        <v>663</v>
      </c>
      <c r="C14" s="41" t="n">
        <v>8</v>
      </c>
      <c r="D14" s="33" t="s">
        <v>664</v>
      </c>
      <c r="E14" s="43" t="s">
        <v>656</v>
      </c>
      <c r="F14" s="30" t="s">
        <v>665</v>
      </c>
    </row>
    <row r="15" customFormat="false" ht="15" hidden="false" customHeight="false" outlineLevel="0" collapsed="false">
      <c r="B15" s="30" t="s">
        <v>666</v>
      </c>
      <c r="C15" s="41" t="n">
        <v>23638</v>
      </c>
      <c r="D15" s="33" t="s">
        <v>667</v>
      </c>
      <c r="E15" s="43" t="s">
        <v>668</v>
      </c>
      <c r="F15" s="30" t="s">
        <v>669</v>
      </c>
    </row>
    <row r="18" customFormat="false" ht="15" hidden="false" customHeight="false" outlineLevel="0" collapsed="false">
      <c r="B18" s="39" t="s">
        <v>670</v>
      </c>
    </row>
    <row r="19" customFormat="false" ht="15" hidden="false" customHeight="false" outlineLevel="0" collapsed="false">
      <c r="B19" s="27" t="s">
        <v>671</v>
      </c>
      <c r="C19" s="27" t="s">
        <v>672</v>
      </c>
      <c r="D19" s="27" t="s">
        <v>392</v>
      </c>
      <c r="E19" s="27" t="s">
        <v>673</v>
      </c>
      <c r="F19" s="27" t="s">
        <v>674</v>
      </c>
    </row>
    <row r="20" customFormat="false" ht="15" hidden="false" customHeight="false" outlineLevel="0" collapsed="false">
      <c r="B20" s="30" t="s">
        <v>675</v>
      </c>
      <c r="C20" s="44" t="n">
        <f aca="false">'Benchmark KPIs'!D55</f>
        <v>0.00978304010205342</v>
      </c>
      <c r="D20" s="33" t="s">
        <v>30</v>
      </c>
      <c r="E20" s="30" t="s">
        <v>676</v>
      </c>
      <c r="F20" s="30" t="s">
        <v>677</v>
      </c>
    </row>
    <row r="21" customFormat="false" ht="15" hidden="false" customHeight="false" outlineLevel="0" collapsed="false">
      <c r="B21" s="30" t="s">
        <v>678</v>
      </c>
      <c r="C21" s="45" t="n">
        <f aca="false">'Benchmark KPIs'!D21</f>
        <v>1232269.8</v>
      </c>
      <c r="D21" s="33" t="s">
        <v>30</v>
      </c>
      <c r="E21" s="30" t="s">
        <v>676</v>
      </c>
      <c r="F21" s="30" t="s">
        <v>679</v>
      </c>
    </row>
    <row r="22" customFormat="false" ht="15" hidden="false" customHeight="false" outlineLevel="0" collapsed="false">
      <c r="B22" s="30" t="s">
        <v>680</v>
      </c>
      <c r="C22" s="44" t="n">
        <f aca="false">'Benchmark KPIs'!D20</f>
        <v>0.46540616331563</v>
      </c>
      <c r="D22" s="33" t="s">
        <v>30</v>
      </c>
      <c r="E22" s="30" t="s">
        <v>676</v>
      </c>
      <c r="F22" s="30" t="s">
        <v>681</v>
      </c>
    </row>
    <row r="23" customFormat="false" ht="15" hidden="false" customHeight="false" outlineLevel="0" collapsed="false">
      <c r="B23" s="30" t="s">
        <v>682</v>
      </c>
      <c r="C23" s="33" t="n">
        <v>26</v>
      </c>
      <c r="D23" s="33" t="s">
        <v>683</v>
      </c>
      <c r="E23" s="30" t="s">
        <v>684</v>
      </c>
      <c r="F23" s="30" t="s">
        <v>685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686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687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688</v>
      </c>
      <c r="C5" s="27" t="s">
        <v>689</v>
      </c>
      <c r="D5" s="27" t="s">
        <v>690</v>
      </c>
      <c r="E5" s="27" t="s">
        <v>41</v>
      </c>
      <c r="F5" s="27" t="s">
        <v>691</v>
      </c>
      <c r="G5" s="27" t="s">
        <v>692</v>
      </c>
      <c r="H5" s="27" t="s">
        <v>392</v>
      </c>
      <c r="I5" s="27" t="s">
        <v>693</v>
      </c>
      <c r="J5" s="27" t="s">
        <v>694</v>
      </c>
    </row>
    <row r="6" customFormat="false" ht="15" hidden="false" customHeight="false" outlineLevel="0" collapsed="false">
      <c r="B6" s="33" t="n">
        <v>1</v>
      </c>
      <c r="C6" s="30" t="s">
        <v>395</v>
      </c>
      <c r="D6" s="30" t="s">
        <v>394</v>
      </c>
      <c r="E6" s="33" t="str">
        <f aca="false">'Benchmark KPIs'!D6</f>
        <v>2018</v>
      </c>
      <c r="F6" s="33" t="s">
        <v>695</v>
      </c>
      <c r="G6" s="30" t="s">
        <v>388</v>
      </c>
      <c r="H6" s="29" t="s">
        <v>398</v>
      </c>
      <c r="I6" s="30" t="s">
        <v>696</v>
      </c>
      <c r="J6" s="30" t="s">
        <v>697</v>
      </c>
    </row>
    <row r="7" customFormat="false" ht="23.85" hidden="false" customHeight="false" outlineLevel="0" collapsed="false">
      <c r="B7" s="33" t="n">
        <v>2</v>
      </c>
      <c r="C7" s="30" t="s">
        <v>401</v>
      </c>
      <c r="D7" s="30" t="s">
        <v>400</v>
      </c>
      <c r="E7" s="33" t="str">
        <f aca="false">'Benchmark KPIs'!D7</f>
        <v>SRM Astro Apartments</v>
      </c>
      <c r="F7" s="33" t="s">
        <v>698</v>
      </c>
      <c r="G7" s="30" t="s">
        <v>388</v>
      </c>
      <c r="H7" s="29" t="s">
        <v>398</v>
      </c>
      <c r="I7" s="30" t="s">
        <v>699</v>
      </c>
      <c r="J7" s="30" t="s">
        <v>697</v>
      </c>
    </row>
    <row r="8" customFormat="false" ht="23.85" hidden="false" customHeight="false" outlineLevel="0" collapsed="false">
      <c r="B8" s="33" t="n">
        <v>3</v>
      </c>
      <c r="C8" s="30" t="s">
        <v>402</v>
      </c>
      <c r="D8" s="30" t="s">
        <v>7</v>
      </c>
      <c r="E8" s="33" t="str">
        <f aca="false">'Benchmark KPIs'!D8</f>
        <v>SRMQA, LLC (SRM Development)</v>
      </c>
      <c r="F8" s="33" t="s">
        <v>698</v>
      </c>
      <c r="G8" s="30" t="s">
        <v>388</v>
      </c>
      <c r="H8" s="29" t="s">
        <v>398</v>
      </c>
      <c r="I8" s="30" t="s">
        <v>699</v>
      </c>
      <c r="J8" s="30" t="s">
        <v>697</v>
      </c>
    </row>
    <row r="9" customFormat="false" ht="15" hidden="false" customHeight="false" outlineLevel="0" collapsed="false">
      <c r="B9" s="33" t="n">
        <v>4</v>
      </c>
      <c r="C9" s="30" t="s">
        <v>403</v>
      </c>
      <c r="D9" s="30" t="s">
        <v>9</v>
      </c>
      <c r="E9" s="33" t="str">
        <f aca="false">'Benchmark KPIs'!D9</f>
        <v>Seattle, WA</v>
      </c>
      <c r="F9" s="33" t="s">
        <v>698</v>
      </c>
      <c r="G9" s="30" t="s">
        <v>388</v>
      </c>
      <c r="H9" s="29" t="s">
        <v>398</v>
      </c>
      <c r="I9" s="30" t="s">
        <v>700</v>
      </c>
      <c r="J9" s="30" t="s">
        <v>697</v>
      </c>
    </row>
    <row r="10" customFormat="false" ht="46.25" hidden="false" customHeight="false" outlineLevel="0" collapsed="false">
      <c r="B10" s="33" t="n">
        <v>5</v>
      </c>
      <c r="C10" s="30" t="s">
        <v>405</v>
      </c>
      <c r="D10" s="30" t="s">
        <v>404</v>
      </c>
      <c r="E10" s="33" t="str">
        <f aca="false">'Benchmark KPIs'!D10</f>
        <v>6-story multifamily apartments + 3 levels below-grade parking + retail/amenity</v>
      </c>
      <c r="F10" s="33" t="s">
        <v>698</v>
      </c>
      <c r="G10" s="30" t="s">
        <v>388</v>
      </c>
      <c r="H10" s="29" t="s">
        <v>398</v>
      </c>
      <c r="I10" s="30" t="s">
        <v>701</v>
      </c>
      <c r="J10" s="30" t="s">
        <v>697</v>
      </c>
    </row>
    <row r="11" customFormat="false" ht="15" hidden="false" customHeight="false" outlineLevel="0" collapsed="false">
      <c r="B11" s="33" t="n">
        <v>6</v>
      </c>
      <c r="C11" s="30" t="s">
        <v>408</v>
      </c>
      <c r="D11" s="30" t="s">
        <v>407</v>
      </c>
      <c r="E11" s="33" t="n">
        <f aca="false">'Benchmark KPIs'!D11</f>
        <v>15</v>
      </c>
      <c r="F11" s="33" t="s">
        <v>702</v>
      </c>
      <c r="G11" s="30" t="s">
        <v>388</v>
      </c>
      <c r="H11" s="29" t="s">
        <v>398</v>
      </c>
      <c r="I11" s="30" t="s">
        <v>703</v>
      </c>
      <c r="J11" s="30" t="s">
        <v>697</v>
      </c>
    </row>
    <row r="12" customFormat="false" ht="15" hidden="false" customHeight="false" outlineLevel="0" collapsed="false">
      <c r="B12" s="33" t="n">
        <v>7</v>
      </c>
      <c r="C12" s="30" t="s">
        <v>410</v>
      </c>
      <c r="D12" s="30" t="s">
        <v>409</v>
      </c>
      <c r="E12" s="45" t="n">
        <f aca="false">'Benchmark KPIs'!D12</f>
        <v>212</v>
      </c>
      <c r="F12" s="33" t="s">
        <v>284</v>
      </c>
      <c r="G12" s="30" t="s">
        <v>388</v>
      </c>
      <c r="H12" s="29" t="s">
        <v>398</v>
      </c>
      <c r="I12" s="30" t="s">
        <v>704</v>
      </c>
      <c r="J12" s="30" t="s">
        <v>697</v>
      </c>
    </row>
    <row r="13" customFormat="false" ht="15" hidden="false" customHeight="false" outlineLevel="0" collapsed="false">
      <c r="B13" s="33" t="n">
        <v>8</v>
      </c>
      <c r="C13" s="30" t="s">
        <v>411</v>
      </c>
      <c r="D13" s="30" t="s">
        <v>47</v>
      </c>
      <c r="E13" s="45" t="n">
        <f aca="false">'Benchmark KPIs'!D13</f>
        <v>1144</v>
      </c>
      <c r="F13" s="33" t="s">
        <v>705</v>
      </c>
      <c r="G13" s="30" t="s">
        <v>388</v>
      </c>
      <c r="H13" s="29" t="s">
        <v>398</v>
      </c>
      <c r="I13" s="30" t="s">
        <v>706</v>
      </c>
      <c r="J13" s="30" t="s">
        <v>697</v>
      </c>
    </row>
    <row r="14" customFormat="false" ht="15" hidden="false" customHeight="false" outlineLevel="0" collapsed="false">
      <c r="B14" s="33" t="n">
        <v>9</v>
      </c>
      <c r="C14" s="30" t="s">
        <v>415</v>
      </c>
      <c r="D14" s="30" t="s">
        <v>707</v>
      </c>
      <c r="E14" s="45" t="n">
        <f aca="false">'Benchmark KPIs'!D15</f>
        <v>2282726</v>
      </c>
      <c r="F14" s="33" t="s">
        <v>708</v>
      </c>
      <c r="G14" s="30" t="s">
        <v>388</v>
      </c>
      <c r="H14" s="29" t="s">
        <v>398</v>
      </c>
      <c r="I14" s="30" t="s">
        <v>709</v>
      </c>
      <c r="J14" s="30" t="s">
        <v>697</v>
      </c>
    </row>
    <row r="15" customFormat="false" ht="15" hidden="false" customHeight="false" outlineLevel="0" collapsed="false">
      <c r="B15" s="33" t="n">
        <v>10</v>
      </c>
      <c r="C15" s="30" t="s">
        <v>418</v>
      </c>
      <c r="D15" s="30" t="s">
        <v>710</v>
      </c>
      <c r="E15" s="45" t="n">
        <f aca="false">'Benchmark KPIs'!D16</f>
        <v>2305058</v>
      </c>
      <c r="F15" s="33" t="s">
        <v>708</v>
      </c>
      <c r="G15" s="30" t="s">
        <v>388</v>
      </c>
      <c r="H15" s="29" t="s">
        <v>398</v>
      </c>
      <c r="I15" s="30" t="s">
        <v>711</v>
      </c>
      <c r="J15" s="30" t="s">
        <v>697</v>
      </c>
    </row>
    <row r="16" customFormat="false" ht="15" hidden="false" customHeight="false" outlineLevel="0" collapsed="false">
      <c r="B16" s="33" t="n">
        <v>11</v>
      </c>
      <c r="C16" s="30" t="s">
        <v>421</v>
      </c>
      <c r="D16" s="30" t="s">
        <v>420</v>
      </c>
      <c r="E16" s="45" t="n">
        <f aca="false">'Benchmark KPIs'!D17</f>
        <v>22332</v>
      </c>
      <c r="F16" s="33" t="s">
        <v>708</v>
      </c>
      <c r="G16" s="30" t="s">
        <v>388</v>
      </c>
      <c r="H16" s="29" t="s">
        <v>398</v>
      </c>
      <c r="I16" s="30" t="s">
        <v>712</v>
      </c>
      <c r="J16" s="30" t="s">
        <v>697</v>
      </c>
    </row>
    <row r="17" customFormat="false" ht="15" hidden="false" customHeight="false" outlineLevel="0" collapsed="false">
      <c r="B17" s="33" t="n">
        <v>12</v>
      </c>
      <c r="C17" s="30" t="s">
        <v>423</v>
      </c>
      <c r="D17" s="30" t="s">
        <v>422</v>
      </c>
      <c r="E17" s="45" t="n">
        <f aca="false">'Benchmark KPIs'!D18</f>
        <v>2305058</v>
      </c>
      <c r="F17" s="33" t="s">
        <v>708</v>
      </c>
      <c r="G17" s="30" t="s">
        <v>388</v>
      </c>
      <c r="H17" s="29" t="s">
        <v>398</v>
      </c>
      <c r="I17" s="30" t="s">
        <v>713</v>
      </c>
      <c r="J17" s="30" t="s">
        <v>697</v>
      </c>
    </row>
    <row r="18" customFormat="false" ht="15" hidden="false" customHeight="false" outlineLevel="0" collapsed="false">
      <c r="B18" s="33" t="n">
        <v>13</v>
      </c>
      <c r="C18" s="30" t="s">
        <v>425</v>
      </c>
      <c r="D18" s="30" t="s">
        <v>424</v>
      </c>
      <c r="E18" s="45" t="n">
        <f aca="false">'Benchmark KPIs'!D19</f>
        <v>1072788.2</v>
      </c>
      <c r="F18" s="33" t="s">
        <v>708</v>
      </c>
      <c r="G18" s="30" t="s">
        <v>388</v>
      </c>
      <c r="H18" s="29" t="s">
        <v>398</v>
      </c>
      <c r="I18" s="30" t="s">
        <v>714</v>
      </c>
      <c r="J18" s="30" t="s">
        <v>697</v>
      </c>
    </row>
    <row r="19" customFormat="false" ht="15" hidden="false" customHeight="false" outlineLevel="0" collapsed="false">
      <c r="B19" s="33" t="n">
        <v>14</v>
      </c>
      <c r="C19" s="30" t="s">
        <v>427</v>
      </c>
      <c r="D19" s="30" t="s">
        <v>715</v>
      </c>
      <c r="E19" s="44" t="n">
        <f aca="false">'Benchmark KPIs'!D20</f>
        <v>0.46540616331563</v>
      </c>
      <c r="F19" s="33" t="s">
        <v>716</v>
      </c>
      <c r="G19" s="30" t="s">
        <v>388</v>
      </c>
      <c r="H19" s="29" t="s">
        <v>398</v>
      </c>
      <c r="I19" s="30" t="s">
        <v>717</v>
      </c>
      <c r="J19" s="30" t="s">
        <v>697</v>
      </c>
    </row>
    <row r="20" customFormat="false" ht="15" hidden="false" customHeight="false" outlineLevel="0" collapsed="false">
      <c r="B20" s="33" t="n">
        <v>15</v>
      </c>
      <c r="C20" s="30" t="s">
        <v>428</v>
      </c>
      <c r="D20" s="30" t="s">
        <v>135</v>
      </c>
      <c r="E20" s="45" t="n">
        <f aca="false">'Benchmark KPIs'!D21</f>
        <v>1232269.8</v>
      </c>
      <c r="F20" s="33" t="s">
        <v>708</v>
      </c>
      <c r="G20" s="30" t="s">
        <v>388</v>
      </c>
      <c r="H20" s="29" t="s">
        <v>398</v>
      </c>
      <c r="I20" s="30" t="s">
        <v>718</v>
      </c>
      <c r="J20" s="30" t="s">
        <v>697</v>
      </c>
    </row>
    <row r="21" customFormat="false" ht="15" hidden="false" customHeight="false" outlineLevel="0" collapsed="false">
      <c r="B21" s="33" t="n">
        <v>16</v>
      </c>
      <c r="C21" s="30" t="s">
        <v>430</v>
      </c>
      <c r="D21" s="30" t="s">
        <v>429</v>
      </c>
      <c r="E21" s="45" t="n">
        <f aca="false">'Benchmark KPIs'!D22</f>
        <v>440392.94</v>
      </c>
      <c r="F21" s="33" t="s">
        <v>708</v>
      </c>
      <c r="G21" s="30" t="s">
        <v>388</v>
      </c>
      <c r="H21" s="29" t="s">
        <v>398</v>
      </c>
      <c r="I21" s="30" t="s">
        <v>719</v>
      </c>
      <c r="J21" s="30" t="s">
        <v>697</v>
      </c>
    </row>
    <row r="22" customFormat="false" ht="15" hidden="false" customHeight="false" outlineLevel="0" collapsed="false">
      <c r="B22" s="33" t="n">
        <v>17</v>
      </c>
      <c r="C22" s="30" t="s">
        <v>433</v>
      </c>
      <c r="D22" s="30" t="s">
        <v>432</v>
      </c>
      <c r="E22" s="45" t="n">
        <f aca="false">'Benchmark KPIs'!D23</f>
        <v>556906.77</v>
      </c>
      <c r="F22" s="33" t="s">
        <v>708</v>
      </c>
      <c r="G22" s="30" t="s">
        <v>388</v>
      </c>
      <c r="H22" s="29" t="s">
        <v>398</v>
      </c>
      <c r="I22" s="30" t="s">
        <v>720</v>
      </c>
      <c r="J22" s="30" t="s">
        <v>697</v>
      </c>
    </row>
    <row r="23" customFormat="false" ht="15" hidden="false" customHeight="false" outlineLevel="0" collapsed="false">
      <c r="B23" s="33" t="n">
        <v>18</v>
      </c>
      <c r="C23" s="30" t="s">
        <v>436</v>
      </c>
      <c r="D23" s="30" t="s">
        <v>435</v>
      </c>
      <c r="E23" s="45" t="n">
        <f aca="false">'Benchmark KPIs'!D24</f>
        <v>4943.28</v>
      </c>
      <c r="F23" s="33" t="s">
        <v>708</v>
      </c>
      <c r="G23" s="30" t="s">
        <v>388</v>
      </c>
      <c r="H23" s="29" t="s">
        <v>398</v>
      </c>
      <c r="I23" s="30" t="s">
        <v>721</v>
      </c>
      <c r="J23" s="30" t="s">
        <v>697</v>
      </c>
    </row>
    <row r="24" customFormat="false" ht="15" hidden="false" customHeight="false" outlineLevel="0" collapsed="false">
      <c r="B24" s="33" t="n">
        <v>19</v>
      </c>
      <c r="C24" s="30" t="s">
        <v>439</v>
      </c>
      <c r="D24" s="30" t="s">
        <v>438</v>
      </c>
      <c r="E24" s="45" t="n">
        <f aca="false">'Benchmark KPIs'!D25</f>
        <v>230026.81</v>
      </c>
      <c r="F24" s="33" t="s">
        <v>708</v>
      </c>
      <c r="G24" s="30" t="s">
        <v>388</v>
      </c>
      <c r="H24" s="29" t="s">
        <v>398</v>
      </c>
      <c r="I24" s="30" t="s">
        <v>722</v>
      </c>
      <c r="J24" s="30" t="s">
        <v>697</v>
      </c>
    </row>
    <row r="25" customFormat="false" ht="15" hidden="false" customHeight="false" outlineLevel="0" collapsed="false">
      <c r="B25" s="33" t="n">
        <v>20</v>
      </c>
      <c r="C25" s="30" t="s">
        <v>441</v>
      </c>
      <c r="D25" s="30" t="s">
        <v>363</v>
      </c>
      <c r="E25" s="45" t="n">
        <f aca="false">'Benchmark KPIs'!D26</f>
        <v>115253</v>
      </c>
      <c r="F25" s="33" t="s">
        <v>708</v>
      </c>
      <c r="G25" s="30" t="s">
        <v>388</v>
      </c>
      <c r="H25" s="29" t="s">
        <v>398</v>
      </c>
      <c r="I25" s="30" t="s">
        <v>723</v>
      </c>
      <c r="J25" s="30" t="s">
        <v>697</v>
      </c>
    </row>
    <row r="26" customFormat="false" ht="15" hidden="false" customHeight="false" outlineLevel="0" collapsed="false">
      <c r="B26" s="33" t="n">
        <v>21</v>
      </c>
      <c r="C26" s="30" t="s">
        <v>464</v>
      </c>
      <c r="D26" s="30" t="s">
        <v>463</v>
      </c>
      <c r="E26" s="45" t="n">
        <f aca="false">'Benchmark KPIs'!D37</f>
        <v>23300.5</v>
      </c>
      <c r="F26" s="33" t="s">
        <v>724</v>
      </c>
      <c r="G26" s="30" t="s">
        <v>388</v>
      </c>
      <c r="H26" s="29" t="s">
        <v>398</v>
      </c>
      <c r="I26" s="30" t="s">
        <v>725</v>
      </c>
      <c r="J26" s="30" t="s">
        <v>697</v>
      </c>
    </row>
    <row r="27" customFormat="false" ht="15" hidden="false" customHeight="false" outlineLevel="0" collapsed="false">
      <c r="B27" s="33" t="n">
        <v>22</v>
      </c>
      <c r="C27" s="30" t="s">
        <v>467</v>
      </c>
      <c r="D27" s="30" t="s">
        <v>466</v>
      </c>
      <c r="E27" s="33" t="n">
        <f aca="false">'Benchmark KPIs'!D38</f>
        <v>48</v>
      </c>
      <c r="F27" s="33" t="s">
        <v>705</v>
      </c>
      <c r="G27" s="30" t="s">
        <v>388</v>
      </c>
      <c r="H27" s="29" t="s">
        <v>398</v>
      </c>
      <c r="I27" s="30" t="s">
        <v>726</v>
      </c>
      <c r="J27" s="30" t="s">
        <v>697</v>
      </c>
    </row>
    <row r="28" customFormat="false" ht="15" hidden="false" customHeight="false" outlineLevel="0" collapsed="false">
      <c r="B28" s="33" t="n">
        <v>23</v>
      </c>
      <c r="C28" s="30" t="s">
        <v>469</v>
      </c>
      <c r="D28" s="30" t="s">
        <v>241</v>
      </c>
      <c r="E28" s="46" t="n">
        <f aca="false">'Benchmark KPIs'!D39</f>
        <v>19.2608849595502</v>
      </c>
      <c r="F28" s="33" t="s">
        <v>727</v>
      </c>
      <c r="G28" s="30" t="s">
        <v>388</v>
      </c>
      <c r="H28" s="29" t="s">
        <v>398</v>
      </c>
      <c r="I28" s="30" t="s">
        <v>728</v>
      </c>
      <c r="J28" s="30" t="s">
        <v>697</v>
      </c>
    </row>
    <row r="29" customFormat="false" ht="15" hidden="false" customHeight="false" outlineLevel="0" collapsed="false">
      <c r="B29" s="33" t="n">
        <v>24</v>
      </c>
      <c r="C29" s="30" t="s">
        <v>496</v>
      </c>
      <c r="D29" s="30" t="s">
        <v>495</v>
      </c>
      <c r="E29" s="33" t="n">
        <f aca="false">'Benchmark KPIs'!D51</f>
        <v>19</v>
      </c>
      <c r="F29" s="33" t="s">
        <v>705</v>
      </c>
      <c r="G29" s="30" t="s">
        <v>388</v>
      </c>
      <c r="H29" s="29" t="s">
        <v>398</v>
      </c>
      <c r="I29" s="30" t="s">
        <v>729</v>
      </c>
      <c r="J29" s="30" t="s">
        <v>697</v>
      </c>
    </row>
    <row r="30" customFormat="false" ht="15" hidden="false" customHeight="false" outlineLevel="0" collapsed="false">
      <c r="B30" s="33" t="n">
        <v>25</v>
      </c>
      <c r="C30" s="30" t="s">
        <v>503</v>
      </c>
      <c r="D30" s="30" t="s">
        <v>502</v>
      </c>
      <c r="E30" s="45" t="n">
        <f aca="false">'Benchmark KPIs'!D54</f>
        <v>147</v>
      </c>
      <c r="F30" s="33" t="s">
        <v>705</v>
      </c>
      <c r="G30" s="30" t="s">
        <v>388</v>
      </c>
      <c r="H30" s="29" t="s">
        <v>398</v>
      </c>
      <c r="I30" s="30" t="s">
        <v>730</v>
      </c>
      <c r="J30" s="30" t="s">
        <v>697</v>
      </c>
    </row>
    <row r="31" customFormat="false" ht="15" hidden="false" customHeight="false" outlineLevel="0" collapsed="false">
      <c r="B31" s="33" t="n">
        <v>26</v>
      </c>
      <c r="C31" s="30" t="s">
        <v>506</v>
      </c>
      <c r="D31" s="30" t="s">
        <v>731</v>
      </c>
      <c r="E31" s="44" t="n">
        <f aca="false">'Benchmark KPIs'!D55</f>
        <v>0.00978304010205342</v>
      </c>
      <c r="F31" s="33" t="s">
        <v>716</v>
      </c>
      <c r="G31" s="30" t="s">
        <v>388</v>
      </c>
      <c r="H31" s="29" t="s">
        <v>398</v>
      </c>
      <c r="I31" s="30" t="s">
        <v>717</v>
      </c>
      <c r="J31" s="30" t="s">
        <v>697</v>
      </c>
    </row>
    <row r="32" customFormat="false" ht="15" hidden="false" customHeight="false" outlineLevel="0" collapsed="false">
      <c r="B32" s="33" t="n">
        <v>27</v>
      </c>
      <c r="C32" s="30" t="s">
        <v>732</v>
      </c>
      <c r="D32" s="30" t="s">
        <v>733</v>
      </c>
      <c r="E32" s="33" t="n">
        <v>5</v>
      </c>
      <c r="F32" s="33" t="s">
        <v>705</v>
      </c>
      <c r="G32" s="30" t="s">
        <v>734</v>
      </c>
      <c r="H32" s="29" t="s">
        <v>398</v>
      </c>
      <c r="I32" s="30" t="s">
        <v>735</v>
      </c>
      <c r="J32" s="30" t="s">
        <v>736</v>
      </c>
    </row>
    <row r="33" customFormat="false" ht="15" hidden="false" customHeight="false" outlineLevel="0" collapsed="false">
      <c r="B33" s="33" t="n">
        <v>28</v>
      </c>
      <c r="C33" s="30" t="s">
        <v>737</v>
      </c>
      <c r="D33" s="30" t="s">
        <v>738</v>
      </c>
      <c r="E33" s="33" t="n">
        <v>8</v>
      </c>
      <c r="F33" s="33" t="s">
        <v>705</v>
      </c>
      <c r="G33" s="30" t="s">
        <v>739</v>
      </c>
      <c r="H33" s="29" t="s">
        <v>398</v>
      </c>
      <c r="I33" s="30" t="s">
        <v>740</v>
      </c>
      <c r="J33" s="30" t="s">
        <v>741</v>
      </c>
    </row>
    <row r="34" customFormat="false" ht="15" hidden="false" customHeight="false" outlineLevel="0" collapsed="false">
      <c r="B34" s="33" t="n">
        <v>29</v>
      </c>
      <c r="C34" s="30" t="s">
        <v>742</v>
      </c>
      <c r="D34" s="30" t="s">
        <v>658</v>
      </c>
      <c r="E34" s="33" t="n">
        <v>6</v>
      </c>
      <c r="F34" s="33" t="s">
        <v>705</v>
      </c>
      <c r="G34" s="30" t="s">
        <v>739</v>
      </c>
      <c r="H34" s="29" t="s">
        <v>398</v>
      </c>
      <c r="I34" s="30" t="s">
        <v>743</v>
      </c>
      <c r="J34" s="30" t="s">
        <v>741</v>
      </c>
    </row>
    <row r="35" customFormat="false" ht="15" hidden="false" customHeight="false" outlineLevel="0" collapsed="false">
      <c r="B35" s="33" t="n">
        <v>30</v>
      </c>
      <c r="C35" s="30" t="s">
        <v>744</v>
      </c>
      <c r="D35" s="30" t="s">
        <v>654</v>
      </c>
      <c r="E35" s="33" t="n">
        <v>0</v>
      </c>
      <c r="F35" s="33" t="s">
        <v>705</v>
      </c>
      <c r="G35" s="30" t="s">
        <v>739</v>
      </c>
      <c r="H35" s="29" t="s">
        <v>398</v>
      </c>
      <c r="I35" s="30" t="s">
        <v>745</v>
      </c>
      <c r="J35" s="30" t="s">
        <v>741</v>
      </c>
    </row>
    <row r="36" customFormat="false" ht="15" hidden="false" customHeight="false" outlineLevel="0" collapsed="false">
      <c r="B36" s="33" t="n">
        <v>31</v>
      </c>
      <c r="C36" s="30" t="s">
        <v>746</v>
      </c>
      <c r="D36" s="30" t="s">
        <v>660</v>
      </c>
      <c r="E36" s="33" t="n">
        <v>0</v>
      </c>
      <c r="F36" s="33" t="s">
        <v>705</v>
      </c>
      <c r="G36" s="30" t="s">
        <v>739</v>
      </c>
      <c r="H36" s="29" t="s">
        <v>398</v>
      </c>
      <c r="I36" s="30" t="s">
        <v>747</v>
      </c>
      <c r="J36" s="30" t="s">
        <v>741</v>
      </c>
    </row>
    <row r="37" customFormat="false" ht="15" hidden="false" customHeight="false" outlineLevel="0" collapsed="false">
      <c r="B37" s="33" t="n">
        <v>32</v>
      </c>
      <c r="C37" s="30" t="s">
        <v>748</v>
      </c>
      <c r="D37" s="30" t="s">
        <v>749</v>
      </c>
      <c r="E37" s="33" t="n">
        <v>8</v>
      </c>
      <c r="F37" s="33" t="s">
        <v>705</v>
      </c>
      <c r="G37" s="30" t="s">
        <v>734</v>
      </c>
      <c r="H37" s="29" t="s">
        <v>398</v>
      </c>
      <c r="I37" s="30" t="s">
        <v>750</v>
      </c>
      <c r="J37" s="30" t="s">
        <v>736</v>
      </c>
    </row>
    <row r="38" customFormat="false" ht="15" hidden="false" customHeight="false" outlineLevel="0" collapsed="false">
      <c r="B38" s="33" t="n">
        <v>33</v>
      </c>
      <c r="C38" s="30" t="s">
        <v>751</v>
      </c>
      <c r="D38" s="30" t="s">
        <v>752</v>
      </c>
      <c r="E38" s="33" t="n">
        <v>20</v>
      </c>
      <c r="F38" s="33" t="s">
        <v>705</v>
      </c>
      <c r="G38" s="30" t="s">
        <v>739</v>
      </c>
      <c r="H38" s="29" t="s">
        <v>398</v>
      </c>
      <c r="I38" s="30" t="s">
        <v>753</v>
      </c>
      <c r="J38" s="30" t="s">
        <v>741</v>
      </c>
    </row>
    <row r="39" customFormat="false" ht="15" hidden="false" customHeight="false" outlineLevel="0" collapsed="false">
      <c r="B39" s="33" t="n">
        <v>34</v>
      </c>
      <c r="C39" s="30" t="s">
        <v>754</v>
      </c>
      <c r="D39" s="30" t="s">
        <v>755</v>
      </c>
      <c r="E39" s="36" t="n">
        <f aca="false">'Change Log'!H27</f>
        <v>23638</v>
      </c>
      <c r="F39" s="33" t="s">
        <v>708</v>
      </c>
      <c r="G39" s="30" t="s">
        <v>739</v>
      </c>
      <c r="H39" s="29" t="s">
        <v>398</v>
      </c>
      <c r="I39" s="30" t="s">
        <v>756</v>
      </c>
      <c r="J39" s="30" t="s">
        <v>741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757</v>
      </c>
      <c r="C2" s="2"/>
      <c r="D2" s="2"/>
      <c r="E2" s="2"/>
      <c r="F2" s="2"/>
    </row>
    <row r="3" customFormat="false" ht="15" hidden="false" customHeight="false" outlineLevel="0" collapsed="false">
      <c r="B3" s="47" t="s">
        <v>758</v>
      </c>
    </row>
    <row r="4" customFormat="false" ht="15" hidden="false" customHeight="true" outlineLevel="0" collapsed="false">
      <c r="B4" s="10" t="s">
        <v>759</v>
      </c>
      <c r="C4" s="10" t="s">
        <v>760</v>
      </c>
      <c r="D4" s="10" t="s">
        <v>761</v>
      </c>
      <c r="E4" s="10" t="s">
        <v>361</v>
      </c>
      <c r="F4" s="10" t="s">
        <v>362</v>
      </c>
    </row>
    <row r="5" customFormat="false" ht="15" hidden="false" customHeight="true" outlineLevel="0" collapsed="false">
      <c r="B5" s="4" t="s">
        <v>762</v>
      </c>
      <c r="C5" s="4"/>
      <c r="D5" s="4"/>
      <c r="E5" s="4"/>
      <c r="F5" s="4"/>
    </row>
    <row r="6" customFormat="false" ht="15" hidden="false" customHeight="true" outlineLevel="0" collapsed="false">
      <c r="B6" s="5" t="s">
        <v>763</v>
      </c>
      <c r="C6" s="11" t="n">
        <v>440392.94</v>
      </c>
      <c r="D6" s="11" t="n">
        <v>440392.94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764</v>
      </c>
      <c r="C7" s="11" t="n">
        <v>556906.77</v>
      </c>
      <c r="D7" s="11" t="n">
        <v>556906.77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765</v>
      </c>
      <c r="C8" s="11" t="n">
        <v>4943.28</v>
      </c>
      <c r="D8" s="11" t="n">
        <v>4943.28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766</v>
      </c>
      <c r="C9" s="11" t="n">
        <v>230026.81</v>
      </c>
      <c r="D9" s="11" t="n">
        <v>230026.81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767</v>
      </c>
      <c r="C10" s="11" t="n">
        <v>1232269.8</v>
      </c>
      <c r="D10" s="11" t="n">
        <v>1232269.8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768</v>
      </c>
      <c r="C11" s="11" t="n">
        <v>2305058</v>
      </c>
      <c r="D11" s="11" t="n">
        <v>2305058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769</v>
      </c>
      <c r="C12" s="11" t="n">
        <v>1072788.2</v>
      </c>
      <c r="D12" s="11" t="n">
        <v>1072788.2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770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771</v>
      </c>
      <c r="C15" s="48" t="n">
        <v>23300.5</v>
      </c>
      <c r="D15" s="48" t="n">
        <v>23300.5</v>
      </c>
      <c r="E15" s="4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772</v>
      </c>
      <c r="C16" s="48" t="n">
        <v>23566</v>
      </c>
      <c r="D16" s="48" t="n">
        <v>23300.5</v>
      </c>
      <c r="E16" s="48" t="n">
        <f aca="false">C16-D16</f>
        <v>265.5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773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332</v>
      </c>
      <c r="C19" s="11" t="n">
        <v>2305058</v>
      </c>
      <c r="D19" s="11" t="n">
        <v>2305058</v>
      </c>
      <c r="E19" s="11" t="n">
        <f aca="false">C19-D19</f>
        <v>0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363</v>
      </c>
      <c r="C20" s="11" t="n">
        <v>115253</v>
      </c>
      <c r="D20" s="11" t="n">
        <v>115253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135</v>
      </c>
      <c r="C21" s="11" t="n">
        <v>1232269.8</v>
      </c>
      <c r="D21" s="11" t="n">
        <v>1232269.8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774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775</v>
      </c>
      <c r="C24" s="11" t="n">
        <v>535198.25</v>
      </c>
      <c r="D24" s="11" t="n">
        <v>529698</v>
      </c>
      <c r="E24" s="11" t="n">
        <f aca="false">C24-D24</f>
        <v>5500.25</v>
      </c>
      <c r="F24" s="6" t="str">
        <f aca="false">IF(ABS(E24)&lt;=5,"TIES",IF(ABS(E24)&lt;=ABS(D24)*0.05,"WITHIN","OFF"))</f>
        <v>WITHIN</v>
      </c>
    </row>
    <row r="28" customFormat="false" ht="15" hidden="false" customHeight="true" outlineLevel="0" collapsed="false">
      <c r="B28" s="4" t="s">
        <v>63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64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65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66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67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68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69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70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776</v>
      </c>
      <c r="C36" s="3"/>
      <c r="D36" s="3"/>
      <c r="E36" s="3"/>
      <c r="F36" s="3"/>
    </row>
    <row r="48" customFormat="false" ht="15" hidden="false" customHeight="false" outlineLevel="0" collapsed="false">
      <c r="B48" s="49" t="s">
        <v>777</v>
      </c>
      <c r="C48" s="50"/>
      <c r="D48" s="50"/>
      <c r="E48" s="50"/>
      <c r="F48" s="50"/>
      <c r="G48" s="50"/>
      <c r="H48" s="51"/>
      <c r="I48" s="51"/>
    </row>
    <row r="49" customFormat="false" ht="15" hidden="false" customHeight="false" outlineLevel="0" collapsed="false">
      <c r="B49" s="52" t="s">
        <v>778</v>
      </c>
      <c r="C49" s="52" t="n">
        <v>20</v>
      </c>
      <c r="D49" s="52" t="n">
        <f aca="false">'Root Cause Analysis'!C12</f>
        <v>20</v>
      </c>
      <c r="E49" s="52" t="n">
        <f aca="false">C49-D49</f>
        <v>0</v>
      </c>
      <c r="F49" s="52" t="str">
        <f aca="false">IF(ABS(E49)&lt;=1,"TIES",IF(ABS(E49)&lt;=ABS(D49)*0.05,"WITHIN","OFF"))</f>
        <v>TIES</v>
      </c>
      <c r="G49" s="52" t="s">
        <v>779</v>
      </c>
      <c r="H49" s="51"/>
      <c r="I49" s="51"/>
    </row>
    <row r="50" customFormat="false" ht="15" hidden="false" customHeight="false" outlineLevel="0" collapsed="false">
      <c r="B50" s="52" t="s">
        <v>666</v>
      </c>
      <c r="C50" s="53" t="n">
        <f aca="false">'Change Log'!H27</f>
        <v>23638</v>
      </c>
      <c r="D50" s="53" t="n">
        <f aca="false">'Root Cause Analysis'!D12</f>
        <v>23638</v>
      </c>
      <c r="E50" s="52" t="n">
        <f aca="false">C50-D50</f>
        <v>0</v>
      </c>
      <c r="F50" s="52" t="str">
        <f aca="false">IF(ABS(E50)&lt;=1,"TIES",IF(ABS(E50)&lt;=ABS(D50)*0.05,"WITHIN","OFF"))</f>
        <v>TIES</v>
      </c>
      <c r="G50" s="52" t="s">
        <v>779</v>
      </c>
      <c r="H50" s="51"/>
      <c r="I50" s="51"/>
    </row>
    <row r="51" customFormat="false" ht="15" hidden="false" customHeight="false" outlineLevel="0" collapsed="false"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B52" s="49" t="s">
        <v>780</v>
      </c>
      <c r="C52" s="50"/>
      <c r="D52" s="50"/>
      <c r="E52" s="50"/>
      <c r="F52" s="50"/>
      <c r="G52" s="50"/>
      <c r="H52" s="51"/>
      <c r="I52" s="51"/>
    </row>
    <row r="53" customFormat="false" ht="15" hidden="false" customHeight="false" outlineLevel="0" collapsed="false">
      <c r="B53" s="52" t="s">
        <v>781</v>
      </c>
      <c r="C53" s="52" t="n">
        <v>0</v>
      </c>
      <c r="D53" s="52" t="n">
        <f aca="false">COUNTIF('Change Log'!C6:C26,"Backcharge")</f>
        <v>0</v>
      </c>
      <c r="E53" s="52" t="n">
        <f aca="false">C53-D53</f>
        <v>0</v>
      </c>
      <c r="F53" s="52" t="str">
        <f aca="false">IF(ABS(E53)&lt;=1,"TIES",IF(ABS(E53)&lt;=ABS(D53)*0.05,"WITHIN","OFF"))</f>
        <v>TIES</v>
      </c>
      <c r="G53" s="52" t="s">
        <v>782</v>
      </c>
      <c r="H53" s="51"/>
      <c r="I53" s="51"/>
    </row>
    <row r="54" customFormat="false" ht="15" hidden="false" customHeight="false" outlineLevel="0" collapsed="false">
      <c r="B54" s="51"/>
      <c r="C54" s="51"/>
      <c r="D54" s="51"/>
      <c r="E54" s="51"/>
      <c r="F54" s="51"/>
      <c r="G54" s="51"/>
      <c r="H54" s="51"/>
      <c r="I54" s="51"/>
    </row>
    <row r="55" customFormat="false" ht="15" hidden="false" customHeight="false" outlineLevel="0" collapsed="false">
      <c r="B55" s="49" t="s">
        <v>783</v>
      </c>
      <c r="C55" s="50"/>
      <c r="D55" s="50"/>
      <c r="E55" s="50"/>
      <c r="F55" s="50"/>
      <c r="G55" s="50"/>
      <c r="H55" s="51"/>
      <c r="I55" s="51"/>
    </row>
    <row r="56" customFormat="false" ht="15" hidden="false" customHeight="false" outlineLevel="0" collapsed="false">
      <c r="B56" s="52" t="s">
        <v>784</v>
      </c>
      <c r="C56" s="54" t="n">
        <f aca="false">'Metric Registry'!E17</f>
        <v>2305058</v>
      </c>
      <c r="D56" s="54" t="n">
        <f aca="false">'Benchmark KPIs'!D18</f>
        <v>2305058</v>
      </c>
      <c r="E56" s="52" t="n">
        <f aca="false">C56-D56</f>
        <v>0</v>
      </c>
      <c r="F56" s="52" t="str">
        <f aca="false">IF(ABS(E56)&lt;=1,"TIES",IF(ABS(E56)&lt;=ABS(D56)*0.05,"WITHIN","OFF"))</f>
        <v>TIES</v>
      </c>
      <c r="G56" s="52" t="s">
        <v>785</v>
      </c>
      <c r="H56" s="51"/>
      <c r="I56" s="51"/>
    </row>
    <row r="57" customFormat="false" ht="15" hidden="false" customHeight="false" outlineLevel="0" collapsed="false">
      <c r="B57" s="52" t="s">
        <v>786</v>
      </c>
      <c r="C57" s="54" t="n">
        <f aca="false">'Metric Registry'!E12</f>
        <v>212</v>
      </c>
      <c r="D57" s="54" t="n">
        <f aca="false">'Benchmark KPIs'!D12</f>
        <v>212</v>
      </c>
      <c r="E57" s="52" t="n">
        <f aca="false">C57-D57</f>
        <v>0</v>
      </c>
      <c r="F57" s="52" t="str">
        <f aca="false">IF(ABS(E57)&lt;=1,"TIES",IF(ABS(E57)&lt;=ABS(D57)*0.05,"WITHIN","OFF"))</f>
        <v>TIES</v>
      </c>
      <c r="G57" s="52" t="s">
        <v>785</v>
      </c>
      <c r="H57" s="51"/>
      <c r="I57" s="51"/>
    </row>
    <row r="58" customFormat="false" ht="15" hidden="false" customHeight="false" outlineLevel="0" collapsed="false">
      <c r="B58" s="52" t="s">
        <v>787</v>
      </c>
      <c r="C58" s="54" t="n">
        <f aca="false">'Metric Registry'!E13</f>
        <v>1144</v>
      </c>
      <c r="D58" s="54" t="n">
        <f aca="false">'Benchmark KPIs'!D13</f>
        <v>1144</v>
      </c>
      <c r="E58" s="52" t="n">
        <f aca="false">C58-D58</f>
        <v>0</v>
      </c>
      <c r="F58" s="52" t="str">
        <f aca="false">IF(ABS(E58)&lt;=1,"TIES",IF(ABS(E58)&lt;=ABS(D58)*0.05,"WITHIN","OFF"))</f>
        <v>TIES</v>
      </c>
      <c r="G58" s="52" t="s">
        <v>785</v>
      </c>
      <c r="H58" s="51"/>
      <c r="I58" s="51"/>
    </row>
    <row r="59" customFormat="false" ht="15" hidden="false" customHeight="false" outlineLevel="0" collapsed="false">
      <c r="B59" s="52" t="s">
        <v>788</v>
      </c>
      <c r="C59" s="55" t="n">
        <f aca="false">'Metric Registry'!E19</f>
        <v>0.46540616331563</v>
      </c>
      <c r="D59" s="54" t="n">
        <f aca="false">'Benchmark KPIs'!D21</f>
        <v>1232269.8</v>
      </c>
      <c r="E59" s="52" t="n">
        <f aca="false">C59-D59</f>
        <v>-1232269.33459384</v>
      </c>
      <c r="F59" s="52" t="str">
        <f aca="false">IF(ABS(E59)&lt;=1,"TIES",IF(ABS(E59)&lt;=ABS(D59)*0.05,"WITHIN","OFF"))</f>
        <v>OFF</v>
      </c>
      <c r="G59" s="52" t="s">
        <v>785</v>
      </c>
      <c r="H59" s="51"/>
      <c r="I59" s="51"/>
    </row>
    <row r="60" customFormat="false" ht="15" hidden="false" customHeight="false" outlineLevel="0" collapsed="false">
      <c r="B60" s="52" t="s">
        <v>789</v>
      </c>
      <c r="C60" s="54" t="n">
        <f aca="false">'Metric Registry'!E30</f>
        <v>147</v>
      </c>
      <c r="D60" s="54" t="n">
        <f aca="false">'Benchmark KPIs'!D54</f>
        <v>147</v>
      </c>
      <c r="E60" s="52" t="n">
        <f aca="false">C60-D60</f>
        <v>0</v>
      </c>
      <c r="F60" s="52" t="str">
        <f aca="false">IF(ABS(E60)&lt;=1,"TIES",IF(ABS(E60)&lt;=ABS(D60)*0.05,"WITHIN","OFF"))</f>
        <v>TIES</v>
      </c>
      <c r="G60" s="52" t="s">
        <v>785</v>
      </c>
      <c r="H60" s="51"/>
      <c r="I60" s="51"/>
    </row>
    <row r="61" customFormat="false" ht="15" hidden="false" customHeight="false" outlineLevel="0" collapsed="false">
      <c r="B61" s="51"/>
      <c r="C61" s="51"/>
      <c r="D61" s="51"/>
      <c r="E61" s="51"/>
      <c r="F61" s="51"/>
      <c r="G61" s="51"/>
      <c r="H61" s="51"/>
      <c r="I61" s="51"/>
    </row>
    <row r="62" customFormat="false" ht="15" hidden="false" customHeight="false" outlineLevel="0" collapsed="false">
      <c r="B62" s="49" t="s">
        <v>790</v>
      </c>
      <c r="C62" s="50"/>
      <c r="D62" s="50"/>
      <c r="E62" s="50"/>
      <c r="F62" s="50"/>
      <c r="G62" s="50"/>
      <c r="H62" s="51"/>
      <c r="I62" s="51"/>
    </row>
    <row r="63" customFormat="false" ht="15" hidden="false" customHeight="false" outlineLevel="0" collapsed="false">
      <c r="B63" s="52" t="s">
        <v>751</v>
      </c>
      <c r="C63" s="52" t="n">
        <f aca="false">'Metric Registry'!E36</f>
        <v>0</v>
      </c>
      <c r="D63" s="52" t="n">
        <v>20</v>
      </c>
      <c r="E63" s="52" t="n">
        <f aca="false">C63-D63</f>
        <v>-20</v>
      </c>
      <c r="F63" s="52" t="str">
        <f aca="false">IF(ABS(E63)&lt;=1,"TIES",IF(ABS(E63)&lt;=ABS(D63)*0.05,"WITHIN","OFF"))</f>
        <v>OFF</v>
      </c>
      <c r="G63" s="52" t="s">
        <v>791</v>
      </c>
      <c r="H63" s="51"/>
      <c r="I63" s="51"/>
    </row>
    <row r="64" customFormat="false" ht="15" hidden="false" customHeight="false" outlineLevel="0" collapsed="false">
      <c r="B64" s="51"/>
      <c r="C64" s="51"/>
      <c r="D64" s="51"/>
      <c r="E64" s="51"/>
      <c r="F64" s="51"/>
      <c r="G64" s="51"/>
      <c r="H64" s="51"/>
      <c r="I64" s="51"/>
    </row>
    <row r="65" customFormat="false" ht="15" hidden="false" customHeight="false" outlineLevel="0" collapsed="false">
      <c r="B65" s="51"/>
      <c r="C65" s="51"/>
      <c r="D65" s="51"/>
      <c r="E65" s="51"/>
      <c r="F65" s="51"/>
      <c r="G65" s="51"/>
      <c r="H65" s="51"/>
      <c r="I65" s="51"/>
    </row>
    <row r="66" customFormat="false" ht="15" hidden="false" customHeight="false" outlineLevel="0" collapsed="false">
      <c r="B66" s="56" t="s">
        <v>63</v>
      </c>
      <c r="C66" s="57"/>
      <c r="D66" s="57"/>
      <c r="E66" s="57"/>
      <c r="F66" s="57"/>
      <c r="G66" s="57"/>
      <c r="H66" s="51"/>
      <c r="I66" s="51"/>
    </row>
    <row r="67" customFormat="false" ht="15" hidden="false" customHeight="false" outlineLevel="0" collapsed="false">
      <c r="B67" s="58" t="s">
        <v>792</v>
      </c>
      <c r="C67" s="51"/>
      <c r="D67" s="51"/>
      <c r="E67" s="51"/>
      <c r="F67" s="51"/>
      <c r="G67" s="51"/>
      <c r="H67" s="51"/>
      <c r="I67" s="51"/>
    </row>
    <row r="68" customFormat="false" ht="15" hidden="false" customHeight="false" outlineLevel="0" collapsed="false">
      <c r="B68" s="58" t="s">
        <v>793</v>
      </c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B69" s="58" t="s">
        <v>794</v>
      </c>
      <c r="C69" s="51"/>
      <c r="D69" s="51"/>
      <c r="E69" s="51"/>
      <c r="F69" s="51"/>
      <c r="G69" s="51"/>
      <c r="H69" s="51"/>
      <c r="I69" s="51"/>
    </row>
    <row r="70" customFormat="false" ht="15" hidden="false" customHeight="false" outlineLevel="0" collapsed="false">
      <c r="B70" s="59" t="s">
        <v>795</v>
      </c>
    </row>
    <row r="71" customFormat="false" ht="15" hidden="false" customHeight="false" outlineLevel="0" collapsed="false">
      <c r="B71" s="59" t="s">
        <v>796</v>
      </c>
    </row>
    <row r="72" customFormat="false" ht="15" hidden="false" customHeight="false" outlineLevel="0" collapsed="false">
      <c r="B72" s="59" t="s">
        <v>797</v>
      </c>
    </row>
    <row r="73" customFormat="false" ht="15" hidden="false" customHeight="false" outlineLevel="0" collapsed="false">
      <c r="B73" s="59" t="s">
        <v>798</v>
      </c>
    </row>
    <row r="74" customFormat="false" ht="15" hidden="false" customHeight="false" outlineLevel="0" collapsed="false">
      <c r="B74" s="59" t="s">
        <v>799</v>
      </c>
    </row>
  </sheetData>
  <mergeCells count="14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0" t="s">
        <v>800</v>
      </c>
      <c r="B1" s="60"/>
      <c r="C1" s="60"/>
      <c r="D1" s="60"/>
      <c r="E1" s="60"/>
      <c r="F1" s="60"/>
      <c r="G1" s="60"/>
    </row>
    <row r="3" customFormat="false" ht="15" hidden="false" customHeight="true" outlineLevel="0" collapsed="false">
      <c r="A3" s="61" t="s">
        <v>801</v>
      </c>
      <c r="B3" s="62" t="n">
        <v>19</v>
      </c>
      <c r="D3" s="61" t="s">
        <v>802</v>
      </c>
      <c r="E3" s="62" t="s">
        <v>157</v>
      </c>
    </row>
    <row r="4" customFormat="false" ht="15" hidden="false" customHeight="true" outlineLevel="0" collapsed="false">
      <c r="A4" s="61" t="s">
        <v>803</v>
      </c>
      <c r="B4" s="62" t="n">
        <v>301</v>
      </c>
      <c r="D4" s="61" t="s">
        <v>804</v>
      </c>
      <c r="E4" s="63" t="n">
        <f aca="false">394186.93/535198.25</f>
        <v>0.736525072718381</v>
      </c>
    </row>
    <row r="5" customFormat="false" ht="15" hidden="false" customHeight="true" outlineLevel="0" collapsed="false">
      <c r="A5" s="61" t="s">
        <v>805</v>
      </c>
      <c r="B5" s="64" t="n">
        <v>535198.25</v>
      </c>
      <c r="D5" s="61" t="s">
        <v>806</v>
      </c>
      <c r="E5" s="65" t="s">
        <v>807</v>
      </c>
    </row>
    <row r="6" customFormat="false" ht="15" hidden="false" customHeight="true" outlineLevel="0" collapsed="false">
      <c r="A6" s="61" t="s">
        <v>808</v>
      </c>
      <c r="B6" s="66" t="n">
        <f aca="false">B5/B4</f>
        <v>1778.06727574751</v>
      </c>
    </row>
    <row r="8" customFormat="false" ht="19.5" hidden="false" customHeight="true" outlineLevel="0" collapsed="false">
      <c r="A8" s="67" t="s">
        <v>809</v>
      </c>
      <c r="B8" s="67" t="s">
        <v>152</v>
      </c>
      <c r="C8" s="67" t="s">
        <v>810</v>
      </c>
      <c r="D8" s="67" t="s">
        <v>803</v>
      </c>
      <c r="E8" s="67" t="s">
        <v>154</v>
      </c>
      <c r="F8" s="67" t="s">
        <v>155</v>
      </c>
      <c r="G8" s="67" t="s">
        <v>811</v>
      </c>
    </row>
    <row r="9" customFormat="false" ht="15" hidden="false" customHeight="true" outlineLevel="0" collapsed="false">
      <c r="A9" s="68" t="n">
        <v>1</v>
      </c>
      <c r="B9" s="69" t="s">
        <v>157</v>
      </c>
      <c r="C9" s="68"/>
      <c r="D9" s="68" t="n">
        <v>87</v>
      </c>
      <c r="E9" s="70" t="n">
        <v>187929.87</v>
      </c>
      <c r="F9" s="71" t="n">
        <f aca="false">E9/E$28</f>
        <v>0.351140666098964</v>
      </c>
      <c r="G9" s="72" t="n">
        <f aca="false">E9/D9</f>
        <v>2160.11344827586</v>
      </c>
    </row>
    <row r="10" customFormat="false" ht="15" hidden="false" customHeight="true" outlineLevel="0" collapsed="false">
      <c r="A10" s="68" t="n">
        <v>2</v>
      </c>
      <c r="B10" s="69" t="s">
        <v>158</v>
      </c>
      <c r="C10" s="68"/>
      <c r="D10" s="68" t="n">
        <v>64</v>
      </c>
      <c r="E10" s="70" t="n">
        <v>141063.76</v>
      </c>
      <c r="F10" s="71" t="n">
        <f aca="false">E10/E$28</f>
        <v>0.263572909664783</v>
      </c>
      <c r="G10" s="72" t="n">
        <f aca="false">E10/D10</f>
        <v>2204.12125</v>
      </c>
    </row>
    <row r="11" customFormat="false" ht="15" hidden="false" customHeight="true" outlineLevel="0" collapsed="false">
      <c r="A11" s="68" t="n">
        <v>3</v>
      </c>
      <c r="B11" s="69" t="s">
        <v>159</v>
      </c>
      <c r="C11" s="68"/>
      <c r="D11" s="68" t="n">
        <v>45</v>
      </c>
      <c r="E11" s="70" t="n">
        <v>65193.3</v>
      </c>
      <c r="F11" s="71" t="n">
        <f aca="false">E11/E$28</f>
        <v>0.121811496954633</v>
      </c>
      <c r="G11" s="72" t="n">
        <f aca="false">E11/D11</f>
        <v>1448.74</v>
      </c>
    </row>
    <row r="12" customFormat="false" ht="15" hidden="false" customHeight="true" outlineLevel="0" collapsed="false">
      <c r="A12" s="73" t="n">
        <v>4</v>
      </c>
      <c r="B12" s="74" t="s">
        <v>160</v>
      </c>
      <c r="C12" s="73"/>
      <c r="D12" s="73" t="n">
        <v>4</v>
      </c>
      <c r="E12" s="75" t="n">
        <v>47527.77</v>
      </c>
      <c r="F12" s="76" t="n">
        <f aca="false">E12/E$28</f>
        <v>0.0888040459773551</v>
      </c>
      <c r="G12" s="77" t="n">
        <f aca="false">E12/D12</f>
        <v>11881.9425</v>
      </c>
    </row>
    <row r="13" customFormat="false" ht="15" hidden="false" customHeight="true" outlineLevel="0" collapsed="false">
      <c r="A13" s="78" t="n">
        <v>5</v>
      </c>
      <c r="B13" s="79" t="s">
        <v>161</v>
      </c>
      <c r="C13" s="78"/>
      <c r="D13" s="78" t="n">
        <v>21</v>
      </c>
      <c r="E13" s="80" t="n">
        <v>43369.79</v>
      </c>
      <c r="F13" s="81" t="n">
        <f aca="false">E13/E$28</f>
        <v>0.081034999647327</v>
      </c>
      <c r="G13" s="82" t="n">
        <f aca="false">E13/D13</f>
        <v>2065.2280952381</v>
      </c>
    </row>
    <row r="14" customFormat="false" ht="15" hidden="false" customHeight="true" outlineLevel="0" collapsed="false">
      <c r="A14" s="73" t="n">
        <v>6</v>
      </c>
      <c r="B14" s="74" t="s">
        <v>162</v>
      </c>
      <c r="C14" s="73"/>
      <c r="D14" s="73" t="n">
        <v>6</v>
      </c>
      <c r="E14" s="75" t="n">
        <v>23133.75</v>
      </c>
      <c r="F14" s="76" t="n">
        <f aca="false">E14/E$28</f>
        <v>0.0432246368518582</v>
      </c>
      <c r="G14" s="77" t="n">
        <f aca="false">E14/D14</f>
        <v>3855.625</v>
      </c>
    </row>
    <row r="15" customFormat="false" ht="15" hidden="false" customHeight="true" outlineLevel="0" collapsed="false">
      <c r="A15" s="78" t="n">
        <v>7</v>
      </c>
      <c r="B15" s="79" t="s">
        <v>163</v>
      </c>
      <c r="C15" s="78"/>
      <c r="D15" s="78" t="n">
        <v>3</v>
      </c>
      <c r="E15" s="80" t="n">
        <v>11633</v>
      </c>
      <c r="F15" s="81" t="n">
        <f aca="false">E15/E$28</f>
        <v>0.0217358707731201</v>
      </c>
      <c r="G15" s="82" t="n">
        <f aca="false">E15/D15</f>
        <v>3877.66666666667</v>
      </c>
    </row>
    <row r="16" customFormat="false" ht="15" hidden="false" customHeight="true" outlineLevel="0" collapsed="false">
      <c r="A16" s="73" t="n">
        <v>8</v>
      </c>
      <c r="B16" s="74" t="s">
        <v>164</v>
      </c>
      <c r="C16" s="73"/>
      <c r="D16" s="73" t="n">
        <v>4</v>
      </c>
      <c r="E16" s="75" t="n">
        <v>8875</v>
      </c>
      <c r="F16" s="76" t="n">
        <f aca="false">E16/E$28</f>
        <v>0.0165826401711889</v>
      </c>
      <c r="G16" s="77" t="n">
        <f aca="false">E16/D16</f>
        <v>2218.75</v>
      </c>
    </row>
    <row r="17" customFormat="false" ht="15" hidden="false" customHeight="true" outlineLevel="0" collapsed="false">
      <c r="A17" s="78" t="n">
        <v>9</v>
      </c>
      <c r="B17" s="79" t="s">
        <v>165</v>
      </c>
      <c r="C17" s="78"/>
      <c r="D17" s="78" t="n">
        <v>4</v>
      </c>
      <c r="E17" s="80" t="n">
        <v>2252.62</v>
      </c>
      <c r="F17" s="81" t="n">
        <f aca="false">E17/E$28</f>
        <v>0.00420894500308998</v>
      </c>
      <c r="G17" s="82" t="n">
        <f aca="false">E17/D17</f>
        <v>563.155</v>
      </c>
    </row>
    <row r="18" customFormat="false" ht="15" hidden="false" customHeight="true" outlineLevel="0" collapsed="false">
      <c r="A18" s="73" t="n">
        <v>10</v>
      </c>
      <c r="B18" s="74" t="s">
        <v>166</v>
      </c>
      <c r="C18" s="73"/>
      <c r="D18" s="73" t="n">
        <v>3</v>
      </c>
      <c r="E18" s="75" t="n">
        <v>934.77</v>
      </c>
      <c r="F18" s="76" t="n">
        <f aca="false">E18/E$28</f>
        <v>0.00174658642848701</v>
      </c>
      <c r="G18" s="77" t="n">
        <f aca="false">E18/D18</f>
        <v>311.59</v>
      </c>
    </row>
    <row r="19" customFormat="false" ht="15" hidden="false" customHeight="true" outlineLevel="0" collapsed="false">
      <c r="A19" s="78" t="n">
        <v>11</v>
      </c>
      <c r="B19" s="79" t="s">
        <v>167</v>
      </c>
      <c r="C19" s="78"/>
      <c r="D19" s="78" t="n">
        <v>4</v>
      </c>
      <c r="E19" s="80" t="n">
        <v>654.66</v>
      </c>
      <c r="F19" s="81" t="n">
        <f aca="false">E19/E$28</f>
        <v>0.00122321027768682</v>
      </c>
      <c r="G19" s="82" t="n">
        <f aca="false">E19/D19</f>
        <v>163.665</v>
      </c>
    </row>
    <row r="20" customFormat="false" ht="15" hidden="false" customHeight="true" outlineLevel="0" collapsed="false">
      <c r="A20" s="73" t="n">
        <v>12</v>
      </c>
      <c r="B20" s="74" t="s">
        <v>168</v>
      </c>
      <c r="C20" s="73"/>
      <c r="D20" s="73" t="n">
        <v>2</v>
      </c>
      <c r="E20" s="75" t="n">
        <v>637.54</v>
      </c>
      <c r="F20" s="76" t="n">
        <f aca="false">E20/E$28</f>
        <v>0.00119122213123828</v>
      </c>
      <c r="G20" s="77" t="n">
        <f aca="false">E20/D20</f>
        <v>318.77</v>
      </c>
    </row>
    <row r="21" customFormat="false" ht="15" hidden="false" customHeight="true" outlineLevel="0" collapsed="false">
      <c r="A21" s="78" t="n">
        <v>13</v>
      </c>
      <c r="B21" s="79" t="s">
        <v>169</v>
      </c>
      <c r="C21" s="78"/>
      <c r="D21" s="78" t="n">
        <v>1</v>
      </c>
      <c r="E21" s="80" t="n">
        <v>500</v>
      </c>
      <c r="F21" s="81" t="n">
        <f aca="false">E21/E$28</f>
        <v>0.000934233249081065</v>
      </c>
      <c r="G21" s="82" t="n">
        <f aca="false">E21/D21</f>
        <v>500</v>
      </c>
    </row>
    <row r="22" customFormat="false" ht="15" hidden="false" customHeight="true" outlineLevel="0" collapsed="false">
      <c r="A22" s="73" t="n">
        <v>14</v>
      </c>
      <c r="B22" s="74" t="s">
        <v>170</v>
      </c>
      <c r="C22" s="73"/>
      <c r="D22" s="73" t="n">
        <v>44</v>
      </c>
      <c r="E22" s="75" t="n">
        <v>431.75</v>
      </c>
      <c r="F22" s="76" t="n">
        <f aca="false">E22/E$28</f>
        <v>0.000806710410581499</v>
      </c>
      <c r="G22" s="77" t="n">
        <f aca="false">E22/D22</f>
        <v>9.8125</v>
      </c>
    </row>
    <row r="23" customFormat="false" ht="15" hidden="false" customHeight="true" outlineLevel="0" collapsed="false">
      <c r="A23" s="78" t="n">
        <v>15</v>
      </c>
      <c r="B23" s="79" t="s">
        <v>171</v>
      </c>
      <c r="C23" s="78"/>
      <c r="D23" s="78" t="n">
        <v>3</v>
      </c>
      <c r="E23" s="80" t="n">
        <v>372.77</v>
      </c>
      <c r="F23" s="81" t="n">
        <f aca="false">E23/E$28</f>
        <v>0.000696508256519897</v>
      </c>
      <c r="G23" s="82" t="n">
        <f aca="false">E23/D23</f>
        <v>124.256666666667</v>
      </c>
    </row>
    <row r="24" customFormat="false" ht="15" hidden="false" customHeight="true" outlineLevel="0" collapsed="false">
      <c r="A24" s="73" t="n">
        <v>16</v>
      </c>
      <c r="B24" s="74" t="s">
        <v>172</v>
      </c>
      <c r="C24" s="73"/>
      <c r="D24" s="73" t="n">
        <v>2</v>
      </c>
      <c r="E24" s="75" t="n">
        <v>354.99</v>
      </c>
      <c r="F24" s="76" t="n">
        <f aca="false">E24/E$28</f>
        <v>0.000663286922182575</v>
      </c>
      <c r="G24" s="77" t="n">
        <f aca="false">E24/D24</f>
        <v>177.495</v>
      </c>
    </row>
    <row r="25" customFormat="false" ht="15" hidden="false" customHeight="true" outlineLevel="0" collapsed="false">
      <c r="A25" s="78" t="n">
        <v>17</v>
      </c>
      <c r="B25" s="79" t="s">
        <v>173</v>
      </c>
      <c r="C25" s="78"/>
      <c r="D25" s="78" t="n">
        <v>1</v>
      </c>
      <c r="E25" s="80" t="n">
        <v>191.7</v>
      </c>
      <c r="F25" s="81" t="n">
        <f aca="false">E25/E$28</f>
        <v>0.00035818502769768</v>
      </c>
      <c r="G25" s="82" t="n">
        <f aca="false">E25/D25</f>
        <v>191.7</v>
      </c>
    </row>
    <row r="26" customFormat="false" ht="15" hidden="false" customHeight="true" outlineLevel="0" collapsed="false">
      <c r="A26" s="73" t="n">
        <v>18</v>
      </c>
      <c r="B26" s="74" t="s">
        <v>174</v>
      </c>
      <c r="C26" s="73"/>
      <c r="D26" s="73" t="n">
        <v>2</v>
      </c>
      <c r="E26" s="75" t="n">
        <v>111.82</v>
      </c>
      <c r="F26" s="76" t="n">
        <f aca="false">E26/E$28</f>
        <v>0.000208931923824489</v>
      </c>
      <c r="G26" s="77" t="n">
        <f aca="false">E26/D26</f>
        <v>55.91</v>
      </c>
    </row>
    <row r="27" customFormat="false" ht="15" hidden="false" customHeight="true" outlineLevel="0" collapsed="false">
      <c r="A27" s="78" t="n">
        <v>19</v>
      </c>
      <c r="B27" s="79" t="s">
        <v>175</v>
      </c>
      <c r="C27" s="78"/>
      <c r="D27" s="78" t="n">
        <v>1</v>
      </c>
      <c r="E27" s="80" t="n">
        <v>29.39</v>
      </c>
      <c r="F27" s="81" t="n">
        <f aca="false">E27/E$28</f>
        <v>5.4914230380985E-005</v>
      </c>
      <c r="G27" s="82" t="n">
        <f aca="false">E27/D27</f>
        <v>29.39</v>
      </c>
    </row>
    <row r="28" customFormat="false" ht="15" hidden="false" customHeight="true" outlineLevel="0" collapsed="false">
      <c r="A28" s="83"/>
      <c r="B28" s="84" t="s">
        <v>38</v>
      </c>
      <c r="C28" s="83"/>
      <c r="D28" s="85" t="n">
        <f aca="false">SUM(D9:D27)</f>
        <v>301</v>
      </c>
      <c r="E28" s="86" t="n">
        <f aca="false">SUM(E9:E27)</f>
        <v>535198.25</v>
      </c>
      <c r="F28" s="87" t="n">
        <f aca="false">SUM(F9:F27)</f>
        <v>1</v>
      </c>
      <c r="G28" s="86" t="n">
        <f aca="false">E28/D28</f>
        <v>1778.06727574751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2026-04-09T16:21:18Z</dcterms:created>
  <dc:creator>openpyxl</dc:creator>
  <dc:description/>
  <dc:language>en-US</dc:language>
  <cp:lastModifiedBy/>
  <dcterms:modified xsi:type="dcterms:W3CDTF">2026-04-13T21:09:34Z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