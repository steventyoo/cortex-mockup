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<sst xmlns="http://schemas.openxmlformats.org/spreadsheetml/2006/main" count="1612" uniqueCount="729">
  <si>
    <t xml:space="preserve">Job #2042 · Metro Line Flats (Boren &amp; Spruce)</t>
  </si>
  <si>
    <t xml:space="preserve">Cortex JCR v2  •  Shelter Holdings (customer 2042SH)  •  915 East Spruce Street, Seattle, WA 98122  •  Owner: Boren and Spruce, LLC</t>
  </si>
  <si>
    <t xml:space="preserve">PROJECT OVERVIEW</t>
  </si>
  <si>
    <t xml:space="preserve">Project Job #</t>
  </si>
  <si>
    <t xml:space="preserve">2042</t>
  </si>
  <si>
    <t xml:space="preserve">2042 Job Detail Report.pdf (Sage Timberline, 04/03/2026)</t>
  </si>
  <si>
    <t xml:space="preserve">Project Name (Sage)</t>
  </si>
  <si>
    <t xml:space="preserve">ShelterHoldings MetroLine</t>
  </si>
  <si>
    <t xml:space="preserve">Project Description</t>
  </si>
  <si>
    <t xml:space="preserve">Metro Line Flats — 72-unit 7-story midrise multi-family (4 Type A ADA), Seattle</t>
  </si>
  <si>
    <t xml:space="preserve">OWP Project List with Schedule - UPDATED 04-01-26.xlsx + contract</t>
  </si>
  <si>
    <t xml:space="preserve">General Contractor</t>
  </si>
  <si>
    <t xml:space="preserve">Shelter Holdings</t>
  </si>
  <si>
    <t xml:space="preserve">OWP Project List with Schedule - UPDATED 04-01-26.xlsx</t>
  </si>
  <si>
    <t xml:space="preserve">Customer Code (Sage)</t>
  </si>
  <si>
    <t xml:space="preserve">2042SH</t>
  </si>
  <si>
    <t xml:space="preserve">Owner / Developer</t>
  </si>
  <si>
    <t xml:space="preserve">Boren and Spruce, LLC</t>
  </si>
  <si>
    <t xml:space="preserve">GC PM</t>
  </si>
  <si>
    <t xml:space="preserve">TBD</t>
  </si>
  <si>
    <t xml:space="preserve">2042-Shelter Holdings subcontract SC-53799-027 + Boren &amp; Spruce CO docs</t>
  </si>
  <si>
    <t xml:space="preserve">GC Superintendent</t>
  </si>
  <si>
    <t xml:space="preserve">Brett (Metro Line plan review Brett folder)</t>
  </si>
  <si>
    <t xml:space="preserve">GC PE</t>
  </si>
  <si>
    <t xml:space="preserve">N/A</t>
  </si>
  <si>
    <t xml:space="preserve">OWP Signatory</t>
  </si>
  <si>
    <t xml:space="preserve">Mike Donelson</t>
  </si>
  <si>
    <t xml:space="preserve">Jobsite Location</t>
  </si>
  <si>
    <t xml:space="preserve">915 East Spruce Street, Seattle, WA 98122</t>
  </si>
  <si>
    <t xml:space="preserve">Insurance</t>
  </si>
  <si>
    <t xml:space="preserve">Not Wrap</t>
  </si>
  <si>
    <t xml:space="preserve">Fixture Schedule</t>
  </si>
  <si>
    <t xml:space="preserve">502 fixtures total (656 unit + 98 retail/common)</t>
  </si>
  <si>
    <t xml:space="preserve">Submittal Table of Contents + Plumbing Scope</t>
  </si>
  <si>
    <t xml:space="preserve">Architect</t>
  </si>
  <si>
    <t xml:space="preserve">Metro Line Flats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</si>
  <si>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</si>
  <si>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</si>
  <si>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</si>
  <si>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</si>
  <si>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</si>
  <si>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2017-09 start → 2019-04 (19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</si>
  <si>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</si>
  <si>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</si>
  <si>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</si>
  <si>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</si>
  <si>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</si>
  <si>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$998,152.29 + ($13,882.05) COs (1.39%)</t>
  </si>
  <si>
    <t xml:space="preserve">35.6% margin</t>
  </si>
  <si>
    <t xml:space="preserve">64.4% of revenue</t>
  </si>
  <si>
    <t xml:space="preserve">35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</si>
  <si>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</si>
  <si>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</si>
  <si>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72-unit mixed-use (102 Type B + 6 Type A/ADA) at 915 East Spruce Street, Seattle, WA 98122, 7-story midrise multi-family (Type 1A podium + Type VA above).</t>
  </si>
  <si>
    <t xml:space="preserve">GC: Shelter Holdings (2042SH); Owner: Boren and Spruce, LLC.</t>
  </si>
  <si>
    <t xml:space="preserve">Insurance: Not Wrap (retail-adjacent residential).</t>
  </si>
  <si>
    <t xml:space="preserve">Project team: TBD (GC PM) · Brett (Metro Line plan review Brett folder) (GC Sup) · TBD (Architect) · Mike Donelson (OWP signatory).</t>
  </si>
  <si>
    <t xml:space="preserve">SOURCES</t>
  </si>
  <si>
    <t xml:space="preserve">Canonical financial source: 2042 Job Detail Report.pdf (Sage Timberline, 04/03/2026)</t>
  </si>
  <si>
    <t xml:space="preserve">Job totals (JDR footer): Revenue $922,104.00 / Expenses $593,584.52 / Net $328,519.48 / Retainage $46,105.20</t>
  </si>
  <si>
    <t xml:space="preserve">Source breakdown (derived): PR $295,397.92 · AP $268,713.50 · GL $29,473.10</t>
  </si>
  <si>
    <t xml:space="preserve">Contract: Lump Sum $998,152.29 → $1,012,034.34</t>
  </si>
  <si>
    <t xml:space="preserve">Change Orders (executed): $13,882.05 net across 5 COs (CO log in enriched meta)</t>
  </si>
  <si>
    <t xml:space="preserve">Project Team: TBD (PM) · Brett (Metro Line plan review Brett folder) (Sup) · TBD · Boren and Spruce, LLC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</si>
  <si>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</si>
  <si>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</si>
  <si>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</si>
  <si>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</si>
  <si>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</si>
  <si>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</si>
  <si>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</si>
  <si>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</si>
  <si>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</si>
  <si>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</si>
  <si>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</si>
  <si>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</si>
  <si>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</si>
  <si>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25 cost codes from JDR. Contract $998,152 → $1,012,034.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</si>
  <si>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</si>
  <si>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</si>
  <si>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</si>
  <si>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</si>
  <si>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</si>
  <si>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</si>
  <si>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</si>
  <si>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</si>
  <si>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</si>
  <si>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</si>
  <si>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</si>
  <si>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</si>
  <si>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</si>
  <si>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</si>
  <si>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</si>
  <si>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</si>
  <si>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</si>
  <si>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</si>
  <si>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</si>
  <si>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</si>
  <si>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</si>
  <si>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</si>
  <si>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</si>
  <si>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</si>
  <si>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</si>
  <si>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</si>
  <si>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</si>
  <si>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</si>
  <si>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</si>
  <si>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</si>
  <si>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</si>
  <si>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</si>
  <si>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</si>
  <si>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</si>
  <si>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</si>
  <si>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</si>
  <si>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</si>
  <si>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</si>
  <si>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</si>
  <si>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</si>
  <si>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</si>
  <si>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</si>
  <si>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</si>
  <si>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</si>
  <si>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</si>
  <si>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</si>
  <si>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</si>
  <si>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</si>
  <si>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</si>
  <si>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</si>
  <si>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</si>
  <si>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</si>
  <si>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</si>
  <si>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</si>
  <si>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</si>
  <si>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</si>
  <si>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</si>
  <si>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</si>
  <si>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</si>
  <si>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</si>
  <si>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</si>
  <si>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</si>
  <si>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</si>
  <si>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</si>
  <si>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</si>
  <si>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</si>
  <si>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</si>
  <si>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</si>
  <si>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100,101,110,112,120,130,140,141,142</t>
  </si>
  <si>
    <t xml:space="preserve">Material</t>
  </si>
  <si>
    <t xml:space="preserve">210,211,212,220,230,240,241,242,243</t>
  </si>
  <si>
    <t xml:space="preserve">Overhead</t>
  </si>
  <si>
    <t xml:space="preserve">600,601,603,607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</si>
  <si>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</si>
  <si>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</si>
  <si>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</si>
  <si>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</si>
  <si>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</si>
  <si>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</si>
  <si>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</si>
  <si>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</si>
  <si>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2042RS</t>
  </si>
  <si>
    <t xml:space="preserve">Rosen Supply Company, Inc. $Metro Flats</t>
  </si>
  <si>
    <t xml:space="preserve">Plumbing / Supplies</t>
  </si>
  <si>
    <t xml:space="preserve">5560CH</t>
  </si>
  <si>
    <t xml:space="preserve">California Hydronics Corp</t>
  </si>
  <si>
    <t xml:space="preserve">2042CS</t>
  </si>
  <si>
    <t xml:space="preserve">Consolidated Supply Co. $Metro Flats</t>
  </si>
  <si>
    <t xml:space="preserve">1130CS</t>
  </si>
  <si>
    <t xml:space="preserve">Consolidated Supply Co.</t>
  </si>
  <si>
    <t xml:space="preserve">1625FE</t>
  </si>
  <si>
    <t xml:space="preserve">Franklin Engineering</t>
  </si>
  <si>
    <t xml:space="preserve">Engineering (601)</t>
  </si>
  <si>
    <t xml:space="preserve">1175FE</t>
  </si>
  <si>
    <t xml:space="preserve">Ferguson Enterprises, Inc. #3007</t>
  </si>
  <si>
    <t xml:space="preserve">1231KS</t>
  </si>
  <si>
    <t xml:space="preserve">Keller Supply Company</t>
  </si>
  <si>
    <t xml:space="preserve">1234CO</t>
  </si>
  <si>
    <t xml:space="preserve">Capital One Credit Card</t>
  </si>
  <si>
    <t xml:space="preserve">Credit Card (mixed)</t>
  </si>
  <si>
    <t xml:space="preserve">1380RS</t>
  </si>
  <si>
    <t xml:space="preserve">Rosen Supply Kirkland</t>
  </si>
  <si>
    <t xml:space="preserve">2042FE</t>
  </si>
  <si>
    <t xml:space="preserve">Ferguson Enterprises, Inc. $Metro Flats</t>
  </si>
  <si>
    <t xml:space="preserve">2042KS</t>
  </si>
  <si>
    <t xml:space="preserve">Keller Supply Co. $Metro Flats</t>
  </si>
  <si>
    <t xml:space="preserve">1234BA</t>
  </si>
  <si>
    <t xml:space="preserve">Bank of America CC</t>
  </si>
  <si>
    <t xml:space="preserve">1609QC</t>
  </si>
  <si>
    <t xml:space="preserve">Quality Concrete Products, Inc. $32</t>
  </si>
  <si>
    <t xml:space="preserve">Uncategorized</t>
  </si>
  <si>
    <t xml:space="preserve">1288DR</t>
  </si>
  <si>
    <t xml:space="preserve">DRSi</t>
  </si>
  <si>
    <t xml:space="preserve">1641AR</t>
  </si>
  <si>
    <t xml:space="preserve">A.R. Brown Backflow Testing</t>
  </si>
  <si>
    <t xml:space="preserve">Testing subcontractor</t>
  </si>
  <si>
    <t xml:space="preserve">3612MS</t>
  </si>
  <si>
    <t xml:space="preserve">Mechanical Sales, Inc.</t>
  </si>
  <si>
    <t xml:space="preserve">1021AT</t>
  </si>
  <si>
    <t xml:space="preserve">ACME Corp</t>
  </si>
  <si>
    <t xml:space="preserve">2040CS</t>
  </si>
  <si>
    <t xml:space="preserve">Consolidated Supply Co. $65th Apts</t>
  </si>
  <si>
    <t xml:space="preserve">Crew &amp; Labor — Worker Roster</t>
  </si>
  <si>
    <t xml:space="preserve">All 35 unique payroll workers. OWP signatory: Mike Donelson.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</si>
  <si>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</si>
  <si>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</si>
  <si>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</si>
  <si>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</si>
  <si>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</si>
  <si>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</si>
  <si>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RE18</t>
  </si>
  <si>
    <t xml:space="preserve">Reed, Reuben H</t>
  </si>
  <si>
    <t xml:space="preserve">ME52</t>
  </si>
  <si>
    <t xml:space="preserve">Mendoza, Edgar E</t>
  </si>
  <si>
    <t xml:space="preserve">LU09</t>
  </si>
  <si>
    <t xml:space="preserve">Lucas Tzintzun, Rafael</t>
  </si>
  <si>
    <t xml:space="preserve">CR87</t>
  </si>
  <si>
    <t xml:space="preserve">Cruz Reyes, Jose</t>
  </si>
  <si>
    <t xml:space="preserve">CR79</t>
  </si>
  <si>
    <t xml:space="preserve">Cruz Guzman, Joel A</t>
  </si>
  <si>
    <t xml:space="preserve">BE45</t>
  </si>
  <si>
    <t xml:space="preserve">Belcher, Jacob T</t>
  </si>
  <si>
    <t xml:space="preserve">RE91</t>
  </si>
  <si>
    <t xml:space="preserve">Reyes, Maria E</t>
  </si>
  <si>
    <t xml:space="preserve">GA70</t>
  </si>
  <si>
    <t xml:space="preserve">Garcia, Jordan X</t>
  </si>
  <si>
    <t xml:space="preserve">VE43</t>
  </si>
  <si>
    <t xml:space="preserve">Velasquez Cruz, Osman N</t>
  </si>
  <si>
    <t xml:space="preserve">VE42</t>
  </si>
  <si>
    <t xml:space="preserve">Velasquez Cruz, Denis M</t>
  </si>
  <si>
    <t xml:space="preserve">GO51</t>
  </si>
  <si>
    <t xml:space="preserve">Gomez Reyes, Edith N</t>
  </si>
  <si>
    <t xml:space="preserve">BA70</t>
  </si>
  <si>
    <t xml:space="preserve">Barnhart, Joseph N</t>
  </si>
  <si>
    <t xml:space="preserve">HU06</t>
  </si>
  <si>
    <t xml:space="preserve">Hubbard, Robert W</t>
  </si>
  <si>
    <t xml:space="preserve">SA54</t>
  </si>
  <si>
    <t xml:space="preserve">Sanders, Allen O</t>
  </si>
  <si>
    <t xml:space="preserve">DO56</t>
  </si>
  <si>
    <t xml:space="preserve">Donelson, Richard T</t>
  </si>
  <si>
    <t xml:space="preserve">HO18</t>
  </si>
  <si>
    <t xml:space="preserve">Hoeg, Xavier A</t>
  </si>
  <si>
    <t xml:space="preserve">GE69</t>
  </si>
  <si>
    <t xml:space="preserve">Gerard, Jeffrey S</t>
  </si>
  <si>
    <t xml:space="preserve">KI55</t>
  </si>
  <si>
    <t xml:space="preserve">Kinssies, Jr, John E</t>
  </si>
  <si>
    <t xml:space="preserve">MC09</t>
  </si>
  <si>
    <t xml:space="preserve">McCabe, Thomas C</t>
  </si>
  <si>
    <t xml:space="preserve">AN14</t>
  </si>
  <si>
    <t xml:space="preserve">Anderson, Richard P</t>
  </si>
  <si>
    <t xml:space="preserve">SI48</t>
  </si>
  <si>
    <t xml:space="preserve">Silva Morales, Jair J</t>
  </si>
  <si>
    <t xml:space="preserve">TR60</t>
  </si>
  <si>
    <t xml:space="preserve">Trower-Kelly, Fidel D</t>
  </si>
  <si>
    <t xml:space="preserve">EL33</t>
  </si>
  <si>
    <t xml:space="preserve">Eliassen, Cory H</t>
  </si>
  <si>
    <t xml:space="preserve">BA68</t>
  </si>
  <si>
    <t xml:space="preserve">Barbosa, Michael S</t>
  </si>
  <si>
    <t xml:space="preserve">MA71</t>
  </si>
  <si>
    <t xml:space="preserve">Martinez Reyes, Juan C</t>
  </si>
  <si>
    <t xml:space="preserve">FO55</t>
  </si>
  <si>
    <t xml:space="preserve">Fonseca Teruel, Eduardo</t>
  </si>
  <si>
    <t xml:space="preserve">WE55</t>
  </si>
  <si>
    <t xml:space="preserve">Wennig, Johnathan M</t>
  </si>
  <si>
    <t xml:space="preserve">SE64</t>
  </si>
  <si>
    <t xml:space="preserve">Sepulveda Gonzalez, Alfredo</t>
  </si>
  <si>
    <t xml:space="preserve">LO58</t>
  </si>
  <si>
    <t xml:space="preserve">Lopez Reyes, Boris O</t>
  </si>
  <si>
    <t xml:space="preserve">CO71</t>
  </si>
  <si>
    <t xml:space="preserve">Cortes Mendiola, Victor H</t>
  </si>
  <si>
    <t xml:space="preserve">GE70</t>
  </si>
  <si>
    <t xml:space="preserve">Gerard, Jordan E</t>
  </si>
  <si>
    <t xml:space="preserve">ST02</t>
  </si>
  <si>
    <t xml:space="preserve">Stahlschmidt, John P</t>
  </si>
  <si>
    <t xml:space="preserve">HU04</t>
  </si>
  <si>
    <t xml:space="preserve">Hubbard, Dustin R</t>
  </si>
  <si>
    <t xml:space="preserve">RO06</t>
  </si>
  <si>
    <t xml:space="preserve">Roberts, Lake A</t>
  </si>
  <si>
    <t xml:space="preserve">HE70</t>
  </si>
  <si>
    <t xml:space="preserve">Hernandez Gonzalez, Osbaldo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</si>
  <si>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</si>
  <si>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</si>
  <si>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</si>
  <si>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</si>
  <si>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</si>
  <si>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</si>
  <si>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</si>
  <si>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</si>
  <si>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</si>
  <si>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</si>
  <si>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</si>
  <si>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</si>
  <si>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</si>
  <si>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</si>
  <si>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</si>
  <si>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RE18 Reed, Reuben H (1271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</si>
  <si>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</si>
  <si>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</si>
  <si>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</si>
  <si>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</si>
  <si>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</si>
  <si>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</si>
  <si>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</si>
  <si>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</si>
  <si>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</si>
  <si>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</si>
  <si>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72 units (502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</si>
  <si>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</si>
  <si>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</si>
  <si>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</si>
  <si>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</si>
  <si>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</si>
  <si>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</si>
  <si>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</si>
  <si>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</si>
  <si>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</si>
  <si>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</si>
  <si>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</si>
  <si>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</si>
  <si>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</si>
  <si>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</si>
  <si>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</si>
  <si>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</si>
  <si>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</si>
  <si>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</si>
  <si>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</si>
  <si>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</si>
  <si>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</si>
  <si>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</si>
  <si>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(72)</t>
  </si>
  <si>
    <t xml:space="preserve">USD</t>
  </si>
  <si>
    <t xml:space="preserve">72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</si>
  <si>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</si>
  <si>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</si>
  <si>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</si>
  <si>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</si>
  <si>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</si>
  <si>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</si>
  <si>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502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</si>
  <si>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</si>
  <si>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</si>
  <si>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</si>
  <si>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</si>
  <si>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</si>
  <si>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</si>
  <si>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</si>
  <si>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</si>
  <si>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</si>
  <si>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2017-07-21</t>
  </si>
  <si>
    <t xml:space="preserve">Lump Sum Subcontract</t>
  </si>
  <si>
    <t xml:space="preserve">Closed</t>
  </si>
  <si>
    <t xml:space="preserve">Metro Line Flats plumbing (72 units, 7 stories) — per Div 22</t>
  </si>
  <si>
    <t xml:space="preserve">CO-NET</t>
  </si>
  <si>
    <t xml:space="preserve">—</t>
  </si>
  <si>
    <t xml:space="preserve">Change Orders (executed, 5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</si>
  <si>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</si>
  <si>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</si>
  <si>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</si>
  <si>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</si>
  <si>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123 invoices to Shelter Holdings. Retainage $46,105.20.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</si>
  <si>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</si>
  <si>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</si>
  <si>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</si>
  <si>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</si>
  <si>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554</t>
  </si>
  <si>
    <t xml:space="preserve">01/18/19</t>
  </si>
  <si>
    <t xml:space="preserve">467</t>
  </si>
  <si>
    <t xml:space="preserve">01/19/18</t>
  </si>
  <si>
    <t xml:space="preserve">585</t>
  </si>
  <si>
    <t xml:space="preserve">02/20/18</t>
  </si>
  <si>
    <t xml:space="preserve">436</t>
  </si>
  <si>
    <t xml:space="preserve">03/20/18</t>
  </si>
  <si>
    <t xml:space="preserve">686</t>
  </si>
  <si>
    <t xml:space="preserve">03/20/19</t>
  </si>
  <si>
    <t xml:space="preserve">797</t>
  </si>
  <si>
    <t xml:space="preserve">03/25/19</t>
  </si>
  <si>
    <t xml:space="preserve">545</t>
  </si>
  <si>
    <t xml:space="preserve">04/20/18</t>
  </si>
  <si>
    <t xml:space="preserve">503</t>
  </si>
  <si>
    <t xml:space="preserve">05/18/18</t>
  </si>
  <si>
    <t xml:space="preserve">510</t>
  </si>
  <si>
    <t xml:space="preserve">05/20/19</t>
  </si>
  <si>
    <t xml:space="preserve">676</t>
  </si>
  <si>
    <t xml:space="preserve">06/20/18</t>
  </si>
  <si>
    <t xml:space="preserve">513</t>
  </si>
  <si>
    <t xml:space="preserve">07/19/18</t>
  </si>
  <si>
    <t xml:space="preserve">594</t>
  </si>
  <si>
    <t xml:space="preserve">08/20/18</t>
  </si>
  <si>
    <t xml:space="preserve">470</t>
  </si>
  <si>
    <t xml:space="preserve">09/19/18</t>
  </si>
  <si>
    <t xml:space="preserve">525</t>
  </si>
  <si>
    <t xml:space="preserve">10/19/18</t>
  </si>
  <si>
    <t xml:space="preserve">373</t>
  </si>
  <si>
    <t xml:space="preserve">10/20/17</t>
  </si>
  <si>
    <t xml:space="preserve">356</t>
  </si>
  <si>
    <t xml:space="preserve">12/14/18</t>
  </si>
  <si>
    <t xml:space="preserve">536</t>
  </si>
  <si>
    <t xml:space="preserve">12/15/17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</si>
  <si>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</si>
  <si>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</si>
  <si>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</si>
  <si>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</si>
  <si>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</si>
  <si>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</si>
  <si>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</si>
  <si>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</si>
  <si>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$328,519.48 on $922,104.00 revenue = 35.6% gross margin.</t>
  </si>
  <si>
    <t xml:space="preserve">Verified</t>
  </si>
  <si>
    <t xml:space="preserve">CONTRACT CHANGE</t>
  </si>
  <si>
    <t xml:space="preserve">Original $998,152.29 → final $1,012,034.34 = $+13,882.05 net (1.39%) across 5 executed COs.</t>
  </si>
  <si>
    <t xml:space="preserve">2042 Job Detail Report.pdf (Sage Timberline, 04/03/2026) + CO log</t>
  </si>
  <si>
    <t xml:space="preserve">LABOR PROFILE</t>
  </si>
  <si>
    <t xml:space="preserve">Labor cost $194,340.50 (21.1% of rev) across 7,215 hrs and 35 workers. Blended wage $26.94/hr.</t>
  </si>
  <si>
    <t xml:space="preserve">VENDOR CONCENTRATION</t>
  </si>
  <si>
    <t xml:space="preserve">Top 5 AP vendors: ~$208,306.18 (78% of AP). Top vendor: Rosen Supply Company, Inc. $Metro Flats ($49,362.67).</t>
  </si>
  <si>
    <t xml:space="preserve">RETAINAGE</t>
  </si>
  <si>
    <t xml:space="preserve">Retainage $46,105.20 — outstanding as of report date.</t>
  </si>
  <si>
    <t xml:space="preserve">ROUGH-IN SHARE</t>
  </si>
  <si>
    <t xml:space="preserve">Code 120 Roughin Labor = 4,990 hrs (70% of labor hours).</t>
  </si>
  <si>
    <t xml:space="preserve">TOP COST CODE</t>
  </si>
  <si>
    <t xml:space="preserve">Largest actual cost: 230 Finish Material = $148,333.68</t>
  </si>
  <si>
    <t xml:space="preserve">WORKER CONCENTRATION</t>
  </si>
  <si>
    <t xml:space="preserve">Top worker Reed, Reuben H = 1,271 hrs (18% of total).</t>
  </si>
  <si>
    <t xml:space="preserve">INSURANCE</t>
  </si>
  <si>
    <t xml:space="preserve">Not Wrap — retail-adjacent mixed-use.</t>
  </si>
  <si>
    <t xml:space="preserve">SCOPE CONTEXT</t>
  </si>
  <si>
    <t xml:space="preserve">Metro Line Flats — 72-unit 7-story midrise (68 standard + 4 Type A ADA) + P1/P2 parking at 915 East Spruce Street, Seattle, WA 98122.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</si>
  <si>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</si>
  <si>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</si>
  <si>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</si>
  <si>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</si>
  <si>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</si>
  <si>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</si>
  <si>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</si>
  <si>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</si>
  <si>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</si>
  <si>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</si>
  <si>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</si>
  <si>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</si>
  <si>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Metro Line Flats (Boren &amp; Spruce)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</si>
  <si>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</si>
  <si>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</si>
  <si>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</si>
  <si>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</si>
  <si>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</si>
  <si>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</si>
  <si>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</si>
  <si>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7-story, 72-unit multi-family residential (midrise / urban infill), including studios, open 1-BR, 1-BR, 2-BR, and 4 Type A ADA units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</si>
  <si>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</si>
  <si>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</si>
  <si>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</si>
  <si>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</si>
  <si>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</si>
  <si>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</si>
  <si>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</si>
  <si>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</si>
  <si>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</si>
  <si>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</si>
  <si>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</si>
  <si>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2017-09</t>
  </si>
  <si>
    <t xml:space="preserve">Work End</t>
  </si>
  <si>
    <t xml:space="preserve">end_date</t>
  </si>
  <si>
    <t xml:space="preserve">2019-04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</si>
  <si>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</si>
  <si>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</si>
  <si>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</si>
  <si>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</si>
  <si>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</si>
  <si>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</si>
  <si>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</si>
  <si>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</si>
  <si>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</si>
  <si>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</si>
  <si>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</si>
  <si>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</si>
  <si>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</si>
  <si>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</si>
  <si>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</si>
  <si>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5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</si>
  <si>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</si>
  <si>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</si>
  <si>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</si>
  <si>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</si>
  <si>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</si>
  <si>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</si>
  <si>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</si>
  <si>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</si>
  <si>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</si>
  <si>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</si>
  <si>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</si>
  <si>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</si>
  <si>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</si>
  <si>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</si>
  <si>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</si>
  <si>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</si>
  <si>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</si>
  <si>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</si>
  <si>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</si>
  <si>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</si>
  <si>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</si>
  <si>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</si>
  <si>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</si>
  <si>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</si>
  <si>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</si>
  <si>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</si>
  <si>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</si>
  <si>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</si>
  <si>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</si>
  <si>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</si>
  <si>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</si>
  <si>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</si>
  <si>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</si>
  <si>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</si>
  <si>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</si>
  <si>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</si>
  <si>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</si>
  <si>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</si>
  <si>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</si>
  <si>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</si>
  <si>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</si>
  <si>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</si>
  <si>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</si>
  <si>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</si>
  <si>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</si>
  <si>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</si>
  <si>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</si>
  <si>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</si>
  <si>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</si>
  <si>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</si>
  <si>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</si>
  <si>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</si>
  <si>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</si>
  <si>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</si>
  <si>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</si>
  <si>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</si>
  <si>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</si>
  <si>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</si>
  <si>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</si>
  <si>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</si>
  <si>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</si>
  <si>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</si>
  <si>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</si>
  <si>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</si>
  <si>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</si>
  <si>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</si>
  <si>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</si>
  <si>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</si>
  <si>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</si>
  <si>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</si>
  <si>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</si>
  <si>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</si>
  <si>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</si>
  <si>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</si>
  <si>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</si>
  <si>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</si>
  <si>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</si>
  <si>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</si>
  <si>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</si>
  <si>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</si>
  <si>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</si>
  <si>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</si>
  <si>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</si>
  <si>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</si>
  <si>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</si>
  <si>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</si>
  <si>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</si>
  <si>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</si>
  <si>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</si>
  <si>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</si>
  <si>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</si>
  <si>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</si>
  <si>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</si>
  <si>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</si>
  <si>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</si>
  <si>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</si>
  <si>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5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</si>
  <si>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</si>
  <si>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</si>
  <si>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</si>
  <si>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</si>
  <si>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</si>
  <si>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</si>
  <si>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$998,152.29</t>
  </si>
  <si>
    <t xml:space="preserve">CO-01</t>
  </si>
  <si>
    <t xml:space="preserve">Change Order</t>
  </si>
  <si>
    <t xml:space="preserve">Saturday Work 1/20/18 (T&amp;M authorization per signed ticket)</t>
  </si>
  <si>
    <t xml:space="preserve">GDrive CO 1</t>
  </si>
  <si>
    <t xml:space="preserve">CO-02</t>
  </si>
  <si>
    <t xml:space="preserve">Common Area Lav Sink (COR#03) — revised scope misc addition</t>
  </si>
  <si>
    <t xml:space="preserve">GDrive CO 2</t>
  </si>
  <si>
    <t xml:space="preserve">CO-03</t>
  </si>
  <si>
    <t xml:space="preserve">Added Level 1 scope (commercial/retail finish)</t>
  </si>
  <si>
    <t xml:space="preserve">GDrive CO 3</t>
  </si>
  <si>
    <t xml:space="preserve">CO-04</t>
  </si>
  <si>
    <t xml:space="preserve">Replaced CE#097 version ($5,829.80 cancelled). Consolidates change items including garbage disposals (COR#06) and unit water meters (COR#07)</t>
  </si>
  <si>
    <t xml:space="preserve">GDrive CO 4</t>
  </si>
  <si>
    <t xml:space="preserve">CO-05</t>
  </si>
  <si>
    <t xml:space="preserve">Elevator Room Condensate Line (COR#04) + balance of bundled items</t>
  </si>
  <si>
    <t xml:space="preserve">GDrive CO 5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</si>
  <si>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</si>
  <si>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</si>
  <si>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</si>
  <si>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</si>
  <si>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</si>
  <si>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</si>
  <si>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</si>
  <si>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</si>
  <si>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</si>
  <si>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$46,105.20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</si>
  <si>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</si>
  <si>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</si>
  <si>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</si>
  <si>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</si>
  <si>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</si>
  <si>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</si>
  <si>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</si>
  <si>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</si>
  <si>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</si>
  <si>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$998,152 → $1,012,034 (5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</si>
  <si>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</si>
  <si>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</si>
  <si>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</si>
  <si>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</si>
  <si>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18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</si>
  <si>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</si>
  <si>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</si>
  <si>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</si>
  <si>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</si>
  <si>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</si>
  <si>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</si>
  <si>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</si>
  <si>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</si>
  <si>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</si>
  <si>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</si>
  <si>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</si>
  <si>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</si>
  <si>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</si>
  <si>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</si>
  <si>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</si>
  <si>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</si>
  <si>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</si>
  <si>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</si>
  <si>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</si>
  <si>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</si>
  <si>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</si>
  <si>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</si>
  <si>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</si>
  <si>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</si>
  <si>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</si>
  <si>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</si>
  <si>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</si>
  <si>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1.39%</t>
  </si>
  <si>
    <t xml:space="preserve">±10%</t>
  </si>
  <si>
    <t xml:space="preserve">HEALTHY</t>
  </si>
  <si>
    <t xml:space="preserve">+1.39% net (5 COs)</t>
  </si>
  <si>
    <t xml:space="preserve">&lt;30%</t>
  </si>
  <si>
    <t xml:space="preserve">21.1%</t>
  </si>
  <si>
    <t xml:space="preserve">GL Overhead % of Revenue</t>
  </si>
  <si>
    <t xml:space="preserve">&lt;5%</t>
  </si>
  <si>
    <t xml:space="preserve">3.2%</t>
  </si>
  <si>
    <t xml:space="preserve">Vendor Concentration (Top 5)</t>
  </si>
  <si>
    <t xml:space="preserve">&lt;95%</t>
  </si>
  <si>
    <t xml:space="preserve">Top 5 = 78% of AP</t>
  </si>
  <si>
    <t xml:space="preserve">Retainage %</t>
  </si>
  <si>
    <t xml:space="preserve">&lt;10%</t>
  </si>
  <si>
    <t xml:space="preserve">5.0%</t>
  </si>
  <si>
    <t xml:space="preserve">&gt;30%</t>
  </si>
  <si>
    <t xml:space="preserve">35.6%</t>
  </si>
  <si>
    <t xml:space="preserve">Labor Hrs Total</t>
  </si>
  <si>
    <t xml:space="preserve">varies</t>
  </si>
  <si>
    <t xml:space="preserve">INFO</t>
  </si>
  <si>
    <t xml:space="preserve">7,215 hrs, 35 workers</t>
  </si>
  <si>
    <t xml:space="preserve">Worker Concentration (top 1)</t>
  </si>
  <si>
    <t xml:space="preserve">&lt;25%</t>
  </si>
  <si>
    <t xml:space="preserve">17.6% (Reed, Reuben H)</t>
  </si>
  <si>
    <t xml:space="preserve">Rough-in Labor Share</t>
  </si>
  <si>
    <t xml:space="preserve">40-65%</t>
  </si>
  <si>
    <t xml:space="preserve">WATCH</t>
  </si>
  <si>
    <t xml:space="preserve">70%</t>
  </si>
  <si>
    <t xml:space="preserve">Retainage Legacy</t>
  </si>
  <si>
    <t xml:space="preserve">OUTSTANDING</t>
  </si>
  <si>
    <t xml:space="preserve">&lt;90 days post-closeout</t>
  </si>
  <si>
    <t xml:space="preserve">$46,105.20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</si>
  <si>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</si>
  <si>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</si>
  <si>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</si>
  <si>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</si>
  <si>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</si>
  <si>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</si>
  <si>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</si>
  <si>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</si>
  <si>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</si>
  <si>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</si>
  <si>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$12,807/unit rev, $4,563/unit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</si>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</sst>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0</v>
      </c>
    </row>
    <row r="3" customFormat="false" ht="21.75" hidden="false" customHeight="true" outlineLevel="0" collapsed="false">
      <c r="B3" s="3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  <c r="C6" s="6" t="s">
        <v>4</v>
      </c>
      <c r="D6" s="6"/>
      <c r="E6" s="6"/>
      <c r="F6" s="6" t="s">
        <v>5</v>
      </c>
      <c r="G6" s="6"/>
      <c r="H6" s="6"/>
      <c r="I6" s="6"/>
      <c r="J6" s="6"/>
    </row>
    <row r="7" customFormat="false" ht="15" hidden="false" customHeight="false" outlineLevel="0" collapsed="false">
      <c r="B7" s="7" t="s">
        <v>6</v>
      </c>
      <c r="C7" s="8" t="s">
        <v>7</v>
      </c>
      <c r="D7" s="8"/>
      <c r="E7" s="8"/>
      <c r="F7" s="8" t="s">
        <v>5</v>
      </c>
      <c r="G7" s="8"/>
      <c r="H7" s="8"/>
      <c r="I7" s="8"/>
      <c r="J7" s="8"/>
    </row>
    <row r="8" customFormat="false" ht="15" hidden="false" customHeight="false" outlineLevel="0" collapsed="false">
      <c r="B8" s="5" t="s">
        <v>8</v>
      </c>
      <c r="C8" s="6" t="s">
        <v>9</v>
      </c>
      <c r="D8" s="6"/>
      <c r="E8" s="6"/>
      <c r="F8" s="6" t="s">
        <v>10</v>
      </c>
      <c r="G8" s="6"/>
      <c r="H8" s="6"/>
      <c r="I8" s="6"/>
      <c r="J8" s="6"/>
    </row>
    <row r="9" customFormat="false" ht="15" hidden="false" customHeight="false" outlineLevel="0" collapsed="false">
      <c r="B9" s="7" t="s">
        <v>11</v>
      </c>
      <c r="C9" s="8" t="s">
        <v>12</v>
      </c>
      <c r="D9" s="8"/>
      <c r="E9" s="8"/>
      <c r="F9" s="8" t="s">
        <v>13</v>
      </c>
      <c r="G9" s="8"/>
      <c r="H9" s="8"/>
      <c r="I9" s="8"/>
      <c r="J9" s="8"/>
    </row>
    <row r="10" customFormat="false" ht="15" hidden="false" customHeight="false" outlineLevel="0" collapsed="false">
      <c r="B10" s="5" t="s">
        <v>14</v>
      </c>
      <c r="C10" s="6" t="s">
        <v>15</v>
      </c>
      <c r="D10" s="6"/>
      <c r="E10" s="6"/>
      <c r="F10" s="6" t="s">
        <v>5</v>
      </c>
      <c r="G10" s="6"/>
      <c r="H10" s="6"/>
      <c r="I10" s="6"/>
      <c r="J10" s="6"/>
    </row>
    <row r="11" customFormat="false" ht="15" hidden="false" customHeight="false" outlineLevel="0" collapsed="false">
      <c r="B11" s="7" t="s">
        <v>16</v>
      </c>
      <c r="C11" s="8" t="s">
        <v>17</v>
      </c>
      <c r="D11" s="8"/>
      <c r="E11" s="8"/>
      <c r="F11" s="8" t="s">
        <v>13</v>
      </c>
      <c r="G11" s="8"/>
      <c r="H11" s="8"/>
      <c r="I11" s="8"/>
      <c r="J11" s="8"/>
    </row>
    <row r="12" customFormat="false" ht="15" hidden="false" customHeight="false" outlineLevel="0" collapsed="false">
      <c r="B12" s="5" t="s">
        <v>18</v>
      </c>
      <c r="C12" s="6" t="s">
        <v>19</v>
      </c>
      <c r="D12" s="6"/>
      <c r="E12" s="6"/>
      <c r="F12" s="6" t="s">
        <v>20</v>
      </c>
      <c r="G12" s="6"/>
      <c r="H12" s="6"/>
      <c r="I12" s="6"/>
      <c r="J12" s="6"/>
    </row>
    <row r="13" customFormat="false" ht="15" hidden="false" customHeight="false" outlineLevel="0" collapsed="false">
      <c r="B13" s="7" t="s">
        <v>21</v>
      </c>
      <c r="C13" s="8" t="s">
        <v>22</v>
      </c>
      <c r="D13" s="8"/>
      <c r="E13" s="8"/>
      <c r="F13" s="8" t="s">
        <v>20</v>
      </c>
      <c r="G13" s="8"/>
      <c r="H13" s="8"/>
      <c r="I13" s="8"/>
      <c r="J13" s="8"/>
    </row>
    <row r="14" customFormat="false" ht="15" hidden="false" customHeight="false" outlineLevel="0" collapsed="false">
      <c r="B14" s="5" t="s">
        <v>23</v>
      </c>
      <c r="C14" s="6" t="s">
        <v>24</v>
      </c>
      <c r="D14" s="6"/>
      <c r="E14" s="6"/>
      <c r="F14" s="6" t="s">
        <v>20</v>
      </c>
      <c r="G14" s="6"/>
      <c r="H14" s="6"/>
      <c r="I14" s="6"/>
      <c r="J14" s="6"/>
    </row>
    <row r="15" customFormat="false" ht="15" hidden="false" customHeight="false" outlineLevel="0" collapsed="false">
      <c r="B15" s="7" t="s">
        <v>25</v>
      </c>
      <c r="C15" s="8" t="s">
        <v>26</v>
      </c>
      <c r="D15" s="8"/>
      <c r="E15" s="8"/>
      <c r="F15" s="8" t="s">
        <v>20</v>
      </c>
      <c r="G15" s="8"/>
      <c r="H15" s="8"/>
      <c r="I15" s="8"/>
      <c r="J15" s="8"/>
    </row>
    <row r="16" customFormat="false" ht="15" hidden="false" customHeight="false" outlineLevel="0" collapsed="false">
      <c r="B16" s="5" t="s">
        <v>27</v>
      </c>
      <c r="C16" s="6" t="s">
        <v>28</v>
      </c>
      <c r="D16" s="6"/>
      <c r="E16" s="6"/>
      <c r="F16" s="6" t="s">
        <v>13</v>
      </c>
      <c r="G16" s="6"/>
      <c r="H16" s="6"/>
      <c r="I16" s="6"/>
      <c r="J16" s="6"/>
    </row>
    <row r="17" customFormat="false" ht="15" hidden="false" customHeight="false" outlineLevel="0" collapsed="false">
      <c r="B17" s="7" t="s">
        <v>29</v>
      </c>
      <c r="C17" s="8" t="s">
        <v>30</v>
      </c>
      <c r="D17" s="8"/>
      <c r="E17" s="8"/>
      <c r="F17" s="8" t="s">
        <v>13</v>
      </c>
      <c r="G17" s="8"/>
      <c r="H17" s="8"/>
      <c r="I17" s="8"/>
      <c r="J17" s="8"/>
    </row>
    <row r="18" customFormat="false" ht="15" hidden="false" customHeight="false" outlineLevel="0" collapsed="false">
      <c r="B18" s="5" t="s">
        <v>31</v>
      </c>
      <c r="C18" s="6" t="s">
        <v>32</v>
      </c>
      <c r="D18" s="6"/>
      <c r="E18" s="6"/>
      <c r="F18" s="6" t="s">
        <v>33</v>
      </c>
      <c r="G18" s="6"/>
      <c r="H18" s="6"/>
      <c r="I18" s="6"/>
      <c r="J18" s="6"/>
    </row>
    <row r="19" customFormat="false" ht="15" hidden="false" customHeight="false" outlineLevel="0" collapsed="false">
      <c r="B19" s="7" t="s">
        <v>34</v>
      </c>
      <c r="C19" s="8" t="s">
        <v>19</v>
      </c>
      <c r="D19" s="8"/>
      <c r="E19" s="8"/>
      <c r="F19" s="8" t="s">
        <v>35</v>
      </c>
      <c r="G19" s="8"/>
      <c r="H19" s="8"/>
      <c r="I19" s="8"/>
      <c r="J19" s="8"/>
    </row>
    <row r="20" customFormat="false" ht="15" hidden="false" customHeight="false" outlineLevel="0" collapsed="false">
      <c r="B20" s="5" t="s">
        <v>36</v>
      </c>
      <c r="C20" s="6" t="s">
        <v>37</v>
      </c>
      <c r="D20" s="6"/>
      <c r="E20" s="6"/>
      <c r="F20" s="6" t="s">
        <v>20</v>
      </c>
      <c r="G20" s="6"/>
      <c r="H20" s="6"/>
      <c r="I20" s="6"/>
      <c r="J20" s="6"/>
    </row>
    <row r="21" customFormat="false" ht="15" hidden="false" customHeight="false" outlineLevel="0" collapsed="false">
      <c r="B21" s="7" t="s">
        <v>38</v>
      </c>
      <c r="C21" s="8" t="n">
        <v>72</v>
      </c>
      <c r="D21" s="8"/>
      <c r="E21" s="8"/>
      <c r="F21" s="8" t="s">
        <v>39</v>
      </c>
      <c r="G21" s="8"/>
      <c r="H21" s="8"/>
      <c r="I21" s="8"/>
      <c r="J21" s="8"/>
    </row>
    <row r="22" customFormat="false" ht="15" hidden="false" customHeight="false" outlineLevel="0" collapsed="false">
      <c r="B22" s="5" t="s">
        <v>40</v>
      </c>
      <c r="C22" s="6" t="s">
        <v>41</v>
      </c>
      <c r="D22" s="6"/>
      <c r="E22" s="6"/>
      <c r="F22" s="6" t="s">
        <v>42</v>
      </c>
      <c r="G22" s="6"/>
      <c r="H22" s="6"/>
      <c r="I22" s="6"/>
      <c r="J22" s="6"/>
    </row>
    <row r="24" customFormat="false" ht="15" hidden="false" customHeight="false" outlineLevel="0" collapsed="false">
      <c r="B24" s="9" t="s">
        <v>43</v>
      </c>
      <c r="D24" s="9" t="s">
        <v>44</v>
      </c>
      <c r="F24" s="9" t="s">
        <v>45</v>
      </c>
      <c r="H24" s="9" t="s">
        <v>46</v>
      </c>
    </row>
    <row r="25" customFormat="false" ht="15" hidden="false" customHeight="false" outlineLevel="0" collapsed="false">
      <c r="B25" s="10" t="n">
        <v>922104</v>
      </c>
      <c r="D25" s="10" t="n">
        <v>328519.48</v>
      </c>
      <c r="F25" s="10" t="n">
        <v>593584.52</v>
      </c>
      <c r="H25" s="11" t="n">
        <v>7215</v>
      </c>
    </row>
    <row r="26" customFormat="false" ht="15" hidden="false" customHeight="false" outlineLevel="0" collapsed="false">
      <c r="B26" s="12" t="s">
        <v>47</v>
      </c>
      <c r="D26" s="12" t="s">
        <v>48</v>
      </c>
      <c r="F26" s="12" t="s">
        <v>49</v>
      </c>
      <c r="H26" s="12" t="s">
        <v>50</v>
      </c>
    </row>
    <row r="28" customFormat="false" ht="15" hidden="false" customHeight="false" outlineLevel="0" collapsed="false">
      <c r="B28" s="4" t="s">
        <v>51</v>
      </c>
    </row>
    <row r="29" customFormat="false" ht="15" hidden="false" customHeight="false" outlineLevel="0" collapsed="false">
      <c r="B29" s="6" t="s">
        <v>52</v>
      </c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B30" s="6" t="s">
        <v>53</v>
      </c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B31" s="6" t="s">
        <v>54</v>
      </c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B32" s="6" t="s">
        <v>55</v>
      </c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B33" s="6" t="s">
        <v>56</v>
      </c>
      <c r="C33" s="6"/>
      <c r="D33" s="6"/>
      <c r="E33" s="6"/>
      <c r="F33" s="6"/>
      <c r="G33" s="6"/>
      <c r="H33" s="6"/>
      <c r="I33" s="6"/>
      <c r="J33" s="6"/>
    </row>
    <row r="35" customFormat="false" ht="15" hidden="false" customHeight="false" outlineLevel="0" collapsed="false">
      <c r="B35" s="13" t="s">
        <v>57</v>
      </c>
    </row>
    <row r="36" customFormat="false" ht="15" hidden="false" customHeight="false" outlineLevel="0" collapsed="false">
      <c r="B36" s="6" t="s">
        <v>58</v>
      </c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B37" s="6" t="s">
        <v>59</v>
      </c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B38" s="6" t="s">
        <v>60</v>
      </c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B39" s="6" t="s">
        <v>61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6" t="s">
        <v>62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6" t="s">
        <v>63</v>
      </c>
      <c r="C41" s="6"/>
      <c r="D41" s="6"/>
      <c r="E41" s="6"/>
      <c r="F41" s="6"/>
      <c r="G41" s="6"/>
      <c r="H41" s="6"/>
      <c r="I41" s="6"/>
      <c r="J41" s="6"/>
    </row>
    <row r="43" customFormat="false" ht="15" hidden="false" customHeight="false" outlineLevel="0" collapsed="false">
      <c r="B43" s="4" t="s">
        <v>64</v>
      </c>
    </row>
    <row r="44" customFormat="false" ht="15" hidden="false" customHeight="false" outlineLevel="0" collapsed="false">
      <c r="B44" s="4" t="s">
        <v>65</v>
      </c>
      <c r="C44" s="4" t="s">
        <v>66</v>
      </c>
      <c r="D44" s="4" t="s">
        <v>67</v>
      </c>
    </row>
    <row r="45" customFormat="false" ht="15" hidden="false" customHeight="false" outlineLevel="0" collapsed="false">
      <c r="B45" s="12" t="s">
        <v>68</v>
      </c>
      <c r="C45" s="14" t="s">
        <v>69</v>
      </c>
      <c r="D45" s="6" t="s">
        <v>12</v>
      </c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B46" s="12" t="s">
        <v>18</v>
      </c>
      <c r="C46" s="14" t="s">
        <v>69</v>
      </c>
      <c r="D46" s="6" t="s">
        <v>19</v>
      </c>
      <c r="E46" s="6"/>
      <c r="F46" s="6"/>
      <c r="G46" s="6"/>
      <c r="H46" s="6"/>
      <c r="I46" s="6"/>
      <c r="J46" s="6"/>
    </row>
    <row r="47" customFormat="false" ht="15" hidden="false" customHeight="false" outlineLevel="0" collapsed="false">
      <c r="B47" s="12" t="s">
        <v>21</v>
      </c>
      <c r="C47" s="14" t="s">
        <v>69</v>
      </c>
      <c r="D47" s="6" t="s">
        <v>22</v>
      </c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B48" s="12" t="s">
        <v>23</v>
      </c>
      <c r="C48" s="15" t="s">
        <v>24</v>
      </c>
      <c r="D48" s="6" t="s">
        <v>24</v>
      </c>
      <c r="E48" s="6"/>
      <c r="F48" s="6"/>
      <c r="G48" s="6"/>
      <c r="H48" s="6"/>
      <c r="I48" s="6"/>
      <c r="J48" s="6"/>
    </row>
    <row r="49" customFormat="false" ht="15" hidden="false" customHeight="false" outlineLevel="0" collapsed="false">
      <c r="B49" s="12" t="s">
        <v>70</v>
      </c>
      <c r="C49" s="14" t="s">
        <v>69</v>
      </c>
      <c r="D49" s="6" t="s">
        <v>17</v>
      </c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B50" s="12" t="s">
        <v>34</v>
      </c>
      <c r="C50" s="14" t="s">
        <v>69</v>
      </c>
      <c r="D50" s="6" t="s">
        <v>19</v>
      </c>
      <c r="E50" s="6"/>
      <c r="F50" s="6"/>
      <c r="G50" s="6"/>
      <c r="H50" s="6"/>
      <c r="I50" s="6"/>
      <c r="J50" s="6"/>
    </row>
    <row r="51" customFormat="false" ht="15" hidden="false" customHeight="false" outlineLevel="0" collapsed="false">
      <c r="B51" s="12" t="s">
        <v>71</v>
      </c>
      <c r="C51" s="15" t="s">
        <v>24</v>
      </c>
      <c r="D51" s="6" t="s">
        <v>24</v>
      </c>
      <c r="E51" s="6"/>
      <c r="F51" s="6"/>
      <c r="G51" s="6"/>
      <c r="H51" s="6"/>
      <c r="I51" s="6"/>
      <c r="J51" s="6"/>
    </row>
    <row r="52" customFormat="false" ht="15" hidden="false" customHeight="false" outlineLevel="0" collapsed="false">
      <c r="B52" s="12" t="s">
        <v>72</v>
      </c>
      <c r="C52" s="15" t="s">
        <v>24</v>
      </c>
      <c r="D52" s="6" t="s">
        <v>24</v>
      </c>
      <c r="E52" s="6"/>
      <c r="F52" s="6"/>
      <c r="G52" s="6"/>
      <c r="H52" s="6"/>
      <c r="I52" s="6"/>
      <c r="J52" s="6"/>
    </row>
    <row r="53" customFormat="false" ht="15" hidden="false" customHeight="false" outlineLevel="0" collapsed="false">
      <c r="B53" s="12" t="s">
        <v>73</v>
      </c>
      <c r="C53" s="15" t="s">
        <v>24</v>
      </c>
      <c r="D53" s="6" t="s">
        <v>24</v>
      </c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B54" s="12" t="s">
        <v>74</v>
      </c>
      <c r="C54" s="15" t="s">
        <v>24</v>
      </c>
      <c r="D54" s="6" t="s">
        <v>24</v>
      </c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B55" s="12" t="s">
        <v>75</v>
      </c>
      <c r="C55" s="15" t="s">
        <v>24</v>
      </c>
      <c r="D55" s="6" t="s">
        <v>24</v>
      </c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B56" s="12" t="s">
        <v>29</v>
      </c>
      <c r="C56" s="14" t="s">
        <v>69</v>
      </c>
      <c r="D56" s="6" t="s">
        <v>30</v>
      </c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B57" s="12" t="s">
        <v>25</v>
      </c>
      <c r="C57" s="14" t="s">
        <v>69</v>
      </c>
      <c r="D57" s="6" t="s">
        <v>26</v>
      </c>
      <c r="E57" s="6"/>
      <c r="F57" s="6"/>
      <c r="G57" s="6"/>
      <c r="H57" s="6"/>
      <c r="I57" s="6"/>
      <c r="J57" s="6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76</v>
      </c>
    </row>
    <row r="3" customFormat="false" ht="21.75" hidden="false" customHeight="true" outlineLevel="0" collapsed="false">
      <c r="B3" s="3" t="s">
        <v>77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78</v>
      </c>
      <c r="C5" s="4" t="s">
        <v>79</v>
      </c>
      <c r="D5" s="4" t="s">
        <v>80</v>
      </c>
      <c r="E5" s="4" t="s">
        <v>81</v>
      </c>
      <c r="F5" s="4" t="s">
        <v>82</v>
      </c>
      <c r="G5" s="4" t="s">
        <v>83</v>
      </c>
      <c r="H5" s="4" t="s">
        <v>84</v>
      </c>
      <c r="I5" s="4" t="s">
        <v>85</v>
      </c>
      <c r="J5" s="4" t="s">
        <v>86</v>
      </c>
    </row>
    <row r="6" customFormat="false" ht="15" hidden="false" customHeight="false" outlineLevel="0" collapsed="false">
      <c r="B6" s="12" t="s">
        <v>87</v>
      </c>
      <c r="C6" s="12" t="s">
        <v>88</v>
      </c>
      <c r="D6" s="16" t="n">
        <v>5760</v>
      </c>
      <c r="E6" s="16" t="n">
        <v>5760</v>
      </c>
      <c r="F6" s="10" t="n">
        <v>1676</v>
      </c>
      <c r="G6" s="17" t="n">
        <f aca="false">F6-E6</f>
        <v>-4084</v>
      </c>
      <c r="H6" s="18" t="n">
        <f aca="false">IF(E6=0,"",F6/E6)</f>
        <v>0.290972222222222</v>
      </c>
      <c r="I6" s="11" t="n">
        <v>33</v>
      </c>
      <c r="J6" s="12" t="s">
        <v>5</v>
      </c>
    </row>
    <row r="7" customFormat="false" ht="15" hidden="false" customHeight="false" outlineLevel="0" collapsed="false">
      <c r="B7" s="12" t="s">
        <v>89</v>
      </c>
      <c r="C7" s="12" t="s">
        <v>90</v>
      </c>
      <c r="D7" s="16" t="n">
        <v>10440</v>
      </c>
      <c r="E7" s="16" t="n">
        <v>10440</v>
      </c>
      <c r="F7" s="10" t="n">
        <v>7902.5</v>
      </c>
      <c r="G7" s="17" t="n">
        <f aca="false">F7-E7</f>
        <v>-2537.5</v>
      </c>
      <c r="H7" s="18" t="n">
        <f aca="false">IF(E7=0,"",F7/E7)</f>
        <v>0.756944444444444</v>
      </c>
      <c r="I7" s="11" t="n">
        <v>147</v>
      </c>
      <c r="J7" s="12" t="s">
        <v>5</v>
      </c>
    </row>
    <row r="8" customFormat="false" ht="15" hidden="false" customHeight="false" outlineLevel="0" collapsed="false">
      <c r="B8" s="12" t="s">
        <v>91</v>
      </c>
      <c r="C8" s="12" t="s">
        <v>92</v>
      </c>
      <c r="D8" s="16" t="n">
        <v>20608</v>
      </c>
      <c r="E8" s="16" t="n">
        <v>20608</v>
      </c>
      <c r="F8" s="10" t="n">
        <v>8776.5</v>
      </c>
      <c r="G8" s="17" t="n">
        <f aca="false">F8-E8</f>
        <v>-11831.5</v>
      </c>
      <c r="H8" s="18" t="n">
        <f aca="false">IF(E8=0,"",F8/E8)</f>
        <v>0.425878299689441</v>
      </c>
      <c r="I8" s="11" t="n">
        <v>249</v>
      </c>
      <c r="J8" s="12" t="s">
        <v>5</v>
      </c>
    </row>
    <row r="9" customFormat="false" ht="15" hidden="false" customHeight="false" outlineLevel="0" collapsed="false">
      <c r="B9" s="12" t="s">
        <v>93</v>
      </c>
      <c r="C9" s="12" t="s">
        <v>94</v>
      </c>
      <c r="D9" s="16" t="n">
        <v>3110</v>
      </c>
      <c r="E9" s="16" t="n">
        <v>3550</v>
      </c>
      <c r="F9" s="10" t="n">
        <v>3698.5</v>
      </c>
      <c r="G9" s="17" t="n">
        <f aca="false">F9-E9</f>
        <v>148.5</v>
      </c>
      <c r="H9" s="18" t="n">
        <f aca="false">IF(E9=0,"",F9/E9)</f>
        <v>1.04183098591549</v>
      </c>
      <c r="I9" s="11" t="n">
        <v>112</v>
      </c>
      <c r="J9" s="12" t="s">
        <v>5</v>
      </c>
    </row>
    <row r="10" customFormat="false" ht="15" hidden="false" customHeight="false" outlineLevel="0" collapsed="false">
      <c r="B10" s="12" t="s">
        <v>95</v>
      </c>
      <c r="C10" s="12" t="s">
        <v>96</v>
      </c>
      <c r="D10" s="16" t="n">
        <v>105400</v>
      </c>
      <c r="E10" s="16" t="n">
        <v>106060</v>
      </c>
      <c r="F10" s="10" t="n">
        <v>128045</v>
      </c>
      <c r="G10" s="17" t="n">
        <f aca="false">F10-E10</f>
        <v>21985</v>
      </c>
      <c r="H10" s="18" t="n">
        <f aca="false">IF(E10=0,"",F10/E10)</f>
        <v>1.20728832736187</v>
      </c>
      <c r="I10" s="11" t="n">
        <v>4990</v>
      </c>
      <c r="J10" s="12" t="s">
        <v>5</v>
      </c>
    </row>
    <row r="11" customFormat="false" ht="15" hidden="false" customHeight="false" outlineLevel="0" collapsed="false">
      <c r="B11" s="12" t="s">
        <v>97</v>
      </c>
      <c r="C11" s="12" t="s">
        <v>98</v>
      </c>
      <c r="D11" s="16" t="n">
        <v>21840</v>
      </c>
      <c r="E11" s="16" t="n">
        <v>22595</v>
      </c>
      <c r="F11" s="10" t="n">
        <v>16956.5</v>
      </c>
      <c r="G11" s="17" t="n">
        <f aca="false">F11-E11</f>
        <v>-5638.5</v>
      </c>
      <c r="H11" s="18" t="n">
        <f aca="false">IF(E11=0,"",F11/E11)</f>
        <v>0.750453640185882</v>
      </c>
      <c r="I11" s="11" t="n">
        <v>651</v>
      </c>
      <c r="J11" s="12" t="s">
        <v>5</v>
      </c>
    </row>
    <row r="12" customFormat="false" ht="15" hidden="false" customHeight="false" outlineLevel="0" collapsed="false">
      <c r="B12" s="12" t="s">
        <v>99</v>
      </c>
      <c r="C12" s="12" t="s">
        <v>100</v>
      </c>
      <c r="D12" s="16" t="n">
        <v>2400</v>
      </c>
      <c r="E12" s="16" t="n">
        <v>2400</v>
      </c>
      <c r="F12" s="10" t="n">
        <v>1625.5</v>
      </c>
      <c r="G12" s="17" t="n">
        <f aca="false">F12-E12</f>
        <v>-774.5</v>
      </c>
      <c r="H12" s="18" t="n">
        <f aca="false">IF(E12=0,"",F12/E12)</f>
        <v>0.677291666666667</v>
      </c>
      <c r="I12" s="11" t="n">
        <v>41</v>
      </c>
      <c r="J12" s="12" t="s">
        <v>5</v>
      </c>
    </row>
    <row r="13" customFormat="false" ht="15" hidden="false" customHeight="false" outlineLevel="0" collapsed="false">
      <c r="B13" s="12" t="s">
        <v>101</v>
      </c>
      <c r="C13" s="12" t="s">
        <v>102</v>
      </c>
      <c r="D13" s="16" t="n">
        <v>26080</v>
      </c>
      <c r="E13" s="16" t="n">
        <v>26080</v>
      </c>
      <c r="F13" s="10" t="n">
        <v>13633.5</v>
      </c>
      <c r="G13" s="17" t="n">
        <f aca="false">F13-E13</f>
        <v>-12446.5</v>
      </c>
      <c r="H13" s="18" t="n">
        <f aca="false">IF(E13=0,"",F13/E13)</f>
        <v>0.522756901840491</v>
      </c>
      <c r="I13" s="11" t="n">
        <v>585.5</v>
      </c>
      <c r="J13" s="12" t="s">
        <v>5</v>
      </c>
    </row>
    <row r="14" customFormat="false" ht="15" hidden="false" customHeight="false" outlineLevel="0" collapsed="false">
      <c r="B14" s="12" t="s">
        <v>103</v>
      </c>
      <c r="C14" s="12" t="s">
        <v>104</v>
      </c>
      <c r="D14" s="16" t="n">
        <v>17500</v>
      </c>
      <c r="E14" s="16" t="n">
        <v>17750</v>
      </c>
      <c r="F14" s="10" t="n">
        <v>12026.5</v>
      </c>
      <c r="G14" s="17" t="n">
        <f aca="false">F14-E14</f>
        <v>-5723.5</v>
      </c>
      <c r="H14" s="18" t="n">
        <f aca="false">IF(E14=0,"",F14/E14)</f>
        <v>0.677549295774648</v>
      </c>
      <c r="I14" s="11" t="n">
        <v>284.5</v>
      </c>
      <c r="J14" s="12" t="s">
        <v>5</v>
      </c>
    </row>
    <row r="15" customFormat="false" ht="15" hidden="false" customHeight="false" outlineLevel="0" collapsed="false">
      <c r="B15" s="12" t="s">
        <v>105</v>
      </c>
      <c r="C15" s="12" t="s">
        <v>106</v>
      </c>
      <c r="D15" s="16" t="n">
        <v>15383</v>
      </c>
      <c r="E15" s="16" t="n">
        <v>15383</v>
      </c>
      <c r="F15" s="10" t="n">
        <v>5226.84</v>
      </c>
      <c r="G15" s="17" t="n">
        <f aca="false">F15-E15</f>
        <v>-10156.16</v>
      </c>
      <c r="H15" s="18" t="n">
        <f aca="false">IF(E15=0,"",F15/E15)</f>
        <v>0.339780276929078</v>
      </c>
      <c r="I15" s="12"/>
      <c r="J15" s="12" t="s">
        <v>5</v>
      </c>
    </row>
    <row r="16" customFormat="false" ht="15" hidden="false" customHeight="false" outlineLevel="0" collapsed="false">
      <c r="B16" s="12" t="s">
        <v>107</v>
      </c>
      <c r="C16" s="12" t="s">
        <v>108</v>
      </c>
      <c r="D16" s="16" t="n">
        <v>0</v>
      </c>
      <c r="E16" s="16" t="n">
        <v>0</v>
      </c>
      <c r="F16" s="10" t="n">
        <v>1607.11</v>
      </c>
      <c r="G16" s="17" t="n">
        <f aca="false">F16-E16</f>
        <v>1607.11</v>
      </c>
      <c r="H16" s="18" t="str">
        <f aca="false">IF(E16=0,"",F16/E16)</f>
        <v/>
      </c>
      <c r="I16" s="12"/>
      <c r="J16" s="12" t="s">
        <v>5</v>
      </c>
    </row>
    <row r="17" customFormat="false" ht="15" hidden="false" customHeight="false" outlineLevel="0" collapsed="false">
      <c r="B17" s="12" t="s">
        <v>109</v>
      </c>
      <c r="C17" s="12" t="s">
        <v>110</v>
      </c>
      <c r="D17" s="16" t="n">
        <v>3480</v>
      </c>
      <c r="E17" s="16" t="n">
        <v>3480</v>
      </c>
      <c r="F17" s="10" t="n">
        <v>2967.63</v>
      </c>
      <c r="G17" s="17" t="n">
        <f aca="false">F17-E17</f>
        <v>-512.37</v>
      </c>
      <c r="H17" s="18" t="n">
        <f aca="false">IF(E17=0,"",F17/E17)</f>
        <v>0.85276724137931</v>
      </c>
      <c r="I17" s="12"/>
      <c r="J17" s="12" t="s">
        <v>5</v>
      </c>
    </row>
    <row r="18" customFormat="false" ht="15" hidden="false" customHeight="false" outlineLevel="0" collapsed="false">
      <c r="B18" s="12" t="s">
        <v>111</v>
      </c>
      <c r="C18" s="12" t="s">
        <v>112</v>
      </c>
      <c r="D18" s="16" t="n">
        <v>74450</v>
      </c>
      <c r="E18" s="16" t="n">
        <v>74650</v>
      </c>
      <c r="F18" s="10" t="n">
        <v>62128.4</v>
      </c>
      <c r="G18" s="17" t="n">
        <f aca="false">F18-E18</f>
        <v>-12521.6</v>
      </c>
      <c r="H18" s="18" t="n">
        <f aca="false">IF(E18=0,"",F18/E18)</f>
        <v>0.832262558606832</v>
      </c>
      <c r="I18" s="12"/>
      <c r="J18" s="12" t="s">
        <v>5</v>
      </c>
    </row>
    <row r="19" customFormat="false" ht="15" hidden="false" customHeight="false" outlineLevel="0" collapsed="false">
      <c r="B19" s="12" t="s">
        <v>113</v>
      </c>
      <c r="C19" s="12" t="s">
        <v>114</v>
      </c>
      <c r="D19" s="16" t="n">
        <v>162699</v>
      </c>
      <c r="E19" s="16" t="n">
        <v>168539</v>
      </c>
      <c r="F19" s="10" t="n">
        <v>148333.68</v>
      </c>
      <c r="G19" s="17" t="n">
        <f aca="false">F19-E19</f>
        <v>-20205.32</v>
      </c>
      <c r="H19" s="18" t="n">
        <f aca="false">IF(E19=0,"",F19/E19)</f>
        <v>0.880114869555414</v>
      </c>
      <c r="I19" s="12"/>
      <c r="J19" s="12" t="s">
        <v>5</v>
      </c>
    </row>
    <row r="20" customFormat="false" ht="15" hidden="false" customHeight="false" outlineLevel="0" collapsed="false">
      <c r="B20" s="12" t="s">
        <v>115</v>
      </c>
      <c r="C20" s="12" t="s">
        <v>116</v>
      </c>
      <c r="D20" s="16" t="n">
        <v>7150</v>
      </c>
      <c r="E20" s="16" t="n">
        <v>7150</v>
      </c>
      <c r="F20" s="10" t="n">
        <v>665.67</v>
      </c>
      <c r="G20" s="17" t="n">
        <f aca="false">F20-E20</f>
        <v>-6484.33</v>
      </c>
      <c r="H20" s="18" t="n">
        <f aca="false">IF(E20=0,"",F20/E20)</f>
        <v>0.0931006993006993</v>
      </c>
      <c r="I20" s="12"/>
      <c r="J20" s="12" t="s">
        <v>5</v>
      </c>
    </row>
    <row r="21" customFormat="false" ht="15" hidden="false" customHeight="false" outlineLevel="0" collapsed="false">
      <c r="B21" s="12" t="s">
        <v>117</v>
      </c>
      <c r="C21" s="12" t="s">
        <v>118</v>
      </c>
      <c r="D21" s="16" t="n">
        <v>8935</v>
      </c>
      <c r="E21" s="16" t="n">
        <v>8935</v>
      </c>
      <c r="F21" s="10" t="n">
        <v>13163.4</v>
      </c>
      <c r="G21" s="17" t="n">
        <f aca="false">F21-E21</f>
        <v>4228.4</v>
      </c>
      <c r="H21" s="18" t="n">
        <f aca="false">IF(E21=0,"",F21/E21)</f>
        <v>1.47324006715165</v>
      </c>
      <c r="I21" s="12"/>
      <c r="J21" s="12" t="s">
        <v>5</v>
      </c>
    </row>
    <row r="22" customFormat="false" ht="15" hidden="false" customHeight="false" outlineLevel="0" collapsed="false">
      <c r="B22" s="12" t="s">
        <v>119</v>
      </c>
      <c r="C22" s="12" t="s">
        <v>120</v>
      </c>
      <c r="D22" s="16" t="n">
        <v>38400</v>
      </c>
      <c r="E22" s="16" t="n">
        <v>38653</v>
      </c>
      <c r="F22" s="10" t="n">
        <v>16059.71</v>
      </c>
      <c r="G22" s="17" t="n">
        <f aca="false">F22-E22</f>
        <v>-22593.29</v>
      </c>
      <c r="H22" s="18" t="n">
        <f aca="false">IF(E22=0,"",F22/E22)</f>
        <v>0.415484179753189</v>
      </c>
      <c r="I22" s="12"/>
      <c r="J22" s="12" t="s">
        <v>5</v>
      </c>
    </row>
    <row r="23" customFormat="false" ht="15" hidden="false" customHeight="false" outlineLevel="0" collapsed="false">
      <c r="B23" s="12" t="s">
        <v>121</v>
      </c>
      <c r="C23" s="12" t="s">
        <v>122</v>
      </c>
      <c r="D23" s="16" t="n">
        <v>0</v>
      </c>
      <c r="E23" s="16" t="n">
        <v>0</v>
      </c>
      <c r="F23" s="10" t="n">
        <v>91.07</v>
      </c>
      <c r="G23" s="17" t="n">
        <f aca="false">F23-E23</f>
        <v>91.07</v>
      </c>
      <c r="H23" s="18" t="str">
        <f aca="false">IF(E23=0,"",F23/E23)</f>
        <v/>
      </c>
      <c r="I23" s="12"/>
      <c r="J23" s="12" t="s">
        <v>5</v>
      </c>
    </row>
    <row r="24" customFormat="false" ht="15" hidden="false" customHeight="false" outlineLevel="0" collapsed="false">
      <c r="B24" s="12" t="s">
        <v>123</v>
      </c>
      <c r="C24" s="12" t="s">
        <v>124</v>
      </c>
      <c r="D24" s="16" t="n">
        <v>1000</v>
      </c>
      <c r="E24" s="16" t="n">
        <v>1000</v>
      </c>
      <c r="F24" s="10" t="n">
        <v>215</v>
      </c>
      <c r="G24" s="17" t="n">
        <f aca="false">F24-E24</f>
        <v>-785</v>
      </c>
      <c r="H24" s="18" t="n">
        <f aca="false">IF(E24=0,"",F24/E24)</f>
        <v>0.215</v>
      </c>
      <c r="I24" s="12"/>
      <c r="J24" s="12" t="s">
        <v>5</v>
      </c>
    </row>
    <row r="25" customFormat="false" ht="15" hidden="false" customHeight="false" outlineLevel="0" collapsed="false">
      <c r="B25" s="12" t="s">
        <v>125</v>
      </c>
      <c r="C25" s="12" t="s">
        <v>126</v>
      </c>
      <c r="D25" s="16" t="n">
        <v>27000</v>
      </c>
      <c r="E25" s="16" t="n">
        <v>27000</v>
      </c>
      <c r="F25" s="10" t="n">
        <v>32640.89</v>
      </c>
      <c r="G25" s="17" t="n">
        <f aca="false">F25-E25</f>
        <v>5640.89</v>
      </c>
      <c r="H25" s="18" t="n">
        <f aca="false">IF(E25=0,"",F25/E25)</f>
        <v>1.20892185185185</v>
      </c>
      <c r="I25" s="12"/>
      <c r="J25" s="12" t="s">
        <v>5</v>
      </c>
    </row>
    <row r="26" customFormat="false" ht="15" hidden="false" customHeight="false" outlineLevel="0" collapsed="false">
      <c r="B26" s="12" t="s">
        <v>127</v>
      </c>
      <c r="C26" s="12" t="s">
        <v>128</v>
      </c>
      <c r="D26" s="16" t="n">
        <v>5930</v>
      </c>
      <c r="E26" s="16" t="n">
        <v>5930</v>
      </c>
      <c r="F26" s="10" t="n">
        <v>4774.5</v>
      </c>
      <c r="G26" s="17" t="n">
        <f aca="false">F26-E26</f>
        <v>-1155.5</v>
      </c>
      <c r="H26" s="18" t="n">
        <f aca="false">IF(E26=0,"",F26/E26)</f>
        <v>0.805143338954469</v>
      </c>
      <c r="I26" s="12"/>
      <c r="J26" s="12" t="s">
        <v>5</v>
      </c>
    </row>
    <row r="27" customFormat="false" ht="15" hidden="false" customHeight="false" outlineLevel="0" collapsed="false">
      <c r="B27" s="12" t="s">
        <v>129</v>
      </c>
      <c r="C27" s="12" t="s">
        <v>130</v>
      </c>
      <c r="D27" s="16" t="n">
        <v>8500</v>
      </c>
      <c r="E27" s="16" t="n">
        <v>8500</v>
      </c>
      <c r="F27" s="10" t="n">
        <v>10312.7</v>
      </c>
      <c r="G27" s="17" t="n">
        <f aca="false">F27-E27</f>
        <v>1812.7</v>
      </c>
      <c r="H27" s="18" t="n">
        <f aca="false">IF(E27=0,"",F27/E27)</f>
        <v>1.21325882352941</v>
      </c>
      <c r="I27" s="12"/>
      <c r="J27" s="12" t="s">
        <v>5</v>
      </c>
    </row>
    <row r="28" customFormat="false" ht="15" hidden="false" customHeight="false" outlineLevel="0" collapsed="false">
      <c r="B28" s="12" t="s">
        <v>131</v>
      </c>
      <c r="C28" s="12" t="s">
        <v>132</v>
      </c>
      <c r="D28" s="16" t="n">
        <v>94526.7</v>
      </c>
      <c r="E28" s="16" t="n">
        <v>95452.9</v>
      </c>
      <c r="F28" s="10" t="n">
        <v>86190.15</v>
      </c>
      <c r="G28" s="17" t="n">
        <f aca="false">F28-E28</f>
        <v>-9262.75</v>
      </c>
      <c r="H28" s="18" t="n">
        <f aca="false">IF(E28=0,"",F28/E28)</f>
        <v>0.902959993881799</v>
      </c>
      <c r="I28" s="12"/>
      <c r="J28" s="12" t="s">
        <v>5</v>
      </c>
    </row>
    <row r="29" customFormat="false" ht="15" hidden="false" customHeight="false" outlineLevel="0" collapsed="false">
      <c r="B29" s="12" t="s">
        <v>133</v>
      </c>
      <c r="C29" s="12" t="s">
        <v>134</v>
      </c>
      <c r="D29" s="16" t="n">
        <v>16305.06</v>
      </c>
      <c r="E29" s="16" t="n">
        <v>16466.1</v>
      </c>
      <c r="F29" s="10" t="n">
        <v>14867.27</v>
      </c>
      <c r="G29" s="17" t="n">
        <f aca="false">F29-E29</f>
        <v>-1598.83</v>
      </c>
      <c r="H29" s="18" t="n">
        <f aca="false">IF(E29=0,"",F29/E29)</f>
        <v>0.902901719289935</v>
      </c>
      <c r="I29" s="12"/>
      <c r="J29" s="12" t="s">
        <v>5</v>
      </c>
    </row>
    <row r="30" customFormat="false" ht="15" hidden="false" customHeight="false" outlineLevel="0" collapsed="false">
      <c r="B30" s="12" t="s">
        <v>135</v>
      </c>
      <c r="C30" s="12" t="s">
        <v>136</v>
      </c>
      <c r="D30" s="16" t="n">
        <v>-906587</v>
      </c>
      <c r="E30" s="16" t="n">
        <v>-922104</v>
      </c>
      <c r="F30" s="10" t="n">
        <v>-922104</v>
      </c>
      <c r="G30" s="17" t="n">
        <f aca="false">F30-E30</f>
        <v>0</v>
      </c>
      <c r="H30" s="18" t="n">
        <f aca="false">IF(E30=0,"",F30/E30)</f>
        <v>1</v>
      </c>
      <c r="I30" s="12"/>
      <c r="J30" s="12" t="s">
        <v>5</v>
      </c>
    </row>
    <row r="31" customFormat="false" ht="15" hidden="false" customHeight="false" outlineLevel="0" collapsed="false">
      <c r="B31" s="19" t="s">
        <v>137</v>
      </c>
      <c r="D31" s="20" t="n">
        <f aca="false">SUM(D6:D30)</f>
        <v>-229690.24</v>
      </c>
      <c r="E31" s="20" t="n">
        <f aca="false">SUM(E6:E30)</f>
        <v>-235722</v>
      </c>
      <c r="F31" s="21" t="n">
        <f aca="false">SUM(F6:F30)</f>
        <v>-328519.48</v>
      </c>
      <c r="G31" s="17" t="n">
        <f aca="false">F31-E31</f>
        <v>-92797.48</v>
      </c>
      <c r="I31" s="22" t="n">
        <f aca="false">SUM(I6:I30)</f>
        <v>7093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138</v>
      </c>
    </row>
    <row r="3" customFormat="false" ht="21.75" hidden="false" customHeight="true" outlineLevel="0" collapsed="false">
      <c r="B3" s="3" t="s">
        <v>139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140</v>
      </c>
      <c r="C5" s="4" t="s">
        <v>141</v>
      </c>
      <c r="D5" s="4" t="s">
        <v>142</v>
      </c>
      <c r="E5" s="4" t="s">
        <v>143</v>
      </c>
      <c r="F5" s="4" t="s">
        <v>144</v>
      </c>
      <c r="G5" s="4" t="s">
        <v>86</v>
      </c>
    </row>
    <row r="6" customFormat="false" ht="15" hidden="false" customHeight="false" outlineLevel="0" collapsed="false">
      <c r="B6" s="12" t="s">
        <v>145</v>
      </c>
      <c r="C6" s="12" t="s">
        <v>146</v>
      </c>
      <c r="D6" s="10" t="n">
        <v>194340.5</v>
      </c>
      <c r="E6" s="18" t="n">
        <f aca="false">D6/$D$11</f>
        <v>0.32740156363916</v>
      </c>
      <c r="F6" s="18" t="n">
        <f aca="false">D6/922104</f>
        <v>0.210757680261662</v>
      </c>
      <c r="G6" s="12" t="s">
        <v>5</v>
      </c>
    </row>
    <row r="7" customFormat="false" ht="15" hidden="false" customHeight="false" outlineLevel="0" collapsed="false">
      <c r="B7" s="12" t="s">
        <v>147</v>
      </c>
      <c r="C7" s="12" t="s">
        <v>148</v>
      </c>
      <c r="D7" s="10" t="n">
        <v>250243.51</v>
      </c>
      <c r="E7" s="18" t="n">
        <f aca="false">D7/$D$11</f>
        <v>0.421580249431033</v>
      </c>
      <c r="F7" s="18" t="n">
        <f aca="false">D7/922104</f>
        <v>0.271383173698412</v>
      </c>
      <c r="G7" s="12" t="s">
        <v>5</v>
      </c>
    </row>
    <row r="8" customFormat="false" ht="15" hidden="false" customHeight="false" outlineLevel="0" collapsed="false">
      <c r="B8" s="12" t="s">
        <v>149</v>
      </c>
      <c r="C8" s="12" t="s">
        <v>150</v>
      </c>
      <c r="D8" s="10" t="n">
        <v>47943.09</v>
      </c>
      <c r="E8" s="18" t="n">
        <f aca="false">D8/$D$11</f>
        <v>0.0807687673526257</v>
      </c>
      <c r="F8" s="18" t="n">
        <f aca="false">D8/922104</f>
        <v>0.0519931482782853</v>
      </c>
      <c r="G8" s="12" t="s">
        <v>5</v>
      </c>
    </row>
    <row r="9" customFormat="false" ht="15" hidden="false" customHeight="false" outlineLevel="0" collapsed="false">
      <c r="B9" s="12" t="s">
        <v>132</v>
      </c>
      <c r="C9" s="12" t="s">
        <v>131</v>
      </c>
      <c r="D9" s="10" t="n">
        <v>86190.15</v>
      </c>
      <c r="E9" s="18" t="n">
        <f aca="false">D9/$D$11</f>
        <v>0.145202826380984</v>
      </c>
      <c r="F9" s="18" t="n">
        <f aca="false">D9/922104</f>
        <v>0.0934711811249056</v>
      </c>
      <c r="G9" s="12" t="s">
        <v>5</v>
      </c>
    </row>
    <row r="10" customFormat="false" ht="15" hidden="false" customHeight="false" outlineLevel="0" collapsed="false">
      <c r="B10" s="12" t="s">
        <v>134</v>
      </c>
      <c r="C10" s="12" t="s">
        <v>133</v>
      </c>
      <c r="D10" s="10" t="n">
        <v>14867.27</v>
      </c>
      <c r="E10" s="18" t="n">
        <f aca="false">D10/$D$11</f>
        <v>0.0250465931961972</v>
      </c>
      <c r="F10" s="18" t="n">
        <f aca="false">D10/922104</f>
        <v>0.0161232030226525</v>
      </c>
      <c r="G10" s="12" t="s">
        <v>5</v>
      </c>
    </row>
    <row r="11" customFormat="false" ht="15" hidden="false" customHeight="false" outlineLevel="0" collapsed="false">
      <c r="B11" s="19" t="s">
        <v>151</v>
      </c>
      <c r="D11" s="21" t="n">
        <f aca="false">SUM(D6:D10)</f>
        <v>593584.52</v>
      </c>
      <c r="E11" s="18" t="n">
        <v>1</v>
      </c>
      <c r="F11" s="18" t="n">
        <f aca="false">D11/922104</f>
        <v>0.643728386385918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152</v>
      </c>
    </row>
    <row r="3" customFormat="false" ht="21.75" hidden="false" customHeight="true" outlineLevel="0" collapsed="false">
      <c r="B3" s="3" t="s">
        <v>153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154</v>
      </c>
      <c r="C5" s="4" t="s">
        <v>155</v>
      </c>
      <c r="D5" s="4" t="s">
        <v>156</v>
      </c>
      <c r="E5" s="4" t="s">
        <v>157</v>
      </c>
      <c r="F5" s="4" t="s">
        <v>158</v>
      </c>
      <c r="G5" s="4" t="s">
        <v>86</v>
      </c>
    </row>
    <row r="6" customFormat="false" ht="15" hidden="false" customHeight="false" outlineLevel="0" collapsed="false">
      <c r="B6" s="12" t="s">
        <v>159</v>
      </c>
      <c r="C6" s="12" t="s">
        <v>160</v>
      </c>
      <c r="D6" s="10" t="n">
        <v>49362.67</v>
      </c>
      <c r="E6" s="23" t="n">
        <v>26</v>
      </c>
      <c r="F6" s="12" t="s">
        <v>161</v>
      </c>
      <c r="G6" s="12" t="s">
        <v>5</v>
      </c>
    </row>
    <row r="7" customFormat="false" ht="15" hidden="false" customHeight="false" outlineLevel="0" collapsed="false">
      <c r="B7" s="12" t="s">
        <v>162</v>
      </c>
      <c r="C7" s="12" t="s">
        <v>163</v>
      </c>
      <c r="D7" s="10" t="n">
        <v>49222</v>
      </c>
      <c r="E7" s="23" t="n">
        <v>3</v>
      </c>
      <c r="F7" s="12" t="s">
        <v>161</v>
      </c>
      <c r="G7" s="12" t="s">
        <v>5</v>
      </c>
    </row>
    <row r="8" customFormat="false" ht="15" hidden="false" customHeight="false" outlineLevel="0" collapsed="false">
      <c r="B8" s="12" t="s">
        <v>164</v>
      </c>
      <c r="C8" s="12" t="s">
        <v>165</v>
      </c>
      <c r="D8" s="10" t="n">
        <v>44219.62</v>
      </c>
      <c r="E8" s="23" t="n">
        <v>16</v>
      </c>
      <c r="F8" s="12" t="s">
        <v>161</v>
      </c>
      <c r="G8" s="12" t="s">
        <v>5</v>
      </c>
    </row>
    <row r="9" customFormat="false" ht="15" hidden="false" customHeight="false" outlineLevel="0" collapsed="false">
      <c r="B9" s="12" t="s">
        <v>166</v>
      </c>
      <c r="C9" s="12" t="s">
        <v>167</v>
      </c>
      <c r="D9" s="10" t="n">
        <v>33109.64</v>
      </c>
      <c r="E9" s="23" t="n">
        <v>15</v>
      </c>
      <c r="F9" s="12" t="s">
        <v>161</v>
      </c>
      <c r="G9" s="12" t="s">
        <v>5</v>
      </c>
    </row>
    <row r="10" customFormat="false" ht="15" hidden="false" customHeight="false" outlineLevel="0" collapsed="false">
      <c r="B10" s="12" t="s">
        <v>168</v>
      </c>
      <c r="C10" s="12" t="s">
        <v>169</v>
      </c>
      <c r="D10" s="10" t="n">
        <v>32392.25</v>
      </c>
      <c r="E10" s="23" t="n">
        <v>8</v>
      </c>
      <c r="F10" s="12" t="s">
        <v>170</v>
      </c>
      <c r="G10" s="12" t="s">
        <v>5</v>
      </c>
    </row>
    <row r="11" customFormat="false" ht="15" hidden="false" customHeight="false" outlineLevel="0" collapsed="false">
      <c r="B11" s="12" t="s">
        <v>171</v>
      </c>
      <c r="C11" s="12" t="s">
        <v>172</v>
      </c>
      <c r="D11" s="10" t="n">
        <v>17571.09</v>
      </c>
      <c r="E11" s="23" t="n">
        <v>16</v>
      </c>
      <c r="F11" s="12" t="s">
        <v>161</v>
      </c>
      <c r="G11" s="12" t="s">
        <v>5</v>
      </c>
    </row>
    <row r="12" customFormat="false" ht="15" hidden="false" customHeight="false" outlineLevel="0" collapsed="false">
      <c r="B12" s="12" t="s">
        <v>173</v>
      </c>
      <c r="C12" s="12" t="s">
        <v>174</v>
      </c>
      <c r="D12" s="10" t="n">
        <v>14550.79</v>
      </c>
      <c r="E12" s="23" t="n">
        <v>18</v>
      </c>
      <c r="F12" s="12" t="s">
        <v>161</v>
      </c>
      <c r="G12" s="12" t="s">
        <v>5</v>
      </c>
    </row>
    <row r="13" customFormat="false" ht="15" hidden="false" customHeight="false" outlineLevel="0" collapsed="false">
      <c r="B13" s="12" t="s">
        <v>175</v>
      </c>
      <c r="C13" s="12" t="s">
        <v>176</v>
      </c>
      <c r="D13" s="10" t="n">
        <v>13819.24</v>
      </c>
      <c r="E13" s="23" t="n">
        <v>47</v>
      </c>
      <c r="F13" s="12" t="s">
        <v>177</v>
      </c>
      <c r="G13" s="12" t="s">
        <v>5</v>
      </c>
    </row>
    <row r="14" customFormat="false" ht="15" hidden="false" customHeight="false" outlineLevel="0" collapsed="false">
      <c r="B14" s="12" t="s">
        <v>178</v>
      </c>
      <c r="C14" s="12" t="s">
        <v>179</v>
      </c>
      <c r="D14" s="10" t="n">
        <v>6263.82</v>
      </c>
      <c r="E14" s="23" t="n">
        <v>10</v>
      </c>
      <c r="F14" s="12" t="s">
        <v>161</v>
      </c>
      <c r="G14" s="12" t="s">
        <v>5</v>
      </c>
    </row>
    <row r="15" customFormat="false" ht="15" hidden="false" customHeight="false" outlineLevel="0" collapsed="false">
      <c r="B15" s="12" t="s">
        <v>180</v>
      </c>
      <c r="C15" s="12" t="s">
        <v>181</v>
      </c>
      <c r="D15" s="10" t="n">
        <v>3356.24</v>
      </c>
      <c r="E15" s="23" t="n">
        <v>3</v>
      </c>
      <c r="F15" s="12" t="s">
        <v>161</v>
      </c>
      <c r="G15" s="12" t="s">
        <v>5</v>
      </c>
    </row>
    <row r="16" customFormat="false" ht="15" hidden="false" customHeight="false" outlineLevel="0" collapsed="false">
      <c r="B16" s="12" t="s">
        <v>182</v>
      </c>
      <c r="C16" s="12" t="s">
        <v>183</v>
      </c>
      <c r="D16" s="10" t="n">
        <v>2982.64</v>
      </c>
      <c r="E16" s="23" t="n">
        <v>2</v>
      </c>
      <c r="F16" s="12" t="s">
        <v>161</v>
      </c>
      <c r="G16" s="12" t="s">
        <v>5</v>
      </c>
    </row>
    <row r="17" customFormat="false" ht="15" hidden="false" customHeight="false" outlineLevel="0" collapsed="false">
      <c r="B17" s="12" t="s">
        <v>184</v>
      </c>
      <c r="C17" s="12" t="s">
        <v>185</v>
      </c>
      <c r="D17" s="10" t="n">
        <v>977.21</v>
      </c>
      <c r="E17" s="23" t="n">
        <v>3</v>
      </c>
      <c r="F17" s="12" t="s">
        <v>177</v>
      </c>
      <c r="G17" s="12" t="s">
        <v>5</v>
      </c>
    </row>
    <row r="18" customFormat="false" ht="15" hidden="false" customHeight="false" outlineLevel="0" collapsed="false">
      <c r="B18" s="12" t="s">
        <v>186</v>
      </c>
      <c r="C18" s="12" t="s">
        <v>187</v>
      </c>
      <c r="D18" s="10" t="n">
        <v>251</v>
      </c>
      <c r="E18" s="23" t="n">
        <v>2</v>
      </c>
      <c r="F18" s="12" t="s">
        <v>188</v>
      </c>
      <c r="G18" s="12" t="s">
        <v>5</v>
      </c>
    </row>
    <row r="19" customFormat="false" ht="15" hidden="false" customHeight="false" outlineLevel="0" collapsed="false">
      <c r="B19" s="12" t="s">
        <v>189</v>
      </c>
      <c r="C19" s="12" t="s">
        <v>190</v>
      </c>
      <c r="D19" s="10" t="n">
        <v>248.64</v>
      </c>
      <c r="E19" s="23" t="n">
        <v>1</v>
      </c>
      <c r="F19" s="12" t="s">
        <v>188</v>
      </c>
      <c r="G19" s="12" t="s">
        <v>5</v>
      </c>
    </row>
    <row r="20" customFormat="false" ht="15" hidden="false" customHeight="false" outlineLevel="0" collapsed="false">
      <c r="B20" s="12" t="s">
        <v>191</v>
      </c>
      <c r="C20" s="12" t="s">
        <v>192</v>
      </c>
      <c r="D20" s="10" t="n">
        <v>215</v>
      </c>
      <c r="E20" s="23" t="n">
        <v>1</v>
      </c>
      <c r="F20" s="12" t="s">
        <v>193</v>
      </c>
      <c r="G20" s="12" t="s">
        <v>5</v>
      </c>
    </row>
    <row r="21" customFormat="false" ht="15" hidden="false" customHeight="false" outlineLevel="0" collapsed="false">
      <c r="B21" s="12" t="s">
        <v>194</v>
      </c>
      <c r="C21" s="12" t="s">
        <v>195</v>
      </c>
      <c r="D21" s="10" t="n">
        <v>145.29</v>
      </c>
      <c r="E21" s="23" t="n">
        <v>1</v>
      </c>
      <c r="F21" s="12" t="s">
        <v>161</v>
      </c>
      <c r="G21" s="12" t="s">
        <v>5</v>
      </c>
    </row>
    <row r="22" customFormat="false" ht="15" hidden="false" customHeight="false" outlineLevel="0" collapsed="false">
      <c r="B22" s="12" t="s">
        <v>196</v>
      </c>
      <c r="C22" s="12" t="s">
        <v>197</v>
      </c>
      <c r="D22" s="10" t="n">
        <v>26.36</v>
      </c>
      <c r="E22" s="23" t="n">
        <v>1</v>
      </c>
      <c r="F22" s="12" t="s">
        <v>188</v>
      </c>
      <c r="G22" s="12" t="s">
        <v>5</v>
      </c>
    </row>
    <row r="23" customFormat="false" ht="15" hidden="false" customHeight="false" outlineLevel="0" collapsed="false">
      <c r="B23" s="12" t="s">
        <v>198</v>
      </c>
      <c r="C23" s="12" t="s">
        <v>199</v>
      </c>
      <c r="D23" s="10" t="n">
        <v>0</v>
      </c>
      <c r="E23" s="23" t="n">
        <v>2</v>
      </c>
      <c r="F23" s="12" t="s">
        <v>161</v>
      </c>
      <c r="G23" s="12" t="s">
        <v>5</v>
      </c>
    </row>
    <row r="24" customFormat="false" ht="15" hidden="false" customHeight="false" outlineLevel="0" collapsed="false">
      <c r="B24" s="19" t="s">
        <v>137</v>
      </c>
      <c r="D24" s="21" t="n">
        <f aca="false">SUM(D6:D23)</f>
        <v>268713.5</v>
      </c>
      <c r="E24" s="24" t="n">
        <f aca="false">SUM(E6:E23)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200</v>
      </c>
    </row>
    <row r="3" customFormat="false" ht="21.75" hidden="false" customHeight="true" outlineLevel="0" collapsed="false">
      <c r="B3" s="3" t="s">
        <v>201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202</v>
      </c>
      <c r="C5" s="4" t="s">
        <v>203</v>
      </c>
      <c r="D5" s="4" t="s">
        <v>204</v>
      </c>
      <c r="E5" s="4" t="s">
        <v>205</v>
      </c>
      <c r="F5" s="4" t="s">
        <v>206</v>
      </c>
      <c r="G5" s="4" t="s">
        <v>207</v>
      </c>
      <c r="H5" s="4" t="s">
        <v>86</v>
      </c>
    </row>
    <row r="6" customFormat="false" ht="15" hidden="false" customHeight="false" outlineLevel="0" collapsed="false">
      <c r="B6" s="12" t="s">
        <v>208</v>
      </c>
      <c r="C6" s="12" t="s">
        <v>209</v>
      </c>
      <c r="D6" s="11" t="n">
        <v>1271</v>
      </c>
      <c r="E6" s="10" t="n">
        <v>52053</v>
      </c>
      <c r="F6" s="21" t="n">
        <f aca="false">IF(D6=0,0,E6/D6)</f>
        <v>40.9543666404406</v>
      </c>
      <c r="G6" s="23" t="n">
        <v>44</v>
      </c>
      <c r="H6" s="12" t="s">
        <v>5</v>
      </c>
    </row>
    <row r="7" customFormat="false" ht="15" hidden="false" customHeight="false" outlineLevel="0" collapsed="false">
      <c r="B7" s="12" t="s">
        <v>210</v>
      </c>
      <c r="C7" s="12" t="s">
        <v>211</v>
      </c>
      <c r="D7" s="11" t="n">
        <v>899</v>
      </c>
      <c r="E7" s="10" t="n">
        <v>18781</v>
      </c>
      <c r="F7" s="21" t="n">
        <f aca="false">IF(D7=0,0,E7/D7)</f>
        <v>20.8909899888765</v>
      </c>
      <c r="G7" s="23" t="n">
        <v>27</v>
      </c>
      <c r="H7" s="12" t="s">
        <v>5</v>
      </c>
    </row>
    <row r="8" customFormat="false" ht="15" hidden="false" customHeight="false" outlineLevel="0" collapsed="false">
      <c r="B8" s="12" t="s">
        <v>212</v>
      </c>
      <c r="C8" s="12" t="s">
        <v>213</v>
      </c>
      <c r="D8" s="11" t="n">
        <v>771.5</v>
      </c>
      <c r="E8" s="10" t="n">
        <v>12789</v>
      </c>
      <c r="F8" s="21" t="n">
        <f aca="false">IF(D8=0,0,E8/D8)</f>
        <v>16.5767984445885</v>
      </c>
      <c r="G8" s="23" t="n">
        <v>21</v>
      </c>
      <c r="H8" s="12" t="s">
        <v>5</v>
      </c>
    </row>
    <row r="9" customFormat="false" ht="15" hidden="false" customHeight="false" outlineLevel="0" collapsed="false">
      <c r="B9" s="12" t="s">
        <v>214</v>
      </c>
      <c r="C9" s="12" t="s">
        <v>215</v>
      </c>
      <c r="D9" s="11" t="n">
        <v>682</v>
      </c>
      <c r="E9" s="10" t="n">
        <v>16350</v>
      </c>
      <c r="F9" s="21" t="n">
        <f aca="false">IF(D9=0,0,E9/D9)</f>
        <v>23.9736070381232</v>
      </c>
      <c r="G9" s="23" t="n">
        <v>19</v>
      </c>
      <c r="H9" s="12" t="s">
        <v>5</v>
      </c>
    </row>
    <row r="10" customFormat="false" ht="15" hidden="false" customHeight="false" outlineLevel="0" collapsed="false">
      <c r="B10" s="12" t="s">
        <v>216</v>
      </c>
      <c r="C10" s="12" t="s">
        <v>217</v>
      </c>
      <c r="D10" s="11" t="n">
        <v>665</v>
      </c>
      <c r="E10" s="10" t="n">
        <v>15320</v>
      </c>
      <c r="F10" s="21" t="n">
        <f aca="false">IF(D10=0,0,E10/D10)</f>
        <v>23.0375939849624</v>
      </c>
      <c r="G10" s="23" t="n">
        <v>19</v>
      </c>
      <c r="H10" s="12" t="s">
        <v>5</v>
      </c>
    </row>
    <row r="11" customFormat="false" ht="15" hidden="false" customHeight="false" outlineLevel="0" collapsed="false">
      <c r="B11" s="12" t="s">
        <v>218</v>
      </c>
      <c r="C11" s="12" t="s">
        <v>219</v>
      </c>
      <c r="D11" s="11" t="n">
        <v>532</v>
      </c>
      <c r="E11" s="10" t="n">
        <v>9047</v>
      </c>
      <c r="F11" s="21" t="n">
        <f aca="false">IF(D11=0,0,E11/D11)</f>
        <v>17.0056390977444</v>
      </c>
      <c r="G11" s="23" t="n">
        <v>14</v>
      </c>
      <c r="H11" s="12" t="s">
        <v>5</v>
      </c>
    </row>
    <row r="12" customFormat="false" ht="15" hidden="false" customHeight="false" outlineLevel="0" collapsed="false">
      <c r="B12" s="12" t="s">
        <v>220</v>
      </c>
      <c r="C12" s="12" t="s">
        <v>221</v>
      </c>
      <c r="D12" s="11" t="n">
        <v>282.5</v>
      </c>
      <c r="E12" s="10" t="n">
        <v>4027.5</v>
      </c>
      <c r="F12" s="21" t="n">
        <f aca="false">IF(D12=0,0,E12/D12)</f>
        <v>14.2566371681416</v>
      </c>
      <c r="G12" s="23" t="n">
        <v>10</v>
      </c>
      <c r="H12" s="12" t="s">
        <v>5</v>
      </c>
    </row>
    <row r="13" customFormat="false" ht="15" hidden="false" customHeight="false" outlineLevel="0" collapsed="false">
      <c r="B13" s="12" t="s">
        <v>222</v>
      </c>
      <c r="C13" s="12" t="s">
        <v>223</v>
      </c>
      <c r="D13" s="11" t="n">
        <v>267</v>
      </c>
      <c r="E13" s="10" t="n">
        <v>8277</v>
      </c>
      <c r="F13" s="21" t="n">
        <f aca="false">IF(D13=0,0,E13/D13)</f>
        <v>31</v>
      </c>
      <c r="G13" s="23" t="n">
        <v>9</v>
      </c>
      <c r="H13" s="12" t="s">
        <v>5</v>
      </c>
    </row>
    <row r="14" customFormat="false" ht="15" hidden="false" customHeight="false" outlineLevel="0" collapsed="false">
      <c r="B14" s="12" t="s">
        <v>224</v>
      </c>
      <c r="C14" s="12" t="s">
        <v>225</v>
      </c>
      <c r="D14" s="11" t="n">
        <v>227</v>
      </c>
      <c r="E14" s="10" t="n">
        <v>4028</v>
      </c>
      <c r="F14" s="21" t="n">
        <f aca="false">IF(D14=0,0,E14/D14)</f>
        <v>17.7444933920705</v>
      </c>
      <c r="G14" s="23" t="n">
        <v>7</v>
      </c>
      <c r="H14" s="12" t="s">
        <v>5</v>
      </c>
    </row>
    <row r="15" customFormat="false" ht="15" hidden="false" customHeight="false" outlineLevel="0" collapsed="false">
      <c r="B15" s="12" t="s">
        <v>226</v>
      </c>
      <c r="C15" s="12" t="s">
        <v>227</v>
      </c>
      <c r="D15" s="11" t="n">
        <v>202</v>
      </c>
      <c r="E15" s="10" t="n">
        <v>5481</v>
      </c>
      <c r="F15" s="21" t="n">
        <f aca="false">IF(D15=0,0,E15/D15)</f>
        <v>27.1336633663366</v>
      </c>
      <c r="G15" s="23" t="n">
        <v>5</v>
      </c>
      <c r="H15" s="12" t="s">
        <v>5</v>
      </c>
    </row>
    <row r="16" customFormat="false" ht="15" hidden="false" customHeight="false" outlineLevel="0" collapsed="false">
      <c r="B16" s="12" t="s">
        <v>228</v>
      </c>
      <c r="C16" s="12" t="s">
        <v>229</v>
      </c>
      <c r="D16" s="11" t="n">
        <v>192.5</v>
      </c>
      <c r="E16" s="10" t="n">
        <v>4525.25</v>
      </c>
      <c r="F16" s="21" t="n">
        <f aca="false">IF(D16=0,0,E16/D16)</f>
        <v>23.5077922077922</v>
      </c>
      <c r="G16" s="23" t="n">
        <v>10</v>
      </c>
      <c r="H16" s="12" t="s">
        <v>5</v>
      </c>
    </row>
    <row r="17" customFormat="false" ht="15" hidden="false" customHeight="false" outlineLevel="0" collapsed="false">
      <c r="B17" s="12" t="s">
        <v>230</v>
      </c>
      <c r="C17" s="12" t="s">
        <v>231</v>
      </c>
      <c r="D17" s="11" t="n">
        <v>163</v>
      </c>
      <c r="E17" s="10" t="n">
        <v>7329</v>
      </c>
      <c r="F17" s="21" t="n">
        <f aca="false">IF(D17=0,0,E17/D17)</f>
        <v>44.9631901840491</v>
      </c>
      <c r="G17" s="23" t="n">
        <v>26</v>
      </c>
      <c r="H17" s="12" t="s">
        <v>5</v>
      </c>
    </row>
    <row r="18" customFormat="false" ht="15" hidden="false" customHeight="false" outlineLevel="0" collapsed="false">
      <c r="B18" s="12" t="s">
        <v>232</v>
      </c>
      <c r="C18" s="12" t="s">
        <v>233</v>
      </c>
      <c r="D18" s="11" t="n">
        <v>161</v>
      </c>
      <c r="E18" s="10" t="n">
        <v>6735.5</v>
      </c>
      <c r="F18" s="21" t="n">
        <f aca="false">IF(D18=0,0,E18/D18)</f>
        <v>41.8354037267081</v>
      </c>
      <c r="G18" s="23" t="n">
        <v>28</v>
      </c>
      <c r="H18" s="12" t="s">
        <v>5</v>
      </c>
    </row>
    <row r="19" customFormat="false" ht="15" hidden="false" customHeight="false" outlineLevel="0" collapsed="false">
      <c r="B19" s="12" t="s">
        <v>234</v>
      </c>
      <c r="C19" s="12" t="s">
        <v>235</v>
      </c>
      <c r="D19" s="11" t="n">
        <v>111.5</v>
      </c>
      <c r="E19" s="10" t="n">
        <v>5491.25</v>
      </c>
      <c r="F19" s="21" t="n">
        <f aca="false">IF(D19=0,0,E19/D19)</f>
        <v>49.2488789237668</v>
      </c>
      <c r="G19" s="23" t="n">
        <v>25</v>
      </c>
      <c r="H19" s="12" t="s">
        <v>5</v>
      </c>
    </row>
    <row r="20" customFormat="false" ht="15" hidden="false" customHeight="false" outlineLevel="0" collapsed="false">
      <c r="B20" s="12" t="s">
        <v>236</v>
      </c>
      <c r="C20" s="12" t="s">
        <v>237</v>
      </c>
      <c r="D20" s="11" t="n">
        <v>97</v>
      </c>
      <c r="E20" s="10" t="n">
        <v>5525</v>
      </c>
      <c r="F20" s="21" t="n">
        <f aca="false">IF(D20=0,0,E20/D20)</f>
        <v>56.9587628865979</v>
      </c>
      <c r="G20" s="23" t="n">
        <v>44</v>
      </c>
      <c r="H20" s="12" t="s">
        <v>5</v>
      </c>
    </row>
    <row r="21" customFormat="false" ht="15" hidden="false" customHeight="false" outlineLevel="0" collapsed="false">
      <c r="B21" s="12" t="s">
        <v>238</v>
      </c>
      <c r="C21" s="12" t="s">
        <v>239</v>
      </c>
      <c r="D21" s="11" t="n">
        <v>86</v>
      </c>
      <c r="E21" s="10" t="n">
        <v>1312.5</v>
      </c>
      <c r="F21" s="21" t="n">
        <f aca="false">IF(D21=0,0,E21/D21)</f>
        <v>15.2616279069767</v>
      </c>
      <c r="G21" s="23" t="n">
        <v>3</v>
      </c>
      <c r="H21" s="12" t="s">
        <v>5</v>
      </c>
    </row>
    <row r="22" customFormat="false" ht="15" hidden="false" customHeight="false" outlineLevel="0" collapsed="false">
      <c r="B22" s="12" t="s">
        <v>240</v>
      </c>
      <c r="C22" s="12" t="s">
        <v>241</v>
      </c>
      <c r="D22" s="11" t="n">
        <v>86</v>
      </c>
      <c r="E22" s="10" t="n">
        <v>4116</v>
      </c>
      <c r="F22" s="21" t="n">
        <f aca="false">IF(D22=0,0,E22/D22)</f>
        <v>47.8604651162791</v>
      </c>
      <c r="G22" s="23" t="n">
        <v>30</v>
      </c>
      <c r="H22" s="12" t="s">
        <v>5</v>
      </c>
    </row>
    <row r="23" customFormat="false" ht="15" hidden="false" customHeight="false" outlineLevel="0" collapsed="false">
      <c r="B23" s="12" t="s">
        <v>242</v>
      </c>
      <c r="C23" s="12" t="s">
        <v>243</v>
      </c>
      <c r="D23" s="11" t="n">
        <v>79.5</v>
      </c>
      <c r="E23" s="10" t="n">
        <v>1908</v>
      </c>
      <c r="F23" s="21" t="n">
        <f aca="false">IF(D23=0,0,E23/D23)</f>
        <v>24</v>
      </c>
      <c r="G23" s="23" t="n">
        <v>5</v>
      </c>
      <c r="H23" s="12" t="s">
        <v>5</v>
      </c>
    </row>
    <row r="24" customFormat="false" ht="15" hidden="false" customHeight="false" outlineLevel="0" collapsed="false">
      <c r="B24" s="12" t="s">
        <v>244</v>
      </c>
      <c r="C24" s="12" t="s">
        <v>245</v>
      </c>
      <c r="D24" s="11" t="n">
        <v>58</v>
      </c>
      <c r="E24" s="10" t="n">
        <v>1914</v>
      </c>
      <c r="F24" s="21" t="n">
        <f aca="false">IF(D24=0,0,E24/D24)</f>
        <v>33</v>
      </c>
      <c r="G24" s="23" t="n">
        <v>4</v>
      </c>
      <c r="H24" s="12" t="s">
        <v>5</v>
      </c>
    </row>
    <row r="25" customFormat="false" ht="15" hidden="false" customHeight="false" outlineLevel="0" collapsed="false">
      <c r="B25" s="12" t="s">
        <v>246</v>
      </c>
      <c r="C25" s="12" t="s">
        <v>247</v>
      </c>
      <c r="D25" s="11" t="n">
        <v>57.25</v>
      </c>
      <c r="E25" s="10" t="n">
        <v>2404.5</v>
      </c>
      <c r="F25" s="21" t="n">
        <f aca="false">IF(D25=0,0,E25/D25)</f>
        <v>42</v>
      </c>
      <c r="G25" s="23" t="n">
        <v>4</v>
      </c>
      <c r="H25" s="12" t="s">
        <v>5</v>
      </c>
    </row>
    <row r="26" customFormat="false" ht="15" hidden="false" customHeight="false" outlineLevel="0" collapsed="false">
      <c r="B26" s="12" t="s">
        <v>248</v>
      </c>
      <c r="C26" s="12" t="s">
        <v>249</v>
      </c>
      <c r="D26" s="11" t="n">
        <v>53</v>
      </c>
      <c r="E26" s="10" t="n">
        <v>1272</v>
      </c>
      <c r="F26" s="21" t="n">
        <f aca="false">IF(D26=0,0,E26/D26)</f>
        <v>24</v>
      </c>
      <c r="G26" s="23" t="n">
        <v>2</v>
      </c>
      <c r="H26" s="12" t="s">
        <v>5</v>
      </c>
    </row>
    <row r="27" customFormat="false" ht="15" hidden="false" customHeight="false" outlineLevel="0" collapsed="false">
      <c r="B27" s="12" t="s">
        <v>250</v>
      </c>
      <c r="C27" s="12" t="s">
        <v>251</v>
      </c>
      <c r="D27" s="11" t="n">
        <v>45</v>
      </c>
      <c r="E27" s="10" t="n">
        <v>760</v>
      </c>
      <c r="F27" s="21" t="n">
        <f aca="false">IF(D27=0,0,E27/D27)</f>
        <v>16.8888888888889</v>
      </c>
      <c r="G27" s="23" t="n">
        <v>6</v>
      </c>
      <c r="H27" s="12" t="s">
        <v>5</v>
      </c>
    </row>
    <row r="28" customFormat="false" ht="15" hidden="false" customHeight="false" outlineLevel="0" collapsed="false">
      <c r="B28" s="12" t="s">
        <v>252</v>
      </c>
      <c r="C28" s="12" t="s">
        <v>253</v>
      </c>
      <c r="D28" s="11" t="n">
        <v>31.5</v>
      </c>
      <c r="E28" s="10" t="n">
        <v>812.5</v>
      </c>
      <c r="F28" s="21" t="n">
        <f aca="false">IF(D28=0,0,E28/D28)</f>
        <v>25.7936507936508</v>
      </c>
      <c r="G28" s="23" t="n">
        <v>5</v>
      </c>
      <c r="H28" s="12" t="s">
        <v>5</v>
      </c>
    </row>
    <row r="29" customFormat="false" ht="15" hidden="false" customHeight="false" outlineLevel="0" collapsed="false">
      <c r="B29" s="12" t="s">
        <v>254</v>
      </c>
      <c r="C29" s="12" t="s">
        <v>255</v>
      </c>
      <c r="D29" s="11" t="n">
        <v>30</v>
      </c>
      <c r="E29" s="10" t="n">
        <v>630</v>
      </c>
      <c r="F29" s="21" t="n">
        <f aca="false">IF(D29=0,0,E29/D29)</f>
        <v>21</v>
      </c>
      <c r="G29" s="23" t="n">
        <v>3</v>
      </c>
      <c r="H29" s="12" t="s">
        <v>5</v>
      </c>
    </row>
    <row r="30" customFormat="false" ht="15" hidden="false" customHeight="false" outlineLevel="0" collapsed="false">
      <c r="B30" s="12" t="s">
        <v>256</v>
      </c>
      <c r="C30" s="12" t="s">
        <v>257</v>
      </c>
      <c r="D30" s="11" t="n">
        <v>30</v>
      </c>
      <c r="E30" s="10" t="n">
        <v>720</v>
      </c>
      <c r="F30" s="21" t="n">
        <f aca="false">IF(D30=0,0,E30/D30)</f>
        <v>24</v>
      </c>
      <c r="G30" s="23" t="n">
        <v>3</v>
      </c>
      <c r="H30" s="12" t="s">
        <v>5</v>
      </c>
    </row>
    <row r="31" customFormat="false" ht="15" hidden="false" customHeight="false" outlineLevel="0" collapsed="false">
      <c r="B31" s="12" t="s">
        <v>258</v>
      </c>
      <c r="C31" s="12" t="s">
        <v>259</v>
      </c>
      <c r="D31" s="11" t="n">
        <v>24.5</v>
      </c>
      <c r="E31" s="10" t="n">
        <v>445.5</v>
      </c>
      <c r="F31" s="21" t="n">
        <f aca="false">IF(D31=0,0,E31/D31)</f>
        <v>18.1836734693878</v>
      </c>
      <c r="G31" s="23" t="n">
        <v>3</v>
      </c>
      <c r="H31" s="12" t="s">
        <v>5</v>
      </c>
    </row>
    <row r="32" customFormat="false" ht="15" hidden="false" customHeight="false" outlineLevel="0" collapsed="false">
      <c r="B32" s="12" t="s">
        <v>260</v>
      </c>
      <c r="C32" s="12" t="s">
        <v>261</v>
      </c>
      <c r="D32" s="11" t="n">
        <v>20.75</v>
      </c>
      <c r="E32" s="10" t="n">
        <v>539.5</v>
      </c>
      <c r="F32" s="21" t="n">
        <f aca="false">IF(D32=0,0,E32/D32)</f>
        <v>26</v>
      </c>
      <c r="G32" s="23" t="n">
        <v>2</v>
      </c>
      <c r="H32" s="12" t="s">
        <v>5</v>
      </c>
    </row>
    <row r="33" customFormat="false" ht="15" hidden="false" customHeight="false" outlineLevel="0" collapsed="false">
      <c r="B33" s="12" t="s">
        <v>262</v>
      </c>
      <c r="C33" s="12" t="s">
        <v>263</v>
      </c>
      <c r="D33" s="11" t="n">
        <v>19</v>
      </c>
      <c r="E33" s="10" t="n">
        <v>608</v>
      </c>
      <c r="F33" s="21" t="n">
        <f aca="false">IF(D33=0,0,E33/D33)</f>
        <v>32</v>
      </c>
      <c r="G33" s="23" t="n">
        <v>3</v>
      </c>
      <c r="H33" s="12" t="s">
        <v>5</v>
      </c>
    </row>
    <row r="34" customFormat="false" ht="15" hidden="false" customHeight="false" outlineLevel="0" collapsed="false">
      <c r="B34" s="12" t="s">
        <v>264</v>
      </c>
      <c r="C34" s="12" t="s">
        <v>265</v>
      </c>
      <c r="D34" s="11" t="n">
        <v>16</v>
      </c>
      <c r="E34" s="10" t="n">
        <v>288</v>
      </c>
      <c r="F34" s="21" t="n">
        <f aca="false">IF(D34=0,0,E34/D34)</f>
        <v>18</v>
      </c>
      <c r="G34" s="23" t="n">
        <v>2</v>
      </c>
      <c r="H34" s="12" t="s">
        <v>5</v>
      </c>
    </row>
    <row r="35" customFormat="false" ht="15" hidden="false" customHeight="false" outlineLevel="0" collapsed="false">
      <c r="B35" s="12" t="s">
        <v>266</v>
      </c>
      <c r="C35" s="12" t="s">
        <v>267</v>
      </c>
      <c r="D35" s="11" t="n">
        <v>16</v>
      </c>
      <c r="E35" s="10" t="n">
        <v>0</v>
      </c>
      <c r="F35" s="21" t="n">
        <f aca="false">IF(D35=0,0,E35/D35)</f>
        <v>0</v>
      </c>
      <c r="G35" s="23" t="n">
        <v>2</v>
      </c>
      <c r="H35" s="12" t="s">
        <v>5</v>
      </c>
    </row>
    <row r="36" customFormat="false" ht="15" hidden="false" customHeight="false" outlineLevel="0" collapsed="false">
      <c r="B36" s="12" t="s">
        <v>268</v>
      </c>
      <c r="C36" s="12" t="s">
        <v>269</v>
      </c>
      <c r="D36" s="11" t="n">
        <v>13</v>
      </c>
      <c r="E36" s="10" t="n">
        <v>442</v>
      </c>
      <c r="F36" s="21" t="n">
        <f aca="false">IF(D36=0,0,E36/D36)</f>
        <v>34</v>
      </c>
      <c r="G36" s="23" t="n">
        <v>2</v>
      </c>
      <c r="H36" s="12" t="s">
        <v>5</v>
      </c>
    </row>
    <row r="37" customFormat="false" ht="15" hidden="false" customHeight="false" outlineLevel="0" collapsed="false">
      <c r="B37" s="12" t="s">
        <v>270</v>
      </c>
      <c r="C37" s="12" t="s">
        <v>271</v>
      </c>
      <c r="D37" s="11" t="n">
        <v>8</v>
      </c>
      <c r="E37" s="10" t="n">
        <v>136</v>
      </c>
      <c r="F37" s="21" t="n">
        <f aca="false">IF(D37=0,0,E37/D37)</f>
        <v>17</v>
      </c>
      <c r="G37" s="23" t="n">
        <v>1</v>
      </c>
      <c r="H37" s="12" t="s">
        <v>5</v>
      </c>
    </row>
    <row r="38" customFormat="false" ht="15" hidden="false" customHeight="false" outlineLevel="0" collapsed="false">
      <c r="B38" s="12" t="s">
        <v>272</v>
      </c>
      <c r="C38" s="12" t="s">
        <v>273</v>
      </c>
      <c r="D38" s="11" t="n">
        <v>6</v>
      </c>
      <c r="E38" s="10" t="n">
        <v>42</v>
      </c>
      <c r="F38" s="21" t="n">
        <f aca="false">IF(D38=0,0,E38/D38)</f>
        <v>7</v>
      </c>
      <c r="G38" s="23" t="n">
        <v>2</v>
      </c>
      <c r="H38" s="12" t="s">
        <v>5</v>
      </c>
    </row>
    <row r="39" customFormat="false" ht="15" hidden="false" customHeight="false" outlineLevel="0" collapsed="false">
      <c r="B39" s="12" t="s">
        <v>274</v>
      </c>
      <c r="C39" s="12" t="s">
        <v>275</v>
      </c>
      <c r="D39" s="11" t="n">
        <v>6</v>
      </c>
      <c r="E39" s="10" t="n">
        <v>126</v>
      </c>
      <c r="F39" s="21" t="n">
        <f aca="false">IF(D39=0,0,E39/D39)</f>
        <v>21</v>
      </c>
      <c r="G39" s="23" t="n">
        <v>1</v>
      </c>
      <c r="H39" s="12" t="s">
        <v>5</v>
      </c>
    </row>
    <row r="40" customFormat="false" ht="15" hidden="false" customHeight="false" outlineLevel="0" collapsed="false">
      <c r="B40" s="12" t="s">
        <v>276</v>
      </c>
      <c r="C40" s="12" t="s">
        <v>277</v>
      </c>
      <c r="D40" s="11" t="n">
        <v>5.5</v>
      </c>
      <c r="E40" s="10" t="n">
        <v>104.5</v>
      </c>
      <c r="F40" s="21" t="n">
        <f aca="false">IF(D40=0,0,E40/D40)</f>
        <v>19</v>
      </c>
      <c r="G40" s="23" t="n">
        <v>1</v>
      </c>
      <c r="H40" s="12" t="s">
        <v>5</v>
      </c>
    </row>
    <row r="41" customFormat="false" ht="15" hidden="false" customHeight="false" outlineLevel="0" collapsed="false">
      <c r="B41" s="19" t="s">
        <v>137</v>
      </c>
      <c r="D41" s="22" t="n">
        <f aca="false">SUM(D6:D40)</f>
        <v>7215</v>
      </c>
      <c r="E41" s="21" t="n">
        <f aca="false">SUM(E6:E40)</f>
        <v>194340.5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278</v>
      </c>
    </row>
    <row r="3" customFormat="false" ht="21.75" hidden="false" customHeight="true" outlineLevel="0" collapsed="false">
      <c r="B3" s="3" t="s">
        <v>279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280</v>
      </c>
    </row>
    <row r="6" customFormat="false" ht="15" hidden="false" customHeight="false" outlineLevel="0" collapsed="false">
      <c r="B6" s="4" t="s">
        <v>281</v>
      </c>
      <c r="C6" s="4" t="s">
        <v>282</v>
      </c>
      <c r="D6" s="4" t="s">
        <v>283</v>
      </c>
      <c r="E6" s="4" t="s">
        <v>86</v>
      </c>
    </row>
    <row r="7" customFormat="false" ht="15" hidden="false" customHeight="false" outlineLevel="0" collapsed="false">
      <c r="B7" s="12" t="s">
        <v>284</v>
      </c>
      <c r="C7" s="11" t="n">
        <v>35</v>
      </c>
      <c r="D7" s="12" t="s">
        <v>285</v>
      </c>
      <c r="E7" s="12" t="s">
        <v>5</v>
      </c>
    </row>
    <row r="8" customFormat="false" ht="15" hidden="false" customHeight="false" outlineLevel="0" collapsed="false">
      <c r="B8" s="12" t="s">
        <v>286</v>
      </c>
      <c r="C8" s="11" t="n">
        <v>7215</v>
      </c>
      <c r="D8" s="12" t="s">
        <v>287</v>
      </c>
      <c r="E8" s="12" t="s">
        <v>5</v>
      </c>
    </row>
    <row r="9" customFormat="false" ht="15" hidden="false" customHeight="false" outlineLevel="0" collapsed="false">
      <c r="B9" s="12" t="s">
        <v>288</v>
      </c>
      <c r="C9" s="11" t="n">
        <v>194340.5</v>
      </c>
      <c r="D9" s="12" t="s">
        <v>287</v>
      </c>
      <c r="E9" s="12" t="s">
        <v>5</v>
      </c>
    </row>
    <row r="10" customFormat="false" ht="15" hidden="false" customHeight="false" outlineLevel="0" collapsed="false">
      <c r="B10" s="12" t="s">
        <v>289</v>
      </c>
      <c r="C10" s="10" t="n">
        <v>26.9356202356202</v>
      </c>
      <c r="D10" s="12" t="s">
        <v>290</v>
      </c>
      <c r="E10" s="12" t="s">
        <v>291</v>
      </c>
    </row>
    <row r="11" customFormat="false" ht="15" hidden="false" customHeight="false" outlineLevel="0" collapsed="false">
      <c r="B11" s="12" t="s">
        <v>292</v>
      </c>
      <c r="C11" s="25" t="n">
        <v>0.176160776160776</v>
      </c>
      <c r="D11" s="12" t="s">
        <v>293</v>
      </c>
      <c r="E11" s="12" t="s">
        <v>291</v>
      </c>
    </row>
    <row r="12" customFormat="false" ht="15" hidden="false" customHeight="false" outlineLevel="0" collapsed="false">
      <c r="B12" s="12" t="s">
        <v>294</v>
      </c>
      <c r="C12" s="25" t="n">
        <v>0.594386694386694</v>
      </c>
      <c r="D12" s="12" t="s">
        <v>295</v>
      </c>
      <c r="E12" s="12" t="s">
        <v>291</v>
      </c>
    </row>
    <row r="13" customFormat="false" ht="15" hidden="false" customHeight="false" outlineLevel="0" collapsed="false">
      <c r="B13" s="12" t="s">
        <v>296</v>
      </c>
      <c r="C13" s="10" t="n">
        <v>56.9587628865979</v>
      </c>
      <c r="D13" s="12" t="s">
        <v>297</v>
      </c>
      <c r="E13" s="12" t="s">
        <v>291</v>
      </c>
    </row>
    <row r="14" customFormat="false" ht="15" hidden="false" customHeight="false" outlineLevel="0" collapsed="false">
      <c r="B14" s="12" t="s">
        <v>298</v>
      </c>
      <c r="C14" s="10" t="n">
        <v>0</v>
      </c>
      <c r="D14" s="12" t="s">
        <v>297</v>
      </c>
      <c r="E14" s="12" t="s">
        <v>291</v>
      </c>
    </row>
    <row r="15" customFormat="false" ht="15" hidden="false" customHeight="false" outlineLevel="0" collapsed="false">
      <c r="B15" s="12" t="s">
        <v>299</v>
      </c>
      <c r="C15" s="11" t="n">
        <v>206.142857142857</v>
      </c>
      <c r="D15" s="12" t="s">
        <v>300</v>
      </c>
      <c r="E15" s="12" t="s">
        <v>291</v>
      </c>
    </row>
    <row r="16" customFormat="false" ht="15" hidden="false" customHeight="false" outlineLevel="0" collapsed="false">
      <c r="B16" s="12" t="s">
        <v>301</v>
      </c>
      <c r="C16" s="11" t="n">
        <v>11.2</v>
      </c>
      <c r="D16" s="12" t="s">
        <v>302</v>
      </c>
      <c r="E16" s="12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303</v>
      </c>
    </row>
    <row r="3" customFormat="false" ht="21.75" hidden="false" customHeight="true" outlineLevel="0" collapsed="false">
      <c r="B3" s="3" t="s">
        <v>304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281</v>
      </c>
      <c r="C5" s="4" t="s">
        <v>282</v>
      </c>
      <c r="D5" s="4" t="s">
        <v>305</v>
      </c>
      <c r="E5" s="4" t="s">
        <v>306</v>
      </c>
    </row>
    <row r="6" customFormat="false" ht="15" hidden="false" customHeight="false" outlineLevel="0" collapsed="false">
      <c r="B6" s="12" t="s">
        <v>307</v>
      </c>
      <c r="C6" s="10" t="n">
        <v>127.803742203742</v>
      </c>
      <c r="D6" s="12" t="s">
        <v>308</v>
      </c>
    </row>
    <row r="7" customFormat="false" ht="15" hidden="false" customHeight="false" outlineLevel="0" collapsed="false">
      <c r="B7" s="12" t="s">
        <v>309</v>
      </c>
      <c r="C7" s="10" t="n">
        <v>45.5328454608455</v>
      </c>
      <c r="D7" s="12" t="s">
        <v>308</v>
      </c>
    </row>
    <row r="8" customFormat="false" ht="15" hidden="false" customHeight="false" outlineLevel="0" collapsed="false">
      <c r="B8" s="12" t="s">
        <v>310</v>
      </c>
      <c r="C8" s="10" t="n">
        <v>26.9356202356202</v>
      </c>
      <c r="D8" s="12" t="s">
        <v>308</v>
      </c>
      <c r="E8" s="12" t="s">
        <v>311</v>
      </c>
    </row>
    <row r="9" customFormat="false" ht="15" hidden="false" customHeight="false" outlineLevel="0" collapsed="false">
      <c r="B9" s="12" t="s">
        <v>312</v>
      </c>
      <c r="C9" s="10" t="n">
        <v>54.9488</v>
      </c>
      <c r="D9" s="12" t="s">
        <v>308</v>
      </c>
      <c r="E9" s="12" t="s">
        <v>313</v>
      </c>
    </row>
    <row r="10" customFormat="false" ht="15" hidden="false" customHeight="false" outlineLevel="0" collapsed="false">
      <c r="B10" s="12" t="s">
        <v>314</v>
      </c>
      <c r="C10" s="26" t="n">
        <v>1.3421</v>
      </c>
      <c r="D10" s="12" t="s">
        <v>315</v>
      </c>
      <c r="E10" s="12" t="s">
        <v>316</v>
      </c>
    </row>
    <row r="11" customFormat="false" ht="15" hidden="false" customHeight="false" outlineLevel="0" collapsed="false">
      <c r="B11" s="12" t="s">
        <v>317</v>
      </c>
      <c r="C11" s="11" t="n">
        <v>4990</v>
      </c>
      <c r="D11" s="12" t="s">
        <v>318</v>
      </c>
    </row>
    <row r="12" customFormat="false" ht="15" hidden="false" customHeight="false" outlineLevel="0" collapsed="false">
      <c r="B12" s="12" t="s">
        <v>319</v>
      </c>
      <c r="C12" s="11" t="n">
        <v>651</v>
      </c>
      <c r="D12" s="12" t="s">
        <v>318</v>
      </c>
    </row>
    <row r="13" customFormat="false" ht="15" hidden="false" customHeight="false" outlineLevel="0" collapsed="false">
      <c r="B13" s="12" t="s">
        <v>320</v>
      </c>
      <c r="C13" s="27" t="n">
        <v>0.703510503313126</v>
      </c>
      <c r="D13" s="12" t="s">
        <v>321</v>
      </c>
    </row>
    <row r="14" customFormat="false" ht="15" hidden="false" customHeight="false" outlineLevel="0" collapsed="false">
      <c r="B14" s="12" t="s">
        <v>322</v>
      </c>
      <c r="C14" s="27" t="n">
        <v>0.356271613614083</v>
      </c>
      <c r="D14" s="12" t="s">
        <v>321</v>
      </c>
    </row>
    <row r="15" customFormat="false" ht="15" hidden="false" customHeight="false" outlineLevel="0" collapsed="false">
      <c r="B15" s="12" t="s">
        <v>323</v>
      </c>
      <c r="C15" s="27" t="n">
        <v>0.210757680261663</v>
      </c>
      <c r="D15" s="12" t="s">
        <v>321</v>
      </c>
    </row>
    <row r="16" customFormat="false" ht="15" hidden="false" customHeight="false" outlineLevel="0" collapsed="false">
      <c r="B16" s="12" t="s">
        <v>324</v>
      </c>
      <c r="C16" s="27" t="n">
        <v>0.271383173698411</v>
      </c>
      <c r="D16" s="12" t="s">
        <v>321</v>
      </c>
    </row>
    <row r="17" customFormat="false" ht="15" hidden="false" customHeight="false" outlineLevel="0" collapsed="false">
      <c r="B17" s="12" t="s">
        <v>325</v>
      </c>
      <c r="C17" s="27" t="n">
        <v>0.643728386385918</v>
      </c>
      <c r="D17" s="12" t="s">
        <v>321</v>
      </c>
      <c r="E17" s="12" t="s">
        <v>326</v>
      </c>
    </row>
    <row r="18" customFormat="false" ht="15" hidden="false" customHeight="false" outlineLevel="0" collapsed="false">
      <c r="B18" s="12" t="s">
        <v>327</v>
      </c>
      <c r="C18" s="10" t="n">
        <v>12807</v>
      </c>
      <c r="D18" s="12" t="s">
        <v>328</v>
      </c>
      <c r="E18" s="12" t="s">
        <v>329</v>
      </c>
    </row>
    <row r="19" customFormat="false" ht="15" hidden="false" customHeight="false" outlineLevel="0" collapsed="false">
      <c r="B19" s="12" t="s">
        <v>330</v>
      </c>
      <c r="C19" s="11" t="n">
        <v>100.208333333333</v>
      </c>
      <c r="D19" s="12" t="s">
        <v>318</v>
      </c>
    </row>
    <row r="20" customFormat="false" ht="15" hidden="false" customHeight="false" outlineLevel="0" collapsed="false">
      <c r="B20" s="12" t="s">
        <v>331</v>
      </c>
      <c r="C20" s="10" t="n">
        <v>2699.17361111111</v>
      </c>
      <c r="D20" s="12" t="s">
        <v>328</v>
      </c>
    </row>
    <row r="21" customFormat="false" ht="15" hidden="false" customHeight="false" outlineLevel="0" collapsed="false">
      <c r="B21" s="12" t="s">
        <v>332</v>
      </c>
      <c r="C21" s="10" t="n">
        <v>3475.60430555556</v>
      </c>
      <c r="D21" s="12" t="s">
        <v>328</v>
      </c>
    </row>
    <row r="22" customFormat="false" ht="15" hidden="false" customHeight="false" outlineLevel="0" collapsed="false">
      <c r="B22" s="12" t="s">
        <v>333</v>
      </c>
      <c r="C22" s="10" t="n">
        <v>8244.22944444445</v>
      </c>
      <c r="D22" s="12" t="s">
        <v>328</v>
      </c>
    </row>
    <row r="23" customFormat="false" ht="15" hidden="false" customHeight="false" outlineLevel="0" collapsed="false">
      <c r="B23" s="12" t="s">
        <v>334</v>
      </c>
      <c r="C23" s="11" t="n">
        <v>69.3055555555556</v>
      </c>
      <c r="D23" s="12" t="s">
        <v>318</v>
      </c>
    </row>
    <row r="24" customFormat="false" ht="15" hidden="false" customHeight="false" outlineLevel="0" collapsed="false">
      <c r="B24" s="12" t="s">
        <v>335</v>
      </c>
      <c r="C24" s="10" t="n">
        <v>1836.86055776892</v>
      </c>
      <c r="D24" s="12" t="s">
        <v>328</v>
      </c>
      <c r="E24" s="12" t="s">
        <v>336</v>
      </c>
    </row>
    <row r="25" customFormat="false" ht="15" hidden="false" customHeight="false" outlineLevel="0" collapsed="false">
      <c r="B25" s="12" t="s">
        <v>337</v>
      </c>
      <c r="C25" s="11" t="n">
        <v>14.3725099601594</v>
      </c>
      <c r="D25" s="1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338</v>
      </c>
    </row>
    <row r="3" customFormat="false" ht="21.75" hidden="false" customHeight="true" outlineLevel="0" collapsed="false">
      <c r="B3" s="3" t="s">
        <v>339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340</v>
      </c>
      <c r="C5" s="4" t="s">
        <v>341</v>
      </c>
      <c r="D5" s="4" t="s">
        <v>342</v>
      </c>
      <c r="E5" s="4" t="s">
        <v>343</v>
      </c>
      <c r="F5" s="4" t="s">
        <v>66</v>
      </c>
      <c r="G5" s="4" t="s">
        <v>79</v>
      </c>
      <c r="H5" s="4" t="s">
        <v>344</v>
      </c>
      <c r="I5" s="4" t="s">
        <v>86</v>
      </c>
    </row>
    <row r="6" customFormat="false" ht="15" hidden="false" customHeight="false" outlineLevel="0" collapsed="false">
      <c r="B6" s="12" t="s">
        <v>345</v>
      </c>
      <c r="C6" s="12" t="s">
        <v>346</v>
      </c>
      <c r="D6" s="12" t="s">
        <v>12</v>
      </c>
      <c r="E6" s="12" t="s">
        <v>347</v>
      </c>
      <c r="F6" s="12" t="s">
        <v>348</v>
      </c>
      <c r="G6" s="12" t="s">
        <v>349</v>
      </c>
      <c r="H6" s="10" t="n">
        <v>998152.29</v>
      </c>
      <c r="I6" s="12" t="s">
        <v>20</v>
      </c>
    </row>
    <row r="7" customFormat="false" ht="15" hidden="false" customHeight="false" outlineLevel="0" collapsed="false">
      <c r="B7" s="12" t="s">
        <v>350</v>
      </c>
      <c r="C7" s="12" t="s">
        <v>351</v>
      </c>
      <c r="D7" s="12" t="s">
        <v>12</v>
      </c>
      <c r="E7" s="12" t="s">
        <v>352</v>
      </c>
      <c r="F7" s="12" t="s">
        <v>353</v>
      </c>
      <c r="G7" s="12" t="s">
        <v>354</v>
      </c>
      <c r="H7" s="10" t="n">
        <v>13882.05</v>
      </c>
      <c r="I7" s="12" t="s">
        <v>5</v>
      </c>
    </row>
    <row r="8" customFormat="false" ht="15" hidden="false" customHeight="false" outlineLevel="0" collapsed="false">
      <c r="B8" s="19" t="s">
        <v>355</v>
      </c>
      <c r="H8" s="21" t="n">
        <f aca="false">SUM(H6:H7)</f>
        <v>1012034.34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356</v>
      </c>
    </row>
    <row r="3" customFormat="false" ht="21.75" hidden="false" customHeight="true" outlineLevel="0" collapsed="false">
      <c r="B3" s="3" t="s">
        <v>357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358</v>
      </c>
      <c r="C5" s="4" t="s">
        <v>341</v>
      </c>
      <c r="D5" s="4" t="s">
        <v>359</v>
      </c>
      <c r="E5" s="4" t="s">
        <v>360</v>
      </c>
      <c r="F5" s="4" t="s">
        <v>361</v>
      </c>
      <c r="G5" s="4" t="s">
        <v>86</v>
      </c>
    </row>
    <row r="6" customFormat="false" ht="15" hidden="false" customHeight="false" outlineLevel="0" collapsed="false">
      <c r="B6" s="12" t="s">
        <v>362</v>
      </c>
      <c r="C6" s="12" t="s">
        <v>363</v>
      </c>
      <c r="D6" s="28" t="n">
        <v>-37403</v>
      </c>
      <c r="E6" s="28" t="n">
        <v>-1870.15</v>
      </c>
      <c r="F6" s="23" t="n">
        <v>5</v>
      </c>
      <c r="G6" s="12" t="s">
        <v>5</v>
      </c>
    </row>
    <row r="7" customFormat="false" ht="15" hidden="false" customHeight="false" outlineLevel="0" collapsed="false">
      <c r="B7" s="12" t="s">
        <v>364</v>
      </c>
      <c r="C7" s="12" t="s">
        <v>365</v>
      </c>
      <c r="D7" s="28" t="n">
        <v>-12100</v>
      </c>
      <c r="E7" s="28" t="n">
        <v>-605</v>
      </c>
      <c r="F7" s="23" t="n">
        <v>1</v>
      </c>
      <c r="G7" s="12" t="s">
        <v>5</v>
      </c>
    </row>
    <row r="8" customFormat="false" ht="15" hidden="false" customHeight="false" outlineLevel="0" collapsed="false">
      <c r="B8" s="12" t="s">
        <v>366</v>
      </c>
      <c r="C8" s="12" t="s">
        <v>367</v>
      </c>
      <c r="D8" s="28" t="n">
        <v>-14000</v>
      </c>
      <c r="E8" s="28" t="n">
        <v>-700</v>
      </c>
      <c r="F8" s="23" t="n">
        <v>1</v>
      </c>
      <c r="G8" s="12" t="s">
        <v>5</v>
      </c>
    </row>
    <row r="9" customFormat="false" ht="15" hidden="false" customHeight="false" outlineLevel="0" collapsed="false">
      <c r="B9" s="12" t="s">
        <v>368</v>
      </c>
      <c r="C9" s="12" t="s">
        <v>369</v>
      </c>
      <c r="D9" s="28" t="n">
        <v>-69160</v>
      </c>
      <c r="E9" s="28" t="n">
        <v>-3458</v>
      </c>
      <c r="F9" s="23" t="n">
        <v>3</v>
      </c>
      <c r="G9" s="12" t="s">
        <v>5</v>
      </c>
    </row>
    <row r="10" customFormat="false" ht="15" hidden="false" customHeight="false" outlineLevel="0" collapsed="false">
      <c r="B10" s="12" t="s">
        <v>370</v>
      </c>
      <c r="C10" s="12" t="s">
        <v>371</v>
      </c>
      <c r="D10" s="28" t="n">
        <v>-644</v>
      </c>
      <c r="E10" s="28" t="n">
        <v>-32.2</v>
      </c>
      <c r="F10" s="23" t="n">
        <v>1</v>
      </c>
      <c r="G10" s="12" t="s">
        <v>5</v>
      </c>
    </row>
    <row r="11" customFormat="false" ht="15" hidden="false" customHeight="false" outlineLevel="0" collapsed="false">
      <c r="B11" s="12" t="s">
        <v>372</v>
      </c>
      <c r="C11" s="12" t="s">
        <v>373</v>
      </c>
      <c r="D11" s="28" t="n">
        <v>-14770</v>
      </c>
      <c r="E11" s="28" t="n">
        <v>-738.5</v>
      </c>
      <c r="F11" s="23" t="n">
        <v>1</v>
      </c>
      <c r="G11" s="12" t="s">
        <v>5</v>
      </c>
    </row>
    <row r="12" customFormat="false" ht="15" hidden="false" customHeight="false" outlineLevel="0" collapsed="false">
      <c r="B12" s="12" t="s">
        <v>374</v>
      </c>
      <c r="C12" s="12" t="s">
        <v>375</v>
      </c>
      <c r="D12" s="28" t="n">
        <v>-108089</v>
      </c>
      <c r="E12" s="28" t="n">
        <v>-5404.45</v>
      </c>
      <c r="F12" s="23" t="n">
        <v>5</v>
      </c>
      <c r="G12" s="12" t="s">
        <v>5</v>
      </c>
    </row>
    <row r="13" customFormat="false" ht="15" hidden="false" customHeight="false" outlineLevel="0" collapsed="false">
      <c r="B13" s="12" t="s">
        <v>376</v>
      </c>
      <c r="C13" s="12" t="s">
        <v>377</v>
      </c>
      <c r="D13" s="28" t="n">
        <v>-189469</v>
      </c>
      <c r="E13" s="28" t="n">
        <v>-9473.45</v>
      </c>
      <c r="F13" s="23" t="n">
        <v>12</v>
      </c>
      <c r="G13" s="12" t="s">
        <v>5</v>
      </c>
    </row>
    <row r="14" customFormat="false" ht="15" hidden="false" customHeight="false" outlineLevel="0" collapsed="false">
      <c r="B14" s="12" t="s">
        <v>378</v>
      </c>
      <c r="C14" s="12" t="s">
        <v>379</v>
      </c>
      <c r="D14" s="28" t="n">
        <v>-2178</v>
      </c>
      <c r="E14" s="28" t="n">
        <v>-108.9</v>
      </c>
      <c r="F14" s="23" t="n">
        <v>2</v>
      </c>
      <c r="G14" s="12" t="s">
        <v>5</v>
      </c>
    </row>
    <row r="15" customFormat="false" ht="15" hidden="false" customHeight="false" outlineLevel="0" collapsed="false">
      <c r="B15" s="12" t="s">
        <v>380</v>
      </c>
      <c r="C15" s="12" t="s">
        <v>381</v>
      </c>
      <c r="D15" s="28" t="n">
        <v>-124132</v>
      </c>
      <c r="E15" s="28" t="n">
        <v>-6206.6</v>
      </c>
      <c r="F15" s="23" t="n">
        <v>9</v>
      </c>
      <c r="G15" s="12" t="s">
        <v>5</v>
      </c>
    </row>
    <row r="16" customFormat="false" ht="15" hidden="false" customHeight="false" outlineLevel="0" collapsed="false">
      <c r="B16" s="12" t="s">
        <v>382</v>
      </c>
      <c r="C16" s="12" t="s">
        <v>383</v>
      </c>
      <c r="D16" s="28" t="n">
        <v>-128329</v>
      </c>
      <c r="E16" s="28" t="n">
        <v>-6416.45</v>
      </c>
      <c r="F16" s="23" t="n">
        <v>14</v>
      </c>
      <c r="G16" s="12" t="s">
        <v>5</v>
      </c>
    </row>
    <row r="17" customFormat="false" ht="15" hidden="false" customHeight="false" outlineLevel="0" collapsed="false">
      <c r="B17" s="12" t="s">
        <v>384</v>
      </c>
      <c r="C17" s="12" t="s">
        <v>385</v>
      </c>
      <c r="D17" s="28" t="n">
        <v>-44550</v>
      </c>
      <c r="E17" s="28" t="n">
        <v>-2227.5</v>
      </c>
      <c r="F17" s="23" t="n">
        <v>8</v>
      </c>
      <c r="G17" s="12" t="s">
        <v>5</v>
      </c>
    </row>
    <row r="18" customFormat="false" ht="15" hidden="false" customHeight="false" outlineLevel="0" collapsed="false">
      <c r="B18" s="12" t="s">
        <v>386</v>
      </c>
      <c r="C18" s="12" t="s">
        <v>387</v>
      </c>
      <c r="D18" s="28" t="n">
        <v>-62100</v>
      </c>
      <c r="E18" s="28" t="n">
        <v>-3105</v>
      </c>
      <c r="F18" s="23" t="n">
        <v>2</v>
      </c>
      <c r="G18" s="12" t="s">
        <v>5</v>
      </c>
    </row>
    <row r="19" customFormat="false" ht="15" hidden="false" customHeight="false" outlineLevel="0" collapsed="false">
      <c r="B19" s="12" t="s">
        <v>388</v>
      </c>
      <c r="C19" s="12" t="s">
        <v>389</v>
      </c>
      <c r="D19" s="28" t="n">
        <v>-6155</v>
      </c>
      <c r="E19" s="28" t="n">
        <v>-307.75</v>
      </c>
      <c r="F19" s="23" t="n">
        <v>4</v>
      </c>
      <c r="G19" s="12" t="s">
        <v>5</v>
      </c>
    </row>
    <row r="20" customFormat="false" ht="15" hidden="false" customHeight="false" outlineLevel="0" collapsed="false">
      <c r="B20" s="12" t="s">
        <v>390</v>
      </c>
      <c r="C20" s="12" t="s">
        <v>391</v>
      </c>
      <c r="D20" s="28" t="n">
        <v>-34400</v>
      </c>
      <c r="E20" s="28" t="n">
        <v>-1720</v>
      </c>
      <c r="F20" s="23" t="n">
        <v>2</v>
      </c>
      <c r="G20" s="12" t="s">
        <v>5</v>
      </c>
    </row>
    <row r="21" customFormat="false" ht="15" hidden="false" customHeight="false" outlineLevel="0" collapsed="false">
      <c r="B21" s="12" t="s">
        <v>392</v>
      </c>
      <c r="C21" s="12" t="s">
        <v>393</v>
      </c>
      <c r="D21" s="28" t="n">
        <v>-17825</v>
      </c>
      <c r="E21" s="28" t="n">
        <v>-891.25</v>
      </c>
      <c r="F21" s="23" t="n">
        <v>4</v>
      </c>
      <c r="G21" s="12" t="s">
        <v>5</v>
      </c>
    </row>
    <row r="22" customFormat="false" ht="15" hidden="false" customHeight="false" outlineLevel="0" collapsed="false">
      <c r="B22" s="12" t="s">
        <v>394</v>
      </c>
      <c r="C22" s="12" t="s">
        <v>395</v>
      </c>
      <c r="D22" s="28" t="n">
        <v>-56800</v>
      </c>
      <c r="E22" s="28" t="n">
        <v>-2840</v>
      </c>
      <c r="F22" s="23" t="n">
        <v>1</v>
      </c>
      <c r="G22" s="12" t="s">
        <v>5</v>
      </c>
    </row>
    <row r="23" customFormat="false" ht="15" hidden="false" customHeight="false" outlineLevel="0" collapsed="false">
      <c r="B23" s="19" t="s">
        <v>396</v>
      </c>
      <c r="D23" s="17" t="n">
        <f aca="false">SUM(D6:D22)</f>
        <v>-922104</v>
      </c>
      <c r="E23" s="17" t="n">
        <f aca="false">SUM(E6:E22)</f>
        <v>-46105.2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397</v>
      </c>
    </row>
    <row r="3" customFormat="false" ht="21.75" hidden="false" customHeight="true" outlineLevel="0" collapsed="false">
      <c r="B3" s="3" t="s">
        <v>398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399</v>
      </c>
      <c r="C5" s="4" t="s">
        <v>400</v>
      </c>
      <c r="D5" s="4" t="s">
        <v>401</v>
      </c>
      <c r="E5" s="4" t="s">
        <v>402</v>
      </c>
      <c r="F5" s="4" t="s">
        <v>86</v>
      </c>
    </row>
    <row r="6" customFormat="false" ht="15" hidden="false" customHeight="false" outlineLevel="0" collapsed="false">
      <c r="B6" s="12" t="n">
        <v>1</v>
      </c>
      <c r="C6" s="12" t="s">
        <v>403</v>
      </c>
      <c r="D6" s="12" t="s">
        <v>404</v>
      </c>
      <c r="E6" s="14" t="s">
        <v>405</v>
      </c>
      <c r="F6" s="12" t="s">
        <v>5</v>
      </c>
    </row>
    <row r="7" customFormat="false" ht="15" hidden="false" customHeight="false" outlineLevel="0" collapsed="false">
      <c r="B7" s="12" t="n">
        <v>2</v>
      </c>
      <c r="C7" s="12" t="s">
        <v>406</v>
      </c>
      <c r="D7" s="12" t="s">
        <v>407</v>
      </c>
      <c r="E7" s="14" t="s">
        <v>405</v>
      </c>
      <c r="F7" s="12" t="s">
        <v>408</v>
      </c>
    </row>
    <row r="8" customFormat="false" ht="15" hidden="false" customHeight="false" outlineLevel="0" collapsed="false">
      <c r="B8" s="12" t="n">
        <v>3</v>
      </c>
      <c r="C8" s="12" t="s">
        <v>409</v>
      </c>
      <c r="D8" s="12" t="s">
        <v>410</v>
      </c>
      <c r="E8" s="14" t="s">
        <v>405</v>
      </c>
      <c r="F8" s="12" t="s">
        <v>5</v>
      </c>
    </row>
    <row r="9" customFormat="false" ht="15" hidden="false" customHeight="false" outlineLevel="0" collapsed="false">
      <c r="B9" s="12" t="n">
        <v>4</v>
      </c>
      <c r="C9" s="12" t="s">
        <v>411</v>
      </c>
      <c r="D9" s="12" t="s">
        <v>412</v>
      </c>
      <c r="E9" s="14" t="s">
        <v>405</v>
      </c>
      <c r="F9" s="12" t="s">
        <v>5</v>
      </c>
    </row>
    <row r="10" customFormat="false" ht="15" hidden="false" customHeight="false" outlineLevel="0" collapsed="false">
      <c r="B10" s="12" t="n">
        <v>5</v>
      </c>
      <c r="C10" s="12" t="s">
        <v>413</v>
      </c>
      <c r="D10" s="12" t="s">
        <v>414</v>
      </c>
      <c r="E10" s="14" t="s">
        <v>405</v>
      </c>
      <c r="F10" s="12" t="s">
        <v>5</v>
      </c>
    </row>
    <row r="11" customFormat="false" ht="15" hidden="false" customHeight="false" outlineLevel="0" collapsed="false">
      <c r="B11" s="12" t="n">
        <v>6</v>
      </c>
      <c r="C11" s="12" t="s">
        <v>415</v>
      </c>
      <c r="D11" s="12" t="s">
        <v>416</v>
      </c>
      <c r="E11" s="14" t="s">
        <v>405</v>
      </c>
      <c r="F11" s="12" t="s">
        <v>5</v>
      </c>
    </row>
    <row r="12" customFormat="false" ht="15" hidden="false" customHeight="false" outlineLevel="0" collapsed="false">
      <c r="B12" s="12" t="n">
        <v>7</v>
      </c>
      <c r="C12" s="12" t="s">
        <v>417</v>
      </c>
      <c r="D12" s="12" t="s">
        <v>418</v>
      </c>
      <c r="E12" s="14" t="s">
        <v>405</v>
      </c>
      <c r="F12" s="12" t="s">
        <v>5</v>
      </c>
    </row>
    <row r="13" customFormat="false" ht="15" hidden="false" customHeight="false" outlineLevel="0" collapsed="false">
      <c r="B13" s="12" t="n">
        <v>8</v>
      </c>
      <c r="C13" s="12" t="s">
        <v>419</v>
      </c>
      <c r="D13" s="12" t="s">
        <v>420</v>
      </c>
      <c r="E13" s="14" t="s">
        <v>405</v>
      </c>
      <c r="F13" s="12" t="s">
        <v>5</v>
      </c>
    </row>
    <row r="14" customFormat="false" ht="15" hidden="false" customHeight="false" outlineLevel="0" collapsed="false">
      <c r="B14" s="12" t="n">
        <v>9</v>
      </c>
      <c r="C14" s="12" t="s">
        <v>421</v>
      </c>
      <c r="D14" s="12" t="s">
        <v>422</v>
      </c>
      <c r="E14" s="14" t="s">
        <v>405</v>
      </c>
      <c r="F14" s="12" t="s">
        <v>13</v>
      </c>
    </row>
    <row r="15" customFormat="false" ht="15" hidden="false" customHeight="false" outlineLevel="0" collapsed="false">
      <c r="B15" s="12" t="n">
        <v>10</v>
      </c>
      <c r="C15" s="12" t="s">
        <v>423</v>
      </c>
      <c r="D15" s="12" t="s">
        <v>424</v>
      </c>
      <c r="E15" s="14" t="s">
        <v>405</v>
      </c>
      <c r="F15" s="12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426</v>
      </c>
    </row>
    <row r="3" customFormat="false" ht="21.75" hidden="false" customHeight="true" outlineLevel="0" collapsed="false">
      <c r="B3" s="3" t="s">
        <v>427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428</v>
      </c>
      <c r="C5" s="4" t="s">
        <v>429</v>
      </c>
      <c r="D5" s="4" t="s">
        <v>282</v>
      </c>
      <c r="E5" s="4" t="s">
        <v>140</v>
      </c>
      <c r="F5" s="4" t="s">
        <v>283</v>
      </c>
      <c r="G5" s="4" t="s">
        <v>402</v>
      </c>
      <c r="H5" s="4" t="s">
        <v>430</v>
      </c>
    </row>
    <row r="6" customFormat="false" ht="15" hidden="false" customHeight="false" outlineLevel="0" collapsed="false">
      <c r="B6" s="12" t="s">
        <v>431</v>
      </c>
      <c r="C6" s="12" t="s">
        <v>432</v>
      </c>
      <c r="D6" s="12" t="s">
        <v>4</v>
      </c>
      <c r="E6" s="12" t="s">
        <v>433</v>
      </c>
      <c r="F6" s="12" t="s">
        <v>434</v>
      </c>
      <c r="G6" s="14" t="s">
        <v>405</v>
      </c>
      <c r="H6" s="12" t="s">
        <v>5</v>
      </c>
    </row>
    <row r="7" customFormat="false" ht="15" hidden="false" customHeight="false" outlineLevel="0" collapsed="false">
      <c r="B7" s="12" t="s">
        <v>435</v>
      </c>
      <c r="C7" s="12" t="s">
        <v>436</v>
      </c>
      <c r="D7" s="12" t="s">
        <v>437</v>
      </c>
      <c r="E7" s="12" t="s">
        <v>433</v>
      </c>
      <c r="F7" s="12"/>
      <c r="G7" s="14" t="s">
        <v>405</v>
      </c>
      <c r="H7" s="12" t="s">
        <v>5</v>
      </c>
    </row>
    <row r="8" customFormat="false" ht="15" hidden="false" customHeight="false" outlineLevel="0" collapsed="false">
      <c r="B8" s="12" t="s">
        <v>11</v>
      </c>
      <c r="C8" s="12" t="s">
        <v>438</v>
      </c>
      <c r="D8" s="12" t="s">
        <v>12</v>
      </c>
      <c r="E8" s="12" t="s">
        <v>433</v>
      </c>
      <c r="F8" s="12"/>
      <c r="G8" s="14" t="s">
        <v>405</v>
      </c>
      <c r="H8" s="12" t="s">
        <v>13</v>
      </c>
    </row>
    <row r="9" customFormat="false" ht="15" hidden="false" customHeight="false" outlineLevel="0" collapsed="false">
      <c r="B9" s="12" t="s">
        <v>70</v>
      </c>
      <c r="C9" s="12" t="s">
        <v>439</v>
      </c>
      <c r="D9" s="12" t="s">
        <v>17</v>
      </c>
      <c r="E9" s="12" t="s">
        <v>433</v>
      </c>
      <c r="F9" s="12"/>
      <c r="G9" s="14" t="s">
        <v>405</v>
      </c>
      <c r="H9" s="12" t="s">
        <v>13</v>
      </c>
    </row>
    <row r="10" customFormat="false" ht="15" hidden="false" customHeight="false" outlineLevel="0" collapsed="false">
      <c r="B10" s="12" t="s">
        <v>34</v>
      </c>
      <c r="C10" s="12" t="s">
        <v>440</v>
      </c>
      <c r="D10" s="12" t="s">
        <v>19</v>
      </c>
      <c r="E10" s="12" t="s">
        <v>433</v>
      </c>
      <c r="F10" s="12"/>
      <c r="G10" s="14" t="s">
        <v>405</v>
      </c>
      <c r="H10" s="12" t="s">
        <v>35</v>
      </c>
    </row>
    <row r="11" customFormat="false" ht="15" hidden="false" customHeight="false" outlineLevel="0" collapsed="false">
      <c r="B11" s="12" t="s">
        <v>441</v>
      </c>
      <c r="C11" s="12" t="s">
        <v>442</v>
      </c>
      <c r="D11" s="12" t="s">
        <v>28</v>
      </c>
      <c r="E11" s="12" t="s">
        <v>433</v>
      </c>
      <c r="F11" s="12"/>
      <c r="G11" s="14" t="s">
        <v>405</v>
      </c>
      <c r="H11" s="12" t="s">
        <v>13</v>
      </c>
    </row>
    <row r="12" customFormat="false" ht="15" hidden="false" customHeight="false" outlineLevel="0" collapsed="false">
      <c r="B12" s="12" t="s">
        <v>443</v>
      </c>
      <c r="C12" s="12" t="s">
        <v>444</v>
      </c>
      <c r="D12" s="12" t="s">
        <v>445</v>
      </c>
      <c r="E12" s="12" t="s">
        <v>433</v>
      </c>
      <c r="F12" s="12"/>
      <c r="G12" s="14" t="s">
        <v>405</v>
      </c>
      <c r="H12" s="12" t="s">
        <v>446</v>
      </c>
    </row>
    <row r="13" customFormat="false" ht="15" hidden="false" customHeight="false" outlineLevel="0" collapsed="false">
      <c r="B13" s="12" t="s">
        <v>447</v>
      </c>
      <c r="C13" s="12" t="s">
        <v>448</v>
      </c>
      <c r="D13" s="12" t="s">
        <v>30</v>
      </c>
      <c r="E13" s="12" t="s">
        <v>433</v>
      </c>
      <c r="F13" s="12"/>
      <c r="G13" s="14" t="s">
        <v>405</v>
      </c>
      <c r="H13" s="12" t="s">
        <v>13</v>
      </c>
    </row>
    <row r="14" customFormat="false" ht="15" hidden="false" customHeight="false" outlineLevel="0" collapsed="false">
      <c r="B14" s="12" t="s">
        <v>18</v>
      </c>
      <c r="C14" s="12" t="s">
        <v>449</v>
      </c>
      <c r="D14" s="12" t="s">
        <v>19</v>
      </c>
      <c r="E14" s="12" t="s">
        <v>433</v>
      </c>
      <c r="F14" s="12"/>
      <c r="G14" s="14" t="s">
        <v>405</v>
      </c>
      <c r="H14" s="12" t="s">
        <v>20</v>
      </c>
    </row>
    <row r="15" customFormat="false" ht="15" hidden="false" customHeight="false" outlineLevel="0" collapsed="false">
      <c r="B15" s="12" t="s">
        <v>450</v>
      </c>
      <c r="C15" s="12" t="s">
        <v>451</v>
      </c>
      <c r="D15" s="12" t="s">
        <v>22</v>
      </c>
      <c r="E15" s="12" t="s">
        <v>433</v>
      </c>
      <c r="F15" s="12"/>
      <c r="G15" s="14" t="s">
        <v>405</v>
      </c>
      <c r="H15" s="12" t="s">
        <v>20</v>
      </c>
    </row>
    <row r="16" customFormat="false" ht="15" hidden="false" customHeight="false" outlineLevel="0" collapsed="false">
      <c r="B16" s="12" t="s">
        <v>25</v>
      </c>
      <c r="C16" s="12" t="s">
        <v>452</v>
      </c>
      <c r="D16" s="12" t="s">
        <v>26</v>
      </c>
      <c r="E16" s="12" t="s">
        <v>433</v>
      </c>
      <c r="F16" s="12"/>
      <c r="G16" s="14" t="s">
        <v>405</v>
      </c>
      <c r="H16" s="12" t="s">
        <v>20</v>
      </c>
    </row>
    <row r="17" customFormat="false" ht="15" hidden="false" customHeight="false" outlineLevel="0" collapsed="false">
      <c r="B17" s="12" t="s">
        <v>453</v>
      </c>
      <c r="C17" s="12" t="s">
        <v>454</v>
      </c>
      <c r="D17" s="12" t="s">
        <v>346</v>
      </c>
      <c r="E17" s="12" t="s">
        <v>433</v>
      </c>
      <c r="F17" s="12"/>
      <c r="G17" s="14" t="s">
        <v>405</v>
      </c>
      <c r="H17" s="12" t="s">
        <v>20</v>
      </c>
    </row>
    <row r="18" customFormat="false" ht="15" hidden="false" customHeight="false" outlineLevel="0" collapsed="false">
      <c r="B18" s="12" t="s">
        <v>455</v>
      </c>
      <c r="C18" s="12" t="s">
        <v>456</v>
      </c>
      <c r="D18" s="12" t="s">
        <v>457</v>
      </c>
      <c r="E18" s="12" t="s">
        <v>433</v>
      </c>
      <c r="F18" s="12"/>
      <c r="G18" s="14" t="s">
        <v>405</v>
      </c>
      <c r="H18" s="12" t="s">
        <v>5</v>
      </c>
    </row>
    <row r="19" customFormat="false" ht="15" hidden="false" customHeight="false" outlineLevel="0" collapsed="false">
      <c r="B19" s="12" t="s">
        <v>458</v>
      </c>
      <c r="C19" s="12" t="s">
        <v>459</v>
      </c>
      <c r="D19" s="12" t="s">
        <v>460</v>
      </c>
      <c r="E19" s="12" t="s">
        <v>433</v>
      </c>
      <c r="F19" s="12"/>
      <c r="G19" s="14" t="s">
        <v>405</v>
      </c>
      <c r="H19" s="12" t="s">
        <v>5</v>
      </c>
    </row>
    <row r="20" customFormat="false" ht="15" hidden="false" customHeight="false" outlineLevel="0" collapsed="false">
      <c r="B20" s="12" t="s">
        <v>461</v>
      </c>
      <c r="C20" s="12" t="s">
        <v>462</v>
      </c>
      <c r="D20" s="23" t="n">
        <v>19</v>
      </c>
      <c r="E20" s="12" t="s">
        <v>433</v>
      </c>
      <c r="F20" s="12"/>
      <c r="G20" s="14" t="s">
        <v>405</v>
      </c>
      <c r="H20" s="12" t="s">
        <v>291</v>
      </c>
    </row>
    <row r="21" customFormat="false" ht="15" hidden="false" customHeight="false" outlineLevel="0" collapsed="false">
      <c r="B21" s="12" t="s">
        <v>38</v>
      </c>
      <c r="C21" s="12" t="s">
        <v>463</v>
      </c>
      <c r="D21" s="23" t="n">
        <v>72</v>
      </c>
      <c r="E21" s="12" t="s">
        <v>433</v>
      </c>
      <c r="F21" s="12" t="s">
        <v>464</v>
      </c>
      <c r="G21" s="14" t="s">
        <v>405</v>
      </c>
      <c r="H21" s="12" t="s">
        <v>465</v>
      </c>
    </row>
    <row r="22" customFormat="false" ht="15" hidden="false" customHeight="false" outlineLevel="0" collapsed="false">
      <c r="B22" s="12" t="s">
        <v>466</v>
      </c>
      <c r="C22" s="12" t="s">
        <v>467</v>
      </c>
      <c r="D22" s="23" t="n">
        <v>502</v>
      </c>
      <c r="E22" s="12" t="s">
        <v>433</v>
      </c>
      <c r="F22" s="12" t="s">
        <v>468</v>
      </c>
      <c r="G22" s="14" t="s">
        <v>405</v>
      </c>
      <c r="H22" s="12" t="s">
        <v>465</v>
      </c>
    </row>
    <row r="23" customFormat="false" ht="15" hidden="false" customHeight="false" outlineLevel="0" collapsed="false">
      <c r="B23" s="12" t="s">
        <v>469</v>
      </c>
      <c r="C23" s="12" t="s">
        <v>470</v>
      </c>
      <c r="D23" s="10" t="n">
        <v>998152.29</v>
      </c>
      <c r="E23" s="12" t="s">
        <v>471</v>
      </c>
      <c r="F23" s="12"/>
      <c r="G23" s="14" t="s">
        <v>405</v>
      </c>
      <c r="H23" s="12" t="s">
        <v>13</v>
      </c>
    </row>
    <row r="24" customFormat="false" ht="15" hidden="false" customHeight="false" outlineLevel="0" collapsed="false">
      <c r="B24" s="12" t="s">
        <v>472</v>
      </c>
      <c r="C24" s="12" t="s">
        <v>473</v>
      </c>
      <c r="D24" s="10" t="n">
        <v>1012034.34</v>
      </c>
      <c r="E24" s="12" t="s">
        <v>471</v>
      </c>
      <c r="F24" s="12"/>
      <c r="G24" s="14" t="s">
        <v>405</v>
      </c>
      <c r="H24" s="12" t="s">
        <v>13</v>
      </c>
    </row>
    <row r="25" customFormat="false" ht="15" hidden="false" customHeight="false" outlineLevel="0" collapsed="false">
      <c r="B25" s="12" t="s">
        <v>474</v>
      </c>
      <c r="C25" s="12" t="s">
        <v>475</v>
      </c>
      <c r="D25" s="10" t="n">
        <v>13882.05</v>
      </c>
      <c r="E25" s="12" t="s">
        <v>471</v>
      </c>
      <c r="F25" s="12" t="s">
        <v>476</v>
      </c>
      <c r="G25" s="14" t="s">
        <v>405</v>
      </c>
      <c r="H25" s="12" t="s">
        <v>408</v>
      </c>
    </row>
    <row r="26" customFormat="false" ht="15" hidden="false" customHeight="false" outlineLevel="0" collapsed="false">
      <c r="B26" s="12" t="s">
        <v>477</v>
      </c>
      <c r="C26" s="12" t="s">
        <v>478</v>
      </c>
      <c r="D26" s="27" t="n">
        <v>0.0139077474841039</v>
      </c>
      <c r="E26" s="12" t="s">
        <v>471</v>
      </c>
      <c r="F26" s="12"/>
      <c r="G26" s="14" t="s">
        <v>405</v>
      </c>
      <c r="H26" s="12" t="s">
        <v>291</v>
      </c>
    </row>
    <row r="27" customFormat="false" ht="15" hidden="false" customHeight="false" outlineLevel="0" collapsed="false">
      <c r="B27" s="12" t="s">
        <v>479</v>
      </c>
      <c r="C27" s="12" t="s">
        <v>480</v>
      </c>
      <c r="D27" s="10" t="n">
        <v>922104</v>
      </c>
      <c r="E27" s="12" t="s">
        <v>471</v>
      </c>
      <c r="F27" s="12" t="s">
        <v>481</v>
      </c>
      <c r="G27" s="14" t="s">
        <v>405</v>
      </c>
      <c r="H27" s="12" t="s">
        <v>5</v>
      </c>
    </row>
    <row r="28" customFormat="false" ht="15" hidden="false" customHeight="false" outlineLevel="0" collapsed="false">
      <c r="B28" s="12" t="s">
        <v>482</v>
      </c>
      <c r="C28" s="12" t="s">
        <v>483</v>
      </c>
      <c r="D28" s="10" t="n">
        <v>593584.52</v>
      </c>
      <c r="E28" s="12" t="s">
        <v>471</v>
      </c>
      <c r="F28" s="12" t="s">
        <v>484</v>
      </c>
      <c r="G28" s="14" t="s">
        <v>405</v>
      </c>
      <c r="H28" s="12" t="s">
        <v>5</v>
      </c>
    </row>
    <row r="29" customFormat="false" ht="15" hidden="false" customHeight="false" outlineLevel="0" collapsed="false">
      <c r="B29" s="12" t="s">
        <v>485</v>
      </c>
      <c r="C29" s="12" t="s">
        <v>486</v>
      </c>
      <c r="D29" s="10" t="n">
        <v>328519.48</v>
      </c>
      <c r="E29" s="12" t="s">
        <v>471</v>
      </c>
      <c r="F29" s="12" t="s">
        <v>487</v>
      </c>
      <c r="G29" s="14" t="s">
        <v>405</v>
      </c>
      <c r="H29" s="12" t="s">
        <v>5</v>
      </c>
    </row>
    <row r="30" customFormat="false" ht="15" hidden="false" customHeight="false" outlineLevel="0" collapsed="false">
      <c r="B30" s="12" t="s">
        <v>322</v>
      </c>
      <c r="C30" s="12" t="s">
        <v>488</v>
      </c>
      <c r="D30" s="27" t="n">
        <v>0.356271613614083</v>
      </c>
      <c r="E30" s="12" t="s">
        <v>471</v>
      </c>
      <c r="F30" s="12"/>
      <c r="G30" s="14" t="s">
        <v>405</v>
      </c>
      <c r="H30" s="12" t="s">
        <v>291</v>
      </c>
    </row>
    <row r="31" customFormat="false" ht="15" hidden="false" customHeight="false" outlineLevel="0" collapsed="false">
      <c r="B31" s="12" t="s">
        <v>489</v>
      </c>
      <c r="C31" s="12" t="s">
        <v>490</v>
      </c>
      <c r="D31" s="10" t="n">
        <v>46105.2</v>
      </c>
      <c r="E31" s="12" t="s">
        <v>471</v>
      </c>
      <c r="F31" s="12" t="s">
        <v>491</v>
      </c>
      <c r="G31" s="14" t="s">
        <v>405</v>
      </c>
      <c r="H31" s="12" t="s">
        <v>5</v>
      </c>
    </row>
    <row r="32" customFormat="false" ht="15" hidden="false" customHeight="false" outlineLevel="0" collapsed="false">
      <c r="B32" s="12" t="s">
        <v>492</v>
      </c>
      <c r="C32" s="12" t="s">
        <v>493</v>
      </c>
      <c r="D32" s="27" t="n">
        <v>0.05</v>
      </c>
      <c r="E32" s="12" t="s">
        <v>471</v>
      </c>
      <c r="F32" s="12"/>
      <c r="G32" s="14" t="s">
        <v>405</v>
      </c>
      <c r="H32" s="12" t="s">
        <v>291</v>
      </c>
    </row>
    <row r="33" customFormat="false" ht="15" hidden="false" customHeight="false" outlineLevel="0" collapsed="false">
      <c r="B33" s="12" t="s">
        <v>494</v>
      </c>
      <c r="C33" s="12" t="s">
        <v>495</v>
      </c>
      <c r="D33" s="10" t="n">
        <v>194340.5</v>
      </c>
      <c r="E33" s="12" t="s">
        <v>145</v>
      </c>
      <c r="F33" s="12" t="s">
        <v>496</v>
      </c>
      <c r="G33" s="14" t="s">
        <v>405</v>
      </c>
      <c r="H33" s="12" t="s">
        <v>5</v>
      </c>
    </row>
    <row r="34" customFormat="false" ht="15" hidden="false" customHeight="false" outlineLevel="0" collapsed="false">
      <c r="B34" s="12" t="s">
        <v>497</v>
      </c>
      <c r="C34" s="12" t="s">
        <v>498</v>
      </c>
      <c r="D34" s="10" t="n">
        <v>250243.51</v>
      </c>
      <c r="E34" s="12" t="s">
        <v>147</v>
      </c>
      <c r="F34" s="12" t="s">
        <v>499</v>
      </c>
      <c r="G34" s="14" t="s">
        <v>405</v>
      </c>
      <c r="H34" s="12" t="s">
        <v>5</v>
      </c>
    </row>
    <row r="35" customFormat="false" ht="15" hidden="false" customHeight="false" outlineLevel="0" collapsed="false">
      <c r="B35" s="12" t="s">
        <v>500</v>
      </c>
      <c r="C35" s="12" t="s">
        <v>501</v>
      </c>
      <c r="D35" s="10" t="n">
        <v>47943.09</v>
      </c>
      <c r="E35" s="12" t="s">
        <v>471</v>
      </c>
      <c r="F35" s="12" t="s">
        <v>502</v>
      </c>
      <c r="G35" s="14" t="s">
        <v>405</v>
      </c>
      <c r="H35" s="12" t="s">
        <v>5</v>
      </c>
    </row>
    <row r="36" customFormat="false" ht="15" hidden="false" customHeight="false" outlineLevel="0" collapsed="false">
      <c r="B36" s="12" t="s">
        <v>503</v>
      </c>
      <c r="C36" s="12" t="s">
        <v>504</v>
      </c>
      <c r="D36" s="10" t="n">
        <v>86190.15</v>
      </c>
      <c r="E36" s="12" t="s">
        <v>145</v>
      </c>
      <c r="F36" s="12" t="s">
        <v>505</v>
      </c>
      <c r="G36" s="14" t="s">
        <v>405</v>
      </c>
      <c r="H36" s="12" t="s">
        <v>5</v>
      </c>
    </row>
    <row r="37" customFormat="false" ht="15" hidden="false" customHeight="false" outlineLevel="0" collapsed="false">
      <c r="B37" s="12" t="s">
        <v>506</v>
      </c>
      <c r="C37" s="12" t="s">
        <v>507</v>
      </c>
      <c r="D37" s="10" t="n">
        <v>14867.27</v>
      </c>
      <c r="E37" s="12" t="s">
        <v>145</v>
      </c>
      <c r="F37" s="12" t="s">
        <v>508</v>
      </c>
      <c r="G37" s="14" t="s">
        <v>405</v>
      </c>
      <c r="H37" s="12" t="s">
        <v>5</v>
      </c>
    </row>
    <row r="38" customFormat="false" ht="15" hidden="false" customHeight="false" outlineLevel="0" collapsed="false">
      <c r="B38" s="12" t="s">
        <v>286</v>
      </c>
      <c r="C38" s="12" t="s">
        <v>509</v>
      </c>
      <c r="D38" s="11" t="n">
        <v>7215</v>
      </c>
      <c r="E38" s="12" t="s">
        <v>145</v>
      </c>
      <c r="F38" s="12" t="s">
        <v>510</v>
      </c>
      <c r="G38" s="14" t="s">
        <v>405</v>
      </c>
      <c r="H38" s="12" t="s">
        <v>5</v>
      </c>
    </row>
    <row r="39" customFormat="false" ht="15" hidden="false" customHeight="false" outlineLevel="0" collapsed="false">
      <c r="B39" s="12" t="s">
        <v>284</v>
      </c>
      <c r="C39" s="12" t="s">
        <v>511</v>
      </c>
      <c r="D39" s="23" t="n">
        <v>35</v>
      </c>
      <c r="E39" s="12" t="s">
        <v>145</v>
      </c>
      <c r="F39" s="12" t="s">
        <v>512</v>
      </c>
      <c r="G39" s="14" t="s">
        <v>405</v>
      </c>
      <c r="H39" s="12" t="s">
        <v>5</v>
      </c>
    </row>
    <row r="40" customFormat="false" ht="15" hidden="false" customHeight="false" outlineLevel="0" collapsed="false">
      <c r="B40" s="12" t="s">
        <v>513</v>
      </c>
      <c r="C40" s="12" t="s">
        <v>514</v>
      </c>
      <c r="D40" s="10" t="n">
        <v>26.9356202356202</v>
      </c>
      <c r="E40" s="12" t="s">
        <v>145</v>
      </c>
      <c r="F40" s="12"/>
      <c r="G40" s="14" t="s">
        <v>405</v>
      </c>
      <c r="H40" s="12" t="s">
        <v>291</v>
      </c>
    </row>
    <row r="41" customFormat="false" ht="15" hidden="false" customHeight="false" outlineLevel="0" collapsed="false">
      <c r="B41" s="12" t="s">
        <v>515</v>
      </c>
      <c r="C41" s="12" t="s">
        <v>516</v>
      </c>
      <c r="D41" s="10" t="n">
        <v>54.9488</v>
      </c>
      <c r="E41" s="12" t="s">
        <v>145</v>
      </c>
      <c r="F41" s="12"/>
      <c r="G41" s="14" t="s">
        <v>405</v>
      </c>
      <c r="H41" s="12" t="s">
        <v>291</v>
      </c>
    </row>
    <row r="42" customFormat="false" ht="15" hidden="false" customHeight="false" outlineLevel="0" collapsed="false">
      <c r="B42" s="12" t="s">
        <v>314</v>
      </c>
      <c r="C42" s="12" t="s">
        <v>517</v>
      </c>
      <c r="D42" s="26" t="n">
        <v>1.3421</v>
      </c>
      <c r="E42" s="12" t="s">
        <v>145</v>
      </c>
      <c r="F42" s="12"/>
      <c r="G42" s="14" t="s">
        <v>405</v>
      </c>
      <c r="H42" s="12" t="s">
        <v>291</v>
      </c>
    </row>
    <row r="43" customFormat="false" ht="15" hidden="false" customHeight="false" outlineLevel="0" collapsed="false">
      <c r="B43" s="12" t="s">
        <v>518</v>
      </c>
      <c r="C43" s="12" t="s">
        <v>519</v>
      </c>
      <c r="D43" s="11" t="n">
        <v>4990</v>
      </c>
      <c r="E43" s="12" t="s">
        <v>145</v>
      </c>
      <c r="F43" s="12" t="s">
        <v>520</v>
      </c>
      <c r="G43" s="14" t="s">
        <v>405</v>
      </c>
      <c r="H43" s="12" t="s">
        <v>5</v>
      </c>
    </row>
    <row r="44" customFormat="false" ht="15" hidden="false" customHeight="false" outlineLevel="0" collapsed="false">
      <c r="B44" s="12" t="s">
        <v>521</v>
      </c>
      <c r="C44" s="12" t="s">
        <v>522</v>
      </c>
      <c r="D44" s="11" t="n">
        <v>651</v>
      </c>
      <c r="E44" s="12" t="s">
        <v>145</v>
      </c>
      <c r="F44" s="12" t="s">
        <v>523</v>
      </c>
      <c r="G44" s="14" t="s">
        <v>405</v>
      </c>
      <c r="H44" s="12" t="s">
        <v>5</v>
      </c>
    </row>
    <row r="45" customFormat="false" ht="15" hidden="false" customHeight="false" outlineLevel="0" collapsed="false">
      <c r="B45" s="12" t="s">
        <v>524</v>
      </c>
      <c r="C45" s="12" t="s">
        <v>525</v>
      </c>
      <c r="D45" s="10" t="n">
        <v>127.803742203742</v>
      </c>
      <c r="E45" s="12" t="s">
        <v>526</v>
      </c>
      <c r="F45" s="12"/>
      <c r="G45" s="14" t="s">
        <v>405</v>
      </c>
      <c r="H45" s="12" t="s">
        <v>291</v>
      </c>
    </row>
    <row r="46" customFormat="false" ht="15" hidden="false" customHeight="false" outlineLevel="0" collapsed="false">
      <c r="B46" s="12" t="s">
        <v>527</v>
      </c>
      <c r="C46" s="12" t="s">
        <v>528</v>
      </c>
      <c r="D46" s="10" t="n">
        <v>45.5328454608455</v>
      </c>
      <c r="E46" s="12" t="s">
        <v>526</v>
      </c>
      <c r="F46" s="12"/>
      <c r="G46" s="14" t="s">
        <v>405</v>
      </c>
      <c r="H46" s="12" t="s">
        <v>291</v>
      </c>
    </row>
    <row r="47" customFormat="false" ht="15" hidden="false" customHeight="false" outlineLevel="0" collapsed="false">
      <c r="B47" s="12" t="s">
        <v>529</v>
      </c>
      <c r="C47" s="12" t="s">
        <v>530</v>
      </c>
      <c r="D47" s="10" t="n">
        <v>12807</v>
      </c>
      <c r="E47" s="12" t="s">
        <v>526</v>
      </c>
      <c r="F47" s="12" t="s">
        <v>329</v>
      </c>
      <c r="G47" s="14" t="s">
        <v>405</v>
      </c>
      <c r="H47" s="12" t="s">
        <v>291</v>
      </c>
    </row>
    <row r="48" customFormat="false" ht="15" hidden="false" customHeight="false" outlineLevel="0" collapsed="false">
      <c r="B48" s="12" t="s">
        <v>333</v>
      </c>
      <c r="C48" s="12" t="s">
        <v>531</v>
      </c>
      <c r="D48" s="10" t="n">
        <v>8244.22944444445</v>
      </c>
      <c r="E48" s="12" t="s">
        <v>526</v>
      </c>
      <c r="F48" s="12"/>
      <c r="G48" s="14" t="s">
        <v>405</v>
      </c>
      <c r="H48" s="12" t="s">
        <v>291</v>
      </c>
    </row>
    <row r="49" customFormat="false" ht="15" hidden="false" customHeight="false" outlineLevel="0" collapsed="false">
      <c r="B49" s="12" t="s">
        <v>532</v>
      </c>
      <c r="C49" s="12" t="s">
        <v>533</v>
      </c>
      <c r="D49" s="11" t="n">
        <v>100.208333333333</v>
      </c>
      <c r="E49" s="12" t="s">
        <v>526</v>
      </c>
      <c r="F49" s="12"/>
      <c r="G49" s="14" t="s">
        <v>405</v>
      </c>
      <c r="H49" s="12" t="s">
        <v>291</v>
      </c>
    </row>
    <row r="50" customFormat="false" ht="15" hidden="false" customHeight="false" outlineLevel="0" collapsed="false">
      <c r="B50" s="12" t="s">
        <v>335</v>
      </c>
      <c r="C50" s="12" t="s">
        <v>534</v>
      </c>
      <c r="D50" s="10" t="n">
        <v>1836.86055776892</v>
      </c>
      <c r="E50" s="12" t="s">
        <v>526</v>
      </c>
      <c r="F50" s="12" t="s">
        <v>336</v>
      </c>
      <c r="G50" s="14" t="s">
        <v>405</v>
      </c>
      <c r="H50" s="12" t="s">
        <v>291</v>
      </c>
    </row>
    <row r="51" customFormat="false" ht="15" hidden="false" customHeight="false" outlineLevel="0" collapsed="false">
      <c r="B51" s="12" t="s">
        <v>323</v>
      </c>
      <c r="C51" s="12" t="s">
        <v>535</v>
      </c>
      <c r="D51" s="27" t="n">
        <v>0.210757680261663</v>
      </c>
      <c r="E51" s="12" t="s">
        <v>536</v>
      </c>
      <c r="F51" s="12"/>
      <c r="G51" s="14" t="s">
        <v>405</v>
      </c>
      <c r="H51" s="12" t="s">
        <v>291</v>
      </c>
    </row>
    <row r="52" customFormat="false" ht="15" hidden="false" customHeight="false" outlineLevel="0" collapsed="false">
      <c r="B52" s="12" t="s">
        <v>324</v>
      </c>
      <c r="C52" s="12" t="s">
        <v>537</v>
      </c>
      <c r="D52" s="27" t="n">
        <v>0.271383173698411</v>
      </c>
      <c r="E52" s="12" t="s">
        <v>536</v>
      </c>
      <c r="F52" s="12"/>
      <c r="G52" s="14" t="s">
        <v>405</v>
      </c>
      <c r="H52" s="12" t="s">
        <v>291</v>
      </c>
    </row>
    <row r="53" customFormat="false" ht="15" hidden="false" customHeight="false" outlineLevel="0" collapsed="false">
      <c r="B53" s="12" t="s">
        <v>538</v>
      </c>
      <c r="C53" s="12" t="s">
        <v>539</v>
      </c>
      <c r="D53" s="23" t="n">
        <v>18</v>
      </c>
      <c r="E53" s="12" t="s">
        <v>147</v>
      </c>
      <c r="F53" s="12"/>
      <c r="G53" s="14" t="s">
        <v>405</v>
      </c>
      <c r="H53" s="12" t="s">
        <v>5</v>
      </c>
    </row>
    <row r="54" customFormat="false" ht="15" hidden="false" customHeight="false" outlineLevel="0" collapsed="false">
      <c r="B54" s="12" t="s">
        <v>540</v>
      </c>
      <c r="C54" s="12" t="s">
        <v>541</v>
      </c>
      <c r="D54" s="23" t="n">
        <v>17</v>
      </c>
      <c r="E54" s="12" t="s">
        <v>542</v>
      </c>
      <c r="F54" s="12"/>
      <c r="G54" s="14" t="s">
        <v>405</v>
      </c>
      <c r="H54" s="12" t="s">
        <v>5</v>
      </c>
    </row>
    <row r="55" customFormat="false" ht="15" hidden="false" customHeight="false" outlineLevel="0" collapsed="false">
      <c r="B55" s="12" t="s">
        <v>543</v>
      </c>
      <c r="C55" s="12" t="s">
        <v>544</v>
      </c>
      <c r="D55" s="27" t="n">
        <v>0.176160776160776</v>
      </c>
      <c r="E55" s="12" t="s">
        <v>545</v>
      </c>
      <c r="F55" s="12"/>
      <c r="G55" s="14" t="s">
        <v>405</v>
      </c>
      <c r="H55" s="12" t="s">
        <v>291</v>
      </c>
    </row>
    <row r="56" customFormat="false" ht="15" hidden="false" customHeight="false" outlineLevel="0" collapsed="false">
      <c r="B56" s="12" t="s">
        <v>546</v>
      </c>
      <c r="C56" s="12" t="s">
        <v>547</v>
      </c>
      <c r="D56" s="27" t="n">
        <v>0.594386694386694</v>
      </c>
      <c r="E56" s="12" t="s">
        <v>545</v>
      </c>
      <c r="F56" s="12"/>
      <c r="G56" s="14" t="s">
        <v>405</v>
      </c>
      <c r="H56" s="12" t="s">
        <v>291</v>
      </c>
    </row>
    <row r="57" customFormat="false" ht="15" hidden="false" customHeight="false" outlineLevel="0" collapsed="false">
      <c r="B57" s="12" t="s">
        <v>548</v>
      </c>
      <c r="C57" s="12" t="s">
        <v>549</v>
      </c>
      <c r="D57" s="23" t="n">
        <v>25</v>
      </c>
      <c r="E57" s="12" t="s">
        <v>550</v>
      </c>
      <c r="F57" s="12"/>
      <c r="G57" s="14" t="s">
        <v>405</v>
      </c>
      <c r="H57" s="12" t="s">
        <v>5</v>
      </c>
    </row>
    <row r="58" customFormat="false" ht="15" hidden="false" customHeight="false" outlineLevel="0" collapsed="false">
      <c r="B58" s="12" t="s">
        <v>551</v>
      </c>
      <c r="C58" s="12" t="s">
        <v>552</v>
      </c>
      <c r="D58" s="23" t="n">
        <v>5</v>
      </c>
      <c r="E58" s="12" t="s">
        <v>553</v>
      </c>
      <c r="F58" s="12"/>
      <c r="G58" s="14" t="s">
        <v>405</v>
      </c>
      <c r="H58" s="12" t="s">
        <v>554</v>
      </c>
    </row>
    <row r="59" customFormat="false" ht="15" hidden="false" customHeight="false" outlineLevel="0" collapsed="false">
      <c r="B59" s="12" t="s">
        <v>555</v>
      </c>
      <c r="C59" s="12" t="s">
        <v>556</v>
      </c>
      <c r="D59" s="23" t="n">
        <v>11</v>
      </c>
      <c r="E59" s="12" t="s">
        <v>553</v>
      </c>
      <c r="F59" s="12"/>
      <c r="G59" s="14" t="s">
        <v>405</v>
      </c>
      <c r="H59" s="12" t="s">
        <v>557</v>
      </c>
    </row>
    <row r="60" customFormat="false" ht="15" hidden="false" customHeight="false" outlineLevel="0" collapsed="false">
      <c r="B60" s="12" t="s">
        <v>558</v>
      </c>
      <c r="C60" s="12" t="s">
        <v>559</v>
      </c>
      <c r="D60" s="23" t="n">
        <v>0</v>
      </c>
      <c r="E60" s="12" t="s">
        <v>553</v>
      </c>
      <c r="F60" s="12"/>
      <c r="G60" s="14" t="s">
        <v>405</v>
      </c>
      <c r="H60" s="12" t="s">
        <v>560</v>
      </c>
    </row>
    <row r="61" customFormat="false" ht="15" hidden="false" customHeight="false" outlineLevel="0" collapsed="false">
      <c r="B61" s="12" t="s">
        <v>561</v>
      </c>
      <c r="C61" s="12" t="s">
        <v>562</v>
      </c>
      <c r="D61" s="23" t="n">
        <v>0</v>
      </c>
      <c r="E61" s="12" t="s">
        <v>553</v>
      </c>
      <c r="F61" s="12"/>
      <c r="G61" s="14" t="s">
        <v>405</v>
      </c>
      <c r="H61" s="12" t="s">
        <v>563</v>
      </c>
    </row>
    <row r="62" customFormat="false" ht="15" hidden="false" customHeight="false" outlineLevel="0" collapsed="false">
      <c r="B62" s="12" t="s">
        <v>564</v>
      </c>
      <c r="C62" s="12" t="s">
        <v>565</v>
      </c>
      <c r="D62" s="23" t="n">
        <v>0</v>
      </c>
      <c r="E62" s="12" t="s">
        <v>553</v>
      </c>
      <c r="F62" s="12" t="s">
        <v>566</v>
      </c>
      <c r="G62" s="14" t="s">
        <v>405</v>
      </c>
      <c r="H62" s="12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568</v>
      </c>
    </row>
    <row r="3" customFormat="false" ht="21.75" hidden="false" customHeight="true" outlineLevel="0" collapsed="false">
      <c r="B3" s="3" t="s">
        <v>569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570</v>
      </c>
      <c r="C5" s="4" t="s">
        <v>154</v>
      </c>
      <c r="D5" s="4" t="s">
        <v>155</v>
      </c>
      <c r="E5" s="4" t="s">
        <v>156</v>
      </c>
      <c r="F5" s="4" t="s">
        <v>157</v>
      </c>
      <c r="G5" s="4" t="s">
        <v>571</v>
      </c>
      <c r="H5" s="4" t="s">
        <v>86</v>
      </c>
    </row>
    <row r="6" customFormat="false" ht="15" hidden="false" customHeight="false" outlineLevel="0" collapsed="false">
      <c r="B6" s="23" t="n">
        <v>1</v>
      </c>
      <c r="C6" s="12" t="s">
        <v>159</v>
      </c>
      <c r="D6" s="12" t="s">
        <v>160</v>
      </c>
      <c r="E6" s="10" t="n">
        <v>49362.67</v>
      </c>
      <c r="F6" s="23" t="n">
        <v>26</v>
      </c>
      <c r="G6" s="18" t="n">
        <f aca="false">E6/268713.5</f>
        <v>0.183700000186072</v>
      </c>
      <c r="H6" s="12" t="s">
        <v>5</v>
      </c>
    </row>
    <row r="7" customFormat="false" ht="15" hidden="false" customHeight="false" outlineLevel="0" collapsed="false">
      <c r="B7" s="23" t="n">
        <v>2</v>
      </c>
      <c r="C7" s="12" t="s">
        <v>162</v>
      </c>
      <c r="D7" s="12" t="s">
        <v>163</v>
      </c>
      <c r="E7" s="10" t="n">
        <v>49222</v>
      </c>
      <c r="F7" s="23" t="n">
        <v>3</v>
      </c>
      <c r="G7" s="18" t="n">
        <f aca="false">E7/268713.5</f>
        <v>0.18317650583242</v>
      </c>
      <c r="H7" s="12" t="s">
        <v>5</v>
      </c>
    </row>
    <row r="8" customFormat="false" ht="15" hidden="false" customHeight="false" outlineLevel="0" collapsed="false">
      <c r="B8" s="23" t="n">
        <v>3</v>
      </c>
      <c r="C8" s="12" t="s">
        <v>164</v>
      </c>
      <c r="D8" s="12" t="s">
        <v>165</v>
      </c>
      <c r="E8" s="10" t="n">
        <v>44219.62</v>
      </c>
      <c r="F8" s="23" t="n">
        <v>16</v>
      </c>
      <c r="G8" s="18" t="n">
        <f aca="false">E8/268713.5</f>
        <v>0.164560470538324</v>
      </c>
      <c r="H8" s="12" t="s">
        <v>5</v>
      </c>
    </row>
    <row r="9" customFormat="false" ht="15" hidden="false" customHeight="false" outlineLevel="0" collapsed="false">
      <c r="B9" s="23" t="n">
        <v>4</v>
      </c>
      <c r="C9" s="12" t="s">
        <v>166</v>
      </c>
      <c r="D9" s="12" t="s">
        <v>167</v>
      </c>
      <c r="E9" s="10" t="n">
        <v>33109.64</v>
      </c>
      <c r="F9" s="23" t="n">
        <v>15</v>
      </c>
      <c r="G9" s="18" t="n">
        <f aca="false">E9/268713.5</f>
        <v>0.123215394835019</v>
      </c>
      <c r="H9" s="12" t="s">
        <v>5</v>
      </c>
    </row>
    <row r="10" customFormat="false" ht="15" hidden="false" customHeight="false" outlineLevel="0" collapsed="false">
      <c r="B10" s="23" t="n">
        <v>5</v>
      </c>
      <c r="C10" s="12" t="s">
        <v>168</v>
      </c>
      <c r="D10" s="12" t="s">
        <v>169</v>
      </c>
      <c r="E10" s="10" t="n">
        <v>32392.25</v>
      </c>
      <c r="F10" s="23" t="n">
        <v>8</v>
      </c>
      <c r="G10" s="18" t="n">
        <f aca="false">E10/268713.5</f>
        <v>0.120545674110158</v>
      </c>
      <c r="H10" s="12" t="s">
        <v>5</v>
      </c>
    </row>
    <row r="11" customFormat="false" ht="15" hidden="false" customHeight="false" outlineLevel="0" collapsed="false">
      <c r="B11" s="23" t="n">
        <v>6</v>
      </c>
      <c r="C11" s="12" t="s">
        <v>171</v>
      </c>
      <c r="D11" s="12" t="s">
        <v>172</v>
      </c>
      <c r="E11" s="10" t="n">
        <v>17571.09</v>
      </c>
      <c r="F11" s="23" t="n">
        <v>16</v>
      </c>
      <c r="G11" s="18" t="n">
        <f aca="false">E11/268713.5</f>
        <v>0.065389680831071</v>
      </c>
      <c r="H11" s="12" t="s">
        <v>5</v>
      </c>
    </row>
    <row r="12" customFormat="false" ht="15" hidden="false" customHeight="false" outlineLevel="0" collapsed="false">
      <c r="B12" s="23" t="n">
        <v>7</v>
      </c>
      <c r="C12" s="12" t="s">
        <v>173</v>
      </c>
      <c r="D12" s="12" t="s">
        <v>174</v>
      </c>
      <c r="E12" s="10" t="n">
        <v>14550.79</v>
      </c>
      <c r="F12" s="23" t="n">
        <v>18</v>
      </c>
      <c r="G12" s="18" t="n">
        <f aca="false">E12/268713.5</f>
        <v>0.054149828720924</v>
      </c>
      <c r="H12" s="12" t="s">
        <v>5</v>
      </c>
    </row>
    <row r="13" customFormat="false" ht="15" hidden="false" customHeight="false" outlineLevel="0" collapsed="false">
      <c r="B13" s="23" t="n">
        <v>8</v>
      </c>
      <c r="C13" s="12" t="s">
        <v>175</v>
      </c>
      <c r="D13" s="12" t="s">
        <v>176</v>
      </c>
      <c r="E13" s="10" t="n">
        <v>13819.24</v>
      </c>
      <c r="F13" s="23" t="n">
        <v>47</v>
      </c>
      <c r="G13" s="18" t="n">
        <f aca="false">E13/268713.5</f>
        <v>0.0514274124671816</v>
      </c>
      <c r="H13" s="12" t="s">
        <v>5</v>
      </c>
    </row>
    <row r="14" customFormat="false" ht="15" hidden="false" customHeight="false" outlineLevel="0" collapsed="false">
      <c r="B14" s="23" t="n">
        <v>9</v>
      </c>
      <c r="C14" s="12" t="s">
        <v>178</v>
      </c>
      <c r="D14" s="12" t="s">
        <v>179</v>
      </c>
      <c r="E14" s="10" t="n">
        <v>6263.82</v>
      </c>
      <c r="F14" s="23" t="n">
        <v>10</v>
      </c>
      <c r="G14" s="18" t="n">
        <f aca="false">E14/268713.5</f>
        <v>0.023310403087303</v>
      </c>
      <c r="H14" s="12" t="s">
        <v>5</v>
      </c>
    </row>
    <row r="15" customFormat="false" ht="15" hidden="false" customHeight="false" outlineLevel="0" collapsed="false">
      <c r="B15" s="23" t="n">
        <v>10</v>
      </c>
      <c r="C15" s="12" t="s">
        <v>180</v>
      </c>
      <c r="D15" s="12" t="s">
        <v>181</v>
      </c>
      <c r="E15" s="10" t="n">
        <v>3356.24</v>
      </c>
      <c r="F15" s="23" t="n">
        <v>3</v>
      </c>
      <c r="G15" s="18" t="n">
        <f aca="false">E15/268713.5</f>
        <v>0.012490031204238</v>
      </c>
      <c r="H15" s="12" t="s">
        <v>5</v>
      </c>
    </row>
    <row r="16" customFormat="false" ht="15" hidden="false" customHeight="false" outlineLevel="0" collapsed="false">
      <c r="B16" s="23" t="n">
        <v>11</v>
      </c>
      <c r="C16" s="12" t="s">
        <v>182</v>
      </c>
      <c r="D16" s="12" t="s">
        <v>183</v>
      </c>
      <c r="E16" s="10" t="n">
        <v>2982.64</v>
      </c>
      <c r="F16" s="23" t="n">
        <v>2</v>
      </c>
      <c r="G16" s="18" t="n">
        <f aca="false">E16/268713.5</f>
        <v>0.0110997028433629</v>
      </c>
      <c r="H16" s="12" t="s">
        <v>5</v>
      </c>
    </row>
    <row r="17" customFormat="false" ht="15" hidden="false" customHeight="false" outlineLevel="0" collapsed="false">
      <c r="B17" s="23" t="n">
        <v>12</v>
      </c>
      <c r="C17" s="12" t="s">
        <v>184</v>
      </c>
      <c r="D17" s="12" t="s">
        <v>185</v>
      </c>
      <c r="E17" s="10" t="n">
        <v>977.21</v>
      </c>
      <c r="F17" s="23" t="n">
        <v>3</v>
      </c>
      <c r="G17" s="18" t="n">
        <f aca="false">E17/268713.5</f>
        <v>0.00363662413685952</v>
      </c>
      <c r="H17" s="12" t="s">
        <v>5</v>
      </c>
    </row>
    <row r="18" customFormat="false" ht="15" hidden="false" customHeight="false" outlineLevel="0" collapsed="false">
      <c r="B18" s="23" t="n">
        <v>13</v>
      </c>
      <c r="C18" s="12" t="s">
        <v>186</v>
      </c>
      <c r="D18" s="12" t="s">
        <v>187</v>
      </c>
      <c r="E18" s="10" t="n">
        <v>251</v>
      </c>
      <c r="F18" s="23" t="n">
        <v>2</v>
      </c>
      <c r="G18" s="18" t="n">
        <f aca="false">E18/268713.5</f>
        <v>0.000934080349517237</v>
      </c>
      <c r="H18" s="12" t="s">
        <v>5</v>
      </c>
    </row>
    <row r="19" customFormat="false" ht="15" hidden="false" customHeight="false" outlineLevel="0" collapsed="false">
      <c r="B19" s="23" t="n">
        <v>14</v>
      </c>
      <c r="C19" s="12" t="s">
        <v>189</v>
      </c>
      <c r="D19" s="12" t="s">
        <v>190</v>
      </c>
      <c r="E19" s="10" t="n">
        <v>248.64</v>
      </c>
      <c r="F19" s="23" t="n">
        <v>1</v>
      </c>
      <c r="G19" s="18" t="n">
        <f aca="false">E19/268713.5</f>
        <v>0.000925297761370381</v>
      </c>
      <c r="H19" s="12" t="s">
        <v>5</v>
      </c>
    </row>
    <row r="20" customFormat="false" ht="15" hidden="false" customHeight="false" outlineLevel="0" collapsed="false">
      <c r="B20" s="23" t="n">
        <v>15</v>
      </c>
      <c r="C20" s="12" t="s">
        <v>191</v>
      </c>
      <c r="D20" s="12" t="s">
        <v>192</v>
      </c>
      <c r="E20" s="10" t="n">
        <v>215</v>
      </c>
      <c r="F20" s="23" t="n">
        <v>1</v>
      </c>
      <c r="G20" s="18" t="n">
        <f aca="false">E20/268713.5</f>
        <v>0.000800108665921139</v>
      </c>
      <c r="H20" s="12" t="s">
        <v>5</v>
      </c>
    </row>
    <row r="21" customFormat="false" ht="15" hidden="false" customHeight="false" outlineLevel="0" collapsed="false">
      <c r="B21" s="23" t="n">
        <v>16</v>
      </c>
      <c r="C21" s="12" t="s">
        <v>194</v>
      </c>
      <c r="D21" s="12" t="s">
        <v>195</v>
      </c>
      <c r="E21" s="10" t="n">
        <v>145.29</v>
      </c>
      <c r="F21" s="23" t="n">
        <v>1</v>
      </c>
      <c r="G21" s="18" t="n">
        <f aca="false">E21/268713.5</f>
        <v>0.000540687386379918</v>
      </c>
      <c r="H21" s="12" t="s">
        <v>5</v>
      </c>
    </row>
    <row r="22" customFormat="false" ht="15" hidden="false" customHeight="false" outlineLevel="0" collapsed="false">
      <c r="B22" s="23" t="n">
        <v>17</v>
      </c>
      <c r="C22" s="12" t="s">
        <v>196</v>
      </c>
      <c r="D22" s="12" t="s">
        <v>197</v>
      </c>
      <c r="E22" s="10" t="n">
        <v>26.36</v>
      </c>
      <c r="F22" s="23" t="n">
        <v>1</v>
      </c>
      <c r="G22" s="18" t="n">
        <f aca="false">E22/268713.5</f>
        <v>9.80970438775871E-005</v>
      </c>
      <c r="H22" s="12" t="s">
        <v>5</v>
      </c>
    </row>
    <row r="23" customFormat="false" ht="15" hidden="false" customHeight="false" outlineLevel="0" collapsed="false">
      <c r="B23" s="23" t="n">
        <v>18</v>
      </c>
      <c r="C23" s="12" t="s">
        <v>198</v>
      </c>
      <c r="D23" s="12" t="s">
        <v>199</v>
      </c>
      <c r="E23" s="10" t="n">
        <v>0</v>
      </c>
      <c r="F23" s="23" t="n">
        <v>2</v>
      </c>
      <c r="G23" s="18" t="n">
        <f aca="false">E23/268713.5</f>
        <v>0</v>
      </c>
      <c r="H23" s="12" t="s">
        <v>5</v>
      </c>
    </row>
    <row r="24" customFormat="false" ht="15" hidden="false" customHeight="false" outlineLevel="0" collapsed="false">
      <c r="B24" s="19" t="s">
        <v>137</v>
      </c>
      <c r="E24" s="21" t="n">
        <f aca="false">SUM(E6:E23)</f>
        <v>268713.5</v>
      </c>
      <c r="F24" s="24" t="n">
        <f aca="false">SUM(F6:F23)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572</v>
      </c>
    </row>
    <row r="3" customFormat="false" ht="21.75" hidden="false" customHeight="true" outlineLevel="0" collapsed="false">
      <c r="B3" s="3" t="s">
        <v>573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574</v>
      </c>
      <c r="C5" s="4" t="s">
        <v>343</v>
      </c>
      <c r="D5" s="4" t="s">
        <v>341</v>
      </c>
      <c r="E5" s="4" t="s">
        <v>575</v>
      </c>
      <c r="F5" s="4" t="s">
        <v>576</v>
      </c>
      <c r="G5" s="4" t="s">
        <v>577</v>
      </c>
      <c r="H5" s="4" t="s">
        <v>66</v>
      </c>
      <c r="I5" s="4" t="s">
        <v>86</v>
      </c>
    </row>
    <row r="6" customFormat="false" ht="15" hidden="false" customHeight="false" outlineLevel="0" collapsed="false">
      <c r="B6" s="12" t="s">
        <v>578</v>
      </c>
      <c r="C6" s="12" t="s">
        <v>579</v>
      </c>
      <c r="D6" s="12" t="s">
        <v>346</v>
      </c>
      <c r="E6" s="12" t="s">
        <v>580</v>
      </c>
      <c r="F6" s="12" t="s">
        <v>12</v>
      </c>
      <c r="G6" s="28" t="n">
        <v>998152.29</v>
      </c>
      <c r="H6" s="12" t="s">
        <v>353</v>
      </c>
      <c r="I6" s="12" t="s">
        <v>20</v>
      </c>
    </row>
    <row r="7" customFormat="false" ht="15" hidden="false" customHeight="false" outlineLevel="0" collapsed="false">
      <c r="B7" s="12" t="s">
        <v>581</v>
      </c>
      <c r="C7" s="12" t="s">
        <v>582</v>
      </c>
      <c r="D7" s="12" t="s">
        <v>351</v>
      </c>
      <c r="E7" s="12" t="s">
        <v>583</v>
      </c>
      <c r="F7" s="12" t="s">
        <v>12</v>
      </c>
      <c r="G7" s="28" t="n">
        <v>942</v>
      </c>
      <c r="H7" s="12" t="s">
        <v>353</v>
      </c>
      <c r="I7" s="12" t="s">
        <v>584</v>
      </c>
    </row>
    <row r="8" customFormat="false" ht="15" hidden="false" customHeight="false" outlineLevel="0" collapsed="false">
      <c r="B8" s="12" t="s">
        <v>585</v>
      </c>
      <c r="C8" s="12" t="s">
        <v>582</v>
      </c>
      <c r="D8" s="12" t="s">
        <v>351</v>
      </c>
      <c r="E8" s="12" t="s">
        <v>586</v>
      </c>
      <c r="F8" s="12" t="s">
        <v>12</v>
      </c>
      <c r="G8" s="28" t="n">
        <v>530.68</v>
      </c>
      <c r="H8" s="12" t="s">
        <v>353</v>
      </c>
      <c r="I8" s="12" t="s">
        <v>587</v>
      </c>
    </row>
    <row r="9" customFormat="false" ht="15" hidden="false" customHeight="false" outlineLevel="0" collapsed="false">
      <c r="B9" s="12" t="s">
        <v>588</v>
      </c>
      <c r="C9" s="12" t="s">
        <v>582</v>
      </c>
      <c r="D9" s="12" t="s">
        <v>351</v>
      </c>
      <c r="E9" s="12" t="s">
        <v>589</v>
      </c>
      <c r="F9" s="12" t="s">
        <v>12</v>
      </c>
      <c r="G9" s="28" t="n">
        <v>4170.59</v>
      </c>
      <c r="H9" s="12" t="s">
        <v>353</v>
      </c>
      <c r="I9" s="12" t="s">
        <v>590</v>
      </c>
    </row>
    <row r="10" customFormat="false" ht="15" hidden="false" customHeight="false" outlineLevel="0" collapsed="false">
      <c r="B10" s="12" t="s">
        <v>591</v>
      </c>
      <c r="C10" s="12" t="s">
        <v>582</v>
      </c>
      <c r="D10" s="12" t="s">
        <v>351</v>
      </c>
      <c r="E10" s="12" t="s">
        <v>592</v>
      </c>
      <c r="F10" s="12" t="s">
        <v>12</v>
      </c>
      <c r="G10" s="28" t="n">
        <v>5266.08</v>
      </c>
      <c r="H10" s="12" t="s">
        <v>353</v>
      </c>
      <c r="I10" s="12" t="s">
        <v>593</v>
      </c>
    </row>
    <row r="11" customFormat="false" ht="15" hidden="false" customHeight="false" outlineLevel="0" collapsed="false">
      <c r="B11" s="12" t="s">
        <v>594</v>
      </c>
      <c r="C11" s="12" t="s">
        <v>582</v>
      </c>
      <c r="D11" s="12" t="s">
        <v>351</v>
      </c>
      <c r="E11" s="12" t="s">
        <v>595</v>
      </c>
      <c r="F11" s="12" t="s">
        <v>12</v>
      </c>
      <c r="G11" s="28" t="n">
        <v>2972.7</v>
      </c>
      <c r="H11" s="12" t="s">
        <v>353</v>
      </c>
      <c r="I11" s="12" t="s">
        <v>596</v>
      </c>
    </row>
    <row r="12" customFormat="false" ht="15" hidden="false" customHeight="false" outlineLevel="0" collapsed="false">
      <c r="B12" s="12" t="s">
        <v>597</v>
      </c>
      <c r="C12" s="12" t="s">
        <v>598</v>
      </c>
      <c r="D12" s="12" t="s">
        <v>363</v>
      </c>
      <c r="E12" s="12" t="s">
        <v>599</v>
      </c>
      <c r="F12" s="12" t="s">
        <v>600</v>
      </c>
      <c r="G12" s="28" t="n">
        <v>0</v>
      </c>
      <c r="H12" s="12" t="s">
        <v>601</v>
      </c>
      <c r="I12" s="12" t="s">
        <v>5</v>
      </c>
    </row>
    <row r="13" customFormat="false" ht="15" hidden="false" customHeight="false" outlineLevel="0" collapsed="false">
      <c r="B13" s="12" t="s">
        <v>602</v>
      </c>
      <c r="C13" s="12" t="s">
        <v>598</v>
      </c>
      <c r="D13" s="12" t="s">
        <v>395</v>
      </c>
      <c r="E13" s="12" t="s">
        <v>603</v>
      </c>
      <c r="F13" s="12" t="s">
        <v>600</v>
      </c>
      <c r="G13" s="28" t="n">
        <v>0</v>
      </c>
      <c r="H13" s="12" t="s">
        <v>601</v>
      </c>
      <c r="I13" s="12" t="s">
        <v>5</v>
      </c>
    </row>
    <row r="14" customFormat="false" ht="15" hidden="false" customHeight="false" outlineLevel="0" collapsed="false">
      <c r="B14" s="12" t="s">
        <v>604</v>
      </c>
      <c r="C14" s="12" t="s">
        <v>489</v>
      </c>
      <c r="D14" s="12" t="s">
        <v>605</v>
      </c>
      <c r="E14" s="12" t="s">
        <v>606</v>
      </c>
      <c r="F14" s="12" t="s">
        <v>68</v>
      </c>
      <c r="G14" s="28" t="n">
        <v>0</v>
      </c>
      <c r="H14" s="12" t="s">
        <v>607</v>
      </c>
      <c r="I14" s="1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608</v>
      </c>
    </row>
    <row r="3" customFormat="false" ht="21.75" hidden="false" customHeight="true" outlineLevel="0" collapsed="false">
      <c r="B3" s="3" t="s">
        <v>609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140</v>
      </c>
      <c r="C5" s="4" t="s">
        <v>610</v>
      </c>
      <c r="D5" s="4" t="s">
        <v>611</v>
      </c>
      <c r="E5" s="4" t="s">
        <v>612</v>
      </c>
      <c r="F5" s="4" t="s">
        <v>283</v>
      </c>
    </row>
    <row r="6" customFormat="false" ht="15" hidden="false" customHeight="false" outlineLevel="0" collapsed="false">
      <c r="B6" s="12" t="s">
        <v>613</v>
      </c>
      <c r="C6" s="12" t="s">
        <v>614</v>
      </c>
      <c r="D6" s="28" t="n">
        <v>13882.05</v>
      </c>
      <c r="E6" s="12" t="s">
        <v>615</v>
      </c>
      <c r="F6" s="12" t="s">
        <v>616</v>
      </c>
    </row>
    <row r="7" customFormat="false" ht="15" hidden="false" customHeight="false" outlineLevel="0" collapsed="false">
      <c r="B7" s="12" t="s">
        <v>145</v>
      </c>
      <c r="C7" s="12" t="s">
        <v>617</v>
      </c>
      <c r="D7" s="28" t="n">
        <v>-20902.5</v>
      </c>
      <c r="E7" s="12" t="s">
        <v>618</v>
      </c>
      <c r="F7" s="12" t="s">
        <v>50</v>
      </c>
    </row>
    <row r="8" customFormat="false" ht="15" hidden="false" customHeight="false" outlineLevel="0" collapsed="false">
      <c r="B8" s="12" t="s">
        <v>147</v>
      </c>
      <c r="C8" s="12" t="s">
        <v>619</v>
      </c>
      <c r="D8" s="28" t="n">
        <v>-66546.49</v>
      </c>
      <c r="E8" s="12" t="s">
        <v>620</v>
      </c>
      <c r="F8" s="12" t="s">
        <v>621</v>
      </c>
    </row>
    <row r="9" customFormat="false" ht="15" hidden="false" customHeight="false" outlineLevel="0" collapsed="false">
      <c r="B9" s="12" t="s">
        <v>149</v>
      </c>
      <c r="C9" s="12" t="s">
        <v>622</v>
      </c>
      <c r="D9" s="28" t="n">
        <v>5513.09</v>
      </c>
      <c r="E9" s="12" t="s">
        <v>623</v>
      </c>
      <c r="F9" s="12"/>
    </row>
    <row r="10" customFormat="false" ht="15" hidden="false" customHeight="false" outlineLevel="0" collapsed="false">
      <c r="B10" s="12" t="s">
        <v>624</v>
      </c>
      <c r="C10" s="12" t="s">
        <v>625</v>
      </c>
      <c r="D10" s="28" t="n">
        <v>-10861.58</v>
      </c>
      <c r="E10" s="12" t="s">
        <v>626</v>
      </c>
      <c r="F10" s="12"/>
    </row>
    <row r="11" customFormat="false" ht="15" hidden="false" customHeight="false" outlineLevel="0" collapsed="false">
      <c r="B11" s="19" t="s">
        <v>627</v>
      </c>
      <c r="D11" s="17" t="n">
        <f aca="false">SUM(D6:D10)</f>
        <v>-78915.43</v>
      </c>
    </row>
    <row r="14" customFormat="false" ht="15" hidden="false" customHeight="false" outlineLevel="0" collapsed="false">
      <c r="B14" s="4" t="s">
        <v>628</v>
      </c>
    </row>
    <row r="15" customFormat="false" ht="15" hidden="false" customHeight="false" outlineLevel="0" collapsed="false">
      <c r="B15" s="4" t="s">
        <v>629</v>
      </c>
      <c r="C15" s="4" t="s">
        <v>630</v>
      </c>
      <c r="D15" s="4" t="s">
        <v>631</v>
      </c>
      <c r="E15" s="4" t="s">
        <v>283</v>
      </c>
    </row>
    <row r="16" customFormat="false" ht="15" hidden="false" customHeight="false" outlineLevel="0" collapsed="false">
      <c r="B16" s="12" t="s">
        <v>632</v>
      </c>
      <c r="C16" s="23" t="n">
        <v>5</v>
      </c>
      <c r="D16" s="28" t="n">
        <v>13882.05</v>
      </c>
      <c r="E16" s="12" t="s">
        <v>633</v>
      </c>
    </row>
    <row r="17" customFormat="false" ht="15" hidden="false" customHeight="false" outlineLevel="0" collapsed="false">
      <c r="B17" s="12" t="s">
        <v>634</v>
      </c>
      <c r="C17" s="23" t="n">
        <v>9</v>
      </c>
      <c r="D17" s="28" t="n">
        <v>-20902.5</v>
      </c>
      <c r="E17" s="12" t="s">
        <v>635</v>
      </c>
    </row>
    <row r="18" customFormat="false" ht="15" hidden="false" customHeight="false" outlineLevel="0" collapsed="false">
      <c r="B18" s="12" t="s">
        <v>636</v>
      </c>
      <c r="C18" s="23" t="n">
        <v>9</v>
      </c>
      <c r="D18" s="28" t="n">
        <v>-66546.49</v>
      </c>
      <c r="E18" s="12" t="s">
        <v>621</v>
      </c>
    </row>
    <row r="19" customFormat="false" ht="15" hidden="false" customHeight="false" outlineLevel="0" collapsed="false">
      <c r="B19" s="12" t="s">
        <v>637</v>
      </c>
      <c r="C19" s="23" t="n">
        <v>2</v>
      </c>
      <c r="D19" s="28" t="n">
        <v>-10861.58</v>
      </c>
      <c r="E19" s="12" t="s">
        <v>638</v>
      </c>
    </row>
    <row r="20" customFormat="false" ht="15" hidden="false" customHeight="false" outlineLevel="0" collapsed="false">
      <c r="B20" s="12" t="s">
        <v>639</v>
      </c>
      <c r="C20" s="23" t="n">
        <v>4</v>
      </c>
      <c r="D20" s="28" t="n">
        <v>5513.09</v>
      </c>
      <c r="E20" s="12" t="s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641</v>
      </c>
    </row>
    <row r="3" customFormat="false" ht="21.75" hidden="false" customHeight="true" outlineLevel="0" collapsed="false">
      <c r="B3" s="3" t="s">
        <v>642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643</v>
      </c>
    </row>
    <row r="6" customFormat="false" ht="15" hidden="false" customHeight="false" outlineLevel="0" collapsed="false">
      <c r="B6" s="4" t="s">
        <v>644</v>
      </c>
      <c r="C6" s="4" t="s">
        <v>645</v>
      </c>
      <c r="D6" s="4" t="s">
        <v>646</v>
      </c>
      <c r="E6" s="4" t="s">
        <v>66</v>
      </c>
      <c r="F6" s="4" t="s">
        <v>647</v>
      </c>
    </row>
    <row r="7" customFormat="false" ht="15" hidden="false" customHeight="false" outlineLevel="0" collapsed="false">
      <c r="B7" s="12" t="s">
        <v>648</v>
      </c>
      <c r="C7" s="12" t="s">
        <v>649</v>
      </c>
      <c r="D7" s="12" t="s">
        <v>650</v>
      </c>
      <c r="E7" s="14" t="s">
        <v>651</v>
      </c>
      <c r="F7" s="12" t="s">
        <v>652</v>
      </c>
    </row>
    <row r="8" customFormat="false" ht="15" hidden="false" customHeight="false" outlineLevel="0" collapsed="false">
      <c r="B8" s="12" t="s">
        <v>323</v>
      </c>
      <c r="C8" s="25" t="n">
        <v>0.210757680261663</v>
      </c>
      <c r="D8" s="12" t="s">
        <v>653</v>
      </c>
      <c r="E8" s="14" t="s">
        <v>651</v>
      </c>
      <c r="F8" s="12" t="s">
        <v>654</v>
      </c>
    </row>
    <row r="9" customFormat="false" ht="15" hidden="false" customHeight="false" outlineLevel="0" collapsed="false">
      <c r="B9" s="12" t="s">
        <v>655</v>
      </c>
      <c r="C9" s="25" t="n">
        <v>0.0319628805427587</v>
      </c>
      <c r="D9" s="12" t="s">
        <v>656</v>
      </c>
      <c r="E9" s="14" t="s">
        <v>651</v>
      </c>
      <c r="F9" s="12" t="s">
        <v>657</v>
      </c>
    </row>
    <row r="10" customFormat="false" ht="15" hidden="false" customHeight="false" outlineLevel="0" collapsed="false">
      <c r="B10" s="12" t="s">
        <v>658</v>
      </c>
      <c r="C10" s="25" t="n">
        <v>0.775198045501994</v>
      </c>
      <c r="D10" s="12" t="s">
        <v>659</v>
      </c>
      <c r="E10" s="14" t="s">
        <v>651</v>
      </c>
      <c r="F10" s="12" t="s">
        <v>660</v>
      </c>
    </row>
    <row r="11" customFormat="false" ht="15" hidden="false" customHeight="false" outlineLevel="0" collapsed="false">
      <c r="B11" s="12" t="s">
        <v>661</v>
      </c>
      <c r="C11" s="25" t="n">
        <v>0.05</v>
      </c>
      <c r="D11" s="12" t="s">
        <v>662</v>
      </c>
      <c r="E11" s="14" t="s">
        <v>651</v>
      </c>
      <c r="F11" s="12" t="s">
        <v>663</v>
      </c>
    </row>
    <row r="12" customFormat="false" ht="15" hidden="false" customHeight="false" outlineLevel="0" collapsed="false">
      <c r="B12" s="12" t="s">
        <v>322</v>
      </c>
      <c r="C12" s="25" t="n">
        <v>0.356271613614083</v>
      </c>
      <c r="D12" s="12" t="s">
        <v>664</v>
      </c>
      <c r="E12" s="14" t="s">
        <v>651</v>
      </c>
      <c r="F12" s="12" t="s">
        <v>665</v>
      </c>
    </row>
    <row r="13" customFormat="false" ht="15" hidden="false" customHeight="false" outlineLevel="0" collapsed="false">
      <c r="B13" s="12" t="s">
        <v>666</v>
      </c>
      <c r="C13" s="11" t="n">
        <v>7215</v>
      </c>
      <c r="D13" s="12" t="s">
        <v>667</v>
      </c>
      <c r="E13" s="29" t="s">
        <v>668</v>
      </c>
      <c r="F13" s="12" t="s">
        <v>669</v>
      </c>
    </row>
    <row r="14" customFormat="false" ht="15" hidden="false" customHeight="false" outlineLevel="0" collapsed="false">
      <c r="B14" s="12" t="s">
        <v>670</v>
      </c>
      <c r="C14" s="25" t="n">
        <v>0.176160776160776</v>
      </c>
      <c r="D14" s="12" t="s">
        <v>671</v>
      </c>
      <c r="E14" s="14" t="s">
        <v>651</v>
      </c>
      <c r="F14" s="12" t="s">
        <v>672</v>
      </c>
    </row>
    <row r="15" customFormat="false" ht="15" hidden="false" customHeight="false" outlineLevel="0" collapsed="false">
      <c r="B15" s="12" t="s">
        <v>673</v>
      </c>
      <c r="C15" s="25" t="n">
        <v>0.703510503313126</v>
      </c>
      <c r="D15" s="12" t="s">
        <v>674</v>
      </c>
      <c r="E15" s="30" t="s">
        <v>675</v>
      </c>
      <c r="F15" s="12" t="s">
        <v>676</v>
      </c>
    </row>
    <row r="16" customFormat="false" ht="15" hidden="false" customHeight="false" outlineLevel="0" collapsed="false">
      <c r="B16" s="12" t="s">
        <v>677</v>
      </c>
      <c r="C16" s="12" t="s">
        <v>678</v>
      </c>
      <c r="D16" s="12" t="s">
        <v>679</v>
      </c>
      <c r="E16" s="30" t="s">
        <v>675</v>
      </c>
      <c r="F16" s="12" t="s">
        <v>680</v>
      </c>
    </row>
    <row r="18" customFormat="false" ht="15" hidden="false" customHeight="false" outlineLevel="0" collapsed="false">
      <c r="B18" s="4" t="s">
        <v>681</v>
      </c>
    </row>
    <row r="19" customFormat="false" ht="15" hidden="false" customHeight="false" outlineLevel="0" collapsed="false">
      <c r="B19" s="4" t="s">
        <v>682</v>
      </c>
      <c r="C19" s="4" t="s">
        <v>683</v>
      </c>
      <c r="D19" s="4" t="s">
        <v>402</v>
      </c>
      <c r="E19" s="4" t="s">
        <v>684</v>
      </c>
      <c r="F19" s="4" t="s">
        <v>685</v>
      </c>
    </row>
    <row r="20" customFormat="false" ht="15" hidden="false" customHeight="false" outlineLevel="0" collapsed="false">
      <c r="B20" s="12" t="s">
        <v>686</v>
      </c>
      <c r="C20" s="25" t="n">
        <v>0.356271613614083</v>
      </c>
      <c r="D20" s="12" t="s">
        <v>82</v>
      </c>
      <c r="E20" s="12" t="s">
        <v>687</v>
      </c>
      <c r="F20" s="12" t="s">
        <v>665</v>
      </c>
    </row>
    <row r="21" customFormat="false" ht="15" hidden="false" customHeight="false" outlineLevel="0" collapsed="false">
      <c r="B21" s="12" t="s">
        <v>688</v>
      </c>
      <c r="C21" s="12" t="s">
        <v>680</v>
      </c>
      <c r="D21" s="12" t="s">
        <v>607</v>
      </c>
      <c r="E21" s="12" t="s">
        <v>689</v>
      </c>
      <c r="F21" s="12" t="s">
        <v>607</v>
      </c>
    </row>
    <row r="22" customFormat="false" ht="15" hidden="false" customHeight="false" outlineLevel="0" collapsed="false">
      <c r="B22" s="12" t="s">
        <v>690</v>
      </c>
      <c r="C22" s="12" t="s">
        <v>691</v>
      </c>
      <c r="D22" s="12" t="s">
        <v>405</v>
      </c>
      <c r="E22" s="12" t="s">
        <v>329</v>
      </c>
      <c r="F22" s="12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692</v>
      </c>
    </row>
    <row r="3" customFormat="false" ht="21.75" hidden="false" customHeight="true" outlineLevel="0" collapsed="false">
      <c r="B3" s="3" t="s">
        <v>693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399</v>
      </c>
      <c r="C5" s="4" t="s">
        <v>694</v>
      </c>
      <c r="D5" s="4" t="s">
        <v>695</v>
      </c>
      <c r="E5" s="4" t="s">
        <v>282</v>
      </c>
      <c r="F5" s="4" t="s">
        <v>696</v>
      </c>
      <c r="G5" s="4" t="s">
        <v>697</v>
      </c>
      <c r="H5" s="4" t="s">
        <v>402</v>
      </c>
      <c r="I5" s="4" t="s">
        <v>698</v>
      </c>
    </row>
    <row r="6" customFormat="false" ht="15" hidden="false" customHeight="false" outlineLevel="0" collapsed="false">
      <c r="B6" s="23" t="n">
        <v>1</v>
      </c>
      <c r="C6" s="12" t="s">
        <v>432</v>
      </c>
      <c r="D6" s="12" t="s">
        <v>431</v>
      </c>
      <c r="E6" s="12" t="s">
        <v>4</v>
      </c>
      <c r="F6" s="12" t="s">
        <v>699</v>
      </c>
      <c r="G6" s="12" t="s">
        <v>426</v>
      </c>
      <c r="H6" s="14" t="s">
        <v>405</v>
      </c>
      <c r="I6" s="12" t="s">
        <v>5</v>
      </c>
    </row>
    <row r="7" customFormat="false" ht="15" hidden="false" customHeight="false" outlineLevel="0" collapsed="false">
      <c r="B7" s="23" t="n">
        <v>2</v>
      </c>
      <c r="C7" s="12" t="s">
        <v>436</v>
      </c>
      <c r="D7" s="12" t="s">
        <v>435</v>
      </c>
      <c r="E7" s="12" t="s">
        <v>437</v>
      </c>
      <c r="F7" s="12" t="s">
        <v>700</v>
      </c>
      <c r="G7" s="12" t="s">
        <v>426</v>
      </c>
      <c r="H7" s="14" t="s">
        <v>405</v>
      </c>
      <c r="I7" s="12" t="s">
        <v>5</v>
      </c>
    </row>
    <row r="8" customFormat="false" ht="15" hidden="false" customHeight="false" outlineLevel="0" collapsed="false">
      <c r="B8" s="23" t="n">
        <v>3</v>
      </c>
      <c r="C8" s="12" t="s">
        <v>438</v>
      </c>
      <c r="D8" s="12" t="s">
        <v>11</v>
      </c>
      <c r="E8" s="12" t="s">
        <v>12</v>
      </c>
      <c r="F8" s="12" t="s">
        <v>700</v>
      </c>
      <c r="G8" s="12" t="s">
        <v>426</v>
      </c>
      <c r="H8" s="14" t="s">
        <v>405</v>
      </c>
      <c r="I8" s="12" t="s">
        <v>13</v>
      </c>
    </row>
    <row r="9" customFormat="false" ht="15" hidden="false" customHeight="false" outlineLevel="0" collapsed="false">
      <c r="B9" s="23" t="n">
        <v>4</v>
      </c>
      <c r="C9" s="12" t="s">
        <v>439</v>
      </c>
      <c r="D9" s="12" t="s">
        <v>70</v>
      </c>
      <c r="E9" s="12" t="s">
        <v>17</v>
      </c>
      <c r="F9" s="12" t="s">
        <v>700</v>
      </c>
      <c r="G9" s="12" t="s">
        <v>426</v>
      </c>
      <c r="H9" s="14" t="s">
        <v>405</v>
      </c>
      <c r="I9" s="12" t="s">
        <v>13</v>
      </c>
    </row>
    <row r="10" customFormat="false" ht="15" hidden="false" customHeight="false" outlineLevel="0" collapsed="false">
      <c r="B10" s="23" t="n">
        <v>5</v>
      </c>
      <c r="C10" s="12" t="s">
        <v>440</v>
      </c>
      <c r="D10" s="12" t="s">
        <v>34</v>
      </c>
      <c r="E10" s="12" t="s">
        <v>19</v>
      </c>
      <c r="F10" s="12" t="s">
        <v>700</v>
      </c>
      <c r="G10" s="12" t="s">
        <v>426</v>
      </c>
      <c r="H10" s="14" t="s">
        <v>405</v>
      </c>
      <c r="I10" s="12" t="s">
        <v>35</v>
      </c>
    </row>
    <row r="11" customFormat="false" ht="15" hidden="false" customHeight="false" outlineLevel="0" collapsed="false">
      <c r="B11" s="23" t="n">
        <v>6</v>
      </c>
      <c r="C11" s="12" t="s">
        <v>442</v>
      </c>
      <c r="D11" s="12" t="s">
        <v>441</v>
      </c>
      <c r="E11" s="12" t="s">
        <v>28</v>
      </c>
      <c r="F11" s="12" t="s">
        <v>700</v>
      </c>
      <c r="G11" s="12" t="s">
        <v>426</v>
      </c>
      <c r="H11" s="14" t="s">
        <v>405</v>
      </c>
      <c r="I11" s="12" t="s">
        <v>13</v>
      </c>
    </row>
    <row r="12" customFormat="false" ht="15" hidden="false" customHeight="false" outlineLevel="0" collapsed="false">
      <c r="B12" s="23" t="n">
        <v>7</v>
      </c>
      <c r="C12" s="12" t="s">
        <v>444</v>
      </c>
      <c r="D12" s="12" t="s">
        <v>443</v>
      </c>
      <c r="E12" s="12" t="s">
        <v>445</v>
      </c>
      <c r="F12" s="12" t="s">
        <v>700</v>
      </c>
      <c r="G12" s="12" t="s">
        <v>426</v>
      </c>
      <c r="H12" s="14" t="s">
        <v>405</v>
      </c>
      <c r="I12" s="12" t="s">
        <v>446</v>
      </c>
    </row>
    <row r="13" customFormat="false" ht="15" hidden="false" customHeight="false" outlineLevel="0" collapsed="false">
      <c r="B13" s="23" t="n">
        <v>8</v>
      </c>
      <c r="C13" s="12" t="s">
        <v>448</v>
      </c>
      <c r="D13" s="12" t="s">
        <v>447</v>
      </c>
      <c r="E13" s="12" t="s">
        <v>30</v>
      </c>
      <c r="F13" s="12" t="s">
        <v>700</v>
      </c>
      <c r="G13" s="12" t="s">
        <v>426</v>
      </c>
      <c r="H13" s="14" t="s">
        <v>405</v>
      </c>
      <c r="I13" s="12" t="s">
        <v>13</v>
      </c>
    </row>
    <row r="14" customFormat="false" ht="15" hidden="false" customHeight="false" outlineLevel="0" collapsed="false">
      <c r="B14" s="23" t="n">
        <v>9</v>
      </c>
      <c r="C14" s="12" t="s">
        <v>449</v>
      </c>
      <c r="D14" s="12" t="s">
        <v>18</v>
      </c>
      <c r="E14" s="12" t="s">
        <v>19</v>
      </c>
      <c r="F14" s="12" t="s">
        <v>700</v>
      </c>
      <c r="G14" s="12" t="s">
        <v>426</v>
      </c>
      <c r="H14" s="14" t="s">
        <v>405</v>
      </c>
      <c r="I14" s="12" t="s">
        <v>20</v>
      </c>
    </row>
    <row r="15" customFormat="false" ht="15" hidden="false" customHeight="false" outlineLevel="0" collapsed="false">
      <c r="B15" s="23" t="n">
        <v>10</v>
      </c>
      <c r="C15" s="12" t="s">
        <v>451</v>
      </c>
      <c r="D15" s="12" t="s">
        <v>450</v>
      </c>
      <c r="E15" s="12" t="s">
        <v>22</v>
      </c>
      <c r="F15" s="12" t="s">
        <v>700</v>
      </c>
      <c r="G15" s="12" t="s">
        <v>426</v>
      </c>
      <c r="H15" s="14" t="s">
        <v>405</v>
      </c>
      <c r="I15" s="12" t="s">
        <v>20</v>
      </c>
    </row>
    <row r="16" customFormat="false" ht="15" hidden="false" customHeight="false" outlineLevel="0" collapsed="false">
      <c r="B16" s="23" t="n">
        <v>11</v>
      </c>
      <c r="C16" s="12" t="s">
        <v>452</v>
      </c>
      <c r="D16" s="12" t="s">
        <v>25</v>
      </c>
      <c r="E16" s="12" t="s">
        <v>26</v>
      </c>
      <c r="F16" s="12" t="s">
        <v>700</v>
      </c>
      <c r="G16" s="12" t="s">
        <v>426</v>
      </c>
      <c r="H16" s="14" t="s">
        <v>405</v>
      </c>
      <c r="I16" s="12" t="s">
        <v>20</v>
      </c>
    </row>
    <row r="17" customFormat="false" ht="15" hidden="false" customHeight="false" outlineLevel="0" collapsed="false">
      <c r="B17" s="23" t="n">
        <v>12</v>
      </c>
      <c r="C17" s="12" t="s">
        <v>454</v>
      </c>
      <c r="D17" s="12" t="s">
        <v>453</v>
      </c>
      <c r="E17" s="12" t="s">
        <v>346</v>
      </c>
      <c r="F17" s="12" t="s">
        <v>701</v>
      </c>
      <c r="G17" s="12" t="s">
        <v>426</v>
      </c>
      <c r="H17" s="14" t="s">
        <v>405</v>
      </c>
      <c r="I17" s="12" t="s">
        <v>20</v>
      </c>
    </row>
    <row r="18" customFormat="false" ht="15" hidden="false" customHeight="false" outlineLevel="0" collapsed="false">
      <c r="B18" s="23" t="n">
        <v>13</v>
      </c>
      <c r="C18" s="12" t="s">
        <v>456</v>
      </c>
      <c r="D18" s="12" t="s">
        <v>455</v>
      </c>
      <c r="E18" s="12" t="s">
        <v>457</v>
      </c>
      <c r="F18" s="12" t="s">
        <v>701</v>
      </c>
      <c r="G18" s="12" t="s">
        <v>426</v>
      </c>
      <c r="H18" s="14" t="s">
        <v>405</v>
      </c>
      <c r="I18" s="12" t="s">
        <v>5</v>
      </c>
    </row>
    <row r="19" customFormat="false" ht="15" hidden="false" customHeight="false" outlineLevel="0" collapsed="false">
      <c r="B19" s="23" t="n">
        <v>14</v>
      </c>
      <c r="C19" s="12" t="s">
        <v>459</v>
      </c>
      <c r="D19" s="12" t="s">
        <v>458</v>
      </c>
      <c r="E19" s="12" t="s">
        <v>460</v>
      </c>
      <c r="F19" s="12" t="s">
        <v>701</v>
      </c>
      <c r="G19" s="12" t="s">
        <v>426</v>
      </c>
      <c r="H19" s="14" t="s">
        <v>405</v>
      </c>
      <c r="I19" s="12" t="s">
        <v>5</v>
      </c>
    </row>
    <row r="20" customFormat="false" ht="15" hidden="false" customHeight="false" outlineLevel="0" collapsed="false">
      <c r="B20" s="23" t="n">
        <v>15</v>
      </c>
      <c r="C20" s="12" t="s">
        <v>462</v>
      </c>
      <c r="D20" s="12" t="s">
        <v>461</v>
      </c>
      <c r="E20" s="23" t="n">
        <v>19</v>
      </c>
      <c r="F20" s="12" t="s">
        <v>702</v>
      </c>
      <c r="G20" s="12" t="s">
        <v>426</v>
      </c>
      <c r="H20" s="14" t="s">
        <v>405</v>
      </c>
      <c r="I20" s="12" t="s">
        <v>291</v>
      </c>
    </row>
    <row r="21" customFormat="false" ht="15" hidden="false" customHeight="false" outlineLevel="0" collapsed="false">
      <c r="B21" s="23" t="n">
        <v>16</v>
      </c>
      <c r="C21" s="12" t="s">
        <v>463</v>
      </c>
      <c r="D21" s="12" t="s">
        <v>38</v>
      </c>
      <c r="E21" s="23" t="n">
        <v>72</v>
      </c>
      <c r="F21" s="12" t="s">
        <v>703</v>
      </c>
      <c r="G21" s="12" t="s">
        <v>426</v>
      </c>
      <c r="H21" s="14" t="s">
        <v>405</v>
      </c>
      <c r="I21" s="12" t="s">
        <v>465</v>
      </c>
    </row>
    <row r="22" customFormat="false" ht="15" hidden="false" customHeight="false" outlineLevel="0" collapsed="false">
      <c r="B22" s="23" t="n">
        <v>17</v>
      </c>
      <c r="C22" s="12" t="s">
        <v>467</v>
      </c>
      <c r="D22" s="12" t="s">
        <v>466</v>
      </c>
      <c r="E22" s="23" t="n">
        <v>502</v>
      </c>
      <c r="F22" s="12" t="s">
        <v>704</v>
      </c>
      <c r="G22" s="12" t="s">
        <v>426</v>
      </c>
      <c r="H22" s="14" t="s">
        <v>405</v>
      </c>
      <c r="I22" s="12" t="s">
        <v>465</v>
      </c>
    </row>
    <row r="23" customFormat="false" ht="15" hidden="false" customHeight="false" outlineLevel="0" collapsed="false">
      <c r="B23" s="23" t="n">
        <v>18</v>
      </c>
      <c r="C23" s="12" t="s">
        <v>470</v>
      </c>
      <c r="D23" s="12" t="s">
        <v>469</v>
      </c>
      <c r="E23" s="10" t="n">
        <v>998152.29</v>
      </c>
      <c r="F23" s="12" t="s">
        <v>328</v>
      </c>
      <c r="G23" s="12" t="s">
        <v>426</v>
      </c>
      <c r="H23" s="14" t="s">
        <v>405</v>
      </c>
      <c r="I23" s="12" t="s">
        <v>13</v>
      </c>
    </row>
    <row r="24" customFormat="false" ht="15" hidden="false" customHeight="false" outlineLevel="0" collapsed="false">
      <c r="B24" s="23" t="n">
        <v>19</v>
      </c>
      <c r="C24" s="12" t="s">
        <v>473</v>
      </c>
      <c r="D24" s="12" t="s">
        <v>472</v>
      </c>
      <c r="E24" s="10" t="n">
        <v>1012034.34</v>
      </c>
      <c r="F24" s="12" t="s">
        <v>328</v>
      </c>
      <c r="G24" s="12" t="s">
        <v>426</v>
      </c>
      <c r="H24" s="14" t="s">
        <v>405</v>
      </c>
      <c r="I24" s="12" t="s">
        <v>13</v>
      </c>
    </row>
    <row r="25" customFormat="false" ht="15" hidden="false" customHeight="false" outlineLevel="0" collapsed="false">
      <c r="B25" s="23" t="n">
        <v>20</v>
      </c>
      <c r="C25" s="12" t="s">
        <v>475</v>
      </c>
      <c r="D25" s="12" t="s">
        <v>474</v>
      </c>
      <c r="E25" s="10" t="n">
        <v>13882.05</v>
      </c>
      <c r="F25" s="12" t="s">
        <v>328</v>
      </c>
      <c r="G25" s="12" t="s">
        <v>426</v>
      </c>
      <c r="H25" s="14" t="s">
        <v>405</v>
      </c>
      <c r="I25" s="12" t="s">
        <v>408</v>
      </c>
    </row>
    <row r="26" customFormat="false" ht="15" hidden="false" customHeight="false" outlineLevel="0" collapsed="false">
      <c r="B26" s="23" t="n">
        <v>21</v>
      </c>
      <c r="C26" s="12" t="s">
        <v>478</v>
      </c>
      <c r="D26" s="12" t="s">
        <v>477</v>
      </c>
      <c r="E26" s="27" t="n">
        <v>0.0139077474841039</v>
      </c>
      <c r="F26" s="12" t="s">
        <v>321</v>
      </c>
      <c r="G26" s="12" t="s">
        <v>426</v>
      </c>
      <c r="H26" s="14" t="s">
        <v>405</v>
      </c>
      <c r="I26" s="12" t="s">
        <v>291</v>
      </c>
    </row>
    <row r="27" customFormat="false" ht="15" hidden="false" customHeight="false" outlineLevel="0" collapsed="false">
      <c r="B27" s="23" t="n">
        <v>22</v>
      </c>
      <c r="C27" s="12" t="s">
        <v>480</v>
      </c>
      <c r="D27" s="12" t="s">
        <v>479</v>
      </c>
      <c r="E27" s="10" t="n">
        <v>922104</v>
      </c>
      <c r="F27" s="12" t="s">
        <v>328</v>
      </c>
      <c r="G27" s="12" t="s">
        <v>426</v>
      </c>
      <c r="H27" s="14" t="s">
        <v>405</v>
      </c>
      <c r="I27" s="12" t="s">
        <v>5</v>
      </c>
    </row>
    <row r="28" customFormat="false" ht="15" hidden="false" customHeight="false" outlineLevel="0" collapsed="false">
      <c r="B28" s="23" t="n">
        <v>23</v>
      </c>
      <c r="C28" s="12" t="s">
        <v>483</v>
      </c>
      <c r="D28" s="12" t="s">
        <v>482</v>
      </c>
      <c r="E28" s="10" t="n">
        <v>593584.52</v>
      </c>
      <c r="F28" s="12" t="s">
        <v>328</v>
      </c>
      <c r="G28" s="12" t="s">
        <v>426</v>
      </c>
      <c r="H28" s="14" t="s">
        <v>405</v>
      </c>
      <c r="I28" s="12" t="s">
        <v>5</v>
      </c>
    </row>
    <row r="29" customFormat="false" ht="15" hidden="false" customHeight="false" outlineLevel="0" collapsed="false">
      <c r="B29" s="23" t="n">
        <v>24</v>
      </c>
      <c r="C29" s="12" t="s">
        <v>486</v>
      </c>
      <c r="D29" s="12" t="s">
        <v>485</v>
      </c>
      <c r="E29" s="10" t="n">
        <v>328519.48</v>
      </c>
      <c r="F29" s="12" t="s">
        <v>328</v>
      </c>
      <c r="G29" s="12" t="s">
        <v>426</v>
      </c>
      <c r="H29" s="14" t="s">
        <v>405</v>
      </c>
      <c r="I29" s="12" t="s">
        <v>5</v>
      </c>
    </row>
    <row r="30" customFormat="false" ht="15" hidden="false" customHeight="false" outlineLevel="0" collapsed="false">
      <c r="B30" s="23" t="n">
        <v>25</v>
      </c>
      <c r="C30" s="12" t="s">
        <v>488</v>
      </c>
      <c r="D30" s="12" t="s">
        <v>322</v>
      </c>
      <c r="E30" s="27" t="n">
        <v>0.356271613614083</v>
      </c>
      <c r="F30" s="12" t="s">
        <v>321</v>
      </c>
      <c r="G30" s="12" t="s">
        <v>426</v>
      </c>
      <c r="H30" s="14" t="s">
        <v>405</v>
      </c>
      <c r="I30" s="12" t="s">
        <v>291</v>
      </c>
    </row>
    <row r="31" customFormat="false" ht="15" hidden="false" customHeight="false" outlineLevel="0" collapsed="false">
      <c r="B31" s="23" t="n">
        <v>26</v>
      </c>
      <c r="C31" s="12" t="s">
        <v>490</v>
      </c>
      <c r="D31" s="12" t="s">
        <v>489</v>
      </c>
      <c r="E31" s="10" t="n">
        <v>46105.2</v>
      </c>
      <c r="F31" s="12" t="s">
        <v>328</v>
      </c>
      <c r="G31" s="12" t="s">
        <v>426</v>
      </c>
      <c r="H31" s="14" t="s">
        <v>405</v>
      </c>
      <c r="I31" s="12" t="s">
        <v>5</v>
      </c>
    </row>
    <row r="32" customFormat="false" ht="15" hidden="false" customHeight="false" outlineLevel="0" collapsed="false">
      <c r="B32" s="23" t="n">
        <v>27</v>
      </c>
      <c r="C32" s="12" t="s">
        <v>493</v>
      </c>
      <c r="D32" s="12" t="s">
        <v>492</v>
      </c>
      <c r="E32" s="27" t="n">
        <v>0.05</v>
      </c>
      <c r="F32" s="12" t="s">
        <v>321</v>
      </c>
      <c r="G32" s="12" t="s">
        <v>426</v>
      </c>
      <c r="H32" s="14" t="s">
        <v>405</v>
      </c>
      <c r="I32" s="12" t="s">
        <v>291</v>
      </c>
    </row>
    <row r="33" customFormat="false" ht="15" hidden="false" customHeight="false" outlineLevel="0" collapsed="false">
      <c r="B33" s="23" t="n">
        <v>28</v>
      </c>
      <c r="C33" s="12" t="s">
        <v>495</v>
      </c>
      <c r="D33" s="12" t="s">
        <v>494</v>
      </c>
      <c r="E33" s="10" t="n">
        <v>194340.5</v>
      </c>
      <c r="F33" s="12" t="s">
        <v>328</v>
      </c>
      <c r="G33" s="12" t="s">
        <v>426</v>
      </c>
      <c r="H33" s="14" t="s">
        <v>405</v>
      </c>
      <c r="I33" s="12" t="s">
        <v>5</v>
      </c>
    </row>
    <row r="34" customFormat="false" ht="15" hidden="false" customHeight="false" outlineLevel="0" collapsed="false">
      <c r="B34" s="23" t="n">
        <v>29</v>
      </c>
      <c r="C34" s="12" t="s">
        <v>498</v>
      </c>
      <c r="D34" s="12" t="s">
        <v>497</v>
      </c>
      <c r="E34" s="10" t="n">
        <v>250243.51</v>
      </c>
      <c r="F34" s="12" t="s">
        <v>328</v>
      </c>
      <c r="G34" s="12" t="s">
        <v>426</v>
      </c>
      <c r="H34" s="14" t="s">
        <v>405</v>
      </c>
      <c r="I34" s="12" t="s">
        <v>5</v>
      </c>
    </row>
    <row r="35" customFormat="false" ht="15" hidden="false" customHeight="false" outlineLevel="0" collapsed="false">
      <c r="B35" s="23" t="n">
        <v>30</v>
      </c>
      <c r="C35" s="12" t="s">
        <v>501</v>
      </c>
      <c r="D35" s="12" t="s">
        <v>500</v>
      </c>
      <c r="E35" s="10" t="n">
        <v>47943.09</v>
      </c>
      <c r="F35" s="12" t="s">
        <v>328</v>
      </c>
      <c r="G35" s="12" t="s">
        <v>426</v>
      </c>
      <c r="H35" s="14" t="s">
        <v>405</v>
      </c>
      <c r="I35" s="12" t="s">
        <v>5</v>
      </c>
    </row>
    <row r="36" customFormat="false" ht="15" hidden="false" customHeight="false" outlineLevel="0" collapsed="false">
      <c r="B36" s="23" t="n">
        <v>31</v>
      </c>
      <c r="C36" s="12" t="s">
        <v>504</v>
      </c>
      <c r="D36" s="12" t="s">
        <v>503</v>
      </c>
      <c r="E36" s="10" t="n">
        <v>86190.15</v>
      </c>
      <c r="F36" s="12" t="s">
        <v>328</v>
      </c>
      <c r="G36" s="12" t="s">
        <v>426</v>
      </c>
      <c r="H36" s="14" t="s">
        <v>405</v>
      </c>
      <c r="I36" s="12" t="s">
        <v>5</v>
      </c>
    </row>
    <row r="37" customFormat="false" ht="15" hidden="false" customHeight="false" outlineLevel="0" collapsed="false">
      <c r="B37" s="23" t="n">
        <v>32</v>
      </c>
      <c r="C37" s="12" t="s">
        <v>507</v>
      </c>
      <c r="D37" s="12" t="s">
        <v>506</v>
      </c>
      <c r="E37" s="10" t="n">
        <v>14867.27</v>
      </c>
      <c r="F37" s="12" t="s">
        <v>328</v>
      </c>
      <c r="G37" s="12" t="s">
        <v>426</v>
      </c>
      <c r="H37" s="14" t="s">
        <v>405</v>
      </c>
      <c r="I37" s="12" t="s">
        <v>5</v>
      </c>
    </row>
    <row r="38" customFormat="false" ht="15" hidden="false" customHeight="false" outlineLevel="0" collapsed="false">
      <c r="B38" s="23" t="n">
        <v>33</v>
      </c>
      <c r="C38" s="12" t="s">
        <v>509</v>
      </c>
      <c r="D38" s="12" t="s">
        <v>286</v>
      </c>
      <c r="E38" s="11" t="n">
        <v>7215</v>
      </c>
      <c r="F38" s="12" t="s">
        <v>705</v>
      </c>
      <c r="G38" s="12" t="s">
        <v>426</v>
      </c>
      <c r="H38" s="14" t="s">
        <v>405</v>
      </c>
      <c r="I38" s="12" t="s">
        <v>5</v>
      </c>
    </row>
    <row r="39" customFormat="false" ht="15" hidden="false" customHeight="false" outlineLevel="0" collapsed="false">
      <c r="B39" s="23" t="n">
        <v>34</v>
      </c>
      <c r="C39" s="12" t="s">
        <v>511</v>
      </c>
      <c r="D39" s="12" t="s">
        <v>284</v>
      </c>
      <c r="E39" s="23" t="n">
        <v>35</v>
      </c>
      <c r="F39" s="12" t="s">
        <v>704</v>
      </c>
      <c r="G39" s="12" t="s">
        <v>426</v>
      </c>
      <c r="H39" s="14" t="s">
        <v>405</v>
      </c>
      <c r="I39" s="12" t="s">
        <v>5</v>
      </c>
    </row>
    <row r="40" customFormat="false" ht="15" hidden="false" customHeight="false" outlineLevel="0" collapsed="false">
      <c r="B40" s="23" t="n">
        <v>35</v>
      </c>
      <c r="C40" s="12" t="s">
        <v>514</v>
      </c>
      <c r="D40" s="12" t="s">
        <v>513</v>
      </c>
      <c r="E40" s="10" t="n">
        <v>26.9356202356202</v>
      </c>
      <c r="F40" s="12" t="s">
        <v>308</v>
      </c>
      <c r="G40" s="12" t="s">
        <v>426</v>
      </c>
      <c r="H40" s="14" t="s">
        <v>405</v>
      </c>
      <c r="I40" s="12" t="s">
        <v>291</v>
      </c>
    </row>
    <row r="41" customFormat="false" ht="15" hidden="false" customHeight="false" outlineLevel="0" collapsed="false">
      <c r="B41" s="23" t="n">
        <v>36</v>
      </c>
      <c r="C41" s="12" t="s">
        <v>516</v>
      </c>
      <c r="D41" s="12" t="s">
        <v>515</v>
      </c>
      <c r="E41" s="10" t="n">
        <v>54.9488</v>
      </c>
      <c r="F41" s="12" t="s">
        <v>308</v>
      </c>
      <c r="G41" s="12" t="s">
        <v>426</v>
      </c>
      <c r="H41" s="14" t="s">
        <v>405</v>
      </c>
      <c r="I41" s="12" t="s">
        <v>291</v>
      </c>
    </row>
    <row r="42" customFormat="false" ht="15" hidden="false" customHeight="false" outlineLevel="0" collapsed="false">
      <c r="B42" s="23" t="n">
        <v>37</v>
      </c>
      <c r="C42" s="12" t="s">
        <v>517</v>
      </c>
      <c r="D42" s="12" t="s">
        <v>314</v>
      </c>
      <c r="E42" s="26" t="n">
        <v>1.3421</v>
      </c>
      <c r="F42" s="12" t="s">
        <v>315</v>
      </c>
      <c r="G42" s="12" t="s">
        <v>426</v>
      </c>
      <c r="H42" s="14" t="s">
        <v>405</v>
      </c>
      <c r="I42" s="12" t="s">
        <v>291</v>
      </c>
    </row>
    <row r="43" customFormat="false" ht="15" hidden="false" customHeight="false" outlineLevel="0" collapsed="false">
      <c r="B43" s="23" t="n">
        <v>38</v>
      </c>
      <c r="C43" s="12" t="s">
        <v>519</v>
      </c>
      <c r="D43" s="12" t="s">
        <v>518</v>
      </c>
      <c r="E43" s="11" t="n">
        <v>4990</v>
      </c>
      <c r="F43" s="12" t="s">
        <v>705</v>
      </c>
      <c r="G43" s="12" t="s">
        <v>426</v>
      </c>
      <c r="H43" s="14" t="s">
        <v>405</v>
      </c>
      <c r="I43" s="12" t="s">
        <v>5</v>
      </c>
    </row>
    <row r="44" customFormat="false" ht="15" hidden="false" customHeight="false" outlineLevel="0" collapsed="false">
      <c r="B44" s="23" t="n">
        <v>39</v>
      </c>
      <c r="C44" s="12" t="s">
        <v>522</v>
      </c>
      <c r="D44" s="12" t="s">
        <v>521</v>
      </c>
      <c r="E44" s="11" t="n">
        <v>651</v>
      </c>
      <c r="F44" s="12" t="s">
        <v>705</v>
      </c>
      <c r="G44" s="12" t="s">
        <v>426</v>
      </c>
      <c r="H44" s="14" t="s">
        <v>405</v>
      </c>
      <c r="I44" s="12" t="s">
        <v>5</v>
      </c>
    </row>
    <row r="45" customFormat="false" ht="15" hidden="false" customHeight="false" outlineLevel="0" collapsed="false">
      <c r="B45" s="23" t="n">
        <v>40</v>
      </c>
      <c r="C45" s="12" t="s">
        <v>525</v>
      </c>
      <c r="D45" s="12" t="s">
        <v>524</v>
      </c>
      <c r="E45" s="10" t="n">
        <v>127.803742203742</v>
      </c>
      <c r="F45" s="12" t="s">
        <v>308</v>
      </c>
      <c r="G45" s="12" t="s">
        <v>426</v>
      </c>
      <c r="H45" s="14" t="s">
        <v>405</v>
      </c>
      <c r="I45" s="12" t="s">
        <v>291</v>
      </c>
    </row>
    <row r="46" customFormat="false" ht="15" hidden="false" customHeight="false" outlineLevel="0" collapsed="false">
      <c r="B46" s="23" t="n">
        <v>41</v>
      </c>
      <c r="C46" s="12" t="s">
        <v>528</v>
      </c>
      <c r="D46" s="12" t="s">
        <v>527</v>
      </c>
      <c r="E46" s="10" t="n">
        <v>45.5328454608455</v>
      </c>
      <c r="F46" s="12" t="s">
        <v>308</v>
      </c>
      <c r="G46" s="12" t="s">
        <v>426</v>
      </c>
      <c r="H46" s="14" t="s">
        <v>405</v>
      </c>
      <c r="I46" s="12" t="s">
        <v>291</v>
      </c>
    </row>
    <row r="47" customFormat="false" ht="15" hidden="false" customHeight="false" outlineLevel="0" collapsed="false">
      <c r="B47" s="23" t="n">
        <v>42</v>
      </c>
      <c r="C47" s="12" t="s">
        <v>530</v>
      </c>
      <c r="D47" s="12" t="s">
        <v>529</v>
      </c>
      <c r="E47" s="10" t="n">
        <v>12807</v>
      </c>
      <c r="F47" s="12" t="s">
        <v>328</v>
      </c>
      <c r="G47" s="12" t="s">
        <v>426</v>
      </c>
      <c r="H47" s="14" t="s">
        <v>405</v>
      </c>
      <c r="I47" s="12" t="s">
        <v>291</v>
      </c>
    </row>
    <row r="48" customFormat="false" ht="15" hidden="false" customHeight="false" outlineLevel="0" collapsed="false">
      <c r="B48" s="23" t="n">
        <v>43</v>
      </c>
      <c r="C48" s="12" t="s">
        <v>531</v>
      </c>
      <c r="D48" s="12" t="s">
        <v>333</v>
      </c>
      <c r="E48" s="10" t="n">
        <v>8244.22944444445</v>
      </c>
      <c r="F48" s="12" t="s">
        <v>328</v>
      </c>
      <c r="G48" s="12" t="s">
        <v>426</v>
      </c>
      <c r="H48" s="14" t="s">
        <v>405</v>
      </c>
      <c r="I48" s="12" t="s">
        <v>291</v>
      </c>
    </row>
    <row r="49" customFormat="false" ht="15" hidden="false" customHeight="false" outlineLevel="0" collapsed="false">
      <c r="B49" s="23" t="n">
        <v>44</v>
      </c>
      <c r="C49" s="12" t="s">
        <v>533</v>
      </c>
      <c r="D49" s="12" t="s">
        <v>532</v>
      </c>
      <c r="E49" s="11" t="n">
        <v>100.208333333333</v>
      </c>
      <c r="F49" s="12" t="s">
        <v>705</v>
      </c>
      <c r="G49" s="12" t="s">
        <v>426</v>
      </c>
      <c r="H49" s="14" t="s">
        <v>405</v>
      </c>
      <c r="I49" s="12" t="s">
        <v>291</v>
      </c>
    </row>
    <row r="50" customFormat="false" ht="15" hidden="false" customHeight="false" outlineLevel="0" collapsed="false">
      <c r="B50" s="23" t="n">
        <v>45</v>
      </c>
      <c r="C50" s="12" t="s">
        <v>534</v>
      </c>
      <c r="D50" s="12" t="s">
        <v>335</v>
      </c>
      <c r="E50" s="10" t="n">
        <v>1836.86055776892</v>
      </c>
      <c r="F50" s="12" t="s">
        <v>328</v>
      </c>
      <c r="G50" s="12" t="s">
        <v>426</v>
      </c>
      <c r="H50" s="14" t="s">
        <v>405</v>
      </c>
      <c r="I50" s="12" t="s">
        <v>291</v>
      </c>
    </row>
    <row r="51" customFormat="false" ht="15" hidden="false" customHeight="false" outlineLevel="0" collapsed="false">
      <c r="B51" s="23" t="n">
        <v>46</v>
      </c>
      <c r="C51" s="12" t="s">
        <v>535</v>
      </c>
      <c r="D51" s="12" t="s">
        <v>323</v>
      </c>
      <c r="E51" s="27" t="n">
        <v>0.210757680261663</v>
      </c>
      <c r="F51" s="12" t="s">
        <v>321</v>
      </c>
      <c r="G51" s="12" t="s">
        <v>426</v>
      </c>
      <c r="H51" s="14" t="s">
        <v>405</v>
      </c>
      <c r="I51" s="12" t="s">
        <v>291</v>
      </c>
    </row>
    <row r="52" customFormat="false" ht="15" hidden="false" customHeight="false" outlineLevel="0" collapsed="false">
      <c r="B52" s="23" t="n">
        <v>47</v>
      </c>
      <c r="C52" s="12" t="s">
        <v>537</v>
      </c>
      <c r="D52" s="12" t="s">
        <v>324</v>
      </c>
      <c r="E52" s="27" t="n">
        <v>0.271383173698411</v>
      </c>
      <c r="F52" s="12" t="s">
        <v>321</v>
      </c>
      <c r="G52" s="12" t="s">
        <v>426</v>
      </c>
      <c r="H52" s="14" t="s">
        <v>405</v>
      </c>
      <c r="I52" s="12" t="s">
        <v>291</v>
      </c>
    </row>
    <row r="53" customFormat="false" ht="15" hidden="false" customHeight="false" outlineLevel="0" collapsed="false">
      <c r="B53" s="23" t="n">
        <v>48</v>
      </c>
      <c r="C53" s="12" t="s">
        <v>539</v>
      </c>
      <c r="D53" s="12" t="s">
        <v>538</v>
      </c>
      <c r="E53" s="23" t="n">
        <v>18</v>
      </c>
      <c r="F53" s="12" t="s">
        <v>704</v>
      </c>
      <c r="G53" s="12" t="s">
        <v>426</v>
      </c>
      <c r="H53" s="14" t="s">
        <v>405</v>
      </c>
      <c r="I53" s="12" t="s">
        <v>5</v>
      </c>
    </row>
    <row r="54" customFormat="false" ht="15" hidden="false" customHeight="false" outlineLevel="0" collapsed="false">
      <c r="B54" s="23" t="n">
        <v>49</v>
      </c>
      <c r="C54" s="12" t="s">
        <v>541</v>
      </c>
      <c r="D54" s="12" t="s">
        <v>540</v>
      </c>
      <c r="E54" s="23" t="n">
        <v>17</v>
      </c>
      <c r="F54" s="12" t="s">
        <v>704</v>
      </c>
      <c r="G54" s="12" t="s">
        <v>426</v>
      </c>
      <c r="H54" s="14" t="s">
        <v>405</v>
      </c>
      <c r="I54" s="12" t="s">
        <v>5</v>
      </c>
    </row>
    <row r="55" customFormat="false" ht="15" hidden="false" customHeight="false" outlineLevel="0" collapsed="false">
      <c r="B55" s="23" t="n">
        <v>50</v>
      </c>
      <c r="C55" s="12" t="s">
        <v>544</v>
      </c>
      <c r="D55" s="12" t="s">
        <v>543</v>
      </c>
      <c r="E55" s="27" t="n">
        <v>0.176160776160776</v>
      </c>
      <c r="F55" s="12" t="s">
        <v>321</v>
      </c>
      <c r="G55" s="12" t="s">
        <v>426</v>
      </c>
      <c r="H55" s="14" t="s">
        <v>405</v>
      </c>
      <c r="I55" s="12" t="s">
        <v>291</v>
      </c>
    </row>
    <row r="56" customFormat="false" ht="15" hidden="false" customHeight="false" outlineLevel="0" collapsed="false">
      <c r="B56" s="23" t="n">
        <v>51</v>
      </c>
      <c r="C56" s="12" t="s">
        <v>547</v>
      </c>
      <c r="D56" s="12" t="s">
        <v>546</v>
      </c>
      <c r="E56" s="27" t="n">
        <v>0.594386694386694</v>
      </c>
      <c r="F56" s="12" t="s">
        <v>321</v>
      </c>
      <c r="G56" s="12" t="s">
        <v>426</v>
      </c>
      <c r="H56" s="14" t="s">
        <v>405</v>
      </c>
      <c r="I56" s="12" t="s">
        <v>291</v>
      </c>
    </row>
    <row r="57" customFormat="false" ht="15" hidden="false" customHeight="false" outlineLevel="0" collapsed="false">
      <c r="B57" s="23" t="n">
        <v>52</v>
      </c>
      <c r="C57" s="12" t="s">
        <v>549</v>
      </c>
      <c r="D57" s="12" t="s">
        <v>548</v>
      </c>
      <c r="E57" s="23" t="n">
        <v>25</v>
      </c>
      <c r="F57" s="12" t="s">
        <v>704</v>
      </c>
      <c r="G57" s="12" t="s">
        <v>426</v>
      </c>
      <c r="H57" s="14" t="s">
        <v>405</v>
      </c>
      <c r="I57" s="12" t="s">
        <v>5</v>
      </c>
    </row>
    <row r="58" customFormat="false" ht="15" hidden="false" customHeight="false" outlineLevel="0" collapsed="false">
      <c r="B58" s="23" t="n">
        <v>53</v>
      </c>
      <c r="C58" s="12" t="s">
        <v>552</v>
      </c>
      <c r="D58" s="12" t="s">
        <v>551</v>
      </c>
      <c r="E58" s="23" t="n">
        <v>5</v>
      </c>
      <c r="F58" s="12" t="s">
        <v>704</v>
      </c>
      <c r="G58" s="12" t="s">
        <v>426</v>
      </c>
      <c r="H58" s="14" t="s">
        <v>405</v>
      </c>
      <c r="I58" s="12" t="s">
        <v>554</v>
      </c>
    </row>
    <row r="59" customFormat="false" ht="15" hidden="false" customHeight="false" outlineLevel="0" collapsed="false">
      <c r="B59" s="23" t="n">
        <v>54</v>
      </c>
      <c r="C59" s="12" t="s">
        <v>556</v>
      </c>
      <c r="D59" s="12" t="s">
        <v>555</v>
      </c>
      <c r="E59" s="23" t="n">
        <v>11</v>
      </c>
      <c r="F59" s="12" t="s">
        <v>704</v>
      </c>
      <c r="G59" s="12" t="s">
        <v>426</v>
      </c>
      <c r="H59" s="14" t="s">
        <v>405</v>
      </c>
      <c r="I59" s="12" t="s">
        <v>557</v>
      </c>
    </row>
    <row r="60" customFormat="false" ht="15" hidden="false" customHeight="false" outlineLevel="0" collapsed="false">
      <c r="B60" s="23" t="n">
        <v>55</v>
      </c>
      <c r="C60" s="12" t="s">
        <v>559</v>
      </c>
      <c r="D60" s="12" t="s">
        <v>558</v>
      </c>
      <c r="E60" s="23" t="n">
        <v>0</v>
      </c>
      <c r="F60" s="12" t="s">
        <v>704</v>
      </c>
      <c r="G60" s="12" t="s">
        <v>426</v>
      </c>
      <c r="H60" s="14" t="s">
        <v>405</v>
      </c>
      <c r="I60" s="12" t="s">
        <v>560</v>
      </c>
    </row>
    <row r="61" customFormat="false" ht="15" hidden="false" customHeight="false" outlineLevel="0" collapsed="false">
      <c r="B61" s="23" t="n">
        <v>56</v>
      </c>
      <c r="C61" s="12" t="s">
        <v>562</v>
      </c>
      <c r="D61" s="12" t="s">
        <v>561</v>
      </c>
      <c r="E61" s="23" t="n">
        <v>0</v>
      </c>
      <c r="F61" s="12" t="s">
        <v>704</v>
      </c>
      <c r="G61" s="12" t="s">
        <v>426</v>
      </c>
      <c r="H61" s="14" t="s">
        <v>405</v>
      </c>
      <c r="I61" s="12" t="s">
        <v>563</v>
      </c>
    </row>
    <row r="62" customFormat="false" ht="15" hidden="false" customHeight="false" outlineLevel="0" collapsed="false">
      <c r="B62" s="23" t="n">
        <v>57</v>
      </c>
      <c r="C62" s="12" t="s">
        <v>565</v>
      </c>
      <c r="D62" s="12" t="s">
        <v>564</v>
      </c>
      <c r="E62" s="23" t="n">
        <v>0</v>
      </c>
      <c r="F62" s="12" t="s">
        <v>704</v>
      </c>
      <c r="G62" s="12" t="s">
        <v>426</v>
      </c>
      <c r="H62" s="14" t="s">
        <v>405</v>
      </c>
      <c r="I62" s="12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34"/>
    <col collapsed="false" customWidth="true" hidden="false" outlineLevel="0" max="10" min="4" style="1" width="22"/>
  </cols>
  <sheetData>
    <row r="2" customFormat="false" ht="33.75" hidden="false" customHeight="true" outlineLevel="0" collapsed="false">
      <c r="B2" s="2" t="s">
        <v>706</v>
      </c>
    </row>
    <row r="3" customFormat="false" ht="21.75" hidden="false" customHeight="true" outlineLevel="0" collapsed="false">
      <c r="B3" s="3" t="s">
        <v>707</v>
      </c>
    </row>
    <row r="4" customFormat="false" ht="1.5" hidden="false" customHeight="true" outlineLevel="0" collapsed="false"/>
    <row r="5" customFormat="false" ht="15" hidden="false" customHeight="false" outlineLevel="0" collapsed="false">
      <c r="B5" s="4" t="s">
        <v>399</v>
      </c>
      <c r="C5" s="4" t="s">
        <v>708</v>
      </c>
      <c r="D5" s="4" t="s">
        <v>709</v>
      </c>
      <c r="E5" s="4" t="s">
        <v>710</v>
      </c>
      <c r="F5" s="4" t="s">
        <v>711</v>
      </c>
      <c r="G5" s="4" t="s">
        <v>66</v>
      </c>
      <c r="H5" s="4" t="s">
        <v>712</v>
      </c>
    </row>
    <row r="6" customFormat="false" ht="15" hidden="false" customHeight="false" outlineLevel="0" collapsed="false">
      <c r="B6" s="23" t="n">
        <v>1</v>
      </c>
      <c r="C6" s="12" t="s">
        <v>713</v>
      </c>
      <c r="D6" s="10" t="n">
        <v>922104</v>
      </c>
      <c r="E6" s="10" t="n">
        <v>1012034.34</v>
      </c>
      <c r="F6" s="17" t="n">
        <f aca="false">D6-E6</f>
        <v>-89930.34</v>
      </c>
      <c r="G6" s="1" t="str">
        <f aca="false">IF(ABS(F6)&lt;=1,"TIES",IF(ABS(F6)&lt;=ABS(E6)*0.05,"WITHIN","OFF"))</f>
        <v>OFF</v>
      </c>
      <c r="H6" s="12" t="s">
        <v>714</v>
      </c>
    </row>
    <row r="7" customFormat="false" ht="15" hidden="false" customHeight="false" outlineLevel="0" collapsed="false">
      <c r="B7" s="23" t="n">
        <v>2</v>
      </c>
      <c r="C7" s="12" t="s">
        <v>715</v>
      </c>
      <c r="D7" s="10" t="n">
        <v>593584.52</v>
      </c>
      <c r="E7" s="10" t="n">
        <v>593584.52</v>
      </c>
      <c r="F7" s="17" t="n">
        <f aca="false">D7-E7</f>
        <v>0</v>
      </c>
      <c r="G7" s="1" t="str">
        <f aca="false">IF(ABS(F7)&lt;=1,"TIES",IF(ABS(F7)&lt;=ABS(E7)*0.05,"WITHIN","OFF"))</f>
        <v>TIES</v>
      </c>
      <c r="H7" s="12" t="s">
        <v>716</v>
      </c>
    </row>
    <row r="8" customFormat="false" ht="15" hidden="false" customHeight="false" outlineLevel="0" collapsed="false">
      <c r="B8" s="23" t="n">
        <v>3</v>
      </c>
      <c r="C8" s="12" t="s">
        <v>717</v>
      </c>
      <c r="D8" s="10" t="n">
        <v>328519.48</v>
      </c>
      <c r="E8" s="10" t="n">
        <v>328519.48</v>
      </c>
      <c r="F8" s="17" t="n">
        <f aca="false">D8-E8</f>
        <v>0</v>
      </c>
      <c r="G8" s="1" t="str">
        <f aca="false">IF(ABS(F8)&lt;=1,"TIES",IF(ABS(F8)&lt;=ABS(E8)*0.05,"WITHIN","OFF"))</f>
        <v>TIES</v>
      </c>
      <c r="H8" s="12" t="s">
        <v>718</v>
      </c>
    </row>
    <row r="9" customFormat="false" ht="15" hidden="false" customHeight="false" outlineLevel="0" collapsed="false">
      <c r="B9" s="23" t="n">
        <v>4</v>
      </c>
      <c r="C9" s="12" t="s">
        <v>719</v>
      </c>
      <c r="D9" s="10" t="n">
        <v>922104</v>
      </c>
      <c r="E9" s="10" t="n">
        <v>922104</v>
      </c>
      <c r="F9" s="17" t="n">
        <f aca="false">D9-E9</f>
        <v>0</v>
      </c>
      <c r="G9" s="1" t="str">
        <f aca="false">IF(ABS(F9)&lt;=1,"TIES",IF(ABS(F9)&lt;=ABS(E9)*0.05,"WITHIN","OFF"))</f>
        <v>TIES</v>
      </c>
      <c r="H9" s="12" t="s">
        <v>720</v>
      </c>
    </row>
    <row r="10" customFormat="false" ht="15" hidden="false" customHeight="false" outlineLevel="0" collapsed="false">
      <c r="B10" s="23" t="n">
        <v>5</v>
      </c>
      <c r="C10" s="12" t="s">
        <v>721</v>
      </c>
      <c r="D10" s="10" t="n">
        <v>7215</v>
      </c>
      <c r="E10" s="10" t="n">
        <v>7215</v>
      </c>
      <c r="F10" s="17" t="n">
        <f aca="false">D10-E10</f>
        <v>0</v>
      </c>
      <c r="G10" s="1" t="str">
        <f aca="false">IF(ABS(F10)&lt;=1,"TIES",IF(ABS(F10)&lt;=ABS(E10)*0.05,"WITHIN","OFF"))</f>
        <v>TIES</v>
      </c>
      <c r="H10" s="12" t="s">
        <v>722</v>
      </c>
    </row>
    <row r="11" customFormat="false" ht="15" hidden="false" customHeight="false" outlineLevel="0" collapsed="false">
      <c r="B11" s="23" t="n">
        <v>6</v>
      </c>
      <c r="C11" s="12" t="s">
        <v>723</v>
      </c>
      <c r="D11" s="10" t="n">
        <v>13882.0499999999</v>
      </c>
      <c r="E11" s="10" t="n">
        <v>13882.05</v>
      </c>
      <c r="F11" s="17" t="n">
        <f aca="false">D11-E11</f>
        <v>-1.00044417195022E-010</v>
      </c>
      <c r="G11" s="1" t="str">
        <f aca="false">IF(ABS(F11)&lt;=1,"TIES",IF(ABS(F11)&lt;=ABS(E11)*0.05,"WITHIN","OFF"))</f>
        <v>TIES</v>
      </c>
      <c r="H11" s="12" t="s">
        <v>724</v>
      </c>
    </row>
    <row r="12" customFormat="false" ht="15" hidden="false" customHeight="false" outlineLevel="0" collapsed="false">
      <c r="B12" s="23" t="n">
        <v>7</v>
      </c>
      <c r="C12" s="12" t="s">
        <v>725</v>
      </c>
      <c r="D12" s="12" t="n">
        <v>35</v>
      </c>
      <c r="E12" s="12" t="n">
        <v>35</v>
      </c>
      <c r="F12" s="17" t="n">
        <f aca="false">D12-E12</f>
        <v>0</v>
      </c>
      <c r="G12" s="1" t="str">
        <f aca="false">IF(ABS(F12)&lt;=1,"TIES",IF(ABS(F12)&lt;=ABS(E12)*0.05,"WITHIN","OFF"))</f>
        <v>TIES</v>
      </c>
      <c r="H12" s="12" t="s">
        <v>726</v>
      </c>
    </row>
    <row r="13" customFormat="false" ht="15" hidden="false" customHeight="false" outlineLevel="0" collapsed="false">
      <c r="B13" s="23" t="n">
        <v>8</v>
      </c>
      <c r="C13" s="12" t="s">
        <v>727</v>
      </c>
      <c r="D13" s="12" t="n">
        <v>25</v>
      </c>
      <c r="E13" s="12" t="n">
        <v>25</v>
      </c>
      <c r="F13" s="17" t="n">
        <f aca="false">D13-E13</f>
        <v>0</v>
      </c>
      <c r="G13" s="1" t="str">
        <f aca="false">IF(ABS(F13)&lt;=1,"TIES",IF(ABS(F13)&lt;=ABS(E13)*0.05,"WITHIN","OFF"))</f>
        <v>TIES</v>
      </c>
      <c r="H13" s="12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2026-04-20T21:36:08Z</dcterms:created>
  <dc:creator>openpyxl</dc:creator>
  <dc:description/>
  <dc:language>en-US</dc:language>
  <cp:lastModifiedBy/>
  <dcterms:modified xsi:type="dcterms:W3CDTF">2026-04-20T21:36:08Z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